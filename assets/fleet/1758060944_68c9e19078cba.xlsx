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 - Global Machinery Auctions Inc\Desktop\MOQ Workbook\MPI\"/>
    </mc:Choice>
  </mc:AlternateContent>
  <xr:revisionPtr revIDLastSave="0" documentId="13_ncr:1_{E23DDC0F-8208-44E8-94FA-A7672042884E}" xr6:coauthVersionLast="47" xr6:coauthVersionMax="47" xr10:uidLastSave="{00000000-0000-0000-0000-000000000000}"/>
  <bookViews>
    <workbookView xWindow="-120" yWindow="-120" windowWidth="29040" windowHeight="15720" tabRatio="897" firstSheet="1" activeTab="10" xr2:uid="{EAC116F2-D257-4308-B3E1-626B33CB1430}"/>
  </bookViews>
  <sheets>
    <sheet name="MOQ Batteries" sheetId="47" r:id="rId1"/>
    <sheet name="MOQ Engines" sheetId="61" r:id="rId2"/>
    <sheet name="MOQ Filters Q1" sheetId="48" r:id="rId3"/>
    <sheet name="MOQ Filters Q2" sheetId="49" r:id="rId4"/>
    <sheet name="MOQ Filters Q3" sheetId="50" r:id="rId5"/>
    <sheet name="MOQ Filters Q4" sheetId="51" r:id="rId6"/>
    <sheet name="MOQ GET" sheetId="60" r:id="rId7"/>
    <sheet name="MOQ Injector" sheetId="63" r:id="rId8"/>
    <sheet name="MOQ Turbos" sheetId="56" r:id="rId9"/>
    <sheet name="UC" sheetId="62" r:id="rId10"/>
    <sheet name="MOQ Grand Total" sheetId="58" r:id="rId11"/>
  </sheets>
  <externalReferences>
    <externalReference r:id="rId12"/>
  </externalReferences>
  <definedNames>
    <definedName name="_xlnm._FilterDatabase" localSheetId="0" hidden="1">'MOQ Batteries'!$B$14:$I$62</definedName>
    <definedName name="_xlnm._FilterDatabase" localSheetId="2" hidden="1">'MOQ Filters Q1'!$B$14:$I$171</definedName>
    <definedName name="_xlnm._FilterDatabase" localSheetId="3" hidden="1">'MOQ Filters Q2'!$B$14:$I$100</definedName>
    <definedName name="_xlnm._FilterDatabase" localSheetId="4" hidden="1">'MOQ Filters Q3'!$B$14:$I$100</definedName>
    <definedName name="_xlnm._FilterDatabase" localSheetId="5" hidden="1">'MOQ Filters Q4'!$B$14:$I$100</definedName>
    <definedName name="_xlnm._FilterDatabase" localSheetId="6" hidden="1">'MOQ GET'!$B$14:$I$80</definedName>
    <definedName name="_xlnm._FilterDatabase" localSheetId="10" hidden="1">'MOQ Grand Total'!$B$14:$I$109</definedName>
    <definedName name="_xlnm._FilterDatabase" localSheetId="7" hidden="1">'MOQ Injector'!$B$14:$I$86</definedName>
    <definedName name="_xlnm._FilterDatabase" localSheetId="8" hidden="1">'MOQ Turbos'!$B$14:$I$63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1" l="1"/>
  <c r="E17" i="51"/>
  <c r="G17" i="51" s="1"/>
  <c r="E18" i="51"/>
  <c r="E19" i="51"/>
  <c r="G19" i="51" s="1"/>
  <c r="E20" i="51"/>
  <c r="E21" i="51"/>
  <c r="G21" i="51" s="1"/>
  <c r="E22" i="51"/>
  <c r="E23" i="51"/>
  <c r="G23" i="51" s="1"/>
  <c r="E24" i="51"/>
  <c r="E25" i="51"/>
  <c r="G25" i="51" s="1"/>
  <c r="E26" i="51"/>
  <c r="E27" i="51"/>
  <c r="G27" i="51" s="1"/>
  <c r="E28" i="51"/>
  <c r="E29" i="51"/>
  <c r="G29" i="51" s="1"/>
  <c r="E30" i="51"/>
  <c r="E31" i="51"/>
  <c r="G31" i="51" s="1"/>
  <c r="E32" i="51"/>
  <c r="E33" i="51"/>
  <c r="G33" i="51" s="1"/>
  <c r="E34" i="51"/>
  <c r="E35" i="51"/>
  <c r="G35" i="51" s="1"/>
  <c r="E36" i="51"/>
  <c r="E37" i="51"/>
  <c r="G37" i="51" s="1"/>
  <c r="E38" i="51"/>
  <c r="E39" i="51"/>
  <c r="G39" i="51" s="1"/>
  <c r="E40" i="51"/>
  <c r="E41" i="51"/>
  <c r="G41" i="51" s="1"/>
  <c r="E42" i="51"/>
  <c r="E43" i="51"/>
  <c r="G43" i="51" s="1"/>
  <c r="E44" i="51"/>
  <c r="E45" i="51"/>
  <c r="G45" i="51" s="1"/>
  <c r="E46" i="51"/>
  <c r="E47" i="51"/>
  <c r="G47" i="51" s="1"/>
  <c r="E48" i="51"/>
  <c r="E49" i="51"/>
  <c r="G49" i="51" s="1"/>
  <c r="E50" i="51"/>
  <c r="E51" i="51"/>
  <c r="G51" i="51" s="1"/>
  <c r="E52" i="51"/>
  <c r="E53" i="51"/>
  <c r="G53" i="51" s="1"/>
  <c r="E54" i="51"/>
  <c r="E55" i="51"/>
  <c r="G55" i="51" s="1"/>
  <c r="E56" i="51"/>
  <c r="E57" i="51"/>
  <c r="G57" i="51" s="1"/>
  <c r="E58" i="51"/>
  <c r="E15" i="51"/>
  <c r="C16" i="51"/>
  <c r="D16" i="51"/>
  <c r="F16" i="51"/>
  <c r="G16" i="51"/>
  <c r="H16" i="51"/>
  <c r="C17" i="51"/>
  <c r="D17" i="51"/>
  <c r="F17" i="51"/>
  <c r="H17" i="51"/>
  <c r="C18" i="51"/>
  <c r="D18" i="51"/>
  <c r="F18" i="51"/>
  <c r="G18" i="51"/>
  <c r="H18" i="51"/>
  <c r="C19" i="51"/>
  <c r="D19" i="51"/>
  <c r="F19" i="51"/>
  <c r="H19" i="51"/>
  <c r="C20" i="51"/>
  <c r="D20" i="51"/>
  <c r="F20" i="51"/>
  <c r="G20" i="51"/>
  <c r="H20" i="51"/>
  <c r="C21" i="51"/>
  <c r="D21" i="51"/>
  <c r="F21" i="51"/>
  <c r="H21" i="51"/>
  <c r="C22" i="51"/>
  <c r="D22" i="51"/>
  <c r="F22" i="51"/>
  <c r="G22" i="51"/>
  <c r="H22" i="51"/>
  <c r="C23" i="51"/>
  <c r="D23" i="51"/>
  <c r="F23" i="51"/>
  <c r="H23" i="51"/>
  <c r="C24" i="51"/>
  <c r="D24" i="51"/>
  <c r="F24" i="51"/>
  <c r="G24" i="51"/>
  <c r="H24" i="51"/>
  <c r="C25" i="51"/>
  <c r="D25" i="51"/>
  <c r="F25" i="51"/>
  <c r="H25" i="51"/>
  <c r="C26" i="51"/>
  <c r="D26" i="51"/>
  <c r="F26" i="51"/>
  <c r="G26" i="51"/>
  <c r="H26" i="51"/>
  <c r="C27" i="51"/>
  <c r="D27" i="51"/>
  <c r="F27" i="51"/>
  <c r="H27" i="51"/>
  <c r="C28" i="51"/>
  <c r="D28" i="51"/>
  <c r="F28" i="51"/>
  <c r="G28" i="51"/>
  <c r="H28" i="51"/>
  <c r="C29" i="51"/>
  <c r="D29" i="51"/>
  <c r="F29" i="51"/>
  <c r="H29" i="51"/>
  <c r="C30" i="51"/>
  <c r="D30" i="51"/>
  <c r="F30" i="51"/>
  <c r="G30" i="51"/>
  <c r="H30" i="51"/>
  <c r="C31" i="51"/>
  <c r="D31" i="51"/>
  <c r="F31" i="51"/>
  <c r="H31" i="51"/>
  <c r="C32" i="51"/>
  <c r="D32" i="51"/>
  <c r="F32" i="51"/>
  <c r="G32" i="51"/>
  <c r="H32" i="51"/>
  <c r="C33" i="51"/>
  <c r="D33" i="51"/>
  <c r="F33" i="51"/>
  <c r="H33" i="51"/>
  <c r="C34" i="51"/>
  <c r="D34" i="51"/>
  <c r="F34" i="51"/>
  <c r="G34" i="51"/>
  <c r="H34" i="51"/>
  <c r="C35" i="51"/>
  <c r="D35" i="51"/>
  <c r="F35" i="51"/>
  <c r="H35" i="51"/>
  <c r="C36" i="51"/>
  <c r="D36" i="51"/>
  <c r="F36" i="51"/>
  <c r="G36" i="51"/>
  <c r="H36" i="51"/>
  <c r="C37" i="51"/>
  <c r="D37" i="51"/>
  <c r="F37" i="51"/>
  <c r="H37" i="51"/>
  <c r="C38" i="51"/>
  <c r="D38" i="51"/>
  <c r="F38" i="51"/>
  <c r="G38" i="51"/>
  <c r="H38" i="51"/>
  <c r="C39" i="51"/>
  <c r="D39" i="51"/>
  <c r="F39" i="51"/>
  <c r="H39" i="51"/>
  <c r="C40" i="51"/>
  <c r="D40" i="51"/>
  <c r="F40" i="51"/>
  <c r="G40" i="51"/>
  <c r="H40" i="51"/>
  <c r="C41" i="51"/>
  <c r="D41" i="51"/>
  <c r="F41" i="51"/>
  <c r="H41" i="51"/>
  <c r="C42" i="51"/>
  <c r="D42" i="51"/>
  <c r="F42" i="51"/>
  <c r="G42" i="51"/>
  <c r="H42" i="51"/>
  <c r="C43" i="51"/>
  <c r="D43" i="51"/>
  <c r="F43" i="51"/>
  <c r="H43" i="51"/>
  <c r="C44" i="51"/>
  <c r="D44" i="51"/>
  <c r="F44" i="51"/>
  <c r="G44" i="51"/>
  <c r="H44" i="51"/>
  <c r="C45" i="51"/>
  <c r="D45" i="51"/>
  <c r="F45" i="51"/>
  <c r="H45" i="51"/>
  <c r="C46" i="51"/>
  <c r="D46" i="51"/>
  <c r="F46" i="51"/>
  <c r="G46" i="51"/>
  <c r="H46" i="51"/>
  <c r="C47" i="51"/>
  <c r="D47" i="51"/>
  <c r="F47" i="51"/>
  <c r="H47" i="51"/>
  <c r="C48" i="51"/>
  <c r="D48" i="51"/>
  <c r="F48" i="51"/>
  <c r="G48" i="51"/>
  <c r="H48" i="51"/>
  <c r="C49" i="51"/>
  <c r="D49" i="51"/>
  <c r="F49" i="51"/>
  <c r="H49" i="51"/>
  <c r="C50" i="51"/>
  <c r="D50" i="51"/>
  <c r="F50" i="51"/>
  <c r="G50" i="51"/>
  <c r="H50" i="51"/>
  <c r="C51" i="51"/>
  <c r="D51" i="51"/>
  <c r="F51" i="51"/>
  <c r="H51" i="51"/>
  <c r="C52" i="51"/>
  <c r="D52" i="51"/>
  <c r="F52" i="51"/>
  <c r="G52" i="51"/>
  <c r="H52" i="51"/>
  <c r="C53" i="51"/>
  <c r="D53" i="51"/>
  <c r="F53" i="51"/>
  <c r="H53" i="51"/>
  <c r="C54" i="51"/>
  <c r="D54" i="51"/>
  <c r="F54" i="51"/>
  <c r="G54" i="51"/>
  <c r="H54" i="51"/>
  <c r="C55" i="51"/>
  <c r="D55" i="51"/>
  <c r="F55" i="51"/>
  <c r="H55" i="51"/>
  <c r="C56" i="51"/>
  <c r="D56" i="51"/>
  <c r="F56" i="51"/>
  <c r="G56" i="51"/>
  <c r="H56" i="51"/>
  <c r="C57" i="51"/>
  <c r="D57" i="51"/>
  <c r="F57" i="51"/>
  <c r="H57" i="51"/>
  <c r="C58" i="51"/>
  <c r="D58" i="51"/>
  <c r="F58" i="51"/>
  <c r="G58" i="51"/>
  <c r="H58" i="51"/>
  <c r="H15" i="51"/>
  <c r="F15" i="51"/>
  <c r="D15" i="51"/>
  <c r="C15" i="51"/>
  <c r="C16" i="50"/>
  <c r="D16" i="50"/>
  <c r="E16" i="50"/>
  <c r="G16" i="50" s="1"/>
  <c r="F16" i="50"/>
  <c r="H16" i="50"/>
  <c r="C17" i="50"/>
  <c r="D17" i="50"/>
  <c r="E17" i="50"/>
  <c r="G17" i="50" s="1"/>
  <c r="F17" i="50"/>
  <c r="H17" i="50"/>
  <c r="C18" i="50"/>
  <c r="D18" i="50"/>
  <c r="E18" i="50"/>
  <c r="G18" i="50" s="1"/>
  <c r="F18" i="50"/>
  <c r="H18" i="50"/>
  <c r="C19" i="50"/>
  <c r="D19" i="50"/>
  <c r="E19" i="50"/>
  <c r="G19" i="50" s="1"/>
  <c r="F19" i="50"/>
  <c r="H19" i="50"/>
  <c r="C20" i="50"/>
  <c r="D20" i="50"/>
  <c r="E20" i="50"/>
  <c r="G20" i="50" s="1"/>
  <c r="F20" i="50"/>
  <c r="H20" i="50"/>
  <c r="C21" i="50"/>
  <c r="D21" i="50"/>
  <c r="E21" i="50"/>
  <c r="G21" i="50" s="1"/>
  <c r="F21" i="50"/>
  <c r="H21" i="50"/>
  <c r="C22" i="50"/>
  <c r="D22" i="50"/>
  <c r="E22" i="50"/>
  <c r="G22" i="50" s="1"/>
  <c r="F22" i="50"/>
  <c r="H22" i="50"/>
  <c r="C23" i="50"/>
  <c r="D23" i="50"/>
  <c r="E23" i="50"/>
  <c r="G23" i="50" s="1"/>
  <c r="F23" i="50"/>
  <c r="H23" i="50"/>
  <c r="C24" i="50"/>
  <c r="D24" i="50"/>
  <c r="E24" i="50"/>
  <c r="G24" i="50" s="1"/>
  <c r="F24" i="50"/>
  <c r="H24" i="50"/>
  <c r="C25" i="50"/>
  <c r="D25" i="50"/>
  <c r="E25" i="50"/>
  <c r="G25" i="50" s="1"/>
  <c r="F25" i="50"/>
  <c r="H25" i="50"/>
  <c r="C26" i="50"/>
  <c r="D26" i="50"/>
  <c r="E26" i="50"/>
  <c r="G26" i="50" s="1"/>
  <c r="F26" i="50"/>
  <c r="H26" i="50"/>
  <c r="C27" i="50"/>
  <c r="D27" i="50"/>
  <c r="E27" i="50"/>
  <c r="G27" i="50" s="1"/>
  <c r="F27" i="50"/>
  <c r="H27" i="50"/>
  <c r="C28" i="50"/>
  <c r="D28" i="50"/>
  <c r="E28" i="50"/>
  <c r="G28" i="50" s="1"/>
  <c r="F28" i="50"/>
  <c r="H28" i="50"/>
  <c r="C29" i="50"/>
  <c r="D29" i="50"/>
  <c r="E29" i="50"/>
  <c r="G29" i="50" s="1"/>
  <c r="F29" i="50"/>
  <c r="H29" i="50"/>
  <c r="C30" i="50"/>
  <c r="D30" i="50"/>
  <c r="E30" i="50"/>
  <c r="G30" i="50" s="1"/>
  <c r="F30" i="50"/>
  <c r="H30" i="50"/>
  <c r="C31" i="50"/>
  <c r="D31" i="50"/>
  <c r="E31" i="50"/>
  <c r="G31" i="50" s="1"/>
  <c r="F31" i="50"/>
  <c r="H31" i="50"/>
  <c r="C32" i="50"/>
  <c r="D32" i="50"/>
  <c r="E32" i="50"/>
  <c r="G32" i="50" s="1"/>
  <c r="F32" i="50"/>
  <c r="H32" i="50"/>
  <c r="C33" i="50"/>
  <c r="D33" i="50"/>
  <c r="E33" i="50"/>
  <c r="G33" i="50" s="1"/>
  <c r="F33" i="50"/>
  <c r="H33" i="50"/>
  <c r="C34" i="50"/>
  <c r="D34" i="50"/>
  <c r="E34" i="50"/>
  <c r="G34" i="50" s="1"/>
  <c r="F34" i="50"/>
  <c r="H34" i="50"/>
  <c r="C35" i="50"/>
  <c r="D35" i="50"/>
  <c r="E35" i="50"/>
  <c r="G35" i="50" s="1"/>
  <c r="F35" i="50"/>
  <c r="H35" i="50"/>
  <c r="C36" i="50"/>
  <c r="D36" i="50"/>
  <c r="E36" i="50"/>
  <c r="G36" i="50" s="1"/>
  <c r="F36" i="50"/>
  <c r="H36" i="50"/>
  <c r="C37" i="50"/>
  <c r="D37" i="50"/>
  <c r="E37" i="50"/>
  <c r="G37" i="50" s="1"/>
  <c r="F37" i="50"/>
  <c r="H37" i="50"/>
  <c r="C38" i="50"/>
  <c r="D38" i="50"/>
  <c r="E38" i="50"/>
  <c r="G38" i="50" s="1"/>
  <c r="F38" i="50"/>
  <c r="H38" i="50"/>
  <c r="C39" i="50"/>
  <c r="D39" i="50"/>
  <c r="E39" i="50"/>
  <c r="G39" i="50" s="1"/>
  <c r="F39" i="50"/>
  <c r="H39" i="50"/>
  <c r="C40" i="50"/>
  <c r="D40" i="50"/>
  <c r="E40" i="50"/>
  <c r="G40" i="50" s="1"/>
  <c r="F40" i="50"/>
  <c r="H40" i="50"/>
  <c r="C41" i="50"/>
  <c r="D41" i="50"/>
  <c r="E41" i="50"/>
  <c r="G41" i="50" s="1"/>
  <c r="F41" i="50"/>
  <c r="H41" i="50"/>
  <c r="C42" i="50"/>
  <c r="D42" i="50"/>
  <c r="E42" i="50"/>
  <c r="G42" i="50" s="1"/>
  <c r="F42" i="50"/>
  <c r="H42" i="50"/>
  <c r="C43" i="50"/>
  <c r="D43" i="50"/>
  <c r="E43" i="50"/>
  <c r="G43" i="50" s="1"/>
  <c r="F43" i="50"/>
  <c r="H43" i="50"/>
  <c r="C44" i="50"/>
  <c r="D44" i="50"/>
  <c r="E44" i="50"/>
  <c r="G44" i="50" s="1"/>
  <c r="F44" i="50"/>
  <c r="H44" i="50"/>
  <c r="C45" i="50"/>
  <c r="D45" i="50"/>
  <c r="E45" i="50"/>
  <c r="G45" i="50" s="1"/>
  <c r="F45" i="50"/>
  <c r="H45" i="50"/>
  <c r="C46" i="50"/>
  <c r="D46" i="50"/>
  <c r="E46" i="50"/>
  <c r="G46" i="50" s="1"/>
  <c r="F46" i="50"/>
  <c r="H46" i="50"/>
  <c r="C47" i="50"/>
  <c r="D47" i="50"/>
  <c r="E47" i="50"/>
  <c r="G47" i="50" s="1"/>
  <c r="F47" i="50"/>
  <c r="H47" i="50"/>
  <c r="C48" i="50"/>
  <c r="D48" i="50"/>
  <c r="E48" i="50"/>
  <c r="G48" i="50" s="1"/>
  <c r="F48" i="50"/>
  <c r="H48" i="50"/>
  <c r="C49" i="50"/>
  <c r="D49" i="50"/>
  <c r="E49" i="50"/>
  <c r="G49" i="50" s="1"/>
  <c r="F49" i="50"/>
  <c r="H49" i="50"/>
  <c r="C50" i="50"/>
  <c r="D50" i="50"/>
  <c r="E50" i="50"/>
  <c r="G50" i="50" s="1"/>
  <c r="F50" i="50"/>
  <c r="H50" i="50"/>
  <c r="C51" i="50"/>
  <c r="D51" i="50"/>
  <c r="E51" i="50"/>
  <c r="G51" i="50" s="1"/>
  <c r="F51" i="50"/>
  <c r="H51" i="50"/>
  <c r="C52" i="50"/>
  <c r="D52" i="50"/>
  <c r="E52" i="50"/>
  <c r="G52" i="50" s="1"/>
  <c r="F52" i="50"/>
  <c r="H52" i="50"/>
  <c r="C53" i="50"/>
  <c r="D53" i="50"/>
  <c r="E53" i="50"/>
  <c r="G53" i="50" s="1"/>
  <c r="F53" i="50"/>
  <c r="H53" i="50"/>
  <c r="C54" i="50"/>
  <c r="D54" i="50"/>
  <c r="E54" i="50"/>
  <c r="G54" i="50" s="1"/>
  <c r="F54" i="50"/>
  <c r="H54" i="50"/>
  <c r="C55" i="50"/>
  <c r="D55" i="50"/>
  <c r="E55" i="50"/>
  <c r="G55" i="50" s="1"/>
  <c r="F55" i="50"/>
  <c r="H55" i="50"/>
  <c r="C56" i="50"/>
  <c r="D56" i="50"/>
  <c r="E56" i="50"/>
  <c r="G56" i="50" s="1"/>
  <c r="F56" i="50"/>
  <c r="H56" i="50"/>
  <c r="C57" i="50"/>
  <c r="D57" i="50"/>
  <c r="E57" i="50"/>
  <c r="G57" i="50" s="1"/>
  <c r="F57" i="50"/>
  <c r="H57" i="50"/>
  <c r="C58" i="50"/>
  <c r="D58" i="50"/>
  <c r="E58" i="50"/>
  <c r="G58" i="50" s="1"/>
  <c r="F58" i="50"/>
  <c r="H58" i="50"/>
  <c r="E15" i="50"/>
  <c r="H15" i="50"/>
  <c r="F15" i="50"/>
  <c r="D15" i="50"/>
  <c r="C15" i="50"/>
  <c r="E16" i="49"/>
  <c r="F16" i="49"/>
  <c r="G16" i="49" s="1"/>
  <c r="H16" i="49"/>
  <c r="E17" i="49"/>
  <c r="F17" i="49"/>
  <c r="G17" i="49" s="1"/>
  <c r="H17" i="49"/>
  <c r="E18" i="49"/>
  <c r="G18" i="49" s="1"/>
  <c r="F18" i="49"/>
  <c r="H18" i="49"/>
  <c r="E19" i="49"/>
  <c r="F19" i="49"/>
  <c r="G19" i="49" s="1"/>
  <c r="H19" i="49"/>
  <c r="E20" i="49"/>
  <c r="F20" i="49"/>
  <c r="G20" i="49" s="1"/>
  <c r="H20" i="49"/>
  <c r="E21" i="49"/>
  <c r="G21" i="49" s="1"/>
  <c r="F21" i="49"/>
  <c r="H21" i="49"/>
  <c r="E22" i="49"/>
  <c r="F22" i="49"/>
  <c r="G22" i="49" s="1"/>
  <c r="H22" i="49"/>
  <c r="E23" i="49"/>
  <c r="F23" i="49"/>
  <c r="G23" i="49" s="1"/>
  <c r="H23" i="49"/>
  <c r="E24" i="49"/>
  <c r="G24" i="49" s="1"/>
  <c r="F24" i="49"/>
  <c r="H24" i="49"/>
  <c r="E25" i="49"/>
  <c r="F25" i="49"/>
  <c r="G25" i="49" s="1"/>
  <c r="H25" i="49"/>
  <c r="E26" i="49"/>
  <c r="F26" i="49"/>
  <c r="G26" i="49" s="1"/>
  <c r="H26" i="49"/>
  <c r="E27" i="49"/>
  <c r="G27" i="49" s="1"/>
  <c r="F27" i="49"/>
  <c r="H27" i="49"/>
  <c r="E28" i="49"/>
  <c r="F28" i="49"/>
  <c r="G28" i="49" s="1"/>
  <c r="H28" i="49"/>
  <c r="E29" i="49"/>
  <c r="F29" i="49"/>
  <c r="G29" i="49" s="1"/>
  <c r="H29" i="49"/>
  <c r="E30" i="49"/>
  <c r="G30" i="49" s="1"/>
  <c r="F30" i="49"/>
  <c r="H30" i="49"/>
  <c r="E31" i="49"/>
  <c r="F31" i="49"/>
  <c r="G31" i="49" s="1"/>
  <c r="H31" i="49"/>
  <c r="E32" i="49"/>
  <c r="F32" i="49"/>
  <c r="G32" i="49" s="1"/>
  <c r="H32" i="49"/>
  <c r="E33" i="49"/>
  <c r="G33" i="49" s="1"/>
  <c r="F33" i="49"/>
  <c r="H33" i="49"/>
  <c r="E34" i="49"/>
  <c r="F34" i="49"/>
  <c r="G34" i="49" s="1"/>
  <c r="H34" i="49"/>
  <c r="E35" i="49"/>
  <c r="F35" i="49"/>
  <c r="G35" i="49" s="1"/>
  <c r="H35" i="49"/>
  <c r="E36" i="49"/>
  <c r="G36" i="49" s="1"/>
  <c r="F36" i="49"/>
  <c r="H36" i="49"/>
  <c r="E37" i="49"/>
  <c r="F37" i="49"/>
  <c r="G37" i="49" s="1"/>
  <c r="H37" i="49"/>
  <c r="E38" i="49"/>
  <c r="F38" i="49"/>
  <c r="G38" i="49" s="1"/>
  <c r="H38" i="49"/>
  <c r="E39" i="49"/>
  <c r="G39" i="49" s="1"/>
  <c r="F39" i="49"/>
  <c r="H39" i="49"/>
  <c r="E40" i="49"/>
  <c r="F40" i="49"/>
  <c r="G40" i="49" s="1"/>
  <c r="H40" i="49"/>
  <c r="E41" i="49"/>
  <c r="G41" i="49" s="1"/>
  <c r="F41" i="49"/>
  <c r="H41" i="49"/>
  <c r="E42" i="49"/>
  <c r="G42" i="49" s="1"/>
  <c r="F42" i="49"/>
  <c r="H42" i="49"/>
  <c r="E43" i="49"/>
  <c r="F43" i="49"/>
  <c r="G43" i="49" s="1"/>
  <c r="H43" i="49"/>
  <c r="E44" i="49"/>
  <c r="F44" i="49"/>
  <c r="G44" i="49" s="1"/>
  <c r="H44" i="49"/>
  <c r="E45" i="49"/>
  <c r="G45" i="49" s="1"/>
  <c r="F45" i="49"/>
  <c r="H45" i="49"/>
  <c r="E46" i="49"/>
  <c r="F46" i="49"/>
  <c r="G46" i="49" s="1"/>
  <c r="H46" i="49"/>
  <c r="E47" i="49"/>
  <c r="G47" i="49" s="1"/>
  <c r="F47" i="49"/>
  <c r="H47" i="49"/>
  <c r="E48" i="49"/>
  <c r="G48" i="49" s="1"/>
  <c r="F48" i="49"/>
  <c r="H48" i="49"/>
  <c r="E49" i="49"/>
  <c r="F49" i="49"/>
  <c r="G49" i="49" s="1"/>
  <c r="H49" i="49"/>
  <c r="E50" i="49"/>
  <c r="G50" i="49" s="1"/>
  <c r="F50" i="49"/>
  <c r="H50" i="49"/>
  <c r="E51" i="49"/>
  <c r="G51" i="49" s="1"/>
  <c r="F51" i="49"/>
  <c r="H51" i="49"/>
  <c r="E52" i="49"/>
  <c r="F52" i="49"/>
  <c r="G52" i="49" s="1"/>
  <c r="H52" i="49"/>
  <c r="E53" i="49"/>
  <c r="G53" i="49" s="1"/>
  <c r="F53" i="49"/>
  <c r="H53" i="49"/>
  <c r="E54" i="49"/>
  <c r="G54" i="49" s="1"/>
  <c r="F54" i="49"/>
  <c r="H54" i="49"/>
  <c r="E55" i="49"/>
  <c r="F55" i="49"/>
  <c r="G55" i="49" s="1"/>
  <c r="H55" i="49"/>
  <c r="E56" i="49"/>
  <c r="G56" i="49" s="1"/>
  <c r="F56" i="49"/>
  <c r="H56" i="49"/>
  <c r="E57" i="49"/>
  <c r="G57" i="49" s="1"/>
  <c r="F57" i="49"/>
  <c r="H57" i="49"/>
  <c r="E58" i="49"/>
  <c r="F58" i="49"/>
  <c r="G58" i="49" s="1"/>
  <c r="H58" i="49"/>
  <c r="E15" i="49"/>
  <c r="H15" i="49"/>
  <c r="D58" i="49"/>
  <c r="C58" i="49"/>
  <c r="D57" i="49"/>
  <c r="C57" i="49"/>
  <c r="D56" i="49"/>
  <c r="C56" i="49"/>
  <c r="D55" i="49"/>
  <c r="C55" i="49"/>
  <c r="D54" i="49"/>
  <c r="C54" i="49"/>
  <c r="D53" i="49"/>
  <c r="C53" i="49"/>
  <c r="D52" i="49"/>
  <c r="C52" i="49"/>
  <c r="D51" i="49"/>
  <c r="C51" i="49"/>
  <c r="D50" i="49"/>
  <c r="C50" i="49"/>
  <c r="D49" i="49"/>
  <c r="C49" i="49"/>
  <c r="D48" i="49"/>
  <c r="C48" i="49"/>
  <c r="D47" i="49"/>
  <c r="C47" i="49"/>
  <c r="D46" i="49"/>
  <c r="C46" i="49"/>
  <c r="D45" i="49"/>
  <c r="C45" i="49"/>
  <c r="D44" i="49"/>
  <c r="C44" i="49"/>
  <c r="D43" i="49"/>
  <c r="C43" i="49"/>
  <c r="D42" i="49"/>
  <c r="C42" i="49"/>
  <c r="D41" i="49"/>
  <c r="C41" i="49"/>
  <c r="D40" i="49"/>
  <c r="C40" i="49"/>
  <c r="D39" i="49"/>
  <c r="C39" i="49"/>
  <c r="D38" i="49"/>
  <c r="C38" i="49"/>
  <c r="D37" i="49"/>
  <c r="C37" i="49"/>
  <c r="D36" i="49"/>
  <c r="C36" i="49"/>
  <c r="D35" i="49"/>
  <c r="C35" i="49"/>
  <c r="D34" i="49"/>
  <c r="C34" i="49"/>
  <c r="D33" i="49"/>
  <c r="C33" i="49"/>
  <c r="D32" i="49"/>
  <c r="C32" i="49"/>
  <c r="D31" i="49"/>
  <c r="C31" i="49"/>
  <c r="D30" i="49"/>
  <c r="C30" i="49"/>
  <c r="D29" i="49"/>
  <c r="C29" i="49"/>
  <c r="D28" i="49"/>
  <c r="C28" i="49"/>
  <c r="D27" i="49"/>
  <c r="C27" i="49"/>
  <c r="D26" i="49"/>
  <c r="C26" i="49"/>
  <c r="D25" i="49"/>
  <c r="C25" i="49"/>
  <c r="D24" i="49"/>
  <c r="C24" i="49"/>
  <c r="D23" i="49"/>
  <c r="C23" i="49"/>
  <c r="D22" i="49"/>
  <c r="C22" i="49"/>
  <c r="D21" i="49"/>
  <c r="C21" i="49"/>
  <c r="D20" i="49"/>
  <c r="C20" i="49"/>
  <c r="D19" i="49"/>
  <c r="C19" i="49"/>
  <c r="D18" i="49"/>
  <c r="C18" i="49"/>
  <c r="D17" i="49"/>
  <c r="C17" i="49"/>
  <c r="D16" i="49"/>
  <c r="C16" i="49"/>
  <c r="F15" i="49"/>
  <c r="D15" i="49"/>
  <c r="C15" i="49"/>
  <c r="E16" i="48"/>
  <c r="E17" i="48"/>
  <c r="E18" i="48"/>
  <c r="E19" i="48"/>
  <c r="G19" i="48" s="1"/>
  <c r="E20" i="48"/>
  <c r="G20" i="48" s="1"/>
  <c r="E21" i="48"/>
  <c r="E22" i="48"/>
  <c r="E23" i="48"/>
  <c r="E24" i="48"/>
  <c r="E25" i="48"/>
  <c r="G25" i="48" s="1"/>
  <c r="E26" i="48"/>
  <c r="G26" i="48" s="1"/>
  <c r="E27" i="48"/>
  <c r="G27" i="48" s="1"/>
  <c r="E28" i="48"/>
  <c r="E29" i="48"/>
  <c r="E30" i="48"/>
  <c r="E31" i="48"/>
  <c r="G31" i="48" s="1"/>
  <c r="E32" i="48"/>
  <c r="G32" i="48" s="1"/>
  <c r="E33" i="48"/>
  <c r="E34" i="48"/>
  <c r="E35" i="48"/>
  <c r="E36" i="48"/>
  <c r="E37" i="48"/>
  <c r="G37" i="48" s="1"/>
  <c r="E38" i="48"/>
  <c r="G38" i="48" s="1"/>
  <c r="E39" i="48"/>
  <c r="E40" i="48"/>
  <c r="E41" i="48"/>
  <c r="E42" i="48"/>
  <c r="E43" i="48"/>
  <c r="G43" i="48" s="1"/>
  <c r="E44" i="48"/>
  <c r="G44" i="48" s="1"/>
  <c r="E45" i="48"/>
  <c r="E46" i="48"/>
  <c r="E47" i="48"/>
  <c r="E48" i="48"/>
  <c r="E49" i="48"/>
  <c r="G49" i="48" s="1"/>
  <c r="E50" i="48"/>
  <c r="G50" i="48" s="1"/>
  <c r="E51" i="48"/>
  <c r="E52" i="48"/>
  <c r="E53" i="48"/>
  <c r="E54" i="48"/>
  <c r="E55" i="48"/>
  <c r="G55" i="48" s="1"/>
  <c r="E56" i="48"/>
  <c r="G56" i="48" s="1"/>
  <c r="E57" i="48"/>
  <c r="E58" i="48"/>
  <c r="E15" i="48"/>
  <c r="C16" i="48"/>
  <c r="D16" i="48"/>
  <c r="G16" i="48"/>
  <c r="F16" i="48"/>
  <c r="H16" i="48"/>
  <c r="C17" i="48"/>
  <c r="D17" i="48"/>
  <c r="G17" i="48"/>
  <c r="F17" i="48"/>
  <c r="H17" i="48"/>
  <c r="C18" i="48"/>
  <c r="D18" i="48"/>
  <c r="G18" i="48"/>
  <c r="F18" i="48"/>
  <c r="H18" i="48"/>
  <c r="C19" i="48"/>
  <c r="D19" i="48"/>
  <c r="F19" i="48"/>
  <c r="H19" i="48"/>
  <c r="C20" i="48"/>
  <c r="D20" i="48"/>
  <c r="F20" i="48"/>
  <c r="H20" i="48"/>
  <c r="C21" i="48"/>
  <c r="D21" i="48"/>
  <c r="G21" i="48"/>
  <c r="F21" i="48"/>
  <c r="H21" i="48"/>
  <c r="C22" i="48"/>
  <c r="D22" i="48"/>
  <c r="G22" i="48"/>
  <c r="F22" i="48"/>
  <c r="H22" i="48"/>
  <c r="C23" i="48"/>
  <c r="D23" i="48"/>
  <c r="G23" i="48"/>
  <c r="F23" i="48"/>
  <c r="H23" i="48"/>
  <c r="C24" i="48"/>
  <c r="D24" i="48"/>
  <c r="G24" i="48"/>
  <c r="F24" i="48"/>
  <c r="H24" i="48"/>
  <c r="C25" i="48"/>
  <c r="D25" i="48"/>
  <c r="F25" i="48"/>
  <c r="H25" i="48"/>
  <c r="C26" i="48"/>
  <c r="D26" i="48"/>
  <c r="F26" i="48"/>
  <c r="H26" i="48"/>
  <c r="C27" i="48"/>
  <c r="D27" i="48"/>
  <c r="F27" i="48"/>
  <c r="H27" i="48"/>
  <c r="C28" i="48"/>
  <c r="D28" i="48"/>
  <c r="G28" i="48"/>
  <c r="F28" i="48"/>
  <c r="H28" i="48"/>
  <c r="C29" i="48"/>
  <c r="D29" i="48"/>
  <c r="G29" i="48"/>
  <c r="F29" i="48"/>
  <c r="H29" i="48"/>
  <c r="C30" i="48"/>
  <c r="D30" i="48"/>
  <c r="G30" i="48"/>
  <c r="F30" i="48"/>
  <c r="H30" i="48"/>
  <c r="C31" i="48"/>
  <c r="D31" i="48"/>
  <c r="F31" i="48"/>
  <c r="H31" i="48"/>
  <c r="C32" i="48"/>
  <c r="D32" i="48"/>
  <c r="F32" i="48"/>
  <c r="H32" i="48"/>
  <c r="C33" i="48"/>
  <c r="D33" i="48"/>
  <c r="G33" i="48"/>
  <c r="F33" i="48"/>
  <c r="H33" i="48"/>
  <c r="C34" i="48"/>
  <c r="D34" i="48"/>
  <c r="G34" i="48"/>
  <c r="F34" i="48"/>
  <c r="H34" i="48"/>
  <c r="C35" i="48"/>
  <c r="D35" i="48"/>
  <c r="G35" i="48"/>
  <c r="F35" i="48"/>
  <c r="H35" i="48"/>
  <c r="C36" i="48"/>
  <c r="D36" i="48"/>
  <c r="G36" i="48"/>
  <c r="F36" i="48"/>
  <c r="H36" i="48"/>
  <c r="C37" i="48"/>
  <c r="D37" i="48"/>
  <c r="F37" i="48"/>
  <c r="H37" i="48"/>
  <c r="C38" i="48"/>
  <c r="D38" i="48"/>
  <c r="F38" i="48"/>
  <c r="H38" i="48"/>
  <c r="C39" i="48"/>
  <c r="D39" i="48"/>
  <c r="G39" i="48"/>
  <c r="F39" i="48"/>
  <c r="H39" i="48"/>
  <c r="C40" i="48"/>
  <c r="D40" i="48"/>
  <c r="G40" i="48"/>
  <c r="F40" i="48"/>
  <c r="H40" i="48"/>
  <c r="C41" i="48"/>
  <c r="D41" i="48"/>
  <c r="G41" i="48"/>
  <c r="F41" i="48"/>
  <c r="H41" i="48"/>
  <c r="C42" i="48"/>
  <c r="D42" i="48"/>
  <c r="G42" i="48"/>
  <c r="F42" i="48"/>
  <c r="H42" i="48"/>
  <c r="C43" i="48"/>
  <c r="D43" i="48"/>
  <c r="F43" i="48"/>
  <c r="H43" i="48"/>
  <c r="C44" i="48"/>
  <c r="D44" i="48"/>
  <c r="F44" i="48"/>
  <c r="H44" i="48"/>
  <c r="C45" i="48"/>
  <c r="D45" i="48"/>
  <c r="G45" i="48"/>
  <c r="F45" i="48"/>
  <c r="H45" i="48"/>
  <c r="C46" i="48"/>
  <c r="D46" i="48"/>
  <c r="G46" i="48"/>
  <c r="F46" i="48"/>
  <c r="H46" i="48"/>
  <c r="C47" i="48"/>
  <c r="D47" i="48"/>
  <c r="G47" i="48"/>
  <c r="F47" i="48"/>
  <c r="H47" i="48"/>
  <c r="C48" i="48"/>
  <c r="D48" i="48"/>
  <c r="G48" i="48"/>
  <c r="F48" i="48"/>
  <c r="H48" i="48"/>
  <c r="C49" i="48"/>
  <c r="D49" i="48"/>
  <c r="F49" i="48"/>
  <c r="H49" i="48"/>
  <c r="C50" i="48"/>
  <c r="D50" i="48"/>
  <c r="F50" i="48"/>
  <c r="H50" i="48"/>
  <c r="C51" i="48"/>
  <c r="D51" i="48"/>
  <c r="G51" i="48"/>
  <c r="F51" i="48"/>
  <c r="H51" i="48"/>
  <c r="C52" i="48"/>
  <c r="D52" i="48"/>
  <c r="G52" i="48"/>
  <c r="F52" i="48"/>
  <c r="H52" i="48"/>
  <c r="C53" i="48"/>
  <c r="D53" i="48"/>
  <c r="G53" i="48"/>
  <c r="F53" i="48"/>
  <c r="H53" i="48"/>
  <c r="C54" i="48"/>
  <c r="D54" i="48"/>
  <c r="G54" i="48"/>
  <c r="F54" i="48"/>
  <c r="H54" i="48"/>
  <c r="C55" i="48"/>
  <c r="D55" i="48"/>
  <c r="F55" i="48"/>
  <c r="H55" i="48"/>
  <c r="C56" i="48"/>
  <c r="D56" i="48"/>
  <c r="F56" i="48"/>
  <c r="H56" i="48"/>
  <c r="C57" i="48"/>
  <c r="D57" i="48"/>
  <c r="G57" i="48"/>
  <c r="F57" i="48"/>
  <c r="H57" i="48"/>
  <c r="C58" i="48"/>
  <c r="D58" i="48"/>
  <c r="G58" i="48"/>
  <c r="F58" i="48"/>
  <c r="H58" i="48"/>
  <c r="H15" i="48"/>
  <c r="F15" i="48"/>
  <c r="D15" i="48"/>
  <c r="C15" i="48"/>
  <c r="I102" i="58"/>
  <c r="I101" i="58"/>
  <c r="I100" i="58"/>
  <c r="I99" i="58"/>
  <c r="I98" i="58"/>
  <c r="I97" i="58"/>
  <c r="I96" i="58"/>
  <c r="I95" i="58"/>
  <c r="I94" i="58"/>
  <c r="I93" i="58"/>
  <c r="I92" i="58"/>
  <c r="I79" i="63"/>
  <c r="I78" i="63"/>
  <c r="I77" i="63"/>
  <c r="I76" i="63"/>
  <c r="I75" i="63"/>
  <c r="I74" i="63"/>
  <c r="I73" i="63"/>
  <c r="I72" i="63"/>
  <c r="I71" i="63"/>
  <c r="I70" i="63"/>
  <c r="I69" i="63"/>
  <c r="I68" i="63"/>
  <c r="I67" i="63"/>
  <c r="I66" i="63"/>
  <c r="I65" i="63"/>
  <c r="I64" i="63"/>
  <c r="I63" i="63"/>
  <c r="I62" i="63"/>
  <c r="I61" i="63"/>
  <c r="I60" i="63"/>
  <c r="I59" i="63"/>
  <c r="I58" i="63"/>
  <c r="I57" i="63"/>
  <c r="I56" i="63"/>
  <c r="I55" i="63"/>
  <c r="I54" i="63"/>
  <c r="I53" i="63"/>
  <c r="I52" i="63"/>
  <c r="I51" i="63"/>
  <c r="I50" i="63"/>
  <c r="I49" i="63"/>
  <c r="I48" i="63"/>
  <c r="I47" i="63"/>
  <c r="I46" i="63"/>
  <c r="I45" i="63"/>
  <c r="I44" i="63"/>
  <c r="I43" i="63"/>
  <c r="I42" i="63"/>
  <c r="I41" i="63"/>
  <c r="I40" i="63"/>
  <c r="I39" i="63"/>
  <c r="I38" i="63"/>
  <c r="I37" i="63"/>
  <c r="I36" i="63"/>
  <c r="I35" i="63"/>
  <c r="I34" i="63"/>
  <c r="I33" i="63"/>
  <c r="I32" i="63"/>
  <c r="I31" i="63"/>
  <c r="I30" i="63"/>
  <c r="I29" i="63"/>
  <c r="I28" i="63"/>
  <c r="I27" i="63"/>
  <c r="I26" i="63"/>
  <c r="I25" i="63"/>
  <c r="I24" i="63"/>
  <c r="I23" i="63"/>
  <c r="I22" i="63"/>
  <c r="H12" i="63"/>
  <c r="C12" i="63"/>
  <c r="H11" i="63"/>
  <c r="C11" i="63"/>
  <c r="H10" i="63"/>
  <c r="C9" i="63"/>
  <c r="H8" i="63"/>
  <c r="I7" i="63"/>
  <c r="F7" i="63"/>
  <c r="I21" i="62"/>
  <c r="I22" i="62"/>
  <c r="I23" i="62"/>
  <c r="I24" i="62"/>
  <c r="I25" i="62"/>
  <c r="E104" i="58"/>
  <c r="H12" i="62"/>
  <c r="C12" i="62"/>
  <c r="H11" i="62"/>
  <c r="C11" i="62"/>
  <c r="H10" i="62"/>
  <c r="C9" i="62"/>
  <c r="H8" i="62"/>
  <c r="I7" i="62"/>
  <c r="F7" i="62"/>
  <c r="H12" i="47"/>
  <c r="H11" i="47"/>
  <c r="H10" i="47"/>
  <c r="H8" i="47"/>
  <c r="I7" i="47"/>
  <c r="H12" i="61"/>
  <c r="H11" i="61"/>
  <c r="H10" i="61"/>
  <c r="H8" i="61"/>
  <c r="I7" i="61"/>
  <c r="H12" i="48"/>
  <c r="H11" i="48"/>
  <c r="H10" i="48"/>
  <c r="H8" i="48"/>
  <c r="I7" i="48"/>
  <c r="H12" i="49"/>
  <c r="H11" i="49"/>
  <c r="H10" i="49"/>
  <c r="H8" i="49"/>
  <c r="I7" i="49"/>
  <c r="H12" i="50"/>
  <c r="H11" i="50"/>
  <c r="H10" i="50"/>
  <c r="H8" i="50"/>
  <c r="I7" i="50"/>
  <c r="H12" i="51"/>
  <c r="H11" i="51"/>
  <c r="H10" i="51"/>
  <c r="H8" i="51"/>
  <c r="I7" i="51"/>
  <c r="H12" i="60"/>
  <c r="H11" i="60"/>
  <c r="H10" i="60"/>
  <c r="H8" i="60"/>
  <c r="I7" i="60"/>
  <c r="I7" i="56"/>
  <c r="C12" i="47"/>
  <c r="C11" i="47"/>
  <c r="C9" i="47"/>
  <c r="F7" i="47"/>
  <c r="C12" i="61"/>
  <c r="C11" i="61"/>
  <c r="C9" i="61"/>
  <c r="F7" i="61"/>
  <c r="C12" i="48"/>
  <c r="C11" i="48"/>
  <c r="C9" i="48"/>
  <c r="F7" i="48"/>
  <c r="C12" i="49"/>
  <c r="C11" i="49"/>
  <c r="C9" i="49"/>
  <c r="F7" i="49"/>
  <c r="C12" i="50"/>
  <c r="C11" i="50"/>
  <c r="C9" i="50"/>
  <c r="F7" i="50"/>
  <c r="C12" i="51"/>
  <c r="C11" i="51"/>
  <c r="C9" i="51"/>
  <c r="F7" i="51"/>
  <c r="C12" i="60"/>
  <c r="C11" i="60"/>
  <c r="C9" i="60"/>
  <c r="F7" i="60"/>
  <c r="C12" i="56"/>
  <c r="H12" i="56" l="1"/>
  <c r="H11" i="56"/>
  <c r="H10" i="56"/>
  <c r="C11" i="56"/>
  <c r="C9" i="56"/>
  <c r="H8" i="56"/>
  <c r="F7" i="56"/>
  <c r="G20" i="47" l="1"/>
  <c r="I55" i="61"/>
  <c r="I54" i="61"/>
  <c r="I53" i="61"/>
  <c r="I52" i="61"/>
  <c r="I51" i="61"/>
  <c r="I50" i="61"/>
  <c r="I49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56" i="56"/>
  <c r="I55" i="56"/>
  <c r="I54" i="56"/>
  <c r="I53" i="56"/>
  <c r="I52" i="56"/>
  <c r="I51" i="56"/>
  <c r="I50" i="56"/>
  <c r="I49" i="56"/>
  <c r="I48" i="56"/>
  <c r="I47" i="56"/>
  <c r="I46" i="56"/>
  <c r="I45" i="56"/>
  <c r="I44" i="56"/>
  <c r="I43" i="56"/>
  <c r="I42" i="56"/>
  <c r="I41" i="56"/>
  <c r="I40" i="56"/>
  <c r="I39" i="56"/>
  <c r="I55" i="47" l="1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151" i="48" l="1"/>
  <c r="I163" i="48"/>
  <c r="I98" i="48"/>
  <c r="I117" i="48"/>
  <c r="I90" i="50"/>
  <c r="I102" i="50"/>
  <c r="I89" i="48"/>
  <c r="I99" i="50"/>
  <c r="I56" i="50"/>
  <c r="I55" i="50"/>
  <c r="I101" i="48"/>
  <c r="I80" i="50"/>
  <c r="I63" i="48"/>
  <c r="I82" i="50"/>
  <c r="I62" i="48"/>
  <c r="I142" i="50"/>
  <c r="I161" i="50"/>
  <c r="I148" i="49"/>
  <c r="I147" i="51"/>
  <c r="I128" i="49"/>
  <c r="I138" i="51"/>
  <c r="I136" i="51"/>
  <c r="I150" i="49"/>
  <c r="I141" i="51"/>
  <c r="I140" i="49"/>
  <c r="I164" i="51"/>
  <c r="I153" i="49"/>
  <c r="I132" i="51"/>
  <c r="I131" i="49"/>
  <c r="I78" i="49"/>
  <c r="I135" i="51"/>
  <c r="I137" i="49"/>
  <c r="I61" i="51"/>
  <c r="I97" i="51"/>
  <c r="I96" i="49"/>
  <c r="I125" i="49"/>
  <c r="I126" i="49"/>
  <c r="I123" i="51"/>
  <c r="I116" i="49"/>
  <c r="I122" i="51"/>
  <c r="I124" i="49"/>
  <c r="I90" i="49"/>
  <c r="I86" i="49"/>
  <c r="I102" i="49"/>
  <c r="I154" i="51"/>
  <c r="I99" i="49"/>
  <c r="I57" i="51"/>
  <c r="I84" i="51"/>
  <c r="I74" i="49"/>
  <c r="I56" i="49"/>
  <c r="I71" i="51"/>
  <c r="I73" i="51"/>
  <c r="I55" i="49"/>
  <c r="I58" i="51"/>
  <c r="I94" i="51"/>
  <c r="I66" i="51"/>
  <c r="I105" i="49"/>
  <c r="I91" i="49"/>
  <c r="I121" i="49"/>
  <c r="I69" i="51"/>
  <c r="I68" i="49"/>
  <c r="I76" i="49"/>
  <c r="I80" i="49"/>
  <c r="I65" i="51"/>
  <c r="I64" i="49"/>
  <c r="I93" i="51"/>
  <c r="I92" i="49"/>
  <c r="I109" i="49"/>
  <c r="I82" i="49"/>
  <c r="I127" i="51"/>
  <c r="I120" i="49"/>
  <c r="I100" i="51"/>
  <c r="I77" i="51"/>
  <c r="I104" i="49"/>
  <c r="I88" i="51"/>
  <c r="I114" i="49"/>
  <c r="I111" i="49"/>
  <c r="I103" i="51"/>
  <c r="I106" i="49"/>
  <c r="I113" i="51"/>
  <c r="I149" i="51"/>
  <c r="I157" i="49"/>
  <c r="I146" i="51"/>
  <c r="I142" i="49"/>
  <c r="I156" i="51"/>
  <c r="I162" i="51"/>
  <c r="I161" i="49"/>
  <c r="I130" i="49"/>
  <c r="I158" i="49"/>
  <c r="I128" i="50"/>
  <c r="I159" i="48"/>
  <c r="I131" i="50"/>
  <c r="I137" i="50"/>
  <c r="I95" i="48"/>
  <c r="I110" i="48"/>
  <c r="I86" i="50"/>
  <c r="I145" i="48"/>
  <c r="I107" i="48"/>
  <c r="I74" i="50"/>
  <c r="I85" i="48"/>
  <c r="I72" i="48"/>
  <c r="I83" i="48"/>
  <c r="I109" i="50"/>
  <c r="I81" i="48"/>
  <c r="I111" i="50"/>
  <c r="I158" i="50"/>
  <c r="I148" i="48"/>
  <c r="I147" i="50"/>
  <c r="I128" i="48"/>
  <c r="I138" i="50"/>
  <c r="I136" i="50"/>
  <c r="I150" i="48"/>
  <c r="I141" i="50"/>
  <c r="I140" i="48"/>
  <c r="I164" i="50"/>
  <c r="I153" i="48"/>
  <c r="I132" i="50"/>
  <c r="I131" i="48"/>
  <c r="I78" i="48"/>
  <c r="I135" i="50"/>
  <c r="I137" i="48"/>
  <c r="I61" i="50"/>
  <c r="I97" i="50"/>
  <c r="I96" i="48"/>
  <c r="I125" i="48"/>
  <c r="I126" i="48"/>
  <c r="I123" i="50"/>
  <c r="I116" i="48"/>
  <c r="I122" i="50"/>
  <c r="I124" i="48"/>
  <c r="I90" i="48"/>
  <c r="I86" i="48"/>
  <c r="I102" i="48"/>
  <c r="I154" i="50"/>
  <c r="I99" i="48"/>
  <c r="I57" i="50"/>
  <c r="I84" i="50"/>
  <c r="I74" i="48"/>
  <c r="I56" i="48"/>
  <c r="I71" i="50"/>
  <c r="I73" i="50"/>
  <c r="I55" i="48"/>
  <c r="I58" i="50"/>
  <c r="I94" i="50"/>
  <c r="I66" i="50"/>
  <c r="I105" i="48"/>
  <c r="I91" i="48"/>
  <c r="I121" i="48"/>
  <c r="I69" i="50"/>
  <c r="I68" i="48"/>
  <c r="I76" i="48"/>
  <c r="I80" i="48"/>
  <c r="I65" i="50"/>
  <c r="I64" i="48"/>
  <c r="I93" i="50"/>
  <c r="I92" i="48"/>
  <c r="I109" i="48"/>
  <c r="I82" i="48"/>
  <c r="I127" i="50"/>
  <c r="I120" i="48"/>
  <c r="I100" i="50"/>
  <c r="I77" i="50"/>
  <c r="I104" i="48"/>
  <c r="I88" i="50"/>
  <c r="I114" i="48"/>
  <c r="I111" i="48"/>
  <c r="I103" i="50"/>
  <c r="I106" i="48"/>
  <c r="I113" i="50"/>
  <c r="I149" i="50"/>
  <c r="I157" i="48"/>
  <c r="I146" i="50"/>
  <c r="I142" i="48"/>
  <c r="I156" i="50"/>
  <c r="I162" i="50"/>
  <c r="I161" i="48"/>
  <c r="I130" i="48"/>
  <c r="I158" i="48"/>
  <c r="I143" i="48"/>
  <c r="I152" i="48"/>
  <c r="I78" i="50"/>
  <c r="I126" i="50"/>
  <c r="I118" i="48"/>
  <c r="I133" i="48"/>
  <c r="I108" i="48"/>
  <c r="I54" i="48"/>
  <c r="I70" i="48"/>
  <c r="I87" i="48"/>
  <c r="I68" i="50"/>
  <c r="I79" i="48"/>
  <c r="I92" i="50"/>
  <c r="I119" i="48"/>
  <c r="I160" i="51"/>
  <c r="I139" i="51"/>
  <c r="I147" i="49"/>
  <c r="I151" i="51"/>
  <c r="I138" i="49"/>
  <c r="I143" i="51"/>
  <c r="I136" i="49"/>
  <c r="I159" i="51"/>
  <c r="I141" i="49"/>
  <c r="I163" i="51"/>
  <c r="I164" i="49"/>
  <c r="I152" i="51"/>
  <c r="I132" i="49"/>
  <c r="I135" i="49"/>
  <c r="I144" i="51"/>
  <c r="I61" i="49"/>
  <c r="I98" i="51"/>
  <c r="I97" i="49"/>
  <c r="I95" i="51"/>
  <c r="I117" i="51"/>
  <c r="I123" i="49"/>
  <c r="I110" i="51"/>
  <c r="I122" i="49"/>
  <c r="I118" i="51"/>
  <c r="I59" i="51"/>
  <c r="I112" i="51"/>
  <c r="I133" i="51"/>
  <c r="I154" i="49"/>
  <c r="I89" i="51"/>
  <c r="I75" i="51"/>
  <c r="I145" i="51"/>
  <c r="I108" i="51"/>
  <c r="I57" i="49"/>
  <c r="I107" i="51"/>
  <c r="I84" i="49"/>
  <c r="I54" i="51"/>
  <c r="I70" i="51"/>
  <c r="I71" i="49"/>
  <c r="I73" i="49"/>
  <c r="I87" i="51"/>
  <c r="I58" i="49"/>
  <c r="I94" i="49"/>
  <c r="I101" i="51"/>
  <c r="I66" i="49"/>
  <c r="I85" i="51"/>
  <c r="I72" i="51"/>
  <c r="I69" i="49"/>
  <c r="I60" i="51"/>
  <c r="I83" i="51"/>
  <c r="I79" i="51"/>
  <c r="I65" i="49"/>
  <c r="I63" i="51"/>
  <c r="I93" i="49"/>
  <c r="I115" i="51"/>
  <c r="I119" i="51"/>
  <c r="I127" i="49"/>
  <c r="I62" i="51"/>
  <c r="I100" i="49"/>
  <c r="I67" i="51"/>
  <c r="I77" i="49"/>
  <c r="I81" i="51"/>
  <c r="I88" i="49"/>
  <c r="I103" i="49"/>
  <c r="I113" i="49"/>
  <c r="I155" i="51"/>
  <c r="I149" i="49"/>
  <c r="I129" i="51"/>
  <c r="I146" i="49"/>
  <c r="I156" i="49"/>
  <c r="I162" i="49"/>
  <c r="I134" i="51"/>
  <c r="I139" i="48"/>
  <c r="I140" i="50"/>
  <c r="I144" i="48"/>
  <c r="I96" i="50"/>
  <c r="I116" i="50"/>
  <c r="I112" i="48"/>
  <c r="I75" i="48"/>
  <c r="I105" i="50"/>
  <c r="I121" i="50"/>
  <c r="I76" i="50"/>
  <c r="I64" i="50"/>
  <c r="I120" i="50"/>
  <c r="I67" i="48"/>
  <c r="I114" i="50"/>
  <c r="I155" i="48"/>
  <c r="I157" i="50"/>
  <c r="I129" i="48"/>
  <c r="I134" i="48"/>
  <c r="I160" i="50"/>
  <c r="I139" i="50"/>
  <c r="I147" i="48"/>
  <c r="I151" i="50"/>
  <c r="I138" i="48"/>
  <c r="I143" i="50"/>
  <c r="I136" i="48"/>
  <c r="I159" i="50"/>
  <c r="I141" i="48"/>
  <c r="I163" i="50"/>
  <c r="I164" i="48"/>
  <c r="I152" i="50"/>
  <c r="I132" i="48"/>
  <c r="I135" i="48"/>
  <c r="I144" i="50"/>
  <c r="I61" i="48"/>
  <c r="I98" i="50"/>
  <c r="I97" i="48"/>
  <c r="I95" i="50"/>
  <c r="I117" i="50"/>
  <c r="I123" i="48"/>
  <c r="I110" i="50"/>
  <c r="I122" i="48"/>
  <c r="I118" i="50"/>
  <c r="I59" i="50"/>
  <c r="I112" i="50"/>
  <c r="I133" i="50"/>
  <c r="I154" i="48"/>
  <c r="I89" i="50"/>
  <c r="I75" i="50"/>
  <c r="I145" i="50"/>
  <c r="I108" i="50"/>
  <c r="I57" i="48"/>
  <c r="I107" i="50"/>
  <c r="I84" i="48"/>
  <c r="I54" i="50"/>
  <c r="I70" i="50"/>
  <c r="I71" i="48"/>
  <c r="I73" i="48"/>
  <c r="I87" i="50"/>
  <c r="I58" i="48"/>
  <c r="I94" i="48"/>
  <c r="I101" i="50"/>
  <c r="I66" i="48"/>
  <c r="I85" i="50"/>
  <c r="I72" i="50"/>
  <c r="I69" i="48"/>
  <c r="I60" i="50"/>
  <c r="I83" i="50"/>
  <c r="I79" i="50"/>
  <c r="I65" i="48"/>
  <c r="I63" i="50"/>
  <c r="I93" i="48"/>
  <c r="I115" i="50"/>
  <c r="I119" i="50"/>
  <c r="I127" i="48"/>
  <c r="I62" i="50"/>
  <c r="I100" i="48"/>
  <c r="I67" i="50"/>
  <c r="I77" i="48"/>
  <c r="I81" i="50"/>
  <c r="I88" i="48"/>
  <c r="I103" i="48"/>
  <c r="I113" i="48"/>
  <c r="I155" i="50"/>
  <c r="I149" i="48"/>
  <c r="I129" i="50"/>
  <c r="I146" i="48"/>
  <c r="I156" i="48"/>
  <c r="I162" i="48"/>
  <c r="I134" i="50"/>
  <c r="I160" i="48"/>
  <c r="I148" i="50"/>
  <c r="I150" i="50"/>
  <c r="I153" i="50"/>
  <c r="I125" i="50"/>
  <c r="I124" i="50"/>
  <c r="I59" i="48"/>
  <c r="I91" i="50"/>
  <c r="I60" i="48"/>
  <c r="I115" i="48"/>
  <c r="I104" i="50"/>
  <c r="I106" i="50"/>
  <c r="I130" i="50"/>
  <c r="I160" i="49"/>
  <c r="I148" i="51"/>
  <c r="I139" i="49"/>
  <c r="I128" i="51"/>
  <c r="I151" i="49"/>
  <c r="I143" i="49"/>
  <c r="I150" i="51"/>
  <c r="I159" i="49"/>
  <c r="I140" i="51"/>
  <c r="I163" i="49"/>
  <c r="I153" i="51"/>
  <c r="I152" i="49"/>
  <c r="I131" i="51"/>
  <c r="I78" i="51"/>
  <c r="I137" i="51"/>
  <c r="I144" i="49"/>
  <c r="I98" i="49"/>
  <c r="I96" i="51"/>
  <c r="I95" i="49"/>
  <c r="I125" i="51"/>
  <c r="I126" i="51"/>
  <c r="I117" i="49"/>
  <c r="I116" i="51"/>
  <c r="I110" i="49"/>
  <c r="I124" i="51"/>
  <c r="I118" i="49"/>
  <c r="I59" i="49"/>
  <c r="I112" i="49"/>
  <c r="I90" i="51"/>
  <c r="I86" i="51"/>
  <c r="I102" i="51"/>
  <c r="I133" i="49"/>
  <c r="I89" i="49"/>
  <c r="I75" i="49"/>
  <c r="I145" i="49"/>
  <c r="I99" i="51"/>
  <c r="I108" i="49"/>
  <c r="I107" i="49"/>
  <c r="I54" i="49"/>
  <c r="I74" i="51"/>
  <c r="I56" i="51"/>
  <c r="I70" i="49"/>
  <c r="I87" i="49"/>
  <c r="I55" i="51"/>
  <c r="I101" i="49"/>
  <c r="I105" i="51"/>
  <c r="I85" i="49"/>
  <c r="I91" i="51"/>
  <c r="I121" i="51"/>
  <c r="I72" i="49"/>
  <c r="I68" i="51"/>
  <c r="I60" i="49"/>
  <c r="I76" i="51"/>
  <c r="I83" i="49"/>
  <c r="I80" i="51"/>
  <c r="I79" i="49"/>
  <c r="I64" i="51"/>
  <c r="I63" i="49"/>
  <c r="I92" i="51"/>
  <c r="I109" i="51"/>
  <c r="I115" i="49"/>
  <c r="I82" i="51"/>
  <c r="I119" i="49"/>
  <c r="I120" i="51"/>
  <c r="I62" i="49"/>
  <c r="I67" i="49"/>
  <c r="I104" i="51"/>
  <c r="I81" i="49"/>
  <c r="I114" i="51"/>
  <c r="I111" i="51"/>
  <c r="I106" i="51"/>
  <c r="I155" i="49"/>
  <c r="I157" i="51"/>
  <c r="I129" i="49"/>
  <c r="I142" i="51"/>
  <c r="I161" i="51"/>
  <c r="I134" i="49"/>
  <c r="I130" i="51"/>
  <c r="I158" i="51"/>
  <c r="I42" i="60" l="1"/>
  <c r="I16" i="60"/>
  <c r="I70" i="60"/>
  <c r="I48" i="60"/>
  <c r="G22" i="56"/>
  <c r="I22" i="56"/>
  <c r="G21" i="47"/>
  <c r="I21" i="47"/>
  <c r="I49" i="60"/>
  <c r="G37" i="56"/>
  <c r="I37" i="56"/>
  <c r="I62" i="60"/>
  <c r="I21" i="56"/>
  <c r="G35" i="56"/>
  <c r="I35" i="56"/>
  <c r="I61" i="60"/>
  <c r="I24" i="60"/>
  <c r="I69" i="60"/>
  <c r="I32" i="60"/>
  <c r="I43" i="60"/>
  <c r="G24" i="56"/>
  <c r="I24" i="56"/>
  <c r="I44" i="60"/>
  <c r="I23" i="60"/>
  <c r="I31" i="60"/>
  <c r="I19" i="60"/>
  <c r="I51" i="60"/>
  <c r="I20" i="47"/>
  <c r="I41" i="60"/>
  <c r="I54" i="60"/>
  <c r="I39" i="60"/>
  <c r="I26" i="60"/>
  <c r="G33" i="56"/>
  <c r="I33" i="56"/>
  <c r="I20" i="60"/>
  <c r="G38" i="56"/>
  <c r="I38" i="56"/>
  <c r="I66" i="60"/>
  <c r="I22" i="60"/>
  <c r="I50" i="60"/>
  <c r="G31" i="56"/>
  <c r="I31" i="56"/>
  <c r="I45" i="60"/>
  <c r="I38" i="60"/>
  <c r="I37" i="60"/>
  <c r="I73" i="60"/>
  <c r="I27" i="60"/>
  <c r="I29" i="60"/>
  <c r="G22" i="47"/>
  <c r="I22" i="47"/>
  <c r="I33" i="60"/>
  <c r="G23" i="47"/>
  <c r="I23" i="47"/>
  <c r="I53" i="60"/>
  <c r="I55" i="60"/>
  <c r="G29" i="56"/>
  <c r="I29" i="56"/>
  <c r="I64" i="60"/>
  <c r="I71" i="60"/>
  <c r="I18" i="60"/>
  <c r="I67" i="60"/>
  <c r="I46" i="60"/>
  <c r="I57" i="60"/>
  <c r="G34" i="56"/>
  <c r="I34" i="56"/>
  <c r="I28" i="60"/>
  <c r="G23" i="56"/>
  <c r="I23" i="56"/>
  <c r="I17" i="60"/>
  <c r="I52" i="60"/>
  <c r="I63" i="60"/>
  <c r="I72" i="60"/>
  <c r="G27" i="56"/>
  <c r="I27" i="56"/>
  <c r="I56" i="60"/>
  <c r="I58" i="60"/>
  <c r="I26" i="56"/>
  <c r="G26" i="56"/>
  <c r="I32" i="56"/>
  <c r="G32" i="56"/>
  <c r="I25" i="60"/>
  <c r="I60" i="60"/>
  <c r="G28" i="56"/>
  <c r="I28" i="56"/>
  <c r="I59" i="60"/>
  <c r="I65" i="60"/>
  <c r="G30" i="56"/>
  <c r="I30" i="56"/>
  <c r="I35" i="60"/>
  <c r="I36" i="60"/>
  <c r="G25" i="56"/>
  <c r="I25" i="56"/>
  <c r="I30" i="60"/>
  <c r="I34" i="60"/>
  <c r="I40" i="60"/>
  <c r="G36" i="56"/>
  <c r="I36" i="56"/>
  <c r="I47" i="60"/>
  <c r="I68" i="60"/>
  <c r="I21" i="60"/>
  <c r="I39" i="48" l="1"/>
  <c r="I39" i="49"/>
  <c r="I21" i="63"/>
  <c r="I39" i="50" l="1"/>
  <c r="I39" i="51"/>
  <c r="I20" i="63" l="1"/>
  <c r="F16" i="47" l="1"/>
  <c r="F16" i="56"/>
  <c r="F17" i="61"/>
  <c r="F26" i="58"/>
  <c r="H26" i="58"/>
  <c r="F27" i="58"/>
  <c r="H27" i="58"/>
  <c r="F28" i="58"/>
  <c r="H28" i="58"/>
  <c r="F29" i="58"/>
  <c r="H29" i="58"/>
  <c r="F30" i="58"/>
  <c r="H30" i="58"/>
  <c r="F31" i="58"/>
  <c r="H31" i="58"/>
  <c r="F32" i="58"/>
  <c r="H32" i="58"/>
  <c r="F33" i="58"/>
  <c r="H33" i="58"/>
  <c r="F34" i="58"/>
  <c r="H34" i="58"/>
  <c r="F35" i="58"/>
  <c r="H35" i="58"/>
  <c r="F36" i="58"/>
  <c r="H36" i="58"/>
  <c r="F37" i="58"/>
  <c r="H37" i="58"/>
  <c r="F18" i="61"/>
  <c r="F39" i="58"/>
  <c r="H39" i="58"/>
  <c r="F40" i="58"/>
  <c r="H40" i="58"/>
  <c r="F17" i="56"/>
  <c r="F16" i="63"/>
  <c r="F43" i="58"/>
  <c r="H43" i="58"/>
  <c r="F17" i="63"/>
  <c r="F45" i="58"/>
  <c r="H45" i="58"/>
  <c r="F46" i="58"/>
  <c r="H46" i="58"/>
  <c r="F19" i="61"/>
  <c r="F48" i="58"/>
  <c r="H48" i="58"/>
  <c r="F20" i="61"/>
  <c r="F21" i="61"/>
  <c r="F51" i="58"/>
  <c r="H51" i="58"/>
  <c r="F53" i="58"/>
  <c r="H53" i="58"/>
  <c r="F22" i="61"/>
  <c r="F55" i="58"/>
  <c r="H55" i="58"/>
  <c r="F56" i="58"/>
  <c r="H56" i="58"/>
  <c r="F57" i="58"/>
  <c r="H57" i="58"/>
  <c r="F58" i="58"/>
  <c r="H58" i="58"/>
  <c r="F16" i="62"/>
  <c r="F61" i="58"/>
  <c r="H61" i="58"/>
  <c r="F62" i="58"/>
  <c r="H62" i="58"/>
  <c r="F63" i="58"/>
  <c r="H63" i="58"/>
  <c r="F64" i="58"/>
  <c r="H64" i="58"/>
  <c r="F18" i="56"/>
  <c r="F66" i="58"/>
  <c r="H66" i="58"/>
  <c r="F18" i="63"/>
  <c r="F69" i="58"/>
  <c r="H69" i="58"/>
  <c r="F17" i="47"/>
  <c r="F72" i="58"/>
  <c r="H72" i="58"/>
  <c r="F73" i="58"/>
  <c r="H73" i="58"/>
  <c r="F74" i="58"/>
  <c r="H74" i="58"/>
  <c r="F75" i="58"/>
  <c r="H75" i="58"/>
  <c r="F76" i="58"/>
  <c r="H76" i="58"/>
  <c r="F78" i="58"/>
  <c r="H78" i="58"/>
  <c r="F19" i="62"/>
  <c r="F23" i="61"/>
  <c r="F19" i="63"/>
  <c r="F83" i="58"/>
  <c r="H83" i="58"/>
  <c r="F24" i="61"/>
  <c r="F85" i="58"/>
  <c r="H85" i="58"/>
  <c r="F87" i="58"/>
  <c r="H87" i="58"/>
  <c r="F88" i="58"/>
  <c r="H88" i="58"/>
  <c r="F18" i="47"/>
  <c r="F19" i="47"/>
  <c r="H15" i="58"/>
  <c r="H18" i="58"/>
  <c r="H19" i="58"/>
  <c r="H80" i="58"/>
  <c r="F15" i="58"/>
  <c r="F15" i="61"/>
  <c r="F15" i="63"/>
  <c r="F18" i="58"/>
  <c r="F19" i="58"/>
  <c r="F15" i="56"/>
  <c r="F16" i="61"/>
  <c r="F80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18" i="61"/>
  <c r="D39" i="58"/>
  <c r="D40" i="58"/>
  <c r="D17" i="56"/>
  <c r="D16" i="63"/>
  <c r="D43" i="58"/>
  <c r="D17" i="63"/>
  <c r="D45" i="58"/>
  <c r="D46" i="58"/>
  <c r="D19" i="61"/>
  <c r="D48" i="58"/>
  <c r="D20" i="61"/>
  <c r="D21" i="61"/>
  <c r="D51" i="58"/>
  <c r="D53" i="58"/>
  <c r="D22" i="61"/>
  <c r="D55" i="58"/>
  <c r="D56" i="58"/>
  <c r="D57" i="58"/>
  <c r="D58" i="58"/>
  <c r="D16" i="62"/>
  <c r="D61" i="58"/>
  <c r="D62" i="58"/>
  <c r="D63" i="58"/>
  <c r="D64" i="58"/>
  <c r="D18" i="56"/>
  <c r="D66" i="58"/>
  <c r="D18" i="63"/>
  <c r="D69" i="58"/>
  <c r="D17" i="47"/>
  <c r="D72" i="58"/>
  <c r="D73" i="58"/>
  <c r="D74" i="58"/>
  <c r="D75" i="58"/>
  <c r="D76" i="58"/>
  <c r="D78" i="58"/>
  <c r="D19" i="62"/>
  <c r="D23" i="61"/>
  <c r="D19" i="63"/>
  <c r="D83" i="58"/>
  <c r="D24" i="61"/>
  <c r="D85" i="58"/>
  <c r="D87" i="58"/>
  <c r="D88" i="58"/>
  <c r="D18" i="47"/>
  <c r="D19" i="47"/>
  <c r="D15" i="58"/>
  <c r="D15" i="61"/>
  <c r="D15" i="63"/>
  <c r="D18" i="58"/>
  <c r="D19" i="58"/>
  <c r="D15" i="56"/>
  <c r="D16" i="61"/>
  <c r="D80" i="58"/>
  <c r="D15" i="47"/>
  <c r="D16" i="47"/>
  <c r="D16" i="56"/>
  <c r="H90" i="58" l="1"/>
  <c r="H19" i="47"/>
  <c r="H70" i="58"/>
  <c r="H17" i="47"/>
  <c r="H89" i="58"/>
  <c r="H18" i="47"/>
  <c r="H23" i="58"/>
  <c r="H16" i="47"/>
  <c r="D15" i="60"/>
  <c r="H49" i="58"/>
  <c r="H20" i="61"/>
  <c r="H54" i="58"/>
  <c r="H22" i="61"/>
  <c r="H21" i="58"/>
  <c r="H16" i="61"/>
  <c r="F15" i="60"/>
  <c r="H25" i="58"/>
  <c r="H17" i="61"/>
  <c r="H16" i="58"/>
  <c r="H15" i="61"/>
  <c r="H84" i="58"/>
  <c r="H24" i="61"/>
  <c r="H81" i="58"/>
  <c r="H23" i="61"/>
  <c r="H50" i="58"/>
  <c r="H21" i="61"/>
  <c r="H47" i="58"/>
  <c r="H19" i="61"/>
  <c r="H38" i="58"/>
  <c r="H18" i="61"/>
  <c r="H71" i="58"/>
  <c r="H15" i="60"/>
  <c r="H82" i="58"/>
  <c r="H19" i="63"/>
  <c r="H42" i="58"/>
  <c r="H16" i="63"/>
  <c r="H44" i="58"/>
  <c r="H17" i="63"/>
  <c r="H67" i="58"/>
  <c r="H18" i="63"/>
  <c r="H17" i="58"/>
  <c r="H15" i="63"/>
  <c r="H24" i="58"/>
  <c r="H16" i="56"/>
  <c r="D86" i="58"/>
  <c r="D20" i="56"/>
  <c r="H20" i="58"/>
  <c r="H15" i="56"/>
  <c r="H68" i="58"/>
  <c r="H19" i="56"/>
  <c r="H41" i="58"/>
  <c r="H17" i="56"/>
  <c r="D68" i="58"/>
  <c r="D19" i="56"/>
  <c r="F86" i="58"/>
  <c r="F20" i="56"/>
  <c r="H65" i="58"/>
  <c r="H18" i="56"/>
  <c r="F68" i="58"/>
  <c r="F19" i="56"/>
  <c r="H86" i="58"/>
  <c r="H20" i="56"/>
  <c r="H91" i="58"/>
  <c r="H20" i="62"/>
  <c r="H77" i="58"/>
  <c r="H18" i="62"/>
  <c r="H59" i="58"/>
  <c r="H16" i="62"/>
  <c r="F91" i="58"/>
  <c r="F20" i="62"/>
  <c r="D91" i="58"/>
  <c r="D20" i="62"/>
  <c r="H79" i="58"/>
  <c r="H19" i="62"/>
  <c r="H60" i="58"/>
  <c r="H17" i="62"/>
  <c r="F60" i="58"/>
  <c r="F17" i="62"/>
  <c r="D60" i="58"/>
  <c r="D17" i="62"/>
  <c r="F77" i="58"/>
  <c r="F18" i="62"/>
  <c r="D77" i="58"/>
  <c r="D18" i="62"/>
  <c r="H52" i="58"/>
  <c r="H15" i="62"/>
  <c r="D52" i="58"/>
  <c r="D15" i="62"/>
  <c r="F52" i="58"/>
  <c r="F15" i="62"/>
  <c r="D54" i="58"/>
  <c r="D42" i="58"/>
  <c r="F16" i="58"/>
  <c r="F84" i="58"/>
  <c r="D22" i="58"/>
  <c r="D89" i="58"/>
  <c r="D82" i="58"/>
  <c r="D17" i="58"/>
  <c r="D81" i="58"/>
  <c r="D50" i="58"/>
  <c r="D44" i="58"/>
  <c r="D38" i="58"/>
  <c r="F89" i="58"/>
  <c r="F82" i="58"/>
  <c r="F54" i="58"/>
  <c r="F42" i="58"/>
  <c r="F24" i="58"/>
  <c r="D16" i="58"/>
  <c r="D79" i="58"/>
  <c r="D67" i="58"/>
  <c r="D49" i="58"/>
  <c r="F17" i="58"/>
  <c r="D21" i="58"/>
  <c r="F81" i="58"/>
  <c r="F71" i="58"/>
  <c r="F65" i="58"/>
  <c r="F59" i="58"/>
  <c r="F50" i="58"/>
  <c r="F47" i="58"/>
  <c r="F44" i="58"/>
  <c r="F41" i="58"/>
  <c r="F38" i="58"/>
  <c r="F23" i="58"/>
  <c r="D24" i="58"/>
  <c r="D20" i="58"/>
  <c r="D84" i="58"/>
  <c r="D71" i="58"/>
  <c r="D65" i="58"/>
  <c r="D59" i="58"/>
  <c r="D47" i="58"/>
  <c r="D41" i="58"/>
  <c r="F21" i="58"/>
  <c r="D23" i="58"/>
  <c r="D90" i="58"/>
  <c r="D70" i="58"/>
  <c r="F20" i="58"/>
  <c r="F90" i="58"/>
  <c r="F79" i="58"/>
  <c r="F70" i="58"/>
  <c r="F67" i="58"/>
  <c r="F49" i="58"/>
  <c r="F25" i="58"/>
  <c r="D17" i="61"/>
  <c r="D25" i="58" l="1"/>
  <c r="I38" i="48"/>
  <c r="I37" i="48"/>
  <c r="I42" i="48"/>
  <c r="I52" i="48"/>
  <c r="I53" i="48"/>
  <c r="I50" i="48"/>
  <c r="I36" i="48"/>
  <c r="I32" i="48"/>
  <c r="I51" i="48"/>
  <c r="I33" i="48"/>
  <c r="I43" i="48"/>
  <c r="I35" i="48"/>
  <c r="I25" i="48" l="1"/>
  <c r="I28" i="48"/>
  <c r="I29" i="48"/>
  <c r="I21" i="48"/>
  <c r="I22" i="48"/>
  <c r="I26" i="48"/>
  <c r="I30" i="48"/>
  <c r="I27" i="48"/>
  <c r="I20" i="48"/>
  <c r="I16" i="48"/>
  <c r="G15" i="48"/>
  <c r="I15" i="48"/>
  <c r="I32" i="49"/>
  <c r="I36" i="49"/>
  <c r="I51" i="49"/>
  <c r="I51" i="50"/>
  <c r="I50" i="49"/>
  <c r="I37" i="49"/>
  <c r="I38" i="49"/>
  <c r="I33" i="49"/>
  <c r="I42" i="49"/>
  <c r="I35" i="50"/>
  <c r="I35" i="49"/>
  <c r="I53" i="49"/>
  <c r="I52" i="50"/>
  <c r="I52" i="49"/>
  <c r="I43" i="49"/>
  <c r="I36" i="50"/>
  <c r="I32" i="50"/>
  <c r="I22" i="49" l="1"/>
  <c r="I29" i="49"/>
  <c r="I30" i="50"/>
  <c r="I28" i="50"/>
  <c r="I28" i="49"/>
  <c r="G15" i="49"/>
  <c r="I15" i="49"/>
  <c r="I16" i="49"/>
  <c r="I30" i="49"/>
  <c r="I26" i="49"/>
  <c r="I20" i="49"/>
  <c r="I29" i="50"/>
  <c r="I27" i="49"/>
  <c r="I21" i="49"/>
  <c r="I25" i="49"/>
  <c r="I27" i="50"/>
  <c r="I33" i="50"/>
  <c r="E20" i="56"/>
  <c r="E16" i="61"/>
  <c r="I43" i="50"/>
  <c r="I53" i="50"/>
  <c r="I38" i="50"/>
  <c r="E20" i="62"/>
  <c r="E15" i="62"/>
  <c r="I50" i="50"/>
  <c r="I42" i="50"/>
  <c r="E18" i="63"/>
  <c r="E23" i="61"/>
  <c r="I38" i="51"/>
  <c r="I37" i="50"/>
  <c r="E22" i="61"/>
  <c r="G16" i="61" l="1"/>
  <c r="I16" i="61"/>
  <c r="G23" i="61"/>
  <c r="I23" i="61"/>
  <c r="G22" i="61"/>
  <c r="I22" i="61"/>
  <c r="G18" i="63"/>
  <c r="I18" i="63"/>
  <c r="G20" i="56"/>
  <c r="I20" i="56"/>
  <c r="G15" i="62"/>
  <c r="I15" i="62"/>
  <c r="G20" i="62"/>
  <c r="I20" i="62"/>
  <c r="E86" i="58"/>
  <c r="I86" i="58" s="1"/>
  <c r="E54" i="58"/>
  <c r="I54" i="58" s="1"/>
  <c r="E52" i="58"/>
  <c r="I52" i="58" s="1"/>
  <c r="E67" i="58"/>
  <c r="I67" i="58" s="1"/>
  <c r="E21" i="58"/>
  <c r="I21" i="58" s="1"/>
  <c r="E81" i="58"/>
  <c r="I81" i="58" s="1"/>
  <c r="E91" i="58"/>
  <c r="I91" i="58" s="1"/>
  <c r="I16" i="50"/>
  <c r="I51" i="51"/>
  <c r="I21" i="50"/>
  <c r="I26" i="50"/>
  <c r="I33" i="51"/>
  <c r="I20" i="50"/>
  <c r="I15" i="51"/>
  <c r="G15" i="51"/>
  <c r="I32" i="51"/>
  <c r="I20" i="51"/>
  <c r="I25" i="50"/>
  <c r="I15" i="50"/>
  <c r="G15" i="50"/>
  <c r="I22" i="50"/>
  <c r="E16" i="47"/>
  <c r="E19" i="56"/>
  <c r="E18" i="61"/>
  <c r="E18" i="62"/>
  <c r="E18" i="56"/>
  <c r="G18" i="56" s="1"/>
  <c r="E24" i="61"/>
  <c r="E18" i="47"/>
  <c r="E15" i="61"/>
  <c r="E19" i="47"/>
  <c r="E17" i="62"/>
  <c r="E15" i="56"/>
  <c r="E15" i="63"/>
  <c r="E19" i="63"/>
  <c r="G16" i="47" l="1"/>
  <c r="I16" i="47"/>
  <c r="G19" i="47"/>
  <c r="I19" i="47"/>
  <c r="G18" i="47"/>
  <c r="I18" i="47"/>
  <c r="G24" i="61"/>
  <c r="I24" i="61"/>
  <c r="G15" i="61"/>
  <c r="I15" i="61"/>
  <c r="E15" i="60"/>
  <c r="G18" i="61"/>
  <c r="I18" i="61"/>
  <c r="E71" i="58"/>
  <c r="I71" i="58" s="1"/>
  <c r="G15" i="63"/>
  <c r="I15" i="63"/>
  <c r="G19" i="63"/>
  <c r="I19" i="63"/>
  <c r="G19" i="56"/>
  <c r="I19" i="56"/>
  <c r="G15" i="56"/>
  <c r="I15" i="56"/>
  <c r="G17" i="62"/>
  <c r="I17" i="62"/>
  <c r="G18" i="62"/>
  <c r="I18" i="62"/>
  <c r="E23" i="58"/>
  <c r="I23" i="58" s="1"/>
  <c r="E28" i="58"/>
  <c r="I28" i="58" s="1"/>
  <c r="E66" i="58"/>
  <c r="I66" i="58" s="1"/>
  <c r="E78" i="58"/>
  <c r="I78" i="58" s="1"/>
  <c r="E15" i="58"/>
  <c r="I15" i="58" s="1"/>
  <c r="E76" i="58"/>
  <c r="I76" i="58" s="1"/>
  <c r="E63" i="58"/>
  <c r="I63" i="58" s="1"/>
  <c r="E16" i="58"/>
  <c r="I16" i="58" s="1"/>
  <c r="E89" i="58"/>
  <c r="I89" i="58" s="1"/>
  <c r="E19" i="58"/>
  <c r="I19" i="58" s="1"/>
  <c r="E17" i="58"/>
  <c r="I17" i="58" s="1"/>
  <c r="E20" i="58"/>
  <c r="I20" i="58" s="1"/>
  <c r="E55" i="58"/>
  <c r="I55" i="58" s="1"/>
  <c r="E60" i="58"/>
  <c r="I60" i="58" s="1"/>
  <c r="E56" i="58"/>
  <c r="I56" i="58" s="1"/>
  <c r="E64" i="58"/>
  <c r="I64" i="58" s="1"/>
  <c r="E31" i="58"/>
  <c r="I31" i="58" s="1"/>
  <c r="E87" i="58"/>
  <c r="I87" i="58" s="1"/>
  <c r="E90" i="58"/>
  <c r="I90" i="58" s="1"/>
  <c r="E32" i="58"/>
  <c r="I32" i="58" s="1"/>
  <c r="E65" i="58"/>
  <c r="I65" i="58" s="1"/>
  <c r="E38" i="58"/>
  <c r="I38" i="58" s="1"/>
  <c r="E27" i="58"/>
  <c r="I27" i="58" s="1"/>
  <c r="E53" i="58"/>
  <c r="I53" i="58" s="1"/>
  <c r="E82" i="58"/>
  <c r="I82" i="58" s="1"/>
  <c r="E80" i="58"/>
  <c r="I80" i="58" s="1"/>
  <c r="E84" i="58"/>
  <c r="I84" i="58" s="1"/>
  <c r="E77" i="58"/>
  <c r="I77" i="58" s="1"/>
  <c r="E68" i="58"/>
  <c r="I68" i="58" s="1"/>
  <c r="I52" i="51"/>
  <c r="I30" i="51"/>
  <c r="I28" i="51"/>
  <c r="I36" i="51"/>
  <c r="I53" i="51"/>
  <c r="I35" i="51"/>
  <c r="I37" i="51"/>
  <c r="I50" i="51"/>
  <c r="I43" i="51"/>
  <c r="I42" i="51"/>
  <c r="I27" i="51"/>
  <c r="F15" i="47"/>
  <c r="H22" i="58" l="1"/>
  <c r="H15" i="47"/>
  <c r="I15" i="60"/>
  <c r="G15" i="60"/>
  <c r="E75" i="60" s="1"/>
  <c r="E29" i="58"/>
  <c r="I29" i="58" s="1"/>
  <c r="E58" i="58"/>
  <c r="I58" i="58" s="1"/>
  <c r="E69" i="58"/>
  <c r="I69" i="58" s="1"/>
  <c r="E88" i="58"/>
  <c r="I88" i="58" s="1"/>
  <c r="E39" i="58"/>
  <c r="I39" i="58" s="1"/>
  <c r="E18" i="58"/>
  <c r="I18" i="58" s="1"/>
  <c r="E85" i="58"/>
  <c r="I85" i="58" s="1"/>
  <c r="E83" i="58"/>
  <c r="I83" i="58" s="1"/>
  <c r="E73" i="58"/>
  <c r="I73" i="58" s="1"/>
  <c r="E72" i="58"/>
  <c r="I72" i="58" s="1"/>
  <c r="E75" i="58"/>
  <c r="I75" i="58" s="1"/>
  <c r="E74" i="58"/>
  <c r="I74" i="58" s="1"/>
  <c r="E57" i="58"/>
  <c r="I57" i="58" s="1"/>
  <c r="F22" i="58"/>
  <c r="E34" i="58"/>
  <c r="I34" i="58" s="1"/>
  <c r="I29" i="51"/>
  <c r="I16" i="51"/>
  <c r="I25" i="51"/>
  <c r="I22" i="51"/>
  <c r="I26" i="51"/>
  <c r="I21" i="51"/>
  <c r="C26" i="58"/>
  <c r="C17" i="63"/>
  <c r="C46" i="58"/>
  <c r="C15" i="56"/>
  <c r="C55" i="58"/>
  <c r="C18" i="47"/>
  <c r="C69" i="58"/>
  <c r="C17" i="61"/>
  <c r="C18" i="63"/>
  <c r="C16" i="61"/>
  <c r="C24" i="61"/>
  <c r="I74" i="60" l="1"/>
  <c r="E76" i="60"/>
  <c r="E77" i="60" s="1"/>
  <c r="C60" i="58"/>
  <c r="C17" i="62"/>
  <c r="C84" i="58"/>
  <c r="C21" i="58"/>
  <c r="C25" i="58"/>
  <c r="C89" i="58"/>
  <c r="C44" i="58"/>
  <c r="C67" i="58"/>
  <c r="C20" i="58"/>
  <c r="I18" i="56"/>
  <c r="C80" i="58"/>
  <c r="C30" i="58"/>
  <c r="C16" i="47"/>
  <c r="C37" i="58"/>
  <c r="C85" i="58"/>
  <c r="C87" i="58"/>
  <c r="C15" i="58"/>
  <c r="C34" i="58"/>
  <c r="C18" i="56"/>
  <c r="C61" i="58"/>
  <c r="C64" i="58"/>
  <c r="C63" i="58"/>
  <c r="C75" i="58"/>
  <c r="C19" i="58"/>
  <c r="C17" i="56"/>
  <c r="C32" i="58"/>
  <c r="C40" i="58"/>
  <c r="C51" i="58"/>
  <c r="C74" i="58"/>
  <c r="C28" i="58"/>
  <c r="C19" i="47"/>
  <c r="C20" i="61"/>
  <c r="C45" i="58"/>
  <c r="C21" i="61"/>
  <c r="C78" i="58"/>
  <c r="C72" i="58"/>
  <c r="C35" i="58"/>
  <c r="C39" i="58"/>
  <c r="C48" i="58"/>
  <c r="C57" i="58"/>
  <c r="C58" i="58"/>
  <c r="C16" i="62"/>
  <c r="C56" i="58"/>
  <c r="C88" i="58"/>
  <c r="C15" i="47"/>
  <c r="C15" i="63"/>
  <c r="C18" i="61"/>
  <c r="C19" i="62"/>
  <c r="C62" i="58"/>
  <c r="C19" i="63"/>
  <c r="C73" i="58"/>
  <c r="C16" i="63"/>
  <c r="C17" i="47"/>
  <c r="C16" i="56"/>
  <c r="C36" i="58"/>
  <c r="C83" i="58"/>
  <c r="C23" i="61"/>
  <c r="C18" i="58"/>
  <c r="C22" i="61"/>
  <c r="C15" i="61"/>
  <c r="C53" i="58"/>
  <c r="C76" i="58"/>
  <c r="C27" i="58"/>
  <c r="C43" i="58"/>
  <c r="C31" i="58"/>
  <c r="C19" i="61"/>
  <c r="C29" i="58"/>
  <c r="C66" i="58"/>
  <c r="C33" i="58"/>
  <c r="I40" i="48"/>
  <c r="I31" i="48"/>
  <c r="I34" i="48"/>
  <c r="I45" i="49"/>
  <c r="I47" i="48"/>
  <c r="I44" i="48"/>
  <c r="I41" i="48"/>
  <c r="I46" i="48"/>
  <c r="I45" i="48"/>
  <c r="I77" i="60" l="1"/>
  <c r="I78" i="60" s="1"/>
  <c r="I80" i="60" s="1"/>
  <c r="C15" i="60"/>
  <c r="C68" i="58"/>
  <c r="C19" i="56"/>
  <c r="C86" i="58"/>
  <c r="C20" i="56"/>
  <c r="C52" i="58"/>
  <c r="C15" i="62"/>
  <c r="C91" i="58"/>
  <c r="C20" i="62"/>
  <c r="C77" i="58"/>
  <c r="C18" i="62"/>
  <c r="C81" i="58"/>
  <c r="C59" i="58"/>
  <c r="C50" i="58"/>
  <c r="C24" i="58"/>
  <c r="C17" i="58"/>
  <c r="C70" i="58"/>
  <c r="C42" i="58"/>
  <c r="C82" i="58"/>
  <c r="C22" i="58"/>
  <c r="C49" i="58"/>
  <c r="C90" i="58"/>
  <c r="C41" i="58"/>
  <c r="C16" i="58"/>
  <c r="C47" i="58"/>
  <c r="C54" i="58"/>
  <c r="C79" i="58"/>
  <c r="C38" i="58"/>
  <c r="C71" i="58"/>
  <c r="C23" i="58"/>
  <c r="C65" i="58"/>
  <c r="I23" i="48"/>
  <c r="I49" i="48"/>
  <c r="I48" i="48"/>
  <c r="I19" i="48"/>
  <c r="I17" i="48"/>
  <c r="I48" i="49"/>
  <c r="I49" i="49"/>
  <c r="I18" i="48"/>
  <c r="I18" i="49"/>
  <c r="I24" i="48"/>
  <c r="I44" i="49"/>
  <c r="I40" i="49"/>
  <c r="I46" i="49"/>
  <c r="I41" i="50"/>
  <c r="I47" i="49"/>
  <c r="I31" i="49"/>
  <c r="I34" i="49"/>
  <c r="I45" i="51"/>
  <c r="I45" i="50"/>
  <c r="I34" i="50"/>
  <c r="I41" i="49"/>
  <c r="I34" i="51"/>
  <c r="I41" i="51"/>
  <c r="E167" i="48" l="1"/>
  <c r="I165" i="48"/>
  <c r="I48" i="51"/>
  <c r="I49" i="51"/>
  <c r="I24" i="49"/>
  <c r="E166" i="48"/>
  <c r="E168" i="48" s="1"/>
  <c r="I23" i="49"/>
  <c r="I18" i="50"/>
  <c r="I17" i="51"/>
  <c r="I17" i="49"/>
  <c r="I17" i="50"/>
  <c r="I19" i="49"/>
  <c r="I49" i="50"/>
  <c r="I48" i="50"/>
  <c r="E20" i="61"/>
  <c r="E17" i="47"/>
  <c r="I46" i="50"/>
  <c r="I40" i="51"/>
  <c r="I47" i="50"/>
  <c r="I44" i="50"/>
  <c r="E17" i="63"/>
  <c r="I46" i="51"/>
  <c r="I31" i="50"/>
  <c r="I31" i="51"/>
  <c r="E15" i="47"/>
  <c r="E16" i="63"/>
  <c r="E19" i="61"/>
  <c r="I165" i="49" l="1"/>
  <c r="E167" i="49"/>
  <c r="I168" i="48"/>
  <c r="I169" i="48" s="1"/>
  <c r="I171" i="48" s="1"/>
  <c r="G17" i="47"/>
  <c r="I17" i="47"/>
  <c r="G20" i="61"/>
  <c r="I20" i="61"/>
  <c r="G19" i="61"/>
  <c r="I19" i="61"/>
  <c r="I15" i="47"/>
  <c r="G15" i="47"/>
  <c r="E57" i="47" s="1"/>
  <c r="G16" i="63"/>
  <c r="I16" i="63"/>
  <c r="G17" i="63"/>
  <c r="I17" i="63"/>
  <c r="E33" i="58"/>
  <c r="I33" i="58" s="1"/>
  <c r="E70" i="58"/>
  <c r="I70" i="58" s="1"/>
  <c r="E42" i="58"/>
  <c r="I42" i="58" s="1"/>
  <c r="E43" i="58"/>
  <c r="I43" i="58" s="1"/>
  <c r="E47" i="58"/>
  <c r="I47" i="58" s="1"/>
  <c r="E51" i="58"/>
  <c r="I51" i="58" s="1"/>
  <c r="E22" i="58"/>
  <c r="I22" i="58" s="1"/>
  <c r="E35" i="58"/>
  <c r="I35" i="58" s="1"/>
  <c r="E44" i="58"/>
  <c r="I44" i="58" s="1"/>
  <c r="E48" i="58"/>
  <c r="I48" i="58" s="1"/>
  <c r="E49" i="58"/>
  <c r="I49" i="58" s="1"/>
  <c r="I40" i="50"/>
  <c r="I23" i="50"/>
  <c r="I24" i="51"/>
  <c r="I19" i="51"/>
  <c r="E166" i="49"/>
  <c r="E168" i="49" s="1"/>
  <c r="I24" i="50"/>
  <c r="I23" i="51"/>
  <c r="I19" i="50"/>
  <c r="I165" i="50" s="1"/>
  <c r="E21" i="61"/>
  <c r="E16" i="56"/>
  <c r="E17" i="61"/>
  <c r="E17" i="56"/>
  <c r="I168" i="50" l="1"/>
  <c r="I169" i="50" s="1"/>
  <c r="I171" i="50" s="1"/>
  <c r="E167" i="50"/>
  <c r="I168" i="49"/>
  <c r="I169" i="49" s="1"/>
  <c r="I171" i="49" s="1"/>
  <c r="G17" i="61"/>
  <c r="I17" i="61"/>
  <c r="I56" i="47"/>
  <c r="E58" i="47"/>
  <c r="E59" i="47" s="1"/>
  <c r="G21" i="61"/>
  <c r="I21" i="61"/>
  <c r="E81" i="63"/>
  <c r="I80" i="63"/>
  <c r="E82" i="63"/>
  <c r="G17" i="56"/>
  <c r="I17" i="56"/>
  <c r="G16" i="56"/>
  <c r="I16" i="56"/>
  <c r="E79" i="58"/>
  <c r="I79" i="58" s="1"/>
  <c r="E19" i="62"/>
  <c r="E59" i="58"/>
  <c r="I59" i="58" s="1"/>
  <c r="E16" i="62"/>
  <c r="E61" i="58"/>
  <c r="I61" i="58" s="1"/>
  <c r="E50" i="58"/>
  <c r="I50" i="58" s="1"/>
  <c r="E36" i="58"/>
  <c r="I36" i="58" s="1"/>
  <c r="E45" i="58"/>
  <c r="I45" i="58" s="1"/>
  <c r="E37" i="58"/>
  <c r="I37" i="58" s="1"/>
  <c r="E166" i="50"/>
  <c r="E41" i="58"/>
  <c r="I41" i="58" s="1"/>
  <c r="E62" i="58"/>
  <c r="I62" i="58" s="1"/>
  <c r="E26" i="58"/>
  <c r="I26" i="58" s="1"/>
  <c r="E25" i="58"/>
  <c r="I25" i="58" s="1"/>
  <c r="E24" i="58"/>
  <c r="I24" i="58" s="1"/>
  <c r="E30" i="58"/>
  <c r="I30" i="58" s="1"/>
  <c r="I47" i="51"/>
  <c r="I44" i="51"/>
  <c r="I18" i="51"/>
  <c r="E166" i="51"/>
  <c r="E167" i="51" l="1"/>
  <c r="E168" i="51" s="1"/>
  <c r="I165" i="51"/>
  <c r="E168" i="50"/>
  <c r="I83" i="63"/>
  <c r="I84" i="63" s="1"/>
  <c r="I86" i="63" s="1"/>
  <c r="I59" i="47"/>
  <c r="I60" i="47" s="1"/>
  <c r="I62" i="47" s="1"/>
  <c r="E83" i="63"/>
  <c r="I56" i="61"/>
  <c r="E58" i="61"/>
  <c r="E57" i="61"/>
  <c r="E59" i="56"/>
  <c r="I57" i="56"/>
  <c r="E58" i="56"/>
  <c r="G19" i="62"/>
  <c r="I19" i="62"/>
  <c r="G16" i="62"/>
  <c r="I16" i="62"/>
  <c r="E46" i="58"/>
  <c r="I46" i="58" s="1"/>
  <c r="E40" i="58"/>
  <c r="I40" i="58" s="1"/>
  <c r="I168" i="51" l="1"/>
  <c r="I169" i="51" s="1"/>
  <c r="I171" i="51" s="1"/>
  <c r="I60" i="56"/>
  <c r="I61" i="56" s="1"/>
  <c r="I63" i="56" s="1"/>
  <c r="E27" i="62"/>
  <c r="I59" i="61"/>
  <c r="I60" i="61" s="1"/>
  <c r="I62" i="61" s="1"/>
  <c r="E59" i="61"/>
  <c r="E105" i="58"/>
  <c r="E106" i="58" s="1"/>
  <c r="E60" i="56"/>
  <c r="I103" i="58"/>
  <c r="I106" i="58" s="1"/>
  <c r="I107" i="58" s="1"/>
  <c r="I109" i="58" s="1"/>
  <c r="I26" i="62"/>
  <c r="E28" i="62"/>
  <c r="E29" i="62" s="1"/>
  <c r="I29" i="62" l="1"/>
  <c r="I30" i="62" s="1"/>
  <c r="I32" i="6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FD820-4C33-4BAF-B383-1DF1579F8026}" keepAlive="1" name="Query - County of Vermillion MOQ xlsx" description="Connection to the 'County of Vermillion MOQ xlsx' query in the workbook." type="5" refreshedVersion="8" background="1" saveData="1">
    <dbPr connection="Provider=Microsoft.Mashup.OleDb.1;Data Source=$Workbook$;Location=&quot;County of Vermillion MOQ xlsx&quot;;Extended Properties=&quot;&quot;" command="SELECT * FROM [County of Vermillion MOQ xlsx]"/>
  </connection>
</connections>
</file>

<file path=xl/sharedStrings.xml><?xml version="1.0" encoding="utf-8"?>
<sst xmlns="http://schemas.openxmlformats.org/spreadsheetml/2006/main" count="597" uniqueCount="113">
  <si>
    <t>PART NUMBER</t>
  </si>
  <si>
    <t>DESCRIPTION</t>
  </si>
  <si>
    <t>QTY</t>
  </si>
  <si>
    <t>CAD $</t>
  </si>
  <si>
    <t>OEM MSRP</t>
  </si>
  <si>
    <t>GQP PRICE</t>
  </si>
  <si>
    <t>COMPANY:</t>
  </si>
  <si>
    <t>DATE:</t>
  </si>
  <si>
    <t>PO NUMBER:</t>
  </si>
  <si>
    <t>CONTACT NAME:</t>
  </si>
  <si>
    <t>PHONE NUMBER:</t>
  </si>
  <si>
    <t>BILLING ADDRESS:</t>
  </si>
  <si>
    <t>EMAIL ADDRESS:</t>
  </si>
  <si>
    <t>SHIPPING ADDRESS:</t>
  </si>
  <si>
    <t>Make &amp; Model</t>
  </si>
  <si>
    <t>TOTAL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</si>
  <si>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</si>
  <si>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</si>
  <si>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</si>
  <si>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</si>
  <si>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</si>
  <si>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</si>
  <si>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</si>
  <si>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</si>
  <si>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</si>
  <si>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</si>
  <si>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</si>
  <si>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MOQ QUOTE</t>
  </si>
  <si>
    <t>Batteries</t>
  </si>
  <si>
    <t>Grand Total</t>
  </si>
  <si>
    <t>Turbos</t>
  </si>
  <si>
    <t>Filters Q3</t>
  </si>
  <si>
    <t>Filters Q2</t>
  </si>
  <si>
    <t>Filters Q1</t>
  </si>
  <si>
    <t>Filters Q4</t>
  </si>
  <si>
    <t>G.E.T.</t>
  </si>
  <si>
    <t>Engines</t>
  </si>
  <si>
    <t>1R-0749</t>
  </si>
  <si>
    <t>6I-0273</t>
  </si>
  <si>
    <t>6I-0274</t>
  </si>
  <si>
    <t xml:space="preserve"> </t>
  </si>
  <si>
    <t>Based on 200 machine hours per  month</t>
  </si>
  <si>
    <t>(780) 385-8652</t>
  </si>
  <si>
    <t>153-5710</t>
  </si>
  <si>
    <t>171-3063</t>
  </si>
  <si>
    <t>326-4278</t>
  </si>
  <si>
    <t>317-5278</t>
  </si>
  <si>
    <t>1R-0716</t>
  </si>
  <si>
    <t>326-1644</t>
  </si>
  <si>
    <t>328-3655</t>
  </si>
  <si>
    <t>UC</t>
  </si>
  <si>
    <t>153-5720</t>
  </si>
  <si>
    <t>9X-3404</t>
  </si>
  <si>
    <t>TY23020</t>
  </si>
  <si>
    <t>TY23020B</t>
  </si>
  <si>
    <t>2P-2800</t>
  </si>
  <si>
    <t>347-1132</t>
  </si>
  <si>
    <t>376-4075</t>
  </si>
  <si>
    <t>4H-9983</t>
  </si>
  <si>
    <t>RE507149</t>
  </si>
  <si>
    <t>RE515785</t>
  </si>
  <si>
    <t>1P-8482</t>
  </si>
  <si>
    <t>1P-8483</t>
  </si>
  <si>
    <t>209-8217</t>
  </si>
  <si>
    <t>252-5001</t>
  </si>
  <si>
    <t>252-5002</t>
  </si>
  <si>
    <t>4S00640R</t>
  </si>
  <si>
    <t>4S00683R</t>
  </si>
  <si>
    <t>4S00686</t>
  </si>
  <si>
    <t>AT308575</t>
  </si>
  <si>
    <t>AT323638</t>
  </si>
  <si>
    <t>FYA00001490R</t>
  </si>
  <si>
    <t>T191321</t>
  </si>
  <si>
    <t>TT220747</t>
  </si>
  <si>
    <t>1G-8878</t>
  </si>
  <si>
    <t>1R-0728</t>
  </si>
  <si>
    <t>1R-0741</t>
  </si>
  <si>
    <t>AT186554</t>
  </si>
  <si>
    <t>AT539500</t>
  </si>
  <si>
    <t>1R-0750</t>
  </si>
  <si>
    <t>2P-4005</t>
  </si>
  <si>
    <t>306-9199</t>
  </si>
  <si>
    <t>319-0844</t>
  </si>
  <si>
    <t>326-1642</t>
  </si>
  <si>
    <t>462-1171</t>
  </si>
  <si>
    <t>9M-2341</t>
  </si>
  <si>
    <t>AT539501</t>
  </si>
  <si>
    <t>RE509036</t>
  </si>
  <si>
    <t>RE67901</t>
  </si>
  <si>
    <t>AT131090</t>
  </si>
  <si>
    <t>167-9666</t>
  </si>
  <si>
    <t>315-9810</t>
  </si>
  <si>
    <t>7N-2495</t>
  </si>
  <si>
    <t>572R_MS_MTO_26"_43LINK</t>
  </si>
  <si>
    <t>PL61_MS_MTO_22"_40LINK</t>
  </si>
  <si>
    <t>320-9380</t>
  </si>
  <si>
    <t>8N-1831</t>
  </si>
  <si>
    <t>RE507948</t>
  </si>
  <si>
    <t>INJECTOR</t>
  </si>
  <si>
    <t>MPI OILFIELD</t>
  </si>
  <si>
    <t>1P-7360</t>
  </si>
  <si>
    <t>470GLC_MTO_35.4"_53LINK</t>
  </si>
  <si>
    <t>4H-2978</t>
  </si>
  <si>
    <t>4J-6064</t>
  </si>
  <si>
    <t>583_GD_MTO_22"_41LINK</t>
  </si>
  <si>
    <t>6P-1319</t>
  </si>
  <si>
    <t>6P-6664</t>
  </si>
  <si>
    <t>7W-5495</t>
  </si>
  <si>
    <t>8N-5510</t>
  </si>
  <si>
    <t>D9G/H_MS_MTO_40"_42LINK</t>
  </si>
  <si>
    <t>RE504836</t>
  </si>
  <si>
    <t>SE501669</t>
  </si>
  <si>
    <t>ZX290LC_MTO_31.5"_48LINK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</si>
</sst>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mmmm\ d\,\ yyyy;@"/>
    <numFmt numFmtId="166" formatCode="&quot;$&quot;#,##0.00"/>
    <numFmt numFmtId="167" formatCode="0;\-0;;@"/>
    <numFmt numFmtId="168" formatCode="[$-F800]dddd\,\ mmmm\ dd\,\ yyyy"/>
    <numFmt numFmtId="169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68" fontId="4" fillId="2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67" fontId="6" fillId="0" borderId="2" xfId="0" applyNumberFormat="1" applyFont="1" applyBorder="1" applyAlignment="1">
      <alignment horizontal="left"/>
    </xf>
    <xf numFmtId="169" fontId="6" fillId="0" borderId="2" xfId="2" applyNumberFormat="1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64" fontId="6" fillId="2" borderId="2" xfId="1" applyFont="1" applyFill="1" applyBorder="1" applyProtection="1"/>
    <xf numFmtId="164" fontId="6" fillId="0" borderId="2" xfId="1" applyFont="1" applyBorder="1" applyProtection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44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66" fontId="11" fillId="2" borderId="8" xfId="0" applyNumberFormat="1" applyFont="1" applyFill="1" applyBorder="1" applyAlignment="1">
      <alignment horizontal="left" vertical="center" wrapText="1"/>
    </xf>
    <xf numFmtId="164" fontId="11" fillId="2" borderId="1" xfId="1" applyFont="1" applyFill="1" applyBorder="1" applyProtection="1">
      <protection locked="0"/>
    </xf>
    <xf numFmtId="0" fontId="5" fillId="0" borderId="1" xfId="0" applyFont="1" applyBorder="1"/>
    <xf numFmtId="166" fontId="13" fillId="2" borderId="8" xfId="0" applyNumberFormat="1" applyFont="1" applyFill="1" applyBorder="1" applyAlignment="1">
      <alignment horizontal="left" vertical="center" wrapText="1"/>
    </xf>
    <xf numFmtId="164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164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44" fontId="0" fillId="0" borderId="0" xfId="0" applyNumberFormat="1"/>
    <xf numFmtId="164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169" fontId="6" fillId="0" borderId="2" xfId="2" applyNumberFormat="1" applyFont="1" applyBorder="1" applyAlignment="1"/>
    <xf numFmtId="167" fontId="6" fillId="0" borderId="2" xfId="0" applyNumberFormat="1" applyFont="1" applyBorder="1" applyAlignment="1">
      <alignment horizontal="left" wrapText="1"/>
    </xf>
    <xf numFmtId="0" fontId="10" fillId="0" borderId="20" xfId="0" applyFont="1" applyBorder="1" applyAlignment="1">
      <alignment horizontal="center"/>
    </xf>
    <xf numFmtId="0" fontId="0" fillId="0" borderId="1" xfId="0" applyBorder="1"/>
    <xf numFmtId="167" fontId="6" fillId="0" borderId="0" xfId="0" applyNumberFormat="1" applyFont="1" applyAlignment="1">
      <alignment horizontal="left"/>
    </xf>
    <xf numFmtId="0" fontId="10" fillId="0" borderId="21" xfId="0" applyFont="1" applyBorder="1" applyAlignment="1">
      <alignment horizontal="center"/>
    </xf>
    <xf numFmtId="167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43" fontId="0" fillId="0" borderId="0" xfId="2" applyFont="1"/>
    <xf numFmtId="43" fontId="0" fillId="0" borderId="1" xfId="2" applyFont="1" applyBorder="1"/>
    <xf numFmtId="164" fontId="6" fillId="0" borderId="1" xfId="1" applyFont="1" applyBorder="1" applyAlignment="1">
      <alignment horizontal="center"/>
    </xf>
    <xf numFmtId="0" fontId="0" fillId="0" borderId="2" xfId="0" applyBorder="1"/>
    <xf numFmtId="43" fontId="0" fillId="0" borderId="2" xfId="2" applyFont="1" applyBorder="1"/>
    <xf numFmtId="43" fontId="0" fillId="0" borderId="0" xfId="2" applyFont="1" applyFill="1"/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0" xfId="0" applyNumberFormat="1" applyFont="1" applyFill="1" applyAlignment="1">
      <alignment horizontal="left" vertical="center" wrapText="1"/>
    </xf>
    <xf numFmtId="166" fontId="11" fillId="2" borderId="8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167" fontId="7" fillId="0" borderId="1" xfId="0" applyNumberFormat="1" applyFont="1" applyBorder="1"/>
    <xf numFmtId="0" fontId="7" fillId="0" borderId="1" xfId="0" applyFont="1" applyBorder="1" applyProtection="1">
      <protection locked="0"/>
    </xf>
    <xf numFmtId="167" fontId="4" fillId="0" borderId="1" xfId="0" applyNumberFormat="1" applyFont="1" applyBorder="1"/>
    <xf numFmtId="0" fontId="4" fillId="0" borderId="1" xfId="0" applyFont="1" applyBorder="1"/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6" fontId="13" fillId="2" borderId="0" xfId="0" applyNumberFormat="1" applyFont="1" applyFill="1" applyAlignment="1">
      <alignment horizontal="left" vertical="center" wrapText="1"/>
    </xf>
    <xf numFmtId="166" fontId="13" fillId="2" borderId="8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 applyProtection="1">
      <alignment horizontal="center"/>
      <protection locked="0"/>
    </xf>
    <xf numFmtId="167" fontId="4" fillId="0" borderId="3" xfId="0" applyNumberFormat="1" applyFont="1" applyBorder="1" applyAlignment="1">
      <alignment horizontal="left"/>
    </xf>
    <xf numFmtId="167" fontId="4" fillId="0" borderId="4" xfId="0" applyNumberFormat="1" applyFont="1" applyBorder="1" applyAlignment="1">
      <alignment horizontal="left"/>
    </xf>
    <xf numFmtId="167" fontId="15" fillId="0" borderId="1" xfId="3" applyNumberFormat="1" applyBorder="1"/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A9AA4-F1A4-4BA4-A669-D7108747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A6929-EE86-46D0-95B0-B7C49299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F4F0AA-4AF2-4B74-A5A5-2A12FC429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39647-D2BF-45BC-A79A-8137279CE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0075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DC980-2424-43C7-9D08-7C8544B6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9A523-9D07-4EDE-A639-2D650316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1318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F50F59-062E-411E-AC7A-1667101F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34A344-F800-4AD7-B6CE-0F7B6116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0392FE-9B4D-48A9-8E97-2A910826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9AC064-697F-47B9-9D7D-A2232EC21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8175" y="0"/>
          <a:ext cx="1895475" cy="9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2DE647-9EF4-464C-9375-8E06D33C0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31019E-3474-4BCE-8D3A-1C42B01C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52FAE3-09BB-4667-8136-6232400FB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8175" y="0"/>
          <a:ext cx="1895475" cy="9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5C01E0-36C8-45BE-A97E-BEB427826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164</xdr:row>
      <xdr:rowOff>178138</xdr:rowOff>
    </xdr:from>
    <xdr:to>
      <xdr:col>2</xdr:col>
      <xdr:colOff>970860</xdr:colOff>
      <xdr:row>170</xdr:row>
      <xdr:rowOff>9526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748FBA-4E41-41FF-B1BD-2FAB8B22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0774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6AFA23-7F63-4E2C-B351-09AE955A7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8175" y="0"/>
          <a:ext cx="1895475" cy="9487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78E64-EB4F-40A6-BEF0-CF82F7A2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6453A-E7A4-45BB-84B7-70373A25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38DD0-4A03-4AD5-A184-284F98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FBFA5-23DB-45BD-A781-CC83D62A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779F96-0146-468C-A5B7-505D1BF3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65DF7E-2C40-4393-A00C-3C306623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2081997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890BFD-7A35-43A9-A8E7-DA25438F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123C53-7178-41DD-91FF-ACE20AF91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1647825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7436D-8C8B-4833-B308-B24DE7F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075" y="103245"/>
          <a:ext cx="3333750" cy="74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102</xdr:row>
      <xdr:rowOff>178138</xdr:rowOff>
    </xdr:from>
    <xdr:to>
      <xdr:col>2</xdr:col>
      <xdr:colOff>275535</xdr:colOff>
      <xdr:row>108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C4625-CF6E-4AAD-BC73-0A5D75A0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102</xdr:row>
      <xdr:rowOff>178138</xdr:rowOff>
    </xdr:from>
    <xdr:to>
      <xdr:col>2</xdr:col>
      <xdr:colOff>275535</xdr:colOff>
      <xdr:row>108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94A22-23AF-429A-98BA-470E49ED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3</xdr:col>
      <xdr:colOff>2085975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2C109-0CE0-4119-80BB-BB8FB375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57700" y="0"/>
          <a:ext cx="1895475" cy="9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OneDrive%20-%20Global%20Machinery%20Auctions%20Inc\Desktop\MOQ%20Workbook\MPI\OEM%20COMPARISON%20-%20MPI%20OILFIELD%20-%20DATA%20FILE.xlsx" TargetMode="External"/><Relationship Id="rId1" Type="http://schemas.openxmlformats.org/officeDocument/2006/relationships/externalLinkPath" Target="OEM%20COMPARISON%20-%20MPI%20OILFIELD%20-%20DATA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Q DATA SHEET INSTRUCTIONS"/>
      <sheetName val="MPI Oilfield Services Full MOQ"/>
      <sheetName val="Products by Machine"/>
      <sheetName val="Products by Part Number"/>
      <sheetName val="Vlookup Make and Model"/>
      <sheetName val="Vlookup Part Numbe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AB4-DFBE-4D76-97FE-0C7F33856F71}">
  <sheetPr>
    <pageSetUpPr fitToPage="1"/>
  </sheetPr>
  <dimension ref="B1:K62"/>
  <sheetViews>
    <sheetView topLeftCell="A35" workbookViewId="0">
      <selection activeCell="C15" sqref="C15:H19"/>
    </sheetView>
  </sheetViews>
  <sheetFormatPr defaultRowHeight="15" x14ac:dyDescent="0.25"/>
  <cols>
    <col min="1" max="1" width="2.7109375" customWidth="1"/>
    <col min="2" max="2" width="15.42578125" customWidth="1"/>
    <col min="3" max="3" width="46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11" ht="15" customHeight="1" x14ac:dyDescent="0.25">
      <c r="B1" s="2"/>
      <c r="C1" s="3"/>
      <c r="D1" s="3"/>
      <c r="E1" s="68" t="s">
        <v>27</v>
      </c>
      <c r="F1" s="68"/>
      <c r="G1" s="43"/>
      <c r="H1" s="68" t="s">
        <v>28</v>
      </c>
      <c r="I1" s="69"/>
    </row>
    <row r="2" spans="2:11" ht="15" customHeight="1" x14ac:dyDescent="0.25">
      <c r="B2" s="4"/>
      <c r="E2" s="70"/>
      <c r="F2" s="70"/>
      <c r="G2" s="44"/>
      <c r="H2" s="70"/>
      <c r="I2" s="71"/>
    </row>
    <row r="3" spans="2:11" ht="15" customHeight="1" x14ac:dyDescent="0.25">
      <c r="B3" s="4"/>
      <c r="E3" s="70"/>
      <c r="F3" s="70"/>
      <c r="G3" s="44"/>
      <c r="H3" s="70"/>
      <c r="I3" s="71"/>
    </row>
    <row r="4" spans="2:11" ht="15" customHeight="1" x14ac:dyDescent="0.25">
      <c r="B4" s="4"/>
      <c r="E4" s="70"/>
      <c r="F4" s="70"/>
      <c r="G4" s="44"/>
      <c r="H4" s="70"/>
      <c r="I4" s="71"/>
    </row>
    <row r="5" spans="2:11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11" ht="36" x14ac:dyDescent="0.55000000000000004">
      <c r="B6" s="6"/>
      <c r="C6" s="7"/>
      <c r="D6" s="7"/>
      <c r="E6" s="8"/>
      <c r="F6" s="8"/>
      <c r="G6" s="8"/>
      <c r="H6" s="8"/>
      <c r="I6" s="8"/>
    </row>
    <row r="7" spans="2:11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11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11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11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11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11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11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11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11" x14ac:dyDescent="0.25">
      <c r="B15" s="54" t="s">
        <v>43</v>
      </c>
      <c r="C15" s="54" t="str">
        <f>VLOOKUP(B15,[1]!Table3[[Part Number]:[Annual]],2,0)</f>
        <v>CAT D7G (DSC) CAT D7G (DSC) (2) CAT D7G (DSC) (3) CAT D7G (SUB) CAT D7G (3ZD) CAT 572R (DSC) CAT 572R (DSC) (2)</v>
      </c>
      <c r="D15" s="54" t="str">
        <f>VLOOKUP(B15,[1]!Table3[[Part Number]:[Annual]],3,0)</f>
        <v xml:space="preserve">12V BATTERY </v>
      </c>
      <c r="E15" s="54">
        <f>VLOOKUP(B15,[1]!Table3[[Part Number]:[Annual]],11,0)</f>
        <v>14</v>
      </c>
      <c r="F15" s="63">
        <f>VLOOKUP(B15,[1]!Table3[[Part Number]:[Annual]],4,0)</f>
        <v>783.62</v>
      </c>
      <c r="G15" s="23">
        <f t="shared" ref="G15" si="0">E15*F15</f>
        <v>10970.68</v>
      </c>
      <c r="H15" s="24">
        <f>VLOOKUP(B15,[1]!Table3[[Part Number]:[Annual]],5,0)</f>
        <v>391.81</v>
      </c>
      <c r="I15" s="25">
        <f t="shared" ref="I15:I55" si="1">ROUND(E15*H15,2)</f>
        <v>5485.34</v>
      </c>
      <c r="K15" s="55"/>
    </row>
    <row r="16" spans="2:11" x14ac:dyDescent="0.25">
      <c r="B16" s="54" t="s">
        <v>51</v>
      </c>
      <c r="C16" s="54" t="str">
        <f>VLOOKUP(B16,[1]!Table3[[Part Number]:[Annual]],2,0)</f>
        <v xml:space="preserve">CAT 583T (CMX) CAT 589 (31Z) CAT 594 (96V) CAT 594H (96V) CAT DK8 (893) CAT DK8 (950)  </v>
      </c>
      <c r="D16" s="54" t="str">
        <f>VLOOKUP(B16,[1]!Table3[[Part Number]:[Annual]],3,0)</f>
        <v>Battery</v>
      </c>
      <c r="E16" s="54">
        <f>VLOOKUP(B16,[1]!Table3[[Part Number]:[Annual]],11,0)</f>
        <v>12</v>
      </c>
      <c r="F16" s="63">
        <f>VLOOKUP(B16,[1]!Table3[[Part Number]:[Annual]],4,0)</f>
        <v>822.89</v>
      </c>
      <c r="G16" s="23">
        <f t="shared" ref="G16:G19" si="2">E16*F16</f>
        <v>9874.68</v>
      </c>
      <c r="H16" s="24">
        <f>VLOOKUP(B16,[1]!Table3[[Part Number]:[Annual]],5,0)</f>
        <v>411.45</v>
      </c>
      <c r="I16" s="25">
        <f t="shared" si="1"/>
        <v>4937.3999999999996</v>
      </c>
      <c r="K16" s="55"/>
    </row>
    <row r="17" spans="2:9" x14ac:dyDescent="0.25">
      <c r="B17" s="54" t="s">
        <v>52</v>
      </c>
      <c r="C17" s="54" t="str">
        <f>VLOOKUP(B17,[1]!Table3[[Part Number]:[Annual]],2,0)</f>
        <v xml:space="preserve">CAT PL61 (DHA) CAT PL61 (WGS) CAT D6D (06X)        </v>
      </c>
      <c r="D17" s="54" t="str">
        <f>VLOOKUP(B17,[1]!Table3[[Part Number]:[Annual]],3,0)</f>
        <v xml:space="preserve">12V BATTERY </v>
      </c>
      <c r="E17" s="54">
        <f>VLOOKUP(B17,[1]!Table3[[Part Number]:[Annual]],11,0)</f>
        <v>6</v>
      </c>
      <c r="F17" s="63">
        <f>VLOOKUP(B17,[1]!Table3[[Part Number]:[Annual]],4,0)</f>
        <v>486.48</v>
      </c>
      <c r="G17" s="23">
        <f t="shared" si="2"/>
        <v>2918.88</v>
      </c>
      <c r="H17" s="24">
        <f>VLOOKUP(B17,[1]!Table3[[Part Number]:[Annual]],5,0)</f>
        <v>243.24</v>
      </c>
      <c r="I17" s="25">
        <f t="shared" si="1"/>
        <v>1459.44</v>
      </c>
    </row>
    <row r="18" spans="2:9" x14ac:dyDescent="0.25">
      <c r="B18" s="54" t="s">
        <v>53</v>
      </c>
      <c r="C18" s="54" t="str">
        <f>VLOOKUP(B18,[1]!Table3[[Part Number]:[Annual]],2,0)</f>
        <v xml:space="preserve">HITACHI ZX290LC-5 (1FF) HITACHI ZX290LC-5 (1FF) (2) HITACHI ZX290LC-5 (1FF) (3)        </v>
      </c>
      <c r="D18" s="54" t="str">
        <f>VLOOKUP(B18,[1]!Table3[[Part Number]:[Annual]],3,0)</f>
        <v>BATTERY 12V 1400 CCA</v>
      </c>
      <c r="E18" s="54">
        <f>VLOOKUP(B18,[1]!Table3[[Part Number]:[Annual]],11,0)</f>
        <v>6</v>
      </c>
      <c r="F18" s="63">
        <f>VLOOKUP(B18,[1]!Table3[[Part Number]:[Annual]],4,0)</f>
        <v>575.41859999999997</v>
      </c>
      <c r="G18" s="23">
        <f t="shared" si="2"/>
        <v>3452.5115999999998</v>
      </c>
      <c r="H18" s="24">
        <f>VLOOKUP(B18,[1]!Table3[[Part Number]:[Annual]],5,0)</f>
        <v>287.70999999999998</v>
      </c>
      <c r="I18" s="25">
        <f t="shared" si="1"/>
        <v>1726.26</v>
      </c>
    </row>
    <row r="19" spans="2:9" x14ac:dyDescent="0.25">
      <c r="B19" s="57" t="s">
        <v>54</v>
      </c>
      <c r="C19" s="54" t="str">
        <f>VLOOKUP(B19,[1]!Table3[[Part Number]:[Annual]],2,0)</f>
        <v xml:space="preserve">JD 470GLC (1FF) HITACHI 470GLC (HCM)          </v>
      </c>
      <c r="D19" s="54" t="str">
        <f>VLOOKUP(B19,[1]!Table3[[Part Number]:[Annual]],3,0)</f>
        <v>BATTERY 12V 1400 CCA</v>
      </c>
      <c r="E19" s="54">
        <f>VLOOKUP(B19,[1]!Table3[[Part Number]:[Annual]],11,0)</f>
        <v>4</v>
      </c>
      <c r="F19" s="63">
        <f>VLOOKUP(B19,[1]!Table3[[Part Number]:[Annual]],4,0)</f>
        <v>474.87180000000001</v>
      </c>
      <c r="G19" s="23">
        <f t="shared" si="2"/>
        <v>1899.4872</v>
      </c>
      <c r="H19" s="24">
        <f>VLOOKUP(B19,[1]!Table3[[Part Number]:[Annual]],5,0)</f>
        <v>237.44</v>
      </c>
      <c r="I19" s="25">
        <f t="shared" si="1"/>
        <v>949.76</v>
      </c>
    </row>
    <row r="20" spans="2:9" x14ac:dyDescent="0.25">
      <c r="B20" s="21"/>
      <c r="C20" s="21"/>
      <c r="D20" s="21"/>
      <c r="E20" s="51"/>
      <c r="F20" s="23"/>
      <c r="G20" s="23">
        <f t="shared" ref="G19:G20" si="3">E20*F20</f>
        <v>0</v>
      </c>
      <c r="H20" s="24"/>
      <c r="I20" s="25">
        <f t="shared" si="1"/>
        <v>0</v>
      </c>
    </row>
    <row r="21" spans="2:9" x14ac:dyDescent="0.25">
      <c r="B21" s="21"/>
      <c r="C21" s="52"/>
      <c r="D21" s="21"/>
      <c r="E21" s="51"/>
      <c r="F21" s="23"/>
      <c r="G21" s="23">
        <f t="shared" ref="G21:G23" si="4">E21*F21</f>
        <v>0</v>
      </c>
      <c r="H21" s="24"/>
      <c r="I21" s="25">
        <f t="shared" si="1"/>
        <v>0</v>
      </c>
    </row>
    <row r="22" spans="2:9" x14ac:dyDescent="0.25">
      <c r="B22" s="21"/>
      <c r="C22" s="52"/>
      <c r="D22" s="21"/>
      <c r="E22" s="51"/>
      <c r="F22" s="23"/>
      <c r="G22" s="23">
        <f t="shared" si="4"/>
        <v>0</v>
      </c>
      <c r="H22" s="24"/>
      <c r="I22" s="25">
        <f t="shared" si="1"/>
        <v>0</v>
      </c>
    </row>
    <row r="23" spans="2:9" x14ac:dyDescent="0.25">
      <c r="B23" s="21"/>
      <c r="C23" s="52"/>
      <c r="D23" s="21"/>
      <c r="E23" s="51"/>
      <c r="F23" s="23"/>
      <c r="G23" s="23">
        <f t="shared" si="4"/>
        <v>0</v>
      </c>
      <c r="H23" s="24"/>
      <c r="I23" s="25">
        <f t="shared" si="1"/>
        <v>0</v>
      </c>
    </row>
    <row r="24" spans="2:9" x14ac:dyDescent="0.25">
      <c r="B24" s="21"/>
      <c r="C24" s="52"/>
      <c r="D24" s="21"/>
      <c r="E24" s="51"/>
      <c r="F24" s="23"/>
      <c r="G24" s="23"/>
      <c r="H24" s="24"/>
      <c r="I24" s="25">
        <f t="shared" si="1"/>
        <v>0</v>
      </c>
    </row>
    <row r="25" spans="2:9" x14ac:dyDescent="0.25">
      <c r="B25" s="21"/>
      <c r="C25" s="52"/>
      <c r="D25" s="21"/>
      <c r="E25" s="51"/>
      <c r="F25" s="23"/>
      <c r="G25" s="23"/>
      <c r="H25" s="24"/>
      <c r="I25" s="25">
        <f t="shared" si="1"/>
        <v>0</v>
      </c>
    </row>
    <row r="26" spans="2:9" x14ac:dyDescent="0.25">
      <c r="B26" s="21"/>
      <c r="C26" s="52"/>
      <c r="D26" s="21"/>
      <c r="E26" s="51"/>
      <c r="F26" s="23"/>
      <c r="G26" s="23"/>
      <c r="H26" s="24"/>
      <c r="I26" s="25">
        <f t="shared" si="1"/>
        <v>0</v>
      </c>
    </row>
    <row r="27" spans="2:9" x14ac:dyDescent="0.25">
      <c r="B27" s="21"/>
      <c r="C27" s="52"/>
      <c r="D27" s="21"/>
      <c r="E27" s="51"/>
      <c r="F27" s="23"/>
      <c r="G27" s="23"/>
      <c r="H27" s="24"/>
      <c r="I27" s="25">
        <f t="shared" si="1"/>
        <v>0</v>
      </c>
    </row>
    <row r="28" spans="2:9" x14ac:dyDescent="0.25">
      <c r="B28" s="21"/>
      <c r="C28" s="52"/>
      <c r="D28" s="21"/>
      <c r="E28" s="51"/>
      <c r="F28" s="23"/>
      <c r="G28" s="23"/>
      <c r="H28" s="24"/>
      <c r="I28" s="25">
        <f t="shared" si="1"/>
        <v>0</v>
      </c>
    </row>
    <row r="29" spans="2:9" x14ac:dyDescent="0.25">
      <c r="B29" s="21"/>
      <c r="C29" s="52"/>
      <c r="D29" s="21"/>
      <c r="E29" s="51"/>
      <c r="F29" s="23"/>
      <c r="G29" s="23"/>
      <c r="H29" s="24"/>
      <c r="I29" s="25">
        <f t="shared" si="1"/>
        <v>0</v>
      </c>
    </row>
    <row r="30" spans="2:9" x14ac:dyDescent="0.25">
      <c r="B30" s="21"/>
      <c r="C30" s="21"/>
      <c r="D30" s="21"/>
      <c r="E30" s="22"/>
      <c r="F30" s="23"/>
      <c r="G30" s="23"/>
      <c r="H30" s="24"/>
      <c r="I30" s="25">
        <f t="shared" si="1"/>
        <v>0</v>
      </c>
    </row>
    <row r="31" spans="2:9" x14ac:dyDescent="0.25">
      <c r="B31" s="21"/>
      <c r="C31" s="21"/>
      <c r="D31" s="21"/>
      <c r="E31" s="22"/>
      <c r="F31" s="23"/>
      <c r="G31" s="23"/>
      <c r="H31" s="24"/>
      <c r="I31" s="25">
        <f t="shared" si="1"/>
        <v>0</v>
      </c>
    </row>
    <row r="32" spans="2:9" x14ac:dyDescent="0.25">
      <c r="B32" s="21"/>
      <c r="C32" s="21"/>
      <c r="D32" s="21"/>
      <c r="E32" s="22"/>
      <c r="F32" s="23"/>
      <c r="G32" s="23"/>
      <c r="H32" s="24"/>
      <c r="I32" s="25">
        <f t="shared" si="1"/>
        <v>0</v>
      </c>
    </row>
    <row r="33" spans="2:9" x14ac:dyDescent="0.25">
      <c r="B33" s="21"/>
      <c r="C33" s="21"/>
      <c r="D33" s="21"/>
      <c r="E33" s="22"/>
      <c r="F33" s="23"/>
      <c r="G33" s="23"/>
      <c r="H33" s="24"/>
      <c r="I33" s="25">
        <f t="shared" si="1"/>
        <v>0</v>
      </c>
    </row>
    <row r="34" spans="2:9" x14ac:dyDescent="0.25">
      <c r="B34" s="21"/>
      <c r="C34" s="21"/>
      <c r="D34" s="21"/>
      <c r="E34" s="22"/>
      <c r="F34" s="23"/>
      <c r="G34" s="23"/>
      <c r="H34" s="24"/>
      <c r="I34" s="25">
        <f t="shared" si="1"/>
        <v>0</v>
      </c>
    </row>
    <row r="35" spans="2:9" x14ac:dyDescent="0.25">
      <c r="B35" s="21"/>
      <c r="C35" s="21"/>
      <c r="D35" s="21"/>
      <c r="E35" s="22"/>
      <c r="F35" s="23"/>
      <c r="G35" s="23"/>
      <c r="H35" s="24"/>
      <c r="I35" s="25">
        <f t="shared" si="1"/>
        <v>0</v>
      </c>
    </row>
    <row r="36" spans="2:9" x14ac:dyDescent="0.25">
      <c r="B36" s="21"/>
      <c r="C36" s="21"/>
      <c r="D36" s="21"/>
      <c r="E36" s="22"/>
      <c r="F36" s="23"/>
      <c r="G36" s="23"/>
      <c r="H36" s="24"/>
      <c r="I36" s="25">
        <f t="shared" si="1"/>
        <v>0</v>
      </c>
    </row>
    <row r="37" spans="2:9" x14ac:dyDescent="0.25">
      <c r="B37" s="21"/>
      <c r="C37" s="21"/>
      <c r="D37" s="21"/>
      <c r="E37" s="22"/>
      <c r="F37" s="23"/>
      <c r="G37" s="23"/>
      <c r="H37" s="24"/>
      <c r="I37" s="25">
        <f t="shared" si="1"/>
        <v>0</v>
      </c>
    </row>
    <row r="38" spans="2:9" x14ac:dyDescent="0.25">
      <c r="B38" s="21"/>
      <c r="C38" s="21"/>
      <c r="D38" s="21"/>
      <c r="E38" s="22"/>
      <c r="F38" s="23"/>
      <c r="G38" s="23"/>
      <c r="H38" s="24"/>
      <c r="I38" s="25">
        <f t="shared" si="1"/>
        <v>0</v>
      </c>
    </row>
    <row r="39" spans="2:9" x14ac:dyDescent="0.25">
      <c r="B39" s="21"/>
      <c r="C39" s="21"/>
      <c r="D39" s="21"/>
      <c r="E39" s="22"/>
      <c r="F39" s="23"/>
      <c r="G39" s="23"/>
      <c r="H39" s="24"/>
      <c r="I39" s="25">
        <f t="shared" si="1"/>
        <v>0</v>
      </c>
    </row>
    <row r="40" spans="2:9" x14ac:dyDescent="0.25">
      <c r="B40" s="21"/>
      <c r="C40" s="21"/>
      <c r="D40" s="21"/>
      <c r="E40" s="22"/>
      <c r="F40" s="23"/>
      <c r="G40" s="23"/>
      <c r="H40" s="24"/>
      <c r="I40" s="25">
        <f t="shared" si="1"/>
        <v>0</v>
      </c>
    </row>
    <row r="41" spans="2:9" x14ac:dyDescent="0.25">
      <c r="B41" s="21"/>
      <c r="C41" s="21"/>
      <c r="D41" s="21"/>
      <c r="E41" s="22"/>
      <c r="F41" s="23"/>
      <c r="G41" s="23"/>
      <c r="H41" s="24"/>
      <c r="I41" s="25">
        <f t="shared" si="1"/>
        <v>0</v>
      </c>
    </row>
    <row r="42" spans="2:9" x14ac:dyDescent="0.25">
      <c r="B42" s="21"/>
      <c r="C42" s="21"/>
      <c r="D42" s="21"/>
      <c r="E42" s="22"/>
      <c r="F42" s="23"/>
      <c r="G42" s="23"/>
      <c r="H42" s="24"/>
      <c r="I42" s="25">
        <f t="shared" si="1"/>
        <v>0</v>
      </c>
    </row>
    <row r="43" spans="2:9" x14ac:dyDescent="0.25">
      <c r="B43" s="21"/>
      <c r="C43" s="21"/>
      <c r="D43" s="21"/>
      <c r="E43" s="22"/>
      <c r="F43" s="23"/>
      <c r="G43" s="23"/>
      <c r="H43" s="24"/>
      <c r="I43" s="25">
        <f t="shared" si="1"/>
        <v>0</v>
      </c>
    </row>
    <row r="44" spans="2:9" x14ac:dyDescent="0.25">
      <c r="B44" s="21"/>
      <c r="C44" s="21"/>
      <c r="D44" s="21"/>
      <c r="E44" s="22"/>
      <c r="F44" s="23"/>
      <c r="G44" s="23"/>
      <c r="H44" s="24"/>
      <c r="I44" s="25">
        <f t="shared" si="1"/>
        <v>0</v>
      </c>
    </row>
    <row r="45" spans="2:9" x14ac:dyDescent="0.25">
      <c r="B45" s="21"/>
      <c r="C45" s="21"/>
      <c r="D45" s="21"/>
      <c r="E45" s="22"/>
      <c r="F45" s="23"/>
      <c r="G45" s="23"/>
      <c r="H45" s="24"/>
      <c r="I45" s="25">
        <f t="shared" si="1"/>
        <v>0</v>
      </c>
    </row>
    <row r="46" spans="2:9" x14ac:dyDescent="0.25">
      <c r="B46" s="21"/>
      <c r="C46" s="21"/>
      <c r="D46" s="21"/>
      <c r="E46" s="22"/>
      <c r="F46" s="23"/>
      <c r="G46" s="23"/>
      <c r="H46" s="24"/>
      <c r="I46" s="25">
        <f t="shared" si="1"/>
        <v>0</v>
      </c>
    </row>
    <row r="47" spans="2:9" x14ac:dyDescent="0.25">
      <c r="B47" s="21"/>
      <c r="C47" s="21"/>
      <c r="D47" s="21"/>
      <c r="E47" s="22"/>
      <c r="F47" s="23"/>
      <c r="G47" s="23"/>
      <c r="H47" s="24"/>
      <c r="I47" s="25">
        <f t="shared" si="1"/>
        <v>0</v>
      </c>
    </row>
    <row r="48" spans="2:9" x14ac:dyDescent="0.25">
      <c r="B48" s="21"/>
      <c r="C48" s="21"/>
      <c r="D48" s="21"/>
      <c r="E48" s="22"/>
      <c r="F48" s="23"/>
      <c r="G48" s="23"/>
      <c r="H48" s="24"/>
      <c r="I48" s="25">
        <f t="shared" si="1"/>
        <v>0</v>
      </c>
    </row>
    <row r="49" spans="2:9" x14ac:dyDescent="0.25">
      <c r="B49" s="21"/>
      <c r="C49" s="21"/>
      <c r="D49" s="21"/>
      <c r="E49" s="22"/>
      <c r="F49" s="23"/>
      <c r="G49" s="23"/>
      <c r="H49" s="24"/>
      <c r="I49" s="25">
        <f t="shared" si="1"/>
        <v>0</v>
      </c>
    </row>
    <row r="50" spans="2:9" x14ac:dyDescent="0.25">
      <c r="B50" s="21"/>
      <c r="C50" s="21"/>
      <c r="D50" s="21"/>
      <c r="E50" s="22"/>
      <c r="F50" s="23"/>
      <c r="G50" s="23"/>
      <c r="H50" s="24"/>
      <c r="I50" s="25">
        <f t="shared" si="1"/>
        <v>0</v>
      </c>
    </row>
    <row r="51" spans="2:9" x14ac:dyDescent="0.25">
      <c r="B51" s="21"/>
      <c r="C51" s="21"/>
      <c r="D51" s="21"/>
      <c r="E51" s="22"/>
      <c r="F51" s="23"/>
      <c r="G51" s="23"/>
      <c r="H51" s="24"/>
      <c r="I51" s="25">
        <f t="shared" si="1"/>
        <v>0</v>
      </c>
    </row>
    <row r="52" spans="2:9" x14ac:dyDescent="0.25">
      <c r="B52" s="21"/>
      <c r="C52" s="21"/>
      <c r="D52" s="21"/>
      <c r="E52" s="22"/>
      <c r="F52" s="23"/>
      <c r="G52" s="23"/>
      <c r="H52" s="24"/>
      <c r="I52" s="25">
        <f t="shared" si="1"/>
        <v>0</v>
      </c>
    </row>
    <row r="53" spans="2:9" x14ac:dyDescent="0.25">
      <c r="B53" s="21"/>
      <c r="C53" s="21"/>
      <c r="D53" s="21"/>
      <c r="E53" s="22"/>
      <c r="F53" s="23"/>
      <c r="G53" s="23"/>
      <c r="H53" s="24"/>
      <c r="I53" s="25">
        <f t="shared" si="1"/>
        <v>0</v>
      </c>
    </row>
    <row r="54" spans="2:9" x14ac:dyDescent="0.25">
      <c r="B54" s="21"/>
      <c r="C54" s="21"/>
      <c r="D54" s="21"/>
      <c r="E54" s="22"/>
      <c r="F54" s="23"/>
      <c r="G54" s="23"/>
      <c r="H54" s="24"/>
      <c r="I54" s="25">
        <f t="shared" si="1"/>
        <v>0</v>
      </c>
    </row>
    <row r="55" spans="2:9" x14ac:dyDescent="0.25">
      <c r="B55" s="21"/>
      <c r="C55" s="21"/>
      <c r="D55" s="21"/>
      <c r="E55" s="22"/>
      <c r="F55" s="23"/>
      <c r="G55" s="23"/>
      <c r="H55" s="24"/>
      <c r="I55" s="25">
        <f t="shared" si="1"/>
        <v>0</v>
      </c>
    </row>
    <row r="56" spans="2:9" x14ac:dyDescent="0.25">
      <c r="B56" s="75"/>
      <c r="C56" s="76"/>
      <c r="D56" s="76"/>
      <c r="E56" s="76"/>
      <c r="F56" s="77"/>
      <c r="G56" s="26"/>
      <c r="H56" s="27" t="s">
        <v>16</v>
      </c>
      <c r="I56" s="28">
        <f>SUM(I15:I55)</f>
        <v>14558.2</v>
      </c>
    </row>
    <row r="57" spans="2:9" x14ac:dyDescent="0.25">
      <c r="B57" s="29"/>
      <c r="C57" s="30"/>
      <c r="D57" s="31" t="s">
        <v>17</v>
      </c>
      <c r="E57" s="78">
        <f>SUM(G15:G55)</f>
        <v>29116.238800000003</v>
      </c>
      <c r="F57" s="79"/>
      <c r="G57" s="32"/>
      <c r="H57" s="27" t="s">
        <v>18</v>
      </c>
      <c r="I57" s="33">
        <v>0</v>
      </c>
    </row>
    <row r="58" spans="2:9" x14ac:dyDescent="0.25">
      <c r="B58" s="29"/>
      <c r="C58" s="30"/>
      <c r="D58" s="31" t="s">
        <v>19</v>
      </c>
      <c r="E58" s="78">
        <f>SUM(I15:I55)</f>
        <v>14558.2</v>
      </c>
      <c r="F58" s="79"/>
      <c r="G58" s="32"/>
      <c r="H58" s="34" t="s">
        <v>20</v>
      </c>
      <c r="I58" s="33">
        <v>0</v>
      </c>
    </row>
    <row r="59" spans="2:9" x14ac:dyDescent="0.25">
      <c r="B59" s="29"/>
      <c r="C59" s="30"/>
      <c r="D59" s="31" t="s">
        <v>21</v>
      </c>
      <c r="E59" s="88">
        <f>E57-E58</f>
        <v>14558.038800000002</v>
      </c>
      <c r="F59" s="89"/>
      <c r="G59" s="35"/>
      <c r="H59" s="27" t="s">
        <v>22</v>
      </c>
      <c r="I59" s="36">
        <f>SUM(I56:I58)</f>
        <v>14558.2</v>
      </c>
    </row>
    <row r="60" spans="2:9" x14ac:dyDescent="0.25">
      <c r="B60" s="29"/>
      <c r="C60" s="30"/>
      <c r="D60" s="31"/>
      <c r="E60" s="90"/>
      <c r="F60" s="91"/>
      <c r="G60" s="37"/>
      <c r="H60" s="27" t="s">
        <v>23</v>
      </c>
      <c r="I60" s="36">
        <f>I59*0.05</f>
        <v>727.91000000000008</v>
      </c>
    </row>
    <row r="61" spans="2:9" x14ac:dyDescent="0.25">
      <c r="B61" s="29"/>
      <c r="C61" s="30"/>
      <c r="D61" s="38"/>
      <c r="E61" s="38"/>
      <c r="F61" s="39"/>
      <c r="G61" s="39"/>
      <c r="H61" s="27" t="s">
        <v>24</v>
      </c>
      <c r="I61" s="33"/>
    </row>
    <row r="62" spans="2:9" ht="15.75" x14ac:dyDescent="0.25">
      <c r="B62" s="85" t="s">
        <v>25</v>
      </c>
      <c r="C62" s="86"/>
      <c r="D62" s="86"/>
      <c r="E62" s="86"/>
      <c r="F62" s="87"/>
      <c r="G62" s="40"/>
      <c r="H62" s="41" t="s">
        <v>26</v>
      </c>
      <c r="I62" s="42">
        <f>SUM(I59:I61)</f>
        <v>15286.11</v>
      </c>
    </row>
  </sheetData>
  <autoFilter ref="B14:I62" xr:uid="{79A81AB4-DFBE-4D76-97FE-0C7F33856F71}"/>
  <mergeCells count="25">
    <mergeCell ref="B62:F62"/>
    <mergeCell ref="E1:F5"/>
    <mergeCell ref="E59:F59"/>
    <mergeCell ref="E60:F60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  <mergeCell ref="H1:I5"/>
    <mergeCell ref="F13:I13"/>
    <mergeCell ref="B56:F56"/>
    <mergeCell ref="E57:F57"/>
    <mergeCell ref="E58:F58"/>
    <mergeCell ref="E11:F11"/>
    <mergeCell ref="H11:I11"/>
    <mergeCell ref="H12:I12"/>
    <mergeCell ref="H10:I10"/>
    <mergeCell ref="H9:I9"/>
    <mergeCell ref="H8:I8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D850-669D-428C-B460-004B80E5D220}">
  <dimension ref="B1:I62"/>
  <sheetViews>
    <sheetView zoomScale="115" zoomScaleNormal="115" workbookViewId="0">
      <selection activeCell="H15" sqref="H15"/>
    </sheetView>
  </sheetViews>
  <sheetFormatPr defaultRowHeight="15" x14ac:dyDescent="0.25"/>
  <cols>
    <col min="1" max="1" width="2.7109375" customWidth="1"/>
    <col min="2" max="2" width="15.42578125" customWidth="1"/>
    <col min="3" max="3" width="54.140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36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8976030500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CAMSHAFT</v>
      </c>
      <c r="E15" s="54">
        <f>VLOOKUP(B15,[1]!Table3[[Part Number]:[Annual]],11,0)</f>
        <v>2</v>
      </c>
      <c r="F15" s="63">
        <f>VLOOKUP(B15,[1]!Table3[[Part Number]:[Annual]],4,0)</f>
        <v>2918.9897999999998</v>
      </c>
      <c r="G15" s="23">
        <f t="shared" ref="G15" si="0">E15*F15</f>
        <v>5837.9795999999997</v>
      </c>
      <c r="H15" s="24">
        <f>VLOOKUP(B15,[1]!Table3[[Part Number]:[Annual]],5,0)</f>
        <v>1459.49</v>
      </c>
      <c r="I15" s="25">
        <f t="shared" ref="I15:I55" si="1">ROUND(E15*H15,2)</f>
        <v>2918.98</v>
      </c>
    </row>
    <row r="16" spans="2:9" x14ac:dyDescent="0.25">
      <c r="B16" s="58">
        <v>8984814630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CRANKSHAFT</v>
      </c>
      <c r="E16" s="54">
        <f>VLOOKUP(B16,[1]!Table3[[Part Number]:[Annual]],11,0)</f>
        <v>2</v>
      </c>
      <c r="F16" s="63">
        <f>VLOOKUP(B16,[1]!Table3[[Part Number]:[Annual]],4,0)</f>
        <v>12606.2448</v>
      </c>
      <c r="G16" s="23">
        <f t="shared" ref="G16:G24" si="2">E16*F16</f>
        <v>25212.489600000001</v>
      </c>
      <c r="H16" s="24">
        <f>VLOOKUP(B16,[1]!Table3[[Part Number]:[Annual]],5,0)</f>
        <v>6303.12</v>
      </c>
      <c r="I16" s="25">
        <f t="shared" si="1"/>
        <v>12606.24</v>
      </c>
    </row>
    <row r="17" spans="2:9" x14ac:dyDescent="0.25">
      <c r="B17" s="58" t="s">
        <v>44</v>
      </c>
      <c r="C17" s="54" t="str">
        <f>VLOOKUP(B17,[1]!Table3[[Part Number]:[Annual]],2,0)</f>
        <v>CAT D7G (DSC) CAT D7G (DSC) (2) CAT D7G (DSC) (3) CAT D7G (SUB) CAT D7G (3ZD) CAT 572R (DSC) CAT 572R (DSC) (2)</v>
      </c>
      <c r="D17" s="54" t="str">
        <f>VLOOKUP(B17,[1]!Table3[[Part Number]:[Annual]],3,0)</f>
        <v>CAMSHAFT</v>
      </c>
      <c r="E17" s="54">
        <f>VLOOKUP(B17,[1]!Table3[[Part Number]:[Annual]],11,0)</f>
        <v>7</v>
      </c>
      <c r="F17" s="63">
        <f>VLOOKUP(B17,[1]!Table3[[Part Number]:[Annual]],4,0)</f>
        <v>6723.47</v>
      </c>
      <c r="G17" s="23">
        <f t="shared" si="2"/>
        <v>47064.29</v>
      </c>
      <c r="H17" s="24">
        <f>VLOOKUP(B17,[1]!Table3[[Part Number]:[Annual]],5,0)</f>
        <v>3361.74</v>
      </c>
      <c r="I17" s="25">
        <f t="shared" si="1"/>
        <v>23532.18</v>
      </c>
    </row>
    <row r="18" spans="2:9" x14ac:dyDescent="0.25">
      <c r="B18" s="58" t="s">
        <v>55</v>
      </c>
      <c r="C18" s="54" t="str">
        <f>VLOOKUP(B18,[1]!Table3[[Part Number]:[Annual]],2,0)</f>
        <v xml:space="preserve">CAT 594 (96V) CAT 594H (96V)          </v>
      </c>
      <c r="D18" s="54" t="str">
        <f>VLOOKUP(B18,[1]!Table3[[Part Number]:[Annual]],3,0)</f>
        <v>CRANKSHAFT</v>
      </c>
      <c r="E18" s="54">
        <f>VLOOKUP(B18,[1]!Table3[[Part Number]:[Annual]],11,0)</f>
        <v>2</v>
      </c>
      <c r="F18" s="63">
        <f>VLOOKUP(B18,[1]!Table3[[Part Number]:[Annual]],4,0)</f>
        <v>57259.02</v>
      </c>
      <c r="G18" s="23">
        <f t="shared" si="2"/>
        <v>114518.04</v>
      </c>
      <c r="H18" s="24">
        <f>VLOOKUP(B18,[1]!Table3[[Part Number]:[Annual]],5,0)</f>
        <v>28629.51</v>
      </c>
      <c r="I18" s="25">
        <f t="shared" si="1"/>
        <v>57259.02</v>
      </c>
    </row>
    <row r="19" spans="2:9" x14ac:dyDescent="0.25">
      <c r="B19" s="58" t="s">
        <v>45</v>
      </c>
      <c r="C19" s="54" t="str">
        <f>VLOOKUP(B19,[1]!Table3[[Part Number]:[Annual]],2,0)</f>
        <v>CAT D7G (DSC) CAT D7G (DSC) (2) CAT D7G (DSC) (3) CAT D7G (SUB) CAT D7G (3ZD) CAT 572R (DSC) CAT 572R (DSC) (2)</v>
      </c>
      <c r="D19" s="54" t="str">
        <f>VLOOKUP(B19,[1]!Table3[[Part Number]:[Annual]],3,0)</f>
        <v>CRANKSHAFT</v>
      </c>
      <c r="E19" s="54">
        <f>VLOOKUP(B19,[1]!Table3[[Part Number]:[Annual]],11,0)</f>
        <v>7</v>
      </c>
      <c r="F19" s="63">
        <f>VLOOKUP(B19,[1]!Table3[[Part Number]:[Annual]],4,0)</f>
        <v>20109.560000000001</v>
      </c>
      <c r="G19" s="23">
        <f t="shared" si="2"/>
        <v>140766.92000000001</v>
      </c>
      <c r="H19" s="24">
        <f>VLOOKUP(B19,[1]!Table3[[Part Number]:[Annual]],5,0)</f>
        <v>10054.780000000001</v>
      </c>
      <c r="I19" s="25">
        <f t="shared" si="1"/>
        <v>70383.460000000006</v>
      </c>
    </row>
    <row r="20" spans="2:9" x14ac:dyDescent="0.25">
      <c r="B20" s="58" t="s">
        <v>56</v>
      </c>
      <c r="C20" s="54" t="str">
        <f>VLOOKUP(B20,[1]!Table3[[Part Number]:[Annual]],2,0)</f>
        <v xml:space="preserve">CAT PL61 (DHA) CAT PL61 (WGS) CAT D6D (06X)        </v>
      </c>
      <c r="D20" s="54" t="str">
        <f>VLOOKUP(B20,[1]!Table3[[Part Number]:[Annual]],3,0)</f>
        <v>CAMSHAFT</v>
      </c>
      <c r="E20" s="54">
        <f>VLOOKUP(B20,[1]!Table3[[Part Number]:[Annual]],11,0)</f>
        <v>3</v>
      </c>
      <c r="F20" s="63">
        <f>VLOOKUP(B20,[1]!Table3[[Part Number]:[Annual]],4,0)</f>
        <v>744.17</v>
      </c>
      <c r="G20" s="23">
        <f t="shared" si="2"/>
        <v>2232.5099999999998</v>
      </c>
      <c r="H20" s="24">
        <f>VLOOKUP(B20,[1]!Table3[[Part Number]:[Annual]],5,0)</f>
        <v>372.09</v>
      </c>
      <c r="I20" s="25">
        <f t="shared" si="1"/>
        <v>1116.27</v>
      </c>
    </row>
    <row r="21" spans="2:9" x14ac:dyDescent="0.25">
      <c r="B21" s="58" t="s">
        <v>57</v>
      </c>
      <c r="C21" s="54" t="str">
        <f>VLOOKUP(B21,[1]!Table3[[Part Number]:[Annual]],2,0)</f>
        <v xml:space="preserve">CAT PL61 (DHA) CAT PL61 (WGS) CAT D6D (06X)        </v>
      </c>
      <c r="D21" s="54" t="str">
        <f>VLOOKUP(B21,[1]!Table3[[Part Number]:[Annual]],3,0)</f>
        <v>CRANKSHAFT</v>
      </c>
      <c r="E21" s="54">
        <f>VLOOKUP(B21,[1]!Table3[[Part Number]:[Annual]],11,0)</f>
        <v>3</v>
      </c>
      <c r="F21" s="63">
        <f>VLOOKUP(B21,[1]!Table3[[Part Number]:[Annual]],4,0)</f>
        <v>6363.17</v>
      </c>
      <c r="G21" s="23">
        <f t="shared" si="2"/>
        <v>19089.510000000002</v>
      </c>
      <c r="H21" s="24">
        <f>VLOOKUP(B21,[1]!Table3[[Part Number]:[Annual]],5,0)</f>
        <v>3181.59</v>
      </c>
      <c r="I21" s="25">
        <f t="shared" si="1"/>
        <v>9544.77</v>
      </c>
    </row>
    <row r="22" spans="2:9" x14ac:dyDescent="0.25">
      <c r="B22" s="58" t="s">
        <v>58</v>
      </c>
      <c r="C22" s="54" t="str">
        <f>VLOOKUP(B22,[1]!Table3[[Part Number]:[Annual]],2,0)</f>
        <v xml:space="preserve">CAT 594 (96V) CAT 594H (96V)          </v>
      </c>
      <c r="D22" s="54" t="str">
        <f>VLOOKUP(B22,[1]!Table3[[Part Number]:[Annual]],3,0)</f>
        <v>CAMSHAFT</v>
      </c>
      <c r="E22" s="54">
        <f>VLOOKUP(B22,[1]!Table3[[Part Number]:[Annual]],11,0)</f>
        <v>2</v>
      </c>
      <c r="F22" s="63">
        <f>VLOOKUP(B22,[1]!Table3[[Part Number]:[Annual]],4,0)</f>
        <v>6442.44</v>
      </c>
      <c r="G22" s="23">
        <f t="shared" si="2"/>
        <v>12884.88</v>
      </c>
      <c r="H22" s="24">
        <f>VLOOKUP(B22,[1]!Table3[[Part Number]:[Annual]],5,0)</f>
        <v>3221.22</v>
      </c>
      <c r="I22" s="25">
        <f t="shared" si="1"/>
        <v>6442.44</v>
      </c>
    </row>
    <row r="23" spans="2:9" x14ac:dyDescent="0.25">
      <c r="B23" s="58" t="s">
        <v>59</v>
      </c>
      <c r="C23" s="54" t="str">
        <f>VLOOKUP(B23,[1]!Table3[[Part Number]:[Annual]],2,0)</f>
        <v xml:space="preserve">HITACHI ZX290LC-5 (1FF) HITACHI ZX290LC-5 (1FF) (2) HITACHI ZX290LC-5 (1FF) (3)        </v>
      </c>
      <c r="D23" s="54" t="str">
        <f>VLOOKUP(B23,[1]!Table3[[Part Number]:[Annual]],3,0)</f>
        <v>CAMSHAFT</v>
      </c>
      <c r="E23" s="54">
        <f>VLOOKUP(B23,[1]!Table3[[Part Number]:[Annual]],11,0)</f>
        <v>3</v>
      </c>
      <c r="F23" s="63">
        <f>VLOOKUP(B23,[1]!Table3[[Part Number]:[Annual]],4,0)</f>
        <v>798.0401999999998</v>
      </c>
      <c r="G23" s="23">
        <f t="shared" si="2"/>
        <v>2394.1205999999993</v>
      </c>
      <c r="H23" s="24">
        <f>VLOOKUP(B23,[1]!Table3[[Part Number]:[Annual]],5,0)</f>
        <v>399.02</v>
      </c>
      <c r="I23" s="25">
        <f t="shared" si="1"/>
        <v>1197.06</v>
      </c>
    </row>
    <row r="24" spans="2:9" x14ac:dyDescent="0.25">
      <c r="B24" s="54" t="s">
        <v>60</v>
      </c>
      <c r="C24" s="54" t="str">
        <f>VLOOKUP(B24,[1]!Table3[[Part Number]:[Annual]],2,0)</f>
        <v xml:space="preserve">HITACHI ZX290LC-5 (1FF) HITACHI ZX290LC-5 (1FF) (2) HITACHI ZX290LC-5 (1FF) (3)        </v>
      </c>
      <c r="D24" s="54" t="str">
        <f>VLOOKUP(B24,[1]!Table3[[Part Number]:[Annual]],3,0)</f>
        <v>CRANKSHAFT</v>
      </c>
      <c r="E24" s="54">
        <f>VLOOKUP(B24,[1]!Table3[[Part Number]:[Annual]],11,0)</f>
        <v>3</v>
      </c>
      <c r="F24" s="63">
        <f>VLOOKUP(B24,[1]!Table3[[Part Number]:[Annual]],4,0)</f>
        <v>5593.070999999999</v>
      </c>
      <c r="G24" s="23">
        <f t="shared" si="2"/>
        <v>16779.212999999996</v>
      </c>
      <c r="H24" s="24">
        <f>VLOOKUP(B24,[1]!Table3[[Part Number]:[Annual]],5,0)</f>
        <v>2796.54</v>
      </c>
      <c r="I24" s="25">
        <f t="shared" si="1"/>
        <v>8389.6200000000008</v>
      </c>
    </row>
    <row r="25" spans="2:9" x14ac:dyDescent="0.25">
      <c r="B25" s="54"/>
      <c r="C25" s="52"/>
      <c r="D25" s="21"/>
      <c r="E25" s="51"/>
      <c r="F25" s="23"/>
      <c r="G25" s="23"/>
      <c r="H25" s="24"/>
      <c r="I25" s="25">
        <f t="shared" si="1"/>
        <v>0</v>
      </c>
    </row>
    <row r="26" spans="2:9" x14ac:dyDescent="0.25">
      <c r="B26" s="54"/>
      <c r="C26" s="52"/>
      <c r="D26" s="21"/>
      <c r="E26" s="51"/>
      <c r="F26" s="23"/>
      <c r="G26" s="23"/>
      <c r="H26" s="24"/>
      <c r="I26" s="25">
        <f t="shared" si="1"/>
        <v>0</v>
      </c>
    </row>
    <row r="27" spans="2:9" x14ac:dyDescent="0.25">
      <c r="B27" s="54"/>
      <c r="C27" s="52"/>
      <c r="D27" s="21"/>
      <c r="E27" s="51"/>
      <c r="F27" s="23"/>
      <c r="G27" s="23"/>
      <c r="H27" s="24"/>
      <c r="I27" s="25">
        <f t="shared" si="1"/>
        <v>0</v>
      </c>
    </row>
    <row r="28" spans="2:9" x14ac:dyDescent="0.25">
      <c r="B28" s="54"/>
      <c r="C28" s="52"/>
      <c r="D28" s="21"/>
      <c r="E28" s="51"/>
      <c r="F28" s="23"/>
      <c r="G28" s="23"/>
      <c r="H28" s="24"/>
      <c r="I28" s="25">
        <f t="shared" si="1"/>
        <v>0</v>
      </c>
    </row>
    <row r="29" spans="2:9" x14ac:dyDescent="0.25">
      <c r="B29" s="54"/>
      <c r="C29" s="52"/>
      <c r="D29" s="21"/>
      <c r="E29" s="51"/>
      <c r="F29" s="23"/>
      <c r="G29" s="23"/>
      <c r="H29" s="24"/>
      <c r="I29" s="25">
        <f t="shared" si="1"/>
        <v>0</v>
      </c>
    </row>
    <row r="30" spans="2:9" x14ac:dyDescent="0.25">
      <c r="B30" s="54"/>
      <c r="C30" s="52"/>
      <c r="D30" s="21"/>
      <c r="E30" s="51"/>
      <c r="F30" s="23"/>
      <c r="G30" s="23"/>
      <c r="H30" s="24"/>
      <c r="I30" s="25">
        <f t="shared" si="1"/>
        <v>0</v>
      </c>
    </row>
    <row r="31" spans="2:9" x14ac:dyDescent="0.25">
      <c r="B31" s="54"/>
      <c r="C31" s="52"/>
      <c r="D31" s="21"/>
      <c r="E31" s="51"/>
      <c r="F31" s="23"/>
      <c r="G31" s="23"/>
      <c r="H31" s="24"/>
      <c r="I31" s="25">
        <f t="shared" si="1"/>
        <v>0</v>
      </c>
    </row>
    <row r="32" spans="2:9" x14ac:dyDescent="0.25">
      <c r="B32" s="54"/>
      <c r="C32" s="52"/>
      <c r="D32" s="21"/>
      <c r="E32" s="51"/>
      <c r="F32" s="23"/>
      <c r="G32" s="23"/>
      <c r="H32" s="24"/>
      <c r="I32" s="25">
        <f t="shared" si="1"/>
        <v>0</v>
      </c>
    </row>
    <row r="33" spans="2:9" x14ac:dyDescent="0.25">
      <c r="B33" s="54"/>
      <c r="C33" s="52"/>
      <c r="D33" s="21"/>
      <c r="E33" s="51"/>
      <c r="F33" s="23"/>
      <c r="G33" s="23"/>
      <c r="H33" s="24"/>
      <c r="I33" s="25">
        <f t="shared" si="1"/>
        <v>0</v>
      </c>
    </row>
    <row r="34" spans="2:9" x14ac:dyDescent="0.25">
      <c r="B34" s="54"/>
      <c r="C34" s="52"/>
      <c r="D34" s="21"/>
      <c r="E34" s="51"/>
      <c r="F34" s="23"/>
      <c r="G34" s="23"/>
      <c r="H34" s="24"/>
      <c r="I34" s="25">
        <f t="shared" si="1"/>
        <v>0</v>
      </c>
    </row>
    <row r="35" spans="2:9" x14ac:dyDescent="0.25">
      <c r="B35" s="54"/>
      <c r="C35" s="52"/>
      <c r="D35" s="21"/>
      <c r="E35" s="51"/>
      <c r="F35" s="23"/>
      <c r="G35" s="23"/>
      <c r="H35" s="24"/>
      <c r="I35" s="25">
        <f t="shared" si="1"/>
        <v>0</v>
      </c>
    </row>
    <row r="36" spans="2:9" x14ac:dyDescent="0.25">
      <c r="B36" s="54"/>
      <c r="C36" s="52"/>
      <c r="D36" s="21"/>
      <c r="E36" s="51"/>
      <c r="F36" s="23"/>
      <c r="G36" s="23"/>
      <c r="H36" s="24"/>
      <c r="I36" s="25">
        <f t="shared" si="1"/>
        <v>0</v>
      </c>
    </row>
    <row r="37" spans="2:9" x14ac:dyDescent="0.25">
      <c r="B37" s="54"/>
      <c r="C37" s="52"/>
      <c r="D37" s="21"/>
      <c r="E37" s="51"/>
      <c r="F37" s="23"/>
      <c r="G37" s="23"/>
      <c r="H37" s="24"/>
      <c r="I37" s="25">
        <f t="shared" si="1"/>
        <v>0</v>
      </c>
    </row>
    <row r="38" spans="2:9" x14ac:dyDescent="0.25">
      <c r="B38" s="54"/>
      <c r="C38" s="52"/>
      <c r="D38" s="21"/>
      <c r="E38" s="51"/>
      <c r="F38" s="23"/>
      <c r="G38" s="23"/>
      <c r="H38" s="24"/>
      <c r="I38" s="25">
        <f t="shared" si="1"/>
        <v>0</v>
      </c>
    </row>
    <row r="39" spans="2:9" x14ac:dyDescent="0.25">
      <c r="B39" s="58"/>
      <c r="C39" s="52"/>
      <c r="D39" s="21"/>
      <c r="E39" s="51"/>
      <c r="F39" s="23"/>
      <c r="G39" s="23"/>
      <c r="H39" s="24"/>
      <c r="I39" s="25">
        <f t="shared" si="1"/>
        <v>0</v>
      </c>
    </row>
    <row r="40" spans="2:9" x14ac:dyDescent="0.25">
      <c r="B40" s="54"/>
      <c r="C40" s="52"/>
      <c r="D40" s="21"/>
      <c r="E40" s="51"/>
      <c r="F40" s="23"/>
      <c r="G40" s="23"/>
      <c r="H40" s="24"/>
      <c r="I40" s="25">
        <f t="shared" si="1"/>
        <v>0</v>
      </c>
    </row>
    <row r="41" spans="2:9" x14ac:dyDescent="0.25">
      <c r="B41" s="54"/>
      <c r="C41" s="52"/>
      <c r="D41" s="21"/>
      <c r="E41" s="51"/>
      <c r="F41" s="23"/>
      <c r="G41" s="23"/>
      <c r="H41" s="24"/>
      <c r="I41" s="25">
        <f t="shared" si="1"/>
        <v>0</v>
      </c>
    </row>
    <row r="42" spans="2:9" x14ac:dyDescent="0.25">
      <c r="B42" s="54"/>
      <c r="C42" s="52"/>
      <c r="D42" s="21"/>
      <c r="E42" s="51"/>
      <c r="F42" s="23"/>
      <c r="G42" s="23"/>
      <c r="H42" s="24"/>
      <c r="I42" s="25">
        <f t="shared" si="1"/>
        <v>0</v>
      </c>
    </row>
    <row r="43" spans="2:9" x14ac:dyDescent="0.25">
      <c r="B43" s="54"/>
      <c r="C43" s="52"/>
      <c r="D43" s="21"/>
      <c r="E43" s="51"/>
      <c r="F43" s="23"/>
      <c r="G43" s="23"/>
      <c r="H43" s="24"/>
      <c r="I43" s="25">
        <f t="shared" si="1"/>
        <v>0</v>
      </c>
    </row>
    <row r="44" spans="2:9" x14ac:dyDescent="0.25">
      <c r="B44" s="54"/>
      <c r="C44" s="52"/>
      <c r="D44" s="21"/>
      <c r="E44" s="51"/>
      <c r="F44" s="23"/>
      <c r="G44" s="23"/>
      <c r="H44" s="24"/>
      <c r="I44" s="25">
        <f t="shared" si="1"/>
        <v>0</v>
      </c>
    </row>
    <row r="45" spans="2:9" x14ac:dyDescent="0.25">
      <c r="B45" s="54"/>
      <c r="C45" s="52"/>
      <c r="D45" s="21"/>
      <c r="E45" s="51"/>
      <c r="F45" s="23"/>
      <c r="G45" s="23"/>
      <c r="H45" s="24"/>
      <c r="I45" s="25">
        <f t="shared" si="1"/>
        <v>0</v>
      </c>
    </row>
    <row r="46" spans="2:9" x14ac:dyDescent="0.25">
      <c r="B46" s="54"/>
      <c r="C46" s="52"/>
      <c r="D46" s="21"/>
      <c r="E46" s="51"/>
      <c r="F46" s="23"/>
      <c r="G46" s="23"/>
      <c r="H46" s="24"/>
      <c r="I46" s="25">
        <f t="shared" si="1"/>
        <v>0</v>
      </c>
    </row>
    <row r="47" spans="2:9" x14ac:dyDescent="0.25">
      <c r="B47" s="21"/>
      <c r="C47" s="21"/>
      <c r="D47" s="21"/>
      <c r="E47" s="22"/>
      <c r="F47" s="23"/>
      <c r="G47" s="23"/>
      <c r="H47" s="24"/>
      <c r="I47" s="25">
        <f t="shared" si="1"/>
        <v>0</v>
      </c>
    </row>
    <row r="48" spans="2:9" x14ac:dyDescent="0.25">
      <c r="B48" s="21"/>
      <c r="C48" s="21"/>
      <c r="D48" s="21"/>
      <c r="E48" s="22"/>
      <c r="F48" s="23"/>
      <c r="G48" s="23"/>
      <c r="H48" s="24"/>
      <c r="I48" s="25">
        <f t="shared" si="1"/>
        <v>0</v>
      </c>
    </row>
    <row r="49" spans="2:9" x14ac:dyDescent="0.25">
      <c r="B49" s="21"/>
      <c r="C49" s="21"/>
      <c r="D49" s="21"/>
      <c r="E49" s="22"/>
      <c r="F49" s="23"/>
      <c r="G49" s="23"/>
      <c r="H49" s="24"/>
      <c r="I49" s="25">
        <f t="shared" si="1"/>
        <v>0</v>
      </c>
    </row>
    <row r="50" spans="2:9" x14ac:dyDescent="0.25">
      <c r="B50" s="21"/>
      <c r="C50" s="21"/>
      <c r="D50" s="21"/>
      <c r="E50" s="22"/>
      <c r="F50" s="23"/>
      <c r="G50" s="23"/>
      <c r="H50" s="24"/>
      <c r="I50" s="25">
        <f t="shared" si="1"/>
        <v>0</v>
      </c>
    </row>
    <row r="51" spans="2:9" x14ac:dyDescent="0.25">
      <c r="B51" s="21"/>
      <c r="C51" s="21"/>
      <c r="D51" s="21"/>
      <c r="E51" s="22"/>
      <c r="F51" s="23"/>
      <c r="G51" s="23"/>
      <c r="H51" s="24"/>
      <c r="I51" s="25">
        <f t="shared" si="1"/>
        <v>0</v>
      </c>
    </row>
    <row r="52" spans="2:9" x14ac:dyDescent="0.25">
      <c r="B52" s="21"/>
      <c r="C52" s="21"/>
      <c r="D52" s="21"/>
      <c r="E52" s="22"/>
      <c r="F52" s="23"/>
      <c r="G52" s="23"/>
      <c r="H52" s="24"/>
      <c r="I52" s="25">
        <f t="shared" si="1"/>
        <v>0</v>
      </c>
    </row>
    <row r="53" spans="2:9" x14ac:dyDescent="0.25">
      <c r="B53" s="21"/>
      <c r="C53" s="21"/>
      <c r="D53" s="21"/>
      <c r="E53" s="22"/>
      <c r="F53" s="23"/>
      <c r="G53" s="23"/>
      <c r="H53" s="24"/>
      <c r="I53" s="25">
        <f t="shared" si="1"/>
        <v>0</v>
      </c>
    </row>
    <row r="54" spans="2:9" x14ac:dyDescent="0.25">
      <c r="B54" s="21"/>
      <c r="C54" s="21"/>
      <c r="D54" s="21"/>
      <c r="E54" s="22"/>
      <c r="F54" s="23"/>
      <c r="G54" s="23"/>
      <c r="H54" s="24"/>
      <c r="I54" s="25">
        <f t="shared" si="1"/>
        <v>0</v>
      </c>
    </row>
    <row r="55" spans="2:9" x14ac:dyDescent="0.25">
      <c r="B55" s="21"/>
      <c r="C55" s="21"/>
      <c r="D55" s="21"/>
      <c r="E55" s="22"/>
      <c r="F55" s="23"/>
      <c r="G55" s="23"/>
      <c r="H55" s="24"/>
      <c r="I55" s="25">
        <f t="shared" si="1"/>
        <v>0</v>
      </c>
    </row>
    <row r="56" spans="2:9" x14ac:dyDescent="0.25">
      <c r="B56" s="75"/>
      <c r="C56" s="76"/>
      <c r="D56" s="76"/>
      <c r="E56" s="76"/>
      <c r="F56" s="77"/>
      <c r="G56" s="26"/>
      <c r="H56" s="27" t="s">
        <v>16</v>
      </c>
      <c r="I56" s="28">
        <f>SUM(I15:I55)</f>
        <v>193390.03999999998</v>
      </c>
    </row>
    <row r="57" spans="2:9" x14ac:dyDescent="0.25">
      <c r="B57" s="29"/>
      <c r="C57" s="30"/>
      <c r="D57" s="31" t="s">
        <v>17</v>
      </c>
      <c r="E57" s="78">
        <f>SUM(G15:G55)</f>
        <v>386779.95280000009</v>
      </c>
      <c r="F57" s="79"/>
      <c r="G57" s="32"/>
      <c r="H57" s="27" t="s">
        <v>18</v>
      </c>
      <c r="I57" s="33">
        <v>0</v>
      </c>
    </row>
    <row r="58" spans="2:9" x14ac:dyDescent="0.25">
      <c r="B58" s="29"/>
      <c r="C58" s="30"/>
      <c r="D58" s="31" t="s">
        <v>19</v>
      </c>
      <c r="E58" s="78">
        <f>SUM(I15:I55)</f>
        <v>193390.03999999998</v>
      </c>
      <c r="F58" s="79"/>
      <c r="G58" s="32"/>
      <c r="H58" s="34" t="s">
        <v>20</v>
      </c>
      <c r="I58" s="33">
        <v>0</v>
      </c>
    </row>
    <row r="59" spans="2:9" x14ac:dyDescent="0.25">
      <c r="B59" s="29"/>
      <c r="C59" s="30"/>
      <c r="D59" s="31" t="s">
        <v>21</v>
      </c>
      <c r="E59" s="88">
        <f>E57-E58</f>
        <v>193389.91280000011</v>
      </c>
      <c r="F59" s="89"/>
      <c r="G59" s="35"/>
      <c r="H59" s="27" t="s">
        <v>22</v>
      </c>
      <c r="I59" s="36">
        <f>SUM(I56:I58)</f>
        <v>193390.03999999998</v>
      </c>
    </row>
    <row r="60" spans="2:9" x14ac:dyDescent="0.25">
      <c r="B60" s="29"/>
      <c r="C60" s="30"/>
      <c r="D60" s="31"/>
      <c r="E60" s="90"/>
      <c r="F60" s="91"/>
      <c r="G60" s="37"/>
      <c r="H60" s="27" t="s">
        <v>23</v>
      </c>
      <c r="I60" s="36">
        <f>I59*0.05</f>
        <v>9669.5019999999986</v>
      </c>
    </row>
    <row r="61" spans="2:9" x14ac:dyDescent="0.25">
      <c r="B61" s="29"/>
      <c r="C61" s="30"/>
      <c r="D61" s="38"/>
      <c r="E61" s="38"/>
      <c r="F61" s="39"/>
      <c r="G61" s="39"/>
      <c r="H61" s="27" t="s">
        <v>24</v>
      </c>
      <c r="I61" s="33"/>
    </row>
    <row r="62" spans="2:9" ht="15.75" x14ac:dyDescent="0.25">
      <c r="B62" s="85" t="s">
        <v>25</v>
      </c>
      <c r="C62" s="86"/>
      <c r="D62" s="86"/>
      <c r="E62" s="86"/>
      <c r="F62" s="87"/>
      <c r="G62" s="40"/>
      <c r="H62" s="41" t="s">
        <v>26</v>
      </c>
      <c r="I62" s="42">
        <f>SUM(I59:I61)</f>
        <v>203059.54199999999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62:F62"/>
    <mergeCell ref="F13:I13"/>
    <mergeCell ref="B56:F56"/>
    <mergeCell ref="E57:F57"/>
    <mergeCell ref="E58:F58"/>
    <mergeCell ref="E59:F59"/>
    <mergeCell ref="E60:F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4A5F-3A2C-4DA2-9F3F-238E58578600}">
  <dimension ref="B1:I171"/>
  <sheetViews>
    <sheetView workbookViewId="0">
      <selection activeCell="E58" sqref="E15:E58"/>
    </sheetView>
  </sheetViews>
  <sheetFormatPr defaultRowHeight="15" x14ac:dyDescent="0.25"/>
  <cols>
    <col min="1" max="1" width="2.7109375" customWidth="1"/>
    <col min="2" max="2" width="15.42578125" customWidth="1"/>
    <col min="3" max="3" width="45.28515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33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4630525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HYDRAULIC FILTER</v>
      </c>
      <c r="E15" s="54">
        <f>VLOOKUP(B15,[1]!Table3[[Part Number]:[Annual]],7,0)</f>
        <v>2</v>
      </c>
      <c r="F15" s="63">
        <f>VLOOKUP(B15,[1]!Table3[[Part Number]:[Annual]],4,0)</f>
        <v>96.144599999999997</v>
      </c>
      <c r="G15" s="24">
        <f t="shared" ref="G15:G30" si="0">E15*F15</f>
        <v>192.28919999999999</v>
      </c>
      <c r="H15" s="24">
        <f>VLOOKUP(B15,[1]!Table3[[Part Number]:[Annual]],5,0)</f>
        <v>48.07</v>
      </c>
      <c r="I15" s="25">
        <f t="shared" ref="I15:I54" si="1">ROUND(E15*H15,2)</f>
        <v>96.14</v>
      </c>
    </row>
    <row r="16" spans="2:9" x14ac:dyDescent="0.25">
      <c r="B16" s="58">
        <v>8981527381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FINAL FUEL FILTER</v>
      </c>
      <c r="E16" s="54">
        <f>VLOOKUP(B16,[1]!Table3[[Part Number]:[Annual]],7,0)</f>
        <v>8</v>
      </c>
      <c r="F16" s="63">
        <f>VLOOKUP(B16,[1]!Table3[[Part Number]:[Annual]],4,0)</f>
        <v>80.867999999999995</v>
      </c>
      <c r="G16" s="24">
        <f t="shared" ref="G16:G58" si="2">E16*F16</f>
        <v>646.94399999999996</v>
      </c>
      <c r="H16" s="24">
        <f>VLOOKUP(B16,[1]!Table3[[Part Number]:[Annual]],5,0)</f>
        <v>40.43</v>
      </c>
      <c r="I16" s="25">
        <f t="shared" si="1"/>
        <v>323.44</v>
      </c>
    </row>
    <row r="17" spans="2:9" x14ac:dyDescent="0.25">
      <c r="B17" s="58">
        <v>8983020750</v>
      </c>
      <c r="C17" s="54" t="str">
        <f>VLOOKUP(B17,[1]!Table3[[Part Number]:[Annual]],2,0)</f>
        <v xml:space="preserve">JD 470GLC (1FF) HITACHI 470GLC (HCM)          </v>
      </c>
      <c r="D17" s="54" t="str">
        <f>VLOOKUP(B17,[1]!Table3[[Part Number]:[Annual]],3,0)</f>
        <v>ENGINE OIL FILTER</v>
      </c>
      <c r="E17" s="54">
        <f>VLOOKUP(B17,[1]!Table3[[Part Number]:[Annual]],7,0)</f>
        <v>8</v>
      </c>
      <c r="F17" s="63">
        <f>VLOOKUP(B17,[1]!Table3[[Part Number]:[Annual]],4,0)</f>
        <v>107.0742</v>
      </c>
      <c r="G17" s="24">
        <f t="shared" si="2"/>
        <v>856.59360000000004</v>
      </c>
      <c r="H17" s="24">
        <f>VLOOKUP(B17,[1]!Table3[[Part Number]:[Annual]],5,0)</f>
        <v>53.54</v>
      </c>
      <c r="I17" s="25">
        <f t="shared" si="1"/>
        <v>428.32</v>
      </c>
    </row>
    <row r="18" spans="2:9" x14ac:dyDescent="0.25">
      <c r="B18" s="58" t="s">
        <v>74</v>
      </c>
      <c r="C18" s="54" t="str">
        <f>VLOOKUP(B18,[1]!Table3[[Part Number]:[Annual]],2,0)</f>
        <v xml:space="preserve">CAT PL61 (DHA) CAT PL61 (WGS) CAT D6D (06X)        </v>
      </c>
      <c r="D18" s="54" t="str">
        <f>VLOOKUP(B18,[1]!Table3[[Part Number]:[Annual]],3,0)</f>
        <v>HYDRAULIC OIL FILTER (POWER TRAIN)</v>
      </c>
      <c r="E18" s="54">
        <f>VLOOKUP(B18,[1]!Table3[[Part Number]:[Annual]],7,0)</f>
        <v>3</v>
      </c>
      <c r="F18" s="63">
        <f>VLOOKUP(B18,[1]!Table3[[Part Number]:[Annual]],4,0)</f>
        <v>145.28</v>
      </c>
      <c r="G18" s="24">
        <f t="shared" si="2"/>
        <v>435.84000000000003</v>
      </c>
      <c r="H18" s="24">
        <f>VLOOKUP(B18,[1]!Table3[[Part Number]:[Annual]],5,0)</f>
        <v>72.64</v>
      </c>
      <c r="I18" s="25">
        <f t="shared" si="1"/>
        <v>217.92</v>
      </c>
    </row>
    <row r="19" spans="2:9" x14ac:dyDescent="0.25">
      <c r="B19" s="58" t="s">
        <v>100</v>
      </c>
      <c r="C19" s="54" t="str">
        <f>VLOOKUP(B19,[1]!Table3[[Part Number]:[Annual]],2,0)</f>
        <v xml:space="preserve">CAT 583T (CMX) CAT 589 (31Z) CAT DK8 (893) CAT DK8 (950)      </v>
      </c>
      <c r="D19" s="54" t="str">
        <f>VLOOKUP(B19,[1]!Table3[[Part Number]:[Annual]],3,0)</f>
        <v>Air Filter - Secondary</v>
      </c>
      <c r="E19" s="54">
        <f>VLOOKUP(B19,[1]!Table3[[Part Number]:[Annual]],7,0)</f>
        <v>8</v>
      </c>
      <c r="F19" s="63">
        <f>VLOOKUP(B19,[1]!Table3[[Part Number]:[Annual]],4,0)</f>
        <v>167.36</v>
      </c>
      <c r="G19" s="24">
        <f t="shared" si="2"/>
        <v>1338.88</v>
      </c>
      <c r="H19" s="24">
        <f>VLOOKUP(B19,[1]!Table3[[Part Number]:[Annual]],5,0)</f>
        <v>108.78</v>
      </c>
      <c r="I19" s="25">
        <f t="shared" si="1"/>
        <v>870.24</v>
      </c>
    </row>
    <row r="20" spans="2:9" x14ac:dyDescent="0.25">
      <c r="B20" s="58" t="s">
        <v>61</v>
      </c>
      <c r="C20" s="54" t="str">
        <f>VLOOKUP(B20,[1]!Table3[[Part Number]:[Annual]],2,0)</f>
        <v xml:space="preserve">CAT 594 (96V) CAT 594H (96V)          </v>
      </c>
      <c r="D20" s="54" t="str">
        <f>VLOOKUP(B20,[1]!Table3[[Part Number]:[Annual]],3,0)</f>
        <v>SECONDARY AIR FILTER ELEMENT</v>
      </c>
      <c r="E20" s="54">
        <f>VLOOKUP(B20,[1]!Table3[[Part Number]:[Annual]],7,0)</f>
        <v>6</v>
      </c>
      <c r="F20" s="63">
        <f>VLOOKUP(B20,[1]!Table3[[Part Number]:[Annual]],4,0)</f>
        <v>222</v>
      </c>
      <c r="G20" s="24">
        <f t="shared" si="2"/>
        <v>1332</v>
      </c>
      <c r="H20" s="24">
        <f>VLOOKUP(B20,[1]!Table3[[Part Number]:[Annual]],5,0)</f>
        <v>144.30000000000001</v>
      </c>
      <c r="I20" s="25">
        <f t="shared" si="1"/>
        <v>865.8</v>
      </c>
    </row>
    <row r="21" spans="2:9" x14ac:dyDescent="0.25">
      <c r="B21" s="58" t="s">
        <v>62</v>
      </c>
      <c r="C21" s="54" t="str">
        <f>VLOOKUP(B21,[1]!Table3[[Part Number]:[Annual]],2,0)</f>
        <v xml:space="preserve">CAT 594 (96V) CAT 594H (96V)          </v>
      </c>
      <c r="D21" s="54" t="str">
        <f>VLOOKUP(B21,[1]!Table3[[Part Number]:[Annual]],3,0)</f>
        <v>PRIMARY AIR FILTER ELEMENT</v>
      </c>
      <c r="E21" s="54">
        <f>VLOOKUP(B21,[1]!Table3[[Part Number]:[Annual]],7,0)</f>
        <v>6</v>
      </c>
      <c r="F21" s="63">
        <f>VLOOKUP(B21,[1]!Table3[[Part Number]:[Annual]],4,0)</f>
        <v>121.8</v>
      </c>
      <c r="G21" s="24">
        <f t="shared" si="2"/>
        <v>730.8</v>
      </c>
      <c r="H21" s="24">
        <f>VLOOKUP(B21,[1]!Table3[[Part Number]:[Annual]],5,0)</f>
        <v>79.17</v>
      </c>
      <c r="I21" s="25">
        <f t="shared" si="1"/>
        <v>475.02</v>
      </c>
    </row>
    <row r="22" spans="2:9" x14ac:dyDescent="0.25">
      <c r="B22" s="58" t="s">
        <v>47</v>
      </c>
      <c r="C22" s="54" t="str">
        <f>VLOOKUP(B22,[1]!Table3[[Part Number]:[Annual]],2,0)</f>
        <v>CAT D7G (DSC) CAT D7G (DSC) (2) CAT D7G (DSC) (3) CAT D7G (SUB) CAT D7G (3ZD) CAT 572R (DSC) CAT 572R (DSC) (2)</v>
      </c>
      <c r="D22" s="54" t="str">
        <f>VLOOKUP(B22,[1]!Table3[[Part Number]:[Annual]],3,0)</f>
        <v>ENGINE OIL FILTER</v>
      </c>
      <c r="E22" s="54">
        <f>VLOOKUP(B22,[1]!Table3[[Part Number]:[Annual]],7,0)</f>
        <v>21</v>
      </c>
      <c r="F22" s="63">
        <f>VLOOKUP(B22,[1]!Table3[[Part Number]:[Annual]],4,0)</f>
        <v>59.49</v>
      </c>
      <c r="G22" s="24">
        <f t="shared" si="2"/>
        <v>1249.29</v>
      </c>
      <c r="H22" s="24">
        <f>VLOOKUP(B22,[1]!Table3[[Part Number]:[Annual]],5,0)</f>
        <v>29.75</v>
      </c>
      <c r="I22" s="25">
        <f t="shared" si="1"/>
        <v>624.75</v>
      </c>
    </row>
    <row r="23" spans="2:9" x14ac:dyDescent="0.25">
      <c r="B23" s="58" t="s">
        <v>75</v>
      </c>
      <c r="C23" s="54" t="str">
        <f>VLOOKUP(B23,[1]!Table3[[Part Number]:[Annual]],2,0)</f>
        <v xml:space="preserve">CAT 594 (96V) CAT 594H (96V)          </v>
      </c>
      <c r="D23" s="54" t="str">
        <f>VLOOKUP(B23,[1]!Table3[[Part Number]:[Annual]],3,0)</f>
        <v>HYDRAULIC FILTER</v>
      </c>
      <c r="E23" s="54">
        <f>VLOOKUP(B23,[1]!Table3[[Part Number]:[Annual]],7,0)</f>
        <v>4</v>
      </c>
      <c r="F23" s="63">
        <f>VLOOKUP(B23,[1]!Table3[[Part Number]:[Annual]],4,0)</f>
        <v>47.98</v>
      </c>
      <c r="G23" s="24">
        <f t="shared" si="2"/>
        <v>191.92</v>
      </c>
      <c r="H23" s="24">
        <f>VLOOKUP(B23,[1]!Table3[[Part Number]:[Annual]],5,0)</f>
        <v>23.99</v>
      </c>
      <c r="I23" s="25">
        <f t="shared" si="1"/>
        <v>95.96</v>
      </c>
    </row>
    <row r="24" spans="2:9" x14ac:dyDescent="0.25">
      <c r="B24" s="58" t="s">
        <v>76</v>
      </c>
      <c r="C24" s="54" t="str">
        <f>VLOOKUP(B24,[1]!Table3[[Part Number]:[Annual]],2,0)</f>
        <v xml:space="preserve">CAT 583T (CMX) CAT 589 (31Z) CAT 594 (96V) CAT 594H (96V) CAT DK8 (893) CAT DK8 (950)  </v>
      </c>
      <c r="D24" s="54" t="str">
        <f>VLOOKUP(B24,[1]!Table3[[Part Number]:[Annual]],3,0)</f>
        <v>Hydraulic Filter</v>
      </c>
      <c r="E24" s="54">
        <f>VLOOKUP(B24,[1]!Table3[[Part Number]:[Annual]],7,0)</f>
        <v>16</v>
      </c>
      <c r="F24" s="63">
        <f>VLOOKUP(B24,[1]!Table3[[Part Number]:[Annual]],4,0)</f>
        <v>38.31</v>
      </c>
      <c r="G24" s="24">
        <f t="shared" si="2"/>
        <v>612.96</v>
      </c>
      <c r="H24" s="24">
        <f>VLOOKUP(B24,[1]!Table3[[Part Number]:[Annual]],5,0)</f>
        <v>19.16</v>
      </c>
      <c r="I24" s="25">
        <f t="shared" si="1"/>
        <v>306.56</v>
      </c>
    </row>
    <row r="25" spans="2:9" x14ac:dyDescent="0.25">
      <c r="B25" s="58" t="s">
        <v>37</v>
      </c>
      <c r="C25" s="54" t="str">
        <f>VLOOKUP(B25,[1]!Table3[[Part Number]:[Annual]],2,0)</f>
        <v>CAT D7G (DSC) CAT D7G (DSC) (2) CAT D7G (DSC) (3) CAT D7G (SUB) CAT D7G (3ZD) CAT 572R (DSC) CAT 572R (DSC) (2)</v>
      </c>
      <c r="D25" s="54" t="str">
        <f>VLOOKUP(B25,[1]!Table3[[Part Number]:[Annual]],3,0)</f>
        <v>FUEL FILTER</v>
      </c>
      <c r="E25" s="54">
        <f>VLOOKUP(B25,[1]!Table3[[Part Number]:[Annual]],7,0)</f>
        <v>21</v>
      </c>
      <c r="F25" s="63">
        <f>VLOOKUP(B25,[1]!Table3[[Part Number]:[Annual]],4,0)</f>
        <v>49.75</v>
      </c>
      <c r="G25" s="24">
        <f t="shared" si="2"/>
        <v>1044.75</v>
      </c>
      <c r="H25" s="24">
        <f>VLOOKUP(B25,[1]!Table3[[Part Number]:[Annual]],5,0)</f>
        <v>24.88</v>
      </c>
      <c r="I25" s="25">
        <f t="shared" si="1"/>
        <v>522.48</v>
      </c>
    </row>
    <row r="26" spans="2:9" x14ac:dyDescent="0.25">
      <c r="B26" s="58" t="s">
        <v>79</v>
      </c>
      <c r="C26" s="54" t="str">
        <f>VLOOKUP(B26,[1]!Table3[[Part Number]:[Annual]],2,0)</f>
        <v xml:space="preserve">CAT 583T (CMX) CAT 589 (31Z) CAT 594 (96V) CAT 594H (96V) CAT DK8 (893) CAT DK8 (950)  </v>
      </c>
      <c r="D26" s="54" t="str">
        <f>VLOOKUP(B26,[1]!Table3[[Part Number]:[Annual]],3,0)</f>
        <v>Fuel Filter - Secondary</v>
      </c>
      <c r="E26" s="54">
        <f>VLOOKUP(B26,[1]!Table3[[Part Number]:[Annual]],7,0)</f>
        <v>28</v>
      </c>
      <c r="F26" s="63">
        <f>VLOOKUP(B26,[1]!Table3[[Part Number]:[Annual]],4,0)</f>
        <v>41.22</v>
      </c>
      <c r="G26" s="24">
        <f t="shared" si="2"/>
        <v>1154.1599999999999</v>
      </c>
      <c r="H26" s="24">
        <f>VLOOKUP(B26,[1]!Table3[[Part Number]:[Annual]],5,0)</f>
        <v>20.61</v>
      </c>
      <c r="I26" s="25">
        <f t="shared" si="1"/>
        <v>577.08000000000004</v>
      </c>
    </row>
    <row r="27" spans="2:9" x14ac:dyDescent="0.25">
      <c r="B27" s="58" t="s">
        <v>63</v>
      </c>
      <c r="C27" s="54" t="str">
        <f>VLOOKUP(B27,[1]!Table3[[Part Number]:[Annual]],2,0)</f>
        <v xml:space="preserve">CAT PL61 (DHA) CAT PL61 (WGS) CAT D6D (06X)        </v>
      </c>
      <c r="D27" s="54" t="str">
        <f>VLOOKUP(B27,[1]!Table3[[Part Number]:[Annual]],3,0)</f>
        <v>CABIN AIR FILTER ELEMENT</v>
      </c>
      <c r="E27" s="54">
        <f>VLOOKUP(B27,[1]!Table3[[Part Number]:[Annual]],7,0)</f>
        <v>3</v>
      </c>
      <c r="F27" s="63">
        <f>VLOOKUP(B27,[1]!Table3[[Part Number]:[Annual]],4,0)</f>
        <v>82.23</v>
      </c>
      <c r="G27" s="24">
        <f t="shared" si="2"/>
        <v>246.69</v>
      </c>
      <c r="H27" s="24">
        <f>VLOOKUP(B27,[1]!Table3[[Part Number]:[Annual]],5,0)</f>
        <v>53.45</v>
      </c>
      <c r="I27" s="25">
        <f t="shared" si="1"/>
        <v>160.35</v>
      </c>
    </row>
    <row r="28" spans="2:9" x14ac:dyDescent="0.25">
      <c r="B28" s="58" t="s">
        <v>64</v>
      </c>
      <c r="C28" s="54" t="str">
        <f>VLOOKUP(B28,[1]!Table3[[Part Number]:[Annual]],2,0)</f>
        <v xml:space="preserve">CAT PL61 (DHA) CAT PL61 (WGS) CAT D6D (06X)        </v>
      </c>
      <c r="D28" s="54" t="str">
        <f>VLOOKUP(B28,[1]!Table3[[Part Number]:[Annual]],3,0)</f>
        <v>PRIMARY AIR FILTER ELEMENT</v>
      </c>
      <c r="E28" s="54">
        <f>VLOOKUP(B28,[1]!Table3[[Part Number]:[Annual]],7,0)</f>
        <v>6</v>
      </c>
      <c r="F28" s="63">
        <f>VLOOKUP(B28,[1]!Table3[[Part Number]:[Annual]],4,0)</f>
        <v>214.1</v>
      </c>
      <c r="G28" s="24">
        <f t="shared" si="2"/>
        <v>1284.5999999999999</v>
      </c>
      <c r="H28" s="24">
        <f>VLOOKUP(B28,[1]!Table3[[Part Number]:[Annual]],5,0)</f>
        <v>139.16999999999999</v>
      </c>
      <c r="I28" s="25">
        <f t="shared" si="1"/>
        <v>835.02</v>
      </c>
    </row>
    <row r="29" spans="2:9" x14ac:dyDescent="0.25">
      <c r="B29" s="58" t="s">
        <v>65</v>
      </c>
      <c r="C29" s="54" t="str">
        <f>VLOOKUP(B29,[1]!Table3[[Part Number]:[Annual]],2,0)</f>
        <v xml:space="preserve">CAT PL61 (DHA) CAT PL61 (WGS) CAT D6D (06X)        </v>
      </c>
      <c r="D29" s="54" t="str">
        <f>VLOOKUP(B29,[1]!Table3[[Part Number]:[Annual]],3,0)</f>
        <v>SECONDARY AIR FILTER ELEMENT</v>
      </c>
      <c r="E29" s="54">
        <f>VLOOKUP(B29,[1]!Table3[[Part Number]:[Annual]],7,0)</f>
        <v>6</v>
      </c>
      <c r="F29" s="63">
        <f>VLOOKUP(B29,[1]!Table3[[Part Number]:[Annual]],4,0)</f>
        <v>147.41</v>
      </c>
      <c r="G29" s="24">
        <f t="shared" si="2"/>
        <v>884.46</v>
      </c>
      <c r="H29" s="24">
        <f>VLOOKUP(B29,[1]!Table3[[Part Number]:[Annual]],5,0)</f>
        <v>95.82</v>
      </c>
      <c r="I29" s="25">
        <f t="shared" si="1"/>
        <v>574.91999999999996</v>
      </c>
    </row>
    <row r="30" spans="2:9" x14ac:dyDescent="0.25">
      <c r="B30" s="58" t="s">
        <v>80</v>
      </c>
      <c r="C30" s="54" t="str">
        <f>VLOOKUP(B30,[1]!Table3[[Part Number]:[Annual]],2,0)</f>
        <v xml:space="preserve">CAT 583T (CMX) CAT 589 (31Z) CAT 594 (96V) CAT 594H (96V) CAT DK8 (893) CAT DK8 (950)  </v>
      </c>
      <c r="D30" s="54" t="str">
        <f>VLOOKUP(B30,[1]!Table3[[Part Number]:[Annual]],3,0)</f>
        <v>Engine Oil Filter</v>
      </c>
      <c r="E30" s="54">
        <f>VLOOKUP(B30,[1]!Table3[[Part Number]:[Annual]],7,0)</f>
        <v>18</v>
      </c>
      <c r="F30" s="63">
        <f>VLOOKUP(B30,[1]!Table3[[Part Number]:[Annual]],4,0)</f>
        <v>33.119999999999997</v>
      </c>
      <c r="G30" s="24">
        <f t="shared" si="2"/>
        <v>596.16</v>
      </c>
      <c r="H30" s="24">
        <f>VLOOKUP(B30,[1]!Table3[[Part Number]:[Annual]],5,0)</f>
        <v>16.559999999999999</v>
      </c>
      <c r="I30" s="25">
        <f t="shared" si="1"/>
        <v>298.08</v>
      </c>
    </row>
    <row r="31" spans="2:9" x14ac:dyDescent="0.25">
      <c r="B31" s="58" t="s">
        <v>81</v>
      </c>
      <c r="C31" s="54" t="str">
        <f>VLOOKUP(B31,[1]!Table3[[Part Number]:[Annual]],2,0)</f>
        <v xml:space="preserve">CAT PL61 (DHA) CAT PL61 (WGS) CAT D6D (06X)        </v>
      </c>
      <c r="D31" s="54" t="str">
        <f>VLOOKUP(B31,[1]!Table3[[Part Number]:[Annual]],3,0)</f>
        <v>FUEL FILTER</v>
      </c>
      <c r="E31" s="54">
        <f>VLOOKUP(B31,[1]!Table3[[Part Number]:[Annual]],7,0)</f>
        <v>6</v>
      </c>
      <c r="F31" s="63">
        <f>VLOOKUP(B31,[1]!Table3[[Part Number]:[Annual]],4,0)</f>
        <v>72.95</v>
      </c>
      <c r="G31" s="24">
        <f t="shared" si="2"/>
        <v>437.70000000000005</v>
      </c>
      <c r="H31" s="24">
        <f>VLOOKUP(B31,[1]!Table3[[Part Number]:[Annual]],5,0)</f>
        <v>36.479999999999997</v>
      </c>
      <c r="I31" s="25">
        <f t="shared" si="1"/>
        <v>218.88</v>
      </c>
    </row>
    <row r="32" spans="2:9" x14ac:dyDescent="0.25">
      <c r="B32" s="58" t="s">
        <v>82</v>
      </c>
      <c r="C32" s="54" t="str">
        <f>VLOOKUP(B32,[1]!Table3[[Part Number]:[Annual]],2,0)</f>
        <v xml:space="preserve">CAT PL61 (DHA) CAT PL61 (WGS) CAT D6D (06X)        </v>
      </c>
      <c r="D32" s="54" t="str">
        <f>VLOOKUP(B32,[1]!Table3[[Part Number]:[Annual]],3,0)</f>
        <v>FUEL FILTER</v>
      </c>
      <c r="E32" s="54">
        <f>VLOOKUP(B32,[1]!Table3[[Part Number]:[Annual]],7,0)</f>
        <v>6</v>
      </c>
      <c r="F32" s="63">
        <f>VLOOKUP(B32,[1]!Table3[[Part Number]:[Annual]],4,0)</f>
        <v>73.08</v>
      </c>
      <c r="G32" s="24">
        <f t="shared" si="2"/>
        <v>438.48</v>
      </c>
      <c r="H32" s="24">
        <f>VLOOKUP(B32,[1]!Table3[[Part Number]:[Annual]],5,0)</f>
        <v>36.54</v>
      </c>
      <c r="I32" s="25">
        <f t="shared" si="1"/>
        <v>219.24</v>
      </c>
    </row>
    <row r="33" spans="2:9" x14ac:dyDescent="0.25">
      <c r="B33" s="58" t="s">
        <v>83</v>
      </c>
      <c r="C33" s="54" t="str">
        <f>VLOOKUP(B33,[1]!Table3[[Part Number]:[Annual]],2,0)</f>
        <v>CAT D7G (DSC) CAT D7G (DSC) (2) CAT D7G (DSC) (3) CAT D7G (SUB) CAT D7G (3ZD) CAT 572R (DSC) CAT 572R (DSC) (2)</v>
      </c>
      <c r="D33" s="54" t="str">
        <f>VLOOKUP(B33,[1]!Table3[[Part Number]:[Annual]],3,0)</f>
        <v xml:space="preserve">FUEL WATER SEPARATOR </v>
      </c>
      <c r="E33" s="54">
        <f>VLOOKUP(B33,[1]!Table3[[Part Number]:[Annual]],7,0)</f>
        <v>21</v>
      </c>
      <c r="F33" s="63">
        <f>VLOOKUP(B33,[1]!Table3[[Part Number]:[Annual]],4,0)</f>
        <v>76.680000000000007</v>
      </c>
      <c r="G33" s="24">
        <f t="shared" si="2"/>
        <v>1610.2800000000002</v>
      </c>
      <c r="H33" s="24">
        <f>VLOOKUP(B33,[1]!Table3[[Part Number]:[Annual]],5,0)</f>
        <v>38.340000000000003</v>
      </c>
      <c r="I33" s="25">
        <f t="shared" si="1"/>
        <v>805.14</v>
      </c>
    </row>
    <row r="34" spans="2:9" x14ac:dyDescent="0.25">
      <c r="B34" s="58" t="s">
        <v>48</v>
      </c>
      <c r="C34" s="54" t="str">
        <f>VLOOKUP(B34,[1]!Table3[[Part Number]:[Annual]],2,0)</f>
        <v xml:space="preserve">CAT PL61 (DHA) CAT PL61 (WGS) CAT D6D (06X)        </v>
      </c>
      <c r="D34" s="54" t="str">
        <f>VLOOKUP(B34,[1]!Table3[[Part Number]:[Annual]],3,0)</f>
        <v xml:space="preserve">FUEL WATER SEPARATOR </v>
      </c>
      <c r="E34" s="54">
        <f>VLOOKUP(B34,[1]!Table3[[Part Number]:[Annual]],7,0)</f>
        <v>6</v>
      </c>
      <c r="F34" s="63">
        <f>VLOOKUP(B34,[1]!Table3[[Part Number]:[Annual]],4,0)</f>
        <v>82.65</v>
      </c>
      <c r="G34" s="24">
        <f t="shared" si="2"/>
        <v>495.90000000000003</v>
      </c>
      <c r="H34" s="24">
        <f>VLOOKUP(B34,[1]!Table3[[Part Number]:[Annual]],5,0)</f>
        <v>41.33</v>
      </c>
      <c r="I34" s="25">
        <f t="shared" si="1"/>
        <v>247.98</v>
      </c>
    </row>
    <row r="35" spans="2:9" x14ac:dyDescent="0.25">
      <c r="B35" s="58" t="s">
        <v>49</v>
      </c>
      <c r="C35" s="54" t="str">
        <f>VLOOKUP(B35,[1]!Table3[[Part Number]:[Annual]],2,0)</f>
        <v>CAT D7G (DSC) CAT D7G (DSC) (2) CAT D7G (DSC) (3) CAT D7G (SUB) CAT D7G (3ZD) CAT 572R (DSC) CAT 572R (DSC) (2)</v>
      </c>
      <c r="D35" s="54" t="str">
        <f>VLOOKUP(B35,[1]!Table3[[Part Number]:[Annual]],3,0)</f>
        <v>HYDRAULIC OIL FILTER (POWER TRAIN)</v>
      </c>
      <c r="E35" s="54">
        <f>VLOOKUP(B35,[1]!Table3[[Part Number]:[Annual]],7,0)</f>
        <v>14</v>
      </c>
      <c r="F35" s="63">
        <f>VLOOKUP(B35,[1]!Table3[[Part Number]:[Annual]],4,0)</f>
        <v>197.31</v>
      </c>
      <c r="G35" s="24">
        <f t="shared" si="2"/>
        <v>2762.34</v>
      </c>
      <c r="H35" s="24">
        <f>VLOOKUP(B35,[1]!Table3[[Part Number]:[Annual]],5,0)</f>
        <v>98.66</v>
      </c>
      <c r="I35" s="25">
        <f t="shared" si="1"/>
        <v>1381.24</v>
      </c>
    </row>
    <row r="36" spans="2:9" x14ac:dyDescent="0.25">
      <c r="B36" s="58" t="s">
        <v>84</v>
      </c>
      <c r="C36" s="54" t="str">
        <f>VLOOKUP(B36,[1]!Table3[[Part Number]:[Annual]],2,0)</f>
        <v xml:space="preserve">CAT PL61 (DHA) CAT PL61 (WGS) CAT D6D (06X)        </v>
      </c>
      <c r="D36" s="54" t="str">
        <f>VLOOKUP(B36,[1]!Table3[[Part Number]:[Annual]],3,0)</f>
        <v>ENGINE OIL FILTER</v>
      </c>
      <c r="E36" s="54">
        <f>VLOOKUP(B36,[1]!Table3[[Part Number]:[Annual]],7,0)</f>
        <v>6</v>
      </c>
      <c r="F36" s="63">
        <f>VLOOKUP(B36,[1]!Table3[[Part Number]:[Annual]],4,0)</f>
        <v>35.25</v>
      </c>
      <c r="G36" s="24">
        <f t="shared" si="2"/>
        <v>211.5</v>
      </c>
      <c r="H36" s="24">
        <f>VLOOKUP(B36,[1]!Table3[[Part Number]:[Annual]],5,0)</f>
        <v>17.63</v>
      </c>
      <c r="I36" s="25">
        <f t="shared" si="1"/>
        <v>105.78</v>
      </c>
    </row>
    <row r="37" spans="2:9" x14ac:dyDescent="0.25">
      <c r="B37" s="58" t="s">
        <v>102</v>
      </c>
      <c r="C37" s="54" t="str">
        <f>VLOOKUP(B37,[1]!Table3[[Part Number]:[Annual]],2,0)</f>
        <v xml:space="preserve">CAT 583T (CMX) CAT 589 (31Z) CAT DK8 (893) CAT DK8 (950)      </v>
      </c>
      <c r="D37" s="54" t="str">
        <f>VLOOKUP(B37,[1]!Table3[[Part Number]:[Annual]],3,0)</f>
        <v>Hydraulic Filter</v>
      </c>
      <c r="E37" s="54">
        <f>VLOOKUP(B37,[1]!Table3[[Part Number]:[Annual]],7,0)</f>
        <v>8</v>
      </c>
      <c r="F37" s="63">
        <f>VLOOKUP(B37,[1]!Table3[[Part Number]:[Annual]],4,0)</f>
        <v>234.01</v>
      </c>
      <c r="G37" s="24">
        <f t="shared" si="2"/>
        <v>1872.08</v>
      </c>
      <c r="H37" s="24">
        <f>VLOOKUP(B37,[1]!Table3[[Part Number]:[Annual]],5,0)</f>
        <v>117.01</v>
      </c>
      <c r="I37" s="25">
        <f t="shared" si="1"/>
        <v>936.08</v>
      </c>
    </row>
    <row r="38" spans="2:9" x14ac:dyDescent="0.25">
      <c r="B38" s="58" t="s">
        <v>103</v>
      </c>
      <c r="C38" s="54" t="str">
        <f>VLOOKUP(B38,[1]!Table3[[Part Number]:[Annual]],2,0)</f>
        <v xml:space="preserve">CAT 583T (CMX) CAT 589 (31Z) CAT DK8 (893) CAT DK8 (950)      </v>
      </c>
      <c r="D38" s="54" t="str">
        <f>VLOOKUP(B38,[1]!Table3[[Part Number]:[Annual]],3,0)</f>
        <v>Transmission Filter</v>
      </c>
      <c r="E38" s="54">
        <f>VLOOKUP(B38,[1]!Table3[[Part Number]:[Annual]],7,0)</f>
        <v>16</v>
      </c>
      <c r="F38" s="63">
        <f>VLOOKUP(B38,[1]!Table3[[Part Number]:[Annual]],4,0)</f>
        <v>25.04</v>
      </c>
      <c r="G38" s="24">
        <f t="shared" si="2"/>
        <v>400.64</v>
      </c>
      <c r="H38" s="24">
        <f>VLOOKUP(B38,[1]!Table3[[Part Number]:[Annual]],5,0)</f>
        <v>12.52</v>
      </c>
      <c r="I38" s="25">
        <f t="shared" si="1"/>
        <v>200.32</v>
      </c>
    </row>
    <row r="39" spans="2:9" x14ac:dyDescent="0.25">
      <c r="B39" s="58" t="s">
        <v>66</v>
      </c>
      <c r="C39" s="54" t="str">
        <f>VLOOKUP(B39,[1]!Table3[[Part Number]:[Annual]],2,0)</f>
        <v xml:space="preserve">HITACHI ZX290LC-5 (1FF) HITACHI ZX290LC-5 (1FF) (2) HITACHI ZX290LC-5 (1FF) (3)        </v>
      </c>
      <c r="D39" s="54" t="str">
        <f>VLOOKUP(B39,[1]!Table3[[Part Number]:[Annual]],3,0)</f>
        <v>CAB AIR FILTER</v>
      </c>
      <c r="E39" s="54">
        <f>VLOOKUP(B39,[1]!Table3[[Part Number]:[Annual]],7,0)</f>
        <v>3</v>
      </c>
      <c r="F39" s="63">
        <f>VLOOKUP(B39,[1]!Table3[[Part Number]:[Annual]],4,0)</f>
        <v>151.97939999999997</v>
      </c>
      <c r="G39" s="24">
        <f t="shared" si="2"/>
        <v>455.93819999999994</v>
      </c>
      <c r="H39" s="24">
        <f>VLOOKUP(B39,[1]!Table3[[Part Number]:[Annual]],5,0)</f>
        <v>98.79</v>
      </c>
      <c r="I39" s="25">
        <f t="shared" si="1"/>
        <v>296.37</v>
      </c>
    </row>
    <row r="40" spans="2:9" x14ac:dyDescent="0.25">
      <c r="B40" s="58" t="s">
        <v>67</v>
      </c>
      <c r="C40" s="54" t="str">
        <f>VLOOKUP(B40,[1]!Table3[[Part Number]:[Annual]],2,0)</f>
        <v xml:space="preserve">HITACHI ZX290LC-5 (1FF) HITACHI ZX290LC-5 (1FF) (2) HITACHI ZX290LC-5 (1FF) (3)        </v>
      </c>
      <c r="D40" s="54" t="str">
        <f>VLOOKUP(B40,[1]!Table3[[Part Number]:[Annual]],3,0)</f>
        <v>CAB AIR FILTER</v>
      </c>
      <c r="E40" s="54">
        <f>VLOOKUP(B40,[1]!Table3[[Part Number]:[Annual]],7,0)</f>
        <v>3</v>
      </c>
      <c r="F40" s="63">
        <f>VLOOKUP(B40,[1]!Table3[[Part Number]:[Annual]],4,0)</f>
        <v>123.9378</v>
      </c>
      <c r="G40" s="24">
        <f t="shared" si="2"/>
        <v>371.8134</v>
      </c>
      <c r="H40" s="24">
        <f>VLOOKUP(B40,[1]!Table3[[Part Number]:[Annual]],5,0)</f>
        <v>80.56</v>
      </c>
      <c r="I40" s="25">
        <f t="shared" si="1"/>
        <v>241.68</v>
      </c>
    </row>
    <row r="41" spans="2:9" x14ac:dyDescent="0.25">
      <c r="B41" s="58" t="s">
        <v>68</v>
      </c>
      <c r="C41" s="54" t="str">
        <f>VLOOKUP(B41,[1]!Table3[[Part Number]:[Annual]],2,0)</f>
        <v xml:space="preserve">JD 470GLC (1FF) HITACHI 470GLC (HCM)          </v>
      </c>
      <c r="D41" s="54" t="str">
        <f>VLOOKUP(B41,[1]!Table3[[Part Number]:[Annual]],3,0)</f>
        <v>CAB AIR FILTER</v>
      </c>
      <c r="E41" s="54">
        <f>VLOOKUP(B41,[1]!Table3[[Part Number]:[Annual]],7,0)</f>
        <v>2</v>
      </c>
      <c r="F41" s="63">
        <f>VLOOKUP(B41,[1]!Table3[[Part Number]:[Annual]],4,0)</f>
        <v>134.99159999999998</v>
      </c>
      <c r="G41" s="24">
        <f t="shared" si="2"/>
        <v>269.98319999999995</v>
      </c>
      <c r="H41" s="24">
        <f>VLOOKUP(B41,[1]!Table3[[Part Number]:[Annual]],5,0)</f>
        <v>87.74</v>
      </c>
      <c r="I41" s="25">
        <f t="shared" si="1"/>
        <v>175.48</v>
      </c>
    </row>
    <row r="42" spans="2:9" x14ac:dyDescent="0.25">
      <c r="B42" s="58" t="s">
        <v>38</v>
      </c>
      <c r="C42" s="54" t="str">
        <f>VLOOKUP(B42,[1]!Table3[[Part Number]:[Annual]],2,0)</f>
        <v>CAT D7G (DSC) CAT D7G (DSC) (2) CAT D7G (DSC) (3) CAT D7G (SUB) CAT D7G (3ZD) CAT 572R (DSC) CAT 572R (DSC) (2)</v>
      </c>
      <c r="D42" s="54" t="str">
        <f>VLOOKUP(B42,[1]!Table3[[Part Number]:[Annual]],3,0)</f>
        <v>PRIMARY AIR FILTER ELEMENT</v>
      </c>
      <c r="E42" s="54">
        <f>VLOOKUP(B42,[1]!Table3[[Part Number]:[Annual]],7,0)</f>
        <v>21</v>
      </c>
      <c r="F42" s="63">
        <f>VLOOKUP(B42,[1]!Table3[[Part Number]:[Annual]],4,0)</f>
        <v>150.1</v>
      </c>
      <c r="G42" s="24">
        <f t="shared" si="2"/>
        <v>3152.1</v>
      </c>
      <c r="H42" s="24">
        <f>VLOOKUP(B42,[1]!Table3[[Part Number]:[Annual]],5,0)</f>
        <v>97.57</v>
      </c>
      <c r="I42" s="25">
        <f t="shared" si="1"/>
        <v>2048.9699999999998</v>
      </c>
    </row>
    <row r="43" spans="2:9" x14ac:dyDescent="0.25">
      <c r="B43" s="58" t="s">
        <v>39</v>
      </c>
      <c r="C43" s="54" t="str">
        <f>VLOOKUP(B43,[1]!Table3[[Part Number]:[Annual]],2,0)</f>
        <v>CAT D7G (DSC) CAT D7G (DSC) (2) CAT D7G (DSC) (3) CAT D7G (SUB) CAT D7G (3ZD) CAT 572R (DSC) CAT 572R (DSC) (2)</v>
      </c>
      <c r="D43" s="54" t="str">
        <f>VLOOKUP(B43,[1]!Table3[[Part Number]:[Annual]],3,0)</f>
        <v>SECONDARY AIR FILTER ELEMENT</v>
      </c>
      <c r="E43" s="54">
        <f>VLOOKUP(B43,[1]!Table3[[Part Number]:[Annual]],7,0)</f>
        <v>21</v>
      </c>
      <c r="F43" s="63">
        <f>VLOOKUP(B43,[1]!Table3[[Part Number]:[Annual]],4,0)</f>
        <v>114.79</v>
      </c>
      <c r="G43" s="24">
        <f t="shared" si="2"/>
        <v>2410.59</v>
      </c>
      <c r="H43" s="24">
        <f>VLOOKUP(B43,[1]!Table3[[Part Number]:[Annual]],5,0)</f>
        <v>74.61</v>
      </c>
      <c r="I43" s="25">
        <f t="shared" si="1"/>
        <v>1566.81</v>
      </c>
    </row>
    <row r="44" spans="2:9" x14ac:dyDescent="0.25">
      <c r="B44" s="58" t="s">
        <v>105</v>
      </c>
      <c r="C44" s="54" t="str">
        <f>VLOOKUP(B44,[1]!Table3[[Part Number]:[Annual]],2,0)</f>
        <v xml:space="preserve">CAT 583T (CMX) CAT 589 (31Z) CAT DK8 (893) CAT DK8 (950)      </v>
      </c>
      <c r="D44" s="54" t="str">
        <f>VLOOKUP(B44,[1]!Table3[[Part Number]:[Annual]],3,0)</f>
        <v>Cab - Fresh Air</v>
      </c>
      <c r="E44" s="54">
        <f>VLOOKUP(B44,[1]!Table3[[Part Number]:[Annual]],7,0)</f>
        <v>8</v>
      </c>
      <c r="F44" s="63">
        <f>VLOOKUP(B44,[1]!Table3[[Part Number]:[Annual]],4,0)</f>
        <v>47.71</v>
      </c>
      <c r="G44" s="24">
        <f t="shared" si="2"/>
        <v>381.68</v>
      </c>
      <c r="H44" s="24">
        <f>VLOOKUP(B44,[1]!Table3[[Part Number]:[Annual]],5,0)</f>
        <v>31.01</v>
      </c>
      <c r="I44" s="25">
        <f t="shared" si="1"/>
        <v>248.08</v>
      </c>
    </row>
    <row r="45" spans="2:9" x14ac:dyDescent="0.25">
      <c r="B45" s="58" t="s">
        <v>106</v>
      </c>
      <c r="C45" s="54" t="str">
        <f>VLOOKUP(B45,[1]!Table3[[Part Number]:[Annual]],2,0)</f>
        <v xml:space="preserve">CAT 583T (CMX) CAT 589 (31Z) CAT DK8 (893) CAT DK8 (950)      </v>
      </c>
      <c r="D45" s="54" t="str">
        <f>VLOOKUP(B45,[1]!Table3[[Part Number]:[Annual]],3,0)</f>
        <v>Cab - Recirculate</v>
      </c>
      <c r="E45" s="54">
        <f>VLOOKUP(B45,[1]!Table3[[Part Number]:[Annual]],7,0)</f>
        <v>8</v>
      </c>
      <c r="F45" s="63">
        <f>VLOOKUP(B45,[1]!Table3[[Part Number]:[Annual]],4,0)</f>
        <v>95.06</v>
      </c>
      <c r="G45" s="24">
        <f t="shared" si="2"/>
        <v>760.48</v>
      </c>
      <c r="H45" s="24">
        <f>VLOOKUP(B45,[1]!Table3[[Part Number]:[Annual]],5,0)</f>
        <v>61.79</v>
      </c>
      <c r="I45" s="25">
        <f t="shared" si="1"/>
        <v>494.32</v>
      </c>
    </row>
    <row r="46" spans="2:9" x14ac:dyDescent="0.25">
      <c r="B46" s="58" t="s">
        <v>107</v>
      </c>
      <c r="C46" s="54" t="str">
        <f>VLOOKUP(B46,[1]!Table3[[Part Number]:[Annual]],2,0)</f>
        <v xml:space="preserve">CAT 583T (CMX) CAT 589 (31Z) CAT DK8 (893) CAT DK8 (950)      </v>
      </c>
      <c r="D46" s="54" t="str">
        <f>VLOOKUP(B46,[1]!Table3[[Part Number]:[Annual]],3,0)</f>
        <v>Air Filter - Primary</v>
      </c>
      <c r="E46" s="54">
        <f>VLOOKUP(B46,[1]!Table3[[Part Number]:[Annual]],7,0)</f>
        <v>8</v>
      </c>
      <c r="F46" s="63">
        <f>VLOOKUP(B46,[1]!Table3[[Part Number]:[Annual]],4,0)</f>
        <v>105.91</v>
      </c>
      <c r="G46" s="24">
        <f t="shared" si="2"/>
        <v>847.28</v>
      </c>
      <c r="H46" s="24">
        <f>VLOOKUP(B46,[1]!Table3[[Part Number]:[Annual]],5,0)</f>
        <v>68.84</v>
      </c>
      <c r="I46" s="25">
        <f t="shared" si="1"/>
        <v>550.72</v>
      </c>
    </row>
    <row r="47" spans="2:9" x14ac:dyDescent="0.25">
      <c r="B47" s="58" t="s">
        <v>85</v>
      </c>
      <c r="C47" s="54" t="str">
        <f>VLOOKUP(B47,[1]!Table3[[Part Number]:[Annual]],2,0)</f>
        <v xml:space="preserve">CAT 583T (CMX) CAT 589 (31Z) CAT 594 (96V) CAT 594H (96V) CAT DK8 (893) CAT DK8 (950)  </v>
      </c>
      <c r="D47" s="54" t="str">
        <f>VLOOKUP(B47,[1]!Table3[[Part Number]:[Annual]],3,0)</f>
        <v>Fuel Filter - Primary</v>
      </c>
      <c r="E47" s="54">
        <f>VLOOKUP(B47,[1]!Table3[[Part Number]:[Annual]],7,0)</f>
        <v>14</v>
      </c>
      <c r="F47" s="63">
        <f>VLOOKUP(B47,[1]!Table3[[Part Number]:[Annual]],4,0)</f>
        <v>20.63</v>
      </c>
      <c r="G47" s="24">
        <f t="shared" si="2"/>
        <v>288.82</v>
      </c>
      <c r="H47" s="24">
        <f>VLOOKUP(B47,[1]!Table3[[Part Number]:[Annual]],5,0)</f>
        <v>10.32</v>
      </c>
      <c r="I47" s="25">
        <f t="shared" si="1"/>
        <v>144.47999999999999</v>
      </c>
    </row>
    <row r="48" spans="2:9" x14ac:dyDescent="0.25">
      <c r="B48" s="58" t="s">
        <v>77</v>
      </c>
      <c r="C48" s="54" t="str">
        <f>VLOOKUP(B48,[1]!Table3[[Part Number]:[Annual]],2,0)</f>
        <v xml:space="preserve">HITACHI ZX290LC-5 (1FF) HITACHI ZX290LC-5 (1FF) (2) HITACHI ZX290LC-5 (1FF) (3)        </v>
      </c>
      <c r="D48" s="54" t="str">
        <f>VLOOKUP(B48,[1]!Table3[[Part Number]:[Annual]],3,0)</f>
        <v>HYDRAULIC FILTER PILOT</v>
      </c>
      <c r="E48" s="54">
        <f>VLOOKUP(B48,[1]!Table3[[Part Number]:[Annual]],7,0)</f>
        <v>3</v>
      </c>
      <c r="F48" s="63">
        <f>VLOOKUP(B48,[1]!Table3[[Part Number]:[Annual]],4,0)</f>
        <v>70.76639999999999</v>
      </c>
      <c r="G48" s="24">
        <f t="shared" si="2"/>
        <v>212.29919999999998</v>
      </c>
      <c r="H48" s="24">
        <f>VLOOKUP(B48,[1]!Table3[[Part Number]:[Annual]],5,0)</f>
        <v>35.380000000000003</v>
      </c>
      <c r="I48" s="25">
        <f t="shared" si="1"/>
        <v>106.14</v>
      </c>
    </row>
    <row r="49" spans="2:9" x14ac:dyDescent="0.25">
      <c r="B49" s="58" t="s">
        <v>69</v>
      </c>
      <c r="C49" s="54" t="str">
        <f>VLOOKUP(B49,[1]!Table3[[Part Number]:[Annual]],2,0)</f>
        <v xml:space="preserve">JD 470GLC (1FF) HITACHI 470GLC (HCM)          </v>
      </c>
      <c r="D49" s="54" t="str">
        <f>VLOOKUP(B49,[1]!Table3[[Part Number]:[Annual]],3,0)</f>
        <v>PRIMARY AIR FILTER</v>
      </c>
      <c r="E49" s="54">
        <f>VLOOKUP(B49,[1]!Table3[[Part Number]:[Annual]],7,0)</f>
        <v>2</v>
      </c>
      <c r="F49" s="63">
        <f>VLOOKUP(B49,[1]!Table3[[Part Number]:[Annual]],4,0)</f>
        <v>221.559</v>
      </c>
      <c r="G49" s="24">
        <f t="shared" si="2"/>
        <v>443.11799999999999</v>
      </c>
      <c r="H49" s="24">
        <f>VLOOKUP(B49,[1]!Table3[[Part Number]:[Annual]],5,0)</f>
        <v>144.01</v>
      </c>
      <c r="I49" s="25">
        <f t="shared" si="1"/>
        <v>288.02</v>
      </c>
    </row>
    <row r="50" spans="2:9" x14ac:dyDescent="0.25">
      <c r="B50" s="58" t="s">
        <v>70</v>
      </c>
      <c r="C50" s="54" t="str">
        <f>VLOOKUP(B50,[1]!Table3[[Part Number]:[Annual]],2,0)</f>
        <v xml:space="preserve">HITACHI ZX290LC-5 (1FF) HITACHI ZX290LC-5 (1FF) (2) HITACHI ZX290LC-5 (1FF) (3)        </v>
      </c>
      <c r="D50" s="54" t="str">
        <f>VLOOKUP(B50,[1]!Table3[[Part Number]:[Annual]],3,0)</f>
        <v>SECONDARY AIR FILTER</v>
      </c>
      <c r="E50" s="54">
        <f>VLOOKUP(B50,[1]!Table3[[Part Number]:[Annual]],7,0)</f>
        <v>3</v>
      </c>
      <c r="F50" s="63">
        <f>VLOOKUP(B50,[1]!Table3[[Part Number]:[Annual]],4,0)</f>
        <v>93.398399999999995</v>
      </c>
      <c r="G50" s="24">
        <f t="shared" si="2"/>
        <v>280.1952</v>
      </c>
      <c r="H50" s="24">
        <f>VLOOKUP(B50,[1]!Table3[[Part Number]:[Annual]],5,0)</f>
        <v>60.71</v>
      </c>
      <c r="I50" s="25">
        <f t="shared" si="1"/>
        <v>182.13</v>
      </c>
    </row>
    <row r="51" spans="2:9" x14ac:dyDescent="0.25">
      <c r="B51" s="58" t="s">
        <v>78</v>
      </c>
      <c r="C51" s="54" t="str">
        <f>VLOOKUP(B51,[1]!Table3[[Part Number]:[Annual]],2,0)</f>
        <v xml:space="preserve">JD 470GLC (1FF) HITACHI 470GLC (HCM)          </v>
      </c>
      <c r="D51" s="54" t="str">
        <f>VLOOKUP(B51,[1]!Table3[[Part Number]:[Annual]],3,0)</f>
        <v>HYDRAULIC FILTER</v>
      </c>
      <c r="E51" s="54">
        <f>VLOOKUP(B51,[1]!Table3[[Part Number]:[Annual]],7,0)</f>
        <v>4</v>
      </c>
      <c r="F51" s="63">
        <f>VLOOKUP(B51,[1]!Table3[[Part Number]:[Annual]],4,0)</f>
        <v>49.252199999999995</v>
      </c>
      <c r="G51" s="24">
        <f t="shared" si="2"/>
        <v>197.00879999999998</v>
      </c>
      <c r="H51" s="24">
        <f>VLOOKUP(B51,[1]!Table3[[Part Number]:[Annual]],5,0)</f>
        <v>24.63</v>
      </c>
      <c r="I51" s="25">
        <f t="shared" si="1"/>
        <v>98.52</v>
      </c>
    </row>
    <row r="52" spans="2:9" x14ac:dyDescent="0.25">
      <c r="B52" s="58" t="s">
        <v>86</v>
      </c>
      <c r="C52" s="54" t="str">
        <f>VLOOKUP(B52,[1]!Table3[[Part Number]:[Annual]],2,0)</f>
        <v xml:space="preserve">JD 470GLC (1FF) HITACHI 470GLC (HCM)          </v>
      </c>
      <c r="D52" s="54" t="str">
        <f>VLOOKUP(B52,[1]!Table3[[Part Number]:[Annual]],3,0)</f>
        <v>FUEL FILTER</v>
      </c>
      <c r="E52" s="54">
        <f>VLOOKUP(B52,[1]!Table3[[Part Number]:[Annual]],7,0)</f>
        <v>8</v>
      </c>
      <c r="F52" s="63">
        <f>VLOOKUP(B52,[1]!Table3[[Part Number]:[Annual]],4,0)</f>
        <v>39.964799999999997</v>
      </c>
      <c r="G52" s="24">
        <f t="shared" si="2"/>
        <v>319.71839999999997</v>
      </c>
      <c r="H52" s="24">
        <f>VLOOKUP(B52,[1]!Table3[[Part Number]:[Annual]],5,0)</f>
        <v>19.98</v>
      </c>
      <c r="I52" s="25">
        <f t="shared" si="1"/>
        <v>159.84</v>
      </c>
    </row>
    <row r="53" spans="2:9" x14ac:dyDescent="0.25">
      <c r="B53" s="58" t="s">
        <v>71</v>
      </c>
      <c r="C53" s="54" t="str">
        <f>VLOOKUP(B53,[1]!Table3[[Part Number]:[Annual]],2,0)</f>
        <v xml:space="preserve">JD 470GLC (1FF) HITACHI 470GLC (HCM)          </v>
      </c>
      <c r="D53" s="54" t="str">
        <f>VLOOKUP(B53,[1]!Table3[[Part Number]:[Annual]],3,0)</f>
        <v>CAB AIR FILTER</v>
      </c>
      <c r="E53" s="54">
        <f>VLOOKUP(B53,[1]!Table3[[Part Number]:[Annual]],7,0)</f>
        <v>2</v>
      </c>
      <c r="F53" s="63">
        <f>VLOOKUP(B53,[1]!Table3[[Part Number]:[Annual]],4,0)</f>
        <v>57.228599999999993</v>
      </c>
      <c r="G53" s="24">
        <f t="shared" si="2"/>
        <v>114.45719999999999</v>
      </c>
      <c r="H53" s="24">
        <f>VLOOKUP(B53,[1]!Table3[[Part Number]:[Annual]],5,0)</f>
        <v>37.200000000000003</v>
      </c>
      <c r="I53" s="25">
        <f t="shared" si="1"/>
        <v>74.400000000000006</v>
      </c>
    </row>
    <row r="54" spans="2:9" x14ac:dyDescent="0.25">
      <c r="B54" s="54" t="s">
        <v>110</v>
      </c>
      <c r="C54" s="54" t="str">
        <f>VLOOKUP(B54,[1]!Table3[[Part Number]:[Annual]],2,0)</f>
        <v xml:space="preserve">HITACHI ZX290LC-5 (1FF) HITACHI ZX290LC-5 (1FF) (2) HITACHI ZX290LC-5 (1FF) (3)        </v>
      </c>
      <c r="D54" s="54" t="str">
        <f>VLOOKUP(B54,[1]!Table3[[Part Number]:[Annual]],3,0)</f>
        <v>ENGINE OIL FILTER</v>
      </c>
      <c r="E54" s="54">
        <f>VLOOKUP(B54,[1]!Table3[[Part Number]:[Annual]],7,0)</f>
        <v>6</v>
      </c>
      <c r="F54" s="63">
        <f>VLOOKUP(B54,[1]!Table3[[Part Number]:[Annual]],4,0)</f>
        <v>27.544799999999999</v>
      </c>
      <c r="G54" s="24">
        <f t="shared" si="2"/>
        <v>165.2688</v>
      </c>
      <c r="H54" s="24">
        <f>VLOOKUP(B54,[1]!Table3[[Part Number]:[Annual]],5,0)</f>
        <v>13.77</v>
      </c>
      <c r="I54" s="25">
        <f t="shared" si="1"/>
        <v>82.62</v>
      </c>
    </row>
    <row r="55" spans="2:9" x14ac:dyDescent="0.25">
      <c r="B55" s="54" t="s">
        <v>87</v>
      </c>
      <c r="C55" s="54" t="str">
        <f>VLOOKUP(B55,[1]!Table3[[Part Number]:[Annual]],2,0)</f>
        <v xml:space="preserve">HITACHI ZX290LC-5 (1FF) HITACHI ZX290LC-5 (1FF) (2) HITACHI ZX290LC-5 (1FF) (3)        </v>
      </c>
      <c r="D55" s="54" t="str">
        <f>VLOOKUP(B55,[1]!Table3[[Part Number]:[Annual]],3,0)</f>
        <v>FUEL FILTER</v>
      </c>
      <c r="E55" s="54">
        <f>VLOOKUP(B55,[1]!Table3[[Part Number]:[Annual]],7,0)</f>
        <v>6</v>
      </c>
      <c r="F55" s="63">
        <f>VLOOKUP(B55,[1]!Table3[[Part Number]:[Annual]],4,0)</f>
        <v>47.306399999999996</v>
      </c>
      <c r="G55" s="24">
        <f t="shared" si="2"/>
        <v>283.83839999999998</v>
      </c>
      <c r="H55" s="24">
        <f>VLOOKUP(B55,[1]!Table3[[Part Number]:[Annual]],5,0)</f>
        <v>23.65</v>
      </c>
      <c r="I55" s="25">
        <f t="shared" ref="I55:I114" si="3">ROUND(E55*H55,2)</f>
        <v>141.9</v>
      </c>
    </row>
    <row r="56" spans="2:9" x14ac:dyDescent="0.25">
      <c r="B56" s="54" t="s">
        <v>88</v>
      </c>
      <c r="C56" s="54" t="str">
        <f>VLOOKUP(B56,[1]!Table3[[Part Number]:[Annual]],2,0)</f>
        <v xml:space="preserve">HITACHI ZX290LC-5 (1FF) HITACHI ZX290LC-5 (1FF) (2) HITACHI ZX290LC-5 (1FF) (3)        </v>
      </c>
      <c r="D56" s="54" t="str">
        <f>VLOOKUP(B56,[1]!Table3[[Part Number]:[Annual]],3,0)</f>
        <v>FUEL FILTER</v>
      </c>
      <c r="E56" s="54">
        <f>VLOOKUP(B56,[1]!Table3[[Part Number]:[Annual]],7,0)</f>
        <v>6</v>
      </c>
      <c r="F56" s="63">
        <f>VLOOKUP(B56,[1]!Table3[[Part Number]:[Annual]],4,0)</f>
        <v>41.110199999999999</v>
      </c>
      <c r="G56" s="24">
        <f t="shared" si="2"/>
        <v>246.66120000000001</v>
      </c>
      <c r="H56" s="24">
        <f>VLOOKUP(B56,[1]!Table3[[Part Number]:[Annual]],5,0)</f>
        <v>20.56</v>
      </c>
      <c r="I56" s="25">
        <f t="shared" si="3"/>
        <v>123.36</v>
      </c>
    </row>
    <row r="57" spans="2:9" x14ac:dyDescent="0.25">
      <c r="B57" s="21" t="s">
        <v>72</v>
      </c>
      <c r="C57" s="54" t="str">
        <f>VLOOKUP(B57,[1]!Table3[[Part Number]:[Annual]],2,0)</f>
        <v xml:space="preserve">HITACHI ZX290LC-5 (1FF) HITACHI ZX290LC-5 (1FF) (2) HITACHI ZX290LC-5 (1FF) (3)        </v>
      </c>
      <c r="D57" s="54" t="str">
        <f>VLOOKUP(B57,[1]!Table3[[Part Number]:[Annual]],3,0)</f>
        <v>PRIMARY AIR FILTER</v>
      </c>
      <c r="E57" s="54">
        <f>VLOOKUP(B57,[1]!Table3[[Part Number]:[Annual]],7,0)</f>
        <v>3</v>
      </c>
      <c r="F57" s="63">
        <f>VLOOKUP(B57,[1]!Table3[[Part Number]:[Annual]],4,0)</f>
        <v>236.93219999999997</v>
      </c>
      <c r="G57" s="24">
        <f t="shared" si="2"/>
        <v>710.7965999999999</v>
      </c>
      <c r="H57" s="24">
        <f>VLOOKUP(B57,[1]!Table3[[Part Number]:[Annual]],5,0)</f>
        <v>154.01</v>
      </c>
      <c r="I57" s="25">
        <f t="shared" si="3"/>
        <v>462.03</v>
      </c>
    </row>
    <row r="58" spans="2:9" x14ac:dyDescent="0.25">
      <c r="B58" s="21" t="s">
        <v>73</v>
      </c>
      <c r="C58" s="54" t="str">
        <f>VLOOKUP(B58,[1]!Table3[[Part Number]:[Annual]],2,0)</f>
        <v xml:space="preserve">JD 470GLC (1FF) HITACHI 470GLC (HCM)          </v>
      </c>
      <c r="D58" s="54" t="str">
        <f>VLOOKUP(B58,[1]!Table3[[Part Number]:[Annual]],3,0)</f>
        <v>SECONDARY AIR FILTER</v>
      </c>
      <c r="E58" s="54">
        <f>VLOOKUP(B58,[1]!Table3[[Part Number]:[Annual]],7,0)</f>
        <v>2</v>
      </c>
      <c r="F58" s="63">
        <f>VLOOKUP(B58,[1]!Table3[[Part Number]:[Annual]],4,0)</f>
        <v>119.32859999999999</v>
      </c>
      <c r="G58" s="24">
        <f t="shared" si="2"/>
        <v>238.65719999999999</v>
      </c>
      <c r="H58" s="24">
        <f>VLOOKUP(B58,[1]!Table3[[Part Number]:[Annual]],5,0)</f>
        <v>77.56</v>
      </c>
      <c r="I58" s="25">
        <f t="shared" si="3"/>
        <v>155.12</v>
      </c>
    </row>
    <row r="59" spans="2:9" x14ac:dyDescent="0.25">
      <c r="B59" s="21"/>
      <c r="C59" s="52"/>
      <c r="D59" s="21"/>
      <c r="E59" s="51"/>
      <c r="F59" s="23"/>
      <c r="G59" s="24"/>
      <c r="H59" s="24"/>
      <c r="I59" s="25">
        <f t="shared" si="3"/>
        <v>0</v>
      </c>
    </row>
    <row r="60" spans="2:9" x14ac:dyDescent="0.25">
      <c r="B60" s="21"/>
      <c r="C60" s="52"/>
      <c r="D60" s="21"/>
      <c r="E60" s="51"/>
      <c r="F60" s="23"/>
      <c r="G60" s="24"/>
      <c r="H60" s="24"/>
      <c r="I60" s="25">
        <f t="shared" si="3"/>
        <v>0</v>
      </c>
    </row>
    <row r="61" spans="2:9" x14ac:dyDescent="0.25">
      <c r="B61" s="21"/>
      <c r="C61" s="52"/>
      <c r="D61" s="21"/>
      <c r="E61" s="51"/>
      <c r="F61" s="23"/>
      <c r="G61" s="24"/>
      <c r="H61" s="24"/>
      <c r="I61" s="25">
        <f t="shared" si="3"/>
        <v>0</v>
      </c>
    </row>
    <row r="62" spans="2:9" x14ac:dyDescent="0.25">
      <c r="B62" s="21"/>
      <c r="C62" s="52"/>
      <c r="D62" s="21"/>
      <c r="E62" s="51"/>
      <c r="F62" s="23"/>
      <c r="G62" s="24"/>
      <c r="H62" s="24"/>
      <c r="I62" s="25">
        <f t="shared" si="3"/>
        <v>0</v>
      </c>
    </row>
    <row r="63" spans="2:9" x14ac:dyDescent="0.25">
      <c r="B63" s="21"/>
      <c r="C63" s="52"/>
      <c r="D63" s="21"/>
      <c r="E63" s="51"/>
      <c r="F63" s="23"/>
      <c r="G63" s="24"/>
      <c r="H63" s="24"/>
      <c r="I63" s="25">
        <f t="shared" si="3"/>
        <v>0</v>
      </c>
    </row>
    <row r="64" spans="2:9" x14ac:dyDescent="0.25">
      <c r="B64" s="21"/>
      <c r="C64" s="52"/>
      <c r="D64" s="21"/>
      <c r="E64" s="51"/>
      <c r="F64" s="23"/>
      <c r="G64" s="24"/>
      <c r="H64" s="24"/>
      <c r="I64" s="25">
        <f t="shared" si="3"/>
        <v>0</v>
      </c>
    </row>
    <row r="65" spans="2:9" x14ac:dyDescent="0.25">
      <c r="B65" s="21"/>
      <c r="C65" s="52"/>
      <c r="D65" s="21"/>
      <c r="E65" s="51"/>
      <c r="F65" s="23"/>
      <c r="G65" s="24"/>
      <c r="H65" s="24"/>
      <c r="I65" s="25">
        <f t="shared" si="3"/>
        <v>0</v>
      </c>
    </row>
    <row r="66" spans="2:9" x14ac:dyDescent="0.25">
      <c r="B66" s="21"/>
      <c r="C66" s="52"/>
      <c r="D66" s="21"/>
      <c r="E66" s="51"/>
      <c r="F66" s="23"/>
      <c r="G66" s="24"/>
      <c r="H66" s="24"/>
      <c r="I66" s="25">
        <f t="shared" si="3"/>
        <v>0</v>
      </c>
    </row>
    <row r="67" spans="2:9" x14ac:dyDescent="0.25">
      <c r="B67" s="21"/>
      <c r="C67" s="52"/>
      <c r="D67" s="21"/>
      <c r="E67" s="51"/>
      <c r="F67" s="23"/>
      <c r="G67" s="24"/>
      <c r="H67" s="24"/>
      <c r="I67" s="25">
        <f t="shared" si="3"/>
        <v>0</v>
      </c>
    </row>
    <row r="68" spans="2:9" x14ac:dyDescent="0.25">
      <c r="B68" s="21"/>
      <c r="C68" s="52"/>
      <c r="D68" s="21"/>
      <c r="E68" s="51"/>
      <c r="F68" s="23"/>
      <c r="G68" s="24"/>
      <c r="H68" s="24"/>
      <c r="I68" s="25">
        <f t="shared" si="3"/>
        <v>0</v>
      </c>
    </row>
    <row r="69" spans="2:9" x14ac:dyDescent="0.25">
      <c r="B69" s="21"/>
      <c r="C69" s="52"/>
      <c r="D69" s="21"/>
      <c r="E69" s="51"/>
      <c r="F69" s="23"/>
      <c r="G69" s="24"/>
      <c r="H69" s="24"/>
      <c r="I69" s="25">
        <f t="shared" si="3"/>
        <v>0</v>
      </c>
    </row>
    <row r="70" spans="2:9" x14ac:dyDescent="0.25">
      <c r="B70" s="21"/>
      <c r="C70" s="52"/>
      <c r="D70" s="21"/>
      <c r="E70" s="51"/>
      <c r="F70" s="23"/>
      <c r="G70" s="24"/>
      <c r="H70" s="24"/>
      <c r="I70" s="25">
        <f t="shared" si="3"/>
        <v>0</v>
      </c>
    </row>
    <row r="71" spans="2:9" x14ac:dyDescent="0.25">
      <c r="B71" s="21"/>
      <c r="C71" s="52"/>
      <c r="D71" s="21"/>
      <c r="E71" s="51"/>
      <c r="F71" s="23"/>
      <c r="G71" s="24"/>
      <c r="H71" s="24"/>
      <c r="I71" s="25">
        <f t="shared" si="3"/>
        <v>0</v>
      </c>
    </row>
    <row r="72" spans="2:9" x14ac:dyDescent="0.25">
      <c r="B72" s="21"/>
      <c r="C72" s="52"/>
      <c r="D72" s="21"/>
      <c r="E72" s="51"/>
      <c r="F72" s="23"/>
      <c r="G72" s="24"/>
      <c r="H72" s="24"/>
      <c r="I72" s="25">
        <f t="shared" si="3"/>
        <v>0</v>
      </c>
    </row>
    <row r="73" spans="2:9" x14ac:dyDescent="0.25">
      <c r="B73" s="21"/>
      <c r="C73" s="52"/>
      <c r="D73" s="21"/>
      <c r="E73" s="51"/>
      <c r="F73" s="23"/>
      <c r="G73" s="24"/>
      <c r="H73" s="24"/>
      <c r="I73" s="25">
        <f t="shared" si="3"/>
        <v>0</v>
      </c>
    </row>
    <row r="74" spans="2:9" x14ac:dyDescent="0.25">
      <c r="B74" s="21"/>
      <c r="C74" s="52"/>
      <c r="D74" s="21"/>
      <c r="E74" s="51"/>
      <c r="F74" s="23"/>
      <c r="G74" s="24"/>
      <c r="H74" s="24"/>
      <c r="I74" s="25">
        <f t="shared" si="3"/>
        <v>0</v>
      </c>
    </row>
    <row r="75" spans="2:9" x14ac:dyDescent="0.25">
      <c r="B75" s="21"/>
      <c r="C75" s="52"/>
      <c r="D75" s="21"/>
      <c r="E75" s="51"/>
      <c r="F75" s="23"/>
      <c r="G75" s="24"/>
      <c r="H75" s="24"/>
      <c r="I75" s="25">
        <f t="shared" si="3"/>
        <v>0</v>
      </c>
    </row>
    <row r="76" spans="2:9" x14ac:dyDescent="0.25">
      <c r="B76" s="21"/>
      <c r="C76" s="52"/>
      <c r="D76" s="21"/>
      <c r="E76" s="51"/>
      <c r="F76" s="23"/>
      <c r="G76" s="24"/>
      <c r="H76" s="24"/>
      <c r="I76" s="25">
        <f t="shared" si="3"/>
        <v>0</v>
      </c>
    </row>
    <row r="77" spans="2:9" x14ac:dyDescent="0.25">
      <c r="B77" s="21"/>
      <c r="C77" s="52"/>
      <c r="D77" s="21"/>
      <c r="E77" s="51"/>
      <c r="F77" s="23"/>
      <c r="G77" s="24"/>
      <c r="H77" s="24"/>
      <c r="I77" s="25">
        <f t="shared" si="3"/>
        <v>0</v>
      </c>
    </row>
    <row r="78" spans="2:9" x14ac:dyDescent="0.25">
      <c r="B78" s="21"/>
      <c r="C78" s="52"/>
      <c r="D78" s="21"/>
      <c r="E78" s="51"/>
      <c r="F78" s="23"/>
      <c r="G78" s="24"/>
      <c r="H78" s="24"/>
      <c r="I78" s="25">
        <f t="shared" si="3"/>
        <v>0</v>
      </c>
    </row>
    <row r="79" spans="2:9" x14ac:dyDescent="0.25">
      <c r="B79" s="21"/>
      <c r="C79" s="52"/>
      <c r="D79" s="21"/>
      <c r="E79" s="51"/>
      <c r="F79" s="23"/>
      <c r="G79" s="24"/>
      <c r="H79" s="24"/>
      <c r="I79" s="25">
        <f t="shared" si="3"/>
        <v>0</v>
      </c>
    </row>
    <row r="80" spans="2:9" x14ac:dyDescent="0.25">
      <c r="B80" s="21"/>
      <c r="C80" s="52"/>
      <c r="D80" s="21"/>
      <c r="E80" s="51"/>
      <c r="F80" s="23"/>
      <c r="G80" s="24"/>
      <c r="H80" s="24"/>
      <c r="I80" s="25">
        <f t="shared" si="3"/>
        <v>0</v>
      </c>
    </row>
    <row r="81" spans="2:9" x14ac:dyDescent="0.25">
      <c r="B81" s="21"/>
      <c r="C81" s="52"/>
      <c r="D81" s="21"/>
      <c r="E81" s="51"/>
      <c r="F81" s="23"/>
      <c r="G81" s="24"/>
      <c r="H81" s="24"/>
      <c r="I81" s="25">
        <f t="shared" si="3"/>
        <v>0</v>
      </c>
    </row>
    <row r="82" spans="2:9" x14ac:dyDescent="0.25">
      <c r="B82" s="21"/>
      <c r="C82" s="52"/>
      <c r="D82" s="21"/>
      <c r="E82" s="51"/>
      <c r="F82" s="23"/>
      <c r="G82" s="24"/>
      <c r="H82" s="24"/>
      <c r="I82" s="25">
        <f t="shared" si="3"/>
        <v>0</v>
      </c>
    </row>
    <row r="83" spans="2:9" x14ac:dyDescent="0.25">
      <c r="B83" s="21"/>
      <c r="C83" s="52"/>
      <c r="D83" s="21"/>
      <c r="E83" s="51"/>
      <c r="F83" s="23"/>
      <c r="G83" s="24"/>
      <c r="H83" s="24"/>
      <c r="I83" s="25">
        <f t="shared" si="3"/>
        <v>0</v>
      </c>
    </row>
    <row r="84" spans="2:9" x14ac:dyDescent="0.25">
      <c r="B84" s="21"/>
      <c r="C84" s="52"/>
      <c r="D84" s="21"/>
      <c r="E84" s="51"/>
      <c r="F84" s="23"/>
      <c r="G84" s="24"/>
      <c r="H84" s="24"/>
      <c r="I84" s="25">
        <f t="shared" si="3"/>
        <v>0</v>
      </c>
    </row>
    <row r="85" spans="2:9" x14ac:dyDescent="0.25">
      <c r="B85" s="21"/>
      <c r="C85" s="52"/>
      <c r="D85" s="21"/>
      <c r="E85" s="51"/>
      <c r="F85" s="23"/>
      <c r="G85" s="24"/>
      <c r="H85" s="24"/>
      <c r="I85" s="25">
        <f t="shared" si="3"/>
        <v>0</v>
      </c>
    </row>
    <row r="86" spans="2:9" x14ac:dyDescent="0.25">
      <c r="B86" s="21"/>
      <c r="C86" s="52"/>
      <c r="D86" s="21"/>
      <c r="E86" s="51"/>
      <c r="F86" s="23"/>
      <c r="G86" s="24"/>
      <c r="H86" s="24"/>
      <c r="I86" s="25">
        <f t="shared" si="3"/>
        <v>0</v>
      </c>
    </row>
    <row r="87" spans="2:9" x14ac:dyDescent="0.25">
      <c r="B87" s="21"/>
      <c r="C87" s="52"/>
      <c r="D87" s="21"/>
      <c r="E87" s="51"/>
      <c r="F87" s="23"/>
      <c r="G87" s="24"/>
      <c r="H87" s="24"/>
      <c r="I87" s="25">
        <f t="shared" si="3"/>
        <v>0</v>
      </c>
    </row>
    <row r="88" spans="2:9" x14ac:dyDescent="0.25">
      <c r="B88" s="21"/>
      <c r="C88" s="52"/>
      <c r="D88" s="21"/>
      <c r="E88" s="51"/>
      <c r="F88" s="23"/>
      <c r="G88" s="24"/>
      <c r="H88" s="24"/>
      <c r="I88" s="25">
        <f t="shared" si="3"/>
        <v>0</v>
      </c>
    </row>
    <row r="89" spans="2:9" x14ac:dyDescent="0.25">
      <c r="B89" s="21"/>
      <c r="C89" s="52"/>
      <c r="D89" s="21"/>
      <c r="E89" s="51"/>
      <c r="F89" s="23"/>
      <c r="G89" s="24"/>
      <c r="H89" s="24"/>
      <c r="I89" s="25">
        <f t="shared" si="3"/>
        <v>0</v>
      </c>
    </row>
    <row r="90" spans="2:9" x14ac:dyDescent="0.25">
      <c r="B90" s="21"/>
      <c r="C90" s="52"/>
      <c r="D90" s="21"/>
      <c r="E90" s="51"/>
      <c r="F90" s="23"/>
      <c r="G90" s="24"/>
      <c r="H90" s="24"/>
      <c r="I90" s="25">
        <f t="shared" si="3"/>
        <v>0</v>
      </c>
    </row>
    <row r="91" spans="2:9" x14ac:dyDescent="0.25">
      <c r="B91" s="21"/>
      <c r="C91" s="52"/>
      <c r="D91" s="21"/>
      <c r="E91" s="51"/>
      <c r="F91" s="23"/>
      <c r="G91" s="24"/>
      <c r="H91" s="24"/>
      <c r="I91" s="25">
        <f t="shared" si="3"/>
        <v>0</v>
      </c>
    </row>
    <row r="92" spans="2:9" x14ac:dyDescent="0.25">
      <c r="B92" s="21"/>
      <c r="C92" s="52"/>
      <c r="D92" s="21"/>
      <c r="E92" s="51"/>
      <c r="F92" s="23"/>
      <c r="G92" s="24"/>
      <c r="H92" s="24"/>
      <c r="I92" s="25">
        <f t="shared" si="3"/>
        <v>0</v>
      </c>
    </row>
    <row r="93" spans="2:9" x14ac:dyDescent="0.25">
      <c r="B93" s="21"/>
      <c r="C93" s="52"/>
      <c r="D93" s="21"/>
      <c r="E93" s="51"/>
      <c r="F93" s="23"/>
      <c r="G93" s="24"/>
      <c r="H93" s="24"/>
      <c r="I93" s="25">
        <f t="shared" si="3"/>
        <v>0</v>
      </c>
    </row>
    <row r="94" spans="2:9" x14ac:dyDescent="0.25">
      <c r="B94" s="21"/>
      <c r="C94" s="52"/>
      <c r="D94" s="21"/>
      <c r="E94" s="51"/>
      <c r="F94" s="23"/>
      <c r="G94" s="24"/>
      <c r="H94" s="24"/>
      <c r="I94" s="25">
        <f t="shared" si="3"/>
        <v>0</v>
      </c>
    </row>
    <row r="95" spans="2:9" x14ac:dyDescent="0.25">
      <c r="B95" s="21"/>
      <c r="C95" s="52"/>
      <c r="D95" s="21"/>
      <c r="E95" s="51"/>
      <c r="F95" s="23"/>
      <c r="G95" s="24"/>
      <c r="H95" s="24"/>
      <c r="I95" s="25">
        <f t="shared" si="3"/>
        <v>0</v>
      </c>
    </row>
    <row r="96" spans="2:9" x14ac:dyDescent="0.25">
      <c r="B96" s="21"/>
      <c r="C96" s="52"/>
      <c r="D96" s="21"/>
      <c r="E96" s="51"/>
      <c r="F96" s="23"/>
      <c r="G96" s="24"/>
      <c r="H96" s="24"/>
      <c r="I96" s="25">
        <f t="shared" si="3"/>
        <v>0</v>
      </c>
    </row>
    <row r="97" spans="2:9" x14ac:dyDescent="0.25">
      <c r="B97" s="21"/>
      <c r="C97" s="52"/>
      <c r="D97" s="21"/>
      <c r="E97" s="51"/>
      <c r="F97" s="23"/>
      <c r="G97" s="24"/>
      <c r="H97" s="24"/>
      <c r="I97" s="25">
        <f t="shared" si="3"/>
        <v>0</v>
      </c>
    </row>
    <row r="98" spans="2:9" x14ac:dyDescent="0.25">
      <c r="B98" s="21"/>
      <c r="C98" s="52"/>
      <c r="D98" s="21"/>
      <c r="E98" s="51"/>
      <c r="F98" s="23"/>
      <c r="G98" s="24"/>
      <c r="H98" s="24"/>
      <c r="I98" s="25">
        <f t="shared" si="3"/>
        <v>0</v>
      </c>
    </row>
    <row r="99" spans="2:9" x14ac:dyDescent="0.25">
      <c r="B99" s="21"/>
      <c r="C99" s="52"/>
      <c r="D99" s="21"/>
      <c r="E99" s="51"/>
      <c r="F99" s="23"/>
      <c r="G99" s="24"/>
      <c r="H99" s="24"/>
      <c r="I99" s="25">
        <f t="shared" si="3"/>
        <v>0</v>
      </c>
    </row>
    <row r="100" spans="2:9" x14ac:dyDescent="0.25">
      <c r="B100" s="21"/>
      <c r="C100" s="52"/>
      <c r="D100" s="21"/>
      <c r="E100" s="51"/>
      <c r="F100" s="23"/>
      <c r="G100" s="24"/>
      <c r="H100" s="24"/>
      <c r="I100" s="25">
        <f t="shared" si="3"/>
        <v>0</v>
      </c>
    </row>
    <row r="101" spans="2:9" x14ac:dyDescent="0.25">
      <c r="B101" s="21"/>
      <c r="C101" s="52"/>
      <c r="D101" s="21"/>
      <c r="E101" s="51"/>
      <c r="F101" s="23"/>
      <c r="G101" s="24"/>
      <c r="H101" s="24"/>
      <c r="I101" s="25">
        <f t="shared" si="3"/>
        <v>0</v>
      </c>
    </row>
    <row r="102" spans="2:9" x14ac:dyDescent="0.25">
      <c r="B102" s="21"/>
      <c r="C102" s="52"/>
      <c r="D102" s="21"/>
      <c r="E102" s="51"/>
      <c r="F102" s="23"/>
      <c r="G102" s="24"/>
      <c r="H102" s="24"/>
      <c r="I102" s="25">
        <f t="shared" si="3"/>
        <v>0</v>
      </c>
    </row>
    <row r="103" spans="2:9" x14ac:dyDescent="0.25">
      <c r="B103" s="21"/>
      <c r="C103" s="52"/>
      <c r="D103" s="21"/>
      <c r="E103" s="51"/>
      <c r="F103" s="23"/>
      <c r="G103" s="24"/>
      <c r="H103" s="24"/>
      <c r="I103" s="25">
        <f t="shared" si="3"/>
        <v>0</v>
      </c>
    </row>
    <row r="104" spans="2:9" x14ac:dyDescent="0.25">
      <c r="B104" s="21"/>
      <c r="C104" s="52"/>
      <c r="D104" s="21"/>
      <c r="E104" s="51"/>
      <c r="F104" s="23"/>
      <c r="G104" s="24"/>
      <c r="H104" s="24"/>
      <c r="I104" s="25">
        <f t="shared" si="3"/>
        <v>0</v>
      </c>
    </row>
    <row r="105" spans="2:9" x14ac:dyDescent="0.25">
      <c r="B105" s="21"/>
      <c r="C105" s="52"/>
      <c r="D105" s="21"/>
      <c r="E105" s="51"/>
      <c r="F105" s="23"/>
      <c r="G105" s="24"/>
      <c r="H105" s="24"/>
      <c r="I105" s="25">
        <f t="shared" si="3"/>
        <v>0</v>
      </c>
    </row>
    <row r="106" spans="2:9" x14ac:dyDescent="0.25">
      <c r="B106" s="21"/>
      <c r="C106" s="52"/>
      <c r="D106" s="21"/>
      <c r="E106" s="51"/>
      <c r="F106" s="23"/>
      <c r="G106" s="24"/>
      <c r="H106" s="24"/>
      <c r="I106" s="25">
        <f t="shared" si="3"/>
        <v>0</v>
      </c>
    </row>
    <row r="107" spans="2:9" x14ac:dyDescent="0.25">
      <c r="B107" s="21"/>
      <c r="C107" s="52"/>
      <c r="D107" s="21"/>
      <c r="E107" s="51"/>
      <c r="F107" s="23"/>
      <c r="G107" s="24"/>
      <c r="H107" s="24"/>
      <c r="I107" s="25">
        <f t="shared" si="3"/>
        <v>0</v>
      </c>
    </row>
    <row r="108" spans="2:9" x14ac:dyDescent="0.25">
      <c r="B108" s="21"/>
      <c r="C108" s="52"/>
      <c r="D108" s="21"/>
      <c r="E108" s="51"/>
      <c r="F108" s="23"/>
      <c r="G108" s="24"/>
      <c r="H108" s="24"/>
      <c r="I108" s="25">
        <f t="shared" si="3"/>
        <v>0</v>
      </c>
    </row>
    <row r="109" spans="2:9" x14ac:dyDescent="0.25">
      <c r="B109" s="21"/>
      <c r="C109" s="52"/>
      <c r="D109" s="21"/>
      <c r="E109" s="51"/>
      <c r="F109" s="23"/>
      <c r="G109" s="24"/>
      <c r="H109" s="24"/>
      <c r="I109" s="25">
        <f t="shared" si="3"/>
        <v>0</v>
      </c>
    </row>
    <row r="110" spans="2:9" x14ac:dyDescent="0.25">
      <c r="B110" s="21"/>
      <c r="C110" s="52"/>
      <c r="D110" s="21"/>
      <c r="E110" s="51"/>
      <c r="F110" s="23"/>
      <c r="G110" s="24"/>
      <c r="H110" s="24"/>
      <c r="I110" s="25">
        <f t="shared" si="3"/>
        <v>0</v>
      </c>
    </row>
    <row r="111" spans="2:9" x14ac:dyDescent="0.25">
      <c r="B111" s="21"/>
      <c r="C111" s="52"/>
      <c r="D111" s="21"/>
      <c r="E111" s="51"/>
      <c r="F111" s="23"/>
      <c r="G111" s="24"/>
      <c r="H111" s="24"/>
      <c r="I111" s="25">
        <f t="shared" si="3"/>
        <v>0</v>
      </c>
    </row>
    <row r="112" spans="2:9" x14ac:dyDescent="0.25">
      <c r="B112" s="21"/>
      <c r="C112" s="52"/>
      <c r="D112" s="21"/>
      <c r="E112" s="51"/>
      <c r="F112" s="23"/>
      <c r="G112" s="24"/>
      <c r="H112" s="24"/>
      <c r="I112" s="25">
        <f t="shared" si="3"/>
        <v>0</v>
      </c>
    </row>
    <row r="113" spans="2:9" x14ac:dyDescent="0.25">
      <c r="B113" s="21"/>
      <c r="C113" s="52"/>
      <c r="D113" s="21"/>
      <c r="E113" s="51"/>
      <c r="F113" s="23"/>
      <c r="G113" s="24"/>
      <c r="H113" s="24"/>
      <c r="I113" s="25">
        <f t="shared" si="3"/>
        <v>0</v>
      </c>
    </row>
    <row r="114" spans="2:9" x14ac:dyDescent="0.25">
      <c r="B114" s="21"/>
      <c r="C114" s="52"/>
      <c r="D114" s="21"/>
      <c r="E114" s="51"/>
      <c r="F114" s="23"/>
      <c r="G114" s="24"/>
      <c r="H114" s="24"/>
      <c r="I114" s="25">
        <f t="shared" si="3"/>
        <v>0</v>
      </c>
    </row>
    <row r="115" spans="2:9" x14ac:dyDescent="0.25">
      <c r="B115" s="21"/>
      <c r="C115" s="52"/>
      <c r="D115" s="21"/>
      <c r="E115" s="51"/>
      <c r="F115" s="23"/>
      <c r="G115" s="24"/>
      <c r="H115" s="24"/>
      <c r="I115" s="25">
        <f t="shared" ref="I115:I135" si="4">ROUND(E115*H115,2)</f>
        <v>0</v>
      </c>
    </row>
    <row r="116" spans="2:9" x14ac:dyDescent="0.25">
      <c r="B116" s="21"/>
      <c r="C116" s="52"/>
      <c r="D116" s="21"/>
      <c r="E116" s="51"/>
      <c r="F116" s="23"/>
      <c r="G116" s="24"/>
      <c r="H116" s="24"/>
      <c r="I116" s="25">
        <f t="shared" si="4"/>
        <v>0</v>
      </c>
    </row>
    <row r="117" spans="2:9" x14ac:dyDescent="0.25">
      <c r="B117" s="21"/>
      <c r="C117" s="52"/>
      <c r="D117" s="21"/>
      <c r="E117" s="51"/>
      <c r="F117" s="23"/>
      <c r="G117" s="24"/>
      <c r="H117" s="24"/>
      <c r="I117" s="25">
        <f t="shared" si="4"/>
        <v>0</v>
      </c>
    </row>
    <row r="118" spans="2:9" x14ac:dyDescent="0.25">
      <c r="B118" s="21"/>
      <c r="C118" s="52"/>
      <c r="D118" s="21"/>
      <c r="E118" s="51"/>
      <c r="F118" s="23"/>
      <c r="G118" s="24"/>
      <c r="H118" s="24"/>
      <c r="I118" s="25">
        <f t="shared" si="4"/>
        <v>0</v>
      </c>
    </row>
    <row r="119" spans="2:9" x14ac:dyDescent="0.25">
      <c r="B119" s="21"/>
      <c r="C119" s="52"/>
      <c r="D119" s="21"/>
      <c r="E119" s="51"/>
      <c r="F119" s="23"/>
      <c r="G119" s="24"/>
      <c r="H119" s="24"/>
      <c r="I119" s="25">
        <f t="shared" si="4"/>
        <v>0</v>
      </c>
    </row>
    <row r="120" spans="2:9" x14ac:dyDescent="0.25">
      <c r="B120" s="21"/>
      <c r="C120" s="52"/>
      <c r="D120" s="21"/>
      <c r="E120" s="51"/>
      <c r="F120" s="23"/>
      <c r="G120" s="24"/>
      <c r="H120" s="24"/>
      <c r="I120" s="25">
        <f t="shared" si="4"/>
        <v>0</v>
      </c>
    </row>
    <row r="121" spans="2:9" x14ac:dyDescent="0.25">
      <c r="B121" s="21"/>
      <c r="C121" s="52"/>
      <c r="D121" s="21"/>
      <c r="E121" s="51"/>
      <c r="F121" s="23"/>
      <c r="G121" s="24"/>
      <c r="H121" s="24"/>
      <c r="I121" s="25">
        <f t="shared" si="4"/>
        <v>0</v>
      </c>
    </row>
    <row r="122" spans="2:9" x14ac:dyDescent="0.25">
      <c r="B122" s="21"/>
      <c r="C122" s="52"/>
      <c r="D122" s="21"/>
      <c r="E122" s="51"/>
      <c r="F122" s="23"/>
      <c r="G122" s="24"/>
      <c r="H122" s="24"/>
      <c r="I122" s="25">
        <f t="shared" si="4"/>
        <v>0</v>
      </c>
    </row>
    <row r="123" spans="2:9" x14ac:dyDescent="0.25">
      <c r="B123" s="21"/>
      <c r="C123" s="52"/>
      <c r="D123" s="21"/>
      <c r="E123" s="51"/>
      <c r="F123" s="23"/>
      <c r="G123" s="24"/>
      <c r="H123" s="24"/>
      <c r="I123" s="25">
        <f t="shared" si="4"/>
        <v>0</v>
      </c>
    </row>
    <row r="124" spans="2:9" x14ac:dyDescent="0.25">
      <c r="B124" s="21"/>
      <c r="C124" s="52"/>
      <c r="D124" s="21"/>
      <c r="E124" s="51"/>
      <c r="F124" s="23"/>
      <c r="G124" s="24"/>
      <c r="H124" s="24"/>
      <c r="I124" s="25">
        <f t="shared" si="4"/>
        <v>0</v>
      </c>
    </row>
    <row r="125" spans="2:9" x14ac:dyDescent="0.25">
      <c r="B125" s="21"/>
      <c r="C125" s="52"/>
      <c r="D125" s="21"/>
      <c r="E125" s="51"/>
      <c r="F125" s="23"/>
      <c r="G125" s="24"/>
      <c r="H125" s="24"/>
      <c r="I125" s="25">
        <f t="shared" si="4"/>
        <v>0</v>
      </c>
    </row>
    <row r="126" spans="2:9" x14ac:dyDescent="0.25">
      <c r="B126" s="21"/>
      <c r="C126" s="52"/>
      <c r="D126" s="21"/>
      <c r="E126" s="51"/>
      <c r="F126" s="23"/>
      <c r="G126" s="24"/>
      <c r="H126" s="24"/>
      <c r="I126" s="25">
        <f t="shared" si="4"/>
        <v>0</v>
      </c>
    </row>
    <row r="127" spans="2:9" x14ac:dyDescent="0.25">
      <c r="B127" s="21"/>
      <c r="C127" s="52"/>
      <c r="D127" s="21"/>
      <c r="E127" s="51"/>
      <c r="F127" s="23"/>
      <c r="G127" s="24"/>
      <c r="H127" s="24"/>
      <c r="I127" s="25">
        <f t="shared" si="4"/>
        <v>0</v>
      </c>
    </row>
    <row r="128" spans="2:9" x14ac:dyDescent="0.25">
      <c r="B128" s="21"/>
      <c r="C128" s="52"/>
      <c r="D128" s="21"/>
      <c r="E128" s="51"/>
      <c r="F128" s="23"/>
      <c r="G128" s="24"/>
      <c r="H128" s="24"/>
      <c r="I128" s="25">
        <f t="shared" si="4"/>
        <v>0</v>
      </c>
    </row>
    <row r="129" spans="2:9" x14ac:dyDescent="0.25">
      <c r="B129" s="21"/>
      <c r="C129" s="52"/>
      <c r="D129" s="21"/>
      <c r="E129" s="51"/>
      <c r="F129" s="23"/>
      <c r="G129" s="24"/>
      <c r="H129" s="24"/>
      <c r="I129" s="25">
        <f t="shared" si="4"/>
        <v>0</v>
      </c>
    </row>
    <row r="130" spans="2:9" x14ac:dyDescent="0.25">
      <c r="B130" s="21"/>
      <c r="C130" s="52"/>
      <c r="D130" s="21"/>
      <c r="E130" s="51"/>
      <c r="F130" s="23"/>
      <c r="G130" s="24"/>
      <c r="H130" s="24"/>
      <c r="I130" s="25">
        <f t="shared" si="4"/>
        <v>0</v>
      </c>
    </row>
    <row r="131" spans="2:9" x14ac:dyDescent="0.25">
      <c r="B131" s="21"/>
      <c r="C131" s="52"/>
      <c r="D131" s="21"/>
      <c r="E131" s="51"/>
      <c r="F131" s="23"/>
      <c r="G131" s="24"/>
      <c r="H131" s="24"/>
      <c r="I131" s="25">
        <f t="shared" si="4"/>
        <v>0</v>
      </c>
    </row>
    <row r="132" spans="2:9" x14ac:dyDescent="0.25">
      <c r="B132" s="21"/>
      <c r="C132" s="52"/>
      <c r="D132" s="21"/>
      <c r="E132" s="51"/>
      <c r="F132" s="23"/>
      <c r="G132" s="24"/>
      <c r="H132" s="24"/>
      <c r="I132" s="25">
        <f t="shared" si="4"/>
        <v>0</v>
      </c>
    </row>
    <row r="133" spans="2:9" x14ac:dyDescent="0.25">
      <c r="B133" s="21"/>
      <c r="C133" s="52"/>
      <c r="D133" s="21"/>
      <c r="E133" s="51"/>
      <c r="F133" s="23"/>
      <c r="G133" s="24"/>
      <c r="H133" s="24"/>
      <c r="I133" s="25">
        <f t="shared" si="4"/>
        <v>0</v>
      </c>
    </row>
    <row r="134" spans="2:9" x14ac:dyDescent="0.25">
      <c r="B134" s="21"/>
      <c r="C134" s="52"/>
      <c r="D134" s="21"/>
      <c r="E134" s="51"/>
      <c r="F134" s="23"/>
      <c r="G134" s="24"/>
      <c r="H134" s="24"/>
      <c r="I134" s="25">
        <f t="shared" si="4"/>
        <v>0</v>
      </c>
    </row>
    <row r="135" spans="2:9" x14ac:dyDescent="0.25">
      <c r="B135" s="21"/>
      <c r="C135" s="52"/>
      <c r="D135" s="21"/>
      <c r="E135" s="51"/>
      <c r="F135" s="23"/>
      <c r="G135" s="24"/>
      <c r="H135" s="24"/>
      <c r="I135" s="25">
        <f t="shared" si="4"/>
        <v>0</v>
      </c>
    </row>
    <row r="136" spans="2:9" x14ac:dyDescent="0.25">
      <c r="B136" s="21"/>
      <c r="C136" s="52"/>
      <c r="D136" s="21"/>
      <c r="E136" s="51"/>
      <c r="F136" s="23"/>
      <c r="G136" s="24"/>
      <c r="H136" s="24"/>
      <c r="I136" s="25">
        <f t="shared" ref="I136:I149" si="5">ROUND(E136*H136,2)</f>
        <v>0</v>
      </c>
    </row>
    <row r="137" spans="2:9" x14ac:dyDescent="0.25">
      <c r="B137" s="21"/>
      <c r="C137" s="52"/>
      <c r="D137" s="21"/>
      <c r="E137" s="51"/>
      <c r="F137" s="23"/>
      <c r="G137" s="24"/>
      <c r="H137" s="24"/>
      <c r="I137" s="25">
        <f t="shared" si="5"/>
        <v>0</v>
      </c>
    </row>
    <row r="138" spans="2:9" x14ac:dyDescent="0.25">
      <c r="B138" s="21"/>
      <c r="C138" s="52"/>
      <c r="D138" s="21"/>
      <c r="E138" s="51"/>
      <c r="F138" s="23"/>
      <c r="G138" s="24"/>
      <c r="H138" s="24"/>
      <c r="I138" s="25">
        <f t="shared" si="5"/>
        <v>0</v>
      </c>
    </row>
    <row r="139" spans="2:9" x14ac:dyDescent="0.25">
      <c r="B139" s="21"/>
      <c r="C139" s="52"/>
      <c r="D139" s="21"/>
      <c r="E139" s="51"/>
      <c r="F139" s="23"/>
      <c r="G139" s="24"/>
      <c r="H139" s="24"/>
      <c r="I139" s="25">
        <f t="shared" si="5"/>
        <v>0</v>
      </c>
    </row>
    <row r="140" spans="2:9" x14ac:dyDescent="0.25">
      <c r="B140" s="21"/>
      <c r="C140" s="52"/>
      <c r="D140" s="21"/>
      <c r="E140" s="51"/>
      <c r="F140" s="23"/>
      <c r="G140" s="24"/>
      <c r="H140" s="24"/>
      <c r="I140" s="25">
        <f t="shared" si="5"/>
        <v>0</v>
      </c>
    </row>
    <row r="141" spans="2:9" x14ac:dyDescent="0.25">
      <c r="B141" s="21"/>
      <c r="C141" s="52"/>
      <c r="D141" s="21"/>
      <c r="E141" s="51"/>
      <c r="F141" s="23"/>
      <c r="G141" s="24"/>
      <c r="H141" s="24"/>
      <c r="I141" s="25">
        <f t="shared" si="5"/>
        <v>0</v>
      </c>
    </row>
    <row r="142" spans="2:9" x14ac:dyDescent="0.25">
      <c r="B142" s="21"/>
      <c r="C142" s="52"/>
      <c r="D142" s="21"/>
      <c r="E142" s="51"/>
      <c r="F142" s="23"/>
      <c r="G142" s="24"/>
      <c r="H142" s="24"/>
      <c r="I142" s="25">
        <f t="shared" si="5"/>
        <v>0</v>
      </c>
    </row>
    <row r="143" spans="2:9" x14ac:dyDescent="0.25">
      <c r="B143" s="21"/>
      <c r="C143" s="52"/>
      <c r="D143" s="21"/>
      <c r="E143" s="51"/>
      <c r="F143" s="23"/>
      <c r="G143" s="24"/>
      <c r="H143" s="24"/>
      <c r="I143" s="25">
        <f t="shared" si="5"/>
        <v>0</v>
      </c>
    </row>
    <row r="144" spans="2:9" x14ac:dyDescent="0.25">
      <c r="B144" s="21"/>
      <c r="C144" s="52"/>
      <c r="D144" s="21"/>
      <c r="E144" s="51"/>
      <c r="F144" s="23"/>
      <c r="G144" s="24"/>
      <c r="H144" s="24"/>
      <c r="I144" s="25">
        <f t="shared" si="5"/>
        <v>0</v>
      </c>
    </row>
    <row r="145" spans="2:9" x14ac:dyDescent="0.25">
      <c r="B145" s="21"/>
      <c r="C145" s="52"/>
      <c r="D145" s="21"/>
      <c r="E145" s="51"/>
      <c r="F145" s="23"/>
      <c r="G145" s="24"/>
      <c r="H145" s="24"/>
      <c r="I145" s="25">
        <f t="shared" si="5"/>
        <v>0</v>
      </c>
    </row>
    <row r="146" spans="2:9" x14ac:dyDescent="0.25">
      <c r="B146" s="21"/>
      <c r="C146" s="52"/>
      <c r="D146" s="21"/>
      <c r="E146" s="51"/>
      <c r="F146" s="23"/>
      <c r="G146" s="24"/>
      <c r="H146" s="24"/>
      <c r="I146" s="25">
        <f t="shared" si="5"/>
        <v>0</v>
      </c>
    </row>
    <row r="147" spans="2:9" x14ac:dyDescent="0.25">
      <c r="B147" s="21"/>
      <c r="C147" s="52"/>
      <c r="D147" s="21"/>
      <c r="E147" s="51"/>
      <c r="F147" s="23"/>
      <c r="G147" s="24"/>
      <c r="H147" s="24"/>
      <c r="I147" s="25">
        <f t="shared" si="5"/>
        <v>0</v>
      </c>
    </row>
    <row r="148" spans="2:9" x14ac:dyDescent="0.25">
      <c r="B148" s="21"/>
      <c r="C148" s="52"/>
      <c r="D148" s="21"/>
      <c r="E148" s="51"/>
      <c r="F148" s="23"/>
      <c r="G148" s="24"/>
      <c r="H148" s="24"/>
      <c r="I148" s="25">
        <f t="shared" si="5"/>
        <v>0</v>
      </c>
    </row>
    <row r="149" spans="2:9" x14ac:dyDescent="0.25">
      <c r="B149" s="21"/>
      <c r="C149" s="52"/>
      <c r="D149" s="21"/>
      <c r="E149" s="51"/>
      <c r="F149" s="23"/>
      <c r="G149" s="24"/>
      <c r="H149" s="24"/>
      <c r="I149" s="25">
        <f t="shared" si="5"/>
        <v>0</v>
      </c>
    </row>
    <row r="150" spans="2:9" x14ac:dyDescent="0.25">
      <c r="B150" s="21"/>
      <c r="C150" s="52"/>
      <c r="D150" s="21"/>
      <c r="E150" s="51"/>
      <c r="F150" s="23"/>
      <c r="G150" s="24"/>
      <c r="H150" s="24"/>
      <c r="I150" s="25">
        <f t="shared" ref="I150:I164" si="6">ROUND(E150*H150,2)</f>
        <v>0</v>
      </c>
    </row>
    <row r="151" spans="2:9" x14ac:dyDescent="0.25">
      <c r="B151" s="21"/>
      <c r="C151" s="52"/>
      <c r="D151" s="21"/>
      <c r="E151" s="51"/>
      <c r="F151" s="23"/>
      <c r="G151" s="24"/>
      <c r="H151" s="24"/>
      <c r="I151" s="25">
        <f t="shared" si="6"/>
        <v>0</v>
      </c>
    </row>
    <row r="152" spans="2:9" x14ac:dyDescent="0.25">
      <c r="B152" s="21"/>
      <c r="C152" s="52"/>
      <c r="D152" s="21"/>
      <c r="E152" s="51"/>
      <c r="F152" s="23"/>
      <c r="G152" s="24"/>
      <c r="H152" s="24"/>
      <c r="I152" s="25">
        <f t="shared" si="6"/>
        <v>0</v>
      </c>
    </row>
    <row r="153" spans="2:9" x14ac:dyDescent="0.25">
      <c r="B153" s="21"/>
      <c r="C153" s="52"/>
      <c r="D153" s="21"/>
      <c r="E153" s="51"/>
      <c r="F153" s="23"/>
      <c r="G153" s="24"/>
      <c r="H153" s="24"/>
      <c r="I153" s="25">
        <f t="shared" si="6"/>
        <v>0</v>
      </c>
    </row>
    <row r="154" spans="2:9" x14ac:dyDescent="0.25">
      <c r="B154" s="21"/>
      <c r="C154" s="52"/>
      <c r="D154" s="21"/>
      <c r="E154" s="51"/>
      <c r="F154" s="23"/>
      <c r="G154" s="24"/>
      <c r="H154" s="24"/>
      <c r="I154" s="25">
        <f t="shared" si="6"/>
        <v>0</v>
      </c>
    </row>
    <row r="155" spans="2:9" x14ac:dyDescent="0.25">
      <c r="B155" s="21"/>
      <c r="C155" s="52"/>
      <c r="D155" s="21"/>
      <c r="E155" s="51"/>
      <c r="F155" s="23"/>
      <c r="G155" s="24"/>
      <c r="H155" s="24"/>
      <c r="I155" s="25">
        <f t="shared" si="6"/>
        <v>0</v>
      </c>
    </row>
    <row r="156" spans="2:9" x14ac:dyDescent="0.25">
      <c r="B156" s="21"/>
      <c r="C156" s="52"/>
      <c r="D156" s="21"/>
      <c r="E156" s="51"/>
      <c r="F156" s="23"/>
      <c r="G156" s="24"/>
      <c r="H156" s="24"/>
      <c r="I156" s="25">
        <f t="shared" si="6"/>
        <v>0</v>
      </c>
    </row>
    <row r="157" spans="2:9" x14ac:dyDescent="0.25">
      <c r="B157" s="21"/>
      <c r="C157" s="52"/>
      <c r="D157" s="21"/>
      <c r="E157" s="51"/>
      <c r="F157" s="23"/>
      <c r="G157" s="24"/>
      <c r="H157" s="24"/>
      <c r="I157" s="25">
        <f t="shared" si="6"/>
        <v>0</v>
      </c>
    </row>
    <row r="158" spans="2:9" x14ac:dyDescent="0.25">
      <c r="B158" s="21"/>
      <c r="C158" s="52"/>
      <c r="D158" s="21"/>
      <c r="E158" s="51"/>
      <c r="F158" s="23"/>
      <c r="G158" s="24"/>
      <c r="H158" s="24"/>
      <c r="I158" s="25">
        <f t="shared" si="6"/>
        <v>0</v>
      </c>
    </row>
    <row r="159" spans="2:9" x14ac:dyDescent="0.25">
      <c r="B159" s="21"/>
      <c r="C159" s="52"/>
      <c r="D159" s="21"/>
      <c r="E159" s="51"/>
      <c r="F159" s="23"/>
      <c r="G159" s="24"/>
      <c r="H159" s="24"/>
      <c r="I159" s="25">
        <f t="shared" si="6"/>
        <v>0</v>
      </c>
    </row>
    <row r="160" spans="2:9" x14ac:dyDescent="0.25">
      <c r="B160" s="21"/>
      <c r="C160" s="52"/>
      <c r="D160" s="21"/>
      <c r="E160" s="51"/>
      <c r="F160" s="23"/>
      <c r="G160" s="24"/>
      <c r="H160" s="24"/>
      <c r="I160" s="25">
        <f t="shared" si="6"/>
        <v>0</v>
      </c>
    </row>
    <row r="161" spans="2:9" x14ac:dyDescent="0.25">
      <c r="B161" s="21"/>
      <c r="C161" s="52"/>
      <c r="D161" s="21"/>
      <c r="E161" s="51"/>
      <c r="F161" s="23"/>
      <c r="G161" s="24"/>
      <c r="H161" s="24"/>
      <c r="I161" s="25">
        <f t="shared" si="6"/>
        <v>0</v>
      </c>
    </row>
    <row r="162" spans="2:9" x14ac:dyDescent="0.25">
      <c r="B162" s="21"/>
      <c r="C162" s="52"/>
      <c r="D162" s="21"/>
      <c r="E162" s="51"/>
      <c r="F162" s="23"/>
      <c r="G162" s="24"/>
      <c r="H162" s="24"/>
      <c r="I162" s="25">
        <f t="shared" si="6"/>
        <v>0</v>
      </c>
    </row>
    <row r="163" spans="2:9" x14ac:dyDescent="0.25">
      <c r="B163" s="21"/>
      <c r="C163" s="52"/>
      <c r="D163" s="21"/>
      <c r="E163" s="51"/>
      <c r="F163" s="23"/>
      <c r="G163" s="24"/>
      <c r="H163" s="24"/>
      <c r="I163" s="25">
        <f t="shared" si="6"/>
        <v>0</v>
      </c>
    </row>
    <row r="164" spans="2:9" x14ac:dyDescent="0.25">
      <c r="B164" s="21"/>
      <c r="C164" s="52"/>
      <c r="D164" s="21"/>
      <c r="E164" s="51"/>
      <c r="F164" s="23"/>
      <c r="G164" s="24"/>
      <c r="H164" s="24"/>
      <c r="I164" s="25">
        <f t="shared" si="6"/>
        <v>0</v>
      </c>
    </row>
    <row r="165" spans="2:9" x14ac:dyDescent="0.25">
      <c r="B165" s="75"/>
      <c r="C165" s="76"/>
      <c r="D165" s="76"/>
      <c r="E165" s="76"/>
      <c r="F165" s="77"/>
      <c r="G165" s="26"/>
      <c r="H165" s="27" t="s">
        <v>16</v>
      </c>
      <c r="I165" s="28">
        <f>SUM(I15:I164)</f>
        <v>19027.730000000003</v>
      </c>
    </row>
    <row r="166" spans="2:9" x14ac:dyDescent="0.25">
      <c r="B166" s="29"/>
      <c r="C166" s="30"/>
      <c r="D166" s="31" t="s">
        <v>17</v>
      </c>
      <c r="E166" s="78">
        <f>SUM(G15:G164)</f>
        <v>33177.960599999999</v>
      </c>
      <c r="F166" s="79"/>
      <c r="G166" s="32"/>
      <c r="H166" s="27" t="s">
        <v>18</v>
      </c>
      <c r="I166" s="33">
        <v>0</v>
      </c>
    </row>
    <row r="167" spans="2:9" x14ac:dyDescent="0.25">
      <c r="B167" s="29"/>
      <c r="C167" s="30"/>
      <c r="D167" s="31" t="s">
        <v>19</v>
      </c>
      <c r="E167" s="78">
        <f>SUM(I15:I164)</f>
        <v>19027.730000000003</v>
      </c>
      <c r="F167" s="79"/>
      <c r="G167" s="32"/>
      <c r="H167" s="34" t="s">
        <v>20</v>
      </c>
      <c r="I167" s="33">
        <v>0</v>
      </c>
    </row>
    <row r="168" spans="2:9" x14ac:dyDescent="0.25">
      <c r="B168" s="29"/>
      <c r="C168" s="30"/>
      <c r="D168" s="31" t="s">
        <v>21</v>
      </c>
      <c r="E168" s="88">
        <f>E166-E167</f>
        <v>14150.230599999995</v>
      </c>
      <c r="F168" s="89"/>
      <c r="G168" s="35"/>
      <c r="H168" s="27" t="s">
        <v>22</v>
      </c>
      <c r="I168" s="36">
        <f>SUM(I165:I167)</f>
        <v>19027.730000000003</v>
      </c>
    </row>
    <row r="169" spans="2:9" x14ac:dyDescent="0.25">
      <c r="B169" s="29"/>
      <c r="C169" s="30"/>
      <c r="D169" s="31"/>
      <c r="E169" s="90"/>
      <c r="F169" s="91"/>
      <c r="G169" s="37"/>
      <c r="H169" s="27" t="s">
        <v>23</v>
      </c>
      <c r="I169" s="36">
        <f>I168*0.05</f>
        <v>951.38650000000018</v>
      </c>
    </row>
    <row r="170" spans="2:9" x14ac:dyDescent="0.25">
      <c r="B170" s="29"/>
      <c r="C170" s="30"/>
      <c r="D170" s="38"/>
      <c r="E170" s="38"/>
      <c r="F170" s="39"/>
      <c r="G170" s="39"/>
      <c r="H170" s="27" t="s">
        <v>24</v>
      </c>
      <c r="I170" s="33"/>
    </row>
    <row r="171" spans="2:9" ht="15.75" x14ac:dyDescent="0.25">
      <c r="B171" s="85" t="s">
        <v>25</v>
      </c>
      <c r="C171" s="86"/>
      <c r="D171" s="86"/>
      <c r="E171" s="86"/>
      <c r="F171" s="87"/>
      <c r="G171" s="40"/>
      <c r="H171" s="41" t="s">
        <v>26</v>
      </c>
      <c r="I171" s="42">
        <f>SUM(I168:I170)</f>
        <v>19979.116500000004</v>
      </c>
    </row>
  </sheetData>
  <autoFilter ref="B14:I171" xr:uid="{385D4A5F-3A2C-4DA2-9F3F-238E58578600}"/>
  <mergeCells count="25">
    <mergeCell ref="C10:D10"/>
    <mergeCell ref="C11:D11"/>
    <mergeCell ref="C12:D12"/>
    <mergeCell ref="B171:F171"/>
    <mergeCell ref="E1:F5"/>
    <mergeCell ref="E168:F168"/>
    <mergeCell ref="E169:F169"/>
    <mergeCell ref="C8:D8"/>
    <mergeCell ref="C9:D9"/>
    <mergeCell ref="H1:I5"/>
    <mergeCell ref="F13:I13"/>
    <mergeCell ref="B165:F165"/>
    <mergeCell ref="E166:F166"/>
    <mergeCell ref="E167:F167"/>
    <mergeCell ref="E11:F11"/>
    <mergeCell ref="H11:I11"/>
    <mergeCell ref="E8:F8"/>
    <mergeCell ref="E12:F12"/>
    <mergeCell ref="H12:I12"/>
    <mergeCell ref="E10:F10"/>
    <mergeCell ref="H10:I10"/>
    <mergeCell ref="H8:I8"/>
    <mergeCell ref="E9:F9"/>
    <mergeCell ref="H9:I9"/>
    <mergeCell ref="C7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322B-1D86-4F31-80F8-C4BFBD3D6543}">
  <dimension ref="B1:I171"/>
  <sheetViews>
    <sheetView topLeftCell="A35" workbookViewId="0">
      <selection activeCell="E15" sqref="E15:E58"/>
    </sheetView>
  </sheetViews>
  <sheetFormatPr defaultRowHeight="15" x14ac:dyDescent="0.25"/>
  <cols>
    <col min="1" max="1" width="2.7109375" customWidth="1"/>
    <col min="2" max="2" width="15.42578125" customWidth="1"/>
    <col min="3" max="3" width="45.28515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32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4630525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HYDRAULIC FILTER</v>
      </c>
      <c r="E15" s="54">
        <f>VLOOKUP(B15,[1]!Table3[[Part Number]:[Annual]],8,0)</f>
        <v>2</v>
      </c>
      <c r="F15" s="63">
        <f>VLOOKUP(B15,[1]!Table3[[Part Number]:[Annual]],4,0)</f>
        <v>96.144599999999997</v>
      </c>
      <c r="G15" s="24">
        <f t="shared" ref="G15:G30" si="0">E15*F15</f>
        <v>192.28919999999999</v>
      </c>
      <c r="H15" s="24">
        <f>VLOOKUP(B15,[1]!Table3[[Part Number]:[Annual]],5,0)</f>
        <v>48.07</v>
      </c>
      <c r="I15" s="25">
        <f t="shared" ref="I15:I78" si="1">ROUND(E15*H15,2)</f>
        <v>96.14</v>
      </c>
    </row>
    <row r="16" spans="2:9" x14ac:dyDescent="0.25">
      <c r="B16" s="58">
        <v>8981527381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FINAL FUEL FILTER</v>
      </c>
      <c r="E16" s="54">
        <f>VLOOKUP(B16,[1]!Table3[[Part Number]:[Annual]],8,0)</f>
        <v>4</v>
      </c>
      <c r="F16" s="63">
        <f>VLOOKUP(B16,[1]!Table3[[Part Number]:[Annual]],4,0)</f>
        <v>80.867999999999995</v>
      </c>
      <c r="G16" s="24">
        <f t="shared" ref="G16:G58" si="2">E16*F16</f>
        <v>323.47199999999998</v>
      </c>
      <c r="H16" s="24">
        <f>VLOOKUP(B16,[1]!Table3[[Part Number]:[Annual]],5,0)</f>
        <v>40.43</v>
      </c>
      <c r="I16" s="25">
        <f t="shared" si="1"/>
        <v>161.72</v>
      </c>
    </row>
    <row r="17" spans="2:9" x14ac:dyDescent="0.25">
      <c r="B17" s="58">
        <v>8983020750</v>
      </c>
      <c r="C17" s="54" t="str">
        <f>VLOOKUP(B17,[1]!Table3[[Part Number]:[Annual]],2,0)</f>
        <v xml:space="preserve">JD 470GLC (1FF) HITACHI 470GLC (HCM)          </v>
      </c>
      <c r="D17" s="54" t="str">
        <f>VLOOKUP(B17,[1]!Table3[[Part Number]:[Annual]],3,0)</f>
        <v>ENGINE OIL FILTER</v>
      </c>
      <c r="E17" s="54">
        <f>VLOOKUP(B17,[1]!Table3[[Part Number]:[Annual]],8,0)</f>
        <v>4</v>
      </c>
      <c r="F17" s="63">
        <f>VLOOKUP(B17,[1]!Table3[[Part Number]:[Annual]],4,0)</f>
        <v>107.0742</v>
      </c>
      <c r="G17" s="24">
        <f t="shared" si="2"/>
        <v>428.29680000000002</v>
      </c>
      <c r="H17" s="24">
        <f>VLOOKUP(B17,[1]!Table3[[Part Number]:[Annual]],5,0)</f>
        <v>53.54</v>
      </c>
      <c r="I17" s="25">
        <f t="shared" si="1"/>
        <v>214.16</v>
      </c>
    </row>
    <row r="18" spans="2:9" x14ac:dyDescent="0.25">
      <c r="B18" s="58" t="s">
        <v>74</v>
      </c>
      <c r="C18" s="54" t="str">
        <f>VLOOKUP(B18,[1]!Table3[[Part Number]:[Annual]],2,0)</f>
        <v xml:space="preserve">CAT PL61 (DHA) CAT PL61 (WGS) CAT D6D (06X)        </v>
      </c>
      <c r="D18" s="54" t="str">
        <f>VLOOKUP(B18,[1]!Table3[[Part Number]:[Annual]],3,0)</f>
        <v>HYDRAULIC OIL FILTER (POWER TRAIN)</v>
      </c>
      <c r="E18" s="54">
        <f>VLOOKUP(B18,[1]!Table3[[Part Number]:[Annual]],8,0)</f>
        <v>3</v>
      </c>
      <c r="F18" s="63">
        <f>VLOOKUP(B18,[1]!Table3[[Part Number]:[Annual]],4,0)</f>
        <v>145.28</v>
      </c>
      <c r="G18" s="24">
        <f t="shared" si="2"/>
        <v>435.84000000000003</v>
      </c>
      <c r="H18" s="24">
        <f>VLOOKUP(B18,[1]!Table3[[Part Number]:[Annual]],5,0)</f>
        <v>72.64</v>
      </c>
      <c r="I18" s="25">
        <f t="shared" si="1"/>
        <v>217.92</v>
      </c>
    </row>
    <row r="19" spans="2:9" x14ac:dyDescent="0.25">
      <c r="B19" s="58" t="s">
        <v>100</v>
      </c>
      <c r="C19" s="54" t="str">
        <f>VLOOKUP(B19,[1]!Table3[[Part Number]:[Annual]],2,0)</f>
        <v xml:space="preserve">CAT 583T (CMX) CAT 589 (31Z) CAT DK8 (893) CAT DK8 (950)      </v>
      </c>
      <c r="D19" s="54" t="str">
        <f>VLOOKUP(B19,[1]!Table3[[Part Number]:[Annual]],3,0)</f>
        <v>Air Filter - Secondary</v>
      </c>
      <c r="E19" s="54">
        <f>VLOOKUP(B19,[1]!Table3[[Part Number]:[Annual]],8,0)</f>
        <v>4</v>
      </c>
      <c r="F19" s="63">
        <f>VLOOKUP(B19,[1]!Table3[[Part Number]:[Annual]],4,0)</f>
        <v>167.36</v>
      </c>
      <c r="G19" s="24">
        <f t="shared" si="2"/>
        <v>669.44</v>
      </c>
      <c r="H19" s="24">
        <f>VLOOKUP(B19,[1]!Table3[[Part Number]:[Annual]],5,0)</f>
        <v>108.78</v>
      </c>
      <c r="I19" s="25">
        <f t="shared" si="1"/>
        <v>435.12</v>
      </c>
    </row>
    <row r="20" spans="2:9" x14ac:dyDescent="0.25">
      <c r="B20" s="58" t="s">
        <v>61</v>
      </c>
      <c r="C20" s="54" t="str">
        <f>VLOOKUP(B20,[1]!Table3[[Part Number]:[Annual]],2,0)</f>
        <v xml:space="preserve">CAT 594 (96V) CAT 594H (96V)          </v>
      </c>
      <c r="D20" s="54" t="str">
        <f>VLOOKUP(B20,[1]!Table3[[Part Number]:[Annual]],3,0)</f>
        <v>SECONDARY AIR FILTER ELEMENT</v>
      </c>
      <c r="E20" s="54">
        <f>VLOOKUP(B20,[1]!Table3[[Part Number]:[Annual]],8,0)</f>
        <v>4</v>
      </c>
      <c r="F20" s="63">
        <f>VLOOKUP(B20,[1]!Table3[[Part Number]:[Annual]],4,0)</f>
        <v>222</v>
      </c>
      <c r="G20" s="24">
        <f t="shared" si="2"/>
        <v>888</v>
      </c>
      <c r="H20" s="24">
        <f>VLOOKUP(B20,[1]!Table3[[Part Number]:[Annual]],5,0)</f>
        <v>144.30000000000001</v>
      </c>
      <c r="I20" s="25">
        <f t="shared" si="1"/>
        <v>577.20000000000005</v>
      </c>
    </row>
    <row r="21" spans="2:9" x14ac:dyDescent="0.25">
      <c r="B21" s="58" t="s">
        <v>62</v>
      </c>
      <c r="C21" s="54" t="str">
        <f>VLOOKUP(B21,[1]!Table3[[Part Number]:[Annual]],2,0)</f>
        <v xml:space="preserve">CAT 594 (96V) CAT 594H (96V)          </v>
      </c>
      <c r="D21" s="54" t="str">
        <f>VLOOKUP(B21,[1]!Table3[[Part Number]:[Annual]],3,0)</f>
        <v>PRIMARY AIR FILTER ELEMENT</v>
      </c>
      <c r="E21" s="54">
        <f>VLOOKUP(B21,[1]!Table3[[Part Number]:[Annual]],8,0)</f>
        <v>4</v>
      </c>
      <c r="F21" s="63">
        <f>VLOOKUP(B21,[1]!Table3[[Part Number]:[Annual]],4,0)</f>
        <v>121.8</v>
      </c>
      <c r="G21" s="24">
        <f t="shared" si="2"/>
        <v>487.2</v>
      </c>
      <c r="H21" s="24">
        <f>VLOOKUP(B21,[1]!Table3[[Part Number]:[Annual]],5,0)</f>
        <v>79.17</v>
      </c>
      <c r="I21" s="25">
        <f t="shared" si="1"/>
        <v>316.68</v>
      </c>
    </row>
    <row r="22" spans="2:9" x14ac:dyDescent="0.25">
      <c r="B22" s="58" t="s">
        <v>47</v>
      </c>
      <c r="C22" s="54" t="str">
        <f>VLOOKUP(B22,[1]!Table3[[Part Number]:[Annual]],2,0)</f>
        <v>CAT D7G (DSC) CAT D7G (DSC) (2) CAT D7G (DSC) (3) CAT D7G (SUB) CAT D7G (3ZD) CAT 572R (DSC) CAT 572R (DSC) (2)</v>
      </c>
      <c r="D22" s="54" t="str">
        <f>VLOOKUP(B22,[1]!Table3[[Part Number]:[Annual]],3,0)</f>
        <v>ENGINE OIL FILTER</v>
      </c>
      <c r="E22" s="54">
        <f>VLOOKUP(B22,[1]!Table3[[Part Number]:[Annual]],8,0)</f>
        <v>14</v>
      </c>
      <c r="F22" s="63">
        <f>VLOOKUP(B22,[1]!Table3[[Part Number]:[Annual]],4,0)</f>
        <v>59.49</v>
      </c>
      <c r="G22" s="24">
        <f t="shared" si="2"/>
        <v>832.86</v>
      </c>
      <c r="H22" s="24">
        <f>VLOOKUP(B22,[1]!Table3[[Part Number]:[Annual]],5,0)</f>
        <v>29.75</v>
      </c>
      <c r="I22" s="25">
        <f t="shared" si="1"/>
        <v>416.5</v>
      </c>
    </row>
    <row r="23" spans="2:9" x14ac:dyDescent="0.25">
      <c r="B23" s="58" t="s">
        <v>75</v>
      </c>
      <c r="C23" s="54" t="str">
        <f>VLOOKUP(B23,[1]!Table3[[Part Number]:[Annual]],2,0)</f>
        <v xml:space="preserve">CAT 594 (96V) CAT 594H (96V)          </v>
      </c>
      <c r="D23" s="54" t="str">
        <f>VLOOKUP(B23,[1]!Table3[[Part Number]:[Annual]],3,0)</f>
        <v>HYDRAULIC FILTER</v>
      </c>
      <c r="E23" s="54">
        <f>VLOOKUP(B23,[1]!Table3[[Part Number]:[Annual]],8,0)</f>
        <v>2</v>
      </c>
      <c r="F23" s="63">
        <f>VLOOKUP(B23,[1]!Table3[[Part Number]:[Annual]],4,0)</f>
        <v>47.98</v>
      </c>
      <c r="G23" s="24">
        <f t="shared" si="2"/>
        <v>95.96</v>
      </c>
      <c r="H23" s="24">
        <f>VLOOKUP(B23,[1]!Table3[[Part Number]:[Annual]],5,0)</f>
        <v>23.99</v>
      </c>
      <c r="I23" s="25">
        <f t="shared" si="1"/>
        <v>47.98</v>
      </c>
    </row>
    <row r="24" spans="2:9" x14ac:dyDescent="0.25">
      <c r="B24" s="58" t="s">
        <v>76</v>
      </c>
      <c r="C24" s="54" t="str">
        <f>VLOOKUP(B24,[1]!Table3[[Part Number]:[Annual]],2,0)</f>
        <v xml:space="preserve">CAT 583T (CMX) CAT 589 (31Z) CAT 594 (96V) CAT 594H (96V) CAT DK8 (893) CAT DK8 (950)  </v>
      </c>
      <c r="D24" s="54" t="str">
        <f>VLOOKUP(B24,[1]!Table3[[Part Number]:[Annual]],3,0)</f>
        <v>Hydraulic Filter</v>
      </c>
      <c r="E24" s="54">
        <f>VLOOKUP(B24,[1]!Table3[[Part Number]:[Annual]],8,0)</f>
        <v>8</v>
      </c>
      <c r="F24" s="63">
        <f>VLOOKUP(B24,[1]!Table3[[Part Number]:[Annual]],4,0)</f>
        <v>38.31</v>
      </c>
      <c r="G24" s="24">
        <f t="shared" si="2"/>
        <v>306.48</v>
      </c>
      <c r="H24" s="24">
        <f>VLOOKUP(B24,[1]!Table3[[Part Number]:[Annual]],5,0)</f>
        <v>19.16</v>
      </c>
      <c r="I24" s="25">
        <f t="shared" si="1"/>
        <v>153.28</v>
      </c>
    </row>
    <row r="25" spans="2:9" x14ac:dyDescent="0.25">
      <c r="B25" s="58" t="s">
        <v>37</v>
      </c>
      <c r="C25" s="54" t="str">
        <f>VLOOKUP(B25,[1]!Table3[[Part Number]:[Annual]],2,0)</f>
        <v>CAT D7G (DSC) CAT D7G (DSC) (2) CAT D7G (DSC) (3) CAT D7G (SUB) CAT D7G (3ZD) CAT 572R (DSC) CAT 572R (DSC) (2)</v>
      </c>
      <c r="D25" s="54" t="str">
        <f>VLOOKUP(B25,[1]!Table3[[Part Number]:[Annual]],3,0)</f>
        <v>FUEL FILTER</v>
      </c>
      <c r="E25" s="54">
        <f>VLOOKUP(B25,[1]!Table3[[Part Number]:[Annual]],8,0)</f>
        <v>14</v>
      </c>
      <c r="F25" s="63">
        <f>VLOOKUP(B25,[1]!Table3[[Part Number]:[Annual]],4,0)</f>
        <v>49.75</v>
      </c>
      <c r="G25" s="24">
        <f t="shared" si="2"/>
        <v>696.5</v>
      </c>
      <c r="H25" s="24">
        <f>VLOOKUP(B25,[1]!Table3[[Part Number]:[Annual]],5,0)</f>
        <v>24.88</v>
      </c>
      <c r="I25" s="25">
        <f t="shared" si="1"/>
        <v>348.32</v>
      </c>
    </row>
    <row r="26" spans="2:9" x14ac:dyDescent="0.25">
      <c r="B26" s="58" t="s">
        <v>79</v>
      </c>
      <c r="C26" s="54" t="str">
        <f>VLOOKUP(B26,[1]!Table3[[Part Number]:[Annual]],2,0)</f>
        <v xml:space="preserve">CAT 583T (CMX) CAT 589 (31Z) CAT 594 (96V) CAT 594H (96V) CAT DK8 (893) CAT DK8 (950)  </v>
      </c>
      <c r="D26" s="54" t="str">
        <f>VLOOKUP(B26,[1]!Table3[[Part Number]:[Annual]],3,0)</f>
        <v>Fuel Filter - Secondary</v>
      </c>
      <c r="E26" s="54">
        <f>VLOOKUP(B26,[1]!Table3[[Part Number]:[Annual]],8,0)</f>
        <v>16</v>
      </c>
      <c r="F26" s="63">
        <f>VLOOKUP(B26,[1]!Table3[[Part Number]:[Annual]],4,0)</f>
        <v>41.22</v>
      </c>
      <c r="G26" s="24">
        <f t="shared" si="2"/>
        <v>659.52</v>
      </c>
      <c r="H26" s="24">
        <f>VLOOKUP(B26,[1]!Table3[[Part Number]:[Annual]],5,0)</f>
        <v>20.61</v>
      </c>
      <c r="I26" s="25">
        <f t="shared" si="1"/>
        <v>329.76</v>
      </c>
    </row>
    <row r="27" spans="2:9" x14ac:dyDescent="0.25">
      <c r="B27" s="58" t="s">
        <v>63</v>
      </c>
      <c r="C27" s="54" t="str">
        <f>VLOOKUP(B27,[1]!Table3[[Part Number]:[Annual]],2,0)</f>
        <v xml:space="preserve">CAT PL61 (DHA) CAT PL61 (WGS) CAT D6D (06X)        </v>
      </c>
      <c r="D27" s="54" t="str">
        <f>VLOOKUP(B27,[1]!Table3[[Part Number]:[Annual]],3,0)</f>
        <v>CABIN AIR FILTER ELEMENT</v>
      </c>
      <c r="E27" s="54">
        <f>VLOOKUP(B27,[1]!Table3[[Part Number]:[Annual]],8,0)</f>
        <v>0</v>
      </c>
      <c r="F27" s="63">
        <f>VLOOKUP(B27,[1]!Table3[[Part Number]:[Annual]],4,0)</f>
        <v>82.23</v>
      </c>
      <c r="G27" s="24">
        <f t="shared" si="2"/>
        <v>0</v>
      </c>
      <c r="H27" s="24">
        <f>VLOOKUP(B27,[1]!Table3[[Part Number]:[Annual]],5,0)</f>
        <v>53.45</v>
      </c>
      <c r="I27" s="25">
        <f t="shared" si="1"/>
        <v>0</v>
      </c>
    </row>
    <row r="28" spans="2:9" x14ac:dyDescent="0.25">
      <c r="B28" s="58" t="s">
        <v>64</v>
      </c>
      <c r="C28" s="54" t="str">
        <f>VLOOKUP(B28,[1]!Table3[[Part Number]:[Annual]],2,0)</f>
        <v xml:space="preserve">CAT PL61 (DHA) CAT PL61 (WGS) CAT D6D (06X)        </v>
      </c>
      <c r="D28" s="54" t="str">
        <f>VLOOKUP(B28,[1]!Table3[[Part Number]:[Annual]],3,0)</f>
        <v>PRIMARY AIR FILTER ELEMENT</v>
      </c>
      <c r="E28" s="54">
        <f>VLOOKUP(B28,[1]!Table3[[Part Number]:[Annual]],8,0)</f>
        <v>3</v>
      </c>
      <c r="F28" s="63">
        <f>VLOOKUP(B28,[1]!Table3[[Part Number]:[Annual]],4,0)</f>
        <v>214.1</v>
      </c>
      <c r="G28" s="24">
        <f t="shared" si="2"/>
        <v>642.29999999999995</v>
      </c>
      <c r="H28" s="24">
        <f>VLOOKUP(B28,[1]!Table3[[Part Number]:[Annual]],5,0)</f>
        <v>139.16999999999999</v>
      </c>
      <c r="I28" s="25">
        <f t="shared" si="1"/>
        <v>417.51</v>
      </c>
    </row>
    <row r="29" spans="2:9" x14ac:dyDescent="0.25">
      <c r="B29" s="58" t="s">
        <v>65</v>
      </c>
      <c r="C29" s="54" t="str">
        <f>VLOOKUP(B29,[1]!Table3[[Part Number]:[Annual]],2,0)</f>
        <v xml:space="preserve">CAT PL61 (DHA) CAT PL61 (WGS) CAT D6D (06X)        </v>
      </c>
      <c r="D29" s="54" t="str">
        <f>VLOOKUP(B29,[1]!Table3[[Part Number]:[Annual]],3,0)</f>
        <v>SECONDARY AIR FILTER ELEMENT</v>
      </c>
      <c r="E29" s="54">
        <f>VLOOKUP(B29,[1]!Table3[[Part Number]:[Annual]],8,0)</f>
        <v>3</v>
      </c>
      <c r="F29" s="63">
        <f>VLOOKUP(B29,[1]!Table3[[Part Number]:[Annual]],4,0)</f>
        <v>147.41</v>
      </c>
      <c r="G29" s="24">
        <f t="shared" si="2"/>
        <v>442.23</v>
      </c>
      <c r="H29" s="24">
        <f>VLOOKUP(B29,[1]!Table3[[Part Number]:[Annual]],5,0)</f>
        <v>95.82</v>
      </c>
      <c r="I29" s="25">
        <f t="shared" si="1"/>
        <v>287.45999999999998</v>
      </c>
    </row>
    <row r="30" spans="2:9" x14ac:dyDescent="0.25">
      <c r="B30" s="58" t="s">
        <v>80</v>
      </c>
      <c r="C30" s="54" t="str">
        <f>VLOOKUP(B30,[1]!Table3[[Part Number]:[Annual]],2,0)</f>
        <v xml:space="preserve">CAT 583T (CMX) CAT 589 (31Z) CAT 594 (96V) CAT 594H (96V) CAT DK8 (893) CAT DK8 (950)  </v>
      </c>
      <c r="D30" s="54" t="str">
        <f>VLOOKUP(B30,[1]!Table3[[Part Number]:[Annual]],3,0)</f>
        <v>Engine Oil Filter</v>
      </c>
      <c r="E30" s="54">
        <f>VLOOKUP(B30,[1]!Table3[[Part Number]:[Annual]],8,0)</f>
        <v>12</v>
      </c>
      <c r="F30" s="63">
        <f>VLOOKUP(B30,[1]!Table3[[Part Number]:[Annual]],4,0)</f>
        <v>33.119999999999997</v>
      </c>
      <c r="G30" s="24">
        <f t="shared" si="2"/>
        <v>397.43999999999994</v>
      </c>
      <c r="H30" s="24">
        <f>VLOOKUP(B30,[1]!Table3[[Part Number]:[Annual]],5,0)</f>
        <v>16.559999999999999</v>
      </c>
      <c r="I30" s="25">
        <f t="shared" si="1"/>
        <v>198.72</v>
      </c>
    </row>
    <row r="31" spans="2:9" x14ac:dyDescent="0.25">
      <c r="B31" s="58" t="s">
        <v>81</v>
      </c>
      <c r="C31" s="54" t="str">
        <f>VLOOKUP(B31,[1]!Table3[[Part Number]:[Annual]],2,0)</f>
        <v xml:space="preserve">CAT PL61 (DHA) CAT PL61 (WGS) CAT D6D (06X)        </v>
      </c>
      <c r="D31" s="54" t="str">
        <f>VLOOKUP(B31,[1]!Table3[[Part Number]:[Annual]],3,0)</f>
        <v>FUEL FILTER</v>
      </c>
      <c r="E31" s="54">
        <f>VLOOKUP(B31,[1]!Table3[[Part Number]:[Annual]],8,0)</f>
        <v>3</v>
      </c>
      <c r="F31" s="63">
        <f>VLOOKUP(B31,[1]!Table3[[Part Number]:[Annual]],4,0)</f>
        <v>72.95</v>
      </c>
      <c r="G31" s="24">
        <f t="shared" si="2"/>
        <v>218.85000000000002</v>
      </c>
      <c r="H31" s="24">
        <f>VLOOKUP(B31,[1]!Table3[[Part Number]:[Annual]],5,0)</f>
        <v>36.479999999999997</v>
      </c>
      <c r="I31" s="25">
        <f t="shared" si="1"/>
        <v>109.44</v>
      </c>
    </row>
    <row r="32" spans="2:9" x14ac:dyDescent="0.25">
      <c r="B32" s="58" t="s">
        <v>82</v>
      </c>
      <c r="C32" s="54" t="str">
        <f>VLOOKUP(B32,[1]!Table3[[Part Number]:[Annual]],2,0)</f>
        <v xml:space="preserve">CAT PL61 (DHA) CAT PL61 (WGS) CAT D6D (06X)        </v>
      </c>
      <c r="D32" s="54" t="str">
        <f>VLOOKUP(B32,[1]!Table3[[Part Number]:[Annual]],3,0)</f>
        <v>FUEL FILTER</v>
      </c>
      <c r="E32" s="54">
        <f>VLOOKUP(B32,[1]!Table3[[Part Number]:[Annual]],8,0)</f>
        <v>3</v>
      </c>
      <c r="F32" s="63">
        <f>VLOOKUP(B32,[1]!Table3[[Part Number]:[Annual]],4,0)</f>
        <v>73.08</v>
      </c>
      <c r="G32" s="24">
        <f t="shared" si="2"/>
        <v>219.24</v>
      </c>
      <c r="H32" s="24">
        <f>VLOOKUP(B32,[1]!Table3[[Part Number]:[Annual]],5,0)</f>
        <v>36.54</v>
      </c>
      <c r="I32" s="25">
        <f t="shared" si="1"/>
        <v>109.62</v>
      </c>
    </row>
    <row r="33" spans="2:9" x14ac:dyDescent="0.25">
      <c r="B33" s="58" t="s">
        <v>83</v>
      </c>
      <c r="C33" s="54" t="str">
        <f>VLOOKUP(B33,[1]!Table3[[Part Number]:[Annual]],2,0)</f>
        <v>CAT D7G (DSC) CAT D7G (DSC) (2) CAT D7G (DSC) (3) CAT D7G (SUB) CAT D7G (3ZD) CAT 572R (DSC) CAT 572R (DSC) (2)</v>
      </c>
      <c r="D33" s="54" t="str">
        <f>VLOOKUP(B33,[1]!Table3[[Part Number]:[Annual]],3,0)</f>
        <v xml:space="preserve">FUEL WATER SEPARATOR </v>
      </c>
      <c r="E33" s="54">
        <f>VLOOKUP(B33,[1]!Table3[[Part Number]:[Annual]],8,0)</f>
        <v>14</v>
      </c>
      <c r="F33" s="63">
        <f>VLOOKUP(B33,[1]!Table3[[Part Number]:[Annual]],4,0)</f>
        <v>76.680000000000007</v>
      </c>
      <c r="G33" s="24">
        <f t="shared" si="2"/>
        <v>1073.52</v>
      </c>
      <c r="H33" s="24">
        <f>VLOOKUP(B33,[1]!Table3[[Part Number]:[Annual]],5,0)</f>
        <v>38.340000000000003</v>
      </c>
      <c r="I33" s="25">
        <f t="shared" si="1"/>
        <v>536.76</v>
      </c>
    </row>
    <row r="34" spans="2:9" x14ac:dyDescent="0.25">
      <c r="B34" s="58" t="s">
        <v>48</v>
      </c>
      <c r="C34" s="54" t="str">
        <f>VLOOKUP(B34,[1]!Table3[[Part Number]:[Annual]],2,0)</f>
        <v xml:space="preserve">CAT PL61 (DHA) CAT PL61 (WGS) CAT D6D (06X)        </v>
      </c>
      <c r="D34" s="54" t="str">
        <f>VLOOKUP(B34,[1]!Table3[[Part Number]:[Annual]],3,0)</f>
        <v xml:space="preserve">FUEL WATER SEPARATOR </v>
      </c>
      <c r="E34" s="54">
        <f>VLOOKUP(B34,[1]!Table3[[Part Number]:[Annual]],8,0)</f>
        <v>3</v>
      </c>
      <c r="F34" s="63">
        <f>VLOOKUP(B34,[1]!Table3[[Part Number]:[Annual]],4,0)</f>
        <v>82.65</v>
      </c>
      <c r="G34" s="24">
        <f t="shared" si="2"/>
        <v>247.95000000000002</v>
      </c>
      <c r="H34" s="24">
        <f>VLOOKUP(B34,[1]!Table3[[Part Number]:[Annual]],5,0)</f>
        <v>41.33</v>
      </c>
      <c r="I34" s="25">
        <f t="shared" si="1"/>
        <v>123.99</v>
      </c>
    </row>
    <row r="35" spans="2:9" x14ac:dyDescent="0.25">
      <c r="B35" s="58" t="s">
        <v>49</v>
      </c>
      <c r="C35" s="54" t="str">
        <f>VLOOKUP(B35,[1]!Table3[[Part Number]:[Annual]],2,0)</f>
        <v>CAT D7G (DSC) CAT D7G (DSC) (2) CAT D7G (DSC) (3) CAT D7G (SUB) CAT D7G (3ZD) CAT 572R (DSC) CAT 572R (DSC) (2)</v>
      </c>
      <c r="D35" s="54" t="str">
        <f>VLOOKUP(B35,[1]!Table3[[Part Number]:[Annual]],3,0)</f>
        <v>HYDRAULIC OIL FILTER (POWER TRAIN)</v>
      </c>
      <c r="E35" s="54">
        <f>VLOOKUP(B35,[1]!Table3[[Part Number]:[Annual]],8,0)</f>
        <v>7</v>
      </c>
      <c r="F35" s="63">
        <f>VLOOKUP(B35,[1]!Table3[[Part Number]:[Annual]],4,0)</f>
        <v>197.31</v>
      </c>
      <c r="G35" s="24">
        <f t="shared" si="2"/>
        <v>1381.17</v>
      </c>
      <c r="H35" s="24">
        <f>VLOOKUP(B35,[1]!Table3[[Part Number]:[Annual]],5,0)</f>
        <v>98.66</v>
      </c>
      <c r="I35" s="25">
        <f t="shared" si="1"/>
        <v>690.62</v>
      </c>
    </row>
    <row r="36" spans="2:9" x14ac:dyDescent="0.25">
      <c r="B36" s="58" t="s">
        <v>84</v>
      </c>
      <c r="C36" s="54" t="str">
        <f>VLOOKUP(B36,[1]!Table3[[Part Number]:[Annual]],2,0)</f>
        <v xml:space="preserve">CAT PL61 (DHA) CAT PL61 (WGS) CAT D6D (06X)        </v>
      </c>
      <c r="D36" s="54" t="str">
        <f>VLOOKUP(B36,[1]!Table3[[Part Number]:[Annual]],3,0)</f>
        <v>ENGINE OIL FILTER</v>
      </c>
      <c r="E36" s="54">
        <f>VLOOKUP(B36,[1]!Table3[[Part Number]:[Annual]],8,0)</f>
        <v>3</v>
      </c>
      <c r="F36" s="63">
        <f>VLOOKUP(B36,[1]!Table3[[Part Number]:[Annual]],4,0)</f>
        <v>35.25</v>
      </c>
      <c r="G36" s="24">
        <f t="shared" si="2"/>
        <v>105.75</v>
      </c>
      <c r="H36" s="24">
        <f>VLOOKUP(B36,[1]!Table3[[Part Number]:[Annual]],5,0)</f>
        <v>17.63</v>
      </c>
      <c r="I36" s="25">
        <f t="shared" si="1"/>
        <v>52.89</v>
      </c>
    </row>
    <row r="37" spans="2:9" x14ac:dyDescent="0.25">
      <c r="B37" s="58" t="s">
        <v>102</v>
      </c>
      <c r="C37" s="54" t="str">
        <f>VLOOKUP(B37,[1]!Table3[[Part Number]:[Annual]],2,0)</f>
        <v xml:space="preserve">CAT 583T (CMX) CAT 589 (31Z) CAT DK8 (893) CAT DK8 (950)      </v>
      </c>
      <c r="D37" s="54" t="str">
        <f>VLOOKUP(B37,[1]!Table3[[Part Number]:[Annual]],3,0)</f>
        <v>Hydraulic Filter</v>
      </c>
      <c r="E37" s="54">
        <f>VLOOKUP(B37,[1]!Table3[[Part Number]:[Annual]],8,0)</f>
        <v>4</v>
      </c>
      <c r="F37" s="63">
        <f>VLOOKUP(B37,[1]!Table3[[Part Number]:[Annual]],4,0)</f>
        <v>234.01</v>
      </c>
      <c r="G37" s="24">
        <f t="shared" si="2"/>
        <v>936.04</v>
      </c>
      <c r="H37" s="24">
        <f>VLOOKUP(B37,[1]!Table3[[Part Number]:[Annual]],5,0)</f>
        <v>117.01</v>
      </c>
      <c r="I37" s="25">
        <f t="shared" si="1"/>
        <v>468.04</v>
      </c>
    </row>
    <row r="38" spans="2:9" x14ac:dyDescent="0.25">
      <c r="B38" s="58" t="s">
        <v>103</v>
      </c>
      <c r="C38" s="54" t="str">
        <f>VLOOKUP(B38,[1]!Table3[[Part Number]:[Annual]],2,0)</f>
        <v xml:space="preserve">CAT 583T (CMX) CAT 589 (31Z) CAT DK8 (893) CAT DK8 (950)      </v>
      </c>
      <c r="D38" s="54" t="str">
        <f>VLOOKUP(B38,[1]!Table3[[Part Number]:[Annual]],3,0)</f>
        <v>Transmission Filter</v>
      </c>
      <c r="E38" s="54">
        <f>VLOOKUP(B38,[1]!Table3[[Part Number]:[Annual]],8,0)</f>
        <v>8</v>
      </c>
      <c r="F38" s="63">
        <f>VLOOKUP(B38,[1]!Table3[[Part Number]:[Annual]],4,0)</f>
        <v>25.04</v>
      </c>
      <c r="G38" s="24">
        <f t="shared" si="2"/>
        <v>200.32</v>
      </c>
      <c r="H38" s="24">
        <f>VLOOKUP(B38,[1]!Table3[[Part Number]:[Annual]],5,0)</f>
        <v>12.52</v>
      </c>
      <c r="I38" s="25">
        <f t="shared" si="1"/>
        <v>100.16</v>
      </c>
    </row>
    <row r="39" spans="2:9" x14ac:dyDescent="0.25">
      <c r="B39" s="58" t="s">
        <v>66</v>
      </c>
      <c r="C39" s="54" t="str">
        <f>VLOOKUP(B39,[1]!Table3[[Part Number]:[Annual]],2,0)</f>
        <v xml:space="preserve">HITACHI ZX290LC-5 (1FF) HITACHI ZX290LC-5 (1FF) (2) HITACHI ZX290LC-5 (1FF) (3)        </v>
      </c>
      <c r="D39" s="54" t="str">
        <f>VLOOKUP(B39,[1]!Table3[[Part Number]:[Annual]],3,0)</f>
        <v>CAB AIR FILTER</v>
      </c>
      <c r="E39" s="54">
        <f>VLOOKUP(B39,[1]!Table3[[Part Number]:[Annual]],8,0)</f>
        <v>0</v>
      </c>
      <c r="F39" s="63">
        <f>VLOOKUP(B39,[1]!Table3[[Part Number]:[Annual]],4,0)</f>
        <v>151.97939999999997</v>
      </c>
      <c r="G39" s="24">
        <f t="shared" si="2"/>
        <v>0</v>
      </c>
      <c r="H39" s="24">
        <f>VLOOKUP(B39,[1]!Table3[[Part Number]:[Annual]],5,0)</f>
        <v>98.79</v>
      </c>
      <c r="I39" s="25">
        <f t="shared" si="1"/>
        <v>0</v>
      </c>
    </row>
    <row r="40" spans="2:9" x14ac:dyDescent="0.25">
      <c r="B40" s="58" t="s">
        <v>67</v>
      </c>
      <c r="C40" s="54" t="str">
        <f>VLOOKUP(B40,[1]!Table3[[Part Number]:[Annual]],2,0)</f>
        <v xml:space="preserve">HITACHI ZX290LC-5 (1FF) HITACHI ZX290LC-5 (1FF) (2) HITACHI ZX290LC-5 (1FF) (3)        </v>
      </c>
      <c r="D40" s="54" t="str">
        <f>VLOOKUP(B40,[1]!Table3[[Part Number]:[Annual]],3,0)</f>
        <v>CAB AIR FILTER</v>
      </c>
      <c r="E40" s="54">
        <f>VLOOKUP(B40,[1]!Table3[[Part Number]:[Annual]],8,0)</f>
        <v>0</v>
      </c>
      <c r="F40" s="63">
        <f>VLOOKUP(B40,[1]!Table3[[Part Number]:[Annual]],4,0)</f>
        <v>123.9378</v>
      </c>
      <c r="G40" s="24">
        <f t="shared" si="2"/>
        <v>0</v>
      </c>
      <c r="H40" s="24">
        <f>VLOOKUP(B40,[1]!Table3[[Part Number]:[Annual]],5,0)</f>
        <v>80.56</v>
      </c>
      <c r="I40" s="25">
        <f t="shared" si="1"/>
        <v>0</v>
      </c>
    </row>
    <row r="41" spans="2:9" x14ac:dyDescent="0.25">
      <c r="B41" s="58" t="s">
        <v>68</v>
      </c>
      <c r="C41" s="54" t="str">
        <f>VLOOKUP(B41,[1]!Table3[[Part Number]:[Annual]],2,0)</f>
        <v xml:space="preserve">JD 470GLC (1FF) HITACHI 470GLC (HCM)          </v>
      </c>
      <c r="D41" s="54" t="str">
        <f>VLOOKUP(B41,[1]!Table3[[Part Number]:[Annual]],3,0)</f>
        <v>CAB AIR FILTER</v>
      </c>
      <c r="E41" s="54">
        <f>VLOOKUP(B41,[1]!Table3[[Part Number]:[Annual]],8,0)</f>
        <v>0</v>
      </c>
      <c r="F41" s="63">
        <f>VLOOKUP(B41,[1]!Table3[[Part Number]:[Annual]],4,0)</f>
        <v>134.99159999999998</v>
      </c>
      <c r="G41" s="24">
        <f t="shared" si="2"/>
        <v>0</v>
      </c>
      <c r="H41" s="24">
        <f>VLOOKUP(B41,[1]!Table3[[Part Number]:[Annual]],5,0)</f>
        <v>87.74</v>
      </c>
      <c r="I41" s="25">
        <f t="shared" si="1"/>
        <v>0</v>
      </c>
    </row>
    <row r="42" spans="2:9" x14ac:dyDescent="0.25">
      <c r="B42" s="58" t="s">
        <v>38</v>
      </c>
      <c r="C42" s="54" t="str">
        <f>VLOOKUP(B42,[1]!Table3[[Part Number]:[Annual]],2,0)</f>
        <v>CAT D7G (DSC) CAT D7G (DSC) (2) CAT D7G (DSC) (3) CAT D7G (SUB) CAT D7G (3ZD) CAT 572R (DSC) CAT 572R (DSC) (2)</v>
      </c>
      <c r="D42" s="54" t="str">
        <f>VLOOKUP(B42,[1]!Table3[[Part Number]:[Annual]],3,0)</f>
        <v>PRIMARY AIR FILTER ELEMENT</v>
      </c>
      <c r="E42" s="54">
        <f>VLOOKUP(B42,[1]!Table3[[Part Number]:[Annual]],8,0)</f>
        <v>14</v>
      </c>
      <c r="F42" s="63">
        <f>VLOOKUP(B42,[1]!Table3[[Part Number]:[Annual]],4,0)</f>
        <v>150.1</v>
      </c>
      <c r="G42" s="24">
        <f t="shared" si="2"/>
        <v>2101.4</v>
      </c>
      <c r="H42" s="24">
        <f>VLOOKUP(B42,[1]!Table3[[Part Number]:[Annual]],5,0)</f>
        <v>97.57</v>
      </c>
      <c r="I42" s="25">
        <f t="shared" si="1"/>
        <v>1365.98</v>
      </c>
    </row>
    <row r="43" spans="2:9" x14ac:dyDescent="0.25">
      <c r="B43" s="58" t="s">
        <v>39</v>
      </c>
      <c r="C43" s="54" t="str">
        <f>VLOOKUP(B43,[1]!Table3[[Part Number]:[Annual]],2,0)</f>
        <v>CAT D7G (DSC) CAT D7G (DSC) (2) CAT D7G (DSC) (3) CAT D7G (SUB) CAT D7G (3ZD) CAT 572R (DSC) CAT 572R (DSC) (2)</v>
      </c>
      <c r="D43" s="54" t="str">
        <f>VLOOKUP(B43,[1]!Table3[[Part Number]:[Annual]],3,0)</f>
        <v>SECONDARY AIR FILTER ELEMENT</v>
      </c>
      <c r="E43" s="54">
        <f>VLOOKUP(B43,[1]!Table3[[Part Number]:[Annual]],8,0)</f>
        <v>14</v>
      </c>
      <c r="F43" s="63">
        <f>VLOOKUP(B43,[1]!Table3[[Part Number]:[Annual]],4,0)</f>
        <v>114.79</v>
      </c>
      <c r="G43" s="24">
        <f t="shared" si="2"/>
        <v>1607.0600000000002</v>
      </c>
      <c r="H43" s="24">
        <f>VLOOKUP(B43,[1]!Table3[[Part Number]:[Annual]],5,0)</f>
        <v>74.61</v>
      </c>
      <c r="I43" s="25">
        <f t="shared" si="1"/>
        <v>1044.54</v>
      </c>
    </row>
    <row r="44" spans="2:9" x14ac:dyDescent="0.25">
      <c r="B44" s="58" t="s">
        <v>105</v>
      </c>
      <c r="C44" s="54" t="str">
        <f>VLOOKUP(B44,[1]!Table3[[Part Number]:[Annual]],2,0)</f>
        <v xml:space="preserve">CAT 583T (CMX) CAT 589 (31Z) CAT DK8 (893) CAT DK8 (950)      </v>
      </c>
      <c r="D44" s="54" t="str">
        <f>VLOOKUP(B44,[1]!Table3[[Part Number]:[Annual]],3,0)</f>
        <v>Cab - Fresh Air</v>
      </c>
      <c r="E44" s="54">
        <f>VLOOKUP(B44,[1]!Table3[[Part Number]:[Annual]],8,0)</f>
        <v>8</v>
      </c>
      <c r="F44" s="63">
        <f>VLOOKUP(B44,[1]!Table3[[Part Number]:[Annual]],4,0)</f>
        <v>47.71</v>
      </c>
      <c r="G44" s="24">
        <f t="shared" si="2"/>
        <v>381.68</v>
      </c>
      <c r="H44" s="24">
        <f>VLOOKUP(B44,[1]!Table3[[Part Number]:[Annual]],5,0)</f>
        <v>31.01</v>
      </c>
      <c r="I44" s="25">
        <f t="shared" si="1"/>
        <v>248.08</v>
      </c>
    </row>
    <row r="45" spans="2:9" x14ac:dyDescent="0.25">
      <c r="B45" s="58" t="s">
        <v>106</v>
      </c>
      <c r="C45" s="54" t="str">
        <f>VLOOKUP(B45,[1]!Table3[[Part Number]:[Annual]],2,0)</f>
        <v xml:space="preserve">CAT 583T (CMX) CAT 589 (31Z) CAT DK8 (893) CAT DK8 (950)      </v>
      </c>
      <c r="D45" s="54" t="str">
        <f>VLOOKUP(B45,[1]!Table3[[Part Number]:[Annual]],3,0)</f>
        <v>Cab - Recirculate</v>
      </c>
      <c r="E45" s="54">
        <f>VLOOKUP(B45,[1]!Table3[[Part Number]:[Annual]],8,0)</f>
        <v>8</v>
      </c>
      <c r="F45" s="63">
        <f>VLOOKUP(B45,[1]!Table3[[Part Number]:[Annual]],4,0)</f>
        <v>95.06</v>
      </c>
      <c r="G45" s="24">
        <f t="shared" si="2"/>
        <v>760.48</v>
      </c>
      <c r="H45" s="24">
        <f>VLOOKUP(B45,[1]!Table3[[Part Number]:[Annual]],5,0)</f>
        <v>61.79</v>
      </c>
      <c r="I45" s="25">
        <f t="shared" si="1"/>
        <v>494.32</v>
      </c>
    </row>
    <row r="46" spans="2:9" x14ac:dyDescent="0.25">
      <c r="B46" s="58" t="s">
        <v>107</v>
      </c>
      <c r="C46" s="54" t="str">
        <f>VLOOKUP(B46,[1]!Table3[[Part Number]:[Annual]],2,0)</f>
        <v xml:space="preserve">CAT 583T (CMX) CAT 589 (31Z) CAT DK8 (893) CAT DK8 (950)      </v>
      </c>
      <c r="D46" s="54" t="str">
        <f>VLOOKUP(B46,[1]!Table3[[Part Number]:[Annual]],3,0)</f>
        <v>Air Filter - Primary</v>
      </c>
      <c r="E46" s="54">
        <f>VLOOKUP(B46,[1]!Table3[[Part Number]:[Annual]],8,0)</f>
        <v>4</v>
      </c>
      <c r="F46" s="63">
        <f>VLOOKUP(B46,[1]!Table3[[Part Number]:[Annual]],4,0)</f>
        <v>105.91</v>
      </c>
      <c r="G46" s="24">
        <f t="shared" si="2"/>
        <v>423.64</v>
      </c>
      <c r="H46" s="24">
        <f>VLOOKUP(B46,[1]!Table3[[Part Number]:[Annual]],5,0)</f>
        <v>68.84</v>
      </c>
      <c r="I46" s="25">
        <f t="shared" si="1"/>
        <v>275.36</v>
      </c>
    </row>
    <row r="47" spans="2:9" x14ac:dyDescent="0.25">
      <c r="B47" s="58" t="s">
        <v>85</v>
      </c>
      <c r="C47" s="54" t="str">
        <f>VLOOKUP(B47,[1]!Table3[[Part Number]:[Annual]],2,0)</f>
        <v xml:space="preserve">CAT 583T (CMX) CAT 589 (31Z) CAT 594 (96V) CAT 594H (96V) CAT DK8 (893) CAT DK8 (950)  </v>
      </c>
      <c r="D47" s="54" t="str">
        <f>VLOOKUP(B47,[1]!Table3[[Part Number]:[Annual]],3,0)</f>
        <v>Fuel Filter - Primary</v>
      </c>
      <c r="E47" s="54">
        <f>VLOOKUP(B47,[1]!Table3[[Part Number]:[Annual]],8,0)</f>
        <v>8</v>
      </c>
      <c r="F47" s="63">
        <f>VLOOKUP(B47,[1]!Table3[[Part Number]:[Annual]],4,0)</f>
        <v>20.63</v>
      </c>
      <c r="G47" s="24">
        <f t="shared" si="2"/>
        <v>165.04</v>
      </c>
      <c r="H47" s="24">
        <f>VLOOKUP(B47,[1]!Table3[[Part Number]:[Annual]],5,0)</f>
        <v>10.32</v>
      </c>
      <c r="I47" s="25">
        <f t="shared" si="1"/>
        <v>82.56</v>
      </c>
    </row>
    <row r="48" spans="2:9" x14ac:dyDescent="0.25">
      <c r="B48" s="58" t="s">
        <v>77</v>
      </c>
      <c r="C48" s="54" t="str">
        <f>VLOOKUP(B48,[1]!Table3[[Part Number]:[Annual]],2,0)</f>
        <v xml:space="preserve">HITACHI ZX290LC-5 (1FF) HITACHI ZX290LC-5 (1FF) (2) HITACHI ZX290LC-5 (1FF) (3)        </v>
      </c>
      <c r="D48" s="54" t="str">
        <f>VLOOKUP(B48,[1]!Table3[[Part Number]:[Annual]],3,0)</f>
        <v>HYDRAULIC FILTER PILOT</v>
      </c>
      <c r="E48" s="54">
        <f>VLOOKUP(B48,[1]!Table3[[Part Number]:[Annual]],8,0)</f>
        <v>3</v>
      </c>
      <c r="F48" s="63">
        <f>VLOOKUP(B48,[1]!Table3[[Part Number]:[Annual]],4,0)</f>
        <v>70.76639999999999</v>
      </c>
      <c r="G48" s="24">
        <f t="shared" si="2"/>
        <v>212.29919999999998</v>
      </c>
      <c r="H48" s="24">
        <f>VLOOKUP(B48,[1]!Table3[[Part Number]:[Annual]],5,0)</f>
        <v>35.380000000000003</v>
      </c>
      <c r="I48" s="25">
        <f t="shared" si="1"/>
        <v>106.14</v>
      </c>
    </row>
    <row r="49" spans="2:9" x14ac:dyDescent="0.25">
      <c r="B49" s="58" t="s">
        <v>69</v>
      </c>
      <c r="C49" s="54" t="str">
        <f>VLOOKUP(B49,[1]!Table3[[Part Number]:[Annual]],2,0)</f>
        <v xml:space="preserve">JD 470GLC (1FF) HITACHI 470GLC (HCM)          </v>
      </c>
      <c r="D49" s="54" t="str">
        <f>VLOOKUP(B49,[1]!Table3[[Part Number]:[Annual]],3,0)</f>
        <v>PRIMARY AIR FILTER</v>
      </c>
      <c r="E49" s="54">
        <f>VLOOKUP(B49,[1]!Table3[[Part Number]:[Annual]],8,0)</f>
        <v>2</v>
      </c>
      <c r="F49" s="63">
        <f>VLOOKUP(B49,[1]!Table3[[Part Number]:[Annual]],4,0)</f>
        <v>221.559</v>
      </c>
      <c r="G49" s="24">
        <f t="shared" si="2"/>
        <v>443.11799999999999</v>
      </c>
      <c r="H49" s="24">
        <f>VLOOKUP(B49,[1]!Table3[[Part Number]:[Annual]],5,0)</f>
        <v>144.01</v>
      </c>
      <c r="I49" s="25">
        <f t="shared" si="1"/>
        <v>288.02</v>
      </c>
    </row>
    <row r="50" spans="2:9" x14ac:dyDescent="0.25">
      <c r="B50" s="58" t="s">
        <v>70</v>
      </c>
      <c r="C50" s="54" t="str">
        <f>VLOOKUP(B50,[1]!Table3[[Part Number]:[Annual]],2,0)</f>
        <v xml:space="preserve">HITACHI ZX290LC-5 (1FF) HITACHI ZX290LC-5 (1FF) (2) HITACHI ZX290LC-5 (1FF) (3)        </v>
      </c>
      <c r="D50" s="54" t="str">
        <f>VLOOKUP(B50,[1]!Table3[[Part Number]:[Annual]],3,0)</f>
        <v>SECONDARY AIR FILTER</v>
      </c>
      <c r="E50" s="54">
        <f>VLOOKUP(B50,[1]!Table3[[Part Number]:[Annual]],8,0)</f>
        <v>3</v>
      </c>
      <c r="F50" s="63">
        <f>VLOOKUP(B50,[1]!Table3[[Part Number]:[Annual]],4,0)</f>
        <v>93.398399999999995</v>
      </c>
      <c r="G50" s="24">
        <f t="shared" si="2"/>
        <v>280.1952</v>
      </c>
      <c r="H50" s="24">
        <f>VLOOKUP(B50,[1]!Table3[[Part Number]:[Annual]],5,0)</f>
        <v>60.71</v>
      </c>
      <c r="I50" s="25">
        <f t="shared" si="1"/>
        <v>182.13</v>
      </c>
    </row>
    <row r="51" spans="2:9" x14ac:dyDescent="0.25">
      <c r="B51" s="58" t="s">
        <v>78</v>
      </c>
      <c r="C51" s="54" t="str">
        <f>VLOOKUP(B51,[1]!Table3[[Part Number]:[Annual]],2,0)</f>
        <v xml:space="preserve">JD 470GLC (1FF) HITACHI 470GLC (HCM)          </v>
      </c>
      <c r="D51" s="54" t="str">
        <f>VLOOKUP(B51,[1]!Table3[[Part Number]:[Annual]],3,0)</f>
        <v>HYDRAULIC FILTER</v>
      </c>
      <c r="E51" s="54">
        <f>VLOOKUP(B51,[1]!Table3[[Part Number]:[Annual]],8,0)</f>
        <v>2</v>
      </c>
      <c r="F51" s="63">
        <f>VLOOKUP(B51,[1]!Table3[[Part Number]:[Annual]],4,0)</f>
        <v>49.252199999999995</v>
      </c>
      <c r="G51" s="24">
        <f t="shared" si="2"/>
        <v>98.50439999999999</v>
      </c>
      <c r="H51" s="24">
        <f>VLOOKUP(B51,[1]!Table3[[Part Number]:[Annual]],5,0)</f>
        <v>24.63</v>
      </c>
      <c r="I51" s="25">
        <f t="shared" si="1"/>
        <v>49.26</v>
      </c>
    </row>
    <row r="52" spans="2:9" x14ac:dyDescent="0.25">
      <c r="B52" s="58" t="s">
        <v>86</v>
      </c>
      <c r="C52" s="54" t="str">
        <f>VLOOKUP(B52,[1]!Table3[[Part Number]:[Annual]],2,0)</f>
        <v xml:space="preserve">JD 470GLC (1FF) HITACHI 470GLC (HCM)          </v>
      </c>
      <c r="D52" s="54" t="str">
        <f>VLOOKUP(B52,[1]!Table3[[Part Number]:[Annual]],3,0)</f>
        <v>FUEL FILTER</v>
      </c>
      <c r="E52" s="54">
        <f>VLOOKUP(B52,[1]!Table3[[Part Number]:[Annual]],8,0)</f>
        <v>4</v>
      </c>
      <c r="F52" s="63">
        <f>VLOOKUP(B52,[1]!Table3[[Part Number]:[Annual]],4,0)</f>
        <v>39.964799999999997</v>
      </c>
      <c r="G52" s="24">
        <f t="shared" si="2"/>
        <v>159.85919999999999</v>
      </c>
      <c r="H52" s="24">
        <f>VLOOKUP(B52,[1]!Table3[[Part Number]:[Annual]],5,0)</f>
        <v>19.98</v>
      </c>
      <c r="I52" s="25">
        <f t="shared" si="1"/>
        <v>79.92</v>
      </c>
    </row>
    <row r="53" spans="2:9" x14ac:dyDescent="0.25">
      <c r="B53" s="58" t="s">
        <v>71</v>
      </c>
      <c r="C53" s="54" t="str">
        <f>VLOOKUP(B53,[1]!Table3[[Part Number]:[Annual]],2,0)</f>
        <v xml:space="preserve">JD 470GLC (1FF) HITACHI 470GLC (HCM)          </v>
      </c>
      <c r="D53" s="54" t="str">
        <f>VLOOKUP(B53,[1]!Table3[[Part Number]:[Annual]],3,0)</f>
        <v>CAB AIR FILTER</v>
      </c>
      <c r="E53" s="54">
        <f>VLOOKUP(B53,[1]!Table3[[Part Number]:[Annual]],8,0)</f>
        <v>0</v>
      </c>
      <c r="F53" s="63">
        <f>VLOOKUP(B53,[1]!Table3[[Part Number]:[Annual]],4,0)</f>
        <v>57.228599999999993</v>
      </c>
      <c r="G53" s="24">
        <f t="shared" si="2"/>
        <v>0</v>
      </c>
      <c r="H53" s="24">
        <f>VLOOKUP(B53,[1]!Table3[[Part Number]:[Annual]],5,0)</f>
        <v>37.200000000000003</v>
      </c>
      <c r="I53" s="25">
        <f t="shared" si="1"/>
        <v>0</v>
      </c>
    </row>
    <row r="54" spans="2:9" x14ac:dyDescent="0.25">
      <c r="B54" s="54" t="s">
        <v>110</v>
      </c>
      <c r="C54" s="54" t="str">
        <f>VLOOKUP(B54,[1]!Table3[[Part Number]:[Annual]],2,0)</f>
        <v xml:space="preserve">HITACHI ZX290LC-5 (1FF) HITACHI ZX290LC-5 (1FF) (2) HITACHI ZX290LC-5 (1FF) (3)        </v>
      </c>
      <c r="D54" s="54" t="str">
        <f>VLOOKUP(B54,[1]!Table3[[Part Number]:[Annual]],3,0)</f>
        <v>ENGINE OIL FILTER</v>
      </c>
      <c r="E54" s="54">
        <f>VLOOKUP(B54,[1]!Table3[[Part Number]:[Annual]],8,0)</f>
        <v>3</v>
      </c>
      <c r="F54" s="63">
        <f>VLOOKUP(B54,[1]!Table3[[Part Number]:[Annual]],4,0)</f>
        <v>27.544799999999999</v>
      </c>
      <c r="G54" s="24">
        <f t="shared" si="2"/>
        <v>82.634399999999999</v>
      </c>
      <c r="H54" s="24">
        <f>VLOOKUP(B54,[1]!Table3[[Part Number]:[Annual]],5,0)</f>
        <v>13.77</v>
      </c>
      <c r="I54" s="25">
        <f t="shared" si="1"/>
        <v>41.31</v>
      </c>
    </row>
    <row r="55" spans="2:9" x14ac:dyDescent="0.25">
      <c r="B55" s="54" t="s">
        <v>87</v>
      </c>
      <c r="C55" s="54" t="str">
        <f>VLOOKUP(B55,[1]!Table3[[Part Number]:[Annual]],2,0)</f>
        <v xml:space="preserve">HITACHI ZX290LC-5 (1FF) HITACHI ZX290LC-5 (1FF) (2) HITACHI ZX290LC-5 (1FF) (3)        </v>
      </c>
      <c r="D55" s="54" t="str">
        <f>VLOOKUP(B55,[1]!Table3[[Part Number]:[Annual]],3,0)</f>
        <v>FUEL FILTER</v>
      </c>
      <c r="E55" s="54">
        <f>VLOOKUP(B55,[1]!Table3[[Part Number]:[Annual]],8,0)</f>
        <v>3</v>
      </c>
      <c r="F55" s="63">
        <f>VLOOKUP(B55,[1]!Table3[[Part Number]:[Annual]],4,0)</f>
        <v>47.306399999999996</v>
      </c>
      <c r="G55" s="24">
        <f t="shared" si="2"/>
        <v>141.91919999999999</v>
      </c>
      <c r="H55" s="24">
        <f>VLOOKUP(B55,[1]!Table3[[Part Number]:[Annual]],5,0)</f>
        <v>23.65</v>
      </c>
      <c r="I55" s="25">
        <f t="shared" si="1"/>
        <v>70.95</v>
      </c>
    </row>
    <row r="56" spans="2:9" x14ac:dyDescent="0.25">
      <c r="B56" s="54" t="s">
        <v>88</v>
      </c>
      <c r="C56" s="54" t="str">
        <f>VLOOKUP(B56,[1]!Table3[[Part Number]:[Annual]],2,0)</f>
        <v xml:space="preserve">HITACHI ZX290LC-5 (1FF) HITACHI ZX290LC-5 (1FF) (2) HITACHI ZX290LC-5 (1FF) (3)        </v>
      </c>
      <c r="D56" s="54" t="str">
        <f>VLOOKUP(B56,[1]!Table3[[Part Number]:[Annual]],3,0)</f>
        <v>FUEL FILTER</v>
      </c>
      <c r="E56" s="54">
        <f>VLOOKUP(B56,[1]!Table3[[Part Number]:[Annual]],8,0)</f>
        <v>3</v>
      </c>
      <c r="F56" s="63">
        <f>VLOOKUP(B56,[1]!Table3[[Part Number]:[Annual]],4,0)</f>
        <v>41.110199999999999</v>
      </c>
      <c r="G56" s="24">
        <f t="shared" si="2"/>
        <v>123.3306</v>
      </c>
      <c r="H56" s="24">
        <f>VLOOKUP(B56,[1]!Table3[[Part Number]:[Annual]],5,0)</f>
        <v>20.56</v>
      </c>
      <c r="I56" s="25">
        <f t="shared" si="1"/>
        <v>61.68</v>
      </c>
    </row>
    <row r="57" spans="2:9" x14ac:dyDescent="0.25">
      <c r="B57" s="21" t="s">
        <v>72</v>
      </c>
      <c r="C57" s="54" t="str">
        <f>VLOOKUP(B57,[1]!Table3[[Part Number]:[Annual]],2,0)</f>
        <v xml:space="preserve">HITACHI ZX290LC-5 (1FF) HITACHI ZX290LC-5 (1FF) (2) HITACHI ZX290LC-5 (1FF) (3)        </v>
      </c>
      <c r="D57" s="54" t="str">
        <f>VLOOKUP(B57,[1]!Table3[[Part Number]:[Annual]],3,0)</f>
        <v>PRIMARY AIR FILTER</v>
      </c>
      <c r="E57" s="54">
        <f>VLOOKUP(B57,[1]!Table3[[Part Number]:[Annual]],8,0)</f>
        <v>3</v>
      </c>
      <c r="F57" s="63">
        <f>VLOOKUP(B57,[1]!Table3[[Part Number]:[Annual]],4,0)</f>
        <v>236.93219999999997</v>
      </c>
      <c r="G57" s="24">
        <f t="shared" si="2"/>
        <v>710.7965999999999</v>
      </c>
      <c r="H57" s="24">
        <f>VLOOKUP(B57,[1]!Table3[[Part Number]:[Annual]],5,0)</f>
        <v>154.01</v>
      </c>
      <c r="I57" s="25">
        <f t="shared" si="1"/>
        <v>462.03</v>
      </c>
    </row>
    <row r="58" spans="2:9" x14ac:dyDescent="0.25">
      <c r="B58" s="21" t="s">
        <v>73</v>
      </c>
      <c r="C58" s="54" t="str">
        <f>VLOOKUP(B58,[1]!Table3[[Part Number]:[Annual]],2,0)</f>
        <v xml:space="preserve">JD 470GLC (1FF) HITACHI 470GLC (HCM)          </v>
      </c>
      <c r="D58" s="54" t="str">
        <f>VLOOKUP(B58,[1]!Table3[[Part Number]:[Annual]],3,0)</f>
        <v>SECONDARY AIR FILTER</v>
      </c>
      <c r="E58" s="54">
        <f>VLOOKUP(B58,[1]!Table3[[Part Number]:[Annual]],8,0)</f>
        <v>2</v>
      </c>
      <c r="F58" s="63">
        <f>VLOOKUP(B58,[1]!Table3[[Part Number]:[Annual]],4,0)</f>
        <v>119.32859999999999</v>
      </c>
      <c r="G58" s="24">
        <f t="shared" si="2"/>
        <v>238.65719999999999</v>
      </c>
      <c r="H58" s="24">
        <f>VLOOKUP(B58,[1]!Table3[[Part Number]:[Annual]],5,0)</f>
        <v>77.56</v>
      </c>
      <c r="I58" s="25">
        <f t="shared" si="1"/>
        <v>155.12</v>
      </c>
    </row>
    <row r="59" spans="2:9" x14ac:dyDescent="0.25">
      <c r="B59" s="21"/>
      <c r="C59" s="52"/>
      <c r="D59" s="21"/>
      <c r="E59" s="51"/>
      <c r="F59" s="23"/>
      <c r="G59" s="24"/>
      <c r="H59" s="24"/>
      <c r="I59" s="25">
        <f t="shared" si="1"/>
        <v>0</v>
      </c>
    </row>
    <row r="60" spans="2:9" x14ac:dyDescent="0.25">
      <c r="B60" s="21"/>
      <c r="C60" s="52"/>
      <c r="D60" s="21"/>
      <c r="E60" s="51"/>
      <c r="F60" s="23"/>
      <c r="G60" s="24"/>
      <c r="H60" s="24"/>
      <c r="I60" s="25">
        <f t="shared" si="1"/>
        <v>0</v>
      </c>
    </row>
    <row r="61" spans="2:9" x14ac:dyDescent="0.25">
      <c r="B61" s="21"/>
      <c r="C61" s="52"/>
      <c r="D61" s="21"/>
      <c r="E61" s="51"/>
      <c r="F61" s="23"/>
      <c r="G61" s="24"/>
      <c r="H61" s="24"/>
      <c r="I61" s="25">
        <f t="shared" si="1"/>
        <v>0</v>
      </c>
    </row>
    <row r="62" spans="2:9" x14ac:dyDescent="0.25">
      <c r="B62" s="21"/>
      <c r="C62" s="52"/>
      <c r="D62" s="21"/>
      <c r="E62" s="51"/>
      <c r="F62" s="23"/>
      <c r="G62" s="24"/>
      <c r="H62" s="24"/>
      <c r="I62" s="25">
        <f t="shared" si="1"/>
        <v>0</v>
      </c>
    </row>
    <row r="63" spans="2:9" x14ac:dyDescent="0.25">
      <c r="B63" s="21"/>
      <c r="C63" s="52"/>
      <c r="D63" s="21"/>
      <c r="E63" s="51"/>
      <c r="F63" s="23"/>
      <c r="G63" s="24"/>
      <c r="H63" s="24"/>
      <c r="I63" s="25">
        <f t="shared" si="1"/>
        <v>0</v>
      </c>
    </row>
    <row r="64" spans="2:9" x14ac:dyDescent="0.25">
      <c r="B64" s="21"/>
      <c r="C64" s="52"/>
      <c r="D64" s="21"/>
      <c r="E64" s="51"/>
      <c r="F64" s="23"/>
      <c r="G64" s="24"/>
      <c r="H64" s="24"/>
      <c r="I64" s="25">
        <f t="shared" si="1"/>
        <v>0</v>
      </c>
    </row>
    <row r="65" spans="2:9" x14ac:dyDescent="0.25">
      <c r="B65" s="21"/>
      <c r="C65" s="52"/>
      <c r="D65" s="21"/>
      <c r="E65" s="51"/>
      <c r="F65" s="23"/>
      <c r="G65" s="24"/>
      <c r="H65" s="24"/>
      <c r="I65" s="25">
        <f t="shared" si="1"/>
        <v>0</v>
      </c>
    </row>
    <row r="66" spans="2:9" x14ac:dyDescent="0.25">
      <c r="B66" s="21"/>
      <c r="C66" s="52"/>
      <c r="D66" s="21"/>
      <c r="E66" s="51"/>
      <c r="F66" s="23"/>
      <c r="G66" s="24"/>
      <c r="H66" s="24"/>
      <c r="I66" s="25">
        <f t="shared" si="1"/>
        <v>0</v>
      </c>
    </row>
    <row r="67" spans="2:9" x14ac:dyDescent="0.25">
      <c r="B67" s="21"/>
      <c r="C67" s="52"/>
      <c r="D67" s="21"/>
      <c r="E67" s="51"/>
      <c r="F67" s="23"/>
      <c r="G67" s="24"/>
      <c r="H67" s="24"/>
      <c r="I67" s="25">
        <f t="shared" si="1"/>
        <v>0</v>
      </c>
    </row>
    <row r="68" spans="2:9" x14ac:dyDescent="0.25">
      <c r="B68" s="21"/>
      <c r="C68" s="52"/>
      <c r="D68" s="21"/>
      <c r="E68" s="51"/>
      <c r="F68" s="23"/>
      <c r="G68" s="24"/>
      <c r="H68" s="24"/>
      <c r="I68" s="25">
        <f t="shared" si="1"/>
        <v>0</v>
      </c>
    </row>
    <row r="69" spans="2:9" x14ac:dyDescent="0.25">
      <c r="B69" s="21"/>
      <c r="C69" s="52"/>
      <c r="D69" s="21"/>
      <c r="E69" s="51"/>
      <c r="F69" s="23"/>
      <c r="G69" s="24"/>
      <c r="H69" s="24"/>
      <c r="I69" s="25">
        <f t="shared" si="1"/>
        <v>0</v>
      </c>
    </row>
    <row r="70" spans="2:9" x14ac:dyDescent="0.25">
      <c r="B70" s="21"/>
      <c r="C70" s="52"/>
      <c r="D70" s="21"/>
      <c r="E70" s="51"/>
      <c r="F70" s="23"/>
      <c r="G70" s="24"/>
      <c r="H70" s="24"/>
      <c r="I70" s="25">
        <f t="shared" si="1"/>
        <v>0</v>
      </c>
    </row>
    <row r="71" spans="2:9" x14ac:dyDescent="0.25">
      <c r="B71" s="21"/>
      <c r="C71" s="52"/>
      <c r="D71" s="21"/>
      <c r="E71" s="51"/>
      <c r="F71" s="23"/>
      <c r="G71" s="24"/>
      <c r="H71" s="24"/>
      <c r="I71" s="25">
        <f t="shared" si="1"/>
        <v>0</v>
      </c>
    </row>
    <row r="72" spans="2:9" x14ac:dyDescent="0.25">
      <c r="B72" s="21"/>
      <c r="C72" s="52"/>
      <c r="D72" s="21"/>
      <c r="E72" s="51"/>
      <c r="F72" s="23"/>
      <c r="G72" s="24"/>
      <c r="H72" s="24"/>
      <c r="I72" s="25">
        <f t="shared" si="1"/>
        <v>0</v>
      </c>
    </row>
    <row r="73" spans="2:9" x14ac:dyDescent="0.25">
      <c r="B73" s="21"/>
      <c r="C73" s="52"/>
      <c r="D73" s="21"/>
      <c r="E73" s="51"/>
      <c r="F73" s="23"/>
      <c r="G73" s="24"/>
      <c r="H73" s="24"/>
      <c r="I73" s="25">
        <f t="shared" si="1"/>
        <v>0</v>
      </c>
    </row>
    <row r="74" spans="2:9" x14ac:dyDescent="0.25">
      <c r="B74" s="21"/>
      <c r="C74" s="52"/>
      <c r="D74" s="21"/>
      <c r="E74" s="51"/>
      <c r="F74" s="23"/>
      <c r="G74" s="24"/>
      <c r="H74" s="24"/>
      <c r="I74" s="25">
        <f t="shared" si="1"/>
        <v>0</v>
      </c>
    </row>
    <row r="75" spans="2:9" x14ac:dyDescent="0.25">
      <c r="B75" s="21"/>
      <c r="C75" s="52"/>
      <c r="D75" s="21"/>
      <c r="E75" s="51"/>
      <c r="F75" s="23"/>
      <c r="G75" s="24"/>
      <c r="H75" s="24"/>
      <c r="I75" s="25">
        <f t="shared" si="1"/>
        <v>0</v>
      </c>
    </row>
    <row r="76" spans="2:9" x14ac:dyDescent="0.25">
      <c r="B76" s="21"/>
      <c r="C76" s="52"/>
      <c r="D76" s="21"/>
      <c r="E76" s="51"/>
      <c r="F76" s="23"/>
      <c r="G76" s="24"/>
      <c r="H76" s="24"/>
      <c r="I76" s="25">
        <f t="shared" si="1"/>
        <v>0</v>
      </c>
    </row>
    <row r="77" spans="2:9" x14ac:dyDescent="0.25">
      <c r="B77" s="21"/>
      <c r="C77" s="52"/>
      <c r="D77" s="21"/>
      <c r="E77" s="51"/>
      <c r="F77" s="23"/>
      <c r="G77" s="24"/>
      <c r="H77" s="24"/>
      <c r="I77" s="25">
        <f t="shared" si="1"/>
        <v>0</v>
      </c>
    </row>
    <row r="78" spans="2:9" x14ac:dyDescent="0.25">
      <c r="B78" s="21"/>
      <c r="C78" s="52"/>
      <c r="D78" s="21"/>
      <c r="E78" s="51"/>
      <c r="F78" s="23"/>
      <c r="G78" s="24"/>
      <c r="H78" s="24"/>
      <c r="I78" s="25">
        <f t="shared" si="1"/>
        <v>0</v>
      </c>
    </row>
    <row r="79" spans="2:9" x14ac:dyDescent="0.25">
      <c r="B79" s="21"/>
      <c r="C79" s="52"/>
      <c r="D79" s="21"/>
      <c r="E79" s="51"/>
      <c r="F79" s="23"/>
      <c r="G79" s="24"/>
      <c r="H79" s="24"/>
      <c r="I79" s="25">
        <f t="shared" ref="I79:I142" si="3">ROUND(E79*H79,2)</f>
        <v>0</v>
      </c>
    </row>
    <row r="80" spans="2:9" x14ac:dyDescent="0.25">
      <c r="B80" s="21"/>
      <c r="C80" s="52"/>
      <c r="D80" s="21"/>
      <c r="E80" s="51"/>
      <c r="F80" s="23"/>
      <c r="G80" s="24"/>
      <c r="H80" s="24"/>
      <c r="I80" s="25">
        <f t="shared" si="3"/>
        <v>0</v>
      </c>
    </row>
    <row r="81" spans="2:9" x14ac:dyDescent="0.25">
      <c r="B81" s="21"/>
      <c r="C81" s="52"/>
      <c r="D81" s="21"/>
      <c r="E81" s="51"/>
      <c r="F81" s="23"/>
      <c r="G81" s="24"/>
      <c r="H81" s="24"/>
      <c r="I81" s="25">
        <f t="shared" si="3"/>
        <v>0</v>
      </c>
    </row>
    <row r="82" spans="2:9" x14ac:dyDescent="0.25">
      <c r="B82" s="21"/>
      <c r="C82" s="52"/>
      <c r="D82" s="21"/>
      <c r="E82" s="51"/>
      <c r="F82" s="23"/>
      <c r="G82" s="24"/>
      <c r="H82" s="24"/>
      <c r="I82" s="25">
        <f t="shared" si="3"/>
        <v>0</v>
      </c>
    </row>
    <row r="83" spans="2:9" x14ac:dyDescent="0.25">
      <c r="B83" s="21"/>
      <c r="C83" s="52"/>
      <c r="D83" s="21"/>
      <c r="E83" s="51"/>
      <c r="F83" s="23"/>
      <c r="G83" s="24"/>
      <c r="H83" s="24"/>
      <c r="I83" s="25">
        <f t="shared" si="3"/>
        <v>0</v>
      </c>
    </row>
    <row r="84" spans="2:9" x14ac:dyDescent="0.25">
      <c r="B84" s="21"/>
      <c r="C84" s="52"/>
      <c r="D84" s="21"/>
      <c r="E84" s="51"/>
      <c r="F84" s="23"/>
      <c r="G84" s="24"/>
      <c r="H84" s="24"/>
      <c r="I84" s="25">
        <f t="shared" si="3"/>
        <v>0</v>
      </c>
    </row>
    <row r="85" spans="2:9" x14ac:dyDescent="0.25">
      <c r="B85" s="21"/>
      <c r="C85" s="52"/>
      <c r="D85" s="21"/>
      <c r="E85" s="51"/>
      <c r="F85" s="23"/>
      <c r="G85" s="24"/>
      <c r="H85" s="24"/>
      <c r="I85" s="25">
        <f t="shared" si="3"/>
        <v>0</v>
      </c>
    </row>
    <row r="86" spans="2:9" x14ac:dyDescent="0.25">
      <c r="B86" s="21"/>
      <c r="C86" s="52"/>
      <c r="D86" s="21"/>
      <c r="E86" s="51"/>
      <c r="F86" s="23"/>
      <c r="G86" s="24"/>
      <c r="H86" s="24"/>
      <c r="I86" s="25">
        <f t="shared" si="3"/>
        <v>0</v>
      </c>
    </row>
    <row r="87" spans="2:9" x14ac:dyDescent="0.25">
      <c r="B87" s="21"/>
      <c r="C87" s="52"/>
      <c r="D87" s="21"/>
      <c r="E87" s="51"/>
      <c r="F87" s="23"/>
      <c r="G87" s="24"/>
      <c r="H87" s="24"/>
      <c r="I87" s="25">
        <f t="shared" si="3"/>
        <v>0</v>
      </c>
    </row>
    <row r="88" spans="2:9" x14ac:dyDescent="0.25">
      <c r="B88" s="21"/>
      <c r="C88" s="52"/>
      <c r="D88" s="21"/>
      <c r="E88" s="51"/>
      <c r="F88" s="23"/>
      <c r="G88" s="24"/>
      <c r="H88" s="24"/>
      <c r="I88" s="25">
        <f t="shared" si="3"/>
        <v>0</v>
      </c>
    </row>
    <row r="89" spans="2:9" x14ac:dyDescent="0.25">
      <c r="B89" s="21"/>
      <c r="C89" s="52"/>
      <c r="D89" s="21"/>
      <c r="E89" s="51"/>
      <c r="F89" s="23"/>
      <c r="G89" s="24"/>
      <c r="H89" s="24"/>
      <c r="I89" s="25">
        <f t="shared" si="3"/>
        <v>0</v>
      </c>
    </row>
    <row r="90" spans="2:9" x14ac:dyDescent="0.25">
      <c r="B90" s="21"/>
      <c r="C90" s="52"/>
      <c r="D90" s="21"/>
      <c r="E90" s="51"/>
      <c r="F90" s="23"/>
      <c r="G90" s="24"/>
      <c r="H90" s="24"/>
      <c r="I90" s="25">
        <f t="shared" si="3"/>
        <v>0</v>
      </c>
    </row>
    <row r="91" spans="2:9" x14ac:dyDescent="0.25">
      <c r="B91" s="21"/>
      <c r="C91" s="52"/>
      <c r="D91" s="21"/>
      <c r="E91" s="51"/>
      <c r="F91" s="23"/>
      <c r="G91" s="24"/>
      <c r="H91" s="24"/>
      <c r="I91" s="25">
        <f t="shared" si="3"/>
        <v>0</v>
      </c>
    </row>
    <row r="92" spans="2:9" x14ac:dyDescent="0.25">
      <c r="B92" s="21"/>
      <c r="C92" s="52"/>
      <c r="D92" s="21"/>
      <c r="E92" s="51"/>
      <c r="F92" s="23"/>
      <c r="G92" s="24"/>
      <c r="H92" s="24"/>
      <c r="I92" s="25">
        <f t="shared" si="3"/>
        <v>0</v>
      </c>
    </row>
    <row r="93" spans="2:9" x14ac:dyDescent="0.25">
      <c r="B93" s="21"/>
      <c r="C93" s="52"/>
      <c r="D93" s="21"/>
      <c r="E93" s="51"/>
      <c r="F93" s="23"/>
      <c r="G93" s="24"/>
      <c r="H93" s="24"/>
      <c r="I93" s="25">
        <f t="shared" si="3"/>
        <v>0</v>
      </c>
    </row>
    <row r="94" spans="2:9" x14ac:dyDescent="0.25">
      <c r="B94" s="21"/>
      <c r="C94" s="52"/>
      <c r="D94" s="21"/>
      <c r="E94" s="51"/>
      <c r="F94" s="23"/>
      <c r="G94" s="24"/>
      <c r="H94" s="24"/>
      <c r="I94" s="25">
        <f t="shared" si="3"/>
        <v>0</v>
      </c>
    </row>
    <row r="95" spans="2:9" x14ac:dyDescent="0.25">
      <c r="B95" s="21"/>
      <c r="C95" s="52"/>
      <c r="D95" s="21"/>
      <c r="E95" s="51"/>
      <c r="F95" s="23"/>
      <c r="G95" s="24"/>
      <c r="H95" s="24"/>
      <c r="I95" s="25">
        <f t="shared" si="3"/>
        <v>0</v>
      </c>
    </row>
    <row r="96" spans="2:9" x14ac:dyDescent="0.25">
      <c r="B96" s="21"/>
      <c r="C96" s="52"/>
      <c r="D96" s="21"/>
      <c r="E96" s="51"/>
      <c r="F96" s="23"/>
      <c r="G96" s="24"/>
      <c r="H96" s="24"/>
      <c r="I96" s="25">
        <f t="shared" si="3"/>
        <v>0</v>
      </c>
    </row>
    <row r="97" spans="2:9" x14ac:dyDescent="0.25">
      <c r="B97" s="21"/>
      <c r="C97" s="52"/>
      <c r="D97" s="21"/>
      <c r="E97" s="51"/>
      <c r="F97" s="23"/>
      <c r="G97" s="24"/>
      <c r="H97" s="24"/>
      <c r="I97" s="25">
        <f t="shared" si="3"/>
        <v>0</v>
      </c>
    </row>
    <row r="98" spans="2:9" x14ac:dyDescent="0.25">
      <c r="B98" s="21"/>
      <c r="C98" s="52"/>
      <c r="D98" s="21"/>
      <c r="E98" s="51"/>
      <c r="F98" s="23"/>
      <c r="G98" s="24"/>
      <c r="H98" s="24"/>
      <c r="I98" s="25">
        <f t="shared" si="3"/>
        <v>0</v>
      </c>
    </row>
    <row r="99" spans="2:9" x14ac:dyDescent="0.25">
      <c r="B99" s="21"/>
      <c r="C99" s="52"/>
      <c r="D99" s="21"/>
      <c r="E99" s="51"/>
      <c r="F99" s="23"/>
      <c r="G99" s="24"/>
      <c r="H99" s="24"/>
      <c r="I99" s="25">
        <f t="shared" si="3"/>
        <v>0</v>
      </c>
    </row>
    <row r="100" spans="2:9" x14ac:dyDescent="0.25">
      <c r="B100" s="21"/>
      <c r="C100" s="52"/>
      <c r="D100" s="21"/>
      <c r="E100" s="51"/>
      <c r="F100" s="23"/>
      <c r="G100" s="24"/>
      <c r="H100" s="24"/>
      <c r="I100" s="25">
        <f t="shared" si="3"/>
        <v>0</v>
      </c>
    </row>
    <row r="101" spans="2:9" x14ac:dyDescent="0.25">
      <c r="B101" s="21"/>
      <c r="C101" s="52"/>
      <c r="D101" s="21"/>
      <c r="E101" s="51"/>
      <c r="F101" s="23"/>
      <c r="G101" s="24"/>
      <c r="H101" s="24"/>
      <c r="I101" s="25">
        <f t="shared" si="3"/>
        <v>0</v>
      </c>
    </row>
    <row r="102" spans="2:9" x14ac:dyDescent="0.25">
      <c r="B102" s="21"/>
      <c r="C102" s="52"/>
      <c r="D102" s="21"/>
      <c r="E102" s="51"/>
      <c r="F102" s="23"/>
      <c r="G102" s="24"/>
      <c r="H102" s="24"/>
      <c r="I102" s="25">
        <f t="shared" si="3"/>
        <v>0</v>
      </c>
    </row>
    <row r="103" spans="2:9" x14ac:dyDescent="0.25">
      <c r="B103" s="21"/>
      <c r="C103" s="52"/>
      <c r="D103" s="21"/>
      <c r="E103" s="51"/>
      <c r="F103" s="23"/>
      <c r="G103" s="24"/>
      <c r="H103" s="24"/>
      <c r="I103" s="25">
        <f t="shared" si="3"/>
        <v>0</v>
      </c>
    </row>
    <row r="104" spans="2:9" x14ac:dyDescent="0.25">
      <c r="B104" s="21"/>
      <c r="C104" s="52"/>
      <c r="D104" s="21"/>
      <c r="E104" s="51"/>
      <c r="F104" s="23"/>
      <c r="G104" s="24"/>
      <c r="H104" s="24"/>
      <c r="I104" s="25">
        <f t="shared" si="3"/>
        <v>0</v>
      </c>
    </row>
    <row r="105" spans="2:9" x14ac:dyDescent="0.25">
      <c r="B105" s="21"/>
      <c r="C105" s="52"/>
      <c r="D105" s="21"/>
      <c r="E105" s="51"/>
      <c r="F105" s="23"/>
      <c r="G105" s="24"/>
      <c r="H105" s="24"/>
      <c r="I105" s="25">
        <f t="shared" si="3"/>
        <v>0</v>
      </c>
    </row>
    <row r="106" spans="2:9" x14ac:dyDescent="0.25">
      <c r="B106" s="21"/>
      <c r="C106" s="52"/>
      <c r="D106" s="21"/>
      <c r="E106" s="51"/>
      <c r="F106" s="23"/>
      <c r="G106" s="24"/>
      <c r="H106" s="24"/>
      <c r="I106" s="25">
        <f t="shared" si="3"/>
        <v>0</v>
      </c>
    </row>
    <row r="107" spans="2:9" x14ac:dyDescent="0.25">
      <c r="B107" s="21"/>
      <c r="C107" s="52"/>
      <c r="D107" s="21"/>
      <c r="E107" s="51"/>
      <c r="F107" s="23"/>
      <c r="G107" s="24"/>
      <c r="H107" s="24"/>
      <c r="I107" s="25">
        <f t="shared" si="3"/>
        <v>0</v>
      </c>
    </row>
    <row r="108" spans="2:9" x14ac:dyDescent="0.25">
      <c r="B108" s="21"/>
      <c r="C108" s="52"/>
      <c r="D108" s="21"/>
      <c r="E108" s="51"/>
      <c r="F108" s="23"/>
      <c r="G108" s="24"/>
      <c r="H108" s="24"/>
      <c r="I108" s="25">
        <f t="shared" si="3"/>
        <v>0</v>
      </c>
    </row>
    <row r="109" spans="2:9" x14ac:dyDescent="0.25">
      <c r="B109" s="21"/>
      <c r="C109" s="52"/>
      <c r="D109" s="21"/>
      <c r="E109" s="51"/>
      <c r="F109" s="23"/>
      <c r="G109" s="24"/>
      <c r="H109" s="24"/>
      <c r="I109" s="25">
        <f t="shared" si="3"/>
        <v>0</v>
      </c>
    </row>
    <row r="110" spans="2:9" x14ac:dyDescent="0.25">
      <c r="B110" s="21"/>
      <c r="C110" s="52"/>
      <c r="D110" s="21"/>
      <c r="E110" s="51"/>
      <c r="F110" s="23"/>
      <c r="G110" s="24"/>
      <c r="H110" s="24"/>
      <c r="I110" s="25">
        <f t="shared" si="3"/>
        <v>0</v>
      </c>
    </row>
    <row r="111" spans="2:9" x14ac:dyDescent="0.25">
      <c r="B111" s="21"/>
      <c r="C111" s="52"/>
      <c r="D111" s="21"/>
      <c r="E111" s="51"/>
      <c r="F111" s="23"/>
      <c r="G111" s="24"/>
      <c r="H111" s="24"/>
      <c r="I111" s="25">
        <f t="shared" si="3"/>
        <v>0</v>
      </c>
    </row>
    <row r="112" spans="2:9" x14ac:dyDescent="0.25">
      <c r="B112" s="21"/>
      <c r="C112" s="52"/>
      <c r="D112" s="21"/>
      <c r="E112" s="51"/>
      <c r="F112" s="23"/>
      <c r="G112" s="24"/>
      <c r="H112" s="24"/>
      <c r="I112" s="25">
        <f t="shared" si="3"/>
        <v>0</v>
      </c>
    </row>
    <row r="113" spans="2:9" x14ac:dyDescent="0.25">
      <c r="B113" s="21"/>
      <c r="C113" s="52"/>
      <c r="D113" s="21"/>
      <c r="E113" s="51"/>
      <c r="F113" s="23"/>
      <c r="G113" s="24"/>
      <c r="H113" s="24"/>
      <c r="I113" s="25">
        <f t="shared" si="3"/>
        <v>0</v>
      </c>
    </row>
    <row r="114" spans="2:9" x14ac:dyDescent="0.25">
      <c r="B114" s="21"/>
      <c r="C114" s="52"/>
      <c r="D114" s="21"/>
      <c r="E114" s="51"/>
      <c r="F114" s="23"/>
      <c r="G114" s="24"/>
      <c r="H114" s="24"/>
      <c r="I114" s="25">
        <f t="shared" si="3"/>
        <v>0</v>
      </c>
    </row>
    <row r="115" spans="2:9" x14ac:dyDescent="0.25">
      <c r="B115" s="21"/>
      <c r="C115" s="52"/>
      <c r="D115" s="21"/>
      <c r="E115" s="51"/>
      <c r="F115" s="23"/>
      <c r="G115" s="24"/>
      <c r="H115" s="24"/>
      <c r="I115" s="25">
        <f t="shared" si="3"/>
        <v>0</v>
      </c>
    </row>
    <row r="116" spans="2:9" x14ac:dyDescent="0.25">
      <c r="B116" s="21"/>
      <c r="C116" s="52"/>
      <c r="D116" s="21"/>
      <c r="E116" s="51"/>
      <c r="F116" s="23"/>
      <c r="G116" s="24"/>
      <c r="H116" s="24"/>
      <c r="I116" s="25">
        <f t="shared" si="3"/>
        <v>0</v>
      </c>
    </row>
    <row r="117" spans="2:9" x14ac:dyDescent="0.25">
      <c r="B117" s="21"/>
      <c r="C117" s="52"/>
      <c r="D117" s="21"/>
      <c r="E117" s="51"/>
      <c r="F117" s="23"/>
      <c r="G117" s="24"/>
      <c r="H117" s="24"/>
      <c r="I117" s="25">
        <f t="shared" si="3"/>
        <v>0</v>
      </c>
    </row>
    <row r="118" spans="2:9" x14ac:dyDescent="0.25">
      <c r="B118" s="21"/>
      <c r="C118" s="52"/>
      <c r="D118" s="21"/>
      <c r="E118" s="51"/>
      <c r="F118" s="23"/>
      <c r="G118" s="24"/>
      <c r="H118" s="24"/>
      <c r="I118" s="25">
        <f t="shared" si="3"/>
        <v>0</v>
      </c>
    </row>
    <row r="119" spans="2:9" x14ac:dyDescent="0.25">
      <c r="B119" s="21"/>
      <c r="C119" s="52"/>
      <c r="D119" s="21"/>
      <c r="E119" s="51"/>
      <c r="F119" s="23"/>
      <c r="G119" s="24"/>
      <c r="H119" s="24"/>
      <c r="I119" s="25">
        <f t="shared" si="3"/>
        <v>0</v>
      </c>
    </row>
    <row r="120" spans="2:9" x14ac:dyDescent="0.25">
      <c r="B120" s="21"/>
      <c r="C120" s="52"/>
      <c r="D120" s="21"/>
      <c r="E120" s="51"/>
      <c r="F120" s="23"/>
      <c r="G120" s="24"/>
      <c r="H120" s="24"/>
      <c r="I120" s="25">
        <f t="shared" si="3"/>
        <v>0</v>
      </c>
    </row>
    <row r="121" spans="2:9" x14ac:dyDescent="0.25">
      <c r="B121" s="21"/>
      <c r="C121" s="52"/>
      <c r="D121" s="21"/>
      <c r="E121" s="51"/>
      <c r="F121" s="23"/>
      <c r="G121" s="24"/>
      <c r="H121" s="24"/>
      <c r="I121" s="25">
        <f t="shared" si="3"/>
        <v>0</v>
      </c>
    </row>
    <row r="122" spans="2:9" x14ac:dyDescent="0.25">
      <c r="B122" s="21"/>
      <c r="C122" s="52"/>
      <c r="D122" s="21"/>
      <c r="E122" s="51"/>
      <c r="F122" s="23"/>
      <c r="G122" s="24"/>
      <c r="H122" s="24"/>
      <c r="I122" s="25">
        <f t="shared" si="3"/>
        <v>0</v>
      </c>
    </row>
    <row r="123" spans="2:9" x14ac:dyDescent="0.25">
      <c r="B123" s="21"/>
      <c r="C123" s="52"/>
      <c r="D123" s="21"/>
      <c r="E123" s="51"/>
      <c r="F123" s="23"/>
      <c r="G123" s="24"/>
      <c r="H123" s="24"/>
      <c r="I123" s="25">
        <f t="shared" si="3"/>
        <v>0</v>
      </c>
    </row>
    <row r="124" spans="2:9" x14ac:dyDescent="0.25">
      <c r="B124" s="21"/>
      <c r="C124" s="52"/>
      <c r="D124" s="21"/>
      <c r="E124" s="51"/>
      <c r="F124" s="23"/>
      <c r="G124" s="24"/>
      <c r="H124" s="24"/>
      <c r="I124" s="25">
        <f t="shared" si="3"/>
        <v>0</v>
      </c>
    </row>
    <row r="125" spans="2:9" x14ac:dyDescent="0.25">
      <c r="B125" s="21"/>
      <c r="C125" s="52"/>
      <c r="D125" s="21"/>
      <c r="E125" s="51"/>
      <c r="F125" s="23"/>
      <c r="G125" s="24"/>
      <c r="H125" s="24"/>
      <c r="I125" s="25">
        <f t="shared" si="3"/>
        <v>0</v>
      </c>
    </row>
    <row r="126" spans="2:9" x14ac:dyDescent="0.25">
      <c r="B126" s="21"/>
      <c r="C126" s="52"/>
      <c r="D126" s="21"/>
      <c r="E126" s="51"/>
      <c r="F126" s="23"/>
      <c r="G126" s="24"/>
      <c r="H126" s="24"/>
      <c r="I126" s="25">
        <f t="shared" si="3"/>
        <v>0</v>
      </c>
    </row>
    <row r="127" spans="2:9" x14ac:dyDescent="0.25">
      <c r="B127" s="21"/>
      <c r="C127" s="52"/>
      <c r="D127" s="21"/>
      <c r="E127" s="51"/>
      <c r="F127" s="23"/>
      <c r="G127" s="24"/>
      <c r="H127" s="24"/>
      <c r="I127" s="25">
        <f t="shared" si="3"/>
        <v>0</v>
      </c>
    </row>
    <row r="128" spans="2:9" x14ac:dyDescent="0.25">
      <c r="B128" s="21"/>
      <c r="C128" s="52"/>
      <c r="D128" s="21"/>
      <c r="E128" s="51"/>
      <c r="F128" s="23"/>
      <c r="G128" s="24"/>
      <c r="H128" s="24"/>
      <c r="I128" s="25">
        <f t="shared" si="3"/>
        <v>0</v>
      </c>
    </row>
    <row r="129" spans="2:9" x14ac:dyDescent="0.25">
      <c r="B129" s="21"/>
      <c r="C129" s="52"/>
      <c r="D129" s="21"/>
      <c r="E129" s="51"/>
      <c r="F129" s="23"/>
      <c r="G129" s="24"/>
      <c r="H129" s="24"/>
      <c r="I129" s="25">
        <f t="shared" si="3"/>
        <v>0</v>
      </c>
    </row>
    <row r="130" spans="2:9" x14ac:dyDescent="0.25">
      <c r="B130" s="21"/>
      <c r="C130" s="52"/>
      <c r="D130" s="21"/>
      <c r="E130" s="51"/>
      <c r="F130" s="23"/>
      <c r="G130" s="24"/>
      <c r="H130" s="24"/>
      <c r="I130" s="25">
        <f t="shared" si="3"/>
        <v>0</v>
      </c>
    </row>
    <row r="131" spans="2:9" x14ac:dyDescent="0.25">
      <c r="B131" s="21"/>
      <c r="C131" s="52"/>
      <c r="D131" s="21"/>
      <c r="E131" s="51"/>
      <c r="F131" s="23"/>
      <c r="G131" s="24"/>
      <c r="H131" s="24"/>
      <c r="I131" s="25">
        <f t="shared" si="3"/>
        <v>0</v>
      </c>
    </row>
    <row r="132" spans="2:9" x14ac:dyDescent="0.25">
      <c r="B132" s="21"/>
      <c r="C132" s="52"/>
      <c r="D132" s="21"/>
      <c r="E132" s="51"/>
      <c r="F132" s="23"/>
      <c r="G132" s="24"/>
      <c r="H132" s="24"/>
      <c r="I132" s="25">
        <f t="shared" si="3"/>
        <v>0</v>
      </c>
    </row>
    <row r="133" spans="2:9" x14ac:dyDescent="0.25">
      <c r="B133" s="21"/>
      <c r="C133" s="52"/>
      <c r="D133" s="21"/>
      <c r="E133" s="51"/>
      <c r="F133" s="23"/>
      <c r="G133" s="24"/>
      <c r="H133" s="24"/>
      <c r="I133" s="25">
        <f t="shared" si="3"/>
        <v>0</v>
      </c>
    </row>
    <row r="134" spans="2:9" x14ac:dyDescent="0.25">
      <c r="B134" s="21"/>
      <c r="C134" s="52"/>
      <c r="D134" s="21"/>
      <c r="E134" s="51"/>
      <c r="F134" s="23"/>
      <c r="G134" s="24"/>
      <c r="H134" s="24"/>
      <c r="I134" s="25">
        <f t="shared" si="3"/>
        <v>0</v>
      </c>
    </row>
    <row r="135" spans="2:9" x14ac:dyDescent="0.25">
      <c r="B135" s="21"/>
      <c r="C135" s="52"/>
      <c r="D135" s="21"/>
      <c r="E135" s="51"/>
      <c r="F135" s="23"/>
      <c r="G135" s="24"/>
      <c r="H135" s="24"/>
      <c r="I135" s="25">
        <f t="shared" si="3"/>
        <v>0</v>
      </c>
    </row>
    <row r="136" spans="2:9" x14ac:dyDescent="0.25">
      <c r="B136" s="21"/>
      <c r="C136" s="52"/>
      <c r="D136" s="21"/>
      <c r="E136" s="51"/>
      <c r="F136" s="23"/>
      <c r="G136" s="24"/>
      <c r="H136" s="24"/>
      <c r="I136" s="25">
        <f t="shared" si="3"/>
        <v>0</v>
      </c>
    </row>
    <row r="137" spans="2:9" x14ac:dyDescent="0.25">
      <c r="B137" s="21"/>
      <c r="C137" s="52"/>
      <c r="D137" s="21"/>
      <c r="E137" s="51"/>
      <c r="F137" s="23"/>
      <c r="G137" s="24"/>
      <c r="H137" s="24"/>
      <c r="I137" s="25">
        <f t="shared" si="3"/>
        <v>0</v>
      </c>
    </row>
    <row r="138" spans="2:9" x14ac:dyDescent="0.25">
      <c r="B138" s="21"/>
      <c r="C138" s="52"/>
      <c r="D138" s="21"/>
      <c r="E138" s="51"/>
      <c r="F138" s="23"/>
      <c r="G138" s="24"/>
      <c r="H138" s="24"/>
      <c r="I138" s="25">
        <f t="shared" si="3"/>
        <v>0</v>
      </c>
    </row>
    <row r="139" spans="2:9" x14ac:dyDescent="0.25">
      <c r="B139" s="21"/>
      <c r="C139" s="52"/>
      <c r="D139" s="21"/>
      <c r="E139" s="51"/>
      <c r="F139" s="23"/>
      <c r="G139" s="24"/>
      <c r="H139" s="24"/>
      <c r="I139" s="25">
        <f t="shared" si="3"/>
        <v>0</v>
      </c>
    </row>
    <row r="140" spans="2:9" x14ac:dyDescent="0.25">
      <c r="B140" s="21"/>
      <c r="C140" s="52"/>
      <c r="D140" s="21"/>
      <c r="E140" s="51"/>
      <c r="F140" s="23"/>
      <c r="G140" s="24"/>
      <c r="H140" s="24"/>
      <c r="I140" s="25">
        <f t="shared" si="3"/>
        <v>0</v>
      </c>
    </row>
    <row r="141" spans="2:9" x14ac:dyDescent="0.25">
      <c r="B141" s="21"/>
      <c r="C141" s="52"/>
      <c r="D141" s="21"/>
      <c r="E141" s="51"/>
      <c r="F141" s="23"/>
      <c r="G141" s="24"/>
      <c r="H141" s="24"/>
      <c r="I141" s="25">
        <f t="shared" si="3"/>
        <v>0</v>
      </c>
    </row>
    <row r="142" spans="2:9" x14ac:dyDescent="0.25">
      <c r="B142" s="21"/>
      <c r="C142" s="52"/>
      <c r="D142" s="21"/>
      <c r="E142" s="51"/>
      <c r="F142" s="23"/>
      <c r="G142" s="24"/>
      <c r="H142" s="24"/>
      <c r="I142" s="25">
        <f t="shared" si="3"/>
        <v>0</v>
      </c>
    </row>
    <row r="143" spans="2:9" x14ac:dyDescent="0.25">
      <c r="B143" s="21"/>
      <c r="C143" s="52"/>
      <c r="D143" s="21"/>
      <c r="E143" s="51"/>
      <c r="F143" s="23"/>
      <c r="G143" s="24"/>
      <c r="H143" s="24"/>
      <c r="I143" s="25">
        <f t="shared" ref="I143:I164" si="4">ROUND(E143*H143,2)</f>
        <v>0</v>
      </c>
    </row>
    <row r="144" spans="2:9" x14ac:dyDescent="0.25">
      <c r="B144" s="21"/>
      <c r="C144" s="52"/>
      <c r="D144" s="21"/>
      <c r="E144" s="51"/>
      <c r="F144" s="23"/>
      <c r="G144" s="24"/>
      <c r="H144" s="24"/>
      <c r="I144" s="25">
        <f t="shared" si="4"/>
        <v>0</v>
      </c>
    </row>
    <row r="145" spans="2:9" x14ac:dyDescent="0.25">
      <c r="B145" s="21"/>
      <c r="C145" s="52"/>
      <c r="D145" s="21"/>
      <c r="E145" s="51"/>
      <c r="F145" s="23"/>
      <c r="G145" s="24"/>
      <c r="H145" s="24"/>
      <c r="I145" s="25">
        <f t="shared" si="4"/>
        <v>0</v>
      </c>
    </row>
    <row r="146" spans="2:9" x14ac:dyDescent="0.25">
      <c r="B146" s="21"/>
      <c r="C146" s="52"/>
      <c r="D146" s="21"/>
      <c r="E146" s="51"/>
      <c r="F146" s="23"/>
      <c r="G146" s="24"/>
      <c r="H146" s="24"/>
      <c r="I146" s="25">
        <f t="shared" si="4"/>
        <v>0</v>
      </c>
    </row>
    <row r="147" spans="2:9" x14ac:dyDescent="0.25">
      <c r="B147" s="21"/>
      <c r="C147" s="52"/>
      <c r="D147" s="21"/>
      <c r="E147" s="51"/>
      <c r="F147" s="23"/>
      <c r="G147" s="24"/>
      <c r="H147" s="24"/>
      <c r="I147" s="25">
        <f t="shared" si="4"/>
        <v>0</v>
      </c>
    </row>
    <row r="148" spans="2:9" x14ac:dyDescent="0.25">
      <c r="B148" s="21"/>
      <c r="C148" s="52"/>
      <c r="D148" s="21"/>
      <c r="E148" s="51"/>
      <c r="F148" s="23"/>
      <c r="G148" s="24"/>
      <c r="H148" s="24"/>
      <c r="I148" s="25">
        <f t="shared" si="4"/>
        <v>0</v>
      </c>
    </row>
    <row r="149" spans="2:9" x14ac:dyDescent="0.25">
      <c r="B149" s="21"/>
      <c r="C149" s="52"/>
      <c r="D149" s="21"/>
      <c r="E149" s="51"/>
      <c r="F149" s="23"/>
      <c r="G149" s="24"/>
      <c r="H149" s="24"/>
      <c r="I149" s="25">
        <f t="shared" si="4"/>
        <v>0</v>
      </c>
    </row>
    <row r="150" spans="2:9" x14ac:dyDescent="0.25">
      <c r="B150" s="21"/>
      <c r="C150" s="52"/>
      <c r="D150" s="21"/>
      <c r="E150" s="51"/>
      <c r="F150" s="23"/>
      <c r="G150" s="24"/>
      <c r="H150" s="24"/>
      <c r="I150" s="25">
        <f t="shared" si="4"/>
        <v>0</v>
      </c>
    </row>
    <row r="151" spans="2:9" x14ac:dyDescent="0.25">
      <c r="B151" s="21"/>
      <c r="C151" s="52"/>
      <c r="D151" s="21"/>
      <c r="E151" s="51"/>
      <c r="F151" s="23"/>
      <c r="G151" s="24"/>
      <c r="H151" s="24"/>
      <c r="I151" s="25">
        <f t="shared" si="4"/>
        <v>0</v>
      </c>
    </row>
    <row r="152" spans="2:9" x14ac:dyDescent="0.25">
      <c r="B152" s="21"/>
      <c r="C152" s="52"/>
      <c r="D152" s="21"/>
      <c r="E152" s="51"/>
      <c r="F152" s="23"/>
      <c r="G152" s="24"/>
      <c r="H152" s="24"/>
      <c r="I152" s="25">
        <f t="shared" si="4"/>
        <v>0</v>
      </c>
    </row>
    <row r="153" spans="2:9" x14ac:dyDescent="0.25">
      <c r="B153" s="21"/>
      <c r="C153" s="52"/>
      <c r="D153" s="21"/>
      <c r="E153" s="51"/>
      <c r="F153" s="23"/>
      <c r="G153" s="24"/>
      <c r="H153" s="24"/>
      <c r="I153" s="25">
        <f t="shared" si="4"/>
        <v>0</v>
      </c>
    </row>
    <row r="154" spans="2:9" x14ac:dyDescent="0.25">
      <c r="B154" s="21"/>
      <c r="C154" s="52"/>
      <c r="D154" s="21"/>
      <c r="E154" s="51"/>
      <c r="F154" s="23"/>
      <c r="G154" s="24"/>
      <c r="H154" s="24"/>
      <c r="I154" s="25">
        <f t="shared" si="4"/>
        <v>0</v>
      </c>
    </row>
    <row r="155" spans="2:9" x14ac:dyDescent="0.25">
      <c r="B155" s="21"/>
      <c r="C155" s="52"/>
      <c r="D155" s="21"/>
      <c r="E155" s="51"/>
      <c r="F155" s="23"/>
      <c r="G155" s="24"/>
      <c r="H155" s="24"/>
      <c r="I155" s="25">
        <f t="shared" si="4"/>
        <v>0</v>
      </c>
    </row>
    <row r="156" spans="2:9" x14ac:dyDescent="0.25">
      <c r="B156" s="21"/>
      <c r="C156" s="52"/>
      <c r="D156" s="21"/>
      <c r="E156" s="51"/>
      <c r="F156" s="23"/>
      <c r="G156" s="24"/>
      <c r="H156" s="24"/>
      <c r="I156" s="25">
        <f t="shared" si="4"/>
        <v>0</v>
      </c>
    </row>
    <row r="157" spans="2:9" x14ac:dyDescent="0.25">
      <c r="B157" s="21"/>
      <c r="C157" s="52"/>
      <c r="D157" s="21"/>
      <c r="E157" s="51"/>
      <c r="F157" s="23"/>
      <c r="G157" s="24"/>
      <c r="H157" s="24"/>
      <c r="I157" s="25">
        <f t="shared" si="4"/>
        <v>0</v>
      </c>
    </row>
    <row r="158" spans="2:9" x14ac:dyDescent="0.25">
      <c r="B158" s="21"/>
      <c r="C158" s="52"/>
      <c r="D158" s="21"/>
      <c r="E158" s="51"/>
      <c r="F158" s="23"/>
      <c r="G158" s="24"/>
      <c r="H158" s="24"/>
      <c r="I158" s="25">
        <f t="shared" si="4"/>
        <v>0</v>
      </c>
    </row>
    <row r="159" spans="2:9" x14ac:dyDescent="0.25">
      <c r="B159" s="21"/>
      <c r="C159" s="52"/>
      <c r="D159" s="21"/>
      <c r="E159" s="51"/>
      <c r="F159" s="23"/>
      <c r="G159" s="24"/>
      <c r="H159" s="24"/>
      <c r="I159" s="25">
        <f t="shared" si="4"/>
        <v>0</v>
      </c>
    </row>
    <row r="160" spans="2:9" x14ac:dyDescent="0.25">
      <c r="B160" s="21"/>
      <c r="C160" s="52"/>
      <c r="D160" s="21"/>
      <c r="E160" s="51"/>
      <c r="F160" s="23"/>
      <c r="G160" s="24"/>
      <c r="H160" s="24"/>
      <c r="I160" s="25">
        <f t="shared" si="4"/>
        <v>0</v>
      </c>
    </row>
    <row r="161" spans="2:9" x14ac:dyDescent="0.25">
      <c r="B161" s="21"/>
      <c r="C161" s="52"/>
      <c r="D161" s="21"/>
      <c r="E161" s="51"/>
      <c r="F161" s="23"/>
      <c r="G161" s="24"/>
      <c r="H161" s="24"/>
      <c r="I161" s="25">
        <f t="shared" si="4"/>
        <v>0</v>
      </c>
    </row>
    <row r="162" spans="2:9" x14ac:dyDescent="0.25">
      <c r="B162" s="21"/>
      <c r="C162" s="52"/>
      <c r="D162" s="21"/>
      <c r="E162" s="51"/>
      <c r="F162" s="23"/>
      <c r="G162" s="24"/>
      <c r="H162" s="24"/>
      <c r="I162" s="25">
        <f t="shared" si="4"/>
        <v>0</v>
      </c>
    </row>
    <row r="163" spans="2:9" x14ac:dyDescent="0.25">
      <c r="B163" s="21"/>
      <c r="C163" s="52"/>
      <c r="D163" s="21"/>
      <c r="E163" s="51"/>
      <c r="F163" s="23"/>
      <c r="G163" s="24"/>
      <c r="H163" s="24"/>
      <c r="I163" s="25">
        <f t="shared" si="4"/>
        <v>0</v>
      </c>
    </row>
    <row r="164" spans="2:9" x14ac:dyDescent="0.25">
      <c r="B164" s="21"/>
      <c r="C164" s="52"/>
      <c r="D164" s="21"/>
      <c r="E164" s="51"/>
      <c r="F164" s="23"/>
      <c r="G164" s="24"/>
      <c r="H164" s="24"/>
      <c r="I164" s="25">
        <f t="shared" si="4"/>
        <v>0</v>
      </c>
    </row>
    <row r="165" spans="2:9" x14ac:dyDescent="0.25">
      <c r="B165" s="75"/>
      <c r="C165" s="76"/>
      <c r="D165" s="76"/>
      <c r="E165" s="76"/>
      <c r="F165" s="77"/>
      <c r="G165" s="26"/>
      <c r="H165" s="27" t="s">
        <v>16</v>
      </c>
      <c r="I165" s="28">
        <f>SUM(I15:I164)</f>
        <v>11417.390000000003</v>
      </c>
    </row>
    <row r="166" spans="2:9" x14ac:dyDescent="0.25">
      <c r="B166" s="29"/>
      <c r="C166" s="30"/>
      <c r="D166" s="31" t="s">
        <v>17</v>
      </c>
      <c r="E166" s="78">
        <f>SUM(G15:G164)</f>
        <v>19811.282000000003</v>
      </c>
      <c r="F166" s="79"/>
      <c r="G166" s="32"/>
      <c r="H166" s="27" t="s">
        <v>18</v>
      </c>
      <c r="I166" s="33">
        <v>0</v>
      </c>
    </row>
    <row r="167" spans="2:9" x14ac:dyDescent="0.25">
      <c r="B167" s="29"/>
      <c r="C167" s="30"/>
      <c r="D167" s="31" t="s">
        <v>19</v>
      </c>
      <c r="E167" s="78">
        <f>SUM(I15:I164)</f>
        <v>11417.390000000003</v>
      </c>
      <c r="F167" s="79"/>
      <c r="G167" s="32"/>
      <c r="H167" s="34" t="s">
        <v>20</v>
      </c>
      <c r="I167" s="33">
        <v>0</v>
      </c>
    </row>
    <row r="168" spans="2:9" x14ac:dyDescent="0.25">
      <c r="B168" s="29"/>
      <c r="C168" s="30"/>
      <c r="D168" s="31" t="s">
        <v>21</v>
      </c>
      <c r="E168" s="88">
        <f>E166-E167</f>
        <v>8393.8919999999998</v>
      </c>
      <c r="F168" s="89"/>
      <c r="G168" s="35"/>
      <c r="H168" s="27" t="s">
        <v>22</v>
      </c>
      <c r="I168" s="36">
        <f>SUM(I165:I167)</f>
        <v>11417.390000000003</v>
      </c>
    </row>
    <row r="169" spans="2:9" x14ac:dyDescent="0.25">
      <c r="B169" s="29"/>
      <c r="C169" s="30"/>
      <c r="D169" s="31"/>
      <c r="E169" s="90"/>
      <c r="F169" s="91"/>
      <c r="G169" s="37"/>
      <c r="H169" s="27" t="s">
        <v>23</v>
      </c>
      <c r="I169" s="36">
        <f>I168*0.05</f>
        <v>570.86950000000013</v>
      </c>
    </row>
    <row r="170" spans="2:9" x14ac:dyDescent="0.25">
      <c r="B170" s="29"/>
      <c r="C170" s="30"/>
      <c r="D170" s="38"/>
      <c r="E170" s="38"/>
      <c r="F170" s="39"/>
      <c r="G170" s="39"/>
      <c r="H170" s="27" t="s">
        <v>24</v>
      </c>
      <c r="I170" s="33"/>
    </row>
    <row r="171" spans="2:9" ht="15.75" x14ac:dyDescent="0.25">
      <c r="B171" s="85" t="s">
        <v>25</v>
      </c>
      <c r="C171" s="86"/>
      <c r="D171" s="86"/>
      <c r="E171" s="86"/>
      <c r="F171" s="87"/>
      <c r="G171" s="40"/>
      <c r="H171" s="41" t="s">
        <v>26</v>
      </c>
      <c r="I171" s="42">
        <f>SUM(I168:I170)</f>
        <v>11988.259500000004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9F9E-EA5A-457C-9039-1D9691B0034B}">
  <dimension ref="B1:I171"/>
  <sheetViews>
    <sheetView topLeftCell="A38" workbookViewId="0">
      <selection activeCell="E15" sqref="E15:E58"/>
    </sheetView>
  </sheetViews>
  <sheetFormatPr defaultRowHeight="15" x14ac:dyDescent="0.25"/>
  <cols>
    <col min="1" max="1" width="2.7109375" customWidth="1"/>
    <col min="2" max="2" width="15.42578125" customWidth="1"/>
    <col min="3" max="3" width="45.28515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31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6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4630525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HYDRAULIC FILTER</v>
      </c>
      <c r="E15" s="54">
        <f>VLOOKUP(B15,[1]!Table3[[Part Number]:[Annual]],9,0)</f>
        <v>0</v>
      </c>
      <c r="F15" s="63">
        <f>VLOOKUP(B15,[1]!Table3[[Part Number]:[Annual]],4,0)</f>
        <v>96.144599999999997</v>
      </c>
      <c r="G15" s="24">
        <f t="shared" ref="G15:G30" si="0">E15*F15</f>
        <v>0</v>
      </c>
      <c r="H15" s="24">
        <f>VLOOKUP(B15,[1]!Table3[[Part Number]:[Annual]],5,0)</f>
        <v>48.07</v>
      </c>
      <c r="I15" s="25">
        <f t="shared" ref="I15:I78" si="1">ROUND(E15*H15,2)</f>
        <v>0</v>
      </c>
    </row>
    <row r="16" spans="2:9" x14ac:dyDescent="0.25">
      <c r="B16" s="58">
        <v>8981527381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FINAL FUEL FILTER</v>
      </c>
      <c r="E16" s="54">
        <f>VLOOKUP(B16,[1]!Table3[[Part Number]:[Annual]],9,0)</f>
        <v>4</v>
      </c>
      <c r="F16" s="63">
        <f>VLOOKUP(B16,[1]!Table3[[Part Number]:[Annual]],4,0)</f>
        <v>80.867999999999995</v>
      </c>
      <c r="G16" s="24">
        <f t="shared" ref="G16:G58" si="2">E16*F16</f>
        <v>323.47199999999998</v>
      </c>
      <c r="H16" s="24">
        <f>VLOOKUP(B16,[1]!Table3[[Part Number]:[Annual]],5,0)</f>
        <v>40.43</v>
      </c>
      <c r="I16" s="25">
        <f t="shared" si="1"/>
        <v>161.72</v>
      </c>
    </row>
    <row r="17" spans="2:9" x14ac:dyDescent="0.25">
      <c r="B17" s="58">
        <v>8983020750</v>
      </c>
      <c r="C17" s="54" t="str">
        <f>VLOOKUP(B17,[1]!Table3[[Part Number]:[Annual]],2,0)</f>
        <v xml:space="preserve">JD 470GLC (1FF) HITACHI 470GLC (HCM)          </v>
      </c>
      <c r="D17" s="54" t="str">
        <f>VLOOKUP(B17,[1]!Table3[[Part Number]:[Annual]],3,0)</f>
        <v>ENGINE OIL FILTER</v>
      </c>
      <c r="E17" s="54">
        <f>VLOOKUP(B17,[1]!Table3[[Part Number]:[Annual]],9,0)</f>
        <v>4</v>
      </c>
      <c r="F17" s="63">
        <f>VLOOKUP(B17,[1]!Table3[[Part Number]:[Annual]],4,0)</f>
        <v>107.0742</v>
      </c>
      <c r="G17" s="24">
        <f t="shared" si="2"/>
        <v>428.29680000000002</v>
      </c>
      <c r="H17" s="24">
        <f>VLOOKUP(B17,[1]!Table3[[Part Number]:[Annual]],5,0)</f>
        <v>53.54</v>
      </c>
      <c r="I17" s="25">
        <f t="shared" si="1"/>
        <v>214.16</v>
      </c>
    </row>
    <row r="18" spans="2:9" x14ac:dyDescent="0.25">
      <c r="B18" s="58" t="s">
        <v>74</v>
      </c>
      <c r="C18" s="54" t="str">
        <f>VLOOKUP(B18,[1]!Table3[[Part Number]:[Annual]],2,0)</f>
        <v xml:space="preserve">CAT PL61 (DHA) CAT PL61 (WGS) CAT D6D (06X)        </v>
      </c>
      <c r="D18" s="54" t="str">
        <f>VLOOKUP(B18,[1]!Table3[[Part Number]:[Annual]],3,0)</f>
        <v>HYDRAULIC OIL FILTER (POWER TRAIN)</v>
      </c>
      <c r="E18" s="54">
        <f>VLOOKUP(B18,[1]!Table3[[Part Number]:[Annual]],9,0)</f>
        <v>0</v>
      </c>
      <c r="F18" s="63">
        <f>VLOOKUP(B18,[1]!Table3[[Part Number]:[Annual]],4,0)</f>
        <v>145.28</v>
      </c>
      <c r="G18" s="24">
        <f t="shared" si="2"/>
        <v>0</v>
      </c>
      <c r="H18" s="24">
        <f>VLOOKUP(B18,[1]!Table3[[Part Number]:[Annual]],5,0)</f>
        <v>72.64</v>
      </c>
      <c r="I18" s="25">
        <f t="shared" si="1"/>
        <v>0</v>
      </c>
    </row>
    <row r="19" spans="2:9" x14ac:dyDescent="0.25">
      <c r="B19" s="58" t="s">
        <v>100</v>
      </c>
      <c r="C19" s="54" t="str">
        <f>VLOOKUP(B19,[1]!Table3[[Part Number]:[Annual]],2,0)</f>
        <v xml:space="preserve">CAT 583T (CMX) CAT 589 (31Z) CAT DK8 (893) CAT DK8 (950)      </v>
      </c>
      <c r="D19" s="54" t="str">
        <f>VLOOKUP(B19,[1]!Table3[[Part Number]:[Annual]],3,0)</f>
        <v>Air Filter - Secondary</v>
      </c>
      <c r="E19" s="54">
        <f>VLOOKUP(B19,[1]!Table3[[Part Number]:[Annual]],9,0)</f>
        <v>4</v>
      </c>
      <c r="F19" s="63">
        <f>VLOOKUP(B19,[1]!Table3[[Part Number]:[Annual]],4,0)</f>
        <v>167.36</v>
      </c>
      <c r="G19" s="24">
        <f t="shared" si="2"/>
        <v>669.44</v>
      </c>
      <c r="H19" s="24">
        <f>VLOOKUP(B19,[1]!Table3[[Part Number]:[Annual]],5,0)</f>
        <v>108.78</v>
      </c>
      <c r="I19" s="25">
        <f t="shared" si="1"/>
        <v>435.12</v>
      </c>
    </row>
    <row r="20" spans="2:9" x14ac:dyDescent="0.25">
      <c r="B20" s="58" t="s">
        <v>61</v>
      </c>
      <c r="C20" s="54" t="str">
        <f>VLOOKUP(B20,[1]!Table3[[Part Number]:[Annual]],2,0)</f>
        <v xml:space="preserve">CAT 594 (96V) CAT 594H (96V)          </v>
      </c>
      <c r="D20" s="54" t="str">
        <f>VLOOKUP(B20,[1]!Table3[[Part Number]:[Annual]],3,0)</f>
        <v>SECONDARY AIR FILTER ELEMENT</v>
      </c>
      <c r="E20" s="54">
        <f>VLOOKUP(B20,[1]!Table3[[Part Number]:[Annual]],9,0)</f>
        <v>6</v>
      </c>
      <c r="F20" s="63">
        <f>VLOOKUP(B20,[1]!Table3[[Part Number]:[Annual]],4,0)</f>
        <v>222</v>
      </c>
      <c r="G20" s="24">
        <f t="shared" si="2"/>
        <v>1332</v>
      </c>
      <c r="H20" s="24">
        <f>VLOOKUP(B20,[1]!Table3[[Part Number]:[Annual]],5,0)</f>
        <v>144.30000000000001</v>
      </c>
      <c r="I20" s="25">
        <f t="shared" si="1"/>
        <v>865.8</v>
      </c>
    </row>
    <row r="21" spans="2:9" x14ac:dyDescent="0.25">
      <c r="B21" s="58" t="s">
        <v>62</v>
      </c>
      <c r="C21" s="54" t="str">
        <f>VLOOKUP(B21,[1]!Table3[[Part Number]:[Annual]],2,0)</f>
        <v xml:space="preserve">CAT 594 (96V) CAT 594H (96V)          </v>
      </c>
      <c r="D21" s="54" t="str">
        <f>VLOOKUP(B21,[1]!Table3[[Part Number]:[Annual]],3,0)</f>
        <v>PRIMARY AIR FILTER ELEMENT</v>
      </c>
      <c r="E21" s="54">
        <f>VLOOKUP(B21,[1]!Table3[[Part Number]:[Annual]],9,0)</f>
        <v>6</v>
      </c>
      <c r="F21" s="63">
        <f>VLOOKUP(B21,[1]!Table3[[Part Number]:[Annual]],4,0)</f>
        <v>121.8</v>
      </c>
      <c r="G21" s="24">
        <f t="shared" si="2"/>
        <v>730.8</v>
      </c>
      <c r="H21" s="24">
        <f>VLOOKUP(B21,[1]!Table3[[Part Number]:[Annual]],5,0)</f>
        <v>79.17</v>
      </c>
      <c r="I21" s="25">
        <f t="shared" si="1"/>
        <v>475.02</v>
      </c>
    </row>
    <row r="22" spans="2:9" x14ac:dyDescent="0.25">
      <c r="B22" s="58" t="s">
        <v>47</v>
      </c>
      <c r="C22" s="54" t="str">
        <f>VLOOKUP(B22,[1]!Table3[[Part Number]:[Annual]],2,0)</f>
        <v>CAT D7G (DSC) CAT D7G (DSC) (2) CAT D7G (DSC) (3) CAT D7G (SUB) CAT D7G (3ZD) CAT 572R (DSC) CAT 572R (DSC) (2)</v>
      </c>
      <c r="D22" s="54" t="str">
        <f>VLOOKUP(B22,[1]!Table3[[Part Number]:[Annual]],3,0)</f>
        <v>ENGINE OIL FILTER</v>
      </c>
      <c r="E22" s="54">
        <f>VLOOKUP(B22,[1]!Table3[[Part Number]:[Annual]],9,0)</f>
        <v>21</v>
      </c>
      <c r="F22" s="63">
        <f>VLOOKUP(B22,[1]!Table3[[Part Number]:[Annual]],4,0)</f>
        <v>59.49</v>
      </c>
      <c r="G22" s="24">
        <f t="shared" si="2"/>
        <v>1249.29</v>
      </c>
      <c r="H22" s="24">
        <f>VLOOKUP(B22,[1]!Table3[[Part Number]:[Annual]],5,0)</f>
        <v>29.75</v>
      </c>
      <c r="I22" s="25">
        <f t="shared" si="1"/>
        <v>624.75</v>
      </c>
    </row>
    <row r="23" spans="2:9" x14ac:dyDescent="0.25">
      <c r="B23" s="58" t="s">
        <v>75</v>
      </c>
      <c r="C23" s="54" t="str">
        <f>VLOOKUP(B23,[1]!Table3[[Part Number]:[Annual]],2,0)</f>
        <v xml:space="preserve">CAT 594 (96V) CAT 594H (96V)          </v>
      </c>
      <c r="D23" s="54" t="str">
        <f>VLOOKUP(B23,[1]!Table3[[Part Number]:[Annual]],3,0)</f>
        <v>HYDRAULIC FILTER</v>
      </c>
      <c r="E23" s="54">
        <f>VLOOKUP(B23,[1]!Table3[[Part Number]:[Annual]],9,0)</f>
        <v>2</v>
      </c>
      <c r="F23" s="63">
        <f>VLOOKUP(B23,[1]!Table3[[Part Number]:[Annual]],4,0)</f>
        <v>47.98</v>
      </c>
      <c r="G23" s="24">
        <f t="shared" si="2"/>
        <v>95.96</v>
      </c>
      <c r="H23" s="24">
        <f>VLOOKUP(B23,[1]!Table3[[Part Number]:[Annual]],5,0)</f>
        <v>23.99</v>
      </c>
      <c r="I23" s="25">
        <f t="shared" si="1"/>
        <v>47.98</v>
      </c>
    </row>
    <row r="24" spans="2:9" x14ac:dyDescent="0.25">
      <c r="B24" s="58" t="s">
        <v>76</v>
      </c>
      <c r="C24" s="54" t="str">
        <f>VLOOKUP(B24,[1]!Table3[[Part Number]:[Annual]],2,0)</f>
        <v xml:space="preserve">CAT 583T (CMX) CAT 589 (31Z) CAT 594 (96V) CAT 594H (96V) CAT DK8 (893) CAT DK8 (950)  </v>
      </c>
      <c r="D24" s="54" t="str">
        <f>VLOOKUP(B24,[1]!Table3[[Part Number]:[Annual]],3,0)</f>
        <v>Hydraulic Filter</v>
      </c>
      <c r="E24" s="54">
        <f>VLOOKUP(B24,[1]!Table3[[Part Number]:[Annual]],9,0)</f>
        <v>8</v>
      </c>
      <c r="F24" s="63">
        <f>VLOOKUP(B24,[1]!Table3[[Part Number]:[Annual]],4,0)</f>
        <v>38.31</v>
      </c>
      <c r="G24" s="24">
        <f t="shared" si="2"/>
        <v>306.48</v>
      </c>
      <c r="H24" s="24">
        <f>VLOOKUP(B24,[1]!Table3[[Part Number]:[Annual]],5,0)</f>
        <v>19.16</v>
      </c>
      <c r="I24" s="25">
        <f t="shared" si="1"/>
        <v>153.28</v>
      </c>
    </row>
    <row r="25" spans="2:9" x14ac:dyDescent="0.25">
      <c r="B25" s="58" t="s">
        <v>37</v>
      </c>
      <c r="C25" s="54" t="str">
        <f>VLOOKUP(B25,[1]!Table3[[Part Number]:[Annual]],2,0)</f>
        <v>CAT D7G (DSC) CAT D7G (DSC) (2) CAT D7G (DSC) (3) CAT D7G (SUB) CAT D7G (3ZD) CAT 572R (DSC) CAT 572R (DSC) (2)</v>
      </c>
      <c r="D25" s="54" t="str">
        <f>VLOOKUP(B25,[1]!Table3[[Part Number]:[Annual]],3,0)</f>
        <v>FUEL FILTER</v>
      </c>
      <c r="E25" s="54">
        <f>VLOOKUP(B25,[1]!Table3[[Part Number]:[Annual]],9,0)</f>
        <v>21</v>
      </c>
      <c r="F25" s="63">
        <f>VLOOKUP(B25,[1]!Table3[[Part Number]:[Annual]],4,0)</f>
        <v>49.75</v>
      </c>
      <c r="G25" s="24">
        <f t="shared" si="2"/>
        <v>1044.75</v>
      </c>
      <c r="H25" s="24">
        <f>VLOOKUP(B25,[1]!Table3[[Part Number]:[Annual]],5,0)</f>
        <v>24.88</v>
      </c>
      <c r="I25" s="25">
        <f t="shared" si="1"/>
        <v>522.48</v>
      </c>
    </row>
    <row r="26" spans="2:9" x14ac:dyDescent="0.25">
      <c r="B26" s="58" t="s">
        <v>79</v>
      </c>
      <c r="C26" s="54" t="str">
        <f>VLOOKUP(B26,[1]!Table3[[Part Number]:[Annual]],2,0)</f>
        <v xml:space="preserve">CAT 583T (CMX) CAT 589 (31Z) CAT 594 (96V) CAT 594H (96V) CAT DK8 (893) CAT DK8 (950)  </v>
      </c>
      <c r="D26" s="54" t="str">
        <f>VLOOKUP(B26,[1]!Table3[[Part Number]:[Annual]],3,0)</f>
        <v>Fuel Filter - Secondary</v>
      </c>
      <c r="E26" s="54">
        <f>VLOOKUP(B26,[1]!Table3[[Part Number]:[Annual]],9,0)</f>
        <v>20</v>
      </c>
      <c r="F26" s="63">
        <f>VLOOKUP(B26,[1]!Table3[[Part Number]:[Annual]],4,0)</f>
        <v>41.22</v>
      </c>
      <c r="G26" s="24">
        <f t="shared" si="2"/>
        <v>824.4</v>
      </c>
      <c r="H26" s="24">
        <f>VLOOKUP(B26,[1]!Table3[[Part Number]:[Annual]],5,0)</f>
        <v>20.61</v>
      </c>
      <c r="I26" s="25">
        <f t="shared" si="1"/>
        <v>412.2</v>
      </c>
    </row>
    <row r="27" spans="2:9" x14ac:dyDescent="0.25">
      <c r="B27" s="58" t="s">
        <v>63</v>
      </c>
      <c r="C27" s="54" t="str">
        <f>VLOOKUP(B27,[1]!Table3[[Part Number]:[Annual]],2,0)</f>
        <v xml:space="preserve">CAT PL61 (DHA) CAT PL61 (WGS) CAT D6D (06X)        </v>
      </c>
      <c r="D27" s="54" t="str">
        <f>VLOOKUP(B27,[1]!Table3[[Part Number]:[Annual]],3,0)</f>
        <v>CABIN AIR FILTER ELEMENT</v>
      </c>
      <c r="E27" s="54">
        <f>VLOOKUP(B27,[1]!Table3[[Part Number]:[Annual]],9,0)</f>
        <v>0</v>
      </c>
      <c r="F27" s="63">
        <f>VLOOKUP(B27,[1]!Table3[[Part Number]:[Annual]],4,0)</f>
        <v>82.23</v>
      </c>
      <c r="G27" s="24">
        <f t="shared" si="2"/>
        <v>0</v>
      </c>
      <c r="H27" s="24">
        <f>VLOOKUP(B27,[1]!Table3[[Part Number]:[Annual]],5,0)</f>
        <v>53.45</v>
      </c>
      <c r="I27" s="25">
        <f t="shared" si="1"/>
        <v>0</v>
      </c>
    </row>
    <row r="28" spans="2:9" x14ac:dyDescent="0.25">
      <c r="B28" s="58" t="s">
        <v>64</v>
      </c>
      <c r="C28" s="54" t="str">
        <f>VLOOKUP(B28,[1]!Table3[[Part Number]:[Annual]],2,0)</f>
        <v xml:space="preserve">CAT PL61 (DHA) CAT PL61 (WGS) CAT D6D (06X)        </v>
      </c>
      <c r="D28" s="54" t="str">
        <f>VLOOKUP(B28,[1]!Table3[[Part Number]:[Annual]],3,0)</f>
        <v>PRIMARY AIR FILTER ELEMENT</v>
      </c>
      <c r="E28" s="54">
        <f>VLOOKUP(B28,[1]!Table3[[Part Number]:[Annual]],9,0)</f>
        <v>3</v>
      </c>
      <c r="F28" s="63">
        <f>VLOOKUP(B28,[1]!Table3[[Part Number]:[Annual]],4,0)</f>
        <v>214.1</v>
      </c>
      <c r="G28" s="24">
        <f t="shared" si="2"/>
        <v>642.29999999999995</v>
      </c>
      <c r="H28" s="24">
        <f>VLOOKUP(B28,[1]!Table3[[Part Number]:[Annual]],5,0)</f>
        <v>139.16999999999999</v>
      </c>
      <c r="I28" s="25">
        <f t="shared" si="1"/>
        <v>417.51</v>
      </c>
    </row>
    <row r="29" spans="2:9" x14ac:dyDescent="0.25">
      <c r="B29" s="58" t="s">
        <v>65</v>
      </c>
      <c r="C29" s="54" t="str">
        <f>VLOOKUP(B29,[1]!Table3[[Part Number]:[Annual]],2,0)</f>
        <v xml:space="preserve">CAT PL61 (DHA) CAT PL61 (WGS) CAT D6D (06X)        </v>
      </c>
      <c r="D29" s="54" t="str">
        <f>VLOOKUP(B29,[1]!Table3[[Part Number]:[Annual]],3,0)</f>
        <v>SECONDARY AIR FILTER ELEMENT</v>
      </c>
      <c r="E29" s="54">
        <f>VLOOKUP(B29,[1]!Table3[[Part Number]:[Annual]],9,0)</f>
        <v>3</v>
      </c>
      <c r="F29" s="63">
        <f>VLOOKUP(B29,[1]!Table3[[Part Number]:[Annual]],4,0)</f>
        <v>147.41</v>
      </c>
      <c r="G29" s="24">
        <f t="shared" si="2"/>
        <v>442.23</v>
      </c>
      <c r="H29" s="24">
        <f>VLOOKUP(B29,[1]!Table3[[Part Number]:[Annual]],5,0)</f>
        <v>95.82</v>
      </c>
      <c r="I29" s="25">
        <f t="shared" si="1"/>
        <v>287.45999999999998</v>
      </c>
    </row>
    <row r="30" spans="2:9" x14ac:dyDescent="0.25">
      <c r="B30" s="58" t="s">
        <v>80</v>
      </c>
      <c r="C30" s="54" t="str">
        <f>VLOOKUP(B30,[1]!Table3[[Part Number]:[Annual]],2,0)</f>
        <v xml:space="preserve">CAT 583T (CMX) CAT 589 (31Z) CAT 594 (96V) CAT 594H (96V) CAT DK8 (893) CAT DK8 (950)  </v>
      </c>
      <c r="D30" s="54" t="str">
        <f>VLOOKUP(B30,[1]!Table3[[Part Number]:[Annual]],3,0)</f>
        <v>Engine Oil Filter</v>
      </c>
      <c r="E30" s="54">
        <f>VLOOKUP(B30,[1]!Table3[[Part Number]:[Annual]],9,0)</f>
        <v>18</v>
      </c>
      <c r="F30" s="63">
        <f>VLOOKUP(B30,[1]!Table3[[Part Number]:[Annual]],4,0)</f>
        <v>33.119999999999997</v>
      </c>
      <c r="G30" s="24">
        <f t="shared" si="2"/>
        <v>596.16</v>
      </c>
      <c r="H30" s="24">
        <f>VLOOKUP(B30,[1]!Table3[[Part Number]:[Annual]],5,0)</f>
        <v>16.559999999999999</v>
      </c>
      <c r="I30" s="25">
        <f t="shared" si="1"/>
        <v>298.08</v>
      </c>
    </row>
    <row r="31" spans="2:9" x14ac:dyDescent="0.25">
      <c r="B31" s="58" t="s">
        <v>81</v>
      </c>
      <c r="C31" s="54" t="str">
        <f>VLOOKUP(B31,[1]!Table3[[Part Number]:[Annual]],2,0)</f>
        <v xml:space="preserve">CAT PL61 (DHA) CAT PL61 (WGS) CAT D6D (06X)        </v>
      </c>
      <c r="D31" s="54" t="str">
        <f>VLOOKUP(B31,[1]!Table3[[Part Number]:[Annual]],3,0)</f>
        <v>FUEL FILTER</v>
      </c>
      <c r="E31" s="54">
        <f>VLOOKUP(B31,[1]!Table3[[Part Number]:[Annual]],9,0)</f>
        <v>3</v>
      </c>
      <c r="F31" s="63">
        <f>VLOOKUP(B31,[1]!Table3[[Part Number]:[Annual]],4,0)</f>
        <v>72.95</v>
      </c>
      <c r="G31" s="24">
        <f t="shared" si="2"/>
        <v>218.85000000000002</v>
      </c>
      <c r="H31" s="24">
        <f>VLOOKUP(B31,[1]!Table3[[Part Number]:[Annual]],5,0)</f>
        <v>36.479999999999997</v>
      </c>
      <c r="I31" s="25">
        <f t="shared" si="1"/>
        <v>109.44</v>
      </c>
    </row>
    <row r="32" spans="2:9" x14ac:dyDescent="0.25">
      <c r="B32" s="58" t="s">
        <v>82</v>
      </c>
      <c r="C32" s="54" t="str">
        <f>VLOOKUP(B32,[1]!Table3[[Part Number]:[Annual]],2,0)</f>
        <v xml:space="preserve">CAT PL61 (DHA) CAT PL61 (WGS) CAT D6D (06X)        </v>
      </c>
      <c r="D32" s="54" t="str">
        <f>VLOOKUP(B32,[1]!Table3[[Part Number]:[Annual]],3,0)</f>
        <v>FUEL FILTER</v>
      </c>
      <c r="E32" s="54">
        <f>VLOOKUP(B32,[1]!Table3[[Part Number]:[Annual]],9,0)</f>
        <v>3</v>
      </c>
      <c r="F32" s="63">
        <f>VLOOKUP(B32,[1]!Table3[[Part Number]:[Annual]],4,0)</f>
        <v>73.08</v>
      </c>
      <c r="G32" s="24">
        <f t="shared" si="2"/>
        <v>219.24</v>
      </c>
      <c r="H32" s="24">
        <f>VLOOKUP(B32,[1]!Table3[[Part Number]:[Annual]],5,0)</f>
        <v>36.54</v>
      </c>
      <c r="I32" s="25">
        <f t="shared" si="1"/>
        <v>109.62</v>
      </c>
    </row>
    <row r="33" spans="2:9" x14ac:dyDescent="0.25">
      <c r="B33" s="58" t="s">
        <v>83</v>
      </c>
      <c r="C33" s="54" t="str">
        <f>VLOOKUP(B33,[1]!Table3[[Part Number]:[Annual]],2,0)</f>
        <v>CAT D7G (DSC) CAT D7G (DSC) (2) CAT D7G (DSC) (3) CAT D7G (SUB) CAT D7G (3ZD) CAT 572R (DSC) CAT 572R (DSC) (2)</v>
      </c>
      <c r="D33" s="54" t="str">
        <f>VLOOKUP(B33,[1]!Table3[[Part Number]:[Annual]],3,0)</f>
        <v xml:space="preserve">FUEL WATER SEPARATOR </v>
      </c>
      <c r="E33" s="54">
        <f>VLOOKUP(B33,[1]!Table3[[Part Number]:[Annual]],9,0)</f>
        <v>21</v>
      </c>
      <c r="F33" s="63">
        <f>VLOOKUP(B33,[1]!Table3[[Part Number]:[Annual]],4,0)</f>
        <v>76.680000000000007</v>
      </c>
      <c r="G33" s="24">
        <f t="shared" si="2"/>
        <v>1610.2800000000002</v>
      </c>
      <c r="H33" s="24">
        <f>VLOOKUP(B33,[1]!Table3[[Part Number]:[Annual]],5,0)</f>
        <v>38.340000000000003</v>
      </c>
      <c r="I33" s="25">
        <f t="shared" si="1"/>
        <v>805.14</v>
      </c>
    </row>
    <row r="34" spans="2:9" x14ac:dyDescent="0.25">
      <c r="B34" s="58" t="s">
        <v>48</v>
      </c>
      <c r="C34" s="54" t="str">
        <f>VLOOKUP(B34,[1]!Table3[[Part Number]:[Annual]],2,0)</f>
        <v xml:space="preserve">CAT PL61 (DHA) CAT PL61 (WGS) CAT D6D (06X)        </v>
      </c>
      <c r="D34" s="54" t="str">
        <f>VLOOKUP(B34,[1]!Table3[[Part Number]:[Annual]],3,0)</f>
        <v xml:space="preserve">FUEL WATER SEPARATOR </v>
      </c>
      <c r="E34" s="54">
        <f>VLOOKUP(B34,[1]!Table3[[Part Number]:[Annual]],9,0)</f>
        <v>3</v>
      </c>
      <c r="F34" s="63">
        <f>VLOOKUP(B34,[1]!Table3[[Part Number]:[Annual]],4,0)</f>
        <v>82.65</v>
      </c>
      <c r="G34" s="24">
        <f t="shared" si="2"/>
        <v>247.95000000000002</v>
      </c>
      <c r="H34" s="24">
        <f>VLOOKUP(B34,[1]!Table3[[Part Number]:[Annual]],5,0)</f>
        <v>41.33</v>
      </c>
      <c r="I34" s="25">
        <f t="shared" si="1"/>
        <v>123.99</v>
      </c>
    </row>
    <row r="35" spans="2:9" x14ac:dyDescent="0.25">
      <c r="B35" s="58" t="s">
        <v>49</v>
      </c>
      <c r="C35" s="54" t="str">
        <f>VLOOKUP(B35,[1]!Table3[[Part Number]:[Annual]],2,0)</f>
        <v>CAT D7G (DSC) CAT D7G (DSC) (2) CAT D7G (DSC) (3) CAT D7G (SUB) CAT D7G (3ZD) CAT 572R (DSC) CAT 572R (DSC) (2)</v>
      </c>
      <c r="D35" s="54" t="str">
        <f>VLOOKUP(B35,[1]!Table3[[Part Number]:[Annual]],3,0)</f>
        <v>HYDRAULIC OIL FILTER (POWER TRAIN)</v>
      </c>
      <c r="E35" s="54">
        <f>VLOOKUP(B35,[1]!Table3[[Part Number]:[Annual]],9,0)</f>
        <v>7</v>
      </c>
      <c r="F35" s="63">
        <f>VLOOKUP(B35,[1]!Table3[[Part Number]:[Annual]],4,0)</f>
        <v>197.31</v>
      </c>
      <c r="G35" s="24">
        <f t="shared" si="2"/>
        <v>1381.17</v>
      </c>
      <c r="H35" s="24">
        <f>VLOOKUP(B35,[1]!Table3[[Part Number]:[Annual]],5,0)</f>
        <v>98.66</v>
      </c>
      <c r="I35" s="25">
        <f t="shared" si="1"/>
        <v>690.62</v>
      </c>
    </row>
    <row r="36" spans="2:9" x14ac:dyDescent="0.25">
      <c r="B36" s="58" t="s">
        <v>84</v>
      </c>
      <c r="C36" s="54" t="str">
        <f>VLOOKUP(B36,[1]!Table3[[Part Number]:[Annual]],2,0)</f>
        <v xml:space="preserve">CAT PL61 (DHA) CAT PL61 (WGS) CAT D6D (06X)        </v>
      </c>
      <c r="D36" s="54" t="str">
        <f>VLOOKUP(B36,[1]!Table3[[Part Number]:[Annual]],3,0)</f>
        <v>ENGINE OIL FILTER</v>
      </c>
      <c r="E36" s="54">
        <f>VLOOKUP(B36,[1]!Table3[[Part Number]:[Annual]],9,0)</f>
        <v>3</v>
      </c>
      <c r="F36" s="63">
        <f>VLOOKUP(B36,[1]!Table3[[Part Number]:[Annual]],4,0)</f>
        <v>35.25</v>
      </c>
      <c r="G36" s="24">
        <f t="shared" si="2"/>
        <v>105.75</v>
      </c>
      <c r="H36" s="24">
        <f>VLOOKUP(B36,[1]!Table3[[Part Number]:[Annual]],5,0)</f>
        <v>17.63</v>
      </c>
      <c r="I36" s="25">
        <f t="shared" si="1"/>
        <v>52.89</v>
      </c>
    </row>
    <row r="37" spans="2:9" x14ac:dyDescent="0.25">
      <c r="B37" s="58" t="s">
        <v>102</v>
      </c>
      <c r="C37" s="54" t="str">
        <f>VLOOKUP(B37,[1]!Table3[[Part Number]:[Annual]],2,0)</f>
        <v xml:space="preserve">CAT 583T (CMX) CAT 589 (31Z) CAT DK8 (893) CAT DK8 (950)      </v>
      </c>
      <c r="D37" s="54" t="str">
        <f>VLOOKUP(B37,[1]!Table3[[Part Number]:[Annual]],3,0)</f>
        <v>Hydraulic Filter</v>
      </c>
      <c r="E37" s="54">
        <f>VLOOKUP(B37,[1]!Table3[[Part Number]:[Annual]],9,0)</f>
        <v>4</v>
      </c>
      <c r="F37" s="63">
        <f>VLOOKUP(B37,[1]!Table3[[Part Number]:[Annual]],4,0)</f>
        <v>234.01</v>
      </c>
      <c r="G37" s="24">
        <f t="shared" si="2"/>
        <v>936.04</v>
      </c>
      <c r="H37" s="24">
        <f>VLOOKUP(B37,[1]!Table3[[Part Number]:[Annual]],5,0)</f>
        <v>117.01</v>
      </c>
      <c r="I37" s="25">
        <f t="shared" si="1"/>
        <v>468.04</v>
      </c>
    </row>
    <row r="38" spans="2:9" x14ac:dyDescent="0.25">
      <c r="B38" s="58" t="s">
        <v>103</v>
      </c>
      <c r="C38" s="54" t="str">
        <f>VLOOKUP(B38,[1]!Table3[[Part Number]:[Annual]],2,0)</f>
        <v xml:space="preserve">CAT 583T (CMX) CAT 589 (31Z) CAT DK8 (893) CAT DK8 (950)      </v>
      </c>
      <c r="D38" s="54" t="str">
        <f>VLOOKUP(B38,[1]!Table3[[Part Number]:[Annual]],3,0)</f>
        <v>Transmission Filter</v>
      </c>
      <c r="E38" s="54">
        <f>VLOOKUP(B38,[1]!Table3[[Part Number]:[Annual]],9,0)</f>
        <v>8</v>
      </c>
      <c r="F38" s="63">
        <f>VLOOKUP(B38,[1]!Table3[[Part Number]:[Annual]],4,0)</f>
        <v>25.04</v>
      </c>
      <c r="G38" s="24">
        <f t="shared" si="2"/>
        <v>200.32</v>
      </c>
      <c r="H38" s="24">
        <f>VLOOKUP(B38,[1]!Table3[[Part Number]:[Annual]],5,0)</f>
        <v>12.52</v>
      </c>
      <c r="I38" s="25">
        <f t="shared" si="1"/>
        <v>100.16</v>
      </c>
    </row>
    <row r="39" spans="2:9" x14ac:dyDescent="0.25">
      <c r="B39" s="58" t="s">
        <v>66</v>
      </c>
      <c r="C39" s="54" t="str">
        <f>VLOOKUP(B39,[1]!Table3[[Part Number]:[Annual]],2,0)</f>
        <v xml:space="preserve">HITACHI ZX290LC-5 (1FF) HITACHI ZX290LC-5 (1FF) (2) HITACHI ZX290LC-5 (1FF) (3)        </v>
      </c>
      <c r="D39" s="54" t="str">
        <f>VLOOKUP(B39,[1]!Table3[[Part Number]:[Annual]],3,0)</f>
        <v>CAB AIR FILTER</v>
      </c>
      <c r="E39" s="54">
        <f>VLOOKUP(B39,[1]!Table3[[Part Number]:[Annual]],9,0)</f>
        <v>0</v>
      </c>
      <c r="F39" s="63">
        <f>VLOOKUP(B39,[1]!Table3[[Part Number]:[Annual]],4,0)</f>
        <v>151.97939999999997</v>
      </c>
      <c r="G39" s="24">
        <f t="shared" si="2"/>
        <v>0</v>
      </c>
      <c r="H39" s="24">
        <f>VLOOKUP(B39,[1]!Table3[[Part Number]:[Annual]],5,0)</f>
        <v>98.79</v>
      </c>
      <c r="I39" s="25">
        <f t="shared" si="1"/>
        <v>0</v>
      </c>
    </row>
    <row r="40" spans="2:9" x14ac:dyDescent="0.25">
      <c r="B40" s="58" t="s">
        <v>67</v>
      </c>
      <c r="C40" s="54" t="str">
        <f>VLOOKUP(B40,[1]!Table3[[Part Number]:[Annual]],2,0)</f>
        <v xml:space="preserve">HITACHI ZX290LC-5 (1FF) HITACHI ZX290LC-5 (1FF) (2) HITACHI ZX290LC-5 (1FF) (3)        </v>
      </c>
      <c r="D40" s="54" t="str">
        <f>VLOOKUP(B40,[1]!Table3[[Part Number]:[Annual]],3,0)</f>
        <v>CAB AIR FILTER</v>
      </c>
      <c r="E40" s="54">
        <f>VLOOKUP(B40,[1]!Table3[[Part Number]:[Annual]],9,0)</f>
        <v>0</v>
      </c>
      <c r="F40" s="63">
        <f>VLOOKUP(B40,[1]!Table3[[Part Number]:[Annual]],4,0)</f>
        <v>123.9378</v>
      </c>
      <c r="G40" s="24">
        <f t="shared" si="2"/>
        <v>0</v>
      </c>
      <c r="H40" s="24">
        <f>VLOOKUP(B40,[1]!Table3[[Part Number]:[Annual]],5,0)</f>
        <v>80.56</v>
      </c>
      <c r="I40" s="25">
        <f t="shared" si="1"/>
        <v>0</v>
      </c>
    </row>
    <row r="41" spans="2:9" x14ac:dyDescent="0.25">
      <c r="B41" s="58" t="s">
        <v>68</v>
      </c>
      <c r="C41" s="54" t="str">
        <f>VLOOKUP(B41,[1]!Table3[[Part Number]:[Annual]],2,0)</f>
        <v xml:space="preserve">JD 470GLC (1FF) HITACHI 470GLC (HCM)          </v>
      </c>
      <c r="D41" s="54" t="str">
        <f>VLOOKUP(B41,[1]!Table3[[Part Number]:[Annual]],3,0)</f>
        <v>CAB AIR FILTER</v>
      </c>
      <c r="E41" s="54">
        <f>VLOOKUP(B41,[1]!Table3[[Part Number]:[Annual]],9,0)</f>
        <v>0</v>
      </c>
      <c r="F41" s="63">
        <f>VLOOKUP(B41,[1]!Table3[[Part Number]:[Annual]],4,0)</f>
        <v>134.99159999999998</v>
      </c>
      <c r="G41" s="24">
        <f t="shared" si="2"/>
        <v>0</v>
      </c>
      <c r="H41" s="24">
        <f>VLOOKUP(B41,[1]!Table3[[Part Number]:[Annual]],5,0)</f>
        <v>87.74</v>
      </c>
      <c r="I41" s="25">
        <f t="shared" si="1"/>
        <v>0</v>
      </c>
    </row>
    <row r="42" spans="2:9" x14ac:dyDescent="0.25">
      <c r="B42" s="58" t="s">
        <v>38</v>
      </c>
      <c r="C42" s="54" t="str">
        <f>VLOOKUP(B42,[1]!Table3[[Part Number]:[Annual]],2,0)</f>
        <v>CAT D7G (DSC) CAT D7G (DSC) (2) CAT D7G (DSC) (3) CAT D7G (SUB) CAT D7G (3ZD) CAT 572R (DSC) CAT 572R (DSC) (2)</v>
      </c>
      <c r="D42" s="54" t="str">
        <f>VLOOKUP(B42,[1]!Table3[[Part Number]:[Annual]],3,0)</f>
        <v>PRIMARY AIR FILTER ELEMENT</v>
      </c>
      <c r="E42" s="54">
        <f>VLOOKUP(B42,[1]!Table3[[Part Number]:[Annual]],9,0)</f>
        <v>21</v>
      </c>
      <c r="F42" s="63">
        <f>VLOOKUP(B42,[1]!Table3[[Part Number]:[Annual]],4,0)</f>
        <v>150.1</v>
      </c>
      <c r="G42" s="24">
        <f t="shared" si="2"/>
        <v>3152.1</v>
      </c>
      <c r="H42" s="24">
        <f>VLOOKUP(B42,[1]!Table3[[Part Number]:[Annual]],5,0)</f>
        <v>97.57</v>
      </c>
      <c r="I42" s="25">
        <f t="shared" si="1"/>
        <v>2048.9699999999998</v>
      </c>
    </row>
    <row r="43" spans="2:9" x14ac:dyDescent="0.25">
      <c r="B43" s="58" t="s">
        <v>39</v>
      </c>
      <c r="C43" s="54" t="str">
        <f>VLOOKUP(B43,[1]!Table3[[Part Number]:[Annual]],2,0)</f>
        <v>CAT D7G (DSC) CAT D7G (DSC) (2) CAT D7G (DSC) (3) CAT D7G (SUB) CAT D7G (3ZD) CAT 572R (DSC) CAT 572R (DSC) (2)</v>
      </c>
      <c r="D43" s="54" t="str">
        <f>VLOOKUP(B43,[1]!Table3[[Part Number]:[Annual]],3,0)</f>
        <v>SECONDARY AIR FILTER ELEMENT</v>
      </c>
      <c r="E43" s="54">
        <f>VLOOKUP(B43,[1]!Table3[[Part Number]:[Annual]],9,0)</f>
        <v>21</v>
      </c>
      <c r="F43" s="63">
        <f>VLOOKUP(B43,[1]!Table3[[Part Number]:[Annual]],4,0)</f>
        <v>114.79</v>
      </c>
      <c r="G43" s="24">
        <f t="shared" si="2"/>
        <v>2410.59</v>
      </c>
      <c r="H43" s="24">
        <f>VLOOKUP(B43,[1]!Table3[[Part Number]:[Annual]],5,0)</f>
        <v>74.61</v>
      </c>
      <c r="I43" s="25">
        <f t="shared" si="1"/>
        <v>1566.81</v>
      </c>
    </row>
    <row r="44" spans="2:9" x14ac:dyDescent="0.25">
      <c r="B44" s="58" t="s">
        <v>105</v>
      </c>
      <c r="C44" s="54" t="str">
        <f>VLOOKUP(B44,[1]!Table3[[Part Number]:[Annual]],2,0)</f>
        <v xml:space="preserve">CAT 583T (CMX) CAT 589 (31Z) CAT DK8 (893) CAT DK8 (950)      </v>
      </c>
      <c r="D44" s="54" t="str">
        <f>VLOOKUP(B44,[1]!Table3[[Part Number]:[Annual]],3,0)</f>
        <v>Cab - Fresh Air</v>
      </c>
      <c r="E44" s="54">
        <f>VLOOKUP(B44,[1]!Table3[[Part Number]:[Annual]],9,0)</f>
        <v>0</v>
      </c>
      <c r="F44" s="63">
        <f>VLOOKUP(B44,[1]!Table3[[Part Number]:[Annual]],4,0)</f>
        <v>47.71</v>
      </c>
      <c r="G44" s="24">
        <f t="shared" si="2"/>
        <v>0</v>
      </c>
      <c r="H44" s="24">
        <f>VLOOKUP(B44,[1]!Table3[[Part Number]:[Annual]],5,0)</f>
        <v>31.01</v>
      </c>
      <c r="I44" s="25">
        <f t="shared" si="1"/>
        <v>0</v>
      </c>
    </row>
    <row r="45" spans="2:9" x14ac:dyDescent="0.25">
      <c r="B45" s="58" t="s">
        <v>106</v>
      </c>
      <c r="C45" s="54" t="str">
        <f>VLOOKUP(B45,[1]!Table3[[Part Number]:[Annual]],2,0)</f>
        <v xml:space="preserve">CAT 583T (CMX) CAT 589 (31Z) CAT DK8 (893) CAT DK8 (950)      </v>
      </c>
      <c r="D45" s="54" t="str">
        <f>VLOOKUP(B45,[1]!Table3[[Part Number]:[Annual]],3,0)</f>
        <v>Cab - Recirculate</v>
      </c>
      <c r="E45" s="54">
        <f>VLOOKUP(B45,[1]!Table3[[Part Number]:[Annual]],9,0)</f>
        <v>0</v>
      </c>
      <c r="F45" s="63">
        <f>VLOOKUP(B45,[1]!Table3[[Part Number]:[Annual]],4,0)</f>
        <v>95.06</v>
      </c>
      <c r="G45" s="24">
        <f t="shared" si="2"/>
        <v>0</v>
      </c>
      <c r="H45" s="24">
        <f>VLOOKUP(B45,[1]!Table3[[Part Number]:[Annual]],5,0)</f>
        <v>61.79</v>
      </c>
      <c r="I45" s="25">
        <f t="shared" si="1"/>
        <v>0</v>
      </c>
    </row>
    <row r="46" spans="2:9" x14ac:dyDescent="0.25">
      <c r="B46" s="58" t="s">
        <v>107</v>
      </c>
      <c r="C46" s="54" t="str">
        <f>VLOOKUP(B46,[1]!Table3[[Part Number]:[Annual]],2,0)</f>
        <v xml:space="preserve">CAT 583T (CMX) CAT 589 (31Z) CAT DK8 (893) CAT DK8 (950)      </v>
      </c>
      <c r="D46" s="54" t="str">
        <f>VLOOKUP(B46,[1]!Table3[[Part Number]:[Annual]],3,0)</f>
        <v>Air Filter - Primary</v>
      </c>
      <c r="E46" s="54">
        <f>VLOOKUP(B46,[1]!Table3[[Part Number]:[Annual]],9,0)</f>
        <v>4</v>
      </c>
      <c r="F46" s="63">
        <f>VLOOKUP(B46,[1]!Table3[[Part Number]:[Annual]],4,0)</f>
        <v>105.91</v>
      </c>
      <c r="G46" s="24">
        <f t="shared" si="2"/>
        <v>423.64</v>
      </c>
      <c r="H46" s="24">
        <f>VLOOKUP(B46,[1]!Table3[[Part Number]:[Annual]],5,0)</f>
        <v>68.84</v>
      </c>
      <c r="I46" s="25">
        <f t="shared" si="1"/>
        <v>275.36</v>
      </c>
    </row>
    <row r="47" spans="2:9" x14ac:dyDescent="0.25">
      <c r="B47" s="58" t="s">
        <v>85</v>
      </c>
      <c r="C47" s="54" t="str">
        <f>VLOOKUP(B47,[1]!Table3[[Part Number]:[Annual]],2,0)</f>
        <v xml:space="preserve">CAT 583T (CMX) CAT 589 (31Z) CAT 594 (96V) CAT 594H (96V) CAT DK8 (893) CAT DK8 (950)  </v>
      </c>
      <c r="D47" s="54" t="str">
        <f>VLOOKUP(B47,[1]!Table3[[Part Number]:[Annual]],3,0)</f>
        <v>Fuel Filter - Primary</v>
      </c>
      <c r="E47" s="54">
        <f>VLOOKUP(B47,[1]!Table3[[Part Number]:[Annual]],9,0)</f>
        <v>10</v>
      </c>
      <c r="F47" s="63">
        <f>VLOOKUP(B47,[1]!Table3[[Part Number]:[Annual]],4,0)</f>
        <v>20.63</v>
      </c>
      <c r="G47" s="24">
        <f t="shared" si="2"/>
        <v>206.29999999999998</v>
      </c>
      <c r="H47" s="24">
        <f>VLOOKUP(B47,[1]!Table3[[Part Number]:[Annual]],5,0)</f>
        <v>10.32</v>
      </c>
      <c r="I47" s="25">
        <f t="shared" si="1"/>
        <v>103.2</v>
      </c>
    </row>
    <row r="48" spans="2:9" x14ac:dyDescent="0.25">
      <c r="B48" s="58" t="s">
        <v>77</v>
      </c>
      <c r="C48" s="54" t="str">
        <f>VLOOKUP(B48,[1]!Table3[[Part Number]:[Annual]],2,0)</f>
        <v xml:space="preserve">HITACHI ZX290LC-5 (1FF) HITACHI ZX290LC-5 (1FF) (2) HITACHI ZX290LC-5 (1FF) (3)        </v>
      </c>
      <c r="D48" s="54" t="str">
        <f>VLOOKUP(B48,[1]!Table3[[Part Number]:[Annual]],3,0)</f>
        <v>HYDRAULIC FILTER PILOT</v>
      </c>
      <c r="E48" s="54">
        <f>VLOOKUP(B48,[1]!Table3[[Part Number]:[Annual]],9,0)</f>
        <v>0</v>
      </c>
      <c r="F48" s="63">
        <f>VLOOKUP(B48,[1]!Table3[[Part Number]:[Annual]],4,0)</f>
        <v>70.76639999999999</v>
      </c>
      <c r="G48" s="24">
        <f t="shared" si="2"/>
        <v>0</v>
      </c>
      <c r="H48" s="24">
        <f>VLOOKUP(B48,[1]!Table3[[Part Number]:[Annual]],5,0)</f>
        <v>35.380000000000003</v>
      </c>
      <c r="I48" s="25">
        <f t="shared" si="1"/>
        <v>0</v>
      </c>
    </row>
    <row r="49" spans="2:9" x14ac:dyDescent="0.25">
      <c r="B49" s="58" t="s">
        <v>69</v>
      </c>
      <c r="C49" s="54" t="str">
        <f>VLOOKUP(B49,[1]!Table3[[Part Number]:[Annual]],2,0)</f>
        <v xml:space="preserve">JD 470GLC (1FF) HITACHI 470GLC (HCM)          </v>
      </c>
      <c r="D49" s="54" t="str">
        <f>VLOOKUP(B49,[1]!Table3[[Part Number]:[Annual]],3,0)</f>
        <v>PRIMARY AIR FILTER</v>
      </c>
      <c r="E49" s="54">
        <f>VLOOKUP(B49,[1]!Table3[[Part Number]:[Annual]],9,0)</f>
        <v>0</v>
      </c>
      <c r="F49" s="63">
        <f>VLOOKUP(B49,[1]!Table3[[Part Number]:[Annual]],4,0)</f>
        <v>221.559</v>
      </c>
      <c r="G49" s="24">
        <f t="shared" si="2"/>
        <v>0</v>
      </c>
      <c r="H49" s="24">
        <f>VLOOKUP(B49,[1]!Table3[[Part Number]:[Annual]],5,0)</f>
        <v>144.01</v>
      </c>
      <c r="I49" s="25">
        <f t="shared" si="1"/>
        <v>0</v>
      </c>
    </row>
    <row r="50" spans="2:9" x14ac:dyDescent="0.25">
      <c r="B50" s="58" t="s">
        <v>70</v>
      </c>
      <c r="C50" s="54" t="str">
        <f>VLOOKUP(B50,[1]!Table3[[Part Number]:[Annual]],2,0)</f>
        <v xml:space="preserve">HITACHI ZX290LC-5 (1FF) HITACHI ZX290LC-5 (1FF) (2) HITACHI ZX290LC-5 (1FF) (3)        </v>
      </c>
      <c r="D50" s="54" t="str">
        <f>VLOOKUP(B50,[1]!Table3[[Part Number]:[Annual]],3,0)</f>
        <v>SECONDARY AIR FILTER</v>
      </c>
      <c r="E50" s="54">
        <f>VLOOKUP(B50,[1]!Table3[[Part Number]:[Annual]],9,0)</f>
        <v>0</v>
      </c>
      <c r="F50" s="63">
        <f>VLOOKUP(B50,[1]!Table3[[Part Number]:[Annual]],4,0)</f>
        <v>93.398399999999995</v>
      </c>
      <c r="G50" s="24">
        <f t="shared" si="2"/>
        <v>0</v>
      </c>
      <c r="H50" s="24">
        <f>VLOOKUP(B50,[1]!Table3[[Part Number]:[Annual]],5,0)</f>
        <v>60.71</v>
      </c>
      <c r="I50" s="25">
        <f t="shared" si="1"/>
        <v>0</v>
      </c>
    </row>
    <row r="51" spans="2:9" x14ac:dyDescent="0.25">
      <c r="B51" s="58" t="s">
        <v>78</v>
      </c>
      <c r="C51" s="54" t="str">
        <f>VLOOKUP(B51,[1]!Table3[[Part Number]:[Annual]],2,0)</f>
        <v xml:space="preserve">JD 470GLC (1FF) HITACHI 470GLC (HCM)          </v>
      </c>
      <c r="D51" s="54" t="str">
        <f>VLOOKUP(B51,[1]!Table3[[Part Number]:[Annual]],3,0)</f>
        <v>HYDRAULIC FILTER</v>
      </c>
      <c r="E51" s="54">
        <f>VLOOKUP(B51,[1]!Table3[[Part Number]:[Annual]],9,0)</f>
        <v>2</v>
      </c>
      <c r="F51" s="63">
        <f>VLOOKUP(B51,[1]!Table3[[Part Number]:[Annual]],4,0)</f>
        <v>49.252199999999995</v>
      </c>
      <c r="G51" s="24">
        <f t="shared" si="2"/>
        <v>98.50439999999999</v>
      </c>
      <c r="H51" s="24">
        <f>VLOOKUP(B51,[1]!Table3[[Part Number]:[Annual]],5,0)</f>
        <v>24.63</v>
      </c>
      <c r="I51" s="25">
        <f t="shared" si="1"/>
        <v>49.26</v>
      </c>
    </row>
    <row r="52" spans="2:9" x14ac:dyDescent="0.25">
      <c r="B52" s="58" t="s">
        <v>86</v>
      </c>
      <c r="C52" s="54" t="str">
        <f>VLOOKUP(B52,[1]!Table3[[Part Number]:[Annual]],2,0)</f>
        <v xml:space="preserve">JD 470GLC (1FF) HITACHI 470GLC (HCM)          </v>
      </c>
      <c r="D52" s="54" t="str">
        <f>VLOOKUP(B52,[1]!Table3[[Part Number]:[Annual]],3,0)</f>
        <v>FUEL FILTER</v>
      </c>
      <c r="E52" s="54">
        <f>VLOOKUP(B52,[1]!Table3[[Part Number]:[Annual]],9,0)</f>
        <v>4</v>
      </c>
      <c r="F52" s="63">
        <f>VLOOKUP(B52,[1]!Table3[[Part Number]:[Annual]],4,0)</f>
        <v>39.964799999999997</v>
      </c>
      <c r="G52" s="24">
        <f t="shared" si="2"/>
        <v>159.85919999999999</v>
      </c>
      <c r="H52" s="24">
        <f>VLOOKUP(B52,[1]!Table3[[Part Number]:[Annual]],5,0)</f>
        <v>19.98</v>
      </c>
      <c r="I52" s="25">
        <f t="shared" si="1"/>
        <v>79.92</v>
      </c>
    </row>
    <row r="53" spans="2:9" x14ac:dyDescent="0.25">
      <c r="B53" s="58" t="s">
        <v>71</v>
      </c>
      <c r="C53" s="54" t="str">
        <f>VLOOKUP(B53,[1]!Table3[[Part Number]:[Annual]],2,0)</f>
        <v xml:space="preserve">JD 470GLC (1FF) HITACHI 470GLC (HCM)          </v>
      </c>
      <c r="D53" s="54" t="str">
        <f>VLOOKUP(B53,[1]!Table3[[Part Number]:[Annual]],3,0)</f>
        <v>CAB AIR FILTER</v>
      </c>
      <c r="E53" s="54">
        <f>VLOOKUP(B53,[1]!Table3[[Part Number]:[Annual]],9,0)</f>
        <v>0</v>
      </c>
      <c r="F53" s="63">
        <f>VLOOKUP(B53,[1]!Table3[[Part Number]:[Annual]],4,0)</f>
        <v>57.228599999999993</v>
      </c>
      <c r="G53" s="24">
        <f t="shared" si="2"/>
        <v>0</v>
      </c>
      <c r="H53" s="24">
        <f>VLOOKUP(B53,[1]!Table3[[Part Number]:[Annual]],5,0)</f>
        <v>37.200000000000003</v>
      </c>
      <c r="I53" s="25">
        <f t="shared" si="1"/>
        <v>0</v>
      </c>
    </row>
    <row r="54" spans="2:9" x14ac:dyDescent="0.25">
      <c r="B54" s="54" t="s">
        <v>110</v>
      </c>
      <c r="C54" s="54" t="str">
        <f>VLOOKUP(B54,[1]!Table3[[Part Number]:[Annual]],2,0)</f>
        <v xml:space="preserve">HITACHI ZX290LC-5 (1FF) HITACHI ZX290LC-5 (1FF) (2) HITACHI ZX290LC-5 (1FF) (3)        </v>
      </c>
      <c r="D54" s="54" t="str">
        <f>VLOOKUP(B54,[1]!Table3[[Part Number]:[Annual]],3,0)</f>
        <v>ENGINE OIL FILTER</v>
      </c>
      <c r="E54" s="54">
        <f>VLOOKUP(B54,[1]!Table3[[Part Number]:[Annual]],9,0)</f>
        <v>3</v>
      </c>
      <c r="F54" s="63">
        <f>VLOOKUP(B54,[1]!Table3[[Part Number]:[Annual]],4,0)</f>
        <v>27.544799999999999</v>
      </c>
      <c r="G54" s="24">
        <f t="shared" si="2"/>
        <v>82.634399999999999</v>
      </c>
      <c r="H54" s="24">
        <f>VLOOKUP(B54,[1]!Table3[[Part Number]:[Annual]],5,0)</f>
        <v>13.77</v>
      </c>
      <c r="I54" s="25">
        <f t="shared" si="1"/>
        <v>41.31</v>
      </c>
    </row>
    <row r="55" spans="2:9" x14ac:dyDescent="0.25">
      <c r="B55" s="54" t="s">
        <v>87</v>
      </c>
      <c r="C55" s="54" t="str">
        <f>VLOOKUP(B55,[1]!Table3[[Part Number]:[Annual]],2,0)</f>
        <v xml:space="preserve">HITACHI ZX290LC-5 (1FF) HITACHI ZX290LC-5 (1FF) (2) HITACHI ZX290LC-5 (1FF) (3)        </v>
      </c>
      <c r="D55" s="54" t="str">
        <f>VLOOKUP(B55,[1]!Table3[[Part Number]:[Annual]],3,0)</f>
        <v>FUEL FILTER</v>
      </c>
      <c r="E55" s="54">
        <f>VLOOKUP(B55,[1]!Table3[[Part Number]:[Annual]],9,0)</f>
        <v>3</v>
      </c>
      <c r="F55" s="63">
        <f>VLOOKUP(B55,[1]!Table3[[Part Number]:[Annual]],4,0)</f>
        <v>47.306399999999996</v>
      </c>
      <c r="G55" s="24">
        <f t="shared" si="2"/>
        <v>141.91919999999999</v>
      </c>
      <c r="H55" s="24">
        <f>VLOOKUP(B55,[1]!Table3[[Part Number]:[Annual]],5,0)</f>
        <v>23.65</v>
      </c>
      <c r="I55" s="25">
        <f t="shared" si="1"/>
        <v>70.95</v>
      </c>
    </row>
    <row r="56" spans="2:9" x14ac:dyDescent="0.25">
      <c r="B56" s="54" t="s">
        <v>88</v>
      </c>
      <c r="C56" s="54" t="str">
        <f>VLOOKUP(B56,[1]!Table3[[Part Number]:[Annual]],2,0)</f>
        <v xml:space="preserve">HITACHI ZX290LC-5 (1FF) HITACHI ZX290LC-5 (1FF) (2) HITACHI ZX290LC-5 (1FF) (3)        </v>
      </c>
      <c r="D56" s="54" t="str">
        <f>VLOOKUP(B56,[1]!Table3[[Part Number]:[Annual]],3,0)</f>
        <v>FUEL FILTER</v>
      </c>
      <c r="E56" s="54">
        <f>VLOOKUP(B56,[1]!Table3[[Part Number]:[Annual]],9,0)</f>
        <v>3</v>
      </c>
      <c r="F56" s="63">
        <f>VLOOKUP(B56,[1]!Table3[[Part Number]:[Annual]],4,0)</f>
        <v>41.110199999999999</v>
      </c>
      <c r="G56" s="24">
        <f t="shared" si="2"/>
        <v>123.3306</v>
      </c>
      <c r="H56" s="24">
        <f>VLOOKUP(B56,[1]!Table3[[Part Number]:[Annual]],5,0)</f>
        <v>20.56</v>
      </c>
      <c r="I56" s="25">
        <f t="shared" si="1"/>
        <v>61.68</v>
      </c>
    </row>
    <row r="57" spans="2:9" x14ac:dyDescent="0.25">
      <c r="B57" s="21" t="s">
        <v>72</v>
      </c>
      <c r="C57" s="54" t="str">
        <f>VLOOKUP(B57,[1]!Table3[[Part Number]:[Annual]],2,0)</f>
        <v xml:space="preserve">HITACHI ZX290LC-5 (1FF) HITACHI ZX290LC-5 (1FF) (2) HITACHI ZX290LC-5 (1FF) (3)        </v>
      </c>
      <c r="D57" s="54" t="str">
        <f>VLOOKUP(B57,[1]!Table3[[Part Number]:[Annual]],3,0)</f>
        <v>PRIMARY AIR FILTER</v>
      </c>
      <c r="E57" s="54">
        <f>VLOOKUP(B57,[1]!Table3[[Part Number]:[Annual]],9,0)</f>
        <v>0</v>
      </c>
      <c r="F57" s="63">
        <f>VLOOKUP(B57,[1]!Table3[[Part Number]:[Annual]],4,0)</f>
        <v>236.93219999999997</v>
      </c>
      <c r="G57" s="24">
        <f t="shared" si="2"/>
        <v>0</v>
      </c>
      <c r="H57" s="24">
        <f>VLOOKUP(B57,[1]!Table3[[Part Number]:[Annual]],5,0)</f>
        <v>154.01</v>
      </c>
      <c r="I57" s="25">
        <f t="shared" si="1"/>
        <v>0</v>
      </c>
    </row>
    <row r="58" spans="2:9" x14ac:dyDescent="0.25">
      <c r="B58" s="21" t="s">
        <v>73</v>
      </c>
      <c r="C58" s="54" t="str">
        <f>VLOOKUP(B58,[1]!Table3[[Part Number]:[Annual]],2,0)</f>
        <v xml:space="preserve">JD 470GLC (1FF) HITACHI 470GLC (HCM)          </v>
      </c>
      <c r="D58" s="54" t="str">
        <f>VLOOKUP(B58,[1]!Table3[[Part Number]:[Annual]],3,0)</f>
        <v>SECONDARY AIR FILTER</v>
      </c>
      <c r="E58" s="54">
        <f>VLOOKUP(B58,[1]!Table3[[Part Number]:[Annual]],9,0)</f>
        <v>0</v>
      </c>
      <c r="F58" s="63">
        <f>VLOOKUP(B58,[1]!Table3[[Part Number]:[Annual]],4,0)</f>
        <v>119.32859999999999</v>
      </c>
      <c r="G58" s="24">
        <f t="shared" si="2"/>
        <v>0</v>
      </c>
      <c r="H58" s="24">
        <f>VLOOKUP(B58,[1]!Table3[[Part Number]:[Annual]],5,0)</f>
        <v>77.56</v>
      </c>
      <c r="I58" s="25">
        <f t="shared" si="1"/>
        <v>0</v>
      </c>
    </row>
    <row r="59" spans="2:9" x14ac:dyDescent="0.25">
      <c r="B59" s="21"/>
      <c r="C59" s="52"/>
      <c r="D59" s="21"/>
      <c r="E59" s="51"/>
      <c r="F59" s="23"/>
      <c r="G59" s="24"/>
      <c r="H59" s="24"/>
      <c r="I59" s="25">
        <f t="shared" si="1"/>
        <v>0</v>
      </c>
    </row>
    <row r="60" spans="2:9" x14ac:dyDescent="0.25">
      <c r="B60" s="21"/>
      <c r="C60" s="52"/>
      <c r="D60" s="21"/>
      <c r="E60" s="51"/>
      <c r="F60" s="23"/>
      <c r="G60" s="24"/>
      <c r="H60" s="24"/>
      <c r="I60" s="25">
        <f t="shared" si="1"/>
        <v>0</v>
      </c>
    </row>
    <row r="61" spans="2:9" x14ac:dyDescent="0.25">
      <c r="B61" s="21"/>
      <c r="C61" s="52"/>
      <c r="D61" s="21"/>
      <c r="E61" s="51"/>
      <c r="F61" s="23"/>
      <c r="G61" s="24"/>
      <c r="H61" s="24"/>
      <c r="I61" s="25">
        <f t="shared" si="1"/>
        <v>0</v>
      </c>
    </row>
    <row r="62" spans="2:9" x14ac:dyDescent="0.25">
      <c r="B62" s="21"/>
      <c r="C62" s="52"/>
      <c r="D62" s="21"/>
      <c r="E62" s="51"/>
      <c r="F62" s="23"/>
      <c r="G62" s="24"/>
      <c r="H62" s="24"/>
      <c r="I62" s="25">
        <f t="shared" si="1"/>
        <v>0</v>
      </c>
    </row>
    <row r="63" spans="2:9" x14ac:dyDescent="0.25">
      <c r="B63" s="21"/>
      <c r="C63" s="52"/>
      <c r="D63" s="21"/>
      <c r="E63" s="51"/>
      <c r="F63" s="23"/>
      <c r="G63" s="24"/>
      <c r="H63" s="24"/>
      <c r="I63" s="25">
        <f t="shared" si="1"/>
        <v>0</v>
      </c>
    </row>
    <row r="64" spans="2:9" x14ac:dyDescent="0.25">
      <c r="B64" s="21"/>
      <c r="C64" s="52"/>
      <c r="D64" s="21"/>
      <c r="E64" s="51"/>
      <c r="F64" s="23"/>
      <c r="G64" s="24"/>
      <c r="H64" s="24"/>
      <c r="I64" s="25">
        <f t="shared" si="1"/>
        <v>0</v>
      </c>
    </row>
    <row r="65" spans="2:9" x14ac:dyDescent="0.25">
      <c r="B65" s="21"/>
      <c r="C65" s="52"/>
      <c r="D65" s="21"/>
      <c r="E65" s="51"/>
      <c r="F65" s="23"/>
      <c r="G65" s="24"/>
      <c r="H65" s="24"/>
      <c r="I65" s="25">
        <f t="shared" si="1"/>
        <v>0</v>
      </c>
    </row>
    <row r="66" spans="2:9" x14ac:dyDescent="0.25">
      <c r="B66" s="21"/>
      <c r="C66" s="52"/>
      <c r="D66" s="21"/>
      <c r="E66" s="51"/>
      <c r="F66" s="23"/>
      <c r="G66" s="24"/>
      <c r="H66" s="24"/>
      <c r="I66" s="25">
        <f t="shared" si="1"/>
        <v>0</v>
      </c>
    </row>
    <row r="67" spans="2:9" x14ac:dyDescent="0.25">
      <c r="B67" s="21"/>
      <c r="C67" s="52"/>
      <c r="D67" s="21"/>
      <c r="E67" s="51"/>
      <c r="F67" s="23"/>
      <c r="G67" s="24"/>
      <c r="H67" s="24"/>
      <c r="I67" s="25">
        <f t="shared" si="1"/>
        <v>0</v>
      </c>
    </row>
    <row r="68" spans="2:9" x14ac:dyDescent="0.25">
      <c r="B68" s="21"/>
      <c r="C68" s="52"/>
      <c r="D68" s="21"/>
      <c r="E68" s="51"/>
      <c r="F68" s="23"/>
      <c r="G68" s="24"/>
      <c r="H68" s="24"/>
      <c r="I68" s="25">
        <f t="shared" si="1"/>
        <v>0</v>
      </c>
    </row>
    <row r="69" spans="2:9" x14ac:dyDescent="0.25">
      <c r="B69" s="21"/>
      <c r="C69" s="52"/>
      <c r="D69" s="21"/>
      <c r="E69" s="51"/>
      <c r="F69" s="23"/>
      <c r="G69" s="24"/>
      <c r="H69" s="24"/>
      <c r="I69" s="25">
        <f t="shared" si="1"/>
        <v>0</v>
      </c>
    </row>
    <row r="70" spans="2:9" x14ac:dyDescent="0.25">
      <c r="B70" s="21"/>
      <c r="C70" s="52"/>
      <c r="D70" s="21"/>
      <c r="E70" s="51"/>
      <c r="F70" s="23"/>
      <c r="G70" s="24"/>
      <c r="H70" s="24"/>
      <c r="I70" s="25">
        <f t="shared" si="1"/>
        <v>0</v>
      </c>
    </row>
    <row r="71" spans="2:9" x14ac:dyDescent="0.25">
      <c r="B71" s="21"/>
      <c r="C71" s="52"/>
      <c r="D71" s="21"/>
      <c r="E71" s="51"/>
      <c r="F71" s="23"/>
      <c r="G71" s="24"/>
      <c r="H71" s="24"/>
      <c r="I71" s="25">
        <f t="shared" si="1"/>
        <v>0</v>
      </c>
    </row>
    <row r="72" spans="2:9" x14ac:dyDescent="0.25">
      <c r="B72" s="21"/>
      <c r="C72" s="52"/>
      <c r="D72" s="21"/>
      <c r="E72" s="51"/>
      <c r="F72" s="23"/>
      <c r="G72" s="24"/>
      <c r="H72" s="24"/>
      <c r="I72" s="25">
        <f t="shared" si="1"/>
        <v>0</v>
      </c>
    </row>
    <row r="73" spans="2:9" x14ac:dyDescent="0.25">
      <c r="B73" s="21"/>
      <c r="C73" s="52"/>
      <c r="D73" s="21"/>
      <c r="E73" s="51"/>
      <c r="F73" s="23"/>
      <c r="G73" s="24"/>
      <c r="H73" s="24"/>
      <c r="I73" s="25">
        <f t="shared" si="1"/>
        <v>0</v>
      </c>
    </row>
    <row r="74" spans="2:9" x14ac:dyDescent="0.25">
      <c r="B74" s="21"/>
      <c r="C74" s="52"/>
      <c r="D74" s="21"/>
      <c r="E74" s="51"/>
      <c r="F74" s="23"/>
      <c r="G74" s="24"/>
      <c r="H74" s="24"/>
      <c r="I74" s="25">
        <f t="shared" si="1"/>
        <v>0</v>
      </c>
    </row>
    <row r="75" spans="2:9" x14ac:dyDescent="0.25">
      <c r="B75" s="21"/>
      <c r="C75" s="52"/>
      <c r="D75" s="21"/>
      <c r="E75" s="51"/>
      <c r="F75" s="23"/>
      <c r="G75" s="24"/>
      <c r="H75" s="24"/>
      <c r="I75" s="25">
        <f t="shared" si="1"/>
        <v>0</v>
      </c>
    </row>
    <row r="76" spans="2:9" x14ac:dyDescent="0.25">
      <c r="B76" s="21"/>
      <c r="C76" s="52"/>
      <c r="D76" s="21"/>
      <c r="E76" s="51"/>
      <c r="F76" s="23"/>
      <c r="G76" s="24"/>
      <c r="H76" s="24"/>
      <c r="I76" s="25">
        <f t="shared" si="1"/>
        <v>0</v>
      </c>
    </row>
    <row r="77" spans="2:9" x14ac:dyDescent="0.25">
      <c r="B77" s="21"/>
      <c r="C77" s="52"/>
      <c r="D77" s="21"/>
      <c r="E77" s="51"/>
      <c r="F77" s="23"/>
      <c r="G77" s="24"/>
      <c r="H77" s="24"/>
      <c r="I77" s="25">
        <f t="shared" si="1"/>
        <v>0</v>
      </c>
    </row>
    <row r="78" spans="2:9" x14ac:dyDescent="0.25">
      <c r="B78" s="21"/>
      <c r="C78" s="52"/>
      <c r="D78" s="21"/>
      <c r="E78" s="51"/>
      <c r="F78" s="23"/>
      <c r="G78" s="24"/>
      <c r="H78" s="24"/>
      <c r="I78" s="25">
        <f t="shared" si="1"/>
        <v>0</v>
      </c>
    </row>
    <row r="79" spans="2:9" x14ac:dyDescent="0.25">
      <c r="B79" s="21"/>
      <c r="C79" s="52"/>
      <c r="D79" s="21"/>
      <c r="E79" s="51"/>
      <c r="F79" s="23"/>
      <c r="G79" s="24"/>
      <c r="H79" s="24"/>
      <c r="I79" s="25">
        <f t="shared" ref="I79:I142" si="3">ROUND(E79*H79,2)</f>
        <v>0</v>
      </c>
    </row>
    <row r="80" spans="2:9" x14ac:dyDescent="0.25">
      <c r="B80" s="21"/>
      <c r="C80" s="52"/>
      <c r="D80" s="21"/>
      <c r="E80" s="51"/>
      <c r="F80" s="23"/>
      <c r="G80" s="24"/>
      <c r="H80" s="24"/>
      <c r="I80" s="25">
        <f t="shared" si="3"/>
        <v>0</v>
      </c>
    </row>
    <row r="81" spans="2:9" x14ac:dyDescent="0.25">
      <c r="B81" s="21"/>
      <c r="C81" s="52"/>
      <c r="D81" s="21"/>
      <c r="E81" s="51"/>
      <c r="F81" s="23"/>
      <c r="G81" s="24"/>
      <c r="H81" s="24"/>
      <c r="I81" s="25">
        <f t="shared" si="3"/>
        <v>0</v>
      </c>
    </row>
    <row r="82" spans="2:9" x14ac:dyDescent="0.25">
      <c r="B82" s="21"/>
      <c r="C82" s="52"/>
      <c r="D82" s="21"/>
      <c r="E82" s="51"/>
      <c r="F82" s="23"/>
      <c r="G82" s="24"/>
      <c r="H82" s="24"/>
      <c r="I82" s="25">
        <f t="shared" si="3"/>
        <v>0</v>
      </c>
    </row>
    <row r="83" spans="2:9" x14ac:dyDescent="0.25">
      <c r="B83" s="21"/>
      <c r="C83" s="52"/>
      <c r="D83" s="21"/>
      <c r="E83" s="51"/>
      <c r="F83" s="23"/>
      <c r="G83" s="24"/>
      <c r="H83" s="24"/>
      <c r="I83" s="25">
        <f t="shared" si="3"/>
        <v>0</v>
      </c>
    </row>
    <row r="84" spans="2:9" x14ac:dyDescent="0.25">
      <c r="B84" s="21"/>
      <c r="C84" s="52"/>
      <c r="D84" s="21"/>
      <c r="E84" s="51"/>
      <c r="F84" s="23"/>
      <c r="G84" s="24"/>
      <c r="H84" s="24"/>
      <c r="I84" s="25">
        <f t="shared" si="3"/>
        <v>0</v>
      </c>
    </row>
    <row r="85" spans="2:9" x14ac:dyDescent="0.25">
      <c r="B85" s="21"/>
      <c r="C85" s="52"/>
      <c r="D85" s="21"/>
      <c r="E85" s="51"/>
      <c r="F85" s="23"/>
      <c r="G85" s="24"/>
      <c r="H85" s="24"/>
      <c r="I85" s="25">
        <f t="shared" si="3"/>
        <v>0</v>
      </c>
    </row>
    <row r="86" spans="2:9" x14ac:dyDescent="0.25">
      <c r="B86" s="21"/>
      <c r="C86" s="52"/>
      <c r="D86" s="21"/>
      <c r="E86" s="51"/>
      <c r="F86" s="23"/>
      <c r="G86" s="24"/>
      <c r="H86" s="24"/>
      <c r="I86" s="25">
        <f t="shared" si="3"/>
        <v>0</v>
      </c>
    </row>
    <row r="87" spans="2:9" x14ac:dyDescent="0.25">
      <c r="B87" s="21"/>
      <c r="C87" s="52"/>
      <c r="D87" s="21"/>
      <c r="E87" s="51"/>
      <c r="F87" s="23"/>
      <c r="G87" s="24"/>
      <c r="H87" s="24"/>
      <c r="I87" s="25">
        <f t="shared" si="3"/>
        <v>0</v>
      </c>
    </row>
    <row r="88" spans="2:9" x14ac:dyDescent="0.25">
      <c r="B88" s="21"/>
      <c r="C88" s="52"/>
      <c r="D88" s="21"/>
      <c r="E88" s="51"/>
      <c r="F88" s="23"/>
      <c r="G88" s="24"/>
      <c r="H88" s="24"/>
      <c r="I88" s="25">
        <f t="shared" si="3"/>
        <v>0</v>
      </c>
    </row>
    <row r="89" spans="2:9" x14ac:dyDescent="0.25">
      <c r="B89" s="21"/>
      <c r="C89" s="52"/>
      <c r="D89" s="21"/>
      <c r="E89" s="51"/>
      <c r="F89" s="23"/>
      <c r="G89" s="24"/>
      <c r="H89" s="24"/>
      <c r="I89" s="25">
        <f t="shared" si="3"/>
        <v>0</v>
      </c>
    </row>
    <row r="90" spans="2:9" x14ac:dyDescent="0.25">
      <c r="B90" s="21"/>
      <c r="C90" s="52"/>
      <c r="D90" s="21"/>
      <c r="E90" s="51"/>
      <c r="F90" s="23"/>
      <c r="G90" s="24"/>
      <c r="H90" s="24"/>
      <c r="I90" s="25">
        <f t="shared" si="3"/>
        <v>0</v>
      </c>
    </row>
    <row r="91" spans="2:9" x14ac:dyDescent="0.25">
      <c r="B91" s="21"/>
      <c r="C91" s="52"/>
      <c r="D91" s="21"/>
      <c r="E91" s="51"/>
      <c r="F91" s="23"/>
      <c r="G91" s="24"/>
      <c r="H91" s="24"/>
      <c r="I91" s="25">
        <f t="shared" si="3"/>
        <v>0</v>
      </c>
    </row>
    <row r="92" spans="2:9" x14ac:dyDescent="0.25">
      <c r="B92" s="21"/>
      <c r="C92" s="52"/>
      <c r="D92" s="21"/>
      <c r="E92" s="51"/>
      <c r="F92" s="23"/>
      <c r="G92" s="24"/>
      <c r="H92" s="24"/>
      <c r="I92" s="25">
        <f t="shared" si="3"/>
        <v>0</v>
      </c>
    </row>
    <row r="93" spans="2:9" x14ac:dyDescent="0.25">
      <c r="B93" s="21"/>
      <c r="C93" s="52"/>
      <c r="D93" s="21"/>
      <c r="E93" s="51"/>
      <c r="F93" s="23"/>
      <c r="G93" s="24"/>
      <c r="H93" s="24"/>
      <c r="I93" s="25">
        <f t="shared" si="3"/>
        <v>0</v>
      </c>
    </row>
    <row r="94" spans="2:9" x14ac:dyDescent="0.25">
      <c r="B94" s="21"/>
      <c r="C94" s="52"/>
      <c r="D94" s="21"/>
      <c r="E94" s="51"/>
      <c r="F94" s="23"/>
      <c r="G94" s="24"/>
      <c r="H94" s="24"/>
      <c r="I94" s="25">
        <f t="shared" si="3"/>
        <v>0</v>
      </c>
    </row>
    <row r="95" spans="2:9" x14ac:dyDescent="0.25">
      <c r="B95" s="21"/>
      <c r="C95" s="52"/>
      <c r="D95" s="21"/>
      <c r="E95" s="51"/>
      <c r="F95" s="23"/>
      <c r="G95" s="24"/>
      <c r="H95" s="24"/>
      <c r="I95" s="25">
        <f t="shared" si="3"/>
        <v>0</v>
      </c>
    </row>
    <row r="96" spans="2:9" x14ac:dyDescent="0.25">
      <c r="B96" s="21"/>
      <c r="C96" s="52"/>
      <c r="D96" s="21"/>
      <c r="E96" s="51"/>
      <c r="F96" s="23"/>
      <c r="G96" s="24"/>
      <c r="H96" s="24"/>
      <c r="I96" s="25">
        <f t="shared" si="3"/>
        <v>0</v>
      </c>
    </row>
    <row r="97" spans="2:9" x14ac:dyDescent="0.25">
      <c r="B97" s="21"/>
      <c r="C97" s="52"/>
      <c r="D97" s="21"/>
      <c r="E97" s="51"/>
      <c r="F97" s="23"/>
      <c r="G97" s="24"/>
      <c r="H97" s="24"/>
      <c r="I97" s="25">
        <f t="shared" si="3"/>
        <v>0</v>
      </c>
    </row>
    <row r="98" spans="2:9" x14ac:dyDescent="0.25">
      <c r="B98" s="21"/>
      <c r="C98" s="52"/>
      <c r="D98" s="21"/>
      <c r="E98" s="51"/>
      <c r="F98" s="23"/>
      <c r="G98" s="24"/>
      <c r="H98" s="24"/>
      <c r="I98" s="25">
        <f t="shared" si="3"/>
        <v>0</v>
      </c>
    </row>
    <row r="99" spans="2:9" x14ac:dyDescent="0.25">
      <c r="B99" s="21"/>
      <c r="C99" s="52"/>
      <c r="D99" s="21"/>
      <c r="E99" s="51"/>
      <c r="F99" s="23"/>
      <c r="G99" s="24"/>
      <c r="H99" s="24"/>
      <c r="I99" s="25">
        <f t="shared" si="3"/>
        <v>0</v>
      </c>
    </row>
    <row r="100" spans="2:9" x14ac:dyDescent="0.25">
      <c r="B100" s="21"/>
      <c r="C100" s="52"/>
      <c r="D100" s="21"/>
      <c r="E100" s="51"/>
      <c r="F100" s="23"/>
      <c r="G100" s="24"/>
      <c r="H100" s="24"/>
      <c r="I100" s="25">
        <f t="shared" si="3"/>
        <v>0</v>
      </c>
    </row>
    <row r="101" spans="2:9" x14ac:dyDescent="0.25">
      <c r="B101" s="21"/>
      <c r="C101" s="52"/>
      <c r="D101" s="21"/>
      <c r="E101" s="51"/>
      <c r="F101" s="23"/>
      <c r="G101" s="24"/>
      <c r="H101" s="24"/>
      <c r="I101" s="25">
        <f t="shared" si="3"/>
        <v>0</v>
      </c>
    </row>
    <row r="102" spans="2:9" x14ac:dyDescent="0.25">
      <c r="B102" s="21"/>
      <c r="C102" s="52"/>
      <c r="D102" s="21"/>
      <c r="E102" s="51"/>
      <c r="F102" s="23"/>
      <c r="G102" s="24"/>
      <c r="H102" s="24"/>
      <c r="I102" s="25">
        <f t="shared" si="3"/>
        <v>0</v>
      </c>
    </row>
    <row r="103" spans="2:9" x14ac:dyDescent="0.25">
      <c r="B103" s="21"/>
      <c r="C103" s="52"/>
      <c r="D103" s="21"/>
      <c r="E103" s="51"/>
      <c r="F103" s="23"/>
      <c r="G103" s="24"/>
      <c r="H103" s="24"/>
      <c r="I103" s="25">
        <f t="shared" si="3"/>
        <v>0</v>
      </c>
    </row>
    <row r="104" spans="2:9" x14ac:dyDescent="0.25">
      <c r="B104" s="21"/>
      <c r="C104" s="52"/>
      <c r="D104" s="21"/>
      <c r="E104" s="51"/>
      <c r="F104" s="23"/>
      <c r="G104" s="24"/>
      <c r="H104" s="24"/>
      <c r="I104" s="25">
        <f t="shared" si="3"/>
        <v>0</v>
      </c>
    </row>
    <row r="105" spans="2:9" x14ac:dyDescent="0.25">
      <c r="B105" s="21"/>
      <c r="C105" s="52"/>
      <c r="D105" s="21"/>
      <c r="E105" s="51"/>
      <c r="F105" s="23"/>
      <c r="G105" s="24"/>
      <c r="H105" s="24"/>
      <c r="I105" s="25">
        <f t="shared" si="3"/>
        <v>0</v>
      </c>
    </row>
    <row r="106" spans="2:9" x14ac:dyDescent="0.25">
      <c r="B106" s="21"/>
      <c r="C106" s="52"/>
      <c r="D106" s="21"/>
      <c r="E106" s="51"/>
      <c r="F106" s="23"/>
      <c r="G106" s="24"/>
      <c r="H106" s="24"/>
      <c r="I106" s="25">
        <f t="shared" si="3"/>
        <v>0</v>
      </c>
    </row>
    <row r="107" spans="2:9" x14ac:dyDescent="0.25">
      <c r="B107" s="21"/>
      <c r="C107" s="52"/>
      <c r="D107" s="21"/>
      <c r="E107" s="51"/>
      <c r="F107" s="23"/>
      <c r="G107" s="24"/>
      <c r="H107" s="24"/>
      <c r="I107" s="25">
        <f t="shared" si="3"/>
        <v>0</v>
      </c>
    </row>
    <row r="108" spans="2:9" x14ac:dyDescent="0.25">
      <c r="B108" s="21"/>
      <c r="C108" s="52"/>
      <c r="D108" s="21"/>
      <c r="E108" s="51"/>
      <c r="F108" s="23"/>
      <c r="G108" s="24"/>
      <c r="H108" s="24"/>
      <c r="I108" s="25">
        <f t="shared" si="3"/>
        <v>0</v>
      </c>
    </row>
    <row r="109" spans="2:9" x14ac:dyDescent="0.25">
      <c r="B109" s="21"/>
      <c r="C109" s="52"/>
      <c r="D109" s="21"/>
      <c r="E109" s="51"/>
      <c r="F109" s="23"/>
      <c r="G109" s="24"/>
      <c r="H109" s="24"/>
      <c r="I109" s="25">
        <f t="shared" si="3"/>
        <v>0</v>
      </c>
    </row>
    <row r="110" spans="2:9" x14ac:dyDescent="0.25">
      <c r="B110" s="21"/>
      <c r="C110" s="52"/>
      <c r="D110" s="21"/>
      <c r="E110" s="51"/>
      <c r="F110" s="23"/>
      <c r="G110" s="24"/>
      <c r="H110" s="24"/>
      <c r="I110" s="25">
        <f t="shared" si="3"/>
        <v>0</v>
      </c>
    </row>
    <row r="111" spans="2:9" x14ac:dyDescent="0.25">
      <c r="B111" s="21"/>
      <c r="C111" s="52"/>
      <c r="D111" s="21"/>
      <c r="E111" s="51"/>
      <c r="F111" s="23"/>
      <c r="G111" s="24"/>
      <c r="H111" s="24"/>
      <c r="I111" s="25">
        <f t="shared" si="3"/>
        <v>0</v>
      </c>
    </row>
    <row r="112" spans="2:9" x14ac:dyDescent="0.25">
      <c r="B112" s="21"/>
      <c r="C112" s="52"/>
      <c r="D112" s="21"/>
      <c r="E112" s="51"/>
      <c r="F112" s="23"/>
      <c r="G112" s="24"/>
      <c r="H112" s="24"/>
      <c r="I112" s="25">
        <f t="shared" si="3"/>
        <v>0</v>
      </c>
    </row>
    <row r="113" spans="2:9" x14ac:dyDescent="0.25">
      <c r="B113" s="21"/>
      <c r="C113" s="52"/>
      <c r="D113" s="21"/>
      <c r="E113" s="51"/>
      <c r="F113" s="23"/>
      <c r="G113" s="24"/>
      <c r="H113" s="24"/>
      <c r="I113" s="25">
        <f t="shared" si="3"/>
        <v>0</v>
      </c>
    </row>
    <row r="114" spans="2:9" x14ac:dyDescent="0.25">
      <c r="B114" s="21"/>
      <c r="C114" s="52"/>
      <c r="D114" s="21"/>
      <c r="E114" s="51"/>
      <c r="F114" s="23"/>
      <c r="G114" s="24"/>
      <c r="H114" s="24"/>
      <c r="I114" s="25">
        <f t="shared" si="3"/>
        <v>0</v>
      </c>
    </row>
    <row r="115" spans="2:9" x14ac:dyDescent="0.25">
      <c r="B115" s="21"/>
      <c r="C115" s="52"/>
      <c r="D115" s="21"/>
      <c r="E115" s="51"/>
      <c r="F115" s="23"/>
      <c r="G115" s="24"/>
      <c r="H115" s="24"/>
      <c r="I115" s="25">
        <f t="shared" si="3"/>
        <v>0</v>
      </c>
    </row>
    <row r="116" spans="2:9" x14ac:dyDescent="0.25">
      <c r="B116" s="21"/>
      <c r="C116" s="52"/>
      <c r="D116" s="21"/>
      <c r="E116" s="51"/>
      <c r="F116" s="23"/>
      <c r="G116" s="24"/>
      <c r="H116" s="24"/>
      <c r="I116" s="25">
        <f t="shared" si="3"/>
        <v>0</v>
      </c>
    </row>
    <row r="117" spans="2:9" x14ac:dyDescent="0.25">
      <c r="B117" s="21"/>
      <c r="C117" s="52"/>
      <c r="D117" s="21"/>
      <c r="E117" s="51"/>
      <c r="F117" s="23"/>
      <c r="G117" s="24"/>
      <c r="H117" s="24"/>
      <c r="I117" s="25">
        <f t="shared" si="3"/>
        <v>0</v>
      </c>
    </row>
    <row r="118" spans="2:9" x14ac:dyDescent="0.25">
      <c r="B118" s="21"/>
      <c r="C118" s="52"/>
      <c r="D118" s="21"/>
      <c r="E118" s="51"/>
      <c r="F118" s="23"/>
      <c r="G118" s="24"/>
      <c r="H118" s="24"/>
      <c r="I118" s="25">
        <f t="shared" si="3"/>
        <v>0</v>
      </c>
    </row>
    <row r="119" spans="2:9" x14ac:dyDescent="0.25">
      <c r="B119" s="21"/>
      <c r="C119" s="52"/>
      <c r="D119" s="21"/>
      <c r="E119" s="51"/>
      <c r="F119" s="23"/>
      <c r="G119" s="24"/>
      <c r="H119" s="24"/>
      <c r="I119" s="25">
        <f t="shared" si="3"/>
        <v>0</v>
      </c>
    </row>
    <row r="120" spans="2:9" x14ac:dyDescent="0.25">
      <c r="B120" s="21"/>
      <c r="C120" s="52"/>
      <c r="D120" s="21"/>
      <c r="E120" s="51"/>
      <c r="F120" s="23"/>
      <c r="G120" s="24"/>
      <c r="H120" s="24"/>
      <c r="I120" s="25">
        <f t="shared" si="3"/>
        <v>0</v>
      </c>
    </row>
    <row r="121" spans="2:9" x14ac:dyDescent="0.25">
      <c r="B121" s="21"/>
      <c r="C121" s="52"/>
      <c r="D121" s="21"/>
      <c r="E121" s="51"/>
      <c r="F121" s="23"/>
      <c r="G121" s="24"/>
      <c r="H121" s="24"/>
      <c r="I121" s="25">
        <f t="shared" si="3"/>
        <v>0</v>
      </c>
    </row>
    <row r="122" spans="2:9" x14ac:dyDescent="0.25">
      <c r="B122" s="21"/>
      <c r="C122" s="52"/>
      <c r="D122" s="21"/>
      <c r="E122" s="51"/>
      <c r="F122" s="23"/>
      <c r="G122" s="24"/>
      <c r="H122" s="24"/>
      <c r="I122" s="25">
        <f t="shared" si="3"/>
        <v>0</v>
      </c>
    </row>
    <row r="123" spans="2:9" x14ac:dyDescent="0.25">
      <c r="B123" s="21"/>
      <c r="C123" s="52"/>
      <c r="D123" s="21"/>
      <c r="E123" s="51"/>
      <c r="F123" s="23"/>
      <c r="G123" s="24"/>
      <c r="H123" s="24"/>
      <c r="I123" s="25">
        <f t="shared" si="3"/>
        <v>0</v>
      </c>
    </row>
    <row r="124" spans="2:9" x14ac:dyDescent="0.25">
      <c r="B124" s="21"/>
      <c r="C124" s="52"/>
      <c r="D124" s="21"/>
      <c r="E124" s="51"/>
      <c r="F124" s="23"/>
      <c r="G124" s="24"/>
      <c r="H124" s="24"/>
      <c r="I124" s="25">
        <f t="shared" si="3"/>
        <v>0</v>
      </c>
    </row>
    <row r="125" spans="2:9" x14ac:dyDescent="0.25">
      <c r="B125" s="21"/>
      <c r="C125" s="52"/>
      <c r="D125" s="21"/>
      <c r="E125" s="51"/>
      <c r="F125" s="23"/>
      <c r="G125" s="24"/>
      <c r="H125" s="24"/>
      <c r="I125" s="25">
        <f t="shared" si="3"/>
        <v>0</v>
      </c>
    </row>
    <row r="126" spans="2:9" x14ac:dyDescent="0.25">
      <c r="B126" s="21"/>
      <c r="C126" s="52"/>
      <c r="D126" s="21"/>
      <c r="E126" s="51"/>
      <c r="F126" s="23"/>
      <c r="G126" s="24"/>
      <c r="H126" s="24"/>
      <c r="I126" s="25">
        <f t="shared" si="3"/>
        <v>0</v>
      </c>
    </row>
    <row r="127" spans="2:9" x14ac:dyDescent="0.25">
      <c r="B127" s="21"/>
      <c r="C127" s="52"/>
      <c r="D127" s="21"/>
      <c r="E127" s="51"/>
      <c r="F127" s="23"/>
      <c r="G127" s="24"/>
      <c r="H127" s="24"/>
      <c r="I127" s="25">
        <f t="shared" si="3"/>
        <v>0</v>
      </c>
    </row>
    <row r="128" spans="2:9" x14ac:dyDescent="0.25">
      <c r="B128" s="21"/>
      <c r="C128" s="52"/>
      <c r="D128" s="21"/>
      <c r="E128" s="51"/>
      <c r="F128" s="23"/>
      <c r="G128" s="24"/>
      <c r="H128" s="24"/>
      <c r="I128" s="25">
        <f t="shared" si="3"/>
        <v>0</v>
      </c>
    </row>
    <row r="129" spans="2:9" x14ac:dyDescent="0.25">
      <c r="B129" s="21"/>
      <c r="C129" s="52"/>
      <c r="D129" s="21"/>
      <c r="E129" s="51"/>
      <c r="F129" s="23"/>
      <c r="G129" s="24"/>
      <c r="H129" s="24"/>
      <c r="I129" s="25">
        <f t="shared" si="3"/>
        <v>0</v>
      </c>
    </row>
    <row r="130" spans="2:9" x14ac:dyDescent="0.25">
      <c r="B130" s="21"/>
      <c r="C130" s="52"/>
      <c r="D130" s="21"/>
      <c r="E130" s="51"/>
      <c r="F130" s="23"/>
      <c r="G130" s="24"/>
      <c r="H130" s="24"/>
      <c r="I130" s="25">
        <f t="shared" si="3"/>
        <v>0</v>
      </c>
    </row>
    <row r="131" spans="2:9" x14ac:dyDescent="0.25">
      <c r="B131" s="21"/>
      <c r="C131" s="52"/>
      <c r="D131" s="21"/>
      <c r="E131" s="51"/>
      <c r="F131" s="23"/>
      <c r="G131" s="24"/>
      <c r="H131" s="24"/>
      <c r="I131" s="25">
        <f t="shared" si="3"/>
        <v>0</v>
      </c>
    </row>
    <row r="132" spans="2:9" x14ac:dyDescent="0.25">
      <c r="B132" s="21"/>
      <c r="C132" s="52"/>
      <c r="D132" s="21"/>
      <c r="E132" s="51"/>
      <c r="F132" s="23"/>
      <c r="G132" s="24"/>
      <c r="H132" s="24"/>
      <c r="I132" s="25">
        <f t="shared" si="3"/>
        <v>0</v>
      </c>
    </row>
    <row r="133" spans="2:9" x14ac:dyDescent="0.25">
      <c r="B133" s="21"/>
      <c r="C133" s="52"/>
      <c r="D133" s="21"/>
      <c r="E133" s="51"/>
      <c r="F133" s="23"/>
      <c r="G133" s="24"/>
      <c r="H133" s="24"/>
      <c r="I133" s="25">
        <f t="shared" si="3"/>
        <v>0</v>
      </c>
    </row>
    <row r="134" spans="2:9" x14ac:dyDescent="0.25">
      <c r="B134" s="21"/>
      <c r="C134" s="52"/>
      <c r="D134" s="21"/>
      <c r="E134" s="51"/>
      <c r="F134" s="23"/>
      <c r="G134" s="24"/>
      <c r="H134" s="24"/>
      <c r="I134" s="25">
        <f t="shared" si="3"/>
        <v>0</v>
      </c>
    </row>
    <row r="135" spans="2:9" x14ac:dyDescent="0.25">
      <c r="B135" s="21"/>
      <c r="C135" s="52"/>
      <c r="D135" s="21"/>
      <c r="E135" s="51"/>
      <c r="F135" s="23"/>
      <c r="G135" s="24"/>
      <c r="H135" s="24"/>
      <c r="I135" s="25">
        <f t="shared" si="3"/>
        <v>0</v>
      </c>
    </row>
    <row r="136" spans="2:9" x14ac:dyDescent="0.25">
      <c r="B136" s="21"/>
      <c r="C136" s="52"/>
      <c r="D136" s="21"/>
      <c r="E136" s="51"/>
      <c r="F136" s="23"/>
      <c r="G136" s="24"/>
      <c r="H136" s="24"/>
      <c r="I136" s="25">
        <f t="shared" si="3"/>
        <v>0</v>
      </c>
    </row>
    <row r="137" spans="2:9" x14ac:dyDescent="0.25">
      <c r="B137" s="21"/>
      <c r="C137" s="52"/>
      <c r="D137" s="21"/>
      <c r="E137" s="51"/>
      <c r="F137" s="23"/>
      <c r="G137" s="24"/>
      <c r="H137" s="24"/>
      <c r="I137" s="25">
        <f t="shared" si="3"/>
        <v>0</v>
      </c>
    </row>
    <row r="138" spans="2:9" x14ac:dyDescent="0.25">
      <c r="B138" s="21"/>
      <c r="C138" s="52"/>
      <c r="D138" s="21"/>
      <c r="E138" s="51"/>
      <c r="F138" s="23"/>
      <c r="G138" s="24"/>
      <c r="H138" s="24"/>
      <c r="I138" s="25">
        <f t="shared" si="3"/>
        <v>0</v>
      </c>
    </row>
    <row r="139" spans="2:9" x14ac:dyDescent="0.25">
      <c r="B139" s="21"/>
      <c r="C139" s="52"/>
      <c r="D139" s="21"/>
      <c r="E139" s="51"/>
      <c r="F139" s="23"/>
      <c r="G139" s="24"/>
      <c r="H139" s="24"/>
      <c r="I139" s="25">
        <f t="shared" si="3"/>
        <v>0</v>
      </c>
    </row>
    <row r="140" spans="2:9" x14ac:dyDescent="0.25">
      <c r="B140" s="21"/>
      <c r="C140" s="52"/>
      <c r="D140" s="21"/>
      <c r="E140" s="51"/>
      <c r="F140" s="23"/>
      <c r="G140" s="24"/>
      <c r="H140" s="24"/>
      <c r="I140" s="25">
        <f t="shared" si="3"/>
        <v>0</v>
      </c>
    </row>
    <row r="141" spans="2:9" x14ac:dyDescent="0.25">
      <c r="B141" s="21"/>
      <c r="C141" s="52"/>
      <c r="D141" s="21"/>
      <c r="E141" s="51"/>
      <c r="F141" s="23"/>
      <c r="G141" s="24"/>
      <c r="H141" s="24"/>
      <c r="I141" s="25">
        <f t="shared" si="3"/>
        <v>0</v>
      </c>
    </row>
    <row r="142" spans="2:9" x14ac:dyDescent="0.25">
      <c r="B142" s="21"/>
      <c r="C142" s="52"/>
      <c r="D142" s="21"/>
      <c r="E142" s="51"/>
      <c r="F142" s="23"/>
      <c r="G142" s="24"/>
      <c r="H142" s="24"/>
      <c r="I142" s="25">
        <f t="shared" si="3"/>
        <v>0</v>
      </c>
    </row>
    <row r="143" spans="2:9" x14ac:dyDescent="0.25">
      <c r="B143" s="21"/>
      <c r="C143" s="52"/>
      <c r="D143" s="21"/>
      <c r="E143" s="51"/>
      <c r="F143" s="23"/>
      <c r="G143" s="24"/>
      <c r="H143" s="24"/>
      <c r="I143" s="25">
        <f t="shared" ref="I143:I164" si="4">ROUND(E143*H143,2)</f>
        <v>0</v>
      </c>
    </row>
    <row r="144" spans="2:9" x14ac:dyDescent="0.25">
      <c r="B144" s="21"/>
      <c r="C144" s="52"/>
      <c r="D144" s="21"/>
      <c r="E144" s="51"/>
      <c r="F144" s="23"/>
      <c r="G144" s="24"/>
      <c r="H144" s="24"/>
      <c r="I144" s="25">
        <f t="shared" si="4"/>
        <v>0</v>
      </c>
    </row>
    <row r="145" spans="2:9" x14ac:dyDescent="0.25">
      <c r="B145" s="21"/>
      <c r="C145" s="52"/>
      <c r="D145" s="21"/>
      <c r="E145" s="51"/>
      <c r="F145" s="23"/>
      <c r="G145" s="24"/>
      <c r="H145" s="24"/>
      <c r="I145" s="25">
        <f t="shared" si="4"/>
        <v>0</v>
      </c>
    </row>
    <row r="146" spans="2:9" x14ac:dyDescent="0.25">
      <c r="B146" s="21"/>
      <c r="C146" s="52"/>
      <c r="D146" s="21"/>
      <c r="E146" s="51"/>
      <c r="F146" s="23"/>
      <c r="G146" s="24"/>
      <c r="H146" s="24"/>
      <c r="I146" s="25">
        <f t="shared" si="4"/>
        <v>0</v>
      </c>
    </row>
    <row r="147" spans="2:9" x14ac:dyDescent="0.25">
      <c r="B147" s="21"/>
      <c r="C147" s="52"/>
      <c r="D147" s="21"/>
      <c r="E147" s="51"/>
      <c r="F147" s="23"/>
      <c r="G147" s="24"/>
      <c r="H147" s="24"/>
      <c r="I147" s="25">
        <f t="shared" si="4"/>
        <v>0</v>
      </c>
    </row>
    <row r="148" spans="2:9" x14ac:dyDescent="0.25">
      <c r="B148" s="21"/>
      <c r="C148" s="52"/>
      <c r="D148" s="21"/>
      <c r="E148" s="51"/>
      <c r="F148" s="23"/>
      <c r="G148" s="24"/>
      <c r="H148" s="24"/>
      <c r="I148" s="25">
        <f t="shared" si="4"/>
        <v>0</v>
      </c>
    </row>
    <row r="149" spans="2:9" x14ac:dyDescent="0.25">
      <c r="B149" s="21"/>
      <c r="C149" s="52"/>
      <c r="D149" s="21"/>
      <c r="E149" s="51"/>
      <c r="F149" s="23"/>
      <c r="G149" s="24"/>
      <c r="H149" s="24"/>
      <c r="I149" s="25">
        <f t="shared" si="4"/>
        <v>0</v>
      </c>
    </row>
    <row r="150" spans="2:9" x14ac:dyDescent="0.25">
      <c r="B150" s="21"/>
      <c r="C150" s="52"/>
      <c r="D150" s="21"/>
      <c r="E150" s="51"/>
      <c r="F150" s="23"/>
      <c r="G150" s="24"/>
      <c r="H150" s="24"/>
      <c r="I150" s="25">
        <f t="shared" si="4"/>
        <v>0</v>
      </c>
    </row>
    <row r="151" spans="2:9" x14ac:dyDescent="0.25">
      <c r="B151" s="21"/>
      <c r="C151" s="52"/>
      <c r="D151" s="21"/>
      <c r="E151" s="51"/>
      <c r="F151" s="23"/>
      <c r="G151" s="24"/>
      <c r="H151" s="24"/>
      <c r="I151" s="25">
        <f t="shared" si="4"/>
        <v>0</v>
      </c>
    </row>
    <row r="152" spans="2:9" x14ac:dyDescent="0.25">
      <c r="B152" s="21"/>
      <c r="C152" s="52"/>
      <c r="D152" s="21"/>
      <c r="E152" s="51"/>
      <c r="F152" s="23"/>
      <c r="G152" s="24"/>
      <c r="H152" s="24"/>
      <c r="I152" s="25">
        <f t="shared" si="4"/>
        <v>0</v>
      </c>
    </row>
    <row r="153" spans="2:9" x14ac:dyDescent="0.25">
      <c r="B153" s="21"/>
      <c r="C153" s="52"/>
      <c r="D153" s="21"/>
      <c r="E153" s="51"/>
      <c r="F153" s="23"/>
      <c r="G153" s="24"/>
      <c r="H153" s="24"/>
      <c r="I153" s="25">
        <f t="shared" si="4"/>
        <v>0</v>
      </c>
    </row>
    <row r="154" spans="2:9" x14ac:dyDescent="0.25">
      <c r="B154" s="21"/>
      <c r="C154" s="52"/>
      <c r="D154" s="21"/>
      <c r="E154" s="51"/>
      <c r="F154" s="23"/>
      <c r="G154" s="24"/>
      <c r="H154" s="24"/>
      <c r="I154" s="25">
        <f t="shared" si="4"/>
        <v>0</v>
      </c>
    </row>
    <row r="155" spans="2:9" x14ac:dyDescent="0.25">
      <c r="B155" s="21"/>
      <c r="C155" s="52"/>
      <c r="D155" s="21"/>
      <c r="E155" s="51"/>
      <c r="F155" s="23"/>
      <c r="G155" s="24"/>
      <c r="H155" s="24"/>
      <c r="I155" s="25">
        <f t="shared" si="4"/>
        <v>0</v>
      </c>
    </row>
    <row r="156" spans="2:9" x14ac:dyDescent="0.25">
      <c r="B156" s="21"/>
      <c r="C156" s="52"/>
      <c r="D156" s="21"/>
      <c r="E156" s="51"/>
      <c r="F156" s="23"/>
      <c r="G156" s="24"/>
      <c r="H156" s="24"/>
      <c r="I156" s="25">
        <f t="shared" si="4"/>
        <v>0</v>
      </c>
    </row>
    <row r="157" spans="2:9" x14ac:dyDescent="0.25">
      <c r="B157" s="21"/>
      <c r="C157" s="52"/>
      <c r="D157" s="21"/>
      <c r="E157" s="51"/>
      <c r="F157" s="23"/>
      <c r="G157" s="24"/>
      <c r="H157" s="24"/>
      <c r="I157" s="25">
        <f t="shared" si="4"/>
        <v>0</v>
      </c>
    </row>
    <row r="158" spans="2:9" x14ac:dyDescent="0.25">
      <c r="B158" s="21"/>
      <c r="C158" s="52"/>
      <c r="D158" s="21"/>
      <c r="E158" s="51"/>
      <c r="F158" s="23"/>
      <c r="G158" s="24"/>
      <c r="H158" s="24"/>
      <c r="I158" s="25">
        <f t="shared" si="4"/>
        <v>0</v>
      </c>
    </row>
    <row r="159" spans="2:9" x14ac:dyDescent="0.25">
      <c r="B159" s="21"/>
      <c r="C159" s="52"/>
      <c r="D159" s="21"/>
      <c r="E159" s="51"/>
      <c r="F159" s="23"/>
      <c r="G159" s="24"/>
      <c r="H159" s="24"/>
      <c r="I159" s="25">
        <f t="shared" si="4"/>
        <v>0</v>
      </c>
    </row>
    <row r="160" spans="2:9" x14ac:dyDescent="0.25">
      <c r="B160" s="21"/>
      <c r="C160" s="52"/>
      <c r="D160" s="21"/>
      <c r="E160" s="51"/>
      <c r="F160" s="23"/>
      <c r="G160" s="24"/>
      <c r="H160" s="24"/>
      <c r="I160" s="25">
        <f t="shared" si="4"/>
        <v>0</v>
      </c>
    </row>
    <row r="161" spans="2:9" x14ac:dyDescent="0.25">
      <c r="B161" s="21"/>
      <c r="C161" s="52"/>
      <c r="D161" s="21"/>
      <c r="E161" s="51"/>
      <c r="F161" s="23"/>
      <c r="G161" s="24"/>
      <c r="H161" s="24"/>
      <c r="I161" s="25">
        <f t="shared" si="4"/>
        <v>0</v>
      </c>
    </row>
    <row r="162" spans="2:9" x14ac:dyDescent="0.25">
      <c r="B162" s="21"/>
      <c r="C162" s="52"/>
      <c r="D162" s="21"/>
      <c r="E162" s="51"/>
      <c r="F162" s="23"/>
      <c r="G162" s="24"/>
      <c r="H162" s="24"/>
      <c r="I162" s="25">
        <f t="shared" si="4"/>
        <v>0</v>
      </c>
    </row>
    <row r="163" spans="2:9" x14ac:dyDescent="0.25">
      <c r="B163" s="21"/>
      <c r="C163" s="52"/>
      <c r="D163" s="21"/>
      <c r="E163" s="51"/>
      <c r="F163" s="23"/>
      <c r="G163" s="24"/>
      <c r="H163" s="24"/>
      <c r="I163" s="25">
        <f t="shared" si="4"/>
        <v>0</v>
      </c>
    </row>
    <row r="164" spans="2:9" x14ac:dyDescent="0.25">
      <c r="B164" s="21"/>
      <c r="C164" s="52"/>
      <c r="D164" s="21"/>
      <c r="E164" s="51"/>
      <c r="F164" s="23"/>
      <c r="G164" s="24"/>
      <c r="H164" s="24"/>
      <c r="I164" s="25">
        <f t="shared" si="4"/>
        <v>0</v>
      </c>
    </row>
    <row r="165" spans="2:9" x14ac:dyDescent="0.25">
      <c r="B165" s="75"/>
      <c r="C165" s="76"/>
      <c r="D165" s="76"/>
      <c r="E165" s="76"/>
      <c r="F165" s="77"/>
      <c r="G165" s="26"/>
      <c r="H165" s="27" t="s">
        <v>16</v>
      </c>
      <c r="I165" s="28">
        <f>SUM(I15:I164)</f>
        <v>11672.92</v>
      </c>
    </row>
    <row r="166" spans="2:9" x14ac:dyDescent="0.25">
      <c r="B166" s="29"/>
      <c r="C166" s="30"/>
      <c r="D166" s="31" t="s">
        <v>17</v>
      </c>
      <c r="E166" s="78">
        <f>SUM(G15:G164)</f>
        <v>20404.0566</v>
      </c>
      <c r="F166" s="79"/>
      <c r="G166" s="32"/>
      <c r="H166" s="27" t="s">
        <v>18</v>
      </c>
      <c r="I166" s="33">
        <v>0</v>
      </c>
    </row>
    <row r="167" spans="2:9" x14ac:dyDescent="0.25">
      <c r="B167" s="29"/>
      <c r="C167" s="30"/>
      <c r="D167" s="31" t="s">
        <v>19</v>
      </c>
      <c r="E167" s="78">
        <f>SUM(I15:I164)</f>
        <v>11672.92</v>
      </c>
      <c r="F167" s="79"/>
      <c r="G167" s="32"/>
      <c r="H167" s="34" t="s">
        <v>20</v>
      </c>
      <c r="I167" s="33">
        <v>0</v>
      </c>
    </row>
    <row r="168" spans="2:9" x14ac:dyDescent="0.25">
      <c r="B168" s="29"/>
      <c r="C168" s="30"/>
      <c r="D168" s="31" t="s">
        <v>21</v>
      </c>
      <c r="E168" s="88">
        <f>E166-E167</f>
        <v>8731.1365999999998</v>
      </c>
      <c r="F168" s="89"/>
      <c r="G168" s="35"/>
      <c r="H168" s="27" t="s">
        <v>22</v>
      </c>
      <c r="I168" s="36">
        <f>SUM(I165:I167)</f>
        <v>11672.92</v>
      </c>
    </row>
    <row r="169" spans="2:9" x14ac:dyDescent="0.25">
      <c r="B169" s="29"/>
      <c r="C169" s="30"/>
      <c r="D169" s="31"/>
      <c r="E169" s="90"/>
      <c r="F169" s="91"/>
      <c r="G169" s="37"/>
      <c r="H169" s="27" t="s">
        <v>23</v>
      </c>
      <c r="I169" s="36">
        <f>I168*0.05</f>
        <v>583.64600000000007</v>
      </c>
    </row>
    <row r="170" spans="2:9" x14ac:dyDescent="0.25">
      <c r="B170" s="29"/>
      <c r="C170" s="30"/>
      <c r="D170" s="38"/>
      <c r="E170" s="38"/>
      <c r="F170" s="39"/>
      <c r="G170" s="39"/>
      <c r="H170" s="27" t="s">
        <v>24</v>
      </c>
      <c r="I170" s="33"/>
    </row>
    <row r="171" spans="2:9" ht="15.75" x14ac:dyDescent="0.25">
      <c r="B171" s="85" t="s">
        <v>25</v>
      </c>
      <c r="C171" s="86"/>
      <c r="D171" s="86"/>
      <c r="E171" s="86"/>
      <c r="F171" s="87"/>
      <c r="G171" s="40"/>
      <c r="H171" s="41" t="s">
        <v>26</v>
      </c>
      <c r="I171" s="42">
        <f>SUM(I168:I170)</f>
        <v>12256.566000000001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4F03-8E0F-4FFA-A4E5-99E3FCF66063}">
  <dimension ref="B1:I171"/>
  <sheetViews>
    <sheetView topLeftCell="A42" workbookViewId="0">
      <selection activeCell="E15" sqref="E15:E58"/>
    </sheetView>
  </sheetViews>
  <sheetFormatPr defaultRowHeight="15" x14ac:dyDescent="0.25"/>
  <cols>
    <col min="1" max="1" width="2.7109375" customWidth="1"/>
    <col min="2" max="2" width="15.42578125" customWidth="1"/>
    <col min="3" max="3" width="45.28515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34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6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4630525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HYDRAULIC FILTER</v>
      </c>
      <c r="E15" s="54">
        <f>VLOOKUP(B15,[1]!Table3[[Part Number]:[Annual]],10,0)</f>
        <v>2</v>
      </c>
      <c r="F15" s="63">
        <f>VLOOKUP(B15,[1]!Table3[[Part Number]:[Annual]],4,0)</f>
        <v>96.144599999999997</v>
      </c>
      <c r="G15" s="24">
        <f t="shared" ref="G15:G30" si="0">E15*F15</f>
        <v>192.28919999999999</v>
      </c>
      <c r="H15" s="24">
        <f>VLOOKUP(B15,[1]!Table3[[Part Number]:[Annual]],5,0)</f>
        <v>48.07</v>
      </c>
      <c r="I15" s="25">
        <f t="shared" ref="I15:I78" si="1">ROUND(E15*H15,2)</f>
        <v>96.14</v>
      </c>
    </row>
    <row r="16" spans="2:9" x14ac:dyDescent="0.25">
      <c r="B16" s="58">
        <v>8981527381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FINAL FUEL FILTER</v>
      </c>
      <c r="E16" s="54">
        <f>VLOOKUP(B16,[1]!Table3[[Part Number]:[Annual]],10,0)</f>
        <v>4</v>
      </c>
      <c r="F16" s="63">
        <f>VLOOKUP(B16,[1]!Table3[[Part Number]:[Annual]],4,0)</f>
        <v>80.867999999999995</v>
      </c>
      <c r="G16" s="24">
        <f t="shared" ref="G16:G58" si="2">E16*F16</f>
        <v>323.47199999999998</v>
      </c>
      <c r="H16" s="24">
        <f>VLOOKUP(B16,[1]!Table3[[Part Number]:[Annual]],5,0)</f>
        <v>40.43</v>
      </c>
      <c r="I16" s="25">
        <f t="shared" si="1"/>
        <v>161.72</v>
      </c>
    </row>
    <row r="17" spans="2:9" x14ac:dyDescent="0.25">
      <c r="B17" s="58">
        <v>8983020750</v>
      </c>
      <c r="C17" s="54" t="str">
        <f>VLOOKUP(B17,[1]!Table3[[Part Number]:[Annual]],2,0)</f>
        <v xml:space="preserve">JD 470GLC (1FF) HITACHI 470GLC (HCM)          </v>
      </c>
      <c r="D17" s="54" t="str">
        <f>VLOOKUP(B17,[1]!Table3[[Part Number]:[Annual]],3,0)</f>
        <v>ENGINE OIL FILTER</v>
      </c>
      <c r="E17" s="54">
        <f>VLOOKUP(B17,[1]!Table3[[Part Number]:[Annual]],10,0)</f>
        <v>4</v>
      </c>
      <c r="F17" s="63">
        <f>VLOOKUP(B17,[1]!Table3[[Part Number]:[Annual]],4,0)</f>
        <v>107.0742</v>
      </c>
      <c r="G17" s="24">
        <f t="shared" si="2"/>
        <v>428.29680000000002</v>
      </c>
      <c r="H17" s="24">
        <f>VLOOKUP(B17,[1]!Table3[[Part Number]:[Annual]],5,0)</f>
        <v>53.54</v>
      </c>
      <c r="I17" s="25">
        <f t="shared" si="1"/>
        <v>214.16</v>
      </c>
    </row>
    <row r="18" spans="2:9" x14ac:dyDescent="0.25">
      <c r="B18" s="58" t="s">
        <v>74</v>
      </c>
      <c r="C18" s="54" t="str">
        <f>VLOOKUP(B18,[1]!Table3[[Part Number]:[Annual]],2,0)</f>
        <v xml:space="preserve">CAT PL61 (DHA) CAT PL61 (WGS) CAT D6D (06X)        </v>
      </c>
      <c r="D18" s="54" t="str">
        <f>VLOOKUP(B18,[1]!Table3[[Part Number]:[Annual]],3,0)</f>
        <v>HYDRAULIC OIL FILTER (POWER TRAIN)</v>
      </c>
      <c r="E18" s="54">
        <f>VLOOKUP(B18,[1]!Table3[[Part Number]:[Annual]],10,0)</f>
        <v>3</v>
      </c>
      <c r="F18" s="63">
        <f>VLOOKUP(B18,[1]!Table3[[Part Number]:[Annual]],4,0)</f>
        <v>145.28</v>
      </c>
      <c r="G18" s="24">
        <f t="shared" si="2"/>
        <v>435.84000000000003</v>
      </c>
      <c r="H18" s="24">
        <f>VLOOKUP(B18,[1]!Table3[[Part Number]:[Annual]],5,0)</f>
        <v>72.64</v>
      </c>
      <c r="I18" s="25">
        <f t="shared" si="1"/>
        <v>217.92</v>
      </c>
    </row>
    <row r="19" spans="2:9" x14ac:dyDescent="0.25">
      <c r="B19" s="58" t="s">
        <v>100</v>
      </c>
      <c r="C19" s="54" t="str">
        <f>VLOOKUP(B19,[1]!Table3[[Part Number]:[Annual]],2,0)</f>
        <v xml:space="preserve">CAT 583T (CMX) CAT 589 (31Z) CAT DK8 (893) CAT DK8 (950)      </v>
      </c>
      <c r="D19" s="54" t="str">
        <f>VLOOKUP(B19,[1]!Table3[[Part Number]:[Annual]],3,0)</f>
        <v>Air Filter - Secondary</v>
      </c>
      <c r="E19" s="54">
        <f>VLOOKUP(B19,[1]!Table3[[Part Number]:[Annual]],10,0)</f>
        <v>4</v>
      </c>
      <c r="F19" s="63">
        <f>VLOOKUP(B19,[1]!Table3[[Part Number]:[Annual]],4,0)</f>
        <v>167.36</v>
      </c>
      <c r="G19" s="24">
        <f t="shared" si="2"/>
        <v>669.44</v>
      </c>
      <c r="H19" s="24">
        <f>VLOOKUP(B19,[1]!Table3[[Part Number]:[Annual]],5,0)</f>
        <v>108.78</v>
      </c>
      <c r="I19" s="25">
        <f t="shared" si="1"/>
        <v>435.12</v>
      </c>
    </row>
    <row r="20" spans="2:9" x14ac:dyDescent="0.25">
      <c r="B20" s="58" t="s">
        <v>61</v>
      </c>
      <c r="C20" s="54" t="str">
        <f>VLOOKUP(B20,[1]!Table3[[Part Number]:[Annual]],2,0)</f>
        <v xml:space="preserve">CAT 594 (96V) CAT 594H (96V)          </v>
      </c>
      <c r="D20" s="54" t="str">
        <f>VLOOKUP(B20,[1]!Table3[[Part Number]:[Annual]],3,0)</f>
        <v>SECONDARY AIR FILTER ELEMENT</v>
      </c>
      <c r="E20" s="54">
        <f>VLOOKUP(B20,[1]!Table3[[Part Number]:[Annual]],10,0)</f>
        <v>4</v>
      </c>
      <c r="F20" s="63">
        <f>VLOOKUP(B20,[1]!Table3[[Part Number]:[Annual]],4,0)</f>
        <v>222</v>
      </c>
      <c r="G20" s="24">
        <f t="shared" si="2"/>
        <v>888</v>
      </c>
      <c r="H20" s="24">
        <f>VLOOKUP(B20,[1]!Table3[[Part Number]:[Annual]],5,0)</f>
        <v>144.30000000000001</v>
      </c>
      <c r="I20" s="25">
        <f t="shared" si="1"/>
        <v>577.20000000000005</v>
      </c>
    </row>
    <row r="21" spans="2:9" x14ac:dyDescent="0.25">
      <c r="B21" s="58" t="s">
        <v>62</v>
      </c>
      <c r="C21" s="54" t="str">
        <f>VLOOKUP(B21,[1]!Table3[[Part Number]:[Annual]],2,0)</f>
        <v xml:space="preserve">CAT 594 (96V) CAT 594H (96V)          </v>
      </c>
      <c r="D21" s="54" t="str">
        <f>VLOOKUP(B21,[1]!Table3[[Part Number]:[Annual]],3,0)</f>
        <v>PRIMARY AIR FILTER ELEMENT</v>
      </c>
      <c r="E21" s="54">
        <f>VLOOKUP(B21,[1]!Table3[[Part Number]:[Annual]],10,0)</f>
        <v>4</v>
      </c>
      <c r="F21" s="63">
        <f>VLOOKUP(B21,[1]!Table3[[Part Number]:[Annual]],4,0)</f>
        <v>121.8</v>
      </c>
      <c r="G21" s="24">
        <f t="shared" si="2"/>
        <v>487.2</v>
      </c>
      <c r="H21" s="24">
        <f>VLOOKUP(B21,[1]!Table3[[Part Number]:[Annual]],5,0)</f>
        <v>79.17</v>
      </c>
      <c r="I21" s="25">
        <f t="shared" si="1"/>
        <v>316.68</v>
      </c>
    </row>
    <row r="22" spans="2:9" x14ac:dyDescent="0.25">
      <c r="B22" s="58" t="s">
        <v>47</v>
      </c>
      <c r="C22" s="54" t="str">
        <f>VLOOKUP(B22,[1]!Table3[[Part Number]:[Annual]],2,0)</f>
        <v>CAT D7G (DSC) CAT D7G (DSC) (2) CAT D7G (DSC) (3) CAT D7G (SUB) CAT D7G (3ZD) CAT 572R (DSC) CAT 572R (DSC) (2)</v>
      </c>
      <c r="D22" s="54" t="str">
        <f>VLOOKUP(B22,[1]!Table3[[Part Number]:[Annual]],3,0)</f>
        <v>ENGINE OIL FILTER</v>
      </c>
      <c r="E22" s="54">
        <f>VLOOKUP(B22,[1]!Table3[[Part Number]:[Annual]],10,0)</f>
        <v>14</v>
      </c>
      <c r="F22" s="63">
        <f>VLOOKUP(B22,[1]!Table3[[Part Number]:[Annual]],4,0)</f>
        <v>59.49</v>
      </c>
      <c r="G22" s="24">
        <f t="shared" si="2"/>
        <v>832.86</v>
      </c>
      <c r="H22" s="24">
        <f>VLOOKUP(B22,[1]!Table3[[Part Number]:[Annual]],5,0)</f>
        <v>29.75</v>
      </c>
      <c r="I22" s="25">
        <f t="shared" si="1"/>
        <v>416.5</v>
      </c>
    </row>
    <row r="23" spans="2:9" x14ac:dyDescent="0.25">
      <c r="B23" s="58" t="s">
        <v>75</v>
      </c>
      <c r="C23" s="54" t="str">
        <f>VLOOKUP(B23,[1]!Table3[[Part Number]:[Annual]],2,0)</f>
        <v xml:space="preserve">CAT 594 (96V) CAT 594H (96V)          </v>
      </c>
      <c r="D23" s="54" t="str">
        <f>VLOOKUP(B23,[1]!Table3[[Part Number]:[Annual]],3,0)</f>
        <v>HYDRAULIC FILTER</v>
      </c>
      <c r="E23" s="54">
        <f>VLOOKUP(B23,[1]!Table3[[Part Number]:[Annual]],10,0)</f>
        <v>2</v>
      </c>
      <c r="F23" s="63">
        <f>VLOOKUP(B23,[1]!Table3[[Part Number]:[Annual]],4,0)</f>
        <v>47.98</v>
      </c>
      <c r="G23" s="24">
        <f t="shared" si="2"/>
        <v>95.96</v>
      </c>
      <c r="H23" s="24">
        <f>VLOOKUP(B23,[1]!Table3[[Part Number]:[Annual]],5,0)</f>
        <v>23.99</v>
      </c>
      <c r="I23" s="25">
        <f t="shared" si="1"/>
        <v>47.98</v>
      </c>
    </row>
    <row r="24" spans="2:9" x14ac:dyDescent="0.25">
      <c r="B24" s="58" t="s">
        <v>76</v>
      </c>
      <c r="C24" s="54" t="str">
        <f>VLOOKUP(B24,[1]!Table3[[Part Number]:[Annual]],2,0)</f>
        <v xml:space="preserve">CAT 583T (CMX) CAT 589 (31Z) CAT 594 (96V) CAT 594H (96V) CAT DK8 (893) CAT DK8 (950)  </v>
      </c>
      <c r="D24" s="54" t="str">
        <f>VLOOKUP(B24,[1]!Table3[[Part Number]:[Annual]],3,0)</f>
        <v>Hydraulic Filter</v>
      </c>
      <c r="E24" s="54">
        <f>VLOOKUP(B24,[1]!Table3[[Part Number]:[Annual]],10,0)</f>
        <v>8</v>
      </c>
      <c r="F24" s="63">
        <f>VLOOKUP(B24,[1]!Table3[[Part Number]:[Annual]],4,0)</f>
        <v>38.31</v>
      </c>
      <c r="G24" s="24">
        <f t="shared" si="2"/>
        <v>306.48</v>
      </c>
      <c r="H24" s="24">
        <f>VLOOKUP(B24,[1]!Table3[[Part Number]:[Annual]],5,0)</f>
        <v>19.16</v>
      </c>
      <c r="I24" s="25">
        <f t="shared" si="1"/>
        <v>153.28</v>
      </c>
    </row>
    <row r="25" spans="2:9" x14ac:dyDescent="0.25">
      <c r="B25" s="58" t="s">
        <v>37</v>
      </c>
      <c r="C25" s="54" t="str">
        <f>VLOOKUP(B25,[1]!Table3[[Part Number]:[Annual]],2,0)</f>
        <v>CAT D7G (DSC) CAT D7G (DSC) (2) CAT D7G (DSC) (3) CAT D7G (SUB) CAT D7G (3ZD) CAT 572R (DSC) CAT 572R (DSC) (2)</v>
      </c>
      <c r="D25" s="54" t="str">
        <f>VLOOKUP(B25,[1]!Table3[[Part Number]:[Annual]],3,0)</f>
        <v>FUEL FILTER</v>
      </c>
      <c r="E25" s="54">
        <f>VLOOKUP(B25,[1]!Table3[[Part Number]:[Annual]],10,0)</f>
        <v>14</v>
      </c>
      <c r="F25" s="63">
        <f>VLOOKUP(B25,[1]!Table3[[Part Number]:[Annual]],4,0)</f>
        <v>49.75</v>
      </c>
      <c r="G25" s="24">
        <f t="shared" si="2"/>
        <v>696.5</v>
      </c>
      <c r="H25" s="24">
        <f>VLOOKUP(B25,[1]!Table3[[Part Number]:[Annual]],5,0)</f>
        <v>24.88</v>
      </c>
      <c r="I25" s="25">
        <f t="shared" si="1"/>
        <v>348.32</v>
      </c>
    </row>
    <row r="26" spans="2:9" x14ac:dyDescent="0.25">
      <c r="B26" s="58" t="s">
        <v>79</v>
      </c>
      <c r="C26" s="54" t="str">
        <f>VLOOKUP(B26,[1]!Table3[[Part Number]:[Annual]],2,0)</f>
        <v xml:space="preserve">CAT 583T (CMX) CAT 589 (31Z) CAT 594 (96V) CAT 594H (96V) CAT DK8 (893) CAT DK8 (950)  </v>
      </c>
      <c r="D26" s="54" t="str">
        <f>VLOOKUP(B26,[1]!Table3[[Part Number]:[Annual]],3,0)</f>
        <v>Fuel Filter - Secondary</v>
      </c>
      <c r="E26" s="54">
        <f>VLOOKUP(B26,[1]!Table3[[Part Number]:[Annual]],10,0)</f>
        <v>16</v>
      </c>
      <c r="F26" s="63">
        <f>VLOOKUP(B26,[1]!Table3[[Part Number]:[Annual]],4,0)</f>
        <v>41.22</v>
      </c>
      <c r="G26" s="24">
        <f t="shared" si="2"/>
        <v>659.52</v>
      </c>
      <c r="H26" s="24">
        <f>VLOOKUP(B26,[1]!Table3[[Part Number]:[Annual]],5,0)</f>
        <v>20.61</v>
      </c>
      <c r="I26" s="25">
        <f t="shared" si="1"/>
        <v>329.76</v>
      </c>
    </row>
    <row r="27" spans="2:9" x14ac:dyDescent="0.25">
      <c r="B27" s="58" t="s">
        <v>63</v>
      </c>
      <c r="C27" s="54" t="str">
        <f>VLOOKUP(B27,[1]!Table3[[Part Number]:[Annual]],2,0)</f>
        <v xml:space="preserve">CAT PL61 (DHA) CAT PL61 (WGS) CAT D6D (06X)        </v>
      </c>
      <c r="D27" s="54" t="str">
        <f>VLOOKUP(B27,[1]!Table3[[Part Number]:[Annual]],3,0)</f>
        <v>CABIN AIR FILTER ELEMENT</v>
      </c>
      <c r="E27" s="54">
        <f>VLOOKUP(B27,[1]!Table3[[Part Number]:[Annual]],10,0)</f>
        <v>0</v>
      </c>
      <c r="F27" s="63">
        <f>VLOOKUP(B27,[1]!Table3[[Part Number]:[Annual]],4,0)</f>
        <v>82.23</v>
      </c>
      <c r="G27" s="24">
        <f t="shared" si="2"/>
        <v>0</v>
      </c>
      <c r="H27" s="24">
        <f>VLOOKUP(B27,[1]!Table3[[Part Number]:[Annual]],5,0)</f>
        <v>53.45</v>
      </c>
      <c r="I27" s="25">
        <f t="shared" si="1"/>
        <v>0</v>
      </c>
    </row>
    <row r="28" spans="2:9" x14ac:dyDescent="0.25">
      <c r="B28" s="58" t="s">
        <v>64</v>
      </c>
      <c r="C28" s="54" t="str">
        <f>VLOOKUP(B28,[1]!Table3[[Part Number]:[Annual]],2,0)</f>
        <v xml:space="preserve">CAT PL61 (DHA) CAT PL61 (WGS) CAT D6D (06X)        </v>
      </c>
      <c r="D28" s="54" t="str">
        <f>VLOOKUP(B28,[1]!Table3[[Part Number]:[Annual]],3,0)</f>
        <v>PRIMARY AIR FILTER ELEMENT</v>
      </c>
      <c r="E28" s="54">
        <f>VLOOKUP(B28,[1]!Table3[[Part Number]:[Annual]],10,0)</f>
        <v>3</v>
      </c>
      <c r="F28" s="63">
        <f>VLOOKUP(B28,[1]!Table3[[Part Number]:[Annual]],4,0)</f>
        <v>214.1</v>
      </c>
      <c r="G28" s="24">
        <f t="shared" si="2"/>
        <v>642.29999999999995</v>
      </c>
      <c r="H28" s="24">
        <f>VLOOKUP(B28,[1]!Table3[[Part Number]:[Annual]],5,0)</f>
        <v>139.16999999999999</v>
      </c>
      <c r="I28" s="25">
        <f t="shared" si="1"/>
        <v>417.51</v>
      </c>
    </row>
    <row r="29" spans="2:9" x14ac:dyDescent="0.25">
      <c r="B29" s="58" t="s">
        <v>65</v>
      </c>
      <c r="C29" s="54" t="str">
        <f>VLOOKUP(B29,[1]!Table3[[Part Number]:[Annual]],2,0)</f>
        <v xml:space="preserve">CAT PL61 (DHA) CAT PL61 (WGS) CAT D6D (06X)        </v>
      </c>
      <c r="D29" s="54" t="str">
        <f>VLOOKUP(B29,[1]!Table3[[Part Number]:[Annual]],3,0)</f>
        <v>SECONDARY AIR FILTER ELEMENT</v>
      </c>
      <c r="E29" s="54">
        <f>VLOOKUP(B29,[1]!Table3[[Part Number]:[Annual]],10,0)</f>
        <v>3</v>
      </c>
      <c r="F29" s="63">
        <f>VLOOKUP(B29,[1]!Table3[[Part Number]:[Annual]],4,0)</f>
        <v>147.41</v>
      </c>
      <c r="G29" s="24">
        <f t="shared" si="2"/>
        <v>442.23</v>
      </c>
      <c r="H29" s="24">
        <f>VLOOKUP(B29,[1]!Table3[[Part Number]:[Annual]],5,0)</f>
        <v>95.82</v>
      </c>
      <c r="I29" s="25">
        <f t="shared" si="1"/>
        <v>287.45999999999998</v>
      </c>
    </row>
    <row r="30" spans="2:9" x14ac:dyDescent="0.25">
      <c r="B30" s="58" t="s">
        <v>80</v>
      </c>
      <c r="C30" s="54" t="str">
        <f>VLOOKUP(B30,[1]!Table3[[Part Number]:[Annual]],2,0)</f>
        <v xml:space="preserve">CAT 583T (CMX) CAT 589 (31Z) CAT 594 (96V) CAT 594H (96V) CAT DK8 (893) CAT DK8 (950)  </v>
      </c>
      <c r="D30" s="54" t="str">
        <f>VLOOKUP(B30,[1]!Table3[[Part Number]:[Annual]],3,0)</f>
        <v>Engine Oil Filter</v>
      </c>
      <c r="E30" s="54">
        <f>VLOOKUP(B30,[1]!Table3[[Part Number]:[Annual]],10,0)</f>
        <v>12</v>
      </c>
      <c r="F30" s="63">
        <f>VLOOKUP(B30,[1]!Table3[[Part Number]:[Annual]],4,0)</f>
        <v>33.119999999999997</v>
      </c>
      <c r="G30" s="24">
        <f t="shared" si="2"/>
        <v>397.43999999999994</v>
      </c>
      <c r="H30" s="24">
        <f>VLOOKUP(B30,[1]!Table3[[Part Number]:[Annual]],5,0)</f>
        <v>16.559999999999999</v>
      </c>
      <c r="I30" s="25">
        <f t="shared" si="1"/>
        <v>198.72</v>
      </c>
    </row>
    <row r="31" spans="2:9" x14ac:dyDescent="0.25">
      <c r="B31" s="58" t="s">
        <v>81</v>
      </c>
      <c r="C31" s="54" t="str">
        <f>VLOOKUP(B31,[1]!Table3[[Part Number]:[Annual]],2,0)</f>
        <v xml:space="preserve">CAT PL61 (DHA) CAT PL61 (WGS) CAT D6D (06X)        </v>
      </c>
      <c r="D31" s="54" t="str">
        <f>VLOOKUP(B31,[1]!Table3[[Part Number]:[Annual]],3,0)</f>
        <v>FUEL FILTER</v>
      </c>
      <c r="E31" s="54">
        <f>VLOOKUP(B31,[1]!Table3[[Part Number]:[Annual]],10,0)</f>
        <v>3</v>
      </c>
      <c r="F31" s="63">
        <f>VLOOKUP(B31,[1]!Table3[[Part Number]:[Annual]],4,0)</f>
        <v>72.95</v>
      </c>
      <c r="G31" s="24">
        <f t="shared" si="2"/>
        <v>218.85000000000002</v>
      </c>
      <c r="H31" s="24">
        <f>VLOOKUP(B31,[1]!Table3[[Part Number]:[Annual]],5,0)</f>
        <v>36.479999999999997</v>
      </c>
      <c r="I31" s="25">
        <f t="shared" si="1"/>
        <v>109.44</v>
      </c>
    </row>
    <row r="32" spans="2:9" x14ac:dyDescent="0.25">
      <c r="B32" s="58" t="s">
        <v>82</v>
      </c>
      <c r="C32" s="54" t="str">
        <f>VLOOKUP(B32,[1]!Table3[[Part Number]:[Annual]],2,0)</f>
        <v xml:space="preserve">CAT PL61 (DHA) CAT PL61 (WGS) CAT D6D (06X)        </v>
      </c>
      <c r="D32" s="54" t="str">
        <f>VLOOKUP(B32,[1]!Table3[[Part Number]:[Annual]],3,0)</f>
        <v>FUEL FILTER</v>
      </c>
      <c r="E32" s="54">
        <f>VLOOKUP(B32,[1]!Table3[[Part Number]:[Annual]],10,0)</f>
        <v>3</v>
      </c>
      <c r="F32" s="63">
        <f>VLOOKUP(B32,[1]!Table3[[Part Number]:[Annual]],4,0)</f>
        <v>73.08</v>
      </c>
      <c r="G32" s="24">
        <f t="shared" si="2"/>
        <v>219.24</v>
      </c>
      <c r="H32" s="24">
        <f>VLOOKUP(B32,[1]!Table3[[Part Number]:[Annual]],5,0)</f>
        <v>36.54</v>
      </c>
      <c r="I32" s="25">
        <f t="shared" si="1"/>
        <v>109.62</v>
      </c>
    </row>
    <row r="33" spans="2:9" x14ac:dyDescent="0.25">
      <c r="B33" s="58" t="s">
        <v>83</v>
      </c>
      <c r="C33" s="54" t="str">
        <f>VLOOKUP(B33,[1]!Table3[[Part Number]:[Annual]],2,0)</f>
        <v>CAT D7G (DSC) CAT D7G (DSC) (2) CAT D7G (DSC) (3) CAT D7G (SUB) CAT D7G (3ZD) CAT 572R (DSC) CAT 572R (DSC) (2)</v>
      </c>
      <c r="D33" s="54" t="str">
        <f>VLOOKUP(B33,[1]!Table3[[Part Number]:[Annual]],3,0)</f>
        <v xml:space="preserve">FUEL WATER SEPARATOR </v>
      </c>
      <c r="E33" s="54">
        <f>VLOOKUP(B33,[1]!Table3[[Part Number]:[Annual]],10,0)</f>
        <v>14</v>
      </c>
      <c r="F33" s="63">
        <f>VLOOKUP(B33,[1]!Table3[[Part Number]:[Annual]],4,0)</f>
        <v>76.680000000000007</v>
      </c>
      <c r="G33" s="24">
        <f t="shared" si="2"/>
        <v>1073.52</v>
      </c>
      <c r="H33" s="24">
        <f>VLOOKUP(B33,[1]!Table3[[Part Number]:[Annual]],5,0)</f>
        <v>38.340000000000003</v>
      </c>
      <c r="I33" s="25">
        <f t="shared" si="1"/>
        <v>536.76</v>
      </c>
    </row>
    <row r="34" spans="2:9" x14ac:dyDescent="0.25">
      <c r="B34" s="58" t="s">
        <v>48</v>
      </c>
      <c r="C34" s="54" t="str">
        <f>VLOOKUP(B34,[1]!Table3[[Part Number]:[Annual]],2,0)</f>
        <v xml:space="preserve">CAT PL61 (DHA) CAT PL61 (WGS) CAT D6D (06X)        </v>
      </c>
      <c r="D34" s="54" t="str">
        <f>VLOOKUP(B34,[1]!Table3[[Part Number]:[Annual]],3,0)</f>
        <v xml:space="preserve">FUEL WATER SEPARATOR </v>
      </c>
      <c r="E34" s="54">
        <f>VLOOKUP(B34,[1]!Table3[[Part Number]:[Annual]],10,0)</f>
        <v>3</v>
      </c>
      <c r="F34" s="63">
        <f>VLOOKUP(B34,[1]!Table3[[Part Number]:[Annual]],4,0)</f>
        <v>82.65</v>
      </c>
      <c r="G34" s="24">
        <f t="shared" si="2"/>
        <v>247.95000000000002</v>
      </c>
      <c r="H34" s="24">
        <f>VLOOKUP(B34,[1]!Table3[[Part Number]:[Annual]],5,0)</f>
        <v>41.33</v>
      </c>
      <c r="I34" s="25">
        <f t="shared" si="1"/>
        <v>123.99</v>
      </c>
    </row>
    <row r="35" spans="2:9" x14ac:dyDescent="0.25">
      <c r="B35" s="58" t="s">
        <v>49</v>
      </c>
      <c r="C35" s="54" t="str">
        <f>VLOOKUP(B35,[1]!Table3[[Part Number]:[Annual]],2,0)</f>
        <v>CAT D7G (DSC) CAT D7G (DSC) (2) CAT D7G (DSC) (3) CAT D7G (SUB) CAT D7G (3ZD) CAT 572R (DSC) CAT 572R (DSC) (2)</v>
      </c>
      <c r="D35" s="54" t="str">
        <f>VLOOKUP(B35,[1]!Table3[[Part Number]:[Annual]],3,0)</f>
        <v>HYDRAULIC OIL FILTER (POWER TRAIN)</v>
      </c>
      <c r="E35" s="54">
        <f>VLOOKUP(B35,[1]!Table3[[Part Number]:[Annual]],10,0)</f>
        <v>7</v>
      </c>
      <c r="F35" s="63">
        <f>VLOOKUP(B35,[1]!Table3[[Part Number]:[Annual]],4,0)</f>
        <v>197.31</v>
      </c>
      <c r="G35" s="24">
        <f t="shared" si="2"/>
        <v>1381.17</v>
      </c>
      <c r="H35" s="24">
        <f>VLOOKUP(B35,[1]!Table3[[Part Number]:[Annual]],5,0)</f>
        <v>98.66</v>
      </c>
      <c r="I35" s="25">
        <f t="shared" si="1"/>
        <v>690.62</v>
      </c>
    </row>
    <row r="36" spans="2:9" x14ac:dyDescent="0.25">
      <c r="B36" s="58" t="s">
        <v>84</v>
      </c>
      <c r="C36" s="54" t="str">
        <f>VLOOKUP(B36,[1]!Table3[[Part Number]:[Annual]],2,0)</f>
        <v xml:space="preserve">CAT PL61 (DHA) CAT PL61 (WGS) CAT D6D (06X)        </v>
      </c>
      <c r="D36" s="54" t="str">
        <f>VLOOKUP(B36,[1]!Table3[[Part Number]:[Annual]],3,0)</f>
        <v>ENGINE OIL FILTER</v>
      </c>
      <c r="E36" s="54">
        <f>VLOOKUP(B36,[1]!Table3[[Part Number]:[Annual]],10,0)</f>
        <v>3</v>
      </c>
      <c r="F36" s="63">
        <f>VLOOKUP(B36,[1]!Table3[[Part Number]:[Annual]],4,0)</f>
        <v>35.25</v>
      </c>
      <c r="G36" s="24">
        <f t="shared" si="2"/>
        <v>105.75</v>
      </c>
      <c r="H36" s="24">
        <f>VLOOKUP(B36,[1]!Table3[[Part Number]:[Annual]],5,0)</f>
        <v>17.63</v>
      </c>
      <c r="I36" s="25">
        <f t="shared" si="1"/>
        <v>52.89</v>
      </c>
    </row>
    <row r="37" spans="2:9" x14ac:dyDescent="0.25">
      <c r="B37" s="58" t="s">
        <v>102</v>
      </c>
      <c r="C37" s="54" t="str">
        <f>VLOOKUP(B37,[1]!Table3[[Part Number]:[Annual]],2,0)</f>
        <v xml:space="preserve">CAT 583T (CMX) CAT 589 (31Z) CAT DK8 (893) CAT DK8 (950)      </v>
      </c>
      <c r="D37" s="54" t="str">
        <f>VLOOKUP(B37,[1]!Table3[[Part Number]:[Annual]],3,0)</f>
        <v>Hydraulic Filter</v>
      </c>
      <c r="E37" s="54">
        <f>VLOOKUP(B37,[1]!Table3[[Part Number]:[Annual]],10,0)</f>
        <v>4</v>
      </c>
      <c r="F37" s="63">
        <f>VLOOKUP(B37,[1]!Table3[[Part Number]:[Annual]],4,0)</f>
        <v>234.01</v>
      </c>
      <c r="G37" s="24">
        <f t="shared" si="2"/>
        <v>936.04</v>
      </c>
      <c r="H37" s="24">
        <f>VLOOKUP(B37,[1]!Table3[[Part Number]:[Annual]],5,0)</f>
        <v>117.01</v>
      </c>
      <c r="I37" s="25">
        <f t="shared" si="1"/>
        <v>468.04</v>
      </c>
    </row>
    <row r="38" spans="2:9" x14ac:dyDescent="0.25">
      <c r="B38" s="58" t="s">
        <v>103</v>
      </c>
      <c r="C38" s="54" t="str">
        <f>VLOOKUP(B38,[1]!Table3[[Part Number]:[Annual]],2,0)</f>
        <v xml:space="preserve">CAT 583T (CMX) CAT 589 (31Z) CAT DK8 (893) CAT DK8 (950)      </v>
      </c>
      <c r="D38" s="54" t="str">
        <f>VLOOKUP(B38,[1]!Table3[[Part Number]:[Annual]],3,0)</f>
        <v>Transmission Filter</v>
      </c>
      <c r="E38" s="54">
        <f>VLOOKUP(B38,[1]!Table3[[Part Number]:[Annual]],10,0)</f>
        <v>8</v>
      </c>
      <c r="F38" s="63">
        <f>VLOOKUP(B38,[1]!Table3[[Part Number]:[Annual]],4,0)</f>
        <v>25.04</v>
      </c>
      <c r="G38" s="24">
        <f t="shared" si="2"/>
        <v>200.32</v>
      </c>
      <c r="H38" s="24">
        <f>VLOOKUP(B38,[1]!Table3[[Part Number]:[Annual]],5,0)</f>
        <v>12.52</v>
      </c>
      <c r="I38" s="25">
        <f t="shared" si="1"/>
        <v>100.16</v>
      </c>
    </row>
    <row r="39" spans="2:9" x14ac:dyDescent="0.25">
      <c r="B39" s="58" t="s">
        <v>66</v>
      </c>
      <c r="C39" s="54" t="str">
        <f>VLOOKUP(B39,[1]!Table3[[Part Number]:[Annual]],2,0)</f>
        <v xml:space="preserve">HITACHI ZX290LC-5 (1FF) HITACHI ZX290LC-5 (1FF) (2) HITACHI ZX290LC-5 (1FF) (3)        </v>
      </c>
      <c r="D39" s="54" t="str">
        <f>VLOOKUP(B39,[1]!Table3[[Part Number]:[Annual]],3,0)</f>
        <v>CAB AIR FILTER</v>
      </c>
      <c r="E39" s="54">
        <f>VLOOKUP(B39,[1]!Table3[[Part Number]:[Annual]],10,0)</f>
        <v>0</v>
      </c>
      <c r="F39" s="63">
        <f>VLOOKUP(B39,[1]!Table3[[Part Number]:[Annual]],4,0)</f>
        <v>151.97939999999997</v>
      </c>
      <c r="G39" s="24">
        <f t="shared" si="2"/>
        <v>0</v>
      </c>
      <c r="H39" s="24">
        <f>VLOOKUP(B39,[1]!Table3[[Part Number]:[Annual]],5,0)</f>
        <v>98.79</v>
      </c>
      <c r="I39" s="25">
        <f t="shared" si="1"/>
        <v>0</v>
      </c>
    </row>
    <row r="40" spans="2:9" x14ac:dyDescent="0.25">
      <c r="B40" s="58" t="s">
        <v>67</v>
      </c>
      <c r="C40" s="54" t="str">
        <f>VLOOKUP(B40,[1]!Table3[[Part Number]:[Annual]],2,0)</f>
        <v xml:space="preserve">HITACHI ZX290LC-5 (1FF) HITACHI ZX290LC-5 (1FF) (2) HITACHI ZX290LC-5 (1FF) (3)        </v>
      </c>
      <c r="D40" s="54" t="str">
        <f>VLOOKUP(B40,[1]!Table3[[Part Number]:[Annual]],3,0)</f>
        <v>CAB AIR FILTER</v>
      </c>
      <c r="E40" s="54">
        <f>VLOOKUP(B40,[1]!Table3[[Part Number]:[Annual]],10,0)</f>
        <v>0</v>
      </c>
      <c r="F40" s="63">
        <f>VLOOKUP(B40,[1]!Table3[[Part Number]:[Annual]],4,0)</f>
        <v>123.9378</v>
      </c>
      <c r="G40" s="24">
        <f t="shared" si="2"/>
        <v>0</v>
      </c>
      <c r="H40" s="24">
        <f>VLOOKUP(B40,[1]!Table3[[Part Number]:[Annual]],5,0)</f>
        <v>80.56</v>
      </c>
      <c r="I40" s="25">
        <f t="shared" si="1"/>
        <v>0</v>
      </c>
    </row>
    <row r="41" spans="2:9" x14ac:dyDescent="0.25">
      <c r="B41" s="58" t="s">
        <v>68</v>
      </c>
      <c r="C41" s="54" t="str">
        <f>VLOOKUP(B41,[1]!Table3[[Part Number]:[Annual]],2,0)</f>
        <v xml:space="preserve">JD 470GLC (1FF) HITACHI 470GLC (HCM)          </v>
      </c>
      <c r="D41" s="54" t="str">
        <f>VLOOKUP(B41,[1]!Table3[[Part Number]:[Annual]],3,0)</f>
        <v>CAB AIR FILTER</v>
      </c>
      <c r="E41" s="54">
        <f>VLOOKUP(B41,[1]!Table3[[Part Number]:[Annual]],10,0)</f>
        <v>0</v>
      </c>
      <c r="F41" s="63">
        <f>VLOOKUP(B41,[1]!Table3[[Part Number]:[Annual]],4,0)</f>
        <v>134.99159999999998</v>
      </c>
      <c r="G41" s="24">
        <f t="shared" si="2"/>
        <v>0</v>
      </c>
      <c r="H41" s="24">
        <f>VLOOKUP(B41,[1]!Table3[[Part Number]:[Annual]],5,0)</f>
        <v>87.74</v>
      </c>
      <c r="I41" s="25">
        <f t="shared" si="1"/>
        <v>0</v>
      </c>
    </row>
    <row r="42" spans="2:9" x14ac:dyDescent="0.25">
      <c r="B42" s="58" t="s">
        <v>38</v>
      </c>
      <c r="C42" s="54" t="str">
        <f>VLOOKUP(B42,[1]!Table3[[Part Number]:[Annual]],2,0)</f>
        <v>CAT D7G (DSC) CAT D7G (DSC) (2) CAT D7G (DSC) (3) CAT D7G (SUB) CAT D7G (3ZD) CAT 572R (DSC) CAT 572R (DSC) (2)</v>
      </c>
      <c r="D42" s="54" t="str">
        <f>VLOOKUP(B42,[1]!Table3[[Part Number]:[Annual]],3,0)</f>
        <v>PRIMARY AIR FILTER ELEMENT</v>
      </c>
      <c r="E42" s="54">
        <f>VLOOKUP(B42,[1]!Table3[[Part Number]:[Annual]],10,0)</f>
        <v>14</v>
      </c>
      <c r="F42" s="63">
        <f>VLOOKUP(B42,[1]!Table3[[Part Number]:[Annual]],4,0)</f>
        <v>150.1</v>
      </c>
      <c r="G42" s="24">
        <f t="shared" si="2"/>
        <v>2101.4</v>
      </c>
      <c r="H42" s="24">
        <f>VLOOKUP(B42,[1]!Table3[[Part Number]:[Annual]],5,0)</f>
        <v>97.57</v>
      </c>
      <c r="I42" s="25">
        <f t="shared" si="1"/>
        <v>1365.98</v>
      </c>
    </row>
    <row r="43" spans="2:9" x14ac:dyDescent="0.25">
      <c r="B43" s="58" t="s">
        <v>39</v>
      </c>
      <c r="C43" s="54" t="str">
        <f>VLOOKUP(B43,[1]!Table3[[Part Number]:[Annual]],2,0)</f>
        <v>CAT D7G (DSC) CAT D7G (DSC) (2) CAT D7G (DSC) (3) CAT D7G (SUB) CAT D7G (3ZD) CAT 572R (DSC) CAT 572R (DSC) (2)</v>
      </c>
      <c r="D43" s="54" t="str">
        <f>VLOOKUP(B43,[1]!Table3[[Part Number]:[Annual]],3,0)</f>
        <v>SECONDARY AIR FILTER ELEMENT</v>
      </c>
      <c r="E43" s="54">
        <f>VLOOKUP(B43,[1]!Table3[[Part Number]:[Annual]],10,0)</f>
        <v>14</v>
      </c>
      <c r="F43" s="63">
        <f>VLOOKUP(B43,[1]!Table3[[Part Number]:[Annual]],4,0)</f>
        <v>114.79</v>
      </c>
      <c r="G43" s="24">
        <f t="shared" si="2"/>
        <v>1607.0600000000002</v>
      </c>
      <c r="H43" s="24">
        <f>VLOOKUP(B43,[1]!Table3[[Part Number]:[Annual]],5,0)</f>
        <v>74.61</v>
      </c>
      <c r="I43" s="25">
        <f t="shared" si="1"/>
        <v>1044.54</v>
      </c>
    </row>
    <row r="44" spans="2:9" x14ac:dyDescent="0.25">
      <c r="B44" s="58" t="s">
        <v>105</v>
      </c>
      <c r="C44" s="54" t="str">
        <f>VLOOKUP(B44,[1]!Table3[[Part Number]:[Annual]],2,0)</f>
        <v xml:space="preserve">CAT 583T (CMX) CAT 589 (31Z) CAT DK8 (893) CAT DK8 (950)      </v>
      </c>
      <c r="D44" s="54" t="str">
        <f>VLOOKUP(B44,[1]!Table3[[Part Number]:[Annual]],3,0)</f>
        <v>Cab - Fresh Air</v>
      </c>
      <c r="E44" s="54">
        <f>VLOOKUP(B44,[1]!Table3[[Part Number]:[Annual]],10,0)</f>
        <v>8</v>
      </c>
      <c r="F44" s="63">
        <f>VLOOKUP(B44,[1]!Table3[[Part Number]:[Annual]],4,0)</f>
        <v>47.71</v>
      </c>
      <c r="G44" s="24">
        <f t="shared" si="2"/>
        <v>381.68</v>
      </c>
      <c r="H44" s="24">
        <f>VLOOKUP(B44,[1]!Table3[[Part Number]:[Annual]],5,0)</f>
        <v>31.01</v>
      </c>
      <c r="I44" s="25">
        <f t="shared" si="1"/>
        <v>248.08</v>
      </c>
    </row>
    <row r="45" spans="2:9" x14ac:dyDescent="0.25">
      <c r="B45" s="58" t="s">
        <v>106</v>
      </c>
      <c r="C45" s="54" t="str">
        <f>VLOOKUP(B45,[1]!Table3[[Part Number]:[Annual]],2,0)</f>
        <v xml:space="preserve">CAT 583T (CMX) CAT 589 (31Z) CAT DK8 (893) CAT DK8 (950)      </v>
      </c>
      <c r="D45" s="54" t="str">
        <f>VLOOKUP(B45,[1]!Table3[[Part Number]:[Annual]],3,0)</f>
        <v>Cab - Recirculate</v>
      </c>
      <c r="E45" s="54">
        <f>VLOOKUP(B45,[1]!Table3[[Part Number]:[Annual]],10,0)</f>
        <v>8</v>
      </c>
      <c r="F45" s="63">
        <f>VLOOKUP(B45,[1]!Table3[[Part Number]:[Annual]],4,0)</f>
        <v>95.06</v>
      </c>
      <c r="G45" s="24">
        <f t="shared" si="2"/>
        <v>760.48</v>
      </c>
      <c r="H45" s="24">
        <f>VLOOKUP(B45,[1]!Table3[[Part Number]:[Annual]],5,0)</f>
        <v>61.79</v>
      </c>
      <c r="I45" s="25">
        <f t="shared" si="1"/>
        <v>494.32</v>
      </c>
    </row>
    <row r="46" spans="2:9" x14ac:dyDescent="0.25">
      <c r="B46" s="58" t="s">
        <v>107</v>
      </c>
      <c r="C46" s="54" t="str">
        <f>VLOOKUP(B46,[1]!Table3[[Part Number]:[Annual]],2,0)</f>
        <v xml:space="preserve">CAT 583T (CMX) CAT 589 (31Z) CAT DK8 (893) CAT DK8 (950)      </v>
      </c>
      <c r="D46" s="54" t="str">
        <f>VLOOKUP(B46,[1]!Table3[[Part Number]:[Annual]],3,0)</f>
        <v>Air Filter - Primary</v>
      </c>
      <c r="E46" s="54">
        <f>VLOOKUP(B46,[1]!Table3[[Part Number]:[Annual]],10,0)</f>
        <v>4</v>
      </c>
      <c r="F46" s="63">
        <f>VLOOKUP(B46,[1]!Table3[[Part Number]:[Annual]],4,0)</f>
        <v>105.91</v>
      </c>
      <c r="G46" s="24">
        <f t="shared" si="2"/>
        <v>423.64</v>
      </c>
      <c r="H46" s="24">
        <f>VLOOKUP(B46,[1]!Table3[[Part Number]:[Annual]],5,0)</f>
        <v>68.84</v>
      </c>
      <c r="I46" s="25">
        <f t="shared" si="1"/>
        <v>275.36</v>
      </c>
    </row>
    <row r="47" spans="2:9" x14ac:dyDescent="0.25">
      <c r="B47" s="58" t="s">
        <v>85</v>
      </c>
      <c r="C47" s="54" t="str">
        <f>VLOOKUP(B47,[1]!Table3[[Part Number]:[Annual]],2,0)</f>
        <v xml:space="preserve">CAT 583T (CMX) CAT 589 (31Z) CAT 594 (96V) CAT 594H (96V) CAT DK8 (893) CAT DK8 (950)  </v>
      </c>
      <c r="D47" s="54" t="str">
        <f>VLOOKUP(B47,[1]!Table3[[Part Number]:[Annual]],3,0)</f>
        <v>Fuel Filter - Primary</v>
      </c>
      <c r="E47" s="54">
        <f>VLOOKUP(B47,[1]!Table3[[Part Number]:[Annual]],10,0)</f>
        <v>8</v>
      </c>
      <c r="F47" s="63">
        <f>VLOOKUP(B47,[1]!Table3[[Part Number]:[Annual]],4,0)</f>
        <v>20.63</v>
      </c>
      <c r="G47" s="24">
        <f t="shared" si="2"/>
        <v>165.04</v>
      </c>
      <c r="H47" s="24">
        <f>VLOOKUP(B47,[1]!Table3[[Part Number]:[Annual]],5,0)</f>
        <v>10.32</v>
      </c>
      <c r="I47" s="25">
        <f t="shared" si="1"/>
        <v>82.56</v>
      </c>
    </row>
    <row r="48" spans="2:9" x14ac:dyDescent="0.25">
      <c r="B48" s="58" t="s">
        <v>77</v>
      </c>
      <c r="C48" s="54" t="str">
        <f>VLOOKUP(B48,[1]!Table3[[Part Number]:[Annual]],2,0)</f>
        <v xml:space="preserve">HITACHI ZX290LC-5 (1FF) HITACHI ZX290LC-5 (1FF) (2) HITACHI ZX290LC-5 (1FF) (3)        </v>
      </c>
      <c r="D48" s="54" t="str">
        <f>VLOOKUP(B48,[1]!Table3[[Part Number]:[Annual]],3,0)</f>
        <v>HYDRAULIC FILTER PILOT</v>
      </c>
      <c r="E48" s="54">
        <f>VLOOKUP(B48,[1]!Table3[[Part Number]:[Annual]],10,0)</f>
        <v>3</v>
      </c>
      <c r="F48" s="63">
        <f>VLOOKUP(B48,[1]!Table3[[Part Number]:[Annual]],4,0)</f>
        <v>70.76639999999999</v>
      </c>
      <c r="G48" s="24">
        <f t="shared" si="2"/>
        <v>212.29919999999998</v>
      </c>
      <c r="H48" s="24">
        <f>VLOOKUP(B48,[1]!Table3[[Part Number]:[Annual]],5,0)</f>
        <v>35.380000000000003</v>
      </c>
      <c r="I48" s="25">
        <f t="shared" si="1"/>
        <v>106.14</v>
      </c>
    </row>
    <row r="49" spans="2:9" x14ac:dyDescent="0.25">
      <c r="B49" s="58" t="s">
        <v>69</v>
      </c>
      <c r="C49" s="54" t="str">
        <f>VLOOKUP(B49,[1]!Table3[[Part Number]:[Annual]],2,0)</f>
        <v xml:space="preserve">JD 470GLC (1FF) HITACHI 470GLC (HCM)          </v>
      </c>
      <c r="D49" s="54" t="str">
        <f>VLOOKUP(B49,[1]!Table3[[Part Number]:[Annual]],3,0)</f>
        <v>PRIMARY AIR FILTER</v>
      </c>
      <c r="E49" s="54">
        <f>VLOOKUP(B49,[1]!Table3[[Part Number]:[Annual]],10,0)</f>
        <v>2</v>
      </c>
      <c r="F49" s="63">
        <f>VLOOKUP(B49,[1]!Table3[[Part Number]:[Annual]],4,0)</f>
        <v>221.559</v>
      </c>
      <c r="G49" s="24">
        <f t="shared" si="2"/>
        <v>443.11799999999999</v>
      </c>
      <c r="H49" s="24">
        <f>VLOOKUP(B49,[1]!Table3[[Part Number]:[Annual]],5,0)</f>
        <v>144.01</v>
      </c>
      <c r="I49" s="25">
        <f t="shared" si="1"/>
        <v>288.02</v>
      </c>
    </row>
    <row r="50" spans="2:9" x14ac:dyDescent="0.25">
      <c r="B50" s="58" t="s">
        <v>70</v>
      </c>
      <c r="C50" s="54" t="str">
        <f>VLOOKUP(B50,[1]!Table3[[Part Number]:[Annual]],2,0)</f>
        <v xml:space="preserve">HITACHI ZX290LC-5 (1FF) HITACHI ZX290LC-5 (1FF) (2) HITACHI ZX290LC-5 (1FF) (3)        </v>
      </c>
      <c r="D50" s="54" t="str">
        <f>VLOOKUP(B50,[1]!Table3[[Part Number]:[Annual]],3,0)</f>
        <v>SECONDARY AIR FILTER</v>
      </c>
      <c r="E50" s="54">
        <f>VLOOKUP(B50,[1]!Table3[[Part Number]:[Annual]],10,0)</f>
        <v>3</v>
      </c>
      <c r="F50" s="63">
        <f>VLOOKUP(B50,[1]!Table3[[Part Number]:[Annual]],4,0)</f>
        <v>93.398399999999995</v>
      </c>
      <c r="G50" s="24">
        <f t="shared" si="2"/>
        <v>280.1952</v>
      </c>
      <c r="H50" s="24">
        <f>VLOOKUP(B50,[1]!Table3[[Part Number]:[Annual]],5,0)</f>
        <v>60.71</v>
      </c>
      <c r="I50" s="25">
        <f t="shared" si="1"/>
        <v>182.13</v>
      </c>
    </row>
    <row r="51" spans="2:9" x14ac:dyDescent="0.25">
      <c r="B51" s="58" t="s">
        <v>78</v>
      </c>
      <c r="C51" s="54" t="str">
        <f>VLOOKUP(B51,[1]!Table3[[Part Number]:[Annual]],2,0)</f>
        <v xml:space="preserve">JD 470GLC (1FF) HITACHI 470GLC (HCM)          </v>
      </c>
      <c r="D51" s="54" t="str">
        <f>VLOOKUP(B51,[1]!Table3[[Part Number]:[Annual]],3,0)</f>
        <v>HYDRAULIC FILTER</v>
      </c>
      <c r="E51" s="54">
        <f>VLOOKUP(B51,[1]!Table3[[Part Number]:[Annual]],10,0)</f>
        <v>2</v>
      </c>
      <c r="F51" s="63">
        <f>VLOOKUP(B51,[1]!Table3[[Part Number]:[Annual]],4,0)</f>
        <v>49.252199999999995</v>
      </c>
      <c r="G51" s="24">
        <f t="shared" si="2"/>
        <v>98.50439999999999</v>
      </c>
      <c r="H51" s="24">
        <f>VLOOKUP(B51,[1]!Table3[[Part Number]:[Annual]],5,0)</f>
        <v>24.63</v>
      </c>
      <c r="I51" s="25">
        <f t="shared" si="1"/>
        <v>49.26</v>
      </c>
    </row>
    <row r="52" spans="2:9" x14ac:dyDescent="0.25">
      <c r="B52" s="58" t="s">
        <v>86</v>
      </c>
      <c r="C52" s="54" t="str">
        <f>VLOOKUP(B52,[1]!Table3[[Part Number]:[Annual]],2,0)</f>
        <v xml:space="preserve">JD 470GLC (1FF) HITACHI 470GLC (HCM)          </v>
      </c>
      <c r="D52" s="54" t="str">
        <f>VLOOKUP(B52,[1]!Table3[[Part Number]:[Annual]],3,0)</f>
        <v>FUEL FILTER</v>
      </c>
      <c r="E52" s="54">
        <f>VLOOKUP(B52,[1]!Table3[[Part Number]:[Annual]],10,0)</f>
        <v>4</v>
      </c>
      <c r="F52" s="63">
        <f>VLOOKUP(B52,[1]!Table3[[Part Number]:[Annual]],4,0)</f>
        <v>39.964799999999997</v>
      </c>
      <c r="G52" s="24">
        <f t="shared" si="2"/>
        <v>159.85919999999999</v>
      </c>
      <c r="H52" s="24">
        <f>VLOOKUP(B52,[1]!Table3[[Part Number]:[Annual]],5,0)</f>
        <v>19.98</v>
      </c>
      <c r="I52" s="25">
        <f t="shared" si="1"/>
        <v>79.92</v>
      </c>
    </row>
    <row r="53" spans="2:9" x14ac:dyDescent="0.25">
      <c r="B53" s="58" t="s">
        <v>71</v>
      </c>
      <c r="C53" s="54" t="str">
        <f>VLOOKUP(B53,[1]!Table3[[Part Number]:[Annual]],2,0)</f>
        <v xml:space="preserve">JD 470GLC (1FF) HITACHI 470GLC (HCM)          </v>
      </c>
      <c r="D53" s="54" t="str">
        <f>VLOOKUP(B53,[1]!Table3[[Part Number]:[Annual]],3,0)</f>
        <v>CAB AIR FILTER</v>
      </c>
      <c r="E53" s="54">
        <f>VLOOKUP(B53,[1]!Table3[[Part Number]:[Annual]],10,0)</f>
        <v>0</v>
      </c>
      <c r="F53" s="63">
        <f>VLOOKUP(B53,[1]!Table3[[Part Number]:[Annual]],4,0)</f>
        <v>57.228599999999993</v>
      </c>
      <c r="G53" s="24">
        <f t="shared" si="2"/>
        <v>0</v>
      </c>
      <c r="H53" s="24">
        <f>VLOOKUP(B53,[1]!Table3[[Part Number]:[Annual]],5,0)</f>
        <v>37.200000000000003</v>
      </c>
      <c r="I53" s="25">
        <f t="shared" si="1"/>
        <v>0</v>
      </c>
    </row>
    <row r="54" spans="2:9" x14ac:dyDescent="0.25">
      <c r="B54" s="54" t="s">
        <v>110</v>
      </c>
      <c r="C54" s="54" t="str">
        <f>VLOOKUP(B54,[1]!Table3[[Part Number]:[Annual]],2,0)</f>
        <v xml:space="preserve">HITACHI ZX290LC-5 (1FF) HITACHI ZX290LC-5 (1FF) (2) HITACHI ZX290LC-5 (1FF) (3)        </v>
      </c>
      <c r="D54" s="54" t="str">
        <f>VLOOKUP(B54,[1]!Table3[[Part Number]:[Annual]],3,0)</f>
        <v>ENGINE OIL FILTER</v>
      </c>
      <c r="E54" s="54">
        <f>VLOOKUP(B54,[1]!Table3[[Part Number]:[Annual]],10,0)</f>
        <v>3</v>
      </c>
      <c r="F54" s="63">
        <f>VLOOKUP(B54,[1]!Table3[[Part Number]:[Annual]],4,0)</f>
        <v>27.544799999999999</v>
      </c>
      <c r="G54" s="24">
        <f t="shared" si="2"/>
        <v>82.634399999999999</v>
      </c>
      <c r="H54" s="24">
        <f>VLOOKUP(B54,[1]!Table3[[Part Number]:[Annual]],5,0)</f>
        <v>13.77</v>
      </c>
      <c r="I54" s="25">
        <f t="shared" si="1"/>
        <v>41.31</v>
      </c>
    </row>
    <row r="55" spans="2:9" x14ac:dyDescent="0.25">
      <c r="B55" s="54" t="s">
        <v>87</v>
      </c>
      <c r="C55" s="54" t="str">
        <f>VLOOKUP(B55,[1]!Table3[[Part Number]:[Annual]],2,0)</f>
        <v xml:space="preserve">HITACHI ZX290LC-5 (1FF) HITACHI ZX290LC-5 (1FF) (2) HITACHI ZX290LC-5 (1FF) (3)        </v>
      </c>
      <c r="D55" s="54" t="str">
        <f>VLOOKUP(B55,[1]!Table3[[Part Number]:[Annual]],3,0)</f>
        <v>FUEL FILTER</v>
      </c>
      <c r="E55" s="54">
        <f>VLOOKUP(B55,[1]!Table3[[Part Number]:[Annual]],10,0)</f>
        <v>3</v>
      </c>
      <c r="F55" s="63">
        <f>VLOOKUP(B55,[1]!Table3[[Part Number]:[Annual]],4,0)</f>
        <v>47.306399999999996</v>
      </c>
      <c r="G55" s="24">
        <f t="shared" si="2"/>
        <v>141.91919999999999</v>
      </c>
      <c r="H55" s="24">
        <f>VLOOKUP(B55,[1]!Table3[[Part Number]:[Annual]],5,0)</f>
        <v>23.65</v>
      </c>
      <c r="I55" s="25">
        <f t="shared" si="1"/>
        <v>70.95</v>
      </c>
    </row>
    <row r="56" spans="2:9" x14ac:dyDescent="0.25">
      <c r="B56" s="54" t="s">
        <v>88</v>
      </c>
      <c r="C56" s="54" t="str">
        <f>VLOOKUP(B56,[1]!Table3[[Part Number]:[Annual]],2,0)</f>
        <v xml:space="preserve">HITACHI ZX290LC-5 (1FF) HITACHI ZX290LC-5 (1FF) (2) HITACHI ZX290LC-5 (1FF) (3)        </v>
      </c>
      <c r="D56" s="54" t="str">
        <f>VLOOKUP(B56,[1]!Table3[[Part Number]:[Annual]],3,0)</f>
        <v>FUEL FILTER</v>
      </c>
      <c r="E56" s="54">
        <f>VLOOKUP(B56,[1]!Table3[[Part Number]:[Annual]],10,0)</f>
        <v>3</v>
      </c>
      <c r="F56" s="63">
        <f>VLOOKUP(B56,[1]!Table3[[Part Number]:[Annual]],4,0)</f>
        <v>41.110199999999999</v>
      </c>
      <c r="G56" s="24">
        <f t="shared" si="2"/>
        <v>123.3306</v>
      </c>
      <c r="H56" s="24">
        <f>VLOOKUP(B56,[1]!Table3[[Part Number]:[Annual]],5,0)</f>
        <v>20.56</v>
      </c>
      <c r="I56" s="25">
        <f t="shared" si="1"/>
        <v>61.68</v>
      </c>
    </row>
    <row r="57" spans="2:9" x14ac:dyDescent="0.25">
      <c r="B57" s="21" t="s">
        <v>72</v>
      </c>
      <c r="C57" s="54" t="str">
        <f>VLOOKUP(B57,[1]!Table3[[Part Number]:[Annual]],2,0)</f>
        <v xml:space="preserve">HITACHI ZX290LC-5 (1FF) HITACHI ZX290LC-5 (1FF) (2) HITACHI ZX290LC-5 (1FF) (3)        </v>
      </c>
      <c r="D57" s="54" t="str">
        <f>VLOOKUP(B57,[1]!Table3[[Part Number]:[Annual]],3,0)</f>
        <v>PRIMARY AIR FILTER</v>
      </c>
      <c r="E57" s="54">
        <f>VLOOKUP(B57,[1]!Table3[[Part Number]:[Annual]],10,0)</f>
        <v>3</v>
      </c>
      <c r="F57" s="63">
        <f>VLOOKUP(B57,[1]!Table3[[Part Number]:[Annual]],4,0)</f>
        <v>236.93219999999997</v>
      </c>
      <c r="G57" s="24">
        <f t="shared" si="2"/>
        <v>710.7965999999999</v>
      </c>
      <c r="H57" s="24">
        <f>VLOOKUP(B57,[1]!Table3[[Part Number]:[Annual]],5,0)</f>
        <v>154.01</v>
      </c>
      <c r="I57" s="25">
        <f t="shared" si="1"/>
        <v>462.03</v>
      </c>
    </row>
    <row r="58" spans="2:9" x14ac:dyDescent="0.25">
      <c r="B58" s="21" t="s">
        <v>73</v>
      </c>
      <c r="C58" s="54" t="str">
        <f>VLOOKUP(B58,[1]!Table3[[Part Number]:[Annual]],2,0)</f>
        <v xml:space="preserve">JD 470GLC (1FF) HITACHI 470GLC (HCM)          </v>
      </c>
      <c r="D58" s="54" t="str">
        <f>VLOOKUP(B58,[1]!Table3[[Part Number]:[Annual]],3,0)</f>
        <v>SECONDARY AIR FILTER</v>
      </c>
      <c r="E58" s="54">
        <f>VLOOKUP(B58,[1]!Table3[[Part Number]:[Annual]],10,0)</f>
        <v>2</v>
      </c>
      <c r="F58" s="63">
        <f>VLOOKUP(B58,[1]!Table3[[Part Number]:[Annual]],4,0)</f>
        <v>119.32859999999999</v>
      </c>
      <c r="G58" s="24">
        <f t="shared" si="2"/>
        <v>238.65719999999999</v>
      </c>
      <c r="H58" s="24">
        <f>VLOOKUP(B58,[1]!Table3[[Part Number]:[Annual]],5,0)</f>
        <v>77.56</v>
      </c>
      <c r="I58" s="25">
        <f t="shared" si="1"/>
        <v>155.12</v>
      </c>
    </row>
    <row r="59" spans="2:9" x14ac:dyDescent="0.25">
      <c r="B59" s="21"/>
      <c r="C59" s="52"/>
      <c r="D59" s="21"/>
      <c r="E59" s="51"/>
      <c r="F59" s="23"/>
      <c r="G59" s="24"/>
      <c r="H59" s="24"/>
      <c r="I59" s="25">
        <f t="shared" si="1"/>
        <v>0</v>
      </c>
    </row>
    <row r="60" spans="2:9" x14ac:dyDescent="0.25">
      <c r="B60" s="21"/>
      <c r="C60" s="52"/>
      <c r="D60" s="21"/>
      <c r="E60" s="51"/>
      <c r="F60" s="23"/>
      <c r="G60" s="24"/>
      <c r="H60" s="24"/>
      <c r="I60" s="25">
        <f t="shared" si="1"/>
        <v>0</v>
      </c>
    </row>
    <row r="61" spans="2:9" x14ac:dyDescent="0.25">
      <c r="B61" s="21"/>
      <c r="C61" s="52"/>
      <c r="D61" s="21"/>
      <c r="E61" s="51"/>
      <c r="F61" s="23"/>
      <c r="G61" s="24"/>
      <c r="H61" s="24"/>
      <c r="I61" s="25">
        <f t="shared" si="1"/>
        <v>0</v>
      </c>
    </row>
    <row r="62" spans="2:9" x14ac:dyDescent="0.25">
      <c r="B62" s="21"/>
      <c r="C62" s="52"/>
      <c r="D62" s="21"/>
      <c r="E62" s="51"/>
      <c r="F62" s="23"/>
      <c r="G62" s="24"/>
      <c r="H62" s="24"/>
      <c r="I62" s="25">
        <f t="shared" si="1"/>
        <v>0</v>
      </c>
    </row>
    <row r="63" spans="2:9" x14ac:dyDescent="0.25">
      <c r="B63" s="21"/>
      <c r="C63" s="52"/>
      <c r="D63" s="21"/>
      <c r="E63" s="51"/>
      <c r="F63" s="23"/>
      <c r="G63" s="24"/>
      <c r="H63" s="24"/>
      <c r="I63" s="25">
        <f t="shared" si="1"/>
        <v>0</v>
      </c>
    </row>
    <row r="64" spans="2:9" x14ac:dyDescent="0.25">
      <c r="B64" s="21"/>
      <c r="C64" s="52"/>
      <c r="D64" s="21"/>
      <c r="E64" s="51"/>
      <c r="F64" s="23"/>
      <c r="G64" s="24"/>
      <c r="H64" s="24"/>
      <c r="I64" s="25">
        <f t="shared" si="1"/>
        <v>0</v>
      </c>
    </row>
    <row r="65" spans="2:9" x14ac:dyDescent="0.25">
      <c r="B65" s="21"/>
      <c r="C65" s="52"/>
      <c r="D65" s="21"/>
      <c r="E65" s="51"/>
      <c r="F65" s="23"/>
      <c r="G65" s="24"/>
      <c r="H65" s="24"/>
      <c r="I65" s="25">
        <f t="shared" si="1"/>
        <v>0</v>
      </c>
    </row>
    <row r="66" spans="2:9" x14ac:dyDescent="0.25">
      <c r="B66" s="21"/>
      <c r="C66" s="52"/>
      <c r="D66" s="21"/>
      <c r="E66" s="51"/>
      <c r="F66" s="23"/>
      <c r="G66" s="24"/>
      <c r="H66" s="24"/>
      <c r="I66" s="25">
        <f t="shared" si="1"/>
        <v>0</v>
      </c>
    </row>
    <row r="67" spans="2:9" x14ac:dyDescent="0.25">
      <c r="B67" s="21"/>
      <c r="C67" s="52"/>
      <c r="D67" s="21"/>
      <c r="E67" s="51"/>
      <c r="F67" s="23"/>
      <c r="G67" s="24"/>
      <c r="H67" s="24"/>
      <c r="I67" s="25">
        <f t="shared" si="1"/>
        <v>0</v>
      </c>
    </row>
    <row r="68" spans="2:9" x14ac:dyDescent="0.25">
      <c r="B68" s="21"/>
      <c r="C68" s="52"/>
      <c r="D68" s="21"/>
      <c r="E68" s="51"/>
      <c r="F68" s="23"/>
      <c r="G68" s="24"/>
      <c r="H68" s="24"/>
      <c r="I68" s="25">
        <f t="shared" si="1"/>
        <v>0</v>
      </c>
    </row>
    <row r="69" spans="2:9" x14ac:dyDescent="0.25">
      <c r="B69" s="21"/>
      <c r="C69" s="52"/>
      <c r="D69" s="21"/>
      <c r="E69" s="51"/>
      <c r="F69" s="23"/>
      <c r="G69" s="24"/>
      <c r="H69" s="24"/>
      <c r="I69" s="25">
        <f t="shared" si="1"/>
        <v>0</v>
      </c>
    </row>
    <row r="70" spans="2:9" x14ac:dyDescent="0.25">
      <c r="B70" s="21"/>
      <c r="C70" s="52"/>
      <c r="D70" s="21"/>
      <c r="E70" s="51"/>
      <c r="F70" s="23"/>
      <c r="G70" s="24"/>
      <c r="H70" s="24"/>
      <c r="I70" s="25">
        <f t="shared" si="1"/>
        <v>0</v>
      </c>
    </row>
    <row r="71" spans="2:9" x14ac:dyDescent="0.25">
      <c r="B71" s="21"/>
      <c r="C71" s="52"/>
      <c r="D71" s="21"/>
      <c r="E71" s="51"/>
      <c r="F71" s="23"/>
      <c r="G71" s="24"/>
      <c r="H71" s="24"/>
      <c r="I71" s="25">
        <f t="shared" si="1"/>
        <v>0</v>
      </c>
    </row>
    <row r="72" spans="2:9" x14ac:dyDescent="0.25">
      <c r="B72" s="21"/>
      <c r="C72" s="52"/>
      <c r="D72" s="21"/>
      <c r="E72" s="51"/>
      <c r="F72" s="23"/>
      <c r="G72" s="24"/>
      <c r="H72" s="24"/>
      <c r="I72" s="25">
        <f t="shared" si="1"/>
        <v>0</v>
      </c>
    </row>
    <row r="73" spans="2:9" x14ac:dyDescent="0.25">
      <c r="B73" s="21"/>
      <c r="C73" s="52"/>
      <c r="D73" s="21"/>
      <c r="E73" s="51"/>
      <c r="F73" s="23"/>
      <c r="G73" s="24"/>
      <c r="H73" s="24"/>
      <c r="I73" s="25">
        <f t="shared" si="1"/>
        <v>0</v>
      </c>
    </row>
    <row r="74" spans="2:9" x14ac:dyDescent="0.25">
      <c r="B74" s="21"/>
      <c r="C74" s="52"/>
      <c r="D74" s="21"/>
      <c r="E74" s="51"/>
      <c r="F74" s="23"/>
      <c r="G74" s="24"/>
      <c r="H74" s="24"/>
      <c r="I74" s="25">
        <f t="shared" si="1"/>
        <v>0</v>
      </c>
    </row>
    <row r="75" spans="2:9" x14ac:dyDescent="0.25">
      <c r="B75" s="21"/>
      <c r="C75" s="52"/>
      <c r="D75" s="21"/>
      <c r="E75" s="51"/>
      <c r="F75" s="23"/>
      <c r="G75" s="24"/>
      <c r="H75" s="24"/>
      <c r="I75" s="25">
        <f t="shared" si="1"/>
        <v>0</v>
      </c>
    </row>
    <row r="76" spans="2:9" x14ac:dyDescent="0.25">
      <c r="B76" s="21"/>
      <c r="C76" s="52"/>
      <c r="D76" s="21"/>
      <c r="E76" s="51"/>
      <c r="F76" s="23"/>
      <c r="G76" s="24"/>
      <c r="H76" s="24"/>
      <c r="I76" s="25">
        <f t="shared" si="1"/>
        <v>0</v>
      </c>
    </row>
    <row r="77" spans="2:9" x14ac:dyDescent="0.25">
      <c r="B77" s="21"/>
      <c r="C77" s="52"/>
      <c r="D77" s="21"/>
      <c r="E77" s="51"/>
      <c r="F77" s="23"/>
      <c r="G77" s="24"/>
      <c r="H77" s="24"/>
      <c r="I77" s="25">
        <f t="shared" si="1"/>
        <v>0</v>
      </c>
    </row>
    <row r="78" spans="2:9" x14ac:dyDescent="0.25">
      <c r="B78" s="21"/>
      <c r="C78" s="52"/>
      <c r="D78" s="21"/>
      <c r="E78" s="51"/>
      <c r="F78" s="23"/>
      <c r="G78" s="24"/>
      <c r="H78" s="24"/>
      <c r="I78" s="25">
        <f t="shared" si="1"/>
        <v>0</v>
      </c>
    </row>
    <row r="79" spans="2:9" x14ac:dyDescent="0.25">
      <c r="B79" s="21"/>
      <c r="C79" s="52"/>
      <c r="D79" s="21"/>
      <c r="E79" s="51"/>
      <c r="F79" s="23"/>
      <c r="G79" s="24"/>
      <c r="H79" s="24"/>
      <c r="I79" s="25">
        <f t="shared" ref="I79:I142" si="3">ROUND(E79*H79,2)</f>
        <v>0</v>
      </c>
    </row>
    <row r="80" spans="2:9" x14ac:dyDescent="0.25">
      <c r="B80" s="21"/>
      <c r="C80" s="52"/>
      <c r="D80" s="21"/>
      <c r="E80" s="51"/>
      <c r="F80" s="23"/>
      <c r="G80" s="24"/>
      <c r="H80" s="24"/>
      <c r="I80" s="25">
        <f t="shared" si="3"/>
        <v>0</v>
      </c>
    </row>
    <row r="81" spans="2:9" x14ac:dyDescent="0.25">
      <c r="B81" s="21"/>
      <c r="C81" s="52"/>
      <c r="D81" s="21"/>
      <c r="E81" s="51"/>
      <c r="F81" s="23"/>
      <c r="G81" s="24"/>
      <c r="H81" s="24"/>
      <c r="I81" s="25">
        <f t="shared" si="3"/>
        <v>0</v>
      </c>
    </row>
    <row r="82" spans="2:9" x14ac:dyDescent="0.25">
      <c r="B82" s="21"/>
      <c r="C82" s="52"/>
      <c r="D82" s="21"/>
      <c r="E82" s="51"/>
      <c r="F82" s="23"/>
      <c r="G82" s="24"/>
      <c r="H82" s="24"/>
      <c r="I82" s="25">
        <f t="shared" si="3"/>
        <v>0</v>
      </c>
    </row>
    <row r="83" spans="2:9" x14ac:dyDescent="0.25">
      <c r="B83" s="21"/>
      <c r="C83" s="52"/>
      <c r="D83" s="21"/>
      <c r="E83" s="51"/>
      <c r="F83" s="23"/>
      <c r="G83" s="24"/>
      <c r="H83" s="24"/>
      <c r="I83" s="25">
        <f t="shared" si="3"/>
        <v>0</v>
      </c>
    </row>
    <row r="84" spans="2:9" x14ac:dyDescent="0.25">
      <c r="B84" s="21"/>
      <c r="C84" s="52"/>
      <c r="D84" s="21"/>
      <c r="E84" s="51"/>
      <c r="F84" s="23"/>
      <c r="G84" s="24"/>
      <c r="H84" s="24"/>
      <c r="I84" s="25">
        <f t="shared" si="3"/>
        <v>0</v>
      </c>
    </row>
    <row r="85" spans="2:9" x14ac:dyDescent="0.25">
      <c r="B85" s="21"/>
      <c r="C85" s="52"/>
      <c r="D85" s="21"/>
      <c r="E85" s="51"/>
      <c r="F85" s="23"/>
      <c r="G85" s="24"/>
      <c r="H85" s="24"/>
      <c r="I85" s="25">
        <f t="shared" si="3"/>
        <v>0</v>
      </c>
    </row>
    <row r="86" spans="2:9" x14ac:dyDescent="0.25">
      <c r="B86" s="21"/>
      <c r="C86" s="52"/>
      <c r="D86" s="21"/>
      <c r="E86" s="51"/>
      <c r="F86" s="23"/>
      <c r="G86" s="24"/>
      <c r="H86" s="24"/>
      <c r="I86" s="25">
        <f t="shared" si="3"/>
        <v>0</v>
      </c>
    </row>
    <row r="87" spans="2:9" x14ac:dyDescent="0.25">
      <c r="B87" s="21"/>
      <c r="C87" s="52"/>
      <c r="D87" s="21"/>
      <c r="E87" s="51"/>
      <c r="F87" s="23"/>
      <c r="G87" s="24"/>
      <c r="H87" s="24"/>
      <c r="I87" s="25">
        <f t="shared" si="3"/>
        <v>0</v>
      </c>
    </row>
    <row r="88" spans="2:9" x14ac:dyDescent="0.25">
      <c r="B88" s="21"/>
      <c r="C88" s="52"/>
      <c r="D88" s="21"/>
      <c r="E88" s="51"/>
      <c r="F88" s="23"/>
      <c r="G88" s="24"/>
      <c r="H88" s="24"/>
      <c r="I88" s="25">
        <f t="shared" si="3"/>
        <v>0</v>
      </c>
    </row>
    <row r="89" spans="2:9" x14ac:dyDescent="0.25">
      <c r="B89" s="21"/>
      <c r="C89" s="52"/>
      <c r="D89" s="21"/>
      <c r="E89" s="51"/>
      <c r="F89" s="23"/>
      <c r="G89" s="24"/>
      <c r="H89" s="24"/>
      <c r="I89" s="25">
        <f t="shared" si="3"/>
        <v>0</v>
      </c>
    </row>
    <row r="90" spans="2:9" x14ac:dyDescent="0.25">
      <c r="B90" s="21"/>
      <c r="C90" s="52"/>
      <c r="D90" s="21"/>
      <c r="E90" s="51"/>
      <c r="F90" s="23"/>
      <c r="G90" s="24"/>
      <c r="H90" s="24"/>
      <c r="I90" s="25">
        <f t="shared" si="3"/>
        <v>0</v>
      </c>
    </row>
    <row r="91" spans="2:9" x14ac:dyDescent="0.25">
      <c r="B91" s="21"/>
      <c r="C91" s="52"/>
      <c r="D91" s="21"/>
      <c r="E91" s="51"/>
      <c r="F91" s="23"/>
      <c r="G91" s="24"/>
      <c r="H91" s="24"/>
      <c r="I91" s="25">
        <f t="shared" si="3"/>
        <v>0</v>
      </c>
    </row>
    <row r="92" spans="2:9" x14ac:dyDescent="0.25">
      <c r="B92" s="21"/>
      <c r="C92" s="52"/>
      <c r="D92" s="21"/>
      <c r="E92" s="51"/>
      <c r="F92" s="23"/>
      <c r="G92" s="24"/>
      <c r="H92" s="24"/>
      <c r="I92" s="25">
        <f t="shared" si="3"/>
        <v>0</v>
      </c>
    </row>
    <row r="93" spans="2:9" x14ac:dyDescent="0.25">
      <c r="B93" s="21"/>
      <c r="C93" s="52"/>
      <c r="D93" s="21"/>
      <c r="E93" s="51"/>
      <c r="F93" s="23"/>
      <c r="G93" s="24"/>
      <c r="H93" s="24"/>
      <c r="I93" s="25">
        <f t="shared" si="3"/>
        <v>0</v>
      </c>
    </row>
    <row r="94" spans="2:9" x14ac:dyDescent="0.25">
      <c r="B94" s="21"/>
      <c r="C94" s="52"/>
      <c r="D94" s="21"/>
      <c r="E94" s="51"/>
      <c r="F94" s="23"/>
      <c r="G94" s="24"/>
      <c r="H94" s="24"/>
      <c r="I94" s="25">
        <f t="shared" si="3"/>
        <v>0</v>
      </c>
    </row>
    <row r="95" spans="2:9" x14ac:dyDescent="0.25">
      <c r="B95" s="21"/>
      <c r="C95" s="52"/>
      <c r="D95" s="21"/>
      <c r="E95" s="51"/>
      <c r="F95" s="23"/>
      <c r="G95" s="24"/>
      <c r="H95" s="24"/>
      <c r="I95" s="25">
        <f t="shared" si="3"/>
        <v>0</v>
      </c>
    </row>
    <row r="96" spans="2:9" x14ac:dyDescent="0.25">
      <c r="B96" s="21"/>
      <c r="C96" s="52"/>
      <c r="D96" s="21"/>
      <c r="E96" s="51"/>
      <c r="F96" s="23"/>
      <c r="G96" s="24"/>
      <c r="H96" s="24"/>
      <c r="I96" s="25">
        <f t="shared" si="3"/>
        <v>0</v>
      </c>
    </row>
    <row r="97" spans="2:9" x14ac:dyDescent="0.25">
      <c r="B97" s="21"/>
      <c r="C97" s="52"/>
      <c r="D97" s="21"/>
      <c r="E97" s="51"/>
      <c r="F97" s="23"/>
      <c r="G97" s="24"/>
      <c r="H97" s="24"/>
      <c r="I97" s="25">
        <f t="shared" si="3"/>
        <v>0</v>
      </c>
    </row>
    <row r="98" spans="2:9" x14ac:dyDescent="0.25">
      <c r="B98" s="21"/>
      <c r="C98" s="52"/>
      <c r="D98" s="21"/>
      <c r="E98" s="51"/>
      <c r="F98" s="23"/>
      <c r="G98" s="24"/>
      <c r="H98" s="24"/>
      <c r="I98" s="25">
        <f t="shared" si="3"/>
        <v>0</v>
      </c>
    </row>
    <row r="99" spans="2:9" x14ac:dyDescent="0.25">
      <c r="B99" s="21"/>
      <c r="C99" s="52"/>
      <c r="D99" s="21"/>
      <c r="E99" s="51"/>
      <c r="F99" s="23"/>
      <c r="G99" s="24"/>
      <c r="H99" s="24"/>
      <c r="I99" s="25">
        <f t="shared" si="3"/>
        <v>0</v>
      </c>
    </row>
    <row r="100" spans="2:9" x14ac:dyDescent="0.25">
      <c r="B100" s="21"/>
      <c r="C100" s="52"/>
      <c r="D100" s="21"/>
      <c r="E100" s="51"/>
      <c r="F100" s="23"/>
      <c r="G100" s="24"/>
      <c r="H100" s="24"/>
      <c r="I100" s="25">
        <f t="shared" si="3"/>
        <v>0</v>
      </c>
    </row>
    <row r="101" spans="2:9" x14ac:dyDescent="0.25">
      <c r="B101" s="21"/>
      <c r="C101" s="52"/>
      <c r="D101" s="21"/>
      <c r="E101" s="51"/>
      <c r="F101" s="23"/>
      <c r="G101" s="24"/>
      <c r="H101" s="24"/>
      <c r="I101" s="25">
        <f t="shared" si="3"/>
        <v>0</v>
      </c>
    </row>
    <row r="102" spans="2:9" x14ac:dyDescent="0.25">
      <c r="B102" s="21"/>
      <c r="C102" s="52"/>
      <c r="D102" s="21"/>
      <c r="E102" s="51"/>
      <c r="F102" s="23"/>
      <c r="G102" s="24"/>
      <c r="H102" s="24"/>
      <c r="I102" s="25">
        <f t="shared" si="3"/>
        <v>0</v>
      </c>
    </row>
    <row r="103" spans="2:9" x14ac:dyDescent="0.25">
      <c r="B103" s="21"/>
      <c r="C103" s="52"/>
      <c r="D103" s="21"/>
      <c r="E103" s="51"/>
      <c r="F103" s="23"/>
      <c r="G103" s="24"/>
      <c r="H103" s="24"/>
      <c r="I103" s="25">
        <f t="shared" si="3"/>
        <v>0</v>
      </c>
    </row>
    <row r="104" spans="2:9" x14ac:dyDescent="0.25">
      <c r="B104" s="21"/>
      <c r="C104" s="52"/>
      <c r="D104" s="21"/>
      <c r="E104" s="51"/>
      <c r="F104" s="23"/>
      <c r="G104" s="24"/>
      <c r="H104" s="24"/>
      <c r="I104" s="25">
        <f t="shared" si="3"/>
        <v>0</v>
      </c>
    </row>
    <row r="105" spans="2:9" x14ac:dyDescent="0.25">
      <c r="B105" s="21"/>
      <c r="C105" s="52"/>
      <c r="D105" s="21"/>
      <c r="E105" s="51"/>
      <c r="F105" s="23"/>
      <c r="G105" s="24"/>
      <c r="H105" s="24"/>
      <c r="I105" s="25">
        <f t="shared" si="3"/>
        <v>0</v>
      </c>
    </row>
    <row r="106" spans="2:9" x14ac:dyDescent="0.25">
      <c r="B106" s="21"/>
      <c r="C106" s="52"/>
      <c r="D106" s="21"/>
      <c r="E106" s="51"/>
      <c r="F106" s="23"/>
      <c r="G106" s="24"/>
      <c r="H106" s="24"/>
      <c r="I106" s="25">
        <f t="shared" si="3"/>
        <v>0</v>
      </c>
    </row>
    <row r="107" spans="2:9" x14ac:dyDescent="0.25">
      <c r="B107" s="21"/>
      <c r="C107" s="52"/>
      <c r="D107" s="21"/>
      <c r="E107" s="51"/>
      <c r="F107" s="23"/>
      <c r="G107" s="24"/>
      <c r="H107" s="24"/>
      <c r="I107" s="25">
        <f t="shared" si="3"/>
        <v>0</v>
      </c>
    </row>
    <row r="108" spans="2:9" x14ac:dyDescent="0.25">
      <c r="B108" s="21"/>
      <c r="C108" s="52"/>
      <c r="D108" s="21"/>
      <c r="E108" s="51"/>
      <c r="F108" s="23"/>
      <c r="G108" s="24"/>
      <c r="H108" s="24"/>
      <c r="I108" s="25">
        <f t="shared" si="3"/>
        <v>0</v>
      </c>
    </row>
    <row r="109" spans="2:9" x14ac:dyDescent="0.25">
      <c r="B109" s="21"/>
      <c r="C109" s="52"/>
      <c r="D109" s="21"/>
      <c r="E109" s="51"/>
      <c r="F109" s="23"/>
      <c r="G109" s="24"/>
      <c r="H109" s="24"/>
      <c r="I109" s="25">
        <f t="shared" si="3"/>
        <v>0</v>
      </c>
    </row>
    <row r="110" spans="2:9" x14ac:dyDescent="0.25">
      <c r="B110" s="21"/>
      <c r="C110" s="52"/>
      <c r="D110" s="21"/>
      <c r="E110" s="51"/>
      <c r="F110" s="23"/>
      <c r="G110" s="24"/>
      <c r="H110" s="24"/>
      <c r="I110" s="25">
        <f t="shared" si="3"/>
        <v>0</v>
      </c>
    </row>
    <row r="111" spans="2:9" x14ac:dyDescent="0.25">
      <c r="B111" s="21"/>
      <c r="C111" s="52"/>
      <c r="D111" s="21"/>
      <c r="E111" s="51"/>
      <c r="F111" s="23"/>
      <c r="G111" s="24"/>
      <c r="H111" s="24"/>
      <c r="I111" s="25">
        <f t="shared" si="3"/>
        <v>0</v>
      </c>
    </row>
    <row r="112" spans="2:9" x14ac:dyDescent="0.25">
      <c r="B112" s="21"/>
      <c r="C112" s="52"/>
      <c r="D112" s="21"/>
      <c r="E112" s="51"/>
      <c r="F112" s="23"/>
      <c r="G112" s="24"/>
      <c r="H112" s="24"/>
      <c r="I112" s="25">
        <f t="shared" si="3"/>
        <v>0</v>
      </c>
    </row>
    <row r="113" spans="2:9" x14ac:dyDescent="0.25">
      <c r="B113" s="21"/>
      <c r="C113" s="52"/>
      <c r="D113" s="21"/>
      <c r="E113" s="51"/>
      <c r="F113" s="23"/>
      <c r="G113" s="24"/>
      <c r="H113" s="24"/>
      <c r="I113" s="25">
        <f t="shared" si="3"/>
        <v>0</v>
      </c>
    </row>
    <row r="114" spans="2:9" x14ac:dyDescent="0.25">
      <c r="B114" s="21"/>
      <c r="C114" s="52"/>
      <c r="D114" s="21"/>
      <c r="E114" s="51"/>
      <c r="F114" s="23"/>
      <c r="G114" s="24"/>
      <c r="H114" s="24"/>
      <c r="I114" s="25">
        <f t="shared" si="3"/>
        <v>0</v>
      </c>
    </row>
    <row r="115" spans="2:9" x14ac:dyDescent="0.25">
      <c r="B115" s="21"/>
      <c r="C115" s="52"/>
      <c r="D115" s="21"/>
      <c r="E115" s="51"/>
      <c r="F115" s="23"/>
      <c r="G115" s="24"/>
      <c r="H115" s="24"/>
      <c r="I115" s="25">
        <f t="shared" si="3"/>
        <v>0</v>
      </c>
    </row>
    <row r="116" spans="2:9" x14ac:dyDescent="0.25">
      <c r="B116" s="21"/>
      <c r="C116" s="52"/>
      <c r="D116" s="21"/>
      <c r="E116" s="51"/>
      <c r="F116" s="23"/>
      <c r="G116" s="24"/>
      <c r="H116" s="24"/>
      <c r="I116" s="25">
        <f t="shared" si="3"/>
        <v>0</v>
      </c>
    </row>
    <row r="117" spans="2:9" x14ac:dyDescent="0.25">
      <c r="B117" s="21"/>
      <c r="C117" s="52"/>
      <c r="D117" s="21"/>
      <c r="E117" s="51"/>
      <c r="F117" s="23"/>
      <c r="G117" s="24"/>
      <c r="H117" s="24"/>
      <c r="I117" s="25">
        <f t="shared" si="3"/>
        <v>0</v>
      </c>
    </row>
    <row r="118" spans="2:9" x14ac:dyDescent="0.25">
      <c r="B118" s="21"/>
      <c r="C118" s="52"/>
      <c r="D118" s="21"/>
      <c r="E118" s="51"/>
      <c r="F118" s="23"/>
      <c r="G118" s="24"/>
      <c r="H118" s="24"/>
      <c r="I118" s="25">
        <f t="shared" si="3"/>
        <v>0</v>
      </c>
    </row>
    <row r="119" spans="2:9" x14ac:dyDescent="0.25">
      <c r="B119" s="21"/>
      <c r="C119" s="52"/>
      <c r="D119" s="21"/>
      <c r="E119" s="51"/>
      <c r="F119" s="23"/>
      <c r="G119" s="24"/>
      <c r="H119" s="24"/>
      <c r="I119" s="25">
        <f t="shared" si="3"/>
        <v>0</v>
      </c>
    </row>
    <row r="120" spans="2:9" x14ac:dyDescent="0.25">
      <c r="B120" s="21"/>
      <c r="C120" s="52"/>
      <c r="D120" s="21"/>
      <c r="E120" s="51"/>
      <c r="F120" s="23"/>
      <c r="G120" s="24"/>
      <c r="H120" s="24"/>
      <c r="I120" s="25">
        <f t="shared" si="3"/>
        <v>0</v>
      </c>
    </row>
    <row r="121" spans="2:9" x14ac:dyDescent="0.25">
      <c r="B121" s="21"/>
      <c r="C121" s="52"/>
      <c r="D121" s="21"/>
      <c r="E121" s="51"/>
      <c r="F121" s="23"/>
      <c r="G121" s="24"/>
      <c r="H121" s="24"/>
      <c r="I121" s="25">
        <f t="shared" si="3"/>
        <v>0</v>
      </c>
    </row>
    <row r="122" spans="2:9" x14ac:dyDescent="0.25">
      <c r="B122" s="21"/>
      <c r="C122" s="52"/>
      <c r="D122" s="21"/>
      <c r="E122" s="51"/>
      <c r="F122" s="23"/>
      <c r="G122" s="24"/>
      <c r="H122" s="24"/>
      <c r="I122" s="25">
        <f t="shared" si="3"/>
        <v>0</v>
      </c>
    </row>
    <row r="123" spans="2:9" x14ac:dyDescent="0.25">
      <c r="B123" s="21"/>
      <c r="C123" s="52"/>
      <c r="D123" s="21"/>
      <c r="E123" s="51"/>
      <c r="F123" s="23"/>
      <c r="G123" s="24"/>
      <c r="H123" s="24"/>
      <c r="I123" s="25">
        <f t="shared" si="3"/>
        <v>0</v>
      </c>
    </row>
    <row r="124" spans="2:9" x14ac:dyDescent="0.25">
      <c r="B124" s="21"/>
      <c r="C124" s="52"/>
      <c r="D124" s="21"/>
      <c r="E124" s="51"/>
      <c r="F124" s="23"/>
      <c r="G124" s="24"/>
      <c r="H124" s="24"/>
      <c r="I124" s="25">
        <f t="shared" si="3"/>
        <v>0</v>
      </c>
    </row>
    <row r="125" spans="2:9" x14ac:dyDescent="0.25">
      <c r="B125" s="21"/>
      <c r="C125" s="52"/>
      <c r="D125" s="21"/>
      <c r="E125" s="51"/>
      <c r="F125" s="23"/>
      <c r="G125" s="24"/>
      <c r="H125" s="24"/>
      <c r="I125" s="25">
        <f t="shared" si="3"/>
        <v>0</v>
      </c>
    </row>
    <row r="126" spans="2:9" x14ac:dyDescent="0.25">
      <c r="B126" s="21"/>
      <c r="C126" s="52"/>
      <c r="D126" s="21"/>
      <c r="E126" s="51"/>
      <c r="F126" s="23"/>
      <c r="G126" s="24"/>
      <c r="H126" s="24"/>
      <c r="I126" s="25">
        <f t="shared" si="3"/>
        <v>0</v>
      </c>
    </row>
    <row r="127" spans="2:9" x14ac:dyDescent="0.25">
      <c r="B127" s="21"/>
      <c r="C127" s="52"/>
      <c r="D127" s="21"/>
      <c r="E127" s="51"/>
      <c r="F127" s="23"/>
      <c r="G127" s="24"/>
      <c r="H127" s="24"/>
      <c r="I127" s="25">
        <f t="shared" si="3"/>
        <v>0</v>
      </c>
    </row>
    <row r="128" spans="2:9" x14ac:dyDescent="0.25">
      <c r="B128" s="21"/>
      <c r="C128" s="52"/>
      <c r="D128" s="21"/>
      <c r="E128" s="51"/>
      <c r="F128" s="23"/>
      <c r="G128" s="24"/>
      <c r="H128" s="24"/>
      <c r="I128" s="25">
        <f t="shared" si="3"/>
        <v>0</v>
      </c>
    </row>
    <row r="129" spans="2:9" x14ac:dyDescent="0.25">
      <c r="B129" s="21"/>
      <c r="C129" s="52"/>
      <c r="D129" s="21"/>
      <c r="E129" s="51"/>
      <c r="F129" s="23"/>
      <c r="G129" s="24"/>
      <c r="H129" s="24"/>
      <c r="I129" s="25">
        <f t="shared" si="3"/>
        <v>0</v>
      </c>
    </row>
    <row r="130" spans="2:9" x14ac:dyDescent="0.25">
      <c r="B130" s="21"/>
      <c r="C130" s="52"/>
      <c r="D130" s="21"/>
      <c r="E130" s="51"/>
      <c r="F130" s="23"/>
      <c r="G130" s="24"/>
      <c r="H130" s="24"/>
      <c r="I130" s="25">
        <f t="shared" si="3"/>
        <v>0</v>
      </c>
    </row>
    <row r="131" spans="2:9" x14ac:dyDescent="0.25">
      <c r="B131" s="21"/>
      <c r="C131" s="52"/>
      <c r="D131" s="21"/>
      <c r="E131" s="51"/>
      <c r="F131" s="23"/>
      <c r="G131" s="24"/>
      <c r="H131" s="24"/>
      <c r="I131" s="25">
        <f t="shared" si="3"/>
        <v>0</v>
      </c>
    </row>
    <row r="132" spans="2:9" x14ac:dyDescent="0.25">
      <c r="B132" s="21"/>
      <c r="C132" s="52"/>
      <c r="D132" s="21"/>
      <c r="E132" s="51"/>
      <c r="F132" s="23"/>
      <c r="G132" s="24"/>
      <c r="H132" s="24"/>
      <c r="I132" s="25">
        <f t="shared" si="3"/>
        <v>0</v>
      </c>
    </row>
    <row r="133" spans="2:9" x14ac:dyDescent="0.25">
      <c r="B133" s="21"/>
      <c r="C133" s="52"/>
      <c r="D133" s="21"/>
      <c r="E133" s="51"/>
      <c r="F133" s="23"/>
      <c r="G133" s="24"/>
      <c r="H133" s="24"/>
      <c r="I133" s="25">
        <f t="shared" si="3"/>
        <v>0</v>
      </c>
    </row>
    <row r="134" spans="2:9" x14ac:dyDescent="0.25">
      <c r="B134" s="21"/>
      <c r="C134" s="52"/>
      <c r="D134" s="21"/>
      <c r="E134" s="51"/>
      <c r="F134" s="23"/>
      <c r="G134" s="24"/>
      <c r="H134" s="24"/>
      <c r="I134" s="25">
        <f t="shared" si="3"/>
        <v>0</v>
      </c>
    </row>
    <row r="135" spans="2:9" x14ac:dyDescent="0.25">
      <c r="B135" s="21"/>
      <c r="C135" s="52"/>
      <c r="D135" s="21"/>
      <c r="E135" s="51"/>
      <c r="F135" s="23"/>
      <c r="G135" s="24"/>
      <c r="H135" s="24"/>
      <c r="I135" s="25">
        <f t="shared" si="3"/>
        <v>0</v>
      </c>
    </row>
    <row r="136" spans="2:9" x14ac:dyDescent="0.25">
      <c r="B136" s="21"/>
      <c r="C136" s="52"/>
      <c r="D136" s="21"/>
      <c r="E136" s="51"/>
      <c r="F136" s="23"/>
      <c r="G136" s="24"/>
      <c r="H136" s="24"/>
      <c r="I136" s="25">
        <f t="shared" si="3"/>
        <v>0</v>
      </c>
    </row>
    <row r="137" spans="2:9" x14ac:dyDescent="0.25">
      <c r="B137" s="21"/>
      <c r="C137" s="52"/>
      <c r="D137" s="21"/>
      <c r="E137" s="51"/>
      <c r="F137" s="23"/>
      <c r="G137" s="24"/>
      <c r="H137" s="24"/>
      <c r="I137" s="25">
        <f t="shared" si="3"/>
        <v>0</v>
      </c>
    </row>
    <row r="138" spans="2:9" x14ac:dyDescent="0.25">
      <c r="B138" s="21"/>
      <c r="C138" s="52"/>
      <c r="D138" s="21"/>
      <c r="E138" s="51"/>
      <c r="F138" s="23"/>
      <c r="G138" s="24"/>
      <c r="H138" s="24"/>
      <c r="I138" s="25">
        <f t="shared" si="3"/>
        <v>0</v>
      </c>
    </row>
    <row r="139" spans="2:9" x14ac:dyDescent="0.25">
      <c r="B139" s="21"/>
      <c r="C139" s="52"/>
      <c r="D139" s="21"/>
      <c r="E139" s="51"/>
      <c r="F139" s="23"/>
      <c r="G139" s="24"/>
      <c r="H139" s="24"/>
      <c r="I139" s="25">
        <f t="shared" si="3"/>
        <v>0</v>
      </c>
    </row>
    <row r="140" spans="2:9" x14ac:dyDescent="0.25">
      <c r="B140" s="21"/>
      <c r="C140" s="52"/>
      <c r="D140" s="21"/>
      <c r="E140" s="51"/>
      <c r="F140" s="23"/>
      <c r="G140" s="24"/>
      <c r="H140" s="24"/>
      <c r="I140" s="25">
        <f t="shared" si="3"/>
        <v>0</v>
      </c>
    </row>
    <row r="141" spans="2:9" x14ac:dyDescent="0.25">
      <c r="B141" s="21"/>
      <c r="C141" s="52"/>
      <c r="D141" s="21"/>
      <c r="E141" s="51"/>
      <c r="F141" s="23"/>
      <c r="G141" s="24"/>
      <c r="H141" s="24"/>
      <c r="I141" s="25">
        <f t="shared" si="3"/>
        <v>0</v>
      </c>
    </row>
    <row r="142" spans="2:9" x14ac:dyDescent="0.25">
      <c r="B142" s="21"/>
      <c r="C142" s="52"/>
      <c r="D142" s="21"/>
      <c r="E142" s="51"/>
      <c r="F142" s="23"/>
      <c r="G142" s="24"/>
      <c r="H142" s="24"/>
      <c r="I142" s="25">
        <f t="shared" si="3"/>
        <v>0</v>
      </c>
    </row>
    <row r="143" spans="2:9" x14ac:dyDescent="0.25">
      <c r="B143" s="21"/>
      <c r="C143" s="52"/>
      <c r="D143" s="21"/>
      <c r="E143" s="51"/>
      <c r="F143" s="23"/>
      <c r="G143" s="24"/>
      <c r="H143" s="24"/>
      <c r="I143" s="25">
        <f t="shared" ref="I143:I164" si="4">ROUND(E143*H143,2)</f>
        <v>0</v>
      </c>
    </row>
    <row r="144" spans="2:9" x14ac:dyDescent="0.25">
      <c r="B144" s="21"/>
      <c r="C144" s="52"/>
      <c r="D144" s="21"/>
      <c r="E144" s="51"/>
      <c r="F144" s="23"/>
      <c r="G144" s="24"/>
      <c r="H144" s="24"/>
      <c r="I144" s="25">
        <f t="shared" si="4"/>
        <v>0</v>
      </c>
    </row>
    <row r="145" spans="2:9" x14ac:dyDescent="0.25">
      <c r="B145" s="21"/>
      <c r="C145" s="52"/>
      <c r="D145" s="21"/>
      <c r="E145" s="51"/>
      <c r="F145" s="23"/>
      <c r="G145" s="24"/>
      <c r="H145" s="24"/>
      <c r="I145" s="25">
        <f t="shared" si="4"/>
        <v>0</v>
      </c>
    </row>
    <row r="146" spans="2:9" x14ac:dyDescent="0.25">
      <c r="B146" s="21"/>
      <c r="C146" s="52"/>
      <c r="D146" s="21"/>
      <c r="E146" s="51"/>
      <c r="F146" s="23"/>
      <c r="G146" s="24"/>
      <c r="H146" s="24"/>
      <c r="I146" s="25">
        <f t="shared" si="4"/>
        <v>0</v>
      </c>
    </row>
    <row r="147" spans="2:9" x14ac:dyDescent="0.25">
      <c r="B147" s="21"/>
      <c r="C147" s="52"/>
      <c r="D147" s="21"/>
      <c r="E147" s="51"/>
      <c r="F147" s="23"/>
      <c r="G147" s="24"/>
      <c r="H147" s="24"/>
      <c r="I147" s="25">
        <f t="shared" si="4"/>
        <v>0</v>
      </c>
    </row>
    <row r="148" spans="2:9" x14ac:dyDescent="0.25">
      <c r="B148" s="21"/>
      <c r="C148" s="52"/>
      <c r="D148" s="21"/>
      <c r="E148" s="51"/>
      <c r="F148" s="23"/>
      <c r="G148" s="24"/>
      <c r="H148" s="24"/>
      <c r="I148" s="25">
        <f t="shared" si="4"/>
        <v>0</v>
      </c>
    </row>
    <row r="149" spans="2:9" x14ac:dyDescent="0.25">
      <c r="B149" s="21"/>
      <c r="C149" s="52"/>
      <c r="D149" s="21"/>
      <c r="E149" s="51"/>
      <c r="F149" s="23"/>
      <c r="G149" s="24"/>
      <c r="H149" s="24"/>
      <c r="I149" s="25">
        <f t="shared" si="4"/>
        <v>0</v>
      </c>
    </row>
    <row r="150" spans="2:9" x14ac:dyDescent="0.25">
      <c r="B150" s="21"/>
      <c r="C150" s="52"/>
      <c r="D150" s="21"/>
      <c r="E150" s="51"/>
      <c r="F150" s="23"/>
      <c r="G150" s="24"/>
      <c r="H150" s="24"/>
      <c r="I150" s="25">
        <f t="shared" si="4"/>
        <v>0</v>
      </c>
    </row>
    <row r="151" spans="2:9" x14ac:dyDescent="0.25">
      <c r="B151" s="21"/>
      <c r="C151" s="52"/>
      <c r="D151" s="21"/>
      <c r="E151" s="51"/>
      <c r="F151" s="23"/>
      <c r="G151" s="24"/>
      <c r="H151" s="24"/>
      <c r="I151" s="25">
        <f t="shared" si="4"/>
        <v>0</v>
      </c>
    </row>
    <row r="152" spans="2:9" x14ac:dyDescent="0.25">
      <c r="B152" s="21"/>
      <c r="C152" s="52"/>
      <c r="D152" s="21"/>
      <c r="E152" s="51"/>
      <c r="F152" s="23"/>
      <c r="G152" s="24"/>
      <c r="H152" s="24"/>
      <c r="I152" s="25">
        <f t="shared" si="4"/>
        <v>0</v>
      </c>
    </row>
    <row r="153" spans="2:9" x14ac:dyDescent="0.25">
      <c r="B153" s="21"/>
      <c r="C153" s="52"/>
      <c r="D153" s="21"/>
      <c r="E153" s="51"/>
      <c r="F153" s="23"/>
      <c r="G153" s="24"/>
      <c r="H153" s="24"/>
      <c r="I153" s="25">
        <f t="shared" si="4"/>
        <v>0</v>
      </c>
    </row>
    <row r="154" spans="2:9" x14ac:dyDescent="0.25">
      <c r="B154" s="21"/>
      <c r="C154" s="52"/>
      <c r="D154" s="21"/>
      <c r="E154" s="51"/>
      <c r="F154" s="23"/>
      <c r="G154" s="24"/>
      <c r="H154" s="24"/>
      <c r="I154" s="25">
        <f t="shared" si="4"/>
        <v>0</v>
      </c>
    </row>
    <row r="155" spans="2:9" x14ac:dyDescent="0.25">
      <c r="B155" s="21"/>
      <c r="C155" s="52"/>
      <c r="D155" s="21"/>
      <c r="E155" s="51"/>
      <c r="F155" s="23"/>
      <c r="G155" s="24"/>
      <c r="H155" s="24"/>
      <c r="I155" s="25">
        <f t="shared" si="4"/>
        <v>0</v>
      </c>
    </row>
    <row r="156" spans="2:9" x14ac:dyDescent="0.25">
      <c r="B156" s="21"/>
      <c r="C156" s="52"/>
      <c r="D156" s="21"/>
      <c r="E156" s="51"/>
      <c r="F156" s="23"/>
      <c r="G156" s="24"/>
      <c r="H156" s="24"/>
      <c r="I156" s="25">
        <f t="shared" si="4"/>
        <v>0</v>
      </c>
    </row>
    <row r="157" spans="2:9" x14ac:dyDescent="0.25">
      <c r="B157" s="21"/>
      <c r="C157" s="52"/>
      <c r="D157" s="21"/>
      <c r="E157" s="51"/>
      <c r="F157" s="23"/>
      <c r="G157" s="24"/>
      <c r="H157" s="24"/>
      <c r="I157" s="25">
        <f t="shared" si="4"/>
        <v>0</v>
      </c>
    </row>
    <row r="158" spans="2:9" x14ac:dyDescent="0.25">
      <c r="B158" s="21"/>
      <c r="C158" s="52"/>
      <c r="D158" s="21"/>
      <c r="E158" s="51"/>
      <c r="F158" s="23"/>
      <c r="G158" s="24"/>
      <c r="H158" s="24"/>
      <c r="I158" s="25">
        <f t="shared" si="4"/>
        <v>0</v>
      </c>
    </row>
    <row r="159" spans="2:9" x14ac:dyDescent="0.25">
      <c r="B159" s="21"/>
      <c r="C159" s="52"/>
      <c r="D159" s="21"/>
      <c r="E159" s="51"/>
      <c r="F159" s="23"/>
      <c r="G159" s="24"/>
      <c r="H159" s="24"/>
      <c r="I159" s="25">
        <f t="shared" si="4"/>
        <v>0</v>
      </c>
    </row>
    <row r="160" spans="2:9" x14ac:dyDescent="0.25">
      <c r="B160" s="21"/>
      <c r="C160" s="52"/>
      <c r="D160" s="21"/>
      <c r="E160" s="51"/>
      <c r="F160" s="23"/>
      <c r="G160" s="24"/>
      <c r="H160" s="24"/>
      <c r="I160" s="25">
        <f t="shared" si="4"/>
        <v>0</v>
      </c>
    </row>
    <row r="161" spans="2:9" x14ac:dyDescent="0.25">
      <c r="B161" s="21"/>
      <c r="C161" s="52"/>
      <c r="D161" s="21"/>
      <c r="E161" s="51"/>
      <c r="F161" s="23"/>
      <c r="G161" s="24"/>
      <c r="H161" s="24"/>
      <c r="I161" s="25">
        <f t="shared" si="4"/>
        <v>0</v>
      </c>
    </row>
    <row r="162" spans="2:9" x14ac:dyDescent="0.25">
      <c r="B162" s="21"/>
      <c r="C162" s="52"/>
      <c r="D162" s="21"/>
      <c r="E162" s="51"/>
      <c r="F162" s="23"/>
      <c r="G162" s="24"/>
      <c r="H162" s="24"/>
      <c r="I162" s="25">
        <f t="shared" si="4"/>
        <v>0</v>
      </c>
    </row>
    <row r="163" spans="2:9" x14ac:dyDescent="0.25">
      <c r="B163" s="21"/>
      <c r="C163" s="52"/>
      <c r="D163" s="21"/>
      <c r="E163" s="51"/>
      <c r="F163" s="23"/>
      <c r="G163" s="24"/>
      <c r="H163" s="24"/>
      <c r="I163" s="25">
        <f t="shared" si="4"/>
        <v>0</v>
      </c>
    </row>
    <row r="164" spans="2:9" x14ac:dyDescent="0.25">
      <c r="B164" s="21"/>
      <c r="C164" s="52"/>
      <c r="D164" s="21"/>
      <c r="E164" s="51"/>
      <c r="F164" s="23"/>
      <c r="G164" s="24"/>
      <c r="H164" s="24"/>
      <c r="I164" s="25">
        <f t="shared" si="4"/>
        <v>0</v>
      </c>
    </row>
    <row r="165" spans="2:9" x14ac:dyDescent="0.25">
      <c r="B165" s="75"/>
      <c r="C165" s="76"/>
      <c r="D165" s="76"/>
      <c r="E165" s="76"/>
      <c r="F165" s="77"/>
      <c r="G165" s="26"/>
      <c r="H165" s="27" t="s">
        <v>16</v>
      </c>
      <c r="I165" s="28">
        <f>SUM(I15:I164)</f>
        <v>11417.390000000003</v>
      </c>
    </row>
    <row r="166" spans="2:9" x14ac:dyDescent="0.25">
      <c r="B166" s="29"/>
      <c r="C166" s="30"/>
      <c r="D166" s="31" t="s">
        <v>17</v>
      </c>
      <c r="E166" s="78">
        <f>SUM(G15:G164)</f>
        <v>19811.282000000003</v>
      </c>
      <c r="F166" s="79"/>
      <c r="G166" s="32"/>
      <c r="H166" s="27" t="s">
        <v>18</v>
      </c>
      <c r="I166" s="33">
        <v>0</v>
      </c>
    </row>
    <row r="167" spans="2:9" x14ac:dyDescent="0.25">
      <c r="B167" s="29"/>
      <c r="C167" s="30"/>
      <c r="D167" s="31" t="s">
        <v>19</v>
      </c>
      <c r="E167" s="78">
        <f>SUM(I15:I164)</f>
        <v>11417.390000000003</v>
      </c>
      <c r="F167" s="79"/>
      <c r="G167" s="32"/>
      <c r="H167" s="34" t="s">
        <v>20</v>
      </c>
      <c r="I167" s="33">
        <v>0</v>
      </c>
    </row>
    <row r="168" spans="2:9" x14ac:dyDescent="0.25">
      <c r="B168" s="29"/>
      <c r="C168" s="30"/>
      <c r="D168" s="31" t="s">
        <v>21</v>
      </c>
      <c r="E168" s="88">
        <f>E166-E167</f>
        <v>8393.8919999999998</v>
      </c>
      <c r="F168" s="89"/>
      <c r="G168" s="35"/>
      <c r="H168" s="27" t="s">
        <v>22</v>
      </c>
      <c r="I168" s="36">
        <f>SUM(I165:I167)</f>
        <v>11417.390000000003</v>
      </c>
    </row>
    <row r="169" spans="2:9" x14ac:dyDescent="0.25">
      <c r="B169" s="29"/>
      <c r="C169" s="30"/>
      <c r="D169" s="31"/>
      <c r="E169" s="90"/>
      <c r="F169" s="91"/>
      <c r="G169" s="37"/>
      <c r="H169" s="27" t="s">
        <v>23</v>
      </c>
      <c r="I169" s="36">
        <f>I168*0.05</f>
        <v>570.86950000000013</v>
      </c>
    </row>
    <row r="170" spans="2:9" x14ac:dyDescent="0.25">
      <c r="B170" s="29"/>
      <c r="C170" s="30"/>
      <c r="D170" s="38"/>
      <c r="E170" s="38"/>
      <c r="F170" s="39"/>
      <c r="G170" s="39"/>
      <c r="H170" s="27" t="s">
        <v>24</v>
      </c>
      <c r="I170" s="33"/>
    </row>
    <row r="171" spans="2:9" ht="15.75" x14ac:dyDescent="0.25">
      <c r="B171" s="85" t="s">
        <v>25</v>
      </c>
      <c r="C171" s="86"/>
      <c r="D171" s="86"/>
      <c r="E171" s="86"/>
      <c r="F171" s="87"/>
      <c r="G171" s="40"/>
      <c r="H171" s="41" t="s">
        <v>26</v>
      </c>
      <c r="I171" s="42">
        <f>SUM(I168:I170)</f>
        <v>11988.259500000004</v>
      </c>
    </row>
  </sheetData>
  <mergeCells count="25">
    <mergeCell ref="B171:F171"/>
    <mergeCell ref="B165:F165"/>
    <mergeCell ref="E166:F166"/>
    <mergeCell ref="E167:F167"/>
    <mergeCell ref="E168:F168"/>
    <mergeCell ref="E169:F169"/>
    <mergeCell ref="F13:I13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EAAF-E9D4-4F41-920A-F55BC0791038}">
  <dimension ref="B1:I80"/>
  <sheetViews>
    <sheetView topLeftCell="A56" workbookViewId="0">
      <selection activeCell="H15" sqref="H15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35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4" t="s">
        <v>89</v>
      </c>
      <c r="C15" s="54" t="str">
        <f>VLOOKUP(B15,[1]!Table3[[Part Number]:[Annual]],2,0)</f>
        <v xml:space="preserve">HITACHI ZX290LC-5 (1FF) HITACHI ZX290LC-5 (1FF) (2) HITACHI ZX290LC-5 (1FF) (3)        </v>
      </c>
      <c r="D15" s="54" t="str">
        <f>VLOOKUP(B15,[1]!Table3[[Part Number]:[Annual]],3,0)</f>
        <v>CUTTING EDGE</v>
      </c>
      <c r="E15" s="54">
        <f>VLOOKUP(B15,[1]!Table3[[Part Number]:[Annual]],11,0)</f>
        <v>3</v>
      </c>
      <c r="F15" s="63">
        <f>VLOOKUP(B15,[1]!Table3[[Part Number]:[Annual]],4,0)</f>
        <v>1340.9736</v>
      </c>
      <c r="G15" s="23">
        <f>E15*F15</f>
        <v>4022.9207999999999</v>
      </c>
      <c r="H15" s="24">
        <f>VLOOKUP(B15,[1]!Table3[[Part Number]:[Annual]],5,0)</f>
        <v>670.49</v>
      </c>
      <c r="I15" s="25">
        <f>ROUND(E15*H15,2)</f>
        <v>2011.47</v>
      </c>
    </row>
    <row r="16" spans="2:9" x14ac:dyDescent="0.25">
      <c r="B16" s="54"/>
      <c r="C16" s="21"/>
      <c r="D16" s="21"/>
      <c r="E16" s="22"/>
      <c r="F16" s="23"/>
      <c r="G16" s="23"/>
      <c r="H16" s="24"/>
      <c r="I16" s="25">
        <f t="shared" ref="I16:I51" si="0">ROUND(E16*H16,2)</f>
        <v>0</v>
      </c>
    </row>
    <row r="17" spans="2:9" x14ac:dyDescent="0.25">
      <c r="B17" s="54"/>
      <c r="C17" s="21"/>
      <c r="D17" s="21"/>
      <c r="E17" s="22"/>
      <c r="F17" s="23"/>
      <c r="G17" s="23"/>
      <c r="H17" s="24"/>
      <c r="I17" s="25">
        <f t="shared" si="0"/>
        <v>0</v>
      </c>
    </row>
    <row r="18" spans="2:9" x14ac:dyDescent="0.25">
      <c r="B18" s="54"/>
      <c r="C18" s="21"/>
      <c r="D18" s="21"/>
      <c r="E18" s="22"/>
      <c r="F18" s="23"/>
      <c r="G18" s="23"/>
      <c r="H18" s="24"/>
      <c r="I18" s="25">
        <f t="shared" si="0"/>
        <v>0</v>
      </c>
    </row>
    <row r="19" spans="2:9" x14ac:dyDescent="0.25">
      <c r="B19" s="54"/>
      <c r="C19" s="21"/>
      <c r="D19" s="21"/>
      <c r="E19" s="22"/>
      <c r="F19" s="23"/>
      <c r="G19" s="23"/>
      <c r="H19" s="24"/>
      <c r="I19" s="25">
        <f t="shared" si="0"/>
        <v>0</v>
      </c>
    </row>
    <row r="20" spans="2:9" x14ac:dyDescent="0.25">
      <c r="B20" s="54"/>
      <c r="C20" s="21"/>
      <c r="D20" s="21"/>
      <c r="E20" s="22"/>
      <c r="F20" s="23"/>
      <c r="G20" s="23"/>
      <c r="H20" s="24"/>
      <c r="I20" s="25">
        <f t="shared" si="0"/>
        <v>0</v>
      </c>
    </row>
    <row r="21" spans="2:9" x14ac:dyDescent="0.25">
      <c r="B21" s="54"/>
      <c r="C21" s="21"/>
      <c r="D21" s="21"/>
      <c r="E21" s="22"/>
      <c r="F21" s="23"/>
      <c r="G21" s="23"/>
      <c r="H21" s="24"/>
      <c r="I21" s="25">
        <f t="shared" si="0"/>
        <v>0</v>
      </c>
    </row>
    <row r="22" spans="2:9" x14ac:dyDescent="0.25">
      <c r="B22" s="54"/>
      <c r="C22" s="21"/>
      <c r="D22" s="21"/>
      <c r="E22" s="22"/>
      <c r="F22" s="23"/>
      <c r="G22" s="23"/>
      <c r="H22" s="24"/>
      <c r="I22" s="25">
        <f t="shared" si="0"/>
        <v>0</v>
      </c>
    </row>
    <row r="23" spans="2:9" x14ac:dyDescent="0.25">
      <c r="B23" s="54"/>
      <c r="C23" s="21"/>
      <c r="D23" s="21"/>
      <c r="E23" s="22"/>
      <c r="F23" s="23"/>
      <c r="G23" s="23"/>
      <c r="H23" s="24"/>
      <c r="I23" s="25">
        <f t="shared" si="0"/>
        <v>0</v>
      </c>
    </row>
    <row r="24" spans="2:9" x14ac:dyDescent="0.25">
      <c r="B24" s="54"/>
      <c r="C24" s="21"/>
      <c r="D24" s="21"/>
      <c r="E24" s="22"/>
      <c r="F24" s="23"/>
      <c r="G24" s="23"/>
      <c r="H24" s="24"/>
      <c r="I24" s="25">
        <f t="shared" si="0"/>
        <v>0</v>
      </c>
    </row>
    <row r="25" spans="2:9" x14ac:dyDescent="0.25">
      <c r="B25" s="54"/>
      <c r="C25" s="21"/>
      <c r="D25" s="21"/>
      <c r="E25" s="22"/>
      <c r="F25" s="23"/>
      <c r="G25" s="23"/>
      <c r="H25" s="24"/>
      <c r="I25" s="25">
        <f t="shared" si="0"/>
        <v>0</v>
      </c>
    </row>
    <row r="26" spans="2:9" x14ac:dyDescent="0.25">
      <c r="B26" s="54"/>
      <c r="C26" s="21"/>
      <c r="D26" s="21"/>
      <c r="E26" s="22"/>
      <c r="F26" s="23"/>
      <c r="G26" s="23"/>
      <c r="H26" s="24"/>
      <c r="I26" s="25">
        <f t="shared" si="0"/>
        <v>0</v>
      </c>
    </row>
    <row r="27" spans="2:9" x14ac:dyDescent="0.25">
      <c r="B27" s="54"/>
      <c r="C27" s="21"/>
      <c r="D27" s="21"/>
      <c r="E27" s="22"/>
      <c r="F27" s="23"/>
      <c r="G27" s="23"/>
      <c r="H27" s="24"/>
      <c r="I27" s="25">
        <f t="shared" si="0"/>
        <v>0</v>
      </c>
    </row>
    <row r="28" spans="2:9" x14ac:dyDescent="0.25">
      <c r="B28" s="54"/>
      <c r="C28" s="21"/>
      <c r="D28" s="21"/>
      <c r="E28" s="22"/>
      <c r="F28" s="23"/>
      <c r="G28" s="23"/>
      <c r="H28" s="24"/>
      <c r="I28" s="25">
        <f t="shared" si="0"/>
        <v>0</v>
      </c>
    </row>
    <row r="29" spans="2:9" x14ac:dyDescent="0.25">
      <c r="B29" s="54"/>
      <c r="C29" s="21"/>
      <c r="D29" s="21"/>
      <c r="E29" s="22"/>
      <c r="F29" s="23"/>
      <c r="G29" s="23"/>
      <c r="H29" s="24"/>
      <c r="I29" s="25">
        <f t="shared" si="0"/>
        <v>0</v>
      </c>
    </row>
    <row r="30" spans="2:9" x14ac:dyDescent="0.25">
      <c r="B30" s="54"/>
      <c r="C30" s="21"/>
      <c r="D30" s="21"/>
      <c r="E30" s="22"/>
      <c r="F30" s="23"/>
      <c r="G30" s="23"/>
      <c r="H30" s="24"/>
      <c r="I30" s="25">
        <f t="shared" si="0"/>
        <v>0</v>
      </c>
    </row>
    <row r="31" spans="2:9" x14ac:dyDescent="0.25">
      <c r="B31" s="54"/>
      <c r="C31" s="21"/>
      <c r="D31" s="21"/>
      <c r="E31" s="22"/>
      <c r="F31" s="23"/>
      <c r="G31" s="23"/>
      <c r="H31" s="24"/>
      <c r="I31" s="25">
        <f t="shared" si="0"/>
        <v>0</v>
      </c>
    </row>
    <row r="32" spans="2:9" x14ac:dyDescent="0.25">
      <c r="B32" s="54"/>
      <c r="C32" s="21"/>
      <c r="D32" s="21"/>
      <c r="E32" s="22"/>
      <c r="F32" s="23"/>
      <c r="G32" s="23"/>
      <c r="H32" s="24"/>
      <c r="I32" s="25">
        <f t="shared" si="0"/>
        <v>0</v>
      </c>
    </row>
    <row r="33" spans="2:9" x14ac:dyDescent="0.25">
      <c r="B33" s="54"/>
      <c r="C33" s="21"/>
      <c r="D33" s="21"/>
      <c r="E33" s="22"/>
      <c r="F33" s="23"/>
      <c r="G33" s="23"/>
      <c r="H33" s="24"/>
      <c r="I33" s="25">
        <f t="shared" si="0"/>
        <v>0</v>
      </c>
    </row>
    <row r="34" spans="2:9" x14ac:dyDescent="0.25">
      <c r="B34" s="54"/>
      <c r="C34" s="21"/>
      <c r="D34" s="21"/>
      <c r="E34" s="22"/>
      <c r="F34" s="23"/>
      <c r="G34" s="23"/>
      <c r="H34" s="24"/>
      <c r="I34" s="25">
        <f t="shared" si="0"/>
        <v>0</v>
      </c>
    </row>
    <row r="35" spans="2:9" x14ac:dyDescent="0.25">
      <c r="B35" s="54"/>
      <c r="C35" s="21"/>
      <c r="D35" s="21"/>
      <c r="E35" s="22"/>
      <c r="F35" s="23"/>
      <c r="G35" s="23"/>
      <c r="H35" s="24"/>
      <c r="I35" s="25">
        <f t="shared" si="0"/>
        <v>0</v>
      </c>
    </row>
    <row r="36" spans="2:9" x14ac:dyDescent="0.25">
      <c r="B36" s="54"/>
      <c r="C36" s="21"/>
      <c r="D36" s="21"/>
      <c r="E36" s="22"/>
      <c r="F36" s="23"/>
      <c r="G36" s="23"/>
      <c r="H36" s="24"/>
      <c r="I36" s="25">
        <f t="shared" si="0"/>
        <v>0</v>
      </c>
    </row>
    <row r="37" spans="2:9" x14ac:dyDescent="0.25">
      <c r="B37" s="54"/>
      <c r="C37" s="21"/>
      <c r="D37" s="21"/>
      <c r="E37" s="22"/>
      <c r="F37" s="23"/>
      <c r="G37" s="23"/>
      <c r="H37" s="24"/>
      <c r="I37" s="25">
        <f t="shared" si="0"/>
        <v>0</v>
      </c>
    </row>
    <row r="38" spans="2:9" x14ac:dyDescent="0.25">
      <c r="B38" s="54"/>
      <c r="C38" s="21"/>
      <c r="D38" s="21"/>
      <c r="E38" s="22"/>
      <c r="F38" s="23"/>
      <c r="G38" s="23"/>
      <c r="H38" s="24"/>
      <c r="I38" s="25">
        <f t="shared" si="0"/>
        <v>0</v>
      </c>
    </row>
    <row r="39" spans="2:9" x14ac:dyDescent="0.25">
      <c r="B39" s="54"/>
      <c r="C39" s="21"/>
      <c r="D39" s="21"/>
      <c r="E39" s="22"/>
      <c r="F39" s="23"/>
      <c r="G39" s="23"/>
      <c r="H39" s="24"/>
      <c r="I39" s="25">
        <f t="shared" si="0"/>
        <v>0</v>
      </c>
    </row>
    <row r="40" spans="2:9" x14ac:dyDescent="0.25">
      <c r="B40" s="54"/>
      <c r="C40" s="21"/>
      <c r="D40" s="21"/>
      <c r="E40" s="22"/>
      <c r="F40" s="23"/>
      <c r="G40" s="23"/>
      <c r="H40" s="24"/>
      <c r="I40" s="25">
        <f t="shared" si="0"/>
        <v>0</v>
      </c>
    </row>
    <row r="41" spans="2:9" x14ac:dyDescent="0.25">
      <c r="B41" s="54"/>
      <c r="C41" s="21"/>
      <c r="D41" s="21"/>
      <c r="E41" s="22"/>
      <c r="F41" s="23"/>
      <c r="G41" s="23"/>
      <c r="H41" s="24"/>
      <c r="I41" s="25">
        <f t="shared" si="0"/>
        <v>0</v>
      </c>
    </row>
    <row r="42" spans="2:9" x14ac:dyDescent="0.25">
      <c r="B42" s="54"/>
      <c r="C42" s="21"/>
      <c r="D42" s="21"/>
      <c r="E42" s="22"/>
      <c r="F42" s="23"/>
      <c r="G42" s="23"/>
      <c r="H42" s="24"/>
      <c r="I42" s="25">
        <f t="shared" si="0"/>
        <v>0</v>
      </c>
    </row>
    <row r="43" spans="2:9" x14ac:dyDescent="0.25">
      <c r="B43" s="54"/>
      <c r="C43" s="21"/>
      <c r="D43" s="21"/>
      <c r="E43" s="22"/>
      <c r="F43" s="23"/>
      <c r="G43" s="23"/>
      <c r="H43" s="24"/>
      <c r="I43" s="25">
        <f t="shared" si="0"/>
        <v>0</v>
      </c>
    </row>
    <row r="44" spans="2:9" x14ac:dyDescent="0.25">
      <c r="B44" s="54"/>
      <c r="C44" s="21"/>
      <c r="D44" s="21"/>
      <c r="E44" s="22"/>
      <c r="F44" s="23"/>
      <c r="G44" s="23"/>
      <c r="H44" s="24"/>
      <c r="I44" s="25">
        <f t="shared" si="0"/>
        <v>0</v>
      </c>
    </row>
    <row r="45" spans="2:9" x14ac:dyDescent="0.25">
      <c r="B45" s="54"/>
      <c r="C45" s="21"/>
      <c r="D45" s="21"/>
      <c r="E45" s="22"/>
      <c r="F45" s="23"/>
      <c r="G45" s="23"/>
      <c r="H45" s="24"/>
      <c r="I45" s="25">
        <f t="shared" si="0"/>
        <v>0</v>
      </c>
    </row>
    <row r="46" spans="2:9" x14ac:dyDescent="0.25">
      <c r="B46" s="54"/>
      <c r="C46" s="21"/>
      <c r="D46" s="21"/>
      <c r="E46" s="22"/>
      <c r="F46" s="23"/>
      <c r="G46" s="23"/>
      <c r="H46" s="24"/>
      <c r="I46" s="25">
        <f t="shared" si="0"/>
        <v>0</v>
      </c>
    </row>
    <row r="47" spans="2:9" x14ac:dyDescent="0.25">
      <c r="B47" s="54"/>
      <c r="C47" s="21"/>
      <c r="D47" s="21"/>
      <c r="E47" s="22"/>
      <c r="F47" s="23"/>
      <c r="G47" s="23"/>
      <c r="H47" s="24"/>
      <c r="I47" s="25">
        <f t="shared" si="0"/>
        <v>0</v>
      </c>
    </row>
    <row r="48" spans="2:9" x14ac:dyDescent="0.25">
      <c r="B48" s="54"/>
      <c r="C48" s="21"/>
      <c r="D48" s="21"/>
      <c r="E48" s="22"/>
      <c r="F48" s="23"/>
      <c r="G48" s="23"/>
      <c r="H48" s="24"/>
      <c r="I48" s="25">
        <f t="shared" si="0"/>
        <v>0</v>
      </c>
    </row>
    <row r="49" spans="2:9" x14ac:dyDescent="0.25">
      <c r="B49" s="54"/>
      <c r="C49" s="21"/>
      <c r="D49" s="21"/>
      <c r="E49" s="22"/>
      <c r="F49" s="23"/>
      <c r="G49" s="23"/>
      <c r="H49" s="24"/>
      <c r="I49" s="25">
        <f t="shared" si="0"/>
        <v>0</v>
      </c>
    </row>
    <row r="50" spans="2:9" x14ac:dyDescent="0.25">
      <c r="B50" s="21"/>
      <c r="C50" s="21"/>
      <c r="D50" s="21"/>
      <c r="E50" s="22"/>
      <c r="F50" s="23"/>
      <c r="G50" s="23"/>
      <c r="H50" s="24"/>
      <c r="I50" s="25">
        <f t="shared" si="0"/>
        <v>0</v>
      </c>
    </row>
    <row r="51" spans="2:9" x14ac:dyDescent="0.25">
      <c r="B51" s="21"/>
      <c r="C51" s="21"/>
      <c r="D51" s="21"/>
      <c r="E51" s="22"/>
      <c r="F51" s="23"/>
      <c r="G51" s="23"/>
      <c r="H51" s="24"/>
      <c r="I51" s="25">
        <f t="shared" si="0"/>
        <v>0</v>
      </c>
    </row>
    <row r="52" spans="2:9" x14ac:dyDescent="0.25">
      <c r="B52" s="21"/>
      <c r="C52" s="21"/>
      <c r="D52" s="21"/>
      <c r="E52" s="22"/>
      <c r="F52" s="23"/>
      <c r="G52" s="23"/>
      <c r="H52" s="24"/>
      <c r="I52" s="25">
        <f t="shared" ref="I52:I54" si="1">ROUND(E52*H52,2)</f>
        <v>0</v>
      </c>
    </row>
    <row r="53" spans="2:9" x14ac:dyDescent="0.25">
      <c r="B53" s="21"/>
      <c r="C53" s="21"/>
      <c r="D53" s="21"/>
      <c r="E53" s="22"/>
      <c r="F53" s="23"/>
      <c r="G53" s="23"/>
      <c r="H53" s="24"/>
      <c r="I53" s="25">
        <f t="shared" si="1"/>
        <v>0</v>
      </c>
    </row>
    <row r="54" spans="2:9" x14ac:dyDescent="0.25">
      <c r="B54" s="21"/>
      <c r="C54" s="21"/>
      <c r="D54" s="21"/>
      <c r="E54" s="22"/>
      <c r="F54" s="23"/>
      <c r="G54" s="23"/>
      <c r="H54" s="24"/>
      <c r="I54" s="25">
        <f t="shared" si="1"/>
        <v>0</v>
      </c>
    </row>
    <row r="55" spans="2:9" x14ac:dyDescent="0.25">
      <c r="B55" s="21"/>
      <c r="C55" s="21"/>
      <c r="D55" s="21"/>
      <c r="E55" s="22"/>
      <c r="F55" s="23"/>
      <c r="G55" s="23"/>
      <c r="H55" s="24"/>
      <c r="I55" s="25">
        <f t="shared" ref="I55:I73" si="2">ROUND(E55*H55,2)</f>
        <v>0</v>
      </c>
    </row>
    <row r="56" spans="2:9" x14ac:dyDescent="0.25">
      <c r="B56" s="21"/>
      <c r="C56" s="21"/>
      <c r="D56" s="21"/>
      <c r="E56" s="22"/>
      <c r="F56" s="23"/>
      <c r="G56" s="23"/>
      <c r="H56" s="24"/>
      <c r="I56" s="25">
        <f t="shared" si="2"/>
        <v>0</v>
      </c>
    </row>
    <row r="57" spans="2:9" x14ac:dyDescent="0.25">
      <c r="B57" s="21"/>
      <c r="C57" s="21"/>
      <c r="D57" s="21"/>
      <c r="E57" s="22"/>
      <c r="F57" s="23"/>
      <c r="G57" s="23"/>
      <c r="H57" s="24"/>
      <c r="I57" s="25">
        <f t="shared" si="2"/>
        <v>0</v>
      </c>
    </row>
    <row r="58" spans="2:9" x14ac:dyDescent="0.25">
      <c r="B58" s="21"/>
      <c r="C58" s="21"/>
      <c r="D58" s="21"/>
      <c r="E58" s="22"/>
      <c r="F58" s="23"/>
      <c r="G58" s="23"/>
      <c r="H58" s="24"/>
      <c r="I58" s="25">
        <f t="shared" si="2"/>
        <v>0</v>
      </c>
    </row>
    <row r="59" spans="2:9" x14ac:dyDescent="0.25">
      <c r="B59" s="21"/>
      <c r="C59" s="21"/>
      <c r="D59" s="21"/>
      <c r="E59" s="22"/>
      <c r="F59" s="23"/>
      <c r="G59" s="23"/>
      <c r="H59" s="24"/>
      <c r="I59" s="25">
        <f t="shared" si="2"/>
        <v>0</v>
      </c>
    </row>
    <row r="60" spans="2:9" x14ac:dyDescent="0.25">
      <c r="B60" s="21"/>
      <c r="C60" s="21"/>
      <c r="D60" s="21"/>
      <c r="E60" s="22"/>
      <c r="F60" s="23"/>
      <c r="G60" s="23"/>
      <c r="H60" s="24"/>
      <c r="I60" s="25">
        <f t="shared" si="2"/>
        <v>0</v>
      </c>
    </row>
    <row r="61" spans="2:9" x14ac:dyDescent="0.25">
      <c r="B61" s="21"/>
      <c r="C61" s="21"/>
      <c r="D61" s="21"/>
      <c r="E61" s="22"/>
      <c r="F61" s="23"/>
      <c r="G61" s="23"/>
      <c r="H61" s="24"/>
      <c r="I61" s="25">
        <f t="shared" si="2"/>
        <v>0</v>
      </c>
    </row>
    <row r="62" spans="2:9" x14ac:dyDescent="0.25">
      <c r="B62" s="21"/>
      <c r="C62" s="21"/>
      <c r="D62" s="21"/>
      <c r="E62" s="22"/>
      <c r="F62" s="23"/>
      <c r="G62" s="23"/>
      <c r="H62" s="24"/>
      <c r="I62" s="25">
        <f t="shared" si="2"/>
        <v>0</v>
      </c>
    </row>
    <row r="63" spans="2:9" x14ac:dyDescent="0.25">
      <c r="B63" s="21"/>
      <c r="C63" s="21"/>
      <c r="D63" s="21"/>
      <c r="E63" s="22"/>
      <c r="F63" s="23"/>
      <c r="G63" s="23"/>
      <c r="H63" s="24"/>
      <c r="I63" s="25">
        <f t="shared" si="2"/>
        <v>0</v>
      </c>
    </row>
    <row r="64" spans="2:9" x14ac:dyDescent="0.25">
      <c r="B64" s="21"/>
      <c r="C64" s="21"/>
      <c r="D64" s="21"/>
      <c r="E64" s="22"/>
      <c r="F64" s="23"/>
      <c r="G64" s="23"/>
      <c r="H64" s="24"/>
      <c r="I64" s="25">
        <f t="shared" si="2"/>
        <v>0</v>
      </c>
    </row>
    <row r="65" spans="2:9" x14ac:dyDescent="0.25">
      <c r="B65" s="21"/>
      <c r="C65" s="21"/>
      <c r="D65" s="21"/>
      <c r="E65" s="22"/>
      <c r="F65" s="23"/>
      <c r="G65" s="23"/>
      <c r="H65" s="24"/>
      <c r="I65" s="25">
        <f t="shared" si="2"/>
        <v>0</v>
      </c>
    </row>
    <row r="66" spans="2:9" x14ac:dyDescent="0.25">
      <c r="B66" s="21"/>
      <c r="C66" s="21"/>
      <c r="D66" s="21"/>
      <c r="E66" s="22"/>
      <c r="F66" s="23"/>
      <c r="G66" s="23"/>
      <c r="H66" s="24"/>
      <c r="I66" s="25">
        <f t="shared" si="2"/>
        <v>0</v>
      </c>
    </row>
    <row r="67" spans="2:9" x14ac:dyDescent="0.25">
      <c r="B67" s="21"/>
      <c r="C67" s="21"/>
      <c r="D67" s="21"/>
      <c r="E67" s="22"/>
      <c r="F67" s="23"/>
      <c r="G67" s="23"/>
      <c r="H67" s="24"/>
      <c r="I67" s="25">
        <f t="shared" si="2"/>
        <v>0</v>
      </c>
    </row>
    <row r="68" spans="2:9" x14ac:dyDescent="0.25">
      <c r="B68" s="21"/>
      <c r="C68" s="21"/>
      <c r="D68" s="21"/>
      <c r="E68" s="22"/>
      <c r="F68" s="23"/>
      <c r="G68" s="23"/>
      <c r="H68" s="24"/>
      <c r="I68" s="25">
        <f t="shared" si="2"/>
        <v>0</v>
      </c>
    </row>
    <row r="69" spans="2:9" x14ac:dyDescent="0.25">
      <c r="B69" s="21"/>
      <c r="C69" s="21"/>
      <c r="D69" s="21"/>
      <c r="E69" s="22"/>
      <c r="F69" s="23"/>
      <c r="G69" s="23"/>
      <c r="H69" s="24"/>
      <c r="I69" s="25">
        <f t="shared" si="2"/>
        <v>0</v>
      </c>
    </row>
    <row r="70" spans="2:9" x14ac:dyDescent="0.25">
      <c r="B70" s="21"/>
      <c r="C70" s="21"/>
      <c r="D70" s="21"/>
      <c r="E70" s="22"/>
      <c r="F70" s="23"/>
      <c r="G70" s="23"/>
      <c r="H70" s="24"/>
      <c r="I70" s="25">
        <f t="shared" si="2"/>
        <v>0</v>
      </c>
    </row>
    <row r="71" spans="2:9" x14ac:dyDescent="0.25">
      <c r="B71" s="21"/>
      <c r="C71" s="21"/>
      <c r="D71" s="21"/>
      <c r="E71" s="22"/>
      <c r="F71" s="23"/>
      <c r="G71" s="23"/>
      <c r="H71" s="24"/>
      <c r="I71" s="25">
        <f t="shared" si="2"/>
        <v>0</v>
      </c>
    </row>
    <row r="72" spans="2:9" x14ac:dyDescent="0.25">
      <c r="B72" s="21"/>
      <c r="C72" s="21"/>
      <c r="D72" s="21"/>
      <c r="E72" s="22"/>
      <c r="F72" s="23"/>
      <c r="G72" s="23"/>
      <c r="H72" s="24"/>
      <c r="I72" s="25">
        <f t="shared" si="2"/>
        <v>0</v>
      </c>
    </row>
    <row r="73" spans="2:9" x14ac:dyDescent="0.25">
      <c r="B73" s="21"/>
      <c r="C73" s="21"/>
      <c r="D73" s="21"/>
      <c r="E73" s="22"/>
      <c r="F73" s="23"/>
      <c r="G73" s="23"/>
      <c r="H73" s="24"/>
      <c r="I73" s="25">
        <f t="shared" si="2"/>
        <v>0</v>
      </c>
    </row>
    <row r="74" spans="2:9" x14ac:dyDescent="0.25">
      <c r="B74" s="75"/>
      <c r="C74" s="76"/>
      <c r="D74" s="76"/>
      <c r="E74" s="76"/>
      <c r="F74" s="77"/>
      <c r="G74" s="26"/>
      <c r="H74" s="27" t="s">
        <v>16</v>
      </c>
      <c r="I74" s="28">
        <f>SUM(I15:I73)</f>
        <v>2011.47</v>
      </c>
    </row>
    <row r="75" spans="2:9" x14ac:dyDescent="0.25">
      <c r="B75" s="29"/>
      <c r="C75" s="30"/>
      <c r="D75" s="31" t="s">
        <v>17</v>
      </c>
      <c r="E75" s="78">
        <f>SUM(G15:G73)</f>
        <v>4022.9207999999999</v>
      </c>
      <c r="F75" s="79"/>
      <c r="G75" s="32"/>
      <c r="H75" s="27" t="s">
        <v>18</v>
      </c>
      <c r="I75" s="33">
        <v>0</v>
      </c>
    </row>
    <row r="76" spans="2:9" x14ac:dyDescent="0.25">
      <c r="B76" s="29"/>
      <c r="C76" s="30"/>
      <c r="D76" s="31" t="s">
        <v>19</v>
      </c>
      <c r="E76" s="78">
        <f>SUM(I15:I73)</f>
        <v>2011.47</v>
      </c>
      <c r="F76" s="79"/>
      <c r="G76" s="32"/>
      <c r="H76" s="34" t="s">
        <v>20</v>
      </c>
      <c r="I76" s="33">
        <v>0</v>
      </c>
    </row>
    <row r="77" spans="2:9" x14ac:dyDescent="0.25">
      <c r="B77" s="29"/>
      <c r="C77" s="30"/>
      <c r="D77" s="31" t="s">
        <v>21</v>
      </c>
      <c r="E77" s="88">
        <f>E75-E76</f>
        <v>2011.4507999999998</v>
      </c>
      <c r="F77" s="89"/>
      <c r="G77" s="35"/>
      <c r="H77" s="27" t="s">
        <v>22</v>
      </c>
      <c r="I77" s="36">
        <f>SUM(I74:I76)</f>
        <v>2011.47</v>
      </c>
    </row>
    <row r="78" spans="2:9" x14ac:dyDescent="0.25">
      <c r="B78" s="29"/>
      <c r="C78" s="30"/>
      <c r="D78" s="31"/>
      <c r="E78" s="90"/>
      <c r="F78" s="91"/>
      <c r="G78" s="37"/>
      <c r="H78" s="27" t="s">
        <v>23</v>
      </c>
      <c r="I78" s="36">
        <f>I77*0.05</f>
        <v>100.57350000000001</v>
      </c>
    </row>
    <row r="79" spans="2:9" x14ac:dyDescent="0.25">
      <c r="B79" s="29"/>
      <c r="C79" s="30"/>
      <c r="D79" s="38"/>
      <c r="E79" s="38"/>
      <c r="F79" s="39"/>
      <c r="G79" s="39"/>
      <c r="H79" s="27" t="s">
        <v>24</v>
      </c>
      <c r="I79" s="33"/>
    </row>
    <row r="80" spans="2:9" ht="15.75" x14ac:dyDescent="0.25">
      <c r="B80" s="85" t="s">
        <v>25</v>
      </c>
      <c r="C80" s="86"/>
      <c r="D80" s="86"/>
      <c r="E80" s="86"/>
      <c r="F80" s="87"/>
      <c r="G80" s="40"/>
      <c r="H80" s="41" t="s">
        <v>26</v>
      </c>
      <c r="I80" s="42">
        <f>SUM(I77:I79)</f>
        <v>2112.0435000000002</v>
      </c>
    </row>
  </sheetData>
  <autoFilter ref="B14:I80" xr:uid="{627AEAAF-E9D4-4F41-920A-F55BC0791038}"/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80:F80"/>
    <mergeCell ref="F13:I13"/>
    <mergeCell ref="B74:F74"/>
    <mergeCell ref="E75:F75"/>
    <mergeCell ref="E76:F76"/>
    <mergeCell ref="E77:F77"/>
    <mergeCell ref="E78:F7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E6C8-BB99-445A-B619-7AD1D6F15B43}">
  <dimension ref="B1:I86"/>
  <sheetViews>
    <sheetView topLeftCell="A65" workbookViewId="0">
      <selection activeCell="C15" sqref="C15:F15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98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8976227194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INJECTOR</v>
      </c>
      <c r="E15" s="54">
        <f>VLOOKUP(B15,[1]!Table3[[Part Number]:[Annual]],11,0)</f>
        <v>12</v>
      </c>
      <c r="F15" s="63">
        <f>VLOOKUP(B15,[1]!Table3[[Part Number]:[Annual]],4,0)</f>
        <v>1263.7487999999998</v>
      </c>
      <c r="G15" s="23">
        <f>E15*F15</f>
        <v>15164.985599999998</v>
      </c>
      <c r="H15" s="24">
        <f>VLOOKUP(B15,[1]!Table3[[Part Number]:[Annual]],5,0)</f>
        <v>884.62</v>
      </c>
      <c r="I15" s="25">
        <f>ROUND(E15*H15,2)</f>
        <v>10615.44</v>
      </c>
    </row>
    <row r="16" spans="2:9" x14ac:dyDescent="0.25">
      <c r="B16" s="54" t="s">
        <v>46</v>
      </c>
      <c r="C16" s="54" t="str">
        <f>VLOOKUP(B16,[1]!Table3[[Part Number]:[Annual]],2,0)</f>
        <v>CAT D7G (DSC) CAT D7G (DSC) (2) CAT D7G (DSC) (3) CAT D7G (SUB) CAT D7G (3ZD) CAT 572R (DSC) CAT 572R (DSC) (2)</v>
      </c>
      <c r="D16" s="54" t="str">
        <f>VLOOKUP(B16,[1]!Table3[[Part Number]:[Annual]],3,0)</f>
        <v xml:space="preserve">FUEL INJECTOR NOZZLE </v>
      </c>
      <c r="E16" s="54">
        <f>VLOOKUP(B16,[1]!Table3[[Part Number]:[Annual]],11,0)</f>
        <v>42</v>
      </c>
      <c r="F16" s="63">
        <f>VLOOKUP(B16,[1]!Table3[[Part Number]:[Annual]],4,0)</f>
        <v>1882.24</v>
      </c>
      <c r="G16" s="23">
        <f t="shared" ref="G16:G19" si="0">E16*F16</f>
        <v>79054.080000000002</v>
      </c>
      <c r="H16" s="24">
        <f>VLOOKUP(B16,[1]!Table3[[Part Number]:[Annual]],5,0)</f>
        <v>1317.57</v>
      </c>
      <c r="I16" s="25">
        <f t="shared" ref="I16:I79" si="1">ROUND(E16*H16,2)</f>
        <v>55337.94</v>
      </c>
    </row>
    <row r="17" spans="2:9" x14ac:dyDescent="0.25">
      <c r="B17" s="54" t="s">
        <v>95</v>
      </c>
      <c r="C17" s="54" t="str">
        <f>VLOOKUP(B17,[1]!Table3[[Part Number]:[Annual]],2,0)</f>
        <v xml:space="preserve">CAT PL61 (DHA) CAT PL61 (WGS) CAT D6D (06X)        </v>
      </c>
      <c r="D17" s="54" t="str">
        <f>VLOOKUP(B17,[1]!Table3[[Part Number]:[Annual]],3,0)</f>
        <v xml:space="preserve">FUEL INJECTOR NOZZLE </v>
      </c>
      <c r="E17" s="54">
        <f>VLOOKUP(B17,[1]!Table3[[Part Number]:[Annual]],11,0)</f>
        <v>18</v>
      </c>
      <c r="F17" s="63">
        <f>VLOOKUP(B17,[1]!Table3[[Part Number]:[Annual]],4,0)</f>
        <v>1234.93</v>
      </c>
      <c r="G17" s="23">
        <f t="shared" si="0"/>
        <v>22228.74</v>
      </c>
      <c r="H17" s="24">
        <f>VLOOKUP(B17,[1]!Table3[[Part Number]:[Annual]],5,0)</f>
        <v>864.45</v>
      </c>
      <c r="I17" s="25">
        <f t="shared" si="1"/>
        <v>15560.1</v>
      </c>
    </row>
    <row r="18" spans="2:9" x14ac:dyDescent="0.25">
      <c r="B18" s="54" t="s">
        <v>96</v>
      </c>
      <c r="C18" s="54" t="str">
        <f>VLOOKUP(B18,[1]!Table3[[Part Number]:[Annual]],2,0)</f>
        <v xml:space="preserve">CAT 594 (96V) CAT 594H (96V)          </v>
      </c>
      <c r="D18" s="54" t="str">
        <f>VLOOKUP(B18,[1]!Table3[[Part Number]:[Annual]],3,0)</f>
        <v xml:space="preserve">FUEL INJECTOR NOZZLE </v>
      </c>
      <c r="E18" s="54">
        <f>VLOOKUP(B18,[1]!Table3[[Part Number]:[Annual]],11,0)</f>
        <v>12</v>
      </c>
      <c r="F18" s="63">
        <f>VLOOKUP(B18,[1]!Table3[[Part Number]:[Annual]],4,0)</f>
        <v>154.75</v>
      </c>
      <c r="G18" s="23">
        <f t="shared" si="0"/>
        <v>1857</v>
      </c>
      <c r="H18" s="24">
        <f>VLOOKUP(B18,[1]!Table3[[Part Number]:[Annual]],5,0)</f>
        <v>108.33</v>
      </c>
      <c r="I18" s="25">
        <f t="shared" si="1"/>
        <v>1299.96</v>
      </c>
    </row>
    <row r="19" spans="2:9" x14ac:dyDescent="0.25">
      <c r="B19" s="54" t="s">
        <v>97</v>
      </c>
      <c r="C19" s="54" t="str">
        <f>VLOOKUP(B19,[1]!Table3[[Part Number]:[Annual]],2,0)</f>
        <v xml:space="preserve">HITACHI ZX290LC-5 (1FF) HITACHI ZX290LC-5 (1FF) (2) HITACHI ZX290LC-5 (1FF) (3)        </v>
      </c>
      <c r="D19" s="54" t="str">
        <f>VLOOKUP(B19,[1]!Table3[[Part Number]:[Annual]],3,0)</f>
        <v>INJECTOR</v>
      </c>
      <c r="E19" s="54">
        <f>VLOOKUP(B19,[1]!Table3[[Part Number]:[Annual]],11,0)</f>
        <v>18</v>
      </c>
      <c r="F19" s="63">
        <f>VLOOKUP(B19,[1]!Table3[[Part Number]:[Annual]],4,0)</f>
        <v>228.54179999999999</v>
      </c>
      <c r="G19" s="23">
        <f t="shared" si="0"/>
        <v>4113.7524000000003</v>
      </c>
      <c r="H19" s="24">
        <f>VLOOKUP(B19,[1]!Table3[[Part Number]:[Annual]],5,0)</f>
        <v>159.97999999999999</v>
      </c>
      <c r="I19" s="25">
        <f t="shared" si="1"/>
        <v>2879.64</v>
      </c>
    </row>
    <row r="20" spans="2:9" x14ac:dyDescent="0.25">
      <c r="B20" s="54"/>
      <c r="C20" s="21"/>
      <c r="D20" s="21"/>
      <c r="E20" s="22"/>
      <c r="F20" s="23"/>
      <c r="G20" s="23"/>
      <c r="H20" s="24"/>
      <c r="I20" s="25">
        <f t="shared" si="1"/>
        <v>0</v>
      </c>
    </row>
    <row r="21" spans="2:9" x14ac:dyDescent="0.25">
      <c r="B21" s="54"/>
      <c r="C21" s="21"/>
      <c r="D21" s="21"/>
      <c r="E21" s="22"/>
      <c r="F21" s="23"/>
      <c r="G21" s="23"/>
      <c r="H21" s="24"/>
      <c r="I21" s="25">
        <f t="shared" si="1"/>
        <v>0</v>
      </c>
    </row>
    <row r="22" spans="2:9" x14ac:dyDescent="0.25">
      <c r="B22" s="54"/>
      <c r="C22" s="21"/>
      <c r="D22" s="21"/>
      <c r="E22" s="22"/>
      <c r="F22" s="23"/>
      <c r="G22" s="23"/>
      <c r="H22" s="24"/>
      <c r="I22" s="25">
        <f t="shared" si="1"/>
        <v>0</v>
      </c>
    </row>
    <row r="23" spans="2:9" x14ac:dyDescent="0.25">
      <c r="B23" s="54"/>
      <c r="C23" s="21"/>
      <c r="D23" s="21"/>
      <c r="E23" s="22"/>
      <c r="F23" s="23"/>
      <c r="G23" s="23"/>
      <c r="H23" s="24"/>
      <c r="I23" s="25">
        <f t="shared" si="1"/>
        <v>0</v>
      </c>
    </row>
    <row r="24" spans="2:9" x14ac:dyDescent="0.25">
      <c r="B24" s="54"/>
      <c r="C24" s="21"/>
      <c r="D24" s="21"/>
      <c r="E24" s="22"/>
      <c r="F24" s="23"/>
      <c r="G24" s="23"/>
      <c r="H24" s="24"/>
      <c r="I24" s="25">
        <f t="shared" si="1"/>
        <v>0</v>
      </c>
    </row>
    <row r="25" spans="2:9" x14ac:dyDescent="0.25">
      <c r="B25" s="54"/>
      <c r="C25" s="21"/>
      <c r="D25" s="21"/>
      <c r="E25" s="22"/>
      <c r="F25" s="23"/>
      <c r="G25" s="23"/>
      <c r="H25" s="24"/>
      <c r="I25" s="25">
        <f t="shared" si="1"/>
        <v>0</v>
      </c>
    </row>
    <row r="26" spans="2:9" x14ac:dyDescent="0.25">
      <c r="B26" s="54"/>
      <c r="C26" s="21"/>
      <c r="D26" s="21"/>
      <c r="E26" s="22"/>
      <c r="F26" s="23"/>
      <c r="G26" s="23"/>
      <c r="H26" s="24"/>
      <c r="I26" s="25">
        <f t="shared" si="1"/>
        <v>0</v>
      </c>
    </row>
    <row r="27" spans="2:9" x14ac:dyDescent="0.25">
      <c r="B27" s="54"/>
      <c r="C27" s="21"/>
      <c r="D27" s="21"/>
      <c r="E27" s="22"/>
      <c r="F27" s="23"/>
      <c r="G27" s="23"/>
      <c r="H27" s="24"/>
      <c r="I27" s="25">
        <f t="shared" si="1"/>
        <v>0</v>
      </c>
    </row>
    <row r="28" spans="2:9" x14ac:dyDescent="0.25">
      <c r="B28" s="54"/>
      <c r="C28" s="21"/>
      <c r="D28" s="21"/>
      <c r="E28" s="22"/>
      <c r="F28" s="23"/>
      <c r="G28" s="23"/>
      <c r="H28" s="24"/>
      <c r="I28" s="25">
        <f t="shared" si="1"/>
        <v>0</v>
      </c>
    </row>
    <row r="29" spans="2:9" x14ac:dyDescent="0.25">
      <c r="B29" s="54"/>
      <c r="C29" s="21"/>
      <c r="D29" s="21"/>
      <c r="E29" s="22"/>
      <c r="F29" s="23"/>
      <c r="G29" s="23"/>
      <c r="H29" s="24"/>
      <c r="I29" s="25">
        <f t="shared" si="1"/>
        <v>0</v>
      </c>
    </row>
    <row r="30" spans="2:9" x14ac:dyDescent="0.25">
      <c r="B30" s="54"/>
      <c r="C30" s="21"/>
      <c r="D30" s="21"/>
      <c r="E30" s="22"/>
      <c r="F30" s="23"/>
      <c r="G30" s="23"/>
      <c r="H30" s="24"/>
      <c r="I30" s="25">
        <f t="shared" si="1"/>
        <v>0</v>
      </c>
    </row>
    <row r="31" spans="2:9" x14ac:dyDescent="0.25">
      <c r="B31" s="54"/>
      <c r="C31" s="21"/>
      <c r="D31" s="21"/>
      <c r="E31" s="22"/>
      <c r="F31" s="23"/>
      <c r="G31" s="23"/>
      <c r="H31" s="24"/>
      <c r="I31" s="25">
        <f t="shared" si="1"/>
        <v>0</v>
      </c>
    </row>
    <row r="32" spans="2:9" x14ac:dyDescent="0.25">
      <c r="B32" s="54"/>
      <c r="C32" s="21"/>
      <c r="D32" s="21"/>
      <c r="E32" s="22"/>
      <c r="F32" s="23"/>
      <c r="G32" s="23"/>
      <c r="H32" s="24"/>
      <c r="I32" s="25">
        <f t="shared" si="1"/>
        <v>0</v>
      </c>
    </row>
    <row r="33" spans="2:9" x14ac:dyDescent="0.25">
      <c r="B33" s="54"/>
      <c r="C33" s="21"/>
      <c r="D33" s="21"/>
      <c r="E33" s="22"/>
      <c r="F33" s="23"/>
      <c r="G33" s="23"/>
      <c r="H33" s="24"/>
      <c r="I33" s="25">
        <f t="shared" si="1"/>
        <v>0</v>
      </c>
    </row>
    <row r="34" spans="2:9" x14ac:dyDescent="0.25">
      <c r="B34" s="54"/>
      <c r="C34" s="21"/>
      <c r="D34" s="21"/>
      <c r="E34" s="22"/>
      <c r="F34" s="23"/>
      <c r="G34" s="23"/>
      <c r="H34" s="24"/>
      <c r="I34" s="25">
        <f t="shared" si="1"/>
        <v>0</v>
      </c>
    </row>
    <row r="35" spans="2:9" x14ac:dyDescent="0.25">
      <c r="B35" s="54"/>
      <c r="C35" s="21"/>
      <c r="D35" s="21"/>
      <c r="E35" s="22"/>
      <c r="F35" s="23"/>
      <c r="G35" s="23"/>
      <c r="H35" s="24"/>
      <c r="I35" s="25">
        <f t="shared" si="1"/>
        <v>0</v>
      </c>
    </row>
    <row r="36" spans="2:9" x14ac:dyDescent="0.25">
      <c r="B36" s="54"/>
      <c r="C36" s="21"/>
      <c r="D36" s="21"/>
      <c r="E36" s="22"/>
      <c r="F36" s="23"/>
      <c r="G36" s="23"/>
      <c r="H36" s="24"/>
      <c r="I36" s="25">
        <f t="shared" si="1"/>
        <v>0</v>
      </c>
    </row>
    <row r="37" spans="2:9" x14ac:dyDescent="0.25">
      <c r="B37" s="54"/>
      <c r="C37" s="21"/>
      <c r="D37" s="21"/>
      <c r="E37" s="22"/>
      <c r="F37" s="23"/>
      <c r="G37" s="23"/>
      <c r="H37" s="24"/>
      <c r="I37" s="25">
        <f t="shared" si="1"/>
        <v>0</v>
      </c>
    </row>
    <row r="38" spans="2:9" x14ac:dyDescent="0.25">
      <c r="B38" s="54"/>
      <c r="C38" s="21"/>
      <c r="D38" s="21"/>
      <c r="E38" s="22"/>
      <c r="F38" s="23"/>
      <c r="G38" s="23"/>
      <c r="H38" s="24"/>
      <c r="I38" s="25">
        <f t="shared" si="1"/>
        <v>0</v>
      </c>
    </row>
    <row r="39" spans="2:9" x14ac:dyDescent="0.25">
      <c r="B39" s="54"/>
      <c r="C39" s="21"/>
      <c r="D39" s="21"/>
      <c r="E39" s="22"/>
      <c r="F39" s="23"/>
      <c r="G39" s="23"/>
      <c r="H39" s="24"/>
      <c r="I39" s="25">
        <f t="shared" si="1"/>
        <v>0</v>
      </c>
    </row>
    <row r="40" spans="2:9" x14ac:dyDescent="0.25">
      <c r="B40" s="54"/>
      <c r="C40" s="21"/>
      <c r="D40" s="21"/>
      <c r="E40" s="22"/>
      <c r="F40" s="23"/>
      <c r="G40" s="23"/>
      <c r="H40" s="24"/>
      <c r="I40" s="25">
        <f t="shared" si="1"/>
        <v>0</v>
      </c>
    </row>
    <row r="41" spans="2:9" x14ac:dyDescent="0.25">
      <c r="B41" s="54"/>
      <c r="C41" s="21"/>
      <c r="D41" s="21"/>
      <c r="E41" s="22"/>
      <c r="F41" s="23"/>
      <c r="G41" s="23"/>
      <c r="H41" s="24"/>
      <c r="I41" s="25">
        <f t="shared" si="1"/>
        <v>0</v>
      </c>
    </row>
    <row r="42" spans="2:9" x14ac:dyDescent="0.25">
      <c r="B42" s="54"/>
      <c r="C42" s="21"/>
      <c r="D42" s="21"/>
      <c r="E42" s="22"/>
      <c r="F42" s="23"/>
      <c r="G42" s="23"/>
      <c r="H42" s="24"/>
      <c r="I42" s="25">
        <f t="shared" si="1"/>
        <v>0</v>
      </c>
    </row>
    <row r="43" spans="2:9" x14ac:dyDescent="0.25">
      <c r="B43" s="54"/>
      <c r="C43" s="21"/>
      <c r="D43" s="21"/>
      <c r="E43" s="22"/>
      <c r="F43" s="23"/>
      <c r="G43" s="23"/>
      <c r="H43" s="24"/>
      <c r="I43" s="25">
        <f t="shared" si="1"/>
        <v>0</v>
      </c>
    </row>
    <row r="44" spans="2:9" x14ac:dyDescent="0.25">
      <c r="B44" s="54"/>
      <c r="C44" s="21"/>
      <c r="D44" s="21"/>
      <c r="E44" s="22"/>
      <c r="F44" s="23"/>
      <c r="G44" s="23"/>
      <c r="H44" s="24"/>
      <c r="I44" s="25">
        <f t="shared" si="1"/>
        <v>0</v>
      </c>
    </row>
    <row r="45" spans="2:9" x14ac:dyDescent="0.25">
      <c r="B45" s="54"/>
      <c r="C45" s="21"/>
      <c r="D45" s="21"/>
      <c r="E45" s="22"/>
      <c r="F45" s="23"/>
      <c r="G45" s="23"/>
      <c r="H45" s="24"/>
      <c r="I45" s="25">
        <f t="shared" si="1"/>
        <v>0</v>
      </c>
    </row>
    <row r="46" spans="2:9" x14ac:dyDescent="0.25">
      <c r="B46" s="54"/>
      <c r="C46" s="21"/>
      <c r="D46" s="21"/>
      <c r="E46" s="22"/>
      <c r="F46" s="23"/>
      <c r="G46" s="23"/>
      <c r="H46" s="24"/>
      <c r="I46" s="25">
        <f t="shared" si="1"/>
        <v>0</v>
      </c>
    </row>
    <row r="47" spans="2:9" x14ac:dyDescent="0.25">
      <c r="B47" s="54"/>
      <c r="C47" s="21"/>
      <c r="D47" s="21"/>
      <c r="E47" s="22"/>
      <c r="F47" s="23"/>
      <c r="G47" s="23"/>
      <c r="H47" s="24"/>
      <c r="I47" s="25">
        <f t="shared" si="1"/>
        <v>0</v>
      </c>
    </row>
    <row r="48" spans="2:9" x14ac:dyDescent="0.25">
      <c r="B48" s="54"/>
      <c r="C48" s="21"/>
      <c r="D48" s="21"/>
      <c r="E48" s="22"/>
      <c r="F48" s="23"/>
      <c r="G48" s="23"/>
      <c r="H48" s="24"/>
      <c r="I48" s="25">
        <f t="shared" si="1"/>
        <v>0</v>
      </c>
    </row>
    <row r="49" spans="2:9" x14ac:dyDescent="0.25">
      <c r="B49" s="54"/>
      <c r="C49" s="21"/>
      <c r="D49" s="21"/>
      <c r="E49" s="22"/>
      <c r="F49" s="23"/>
      <c r="G49" s="23"/>
      <c r="H49" s="24"/>
      <c r="I49" s="25">
        <f t="shared" si="1"/>
        <v>0</v>
      </c>
    </row>
    <row r="50" spans="2:9" x14ac:dyDescent="0.25">
      <c r="B50" s="54"/>
      <c r="C50" s="21"/>
      <c r="D50" s="21"/>
      <c r="E50" s="22"/>
      <c r="F50" s="23"/>
      <c r="G50" s="23"/>
      <c r="H50" s="24"/>
      <c r="I50" s="25">
        <f t="shared" si="1"/>
        <v>0</v>
      </c>
    </row>
    <row r="51" spans="2:9" x14ac:dyDescent="0.25">
      <c r="B51" s="54"/>
      <c r="C51" s="21"/>
      <c r="D51" s="21"/>
      <c r="E51" s="22"/>
      <c r="F51" s="23"/>
      <c r="G51" s="23"/>
      <c r="H51" s="24"/>
      <c r="I51" s="25">
        <f t="shared" si="1"/>
        <v>0</v>
      </c>
    </row>
    <row r="52" spans="2:9" x14ac:dyDescent="0.25">
      <c r="B52" s="54"/>
      <c r="C52" s="21"/>
      <c r="D52" s="21"/>
      <c r="E52" s="22"/>
      <c r="F52" s="23"/>
      <c r="G52" s="23"/>
      <c r="H52" s="24"/>
      <c r="I52" s="25">
        <f t="shared" si="1"/>
        <v>0</v>
      </c>
    </row>
    <row r="53" spans="2:9" x14ac:dyDescent="0.25">
      <c r="B53" s="54"/>
      <c r="C53" s="21"/>
      <c r="D53" s="21"/>
      <c r="E53" s="22"/>
      <c r="F53" s="23"/>
      <c r="G53" s="23"/>
      <c r="H53" s="24"/>
      <c r="I53" s="25">
        <f t="shared" si="1"/>
        <v>0</v>
      </c>
    </row>
    <row r="54" spans="2:9" x14ac:dyDescent="0.25">
      <c r="B54" s="54"/>
      <c r="C54" s="21"/>
      <c r="D54" s="21"/>
      <c r="E54" s="22"/>
      <c r="F54" s="23"/>
      <c r="G54" s="23"/>
      <c r="H54" s="24"/>
      <c r="I54" s="25">
        <f t="shared" si="1"/>
        <v>0</v>
      </c>
    </row>
    <row r="55" spans="2:9" x14ac:dyDescent="0.25">
      <c r="B55" s="54"/>
      <c r="C55" s="21"/>
      <c r="D55" s="21"/>
      <c r="E55" s="22"/>
      <c r="F55" s="23"/>
      <c r="G55" s="23"/>
      <c r="H55" s="24"/>
      <c r="I55" s="25">
        <f t="shared" si="1"/>
        <v>0</v>
      </c>
    </row>
    <row r="56" spans="2:9" x14ac:dyDescent="0.25">
      <c r="B56" s="21"/>
      <c r="C56" s="21"/>
      <c r="D56" s="21"/>
      <c r="E56" s="22"/>
      <c r="F56" s="23"/>
      <c r="G56" s="23"/>
      <c r="H56" s="24"/>
      <c r="I56" s="25">
        <f t="shared" si="1"/>
        <v>0</v>
      </c>
    </row>
    <row r="57" spans="2:9" x14ac:dyDescent="0.25">
      <c r="B57" s="21"/>
      <c r="C57" s="21"/>
      <c r="D57" s="21"/>
      <c r="E57" s="22"/>
      <c r="F57" s="23"/>
      <c r="G57" s="23"/>
      <c r="H57" s="24"/>
      <c r="I57" s="25">
        <f t="shared" si="1"/>
        <v>0</v>
      </c>
    </row>
    <row r="58" spans="2:9" x14ac:dyDescent="0.25">
      <c r="B58" s="21"/>
      <c r="C58" s="21"/>
      <c r="D58" s="21"/>
      <c r="E58" s="22"/>
      <c r="F58" s="23"/>
      <c r="G58" s="23"/>
      <c r="H58" s="24"/>
      <c r="I58" s="25">
        <f t="shared" si="1"/>
        <v>0</v>
      </c>
    </row>
    <row r="59" spans="2:9" x14ac:dyDescent="0.25">
      <c r="B59" s="21"/>
      <c r="C59" s="21"/>
      <c r="D59" s="21"/>
      <c r="E59" s="22"/>
      <c r="F59" s="23"/>
      <c r="G59" s="23"/>
      <c r="H59" s="24"/>
      <c r="I59" s="25">
        <f t="shared" si="1"/>
        <v>0</v>
      </c>
    </row>
    <row r="60" spans="2:9" x14ac:dyDescent="0.25">
      <c r="B60" s="21"/>
      <c r="C60" s="21"/>
      <c r="D60" s="21"/>
      <c r="E60" s="22"/>
      <c r="F60" s="23"/>
      <c r="G60" s="23"/>
      <c r="H60" s="24"/>
      <c r="I60" s="25">
        <f t="shared" si="1"/>
        <v>0</v>
      </c>
    </row>
    <row r="61" spans="2:9" x14ac:dyDescent="0.25">
      <c r="B61" s="21"/>
      <c r="C61" s="21"/>
      <c r="D61" s="21"/>
      <c r="E61" s="22"/>
      <c r="F61" s="23"/>
      <c r="G61" s="23"/>
      <c r="H61" s="24"/>
      <c r="I61" s="25">
        <f t="shared" si="1"/>
        <v>0</v>
      </c>
    </row>
    <row r="62" spans="2:9" x14ac:dyDescent="0.25">
      <c r="B62" s="21"/>
      <c r="C62" s="21"/>
      <c r="D62" s="21"/>
      <c r="E62" s="22"/>
      <c r="F62" s="23"/>
      <c r="G62" s="23"/>
      <c r="H62" s="24"/>
      <c r="I62" s="25">
        <f t="shared" si="1"/>
        <v>0</v>
      </c>
    </row>
    <row r="63" spans="2:9" x14ac:dyDescent="0.25">
      <c r="B63" s="21"/>
      <c r="C63" s="21"/>
      <c r="D63" s="21"/>
      <c r="E63" s="22"/>
      <c r="F63" s="23"/>
      <c r="G63" s="23"/>
      <c r="H63" s="24"/>
      <c r="I63" s="25">
        <f t="shared" si="1"/>
        <v>0</v>
      </c>
    </row>
    <row r="64" spans="2:9" x14ac:dyDescent="0.25">
      <c r="B64" s="21"/>
      <c r="C64" s="21"/>
      <c r="D64" s="21"/>
      <c r="E64" s="22"/>
      <c r="F64" s="23"/>
      <c r="G64" s="23"/>
      <c r="H64" s="24"/>
      <c r="I64" s="25">
        <f t="shared" si="1"/>
        <v>0</v>
      </c>
    </row>
    <row r="65" spans="2:9" x14ac:dyDescent="0.25">
      <c r="B65" s="21"/>
      <c r="C65" s="21"/>
      <c r="D65" s="21"/>
      <c r="E65" s="22"/>
      <c r="F65" s="23"/>
      <c r="G65" s="23"/>
      <c r="H65" s="24"/>
      <c r="I65" s="25">
        <f t="shared" si="1"/>
        <v>0</v>
      </c>
    </row>
    <row r="66" spans="2:9" x14ac:dyDescent="0.25">
      <c r="B66" s="21"/>
      <c r="C66" s="21"/>
      <c r="D66" s="21"/>
      <c r="E66" s="22"/>
      <c r="F66" s="23"/>
      <c r="G66" s="23"/>
      <c r="H66" s="24"/>
      <c r="I66" s="25">
        <f t="shared" si="1"/>
        <v>0</v>
      </c>
    </row>
    <row r="67" spans="2:9" x14ac:dyDescent="0.25">
      <c r="B67" s="21"/>
      <c r="C67" s="21"/>
      <c r="D67" s="21"/>
      <c r="E67" s="22"/>
      <c r="F67" s="23"/>
      <c r="G67" s="23"/>
      <c r="H67" s="24"/>
      <c r="I67" s="25">
        <f t="shared" si="1"/>
        <v>0</v>
      </c>
    </row>
    <row r="68" spans="2:9" x14ac:dyDescent="0.25">
      <c r="B68" s="21"/>
      <c r="C68" s="21"/>
      <c r="D68" s="21"/>
      <c r="E68" s="22"/>
      <c r="F68" s="23"/>
      <c r="G68" s="23"/>
      <c r="H68" s="24"/>
      <c r="I68" s="25">
        <f t="shared" si="1"/>
        <v>0</v>
      </c>
    </row>
    <row r="69" spans="2:9" x14ac:dyDescent="0.25">
      <c r="B69" s="21"/>
      <c r="C69" s="21"/>
      <c r="D69" s="21"/>
      <c r="E69" s="22"/>
      <c r="F69" s="23"/>
      <c r="G69" s="23"/>
      <c r="H69" s="24"/>
      <c r="I69" s="25">
        <f t="shared" si="1"/>
        <v>0</v>
      </c>
    </row>
    <row r="70" spans="2:9" x14ac:dyDescent="0.25">
      <c r="B70" s="21"/>
      <c r="C70" s="21"/>
      <c r="D70" s="21"/>
      <c r="E70" s="22"/>
      <c r="F70" s="23"/>
      <c r="G70" s="23"/>
      <c r="H70" s="24"/>
      <c r="I70" s="25">
        <f t="shared" si="1"/>
        <v>0</v>
      </c>
    </row>
    <row r="71" spans="2:9" x14ac:dyDescent="0.25">
      <c r="B71" s="21"/>
      <c r="C71" s="21"/>
      <c r="D71" s="21"/>
      <c r="E71" s="22"/>
      <c r="F71" s="23"/>
      <c r="G71" s="23"/>
      <c r="H71" s="24"/>
      <c r="I71" s="25">
        <f t="shared" si="1"/>
        <v>0</v>
      </c>
    </row>
    <row r="72" spans="2:9" x14ac:dyDescent="0.25">
      <c r="B72" s="21"/>
      <c r="C72" s="21"/>
      <c r="D72" s="21"/>
      <c r="E72" s="22"/>
      <c r="F72" s="23"/>
      <c r="G72" s="23"/>
      <c r="H72" s="24"/>
      <c r="I72" s="25">
        <f t="shared" si="1"/>
        <v>0</v>
      </c>
    </row>
    <row r="73" spans="2:9" x14ac:dyDescent="0.25">
      <c r="B73" s="21"/>
      <c r="C73" s="21"/>
      <c r="D73" s="21"/>
      <c r="E73" s="22"/>
      <c r="F73" s="23"/>
      <c r="G73" s="23"/>
      <c r="H73" s="24"/>
      <c r="I73" s="25">
        <f t="shared" si="1"/>
        <v>0</v>
      </c>
    </row>
    <row r="74" spans="2:9" x14ac:dyDescent="0.25">
      <c r="B74" s="21"/>
      <c r="C74" s="21"/>
      <c r="D74" s="21"/>
      <c r="E74" s="22"/>
      <c r="F74" s="23"/>
      <c r="G74" s="23"/>
      <c r="H74" s="24"/>
      <c r="I74" s="25">
        <f t="shared" si="1"/>
        <v>0</v>
      </c>
    </row>
    <row r="75" spans="2:9" x14ac:dyDescent="0.25">
      <c r="B75" s="21"/>
      <c r="C75" s="21"/>
      <c r="D75" s="21"/>
      <c r="E75" s="22"/>
      <c r="F75" s="23"/>
      <c r="G75" s="23"/>
      <c r="H75" s="24"/>
      <c r="I75" s="25">
        <f t="shared" si="1"/>
        <v>0</v>
      </c>
    </row>
    <row r="76" spans="2:9" x14ac:dyDescent="0.25">
      <c r="B76" s="21"/>
      <c r="C76" s="21"/>
      <c r="D76" s="21"/>
      <c r="E76" s="22"/>
      <c r="F76" s="23"/>
      <c r="G76" s="23"/>
      <c r="H76" s="24"/>
      <c r="I76" s="25">
        <f t="shared" si="1"/>
        <v>0</v>
      </c>
    </row>
    <row r="77" spans="2:9" x14ac:dyDescent="0.25">
      <c r="B77" s="21"/>
      <c r="C77" s="21"/>
      <c r="D77" s="21"/>
      <c r="E77" s="22"/>
      <c r="F77" s="23"/>
      <c r="G77" s="23"/>
      <c r="H77" s="24"/>
      <c r="I77" s="25">
        <f t="shared" si="1"/>
        <v>0</v>
      </c>
    </row>
    <row r="78" spans="2:9" x14ac:dyDescent="0.25">
      <c r="B78" s="21"/>
      <c r="C78" s="21"/>
      <c r="D78" s="21"/>
      <c r="E78" s="22"/>
      <c r="F78" s="23"/>
      <c r="G78" s="23"/>
      <c r="H78" s="24"/>
      <c r="I78" s="25">
        <f t="shared" si="1"/>
        <v>0</v>
      </c>
    </row>
    <row r="79" spans="2:9" x14ac:dyDescent="0.25">
      <c r="B79" s="21"/>
      <c r="C79" s="21"/>
      <c r="D79" s="21"/>
      <c r="E79" s="22"/>
      <c r="F79" s="23"/>
      <c r="G79" s="23"/>
      <c r="H79" s="24"/>
      <c r="I79" s="25">
        <f t="shared" si="1"/>
        <v>0</v>
      </c>
    </row>
    <row r="80" spans="2:9" x14ac:dyDescent="0.25">
      <c r="B80" s="75"/>
      <c r="C80" s="76"/>
      <c r="D80" s="76"/>
      <c r="E80" s="76"/>
      <c r="F80" s="77"/>
      <c r="G80" s="26"/>
      <c r="H80" s="27" t="s">
        <v>16</v>
      </c>
      <c r="I80" s="28">
        <f>SUM(I15:I79)</f>
        <v>85693.080000000016</v>
      </c>
    </row>
    <row r="81" spans="2:9" x14ac:dyDescent="0.25">
      <c r="B81" s="29"/>
      <c r="C81" s="30"/>
      <c r="D81" s="31" t="s">
        <v>17</v>
      </c>
      <c r="E81" s="78">
        <f>SUM(G15:G79)</f>
        <v>122418.558</v>
      </c>
      <c r="F81" s="79"/>
      <c r="G81" s="32"/>
      <c r="H81" s="27" t="s">
        <v>18</v>
      </c>
      <c r="I81" s="33">
        <v>0</v>
      </c>
    </row>
    <row r="82" spans="2:9" x14ac:dyDescent="0.25">
      <c r="B82" s="29"/>
      <c r="C82" s="30"/>
      <c r="D82" s="31" t="s">
        <v>19</v>
      </c>
      <c r="E82" s="78">
        <f>SUM(I15:I79)</f>
        <v>85693.080000000016</v>
      </c>
      <c r="F82" s="79"/>
      <c r="G82" s="32"/>
      <c r="H82" s="34" t="s">
        <v>20</v>
      </c>
      <c r="I82" s="33">
        <v>0</v>
      </c>
    </row>
    <row r="83" spans="2:9" x14ac:dyDescent="0.25">
      <c r="B83" s="29"/>
      <c r="C83" s="30"/>
      <c r="D83" s="31" t="s">
        <v>21</v>
      </c>
      <c r="E83" s="88">
        <f>E81-E82</f>
        <v>36725.477999999988</v>
      </c>
      <c r="F83" s="89"/>
      <c r="G83" s="35"/>
      <c r="H83" s="27" t="s">
        <v>22</v>
      </c>
      <c r="I83" s="36">
        <f>SUM(I80:I82)</f>
        <v>85693.080000000016</v>
      </c>
    </row>
    <row r="84" spans="2:9" x14ac:dyDescent="0.25">
      <c r="B84" s="29"/>
      <c r="C84" s="30"/>
      <c r="D84" s="31"/>
      <c r="E84" s="90"/>
      <c r="F84" s="91"/>
      <c r="G84" s="37"/>
      <c r="H84" s="27" t="s">
        <v>23</v>
      </c>
      <c r="I84" s="36">
        <f>I83*0.05</f>
        <v>4284.6540000000014</v>
      </c>
    </row>
    <row r="85" spans="2:9" x14ac:dyDescent="0.25">
      <c r="B85" s="29"/>
      <c r="C85" s="30"/>
      <c r="D85" s="38"/>
      <c r="E85" s="38"/>
      <c r="F85" s="39"/>
      <c r="G85" s="39"/>
      <c r="H85" s="27" t="s">
        <v>24</v>
      </c>
      <c r="I85" s="33"/>
    </row>
    <row r="86" spans="2:9" ht="15.75" x14ac:dyDescent="0.25">
      <c r="B86" s="85" t="s">
        <v>25</v>
      </c>
      <c r="C86" s="86"/>
      <c r="D86" s="86"/>
      <c r="E86" s="86"/>
      <c r="F86" s="87"/>
      <c r="G86" s="40"/>
      <c r="H86" s="41" t="s">
        <v>26</v>
      </c>
      <c r="I86" s="42">
        <f>SUM(I83:I85)</f>
        <v>89977.734000000011</v>
      </c>
    </row>
  </sheetData>
  <autoFilter ref="B14:I86" xr:uid="{627AEAAF-E9D4-4F41-920A-F55BC0791038}"/>
  <mergeCells count="25">
    <mergeCell ref="B86:F86"/>
    <mergeCell ref="F13:I13"/>
    <mergeCell ref="B80:F80"/>
    <mergeCell ref="E81:F81"/>
    <mergeCell ref="E82:F82"/>
    <mergeCell ref="E83:F83"/>
    <mergeCell ref="E84:F84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5399-1473-420D-A9BF-5D9EDEAB72D5}">
  <dimension ref="B1:I63"/>
  <sheetViews>
    <sheetView topLeftCell="A37" workbookViewId="0">
      <selection activeCell="I57" sqref="I57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30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>
        <v>8983698700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TURBOCHARGER</v>
      </c>
      <c r="E15" s="54">
        <f>VLOOKUP(B15,[1]!Table3[[Part Number]:[Annual]],11,0)</f>
        <v>2</v>
      </c>
      <c r="F15" s="63">
        <f>VLOOKUP(B15,[1]!Table3[[Part Number]:[Annual]],4,0)</f>
        <v>4709.6639999999998</v>
      </c>
      <c r="G15" s="23">
        <f>E15*F15</f>
        <v>9419.3279999999995</v>
      </c>
      <c r="H15" s="24">
        <f>VLOOKUP(B15,[1]!Table3[[Part Number]:[Annual]],5,0)</f>
        <v>2354.83</v>
      </c>
      <c r="I15" s="25">
        <f t="shared" ref="I15:I56" si="0">ROUND(E15*H15,2)</f>
        <v>4709.66</v>
      </c>
    </row>
    <row r="16" spans="2:9" x14ac:dyDescent="0.25">
      <c r="B16" s="58" t="s">
        <v>90</v>
      </c>
      <c r="C16" s="54" t="str">
        <f>VLOOKUP(B16,[1]!Table3[[Part Number]:[Annual]],2,0)</f>
        <v>CAT D7G (DSC) CAT D7G (DSC) (2) CAT D7G (DSC) (3) CAT D7G (SUB) CAT D7G (3ZD) CAT 572R (DSC) CAT 572R (DSC) (2)</v>
      </c>
      <c r="D16" s="54" t="str">
        <f>VLOOKUP(B16,[1]!Table3[[Part Number]:[Annual]],3,0)</f>
        <v>TURBOCHARGER</v>
      </c>
      <c r="E16" s="54">
        <f>VLOOKUP(B16,[1]!Table3[[Part Number]:[Annual]],11,0)</f>
        <v>7</v>
      </c>
      <c r="F16" s="63">
        <f>VLOOKUP(B16,[1]!Table3[[Part Number]:[Annual]],4,0)</f>
        <v>6780.97</v>
      </c>
      <c r="G16" s="23">
        <f t="shared" ref="G16:G20" si="1">E16*F16</f>
        <v>47466.79</v>
      </c>
      <c r="H16" s="24">
        <f>VLOOKUP(B16,[1]!Table3[[Part Number]:[Annual]],5,0)</f>
        <v>3390.49</v>
      </c>
      <c r="I16" s="25">
        <f t="shared" si="0"/>
        <v>23733.43</v>
      </c>
    </row>
    <row r="17" spans="2:9" x14ac:dyDescent="0.25">
      <c r="B17" s="54" t="s">
        <v>91</v>
      </c>
      <c r="C17" s="54" t="str">
        <f>VLOOKUP(B17,[1]!Table3[[Part Number]:[Annual]],2,0)</f>
        <v xml:space="preserve">CAT PL61 (DHA) CAT PL61 (WGS) CAT D6D (06X)        </v>
      </c>
      <c r="D17" s="54" t="str">
        <f>VLOOKUP(B17,[1]!Table3[[Part Number]:[Annual]],3,0)</f>
        <v>TURBOCHARGER</v>
      </c>
      <c r="E17" s="54">
        <f>VLOOKUP(B17,[1]!Table3[[Part Number]:[Annual]],11,0)</f>
        <v>3</v>
      </c>
      <c r="F17" s="63">
        <f>VLOOKUP(B17,[1]!Table3[[Part Number]:[Annual]],4,0)</f>
        <v>6681.88</v>
      </c>
      <c r="G17" s="23">
        <f t="shared" si="1"/>
        <v>20045.64</v>
      </c>
      <c r="H17" s="24">
        <f>VLOOKUP(B17,[1]!Table3[[Part Number]:[Annual]],5,0)</f>
        <v>3340.94</v>
      </c>
      <c r="I17" s="25">
        <f t="shared" si="0"/>
        <v>10022.82</v>
      </c>
    </row>
    <row r="18" spans="2:9" x14ac:dyDescent="0.25">
      <c r="B18" s="54" t="s">
        <v>92</v>
      </c>
      <c r="C18" s="54" t="str">
        <f>VLOOKUP(B18,[1]!Table3[[Part Number]:[Annual]],2,0)</f>
        <v xml:space="preserve">CAT 594 (96V) CAT 594H (96V)          </v>
      </c>
      <c r="D18" s="54" t="str">
        <f>VLOOKUP(B18,[1]!Table3[[Part Number]:[Annual]],3,0)</f>
        <v>TURBOCHARGER</v>
      </c>
      <c r="E18" s="54">
        <f>VLOOKUP(B18,[1]!Table3[[Part Number]:[Annual]],11,0)</f>
        <v>2</v>
      </c>
      <c r="F18" s="63">
        <f>VLOOKUP(B18,[1]!Table3[[Part Number]:[Annual]],4,0)</f>
        <v>9221.34</v>
      </c>
      <c r="G18" s="23">
        <f t="shared" si="1"/>
        <v>18442.68</v>
      </c>
      <c r="H18" s="24">
        <f>VLOOKUP(B18,[1]!Table3[[Part Number]:[Annual]],5,0)</f>
        <v>4610.67</v>
      </c>
      <c r="I18" s="25">
        <f t="shared" si="0"/>
        <v>9221.34</v>
      </c>
    </row>
    <row r="19" spans="2:9" x14ac:dyDescent="0.25">
      <c r="B19" s="54" t="s">
        <v>108</v>
      </c>
      <c r="C19" s="54" t="str">
        <f>VLOOKUP(B19,[1]!Table3[[Part Number]:[Annual]],2,0)</f>
        <v xml:space="preserve">CAT 583T (CMX) CAT 589 (31Z) CAT DK8 (893) CAT DK8 (950)      </v>
      </c>
      <c r="D19" s="54" t="str">
        <f>VLOOKUP(B19,[1]!Table3[[Part Number]:[Annual]],3,0)</f>
        <v>Turbocharger</v>
      </c>
      <c r="E19" s="54">
        <f>VLOOKUP(B19,[1]!Table3[[Part Number]:[Annual]],11,0)</f>
        <v>4</v>
      </c>
      <c r="F19" s="63">
        <f>VLOOKUP(B19,[1]!Table3[[Part Number]:[Annual]],4,0)</f>
        <v>9607.81</v>
      </c>
      <c r="G19" s="23">
        <f t="shared" si="1"/>
        <v>38431.24</v>
      </c>
      <c r="H19" s="24">
        <f>VLOOKUP(B19,[1]!Table3[[Part Number]:[Annual]],5,0)</f>
        <v>4803.91</v>
      </c>
      <c r="I19" s="25">
        <f t="shared" si="0"/>
        <v>19215.64</v>
      </c>
    </row>
    <row r="20" spans="2:9" x14ac:dyDescent="0.25">
      <c r="B20" s="54" t="s">
        <v>111</v>
      </c>
      <c r="C20" s="54" t="str">
        <f>VLOOKUP(B20,[1]!Table3[[Part Number]:[Annual]],2,0)</f>
        <v xml:space="preserve">HITACHI ZX290LC-5 (1FF) HITACHI ZX290LC-5 (1FF) (2) HITACHI ZX290LC-5 (1FF) (3)        </v>
      </c>
      <c r="D20" s="54" t="str">
        <f>VLOOKUP(B20,[1]!Table3[[Part Number]:[Annual]],3,0)</f>
        <v>TURBOCHARGER</v>
      </c>
      <c r="E20" s="54">
        <f>VLOOKUP(B20,[1]!Table3[[Part Number]:[Annual]],11,0)</f>
        <v>3</v>
      </c>
      <c r="F20" s="63">
        <f>VLOOKUP(B20,[1]!Table3[[Part Number]:[Annual]],4,0)</f>
        <v>2168.3801999999996</v>
      </c>
      <c r="G20" s="23">
        <f t="shared" si="1"/>
        <v>6505.1405999999988</v>
      </c>
      <c r="H20" s="24">
        <f>VLOOKUP(B20,[1]!Table3[[Part Number]:[Annual]],5,0)</f>
        <v>1084.19</v>
      </c>
      <c r="I20" s="25">
        <f t="shared" si="0"/>
        <v>3252.57</v>
      </c>
    </row>
    <row r="21" spans="2:9" x14ac:dyDescent="0.25">
      <c r="B21" s="54"/>
      <c r="C21" s="21"/>
      <c r="D21" s="21"/>
      <c r="E21" s="22"/>
      <c r="F21" s="23"/>
      <c r="G21" s="23"/>
      <c r="H21" s="24"/>
      <c r="I21" s="25">
        <f t="shared" si="0"/>
        <v>0</v>
      </c>
    </row>
    <row r="22" spans="2:9" x14ac:dyDescent="0.25">
      <c r="B22" s="21"/>
      <c r="C22" s="21"/>
      <c r="D22" s="21"/>
      <c r="E22" s="22"/>
      <c r="F22" s="23"/>
      <c r="G22" s="23">
        <f t="shared" ref="G16:G24" si="2">E22*F22</f>
        <v>0</v>
      </c>
      <c r="H22" s="24"/>
      <c r="I22" s="25">
        <f t="shared" si="0"/>
        <v>0</v>
      </c>
    </row>
    <row r="23" spans="2:9" x14ac:dyDescent="0.25">
      <c r="B23" s="21"/>
      <c r="C23" s="21"/>
      <c r="D23" s="21"/>
      <c r="E23" s="22"/>
      <c r="F23" s="23"/>
      <c r="G23" s="23">
        <f t="shared" si="2"/>
        <v>0</v>
      </c>
      <c r="H23" s="24"/>
      <c r="I23" s="25">
        <f t="shared" si="0"/>
        <v>0</v>
      </c>
    </row>
    <row r="24" spans="2:9" x14ac:dyDescent="0.25">
      <c r="B24" s="21"/>
      <c r="C24" s="21"/>
      <c r="D24" s="21"/>
      <c r="E24" s="22"/>
      <c r="F24" s="23"/>
      <c r="G24" s="23">
        <f t="shared" si="2"/>
        <v>0</v>
      </c>
      <c r="H24" s="24"/>
      <c r="I24" s="25">
        <f t="shared" si="0"/>
        <v>0</v>
      </c>
    </row>
    <row r="25" spans="2:9" x14ac:dyDescent="0.25">
      <c r="B25" s="21"/>
      <c r="C25" s="21"/>
      <c r="D25" s="21"/>
      <c r="E25" s="22"/>
      <c r="F25" s="23"/>
      <c r="G25" s="23">
        <f t="shared" ref="G25:G33" si="3">E25*F25</f>
        <v>0</v>
      </c>
      <c r="H25" s="24"/>
      <c r="I25" s="25">
        <f t="shared" si="0"/>
        <v>0</v>
      </c>
    </row>
    <row r="26" spans="2:9" x14ac:dyDescent="0.25">
      <c r="B26" s="21"/>
      <c r="C26" s="21"/>
      <c r="D26" s="21"/>
      <c r="E26" s="22"/>
      <c r="F26" s="23"/>
      <c r="G26" s="23">
        <f t="shared" si="3"/>
        <v>0</v>
      </c>
      <c r="H26" s="24"/>
      <c r="I26" s="25">
        <f t="shared" si="0"/>
        <v>0</v>
      </c>
    </row>
    <row r="27" spans="2:9" x14ac:dyDescent="0.25">
      <c r="B27" s="21"/>
      <c r="C27" s="21"/>
      <c r="D27" s="21"/>
      <c r="E27" s="22"/>
      <c r="F27" s="23"/>
      <c r="G27" s="23">
        <f t="shared" si="3"/>
        <v>0</v>
      </c>
      <c r="H27" s="24"/>
      <c r="I27" s="25">
        <f t="shared" si="0"/>
        <v>0</v>
      </c>
    </row>
    <row r="28" spans="2:9" x14ac:dyDescent="0.25">
      <c r="B28" s="21"/>
      <c r="C28" s="21"/>
      <c r="D28" s="21"/>
      <c r="E28" s="22"/>
      <c r="F28" s="23"/>
      <c r="G28" s="23">
        <f t="shared" si="3"/>
        <v>0</v>
      </c>
      <c r="H28" s="24"/>
      <c r="I28" s="25">
        <f t="shared" si="0"/>
        <v>0</v>
      </c>
    </row>
    <row r="29" spans="2:9" x14ac:dyDescent="0.25">
      <c r="B29" s="21"/>
      <c r="C29" s="21"/>
      <c r="D29" s="21"/>
      <c r="E29" s="22"/>
      <c r="F29" s="23"/>
      <c r="G29" s="23">
        <f t="shared" si="3"/>
        <v>0</v>
      </c>
      <c r="H29" s="24"/>
      <c r="I29" s="25">
        <f t="shared" si="0"/>
        <v>0</v>
      </c>
    </row>
    <row r="30" spans="2:9" x14ac:dyDescent="0.25">
      <c r="B30" s="21"/>
      <c r="C30" s="21"/>
      <c r="D30" s="21"/>
      <c r="E30" s="22"/>
      <c r="F30" s="23"/>
      <c r="G30" s="23">
        <f t="shared" si="3"/>
        <v>0</v>
      </c>
      <c r="H30" s="24"/>
      <c r="I30" s="25">
        <f t="shared" si="0"/>
        <v>0</v>
      </c>
    </row>
    <row r="31" spans="2:9" x14ac:dyDescent="0.25">
      <c r="B31" s="21"/>
      <c r="C31" s="21"/>
      <c r="D31" s="21"/>
      <c r="E31" s="22"/>
      <c r="F31" s="23"/>
      <c r="G31" s="23">
        <f t="shared" si="3"/>
        <v>0</v>
      </c>
      <c r="H31" s="24"/>
      <c r="I31" s="25">
        <f t="shared" si="0"/>
        <v>0</v>
      </c>
    </row>
    <row r="32" spans="2:9" x14ac:dyDescent="0.25">
      <c r="B32" s="21"/>
      <c r="C32" s="21"/>
      <c r="D32" s="21"/>
      <c r="E32" s="22"/>
      <c r="F32" s="23"/>
      <c r="G32" s="23">
        <f t="shared" si="3"/>
        <v>0</v>
      </c>
      <c r="H32" s="24"/>
      <c r="I32" s="25">
        <f t="shared" si="0"/>
        <v>0</v>
      </c>
    </row>
    <row r="33" spans="2:9" x14ac:dyDescent="0.25">
      <c r="B33" s="21"/>
      <c r="C33" s="21"/>
      <c r="D33" s="21"/>
      <c r="E33" s="22"/>
      <c r="F33" s="23"/>
      <c r="G33" s="23">
        <f t="shared" si="3"/>
        <v>0</v>
      </c>
      <c r="H33" s="24"/>
      <c r="I33" s="25">
        <f t="shared" si="0"/>
        <v>0</v>
      </c>
    </row>
    <row r="34" spans="2:9" x14ac:dyDescent="0.25">
      <c r="B34" s="21"/>
      <c r="C34" s="21"/>
      <c r="D34" s="21"/>
      <c r="E34" s="22"/>
      <c r="F34" s="23"/>
      <c r="G34" s="23">
        <f t="shared" ref="G34:G38" si="4">E34*F34</f>
        <v>0</v>
      </c>
      <c r="H34" s="24"/>
      <c r="I34" s="25">
        <f t="shared" si="0"/>
        <v>0</v>
      </c>
    </row>
    <row r="35" spans="2:9" x14ac:dyDescent="0.25">
      <c r="B35" s="21"/>
      <c r="C35" s="21"/>
      <c r="D35" s="21"/>
      <c r="E35" s="22"/>
      <c r="F35" s="23"/>
      <c r="G35" s="23">
        <f t="shared" si="4"/>
        <v>0</v>
      </c>
      <c r="H35" s="24"/>
      <c r="I35" s="25">
        <f t="shared" si="0"/>
        <v>0</v>
      </c>
    </row>
    <row r="36" spans="2:9" x14ac:dyDescent="0.25">
      <c r="B36" s="21"/>
      <c r="C36" s="21"/>
      <c r="D36" s="21"/>
      <c r="E36" s="22"/>
      <c r="F36" s="23"/>
      <c r="G36" s="23">
        <f t="shared" si="4"/>
        <v>0</v>
      </c>
      <c r="H36" s="24"/>
      <c r="I36" s="25">
        <f t="shared" si="0"/>
        <v>0</v>
      </c>
    </row>
    <row r="37" spans="2:9" x14ac:dyDescent="0.25">
      <c r="B37" s="21"/>
      <c r="C37" s="21"/>
      <c r="D37" s="21"/>
      <c r="E37" s="22"/>
      <c r="F37" s="23"/>
      <c r="G37" s="23">
        <f t="shared" si="4"/>
        <v>0</v>
      </c>
      <c r="H37" s="24"/>
      <c r="I37" s="25">
        <f t="shared" si="0"/>
        <v>0</v>
      </c>
    </row>
    <row r="38" spans="2:9" x14ac:dyDescent="0.25">
      <c r="B38" s="21"/>
      <c r="C38" s="21"/>
      <c r="D38" s="21"/>
      <c r="E38" s="22"/>
      <c r="F38" s="23"/>
      <c r="G38" s="23">
        <f t="shared" si="4"/>
        <v>0</v>
      </c>
      <c r="H38" s="24"/>
      <c r="I38" s="25">
        <f t="shared" si="0"/>
        <v>0</v>
      </c>
    </row>
    <row r="39" spans="2:9" x14ac:dyDescent="0.25">
      <c r="B39" s="21"/>
      <c r="C39" s="21"/>
      <c r="D39" s="21"/>
      <c r="E39" s="22"/>
      <c r="F39" s="23"/>
      <c r="G39" s="23"/>
      <c r="H39" s="24"/>
      <c r="I39" s="25">
        <f t="shared" si="0"/>
        <v>0</v>
      </c>
    </row>
    <row r="40" spans="2:9" x14ac:dyDescent="0.25">
      <c r="B40" s="21"/>
      <c r="C40" s="21"/>
      <c r="D40" s="21"/>
      <c r="E40" s="22"/>
      <c r="F40" s="23"/>
      <c r="G40" s="23"/>
      <c r="H40" s="24"/>
      <c r="I40" s="25">
        <f t="shared" si="0"/>
        <v>0</v>
      </c>
    </row>
    <row r="41" spans="2:9" x14ac:dyDescent="0.25">
      <c r="B41" s="21"/>
      <c r="C41" s="21"/>
      <c r="D41" s="21"/>
      <c r="E41" s="22"/>
      <c r="F41" s="23"/>
      <c r="G41" s="23"/>
      <c r="H41" s="24"/>
      <c r="I41" s="25">
        <f t="shared" si="0"/>
        <v>0</v>
      </c>
    </row>
    <row r="42" spans="2:9" x14ac:dyDescent="0.25">
      <c r="B42" s="21"/>
      <c r="C42" s="21"/>
      <c r="D42" s="21"/>
      <c r="E42" s="22"/>
      <c r="F42" s="23"/>
      <c r="G42" s="23"/>
      <c r="H42" s="24"/>
      <c r="I42" s="25">
        <f t="shared" si="0"/>
        <v>0</v>
      </c>
    </row>
    <row r="43" spans="2:9" x14ac:dyDescent="0.25">
      <c r="B43" s="21"/>
      <c r="C43" s="21"/>
      <c r="D43" s="21"/>
      <c r="E43" s="22"/>
      <c r="F43" s="23"/>
      <c r="G43" s="23"/>
      <c r="H43" s="24"/>
      <c r="I43" s="25">
        <f t="shared" si="0"/>
        <v>0</v>
      </c>
    </row>
    <row r="44" spans="2:9" x14ac:dyDescent="0.25">
      <c r="B44" s="21"/>
      <c r="C44" s="21"/>
      <c r="D44" s="21"/>
      <c r="E44" s="22"/>
      <c r="F44" s="23"/>
      <c r="G44" s="23"/>
      <c r="H44" s="24"/>
      <c r="I44" s="25">
        <f t="shared" si="0"/>
        <v>0</v>
      </c>
    </row>
    <row r="45" spans="2:9" x14ac:dyDescent="0.25">
      <c r="B45" s="21"/>
      <c r="C45" s="21"/>
      <c r="D45" s="21"/>
      <c r="E45" s="22"/>
      <c r="F45" s="23"/>
      <c r="G45" s="23"/>
      <c r="H45" s="24"/>
      <c r="I45" s="25">
        <f t="shared" si="0"/>
        <v>0</v>
      </c>
    </row>
    <row r="46" spans="2:9" x14ac:dyDescent="0.25">
      <c r="B46" s="21"/>
      <c r="C46" s="21"/>
      <c r="D46" s="21"/>
      <c r="E46" s="22"/>
      <c r="F46" s="23"/>
      <c r="G46" s="23"/>
      <c r="H46" s="24"/>
      <c r="I46" s="25">
        <f t="shared" si="0"/>
        <v>0</v>
      </c>
    </row>
    <row r="47" spans="2:9" x14ac:dyDescent="0.25">
      <c r="B47" s="21"/>
      <c r="C47" s="21"/>
      <c r="D47" s="21"/>
      <c r="E47" s="22"/>
      <c r="F47" s="23"/>
      <c r="G47" s="23"/>
      <c r="H47" s="24"/>
      <c r="I47" s="25">
        <f t="shared" si="0"/>
        <v>0</v>
      </c>
    </row>
    <row r="48" spans="2:9" x14ac:dyDescent="0.25">
      <c r="B48" s="21"/>
      <c r="C48" s="21"/>
      <c r="D48" s="21"/>
      <c r="E48" s="22"/>
      <c r="F48" s="23"/>
      <c r="G48" s="23"/>
      <c r="H48" s="24"/>
      <c r="I48" s="25">
        <f t="shared" si="0"/>
        <v>0</v>
      </c>
    </row>
    <row r="49" spans="2:9" x14ac:dyDescent="0.25">
      <c r="B49" s="21"/>
      <c r="C49" s="21"/>
      <c r="D49" s="21"/>
      <c r="E49" s="22"/>
      <c r="F49" s="23"/>
      <c r="G49" s="23"/>
      <c r="H49" s="24"/>
      <c r="I49" s="25">
        <f t="shared" si="0"/>
        <v>0</v>
      </c>
    </row>
    <row r="50" spans="2:9" x14ac:dyDescent="0.25">
      <c r="B50" s="21"/>
      <c r="C50" s="21"/>
      <c r="D50" s="21"/>
      <c r="E50" s="22"/>
      <c r="F50" s="23"/>
      <c r="G50" s="23"/>
      <c r="H50" s="24"/>
      <c r="I50" s="25">
        <f t="shared" si="0"/>
        <v>0</v>
      </c>
    </row>
    <row r="51" spans="2:9" x14ac:dyDescent="0.25">
      <c r="B51" s="21"/>
      <c r="C51" s="21"/>
      <c r="D51" s="21"/>
      <c r="E51" s="22"/>
      <c r="F51" s="23"/>
      <c r="G51" s="23"/>
      <c r="H51" s="24"/>
      <c r="I51" s="25">
        <f t="shared" si="0"/>
        <v>0</v>
      </c>
    </row>
    <row r="52" spans="2:9" x14ac:dyDescent="0.25">
      <c r="B52" s="21"/>
      <c r="C52" s="21"/>
      <c r="D52" s="21"/>
      <c r="E52" s="22"/>
      <c r="F52" s="23"/>
      <c r="G52" s="23"/>
      <c r="H52" s="24"/>
      <c r="I52" s="25">
        <f t="shared" si="0"/>
        <v>0</v>
      </c>
    </row>
    <row r="53" spans="2:9" x14ac:dyDescent="0.25">
      <c r="B53" s="21"/>
      <c r="C53" s="21"/>
      <c r="D53" s="21"/>
      <c r="E53" s="22"/>
      <c r="F53" s="23"/>
      <c r="G53" s="23"/>
      <c r="H53" s="24"/>
      <c r="I53" s="25">
        <f t="shared" si="0"/>
        <v>0</v>
      </c>
    </row>
    <row r="54" spans="2:9" x14ac:dyDescent="0.25">
      <c r="B54" s="21"/>
      <c r="C54" s="21"/>
      <c r="D54" s="21"/>
      <c r="E54" s="22"/>
      <c r="F54" s="23"/>
      <c r="G54" s="23"/>
      <c r="H54" s="24"/>
      <c r="I54" s="25">
        <f t="shared" si="0"/>
        <v>0</v>
      </c>
    </row>
    <row r="55" spans="2:9" x14ac:dyDescent="0.25">
      <c r="B55" s="21"/>
      <c r="C55" s="21"/>
      <c r="D55" s="21"/>
      <c r="E55" s="22"/>
      <c r="F55" s="23"/>
      <c r="G55" s="23"/>
      <c r="H55" s="24"/>
      <c r="I55" s="25">
        <f t="shared" si="0"/>
        <v>0</v>
      </c>
    </row>
    <row r="56" spans="2:9" x14ac:dyDescent="0.25">
      <c r="B56" s="21"/>
      <c r="C56" s="21"/>
      <c r="D56" s="21"/>
      <c r="E56" s="22"/>
      <c r="F56" s="23"/>
      <c r="G56" s="23"/>
      <c r="H56" s="24"/>
      <c r="I56" s="25">
        <f t="shared" si="0"/>
        <v>0</v>
      </c>
    </row>
    <row r="57" spans="2:9" x14ac:dyDescent="0.25">
      <c r="B57" s="75"/>
      <c r="C57" s="76"/>
      <c r="D57" s="76"/>
      <c r="E57" s="76"/>
      <c r="F57" s="77"/>
      <c r="G57" s="26"/>
      <c r="H57" s="27" t="s">
        <v>16</v>
      </c>
      <c r="I57" s="28">
        <f>SUM(I15:I56)</f>
        <v>70155.460000000006</v>
      </c>
    </row>
    <row r="58" spans="2:9" x14ac:dyDescent="0.25">
      <c r="B58" s="29"/>
      <c r="C58" s="30"/>
      <c r="D58" s="31" t="s">
        <v>17</v>
      </c>
      <c r="E58" s="78">
        <f>SUM(G15:G56)</f>
        <v>140310.8186</v>
      </c>
      <c r="F58" s="79"/>
      <c r="G58" s="32"/>
      <c r="H58" s="27" t="s">
        <v>18</v>
      </c>
      <c r="I58" s="33">
        <v>0</v>
      </c>
    </row>
    <row r="59" spans="2:9" x14ac:dyDescent="0.25">
      <c r="B59" s="29"/>
      <c r="C59" s="30"/>
      <c r="D59" s="31" t="s">
        <v>19</v>
      </c>
      <c r="E59" s="78">
        <f>SUM(I15:I56)</f>
        <v>70155.460000000006</v>
      </c>
      <c r="F59" s="79"/>
      <c r="G59" s="32"/>
      <c r="H59" s="34" t="s">
        <v>20</v>
      </c>
      <c r="I59" s="33">
        <v>0</v>
      </c>
    </row>
    <row r="60" spans="2:9" x14ac:dyDescent="0.25">
      <c r="B60" s="29"/>
      <c r="C60" s="30"/>
      <c r="D60" s="31" t="s">
        <v>21</v>
      </c>
      <c r="E60" s="88">
        <f>E58-E59</f>
        <v>70155.358599999992</v>
      </c>
      <c r="F60" s="89"/>
      <c r="G60" s="35"/>
      <c r="H60" s="27" t="s">
        <v>22</v>
      </c>
      <c r="I60" s="36">
        <f>SUM(I57:I59)</f>
        <v>70155.460000000006</v>
      </c>
    </row>
    <row r="61" spans="2:9" x14ac:dyDescent="0.25">
      <c r="B61" s="29"/>
      <c r="C61" s="30"/>
      <c r="D61" s="31"/>
      <c r="E61" s="90"/>
      <c r="F61" s="91"/>
      <c r="G61" s="37"/>
      <c r="H61" s="27" t="s">
        <v>23</v>
      </c>
      <c r="I61" s="36">
        <f>I60*0.05</f>
        <v>3507.7730000000006</v>
      </c>
    </row>
    <row r="62" spans="2:9" x14ac:dyDescent="0.25">
      <c r="B62" s="29"/>
      <c r="C62" s="30"/>
      <c r="D62" s="38"/>
      <c r="E62" s="38"/>
      <c r="F62" s="39"/>
      <c r="G62" s="39"/>
      <c r="H62" s="27" t="s">
        <v>24</v>
      </c>
      <c r="I62" s="33"/>
    </row>
    <row r="63" spans="2:9" ht="15.75" x14ac:dyDescent="0.25">
      <c r="B63" s="85" t="s">
        <v>25</v>
      </c>
      <c r="C63" s="86"/>
      <c r="D63" s="86"/>
      <c r="E63" s="86"/>
      <c r="F63" s="87"/>
      <c r="G63" s="40"/>
      <c r="H63" s="41" t="s">
        <v>26</v>
      </c>
      <c r="I63" s="42">
        <f>SUM(I60:I62)</f>
        <v>73663.233000000007</v>
      </c>
    </row>
  </sheetData>
  <autoFilter ref="B14:I63" xr:uid="{B7555399-1473-420D-A9BF-5D9EDEAB72D5}"/>
  <mergeCells count="25">
    <mergeCell ref="B63:F63"/>
    <mergeCell ref="F13:I13"/>
    <mergeCell ref="B57:F57"/>
    <mergeCell ref="E58:F58"/>
    <mergeCell ref="E59:F59"/>
    <mergeCell ref="E60:F60"/>
    <mergeCell ref="E61:F6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AEEB-CD2F-48F1-81CD-96497023E797}">
  <dimension ref="B1:I32"/>
  <sheetViews>
    <sheetView topLeftCell="A2" workbookViewId="0">
      <selection activeCell="H15" sqref="H15"/>
    </sheetView>
  </sheetViews>
  <sheetFormatPr defaultRowHeight="15" x14ac:dyDescent="0.25"/>
  <cols>
    <col min="1" max="1" width="2.7109375" customWidth="1"/>
    <col min="2" max="2" width="25.85546875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50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f>'MOQ Grand Total'!F7</f>
        <v>45839</v>
      </c>
      <c r="G7" s="10"/>
      <c r="H7" s="11" t="s">
        <v>8</v>
      </c>
      <c r="I7" s="12" t="str">
        <f>'MOQ Grand Total'!I7</f>
        <v xml:space="preserve"> 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tr">
        <f>'MOQ Grand Total'!H8</f>
        <v>(780) 385-8652</v>
      </c>
      <c r="I8" s="84"/>
    </row>
    <row r="9" spans="2:9" x14ac:dyDescent="0.25">
      <c r="B9" s="49" t="s">
        <v>11</v>
      </c>
      <c r="C9" s="83">
        <f>'MOQ Grand Total'!C9</f>
        <v>0</v>
      </c>
      <c r="D9" s="83"/>
      <c r="E9" s="80" t="s">
        <v>12</v>
      </c>
      <c r="F9" s="80"/>
      <c r="G9" s="13"/>
      <c r="H9" s="83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>
        <f>'MOQ Grand Total'!H10</f>
        <v>0</v>
      </c>
      <c r="I10" s="81"/>
    </row>
    <row r="11" spans="2:9" x14ac:dyDescent="0.25">
      <c r="B11" s="49"/>
      <c r="C11" s="92">
        <f>'MOQ Grand Total'!C11</f>
        <v>0</v>
      </c>
      <c r="D11" s="92"/>
      <c r="E11" s="80"/>
      <c r="F11" s="80"/>
      <c r="G11" s="13"/>
      <c r="H11" s="81">
        <f>'MOQ Grand Total'!H11</f>
        <v>0</v>
      </c>
      <c r="I11" s="81"/>
    </row>
    <row r="12" spans="2:9" x14ac:dyDescent="0.25">
      <c r="B12" s="50"/>
      <c r="C12" s="93" t="str">
        <f>'MOQ Grand Total'!C12</f>
        <v>Based on 200 machine hours per  month</v>
      </c>
      <c r="D12" s="93"/>
      <c r="E12" s="94"/>
      <c r="F12" s="94"/>
      <c r="G12" s="14"/>
      <c r="H12" s="82" t="str">
        <f>'MOQ Grand Total'!H12</f>
        <v xml:space="preserve"> 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17" t="s">
        <v>14</v>
      </c>
      <c r="D14" s="18" t="s">
        <v>1</v>
      </c>
      <c r="E14" s="19" t="s">
        <v>2</v>
      </c>
      <c r="F14" s="19" t="s">
        <v>4</v>
      </c>
      <c r="G14" s="19"/>
      <c r="H14" s="19" t="s">
        <v>5</v>
      </c>
      <c r="I14" s="20" t="s">
        <v>15</v>
      </c>
    </row>
    <row r="15" spans="2:9" x14ac:dyDescent="0.25">
      <c r="B15" s="58" t="s">
        <v>101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GQP 470GLC Complete UC KIT</v>
      </c>
      <c r="E15" s="54">
        <f>VLOOKUP(B15,[1]!Table3[[Part Number]:[Annual]],11,0)</f>
        <v>2</v>
      </c>
      <c r="F15" s="63">
        <f>VLOOKUP(B15,[1]!Table3[[Part Number]:[Annual]],4,0)</f>
        <v>106637.54</v>
      </c>
      <c r="G15" s="23">
        <f>E15*F15</f>
        <v>213275.08</v>
      </c>
      <c r="H15" s="24">
        <f>VLOOKUP(B15,[1]!Table3[[Part Number]:[Annual]],5,0)</f>
        <v>42655.02</v>
      </c>
      <c r="I15" s="25">
        <f t="shared" ref="I15:I25" si="0">ROUND(E15*H15,2)</f>
        <v>85310.04</v>
      </c>
    </row>
    <row r="16" spans="2:9" x14ac:dyDescent="0.25">
      <c r="B16" s="58" t="s">
        <v>93</v>
      </c>
      <c r="C16" s="54" t="str">
        <f>VLOOKUP(B16,[1]!Table3[[Part Number]:[Annual]],2,0)</f>
        <v>CAT D7G (DSC) CAT D7G (DSC) (2) CAT D7G (DSC) (3) CAT D7G (SUB) CAT D7G (3ZD) CAT 572R (DSC) CAT 572R (DSC) (2)</v>
      </c>
      <c r="D16" s="54" t="str">
        <f>VLOOKUP(B16,[1]!Table3[[Part Number]:[Annual]],3,0)</f>
        <v>GQP 572R Complete UC KIT</v>
      </c>
      <c r="E16" s="54">
        <f>VLOOKUP(B16,[1]!Table3[[Part Number]:[Annual]],11,0)</f>
        <v>7</v>
      </c>
      <c r="F16" s="63">
        <f>VLOOKUP(B16,[1]!Table3[[Part Number]:[Annual]],4,0)</f>
        <v>98900.34</v>
      </c>
      <c r="G16" s="23">
        <f t="shared" ref="G16:G20" si="1">E16*F16</f>
        <v>692302.38</v>
      </c>
      <c r="H16" s="24">
        <f>VLOOKUP(B16,[1]!Table3[[Part Number]:[Annual]],5,0)</f>
        <v>54395.19</v>
      </c>
      <c r="I16" s="25">
        <f t="shared" si="0"/>
        <v>380766.33</v>
      </c>
    </row>
    <row r="17" spans="2:9" x14ac:dyDescent="0.25">
      <c r="B17" s="58" t="s">
        <v>104</v>
      </c>
      <c r="C17" s="54" t="str">
        <f>VLOOKUP(B17,[1]!Table3[[Part Number]:[Annual]],2,0)</f>
        <v xml:space="preserve">CAT 583T (CMX) CAT 589 (31Z) CAT DK8 (893) CAT DK8 (950)      </v>
      </c>
      <c r="D17" s="54" t="str">
        <f>VLOOKUP(B17,[1]!Table3[[Part Number]:[Annual]],3,0)</f>
        <v>GQP 583T Complete UC KIT</v>
      </c>
      <c r="E17" s="54">
        <f>VLOOKUP(B17,[1]!Table3[[Part Number]:[Annual]],11,0)</f>
        <v>4</v>
      </c>
      <c r="F17" s="63">
        <f>VLOOKUP(B17,[1]!Table3[[Part Number]:[Annual]],4,0)</f>
        <v>89509.32</v>
      </c>
      <c r="G17" s="23">
        <f t="shared" si="1"/>
        <v>358037.28</v>
      </c>
      <c r="H17" s="24">
        <f>VLOOKUP(B17,[1]!Table3[[Part Number]:[Annual]],5,0)</f>
        <v>49230.13</v>
      </c>
      <c r="I17" s="25">
        <f t="shared" si="0"/>
        <v>196920.52</v>
      </c>
    </row>
    <row r="18" spans="2:9" x14ac:dyDescent="0.25">
      <c r="B18" s="58" t="s">
        <v>109</v>
      </c>
      <c r="C18" s="54" t="str">
        <f>VLOOKUP(B18,[1]!Table3[[Part Number]:[Annual]],2,0)</f>
        <v xml:space="preserve">CAT 594 (96V) CAT 594H (96V)          </v>
      </c>
      <c r="D18" s="54" t="str">
        <f>VLOOKUP(B18,[1]!Table3[[Part Number]:[Annual]],3,0)</f>
        <v>GQP D9G/H Complete UC KIT</v>
      </c>
      <c r="E18" s="54">
        <f>VLOOKUP(B18,[1]!Table3[[Part Number]:[Annual]],11,0)</f>
        <v>2</v>
      </c>
      <c r="F18" s="63">
        <f>VLOOKUP(B18,[1]!Table3[[Part Number]:[Annual]],4,0)</f>
        <v>265728.26</v>
      </c>
      <c r="G18" s="23">
        <f t="shared" si="1"/>
        <v>531456.52</v>
      </c>
      <c r="H18" s="24">
        <f>VLOOKUP(B18,[1]!Table3[[Part Number]:[Annual]],5,0)</f>
        <v>146150.54</v>
      </c>
      <c r="I18" s="25">
        <f t="shared" si="0"/>
        <v>292301.08</v>
      </c>
    </row>
    <row r="19" spans="2:9" x14ac:dyDescent="0.25">
      <c r="B19" s="58" t="s">
        <v>94</v>
      </c>
      <c r="C19" s="54" t="str">
        <f>VLOOKUP(B19,[1]!Table3[[Part Number]:[Annual]],2,0)</f>
        <v xml:space="preserve">CAT PL61 (DHA) CAT PL61 (WGS) CAT D6D (06X)        </v>
      </c>
      <c r="D19" s="54" t="str">
        <f>VLOOKUP(B19,[1]!Table3[[Part Number]:[Annual]],3,0)</f>
        <v>GQP PL61 Complete UC KIT</v>
      </c>
      <c r="E19" s="54">
        <f>VLOOKUP(B19,[1]!Table3[[Part Number]:[Annual]],11,0)</f>
        <v>3</v>
      </c>
      <c r="F19" s="63">
        <f>VLOOKUP(B19,[1]!Table3[[Part Number]:[Annual]],4,0)</f>
        <v>54495.98000000001</v>
      </c>
      <c r="G19" s="23">
        <f t="shared" si="1"/>
        <v>163487.94000000003</v>
      </c>
      <c r="H19" s="24">
        <f>VLOOKUP(B19,[1]!Table3[[Part Number]:[Annual]],5,0)</f>
        <v>29972.79</v>
      </c>
      <c r="I19" s="25">
        <f t="shared" si="0"/>
        <v>89918.37</v>
      </c>
    </row>
    <row r="20" spans="2:9" x14ac:dyDescent="0.25">
      <c r="B20" s="58" t="s">
        <v>112</v>
      </c>
      <c r="C20" s="54" t="str">
        <f>VLOOKUP(B20,[1]!Table3[[Part Number]:[Annual]],2,0)</f>
        <v xml:space="preserve">HITACHI ZX290LC-5 (1FF) HITACHI ZX290LC-5 (1FF) (2) HITACHI ZX290LC-5 (1FF) (3)        </v>
      </c>
      <c r="D20" s="54" t="str">
        <f>VLOOKUP(B20,[1]!Table3[[Part Number]:[Annual]],3,0)</f>
        <v>GQP ZX290LC Complete UC KIT</v>
      </c>
      <c r="E20" s="54">
        <f>VLOOKUP(B20,[1]!Table3[[Part Number]:[Annual]],11,0)</f>
        <v>3</v>
      </c>
      <c r="F20" s="63">
        <f>VLOOKUP(B20,[1]!Table3[[Part Number]:[Annual]],4,0)</f>
        <v>74547.460000000006</v>
      </c>
      <c r="G20" s="23">
        <f t="shared" si="1"/>
        <v>223642.38</v>
      </c>
      <c r="H20" s="24">
        <f>VLOOKUP(B20,[1]!Table3[[Part Number]:[Annual]],5,0)</f>
        <v>29818.98</v>
      </c>
      <c r="I20" s="25">
        <f t="shared" si="0"/>
        <v>89456.94</v>
      </c>
    </row>
    <row r="21" spans="2:9" x14ac:dyDescent="0.25">
      <c r="B21" s="54"/>
      <c r="C21" s="21"/>
      <c r="D21" s="21"/>
      <c r="E21" s="22"/>
      <c r="F21" s="23"/>
      <c r="G21" s="23"/>
      <c r="H21" s="24"/>
      <c r="I21" s="25">
        <f t="shared" si="0"/>
        <v>0</v>
      </c>
    </row>
    <row r="22" spans="2:9" x14ac:dyDescent="0.25">
      <c r="B22" s="54"/>
      <c r="C22" s="21"/>
      <c r="D22" s="21"/>
      <c r="E22" s="22"/>
      <c r="F22" s="23"/>
      <c r="G22" s="23"/>
      <c r="H22" s="24"/>
      <c r="I22" s="25">
        <f t="shared" si="0"/>
        <v>0</v>
      </c>
    </row>
    <row r="23" spans="2:9" x14ac:dyDescent="0.25">
      <c r="B23" s="54"/>
      <c r="C23" s="21"/>
      <c r="D23" s="21"/>
      <c r="E23" s="22"/>
      <c r="F23" s="23"/>
      <c r="G23" s="23"/>
      <c r="H23" s="24"/>
      <c r="I23" s="25">
        <f t="shared" si="0"/>
        <v>0</v>
      </c>
    </row>
    <row r="24" spans="2:9" x14ac:dyDescent="0.25">
      <c r="B24" s="54"/>
      <c r="C24" s="21"/>
      <c r="D24" s="21"/>
      <c r="E24" s="22"/>
      <c r="F24" s="23"/>
      <c r="G24" s="23"/>
      <c r="H24" s="24"/>
      <c r="I24" s="25">
        <f t="shared" si="0"/>
        <v>0</v>
      </c>
    </row>
    <row r="25" spans="2:9" x14ac:dyDescent="0.25">
      <c r="B25" s="54"/>
      <c r="C25" s="21"/>
      <c r="D25" s="21"/>
      <c r="E25" s="22"/>
      <c r="F25" s="23"/>
      <c r="G25" s="23"/>
      <c r="H25" s="24"/>
      <c r="I25" s="25">
        <f t="shared" si="0"/>
        <v>0</v>
      </c>
    </row>
    <row r="26" spans="2:9" x14ac:dyDescent="0.25">
      <c r="B26" s="75"/>
      <c r="C26" s="76"/>
      <c r="D26" s="76"/>
      <c r="E26" s="76"/>
      <c r="F26" s="77"/>
      <c r="G26" s="26"/>
      <c r="H26" s="27" t="s">
        <v>16</v>
      </c>
      <c r="I26" s="28">
        <f>SUM(I15:I25)</f>
        <v>1134673.28</v>
      </c>
    </row>
    <row r="27" spans="2:9" x14ac:dyDescent="0.25">
      <c r="B27" s="29"/>
      <c r="C27" s="30"/>
      <c r="D27" s="31" t="s">
        <v>17</v>
      </c>
      <c r="E27" s="78">
        <f>SUM(G15:G25)</f>
        <v>2182201.58</v>
      </c>
      <c r="F27" s="79"/>
      <c r="G27" s="32"/>
      <c r="H27" s="27" t="s">
        <v>18</v>
      </c>
      <c r="I27" s="33">
        <v>0</v>
      </c>
    </row>
    <row r="28" spans="2:9" x14ac:dyDescent="0.25">
      <c r="B28" s="29"/>
      <c r="C28" s="30"/>
      <c r="D28" s="31" t="s">
        <v>19</v>
      </c>
      <c r="E28" s="78">
        <f>SUM(I15:I25)</f>
        <v>1134673.28</v>
      </c>
      <c r="F28" s="79"/>
      <c r="G28" s="32"/>
      <c r="H28" s="34" t="s">
        <v>20</v>
      </c>
      <c r="I28" s="33">
        <v>0</v>
      </c>
    </row>
    <row r="29" spans="2:9" x14ac:dyDescent="0.25">
      <c r="B29" s="29"/>
      <c r="C29" s="30"/>
      <c r="D29" s="31" t="s">
        <v>21</v>
      </c>
      <c r="E29" s="88">
        <f>E27-E28</f>
        <v>1047528.3</v>
      </c>
      <c r="F29" s="89"/>
      <c r="G29" s="35"/>
      <c r="H29" s="27" t="s">
        <v>22</v>
      </c>
      <c r="I29" s="36">
        <f>SUM(I26:I28)</f>
        <v>1134673.28</v>
      </c>
    </row>
    <row r="30" spans="2:9" x14ac:dyDescent="0.25">
      <c r="B30" s="29"/>
      <c r="C30" s="30"/>
      <c r="D30" s="31"/>
      <c r="E30" s="90"/>
      <c r="F30" s="91"/>
      <c r="G30" s="37"/>
      <c r="H30" s="27" t="s">
        <v>23</v>
      </c>
      <c r="I30" s="36">
        <f>I29*0.05</f>
        <v>56733.664000000004</v>
      </c>
    </row>
    <row r="31" spans="2:9" x14ac:dyDescent="0.25">
      <c r="B31" s="29"/>
      <c r="C31" s="30"/>
      <c r="D31" s="38"/>
      <c r="E31" s="38"/>
      <c r="F31" s="39"/>
      <c r="G31" s="39"/>
      <c r="H31" s="27" t="s">
        <v>24</v>
      </c>
      <c r="I31" s="33"/>
    </row>
    <row r="32" spans="2:9" ht="15.75" x14ac:dyDescent="0.25">
      <c r="B32" s="85" t="s">
        <v>25</v>
      </c>
      <c r="C32" s="86"/>
      <c r="D32" s="86"/>
      <c r="E32" s="86"/>
      <c r="F32" s="87"/>
      <c r="G32" s="40"/>
      <c r="H32" s="41" t="s">
        <v>26</v>
      </c>
      <c r="I32" s="42">
        <f>SUM(I29:I31)</f>
        <v>1191406.9440000001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32:F32"/>
    <mergeCell ref="F13:I13"/>
    <mergeCell ref="B26:F26"/>
    <mergeCell ref="E27:F27"/>
    <mergeCell ref="E28:F28"/>
    <mergeCell ref="E29:F29"/>
    <mergeCell ref="E30:F3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A5F-9A85-49B2-A032-166145993CC7}">
  <dimension ref="B1:N123"/>
  <sheetViews>
    <sheetView tabSelected="1" workbookViewId="0">
      <selection activeCell="C7" sqref="C7:D7"/>
    </sheetView>
  </sheetViews>
  <sheetFormatPr defaultRowHeight="15" x14ac:dyDescent="0.25"/>
  <cols>
    <col min="1" max="1" width="2.7109375" customWidth="1"/>
    <col min="2" max="2" width="25.85546875" bestFit="1" customWidth="1"/>
    <col min="3" max="3" width="45.85546875" customWidth="1"/>
    <col min="4" max="4" width="36" customWidth="1"/>
    <col min="5" max="5" width="7.28515625" customWidth="1"/>
    <col min="6" max="6" width="14.5703125" bestFit="1" customWidth="1"/>
    <col min="7" max="7" width="14.7109375" hidden="1" customWidth="1"/>
    <col min="8" max="8" width="14.7109375" customWidth="1"/>
    <col min="9" max="9" width="20.42578125" bestFit="1" customWidth="1"/>
    <col min="11" max="11" width="12.5703125" bestFit="1" customWidth="1"/>
    <col min="13" max="13" width="14.28515625" style="62" bestFit="1" customWidth="1"/>
    <col min="14" max="14" width="15.28515625" bestFit="1" customWidth="1"/>
  </cols>
  <sheetData>
    <row r="1" spans="2:9" ht="15" customHeight="1" x14ac:dyDescent="0.25">
      <c r="B1" s="2"/>
      <c r="C1" s="3"/>
      <c r="D1" s="3"/>
      <c r="E1" s="68" t="s">
        <v>27</v>
      </c>
      <c r="F1" s="68"/>
      <c r="G1" s="43"/>
      <c r="H1" s="68" t="s">
        <v>29</v>
      </c>
      <c r="I1" s="69"/>
    </row>
    <row r="2" spans="2:9" ht="15" customHeight="1" x14ac:dyDescent="0.25">
      <c r="B2" s="4"/>
      <c r="E2" s="70"/>
      <c r="F2" s="70"/>
      <c r="G2" s="44"/>
      <c r="H2" s="70"/>
      <c r="I2" s="71"/>
    </row>
    <row r="3" spans="2:9" ht="15" customHeight="1" x14ac:dyDescent="0.25">
      <c r="B3" s="4"/>
      <c r="E3" s="70"/>
      <c r="F3" s="70"/>
      <c r="G3" s="44"/>
      <c r="H3" s="70"/>
      <c r="I3" s="71"/>
    </row>
    <row r="4" spans="2:9" ht="15" customHeight="1" x14ac:dyDescent="0.25">
      <c r="B4" s="4"/>
      <c r="E4" s="70"/>
      <c r="F4" s="70"/>
      <c r="G4" s="44"/>
      <c r="H4" s="70"/>
      <c r="I4" s="71"/>
    </row>
    <row r="5" spans="2:9" ht="15" customHeight="1" x14ac:dyDescent="0.25">
      <c r="B5" s="5"/>
      <c r="C5" s="1"/>
      <c r="D5" s="1"/>
      <c r="E5" s="72"/>
      <c r="F5" s="72"/>
      <c r="G5" s="45"/>
      <c r="H5" s="72"/>
      <c r="I5" s="73"/>
    </row>
    <row r="6" spans="2:9" ht="15" customHeight="1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6</v>
      </c>
      <c r="C7" s="95" t="s">
        <v>99</v>
      </c>
      <c r="D7" s="96"/>
      <c r="E7" s="9" t="s">
        <v>7</v>
      </c>
      <c r="F7" s="10">
        <v>45839</v>
      </c>
      <c r="G7" s="10"/>
      <c r="H7" s="11" t="s">
        <v>8</v>
      </c>
      <c r="I7" s="12" t="s">
        <v>40</v>
      </c>
    </row>
    <row r="8" spans="2:9" x14ac:dyDescent="0.25">
      <c r="B8" s="49" t="s">
        <v>9</v>
      </c>
      <c r="C8" s="83"/>
      <c r="D8" s="83"/>
      <c r="E8" s="80" t="s">
        <v>10</v>
      </c>
      <c r="F8" s="80"/>
      <c r="G8" s="13"/>
      <c r="H8" s="84" t="s">
        <v>42</v>
      </c>
      <c r="I8" s="84"/>
    </row>
    <row r="9" spans="2:9" x14ac:dyDescent="0.25">
      <c r="B9" s="49" t="s">
        <v>11</v>
      </c>
      <c r="C9" s="83"/>
      <c r="D9" s="83"/>
      <c r="E9" s="80" t="s">
        <v>12</v>
      </c>
      <c r="F9" s="80"/>
      <c r="G9" s="13"/>
      <c r="H9" s="97"/>
      <c r="I9" s="83"/>
    </row>
    <row r="10" spans="2:9" x14ac:dyDescent="0.25">
      <c r="B10" s="49"/>
      <c r="C10" s="83"/>
      <c r="D10" s="83"/>
      <c r="E10" s="80" t="s">
        <v>13</v>
      </c>
      <c r="F10" s="80"/>
      <c r="G10" s="13"/>
      <c r="H10" s="81"/>
      <c r="I10" s="81"/>
    </row>
    <row r="11" spans="2:9" x14ac:dyDescent="0.25">
      <c r="B11" s="49"/>
      <c r="C11" s="92">
        <v>0</v>
      </c>
      <c r="D11" s="92"/>
      <c r="E11" s="80"/>
      <c r="F11" s="80"/>
      <c r="G11" s="13"/>
      <c r="H11" s="81"/>
      <c r="I11" s="81"/>
    </row>
    <row r="12" spans="2:9" x14ac:dyDescent="0.25">
      <c r="B12" s="50"/>
      <c r="C12" s="93" t="s">
        <v>41</v>
      </c>
      <c r="D12" s="93"/>
      <c r="E12" s="94"/>
      <c r="F12" s="94"/>
      <c r="G12" s="14"/>
      <c r="H12" s="82" t="s">
        <v>40</v>
      </c>
      <c r="I12" s="82"/>
    </row>
    <row r="13" spans="2:9" ht="15.75" thickBot="1" x14ac:dyDescent="0.3">
      <c r="B13" s="15"/>
      <c r="C13" s="16"/>
      <c r="D13" s="16"/>
      <c r="E13" s="16"/>
      <c r="F13" s="74" t="s">
        <v>3</v>
      </c>
      <c r="G13" s="74"/>
      <c r="H13" s="74"/>
      <c r="I13" s="74"/>
    </row>
    <row r="14" spans="2:9" ht="15.75" thickBot="1" x14ac:dyDescent="0.3">
      <c r="B14" s="53" t="s">
        <v>0</v>
      </c>
      <c r="C14" s="59" t="s">
        <v>14</v>
      </c>
      <c r="D14" s="60" t="s">
        <v>1</v>
      </c>
      <c r="E14" s="61" t="s">
        <v>2</v>
      </c>
      <c r="F14" s="61" t="s">
        <v>4</v>
      </c>
      <c r="G14" s="61"/>
      <c r="H14" s="61" t="s">
        <v>5</v>
      </c>
      <c r="I14" s="20" t="s">
        <v>15</v>
      </c>
    </row>
    <row r="15" spans="2:9" x14ac:dyDescent="0.25">
      <c r="B15" s="58">
        <v>4630525</v>
      </c>
      <c r="C15" s="54" t="str">
        <f>VLOOKUP(B15,[1]!Table3[[Part Number]:[Annual]],2,0)</f>
        <v xml:space="preserve">JD 470GLC (1FF) HITACHI 470GLC (HCM)          </v>
      </c>
      <c r="D15" s="54" t="str">
        <f>VLOOKUP(B15,[1]!Table3[[Part Number]:[Annual]],3,0)</f>
        <v>HYDRAULIC FILTER</v>
      </c>
      <c r="E15" s="54">
        <f>VLOOKUP(B15,[1]!Table3[[Part Number]:[Annual]],11,0)</f>
        <v>6</v>
      </c>
      <c r="F15" s="63">
        <f>VLOOKUP(B15,[1]!Table3[[Part Number]:[Annual]],4,0)</f>
        <v>96.144599999999997</v>
      </c>
      <c r="G15" s="64"/>
      <c r="H15" s="24">
        <f>VLOOKUP(B15,[1]!Table3[[Part Number]:[Annual]],5,0)</f>
        <v>48.07</v>
      </c>
      <c r="I15" s="25">
        <f t="shared" ref="I15:I78" si="0">ROUND(E15*H15,2)</f>
        <v>288.42</v>
      </c>
    </row>
    <row r="16" spans="2:9" x14ac:dyDescent="0.25">
      <c r="B16" s="58">
        <v>8976030500</v>
      </c>
      <c r="C16" s="54" t="str">
        <f>VLOOKUP(B16,[1]!Table3[[Part Number]:[Annual]],2,0)</f>
        <v xml:space="preserve">JD 470GLC (1FF) HITACHI 470GLC (HCM)          </v>
      </c>
      <c r="D16" s="54" t="str">
        <f>VLOOKUP(B16,[1]!Table3[[Part Number]:[Annual]],3,0)</f>
        <v>CAMSHAFT</v>
      </c>
      <c r="E16" s="54">
        <f>VLOOKUP(B16,[1]!Table3[[Part Number]:[Annual]],11,0)</f>
        <v>2</v>
      </c>
      <c r="F16" s="63">
        <f>VLOOKUP(B16,[1]!Table3[[Part Number]:[Annual]],4,0)</f>
        <v>2918.9897999999998</v>
      </c>
      <c r="G16" s="64"/>
      <c r="H16" s="24">
        <f>VLOOKUP(B16,[1]!Table3[[Part Number]:[Annual]],5,0)</f>
        <v>1459.49</v>
      </c>
      <c r="I16" s="25">
        <f t="shared" si="0"/>
        <v>2918.98</v>
      </c>
    </row>
    <row r="17" spans="2:11" x14ac:dyDescent="0.25">
      <c r="B17" s="58">
        <v>8976227194</v>
      </c>
      <c r="C17" s="54" t="str">
        <f>VLOOKUP(B17,[1]!Table3[[Part Number]:[Annual]],2,0)</f>
        <v xml:space="preserve">JD 470GLC (1FF) HITACHI 470GLC (HCM)          </v>
      </c>
      <c r="D17" s="54" t="str">
        <f>VLOOKUP(B17,[1]!Table3[[Part Number]:[Annual]],3,0)</f>
        <v>INJECTOR</v>
      </c>
      <c r="E17" s="54">
        <f>VLOOKUP(B17,[1]!Table3[[Part Number]:[Annual]],11,0)</f>
        <v>12</v>
      </c>
      <c r="F17" s="63">
        <f>VLOOKUP(B17,[1]!Table3[[Part Number]:[Annual]],4,0)</f>
        <v>1263.7487999999998</v>
      </c>
      <c r="G17" s="64"/>
      <c r="H17" s="24">
        <f>VLOOKUP(B17,[1]!Table3[[Part Number]:[Annual]],5,0)</f>
        <v>884.62</v>
      </c>
      <c r="I17" s="25">
        <f t="shared" si="0"/>
        <v>10615.44</v>
      </c>
    </row>
    <row r="18" spans="2:11" x14ac:dyDescent="0.25">
      <c r="B18" s="58">
        <v>8981527381</v>
      </c>
      <c r="C18" s="54" t="str">
        <f>VLOOKUP(B18,[1]!Table3[[Part Number]:[Annual]],2,0)</f>
        <v xml:space="preserve">JD 470GLC (1FF) HITACHI 470GLC (HCM)          </v>
      </c>
      <c r="D18" s="54" t="str">
        <f>VLOOKUP(B18,[1]!Table3[[Part Number]:[Annual]],3,0)</f>
        <v>FINAL FUEL FILTER</v>
      </c>
      <c r="E18" s="54">
        <f>VLOOKUP(B18,[1]!Table3[[Part Number]:[Annual]],11,0)</f>
        <v>20</v>
      </c>
      <c r="F18" s="63">
        <f>VLOOKUP(B18,[1]!Table3[[Part Number]:[Annual]],4,0)</f>
        <v>80.867999999999995</v>
      </c>
      <c r="G18" s="64"/>
      <c r="H18" s="24">
        <f>VLOOKUP(B18,[1]!Table3[[Part Number]:[Annual]],5,0)</f>
        <v>40.43</v>
      </c>
      <c r="I18" s="25">
        <f t="shared" si="0"/>
        <v>808.6</v>
      </c>
    </row>
    <row r="19" spans="2:11" x14ac:dyDescent="0.25">
      <c r="B19" s="58">
        <v>8983020750</v>
      </c>
      <c r="C19" s="54" t="str">
        <f>VLOOKUP(B19,[1]!Table3[[Part Number]:[Annual]],2,0)</f>
        <v xml:space="preserve">JD 470GLC (1FF) HITACHI 470GLC (HCM)          </v>
      </c>
      <c r="D19" s="54" t="str">
        <f>VLOOKUP(B19,[1]!Table3[[Part Number]:[Annual]],3,0)</f>
        <v>ENGINE OIL FILTER</v>
      </c>
      <c r="E19" s="54">
        <f>VLOOKUP(B19,[1]!Table3[[Part Number]:[Annual]],11,0)</f>
        <v>20</v>
      </c>
      <c r="F19" s="63">
        <f>VLOOKUP(B19,[1]!Table3[[Part Number]:[Annual]],4,0)</f>
        <v>107.0742</v>
      </c>
      <c r="G19" s="64"/>
      <c r="H19" s="24">
        <f>VLOOKUP(B19,[1]!Table3[[Part Number]:[Annual]],5,0)</f>
        <v>53.54</v>
      </c>
      <c r="I19" s="25">
        <f t="shared" si="0"/>
        <v>1070.8</v>
      </c>
    </row>
    <row r="20" spans="2:11" x14ac:dyDescent="0.25">
      <c r="B20" s="58">
        <v>8983698700</v>
      </c>
      <c r="C20" s="54" t="str">
        <f>VLOOKUP(B20,[1]!Table3[[Part Number]:[Annual]],2,0)</f>
        <v xml:space="preserve">JD 470GLC (1FF) HITACHI 470GLC (HCM)          </v>
      </c>
      <c r="D20" s="54" t="str">
        <f>VLOOKUP(B20,[1]!Table3[[Part Number]:[Annual]],3,0)</f>
        <v>TURBOCHARGER</v>
      </c>
      <c r="E20" s="54">
        <f>VLOOKUP(B20,[1]!Table3[[Part Number]:[Annual]],11,0)</f>
        <v>2</v>
      </c>
      <c r="F20" s="63">
        <f>VLOOKUP(B20,[1]!Table3[[Part Number]:[Annual]],4,0)</f>
        <v>4709.6639999999998</v>
      </c>
      <c r="G20" s="64"/>
      <c r="H20" s="24">
        <f>VLOOKUP(B20,[1]!Table3[[Part Number]:[Annual]],5,0)</f>
        <v>2354.83</v>
      </c>
      <c r="I20" s="25">
        <f t="shared" si="0"/>
        <v>4709.66</v>
      </c>
    </row>
    <row r="21" spans="2:11" x14ac:dyDescent="0.25">
      <c r="B21" s="58">
        <v>8984814630</v>
      </c>
      <c r="C21" s="54" t="str">
        <f>VLOOKUP(B21,[1]!Table3[[Part Number]:[Annual]],2,0)</f>
        <v xml:space="preserve">JD 470GLC (1FF) HITACHI 470GLC (HCM)          </v>
      </c>
      <c r="D21" s="54" t="str">
        <f>VLOOKUP(B21,[1]!Table3[[Part Number]:[Annual]],3,0)</f>
        <v>CRANKSHAFT</v>
      </c>
      <c r="E21" s="54">
        <f>VLOOKUP(B21,[1]!Table3[[Part Number]:[Annual]],11,0)</f>
        <v>2</v>
      </c>
      <c r="F21" s="63">
        <f>VLOOKUP(B21,[1]!Table3[[Part Number]:[Annual]],4,0)</f>
        <v>12606.2448</v>
      </c>
      <c r="G21" s="64"/>
      <c r="H21" s="24">
        <f>VLOOKUP(B21,[1]!Table3[[Part Number]:[Annual]],5,0)</f>
        <v>6303.12</v>
      </c>
      <c r="I21" s="25">
        <f t="shared" si="0"/>
        <v>12606.24</v>
      </c>
      <c r="K21" s="47"/>
    </row>
    <row r="22" spans="2:11" x14ac:dyDescent="0.25">
      <c r="B22" s="58" t="s">
        <v>43</v>
      </c>
      <c r="C22" s="54" t="str">
        <f>VLOOKUP(B22,[1]!Table3[[Part Number]:[Annual]],2,0)</f>
        <v>CAT D7G (DSC) CAT D7G (DSC) (2) CAT D7G (DSC) (3) CAT D7G (SUB) CAT D7G (3ZD) CAT 572R (DSC) CAT 572R (DSC) (2)</v>
      </c>
      <c r="D22" s="54" t="str">
        <f>VLOOKUP(B22,[1]!Table3[[Part Number]:[Annual]],3,0)</f>
        <v xml:space="preserve">12V BATTERY </v>
      </c>
      <c r="E22" s="54">
        <f>VLOOKUP(B22,[1]!Table3[[Part Number]:[Annual]],11,0)</f>
        <v>14</v>
      </c>
      <c r="F22" s="63">
        <f>VLOOKUP(B22,[1]!Table3[[Part Number]:[Annual]],4,0)</f>
        <v>783.62</v>
      </c>
      <c r="G22" s="64"/>
      <c r="H22" s="24">
        <f>VLOOKUP(B22,[1]!Table3[[Part Number]:[Annual]],5,0)</f>
        <v>391.81</v>
      </c>
      <c r="I22" s="25">
        <f t="shared" si="0"/>
        <v>5485.34</v>
      </c>
    </row>
    <row r="23" spans="2:11" x14ac:dyDescent="0.25">
      <c r="B23" s="58" t="s">
        <v>51</v>
      </c>
      <c r="C23" s="54" t="str">
        <f>VLOOKUP(B23,[1]!Table3[[Part Number]:[Annual]],2,0)</f>
        <v xml:space="preserve">CAT 583T (CMX) CAT 589 (31Z) CAT 594 (96V) CAT 594H (96V) CAT DK8 (893) CAT DK8 (950)  </v>
      </c>
      <c r="D23" s="54" t="str">
        <f>VLOOKUP(B23,[1]!Table3[[Part Number]:[Annual]],3,0)</f>
        <v>Battery</v>
      </c>
      <c r="E23" s="54">
        <f>VLOOKUP(B23,[1]!Table3[[Part Number]:[Annual]],11,0)</f>
        <v>12</v>
      </c>
      <c r="F23" s="63">
        <f>VLOOKUP(B23,[1]!Table3[[Part Number]:[Annual]],4,0)</f>
        <v>822.89</v>
      </c>
      <c r="G23" s="64"/>
      <c r="H23" s="24">
        <f>VLOOKUP(B23,[1]!Table3[[Part Number]:[Annual]],5,0)</f>
        <v>411.45</v>
      </c>
      <c r="I23" s="25">
        <f t="shared" si="0"/>
        <v>4937.3999999999996</v>
      </c>
    </row>
    <row r="24" spans="2:11" x14ac:dyDescent="0.25">
      <c r="B24" s="58" t="s">
        <v>90</v>
      </c>
      <c r="C24" s="54" t="str">
        <f>VLOOKUP(B24,[1]!Table3[[Part Number]:[Annual]],2,0)</f>
        <v>CAT D7G (DSC) CAT D7G (DSC) (2) CAT D7G (DSC) (3) CAT D7G (SUB) CAT D7G (3ZD) CAT 572R (DSC) CAT 572R (DSC) (2)</v>
      </c>
      <c r="D24" s="54" t="str">
        <f>VLOOKUP(B24,[1]!Table3[[Part Number]:[Annual]],3,0)</f>
        <v>TURBOCHARGER</v>
      </c>
      <c r="E24" s="54">
        <f>VLOOKUP(B24,[1]!Table3[[Part Number]:[Annual]],11,0)</f>
        <v>7</v>
      </c>
      <c r="F24" s="63">
        <f>VLOOKUP(B24,[1]!Table3[[Part Number]:[Annual]],4,0)</f>
        <v>6780.97</v>
      </c>
      <c r="G24" s="64"/>
      <c r="H24" s="24">
        <f>VLOOKUP(B24,[1]!Table3[[Part Number]:[Annual]],5,0)</f>
        <v>3390.49</v>
      </c>
      <c r="I24" s="25">
        <f t="shared" si="0"/>
        <v>23733.43</v>
      </c>
    </row>
    <row r="25" spans="2:11" x14ac:dyDescent="0.25">
      <c r="B25" s="58" t="s">
        <v>44</v>
      </c>
      <c r="C25" s="54" t="str">
        <f>VLOOKUP(B25,[1]!Table3[[Part Number]:[Annual]],2,0)</f>
        <v>CAT D7G (DSC) CAT D7G (DSC) (2) CAT D7G (DSC) (3) CAT D7G (SUB) CAT D7G (3ZD) CAT 572R (DSC) CAT 572R (DSC) (2)</v>
      </c>
      <c r="D25" s="54" t="str">
        <f>VLOOKUP(B25,[1]!Table3[[Part Number]:[Annual]],3,0)</f>
        <v>CAMSHAFT</v>
      </c>
      <c r="E25" s="54">
        <f>VLOOKUP(B25,[1]!Table3[[Part Number]:[Annual]],11,0)</f>
        <v>7</v>
      </c>
      <c r="F25" s="63">
        <f>VLOOKUP(B25,[1]!Table3[[Part Number]:[Annual]],4,0)</f>
        <v>6723.47</v>
      </c>
      <c r="G25" s="64"/>
      <c r="H25" s="24">
        <f>VLOOKUP(B25,[1]!Table3[[Part Number]:[Annual]],5,0)</f>
        <v>3361.74</v>
      </c>
      <c r="I25" s="25">
        <f t="shared" si="0"/>
        <v>23532.18</v>
      </c>
    </row>
    <row r="26" spans="2:11" x14ac:dyDescent="0.25">
      <c r="B26" s="58" t="s">
        <v>74</v>
      </c>
      <c r="C26" s="54" t="str">
        <f>VLOOKUP(B26,[1]!Table3[[Part Number]:[Annual]],2,0)</f>
        <v xml:space="preserve">CAT PL61 (DHA) CAT PL61 (WGS) CAT D6D (06X)        </v>
      </c>
      <c r="D26" s="54" t="str">
        <f>VLOOKUP(B26,[1]!Table3[[Part Number]:[Annual]],3,0)</f>
        <v>HYDRAULIC OIL FILTER (POWER TRAIN)</v>
      </c>
      <c r="E26" s="54">
        <f>VLOOKUP(B26,[1]!Table3[[Part Number]:[Annual]],11,0)</f>
        <v>9</v>
      </c>
      <c r="F26" s="63">
        <f>VLOOKUP(B26,[1]!Table3[[Part Number]:[Annual]],4,0)</f>
        <v>145.28</v>
      </c>
      <c r="G26" s="64"/>
      <c r="H26" s="24">
        <f>VLOOKUP(B26,[1]!Table3[[Part Number]:[Annual]],5,0)</f>
        <v>72.64</v>
      </c>
      <c r="I26" s="25">
        <f t="shared" si="0"/>
        <v>653.76</v>
      </c>
    </row>
    <row r="27" spans="2:11" x14ac:dyDescent="0.25">
      <c r="B27" s="58" t="s">
        <v>100</v>
      </c>
      <c r="C27" s="54" t="str">
        <f>VLOOKUP(B27,[1]!Table3[[Part Number]:[Annual]],2,0)</f>
        <v xml:space="preserve">CAT 583T (CMX) CAT 589 (31Z) CAT DK8 (893) CAT DK8 (950)      </v>
      </c>
      <c r="D27" s="54" t="str">
        <f>VLOOKUP(B27,[1]!Table3[[Part Number]:[Annual]],3,0)</f>
        <v>Air Filter - Secondary</v>
      </c>
      <c r="E27" s="54">
        <f>VLOOKUP(B27,[1]!Table3[[Part Number]:[Annual]],11,0)</f>
        <v>20</v>
      </c>
      <c r="F27" s="63">
        <f>VLOOKUP(B27,[1]!Table3[[Part Number]:[Annual]],4,0)</f>
        <v>167.36</v>
      </c>
      <c r="G27" s="64"/>
      <c r="H27" s="24">
        <f>VLOOKUP(B27,[1]!Table3[[Part Number]:[Annual]],5,0)</f>
        <v>108.78</v>
      </c>
      <c r="I27" s="25">
        <f t="shared" si="0"/>
        <v>2175.6</v>
      </c>
    </row>
    <row r="28" spans="2:11" x14ac:dyDescent="0.25">
      <c r="B28" s="58" t="s">
        <v>61</v>
      </c>
      <c r="C28" s="54" t="str">
        <f>VLOOKUP(B28,[1]!Table3[[Part Number]:[Annual]],2,0)</f>
        <v xml:space="preserve">CAT 594 (96V) CAT 594H (96V)          </v>
      </c>
      <c r="D28" s="54" t="str">
        <f>VLOOKUP(B28,[1]!Table3[[Part Number]:[Annual]],3,0)</f>
        <v>SECONDARY AIR FILTER ELEMENT</v>
      </c>
      <c r="E28" s="54">
        <f>VLOOKUP(B28,[1]!Table3[[Part Number]:[Annual]],11,0)</f>
        <v>20</v>
      </c>
      <c r="F28" s="63">
        <f>VLOOKUP(B28,[1]!Table3[[Part Number]:[Annual]],4,0)</f>
        <v>222</v>
      </c>
      <c r="G28" s="64"/>
      <c r="H28" s="24">
        <f>VLOOKUP(B28,[1]!Table3[[Part Number]:[Annual]],5,0)</f>
        <v>144.30000000000001</v>
      </c>
      <c r="I28" s="25">
        <f t="shared" si="0"/>
        <v>2886</v>
      </c>
    </row>
    <row r="29" spans="2:11" x14ac:dyDescent="0.25">
      <c r="B29" s="58" t="s">
        <v>62</v>
      </c>
      <c r="C29" s="54" t="str">
        <f>VLOOKUP(B29,[1]!Table3[[Part Number]:[Annual]],2,0)</f>
        <v xml:space="preserve">CAT 594 (96V) CAT 594H (96V)          </v>
      </c>
      <c r="D29" s="54" t="str">
        <f>VLOOKUP(B29,[1]!Table3[[Part Number]:[Annual]],3,0)</f>
        <v>PRIMARY AIR FILTER ELEMENT</v>
      </c>
      <c r="E29" s="54">
        <f>VLOOKUP(B29,[1]!Table3[[Part Number]:[Annual]],11,0)</f>
        <v>20</v>
      </c>
      <c r="F29" s="63">
        <f>VLOOKUP(B29,[1]!Table3[[Part Number]:[Annual]],4,0)</f>
        <v>121.8</v>
      </c>
      <c r="G29" s="64"/>
      <c r="H29" s="24">
        <f>VLOOKUP(B29,[1]!Table3[[Part Number]:[Annual]],5,0)</f>
        <v>79.17</v>
      </c>
      <c r="I29" s="25">
        <f t="shared" si="0"/>
        <v>1583.4</v>
      </c>
    </row>
    <row r="30" spans="2:11" x14ac:dyDescent="0.25">
      <c r="B30" s="58" t="s">
        <v>47</v>
      </c>
      <c r="C30" s="54" t="str">
        <f>VLOOKUP(B30,[1]!Table3[[Part Number]:[Annual]],2,0)</f>
        <v>CAT D7G (DSC) CAT D7G (DSC) (2) CAT D7G (DSC) (3) CAT D7G (SUB) CAT D7G (3ZD) CAT 572R (DSC) CAT 572R (DSC) (2)</v>
      </c>
      <c r="D30" s="54" t="str">
        <f>VLOOKUP(B30,[1]!Table3[[Part Number]:[Annual]],3,0)</f>
        <v>ENGINE OIL FILTER</v>
      </c>
      <c r="E30" s="54">
        <f>VLOOKUP(B30,[1]!Table3[[Part Number]:[Annual]],11,0)</f>
        <v>70</v>
      </c>
      <c r="F30" s="63">
        <f>VLOOKUP(B30,[1]!Table3[[Part Number]:[Annual]],4,0)</f>
        <v>59.49</v>
      </c>
      <c r="G30" s="64"/>
      <c r="H30" s="24">
        <f>VLOOKUP(B30,[1]!Table3[[Part Number]:[Annual]],5,0)</f>
        <v>29.75</v>
      </c>
      <c r="I30" s="25">
        <f t="shared" si="0"/>
        <v>2082.5</v>
      </c>
    </row>
    <row r="31" spans="2:11" x14ac:dyDescent="0.25">
      <c r="B31" s="58" t="s">
        <v>75</v>
      </c>
      <c r="C31" s="54" t="str">
        <f>VLOOKUP(B31,[1]!Table3[[Part Number]:[Annual]],2,0)</f>
        <v xml:space="preserve">CAT 594 (96V) CAT 594H (96V)          </v>
      </c>
      <c r="D31" s="54" t="str">
        <f>VLOOKUP(B31,[1]!Table3[[Part Number]:[Annual]],3,0)</f>
        <v>HYDRAULIC FILTER</v>
      </c>
      <c r="E31" s="54">
        <f>VLOOKUP(B31,[1]!Table3[[Part Number]:[Annual]],11,0)</f>
        <v>10</v>
      </c>
      <c r="F31" s="63">
        <f>VLOOKUP(B31,[1]!Table3[[Part Number]:[Annual]],4,0)</f>
        <v>47.98</v>
      </c>
      <c r="G31" s="64"/>
      <c r="H31" s="24">
        <f>VLOOKUP(B31,[1]!Table3[[Part Number]:[Annual]],5,0)</f>
        <v>23.99</v>
      </c>
      <c r="I31" s="25">
        <f t="shared" si="0"/>
        <v>239.9</v>
      </c>
    </row>
    <row r="32" spans="2:11" x14ac:dyDescent="0.25">
      <c r="B32" s="58" t="s">
        <v>76</v>
      </c>
      <c r="C32" s="54" t="str">
        <f>VLOOKUP(B32,[1]!Table3[[Part Number]:[Annual]],2,0)</f>
        <v xml:space="preserve">CAT 583T (CMX) CAT 589 (31Z) CAT 594 (96V) CAT 594H (96V) CAT DK8 (893) CAT DK8 (950)  </v>
      </c>
      <c r="D32" s="54" t="str">
        <f>VLOOKUP(B32,[1]!Table3[[Part Number]:[Annual]],3,0)</f>
        <v>Hydraulic Filter</v>
      </c>
      <c r="E32" s="54">
        <f>VLOOKUP(B32,[1]!Table3[[Part Number]:[Annual]],11,0)</f>
        <v>40</v>
      </c>
      <c r="F32" s="63">
        <f>VLOOKUP(B32,[1]!Table3[[Part Number]:[Annual]],4,0)</f>
        <v>38.31</v>
      </c>
      <c r="G32" s="64"/>
      <c r="H32" s="24">
        <f>VLOOKUP(B32,[1]!Table3[[Part Number]:[Annual]],5,0)</f>
        <v>19.16</v>
      </c>
      <c r="I32" s="25">
        <f t="shared" si="0"/>
        <v>766.4</v>
      </c>
    </row>
    <row r="33" spans="2:9" x14ac:dyDescent="0.25">
      <c r="B33" s="58" t="s">
        <v>37</v>
      </c>
      <c r="C33" s="54" t="str">
        <f>VLOOKUP(B33,[1]!Table3[[Part Number]:[Annual]],2,0)</f>
        <v>CAT D7G (DSC) CAT D7G (DSC) (2) CAT D7G (DSC) (3) CAT D7G (SUB) CAT D7G (3ZD) CAT 572R (DSC) CAT 572R (DSC) (2)</v>
      </c>
      <c r="D33" s="54" t="str">
        <f>VLOOKUP(B33,[1]!Table3[[Part Number]:[Annual]],3,0)</f>
        <v>FUEL FILTER</v>
      </c>
      <c r="E33" s="54">
        <f>VLOOKUP(B33,[1]!Table3[[Part Number]:[Annual]],11,0)</f>
        <v>70</v>
      </c>
      <c r="F33" s="63">
        <f>VLOOKUP(B33,[1]!Table3[[Part Number]:[Annual]],4,0)</f>
        <v>49.75</v>
      </c>
      <c r="G33" s="64"/>
      <c r="H33" s="24">
        <f>VLOOKUP(B33,[1]!Table3[[Part Number]:[Annual]],5,0)</f>
        <v>24.88</v>
      </c>
      <c r="I33" s="25">
        <f t="shared" si="0"/>
        <v>1741.6</v>
      </c>
    </row>
    <row r="34" spans="2:9" x14ac:dyDescent="0.25">
      <c r="B34" s="58" t="s">
        <v>79</v>
      </c>
      <c r="C34" s="54" t="str">
        <f>VLOOKUP(B34,[1]!Table3[[Part Number]:[Annual]],2,0)</f>
        <v xml:space="preserve">CAT 583T (CMX) CAT 589 (31Z) CAT 594 (96V) CAT 594H (96V) CAT DK8 (893) CAT DK8 (950)  </v>
      </c>
      <c r="D34" s="54" t="str">
        <f>VLOOKUP(B34,[1]!Table3[[Part Number]:[Annual]],3,0)</f>
        <v>Fuel Filter - Secondary</v>
      </c>
      <c r="E34" s="54">
        <f>VLOOKUP(B34,[1]!Table3[[Part Number]:[Annual]],11,0)</f>
        <v>80</v>
      </c>
      <c r="F34" s="63">
        <f>VLOOKUP(B34,[1]!Table3[[Part Number]:[Annual]],4,0)</f>
        <v>41.22</v>
      </c>
      <c r="G34" s="64"/>
      <c r="H34" s="24">
        <f>VLOOKUP(B34,[1]!Table3[[Part Number]:[Annual]],5,0)</f>
        <v>20.61</v>
      </c>
      <c r="I34" s="25">
        <f t="shared" si="0"/>
        <v>1648.8</v>
      </c>
    </row>
    <row r="35" spans="2:9" x14ac:dyDescent="0.25">
      <c r="B35" s="58" t="s">
        <v>63</v>
      </c>
      <c r="C35" s="54" t="str">
        <f>VLOOKUP(B35,[1]!Table3[[Part Number]:[Annual]],2,0)</f>
        <v xml:space="preserve">CAT PL61 (DHA) CAT PL61 (WGS) CAT D6D (06X)        </v>
      </c>
      <c r="D35" s="54" t="str">
        <f>VLOOKUP(B35,[1]!Table3[[Part Number]:[Annual]],3,0)</f>
        <v>CABIN AIR FILTER ELEMENT</v>
      </c>
      <c r="E35" s="54">
        <f>VLOOKUP(B35,[1]!Table3[[Part Number]:[Annual]],11,0)</f>
        <v>3</v>
      </c>
      <c r="F35" s="63">
        <f>VLOOKUP(B35,[1]!Table3[[Part Number]:[Annual]],4,0)</f>
        <v>82.23</v>
      </c>
      <c r="G35" s="64"/>
      <c r="H35" s="24">
        <f>VLOOKUP(B35,[1]!Table3[[Part Number]:[Annual]],5,0)</f>
        <v>53.45</v>
      </c>
      <c r="I35" s="25">
        <f t="shared" si="0"/>
        <v>160.35</v>
      </c>
    </row>
    <row r="36" spans="2:9" x14ac:dyDescent="0.25">
      <c r="B36" s="58" t="s">
        <v>64</v>
      </c>
      <c r="C36" s="54" t="str">
        <f>VLOOKUP(B36,[1]!Table3[[Part Number]:[Annual]],2,0)</f>
        <v xml:space="preserve">CAT PL61 (DHA) CAT PL61 (WGS) CAT D6D (06X)        </v>
      </c>
      <c r="D36" s="54" t="str">
        <f>VLOOKUP(B36,[1]!Table3[[Part Number]:[Annual]],3,0)</f>
        <v>PRIMARY AIR FILTER ELEMENT</v>
      </c>
      <c r="E36" s="54">
        <f>VLOOKUP(B36,[1]!Table3[[Part Number]:[Annual]],11,0)</f>
        <v>15</v>
      </c>
      <c r="F36" s="63">
        <f>VLOOKUP(B36,[1]!Table3[[Part Number]:[Annual]],4,0)</f>
        <v>214.1</v>
      </c>
      <c r="G36" s="64"/>
      <c r="H36" s="24">
        <f>VLOOKUP(B36,[1]!Table3[[Part Number]:[Annual]],5,0)</f>
        <v>139.16999999999999</v>
      </c>
      <c r="I36" s="25">
        <f t="shared" si="0"/>
        <v>2087.5500000000002</v>
      </c>
    </row>
    <row r="37" spans="2:9" x14ac:dyDescent="0.25">
      <c r="B37" s="58" t="s">
        <v>65</v>
      </c>
      <c r="C37" s="54" t="str">
        <f>VLOOKUP(B37,[1]!Table3[[Part Number]:[Annual]],2,0)</f>
        <v xml:space="preserve">CAT PL61 (DHA) CAT PL61 (WGS) CAT D6D (06X)        </v>
      </c>
      <c r="D37" s="54" t="str">
        <f>VLOOKUP(B37,[1]!Table3[[Part Number]:[Annual]],3,0)</f>
        <v>SECONDARY AIR FILTER ELEMENT</v>
      </c>
      <c r="E37" s="54">
        <f>VLOOKUP(B37,[1]!Table3[[Part Number]:[Annual]],11,0)</f>
        <v>15</v>
      </c>
      <c r="F37" s="63">
        <f>VLOOKUP(B37,[1]!Table3[[Part Number]:[Annual]],4,0)</f>
        <v>147.41</v>
      </c>
      <c r="G37" s="64"/>
      <c r="H37" s="24">
        <f>VLOOKUP(B37,[1]!Table3[[Part Number]:[Annual]],5,0)</f>
        <v>95.82</v>
      </c>
      <c r="I37" s="25">
        <f t="shared" si="0"/>
        <v>1437.3</v>
      </c>
    </row>
    <row r="38" spans="2:9" x14ac:dyDescent="0.25">
      <c r="B38" s="58" t="s">
        <v>55</v>
      </c>
      <c r="C38" s="54" t="str">
        <f>VLOOKUP(B38,[1]!Table3[[Part Number]:[Annual]],2,0)</f>
        <v xml:space="preserve">CAT 594 (96V) CAT 594H (96V)          </v>
      </c>
      <c r="D38" s="54" t="str">
        <f>VLOOKUP(B38,[1]!Table3[[Part Number]:[Annual]],3,0)</f>
        <v>CRANKSHAFT</v>
      </c>
      <c r="E38" s="54">
        <f>VLOOKUP(B38,[1]!Table3[[Part Number]:[Annual]],11,0)</f>
        <v>2</v>
      </c>
      <c r="F38" s="63">
        <f>VLOOKUP(B38,[1]!Table3[[Part Number]:[Annual]],4,0)</f>
        <v>57259.02</v>
      </c>
      <c r="G38" s="64"/>
      <c r="H38" s="24">
        <f>VLOOKUP(B38,[1]!Table3[[Part Number]:[Annual]],5,0)</f>
        <v>28629.51</v>
      </c>
      <c r="I38" s="25">
        <f t="shared" si="0"/>
        <v>57259.02</v>
      </c>
    </row>
    <row r="39" spans="2:9" x14ac:dyDescent="0.25">
      <c r="B39" s="58" t="s">
        <v>80</v>
      </c>
      <c r="C39" s="54" t="str">
        <f>VLOOKUP(B39,[1]!Table3[[Part Number]:[Annual]],2,0)</f>
        <v xml:space="preserve">CAT 583T (CMX) CAT 589 (31Z) CAT 594 (96V) CAT 594H (96V) CAT DK8 (893) CAT DK8 (950)  </v>
      </c>
      <c r="D39" s="54" t="str">
        <f>VLOOKUP(B39,[1]!Table3[[Part Number]:[Annual]],3,0)</f>
        <v>Engine Oil Filter</v>
      </c>
      <c r="E39" s="54">
        <f>VLOOKUP(B39,[1]!Table3[[Part Number]:[Annual]],11,0)</f>
        <v>60</v>
      </c>
      <c r="F39" s="63">
        <f>VLOOKUP(B39,[1]!Table3[[Part Number]:[Annual]],4,0)</f>
        <v>33.119999999999997</v>
      </c>
      <c r="G39" s="64"/>
      <c r="H39" s="24">
        <f>VLOOKUP(B39,[1]!Table3[[Part Number]:[Annual]],5,0)</f>
        <v>16.559999999999999</v>
      </c>
      <c r="I39" s="25">
        <f t="shared" si="0"/>
        <v>993.6</v>
      </c>
    </row>
    <row r="40" spans="2:9" x14ac:dyDescent="0.25">
      <c r="B40" s="58" t="s">
        <v>81</v>
      </c>
      <c r="C40" s="54" t="str">
        <f>VLOOKUP(B40,[1]!Table3[[Part Number]:[Annual]],2,0)</f>
        <v xml:space="preserve">CAT PL61 (DHA) CAT PL61 (WGS) CAT D6D (06X)        </v>
      </c>
      <c r="D40" s="54" t="str">
        <f>VLOOKUP(B40,[1]!Table3[[Part Number]:[Annual]],3,0)</f>
        <v>FUEL FILTER</v>
      </c>
      <c r="E40" s="54">
        <f>VLOOKUP(B40,[1]!Table3[[Part Number]:[Annual]],11,0)</f>
        <v>15</v>
      </c>
      <c r="F40" s="63">
        <f>VLOOKUP(B40,[1]!Table3[[Part Number]:[Annual]],4,0)</f>
        <v>72.95</v>
      </c>
      <c r="G40" s="64"/>
      <c r="H40" s="24">
        <f>VLOOKUP(B40,[1]!Table3[[Part Number]:[Annual]],5,0)</f>
        <v>36.479999999999997</v>
      </c>
      <c r="I40" s="25">
        <f t="shared" si="0"/>
        <v>547.20000000000005</v>
      </c>
    </row>
    <row r="41" spans="2:9" x14ac:dyDescent="0.25">
      <c r="B41" s="58" t="s">
        <v>91</v>
      </c>
      <c r="C41" s="54" t="str">
        <f>VLOOKUP(B41,[1]!Table3[[Part Number]:[Annual]],2,0)</f>
        <v xml:space="preserve">CAT PL61 (DHA) CAT PL61 (WGS) CAT D6D (06X)        </v>
      </c>
      <c r="D41" s="54" t="str">
        <f>VLOOKUP(B41,[1]!Table3[[Part Number]:[Annual]],3,0)</f>
        <v>TURBOCHARGER</v>
      </c>
      <c r="E41" s="54">
        <f>VLOOKUP(B41,[1]!Table3[[Part Number]:[Annual]],11,0)</f>
        <v>3</v>
      </c>
      <c r="F41" s="63">
        <f>VLOOKUP(B41,[1]!Table3[[Part Number]:[Annual]],4,0)</f>
        <v>6681.88</v>
      </c>
      <c r="G41" s="64"/>
      <c r="H41" s="24">
        <f>VLOOKUP(B41,[1]!Table3[[Part Number]:[Annual]],5,0)</f>
        <v>3340.94</v>
      </c>
      <c r="I41" s="25">
        <f t="shared" si="0"/>
        <v>10022.82</v>
      </c>
    </row>
    <row r="42" spans="2:9" x14ac:dyDescent="0.25">
      <c r="B42" s="58" t="s">
        <v>46</v>
      </c>
      <c r="C42" s="54" t="str">
        <f>VLOOKUP(B42,[1]!Table3[[Part Number]:[Annual]],2,0)</f>
        <v>CAT D7G (DSC) CAT D7G (DSC) (2) CAT D7G (DSC) (3) CAT D7G (SUB) CAT D7G (3ZD) CAT 572R (DSC) CAT 572R (DSC) (2)</v>
      </c>
      <c r="D42" s="54" t="str">
        <f>VLOOKUP(B42,[1]!Table3[[Part Number]:[Annual]],3,0)</f>
        <v xml:space="preserve">FUEL INJECTOR NOZZLE </v>
      </c>
      <c r="E42" s="54">
        <f>VLOOKUP(B42,[1]!Table3[[Part Number]:[Annual]],11,0)</f>
        <v>42</v>
      </c>
      <c r="F42" s="63">
        <f>VLOOKUP(B42,[1]!Table3[[Part Number]:[Annual]],4,0)</f>
        <v>1882.24</v>
      </c>
      <c r="G42" s="64"/>
      <c r="H42" s="24">
        <f>VLOOKUP(B42,[1]!Table3[[Part Number]:[Annual]],5,0)</f>
        <v>1317.57</v>
      </c>
      <c r="I42" s="25">
        <f t="shared" si="0"/>
        <v>55337.94</v>
      </c>
    </row>
    <row r="43" spans="2:9" x14ac:dyDescent="0.25">
      <c r="B43" s="58" t="s">
        <v>82</v>
      </c>
      <c r="C43" s="54" t="str">
        <f>VLOOKUP(B43,[1]!Table3[[Part Number]:[Annual]],2,0)</f>
        <v xml:space="preserve">CAT PL61 (DHA) CAT PL61 (WGS) CAT D6D (06X)        </v>
      </c>
      <c r="D43" s="54" t="str">
        <f>VLOOKUP(B43,[1]!Table3[[Part Number]:[Annual]],3,0)</f>
        <v>FUEL FILTER</v>
      </c>
      <c r="E43" s="54">
        <f>VLOOKUP(B43,[1]!Table3[[Part Number]:[Annual]],11,0)</f>
        <v>15</v>
      </c>
      <c r="F43" s="63">
        <f>VLOOKUP(B43,[1]!Table3[[Part Number]:[Annual]],4,0)</f>
        <v>73.08</v>
      </c>
      <c r="G43" s="64"/>
      <c r="H43" s="24">
        <f>VLOOKUP(B43,[1]!Table3[[Part Number]:[Annual]],5,0)</f>
        <v>36.54</v>
      </c>
      <c r="I43" s="25">
        <f t="shared" si="0"/>
        <v>548.1</v>
      </c>
    </row>
    <row r="44" spans="2:9" x14ac:dyDescent="0.25">
      <c r="B44" s="58" t="s">
        <v>95</v>
      </c>
      <c r="C44" s="54" t="str">
        <f>VLOOKUP(B44,[1]!Table3[[Part Number]:[Annual]],2,0)</f>
        <v xml:space="preserve">CAT PL61 (DHA) CAT PL61 (WGS) CAT D6D (06X)        </v>
      </c>
      <c r="D44" s="54" t="str">
        <f>VLOOKUP(B44,[1]!Table3[[Part Number]:[Annual]],3,0)</f>
        <v xml:space="preserve">FUEL INJECTOR NOZZLE </v>
      </c>
      <c r="E44" s="54">
        <f>VLOOKUP(B44,[1]!Table3[[Part Number]:[Annual]],11,0)</f>
        <v>18</v>
      </c>
      <c r="F44" s="63">
        <f>VLOOKUP(B44,[1]!Table3[[Part Number]:[Annual]],4,0)</f>
        <v>1234.93</v>
      </c>
      <c r="G44" s="64"/>
      <c r="H44" s="24">
        <f>VLOOKUP(B44,[1]!Table3[[Part Number]:[Annual]],5,0)</f>
        <v>864.45</v>
      </c>
      <c r="I44" s="25">
        <f t="shared" si="0"/>
        <v>15560.1</v>
      </c>
    </row>
    <row r="45" spans="2:9" x14ac:dyDescent="0.25">
      <c r="B45" s="58" t="s">
        <v>83</v>
      </c>
      <c r="C45" s="54" t="str">
        <f>VLOOKUP(B45,[1]!Table3[[Part Number]:[Annual]],2,0)</f>
        <v>CAT D7G (DSC) CAT D7G (DSC) (2) CAT D7G (DSC) (3) CAT D7G (SUB) CAT D7G (3ZD) CAT 572R (DSC) CAT 572R (DSC) (2)</v>
      </c>
      <c r="D45" s="54" t="str">
        <f>VLOOKUP(B45,[1]!Table3[[Part Number]:[Annual]],3,0)</f>
        <v xml:space="preserve">FUEL WATER SEPARATOR </v>
      </c>
      <c r="E45" s="54">
        <f>VLOOKUP(B45,[1]!Table3[[Part Number]:[Annual]],11,0)</f>
        <v>70</v>
      </c>
      <c r="F45" s="63">
        <f>VLOOKUP(B45,[1]!Table3[[Part Number]:[Annual]],4,0)</f>
        <v>76.680000000000007</v>
      </c>
      <c r="G45" s="64"/>
      <c r="H45" s="24">
        <f>VLOOKUP(B45,[1]!Table3[[Part Number]:[Annual]],5,0)</f>
        <v>38.340000000000003</v>
      </c>
      <c r="I45" s="25">
        <f t="shared" si="0"/>
        <v>2683.8</v>
      </c>
    </row>
    <row r="46" spans="2:9" x14ac:dyDescent="0.25">
      <c r="B46" s="58" t="s">
        <v>48</v>
      </c>
      <c r="C46" s="54" t="str">
        <f>VLOOKUP(B46,[1]!Table3[[Part Number]:[Annual]],2,0)</f>
        <v xml:space="preserve">CAT PL61 (DHA) CAT PL61 (WGS) CAT D6D (06X)        </v>
      </c>
      <c r="D46" s="54" t="str">
        <f>VLOOKUP(B46,[1]!Table3[[Part Number]:[Annual]],3,0)</f>
        <v xml:space="preserve">FUEL WATER SEPARATOR </v>
      </c>
      <c r="E46" s="54">
        <f>VLOOKUP(B46,[1]!Table3[[Part Number]:[Annual]],11,0)</f>
        <v>15</v>
      </c>
      <c r="F46" s="63">
        <f>VLOOKUP(B46,[1]!Table3[[Part Number]:[Annual]],4,0)</f>
        <v>82.65</v>
      </c>
      <c r="G46" s="64"/>
      <c r="H46" s="24">
        <f>VLOOKUP(B46,[1]!Table3[[Part Number]:[Annual]],5,0)</f>
        <v>41.33</v>
      </c>
      <c r="I46" s="25">
        <f t="shared" si="0"/>
        <v>619.95000000000005</v>
      </c>
    </row>
    <row r="47" spans="2:9" x14ac:dyDescent="0.25">
      <c r="B47" s="58" t="s">
        <v>45</v>
      </c>
      <c r="C47" s="54" t="str">
        <f>VLOOKUP(B47,[1]!Table3[[Part Number]:[Annual]],2,0)</f>
        <v>CAT D7G (DSC) CAT D7G (DSC) (2) CAT D7G (DSC) (3) CAT D7G (SUB) CAT D7G (3ZD) CAT 572R (DSC) CAT 572R (DSC) (2)</v>
      </c>
      <c r="D47" s="54" t="str">
        <f>VLOOKUP(B47,[1]!Table3[[Part Number]:[Annual]],3,0)</f>
        <v>CRANKSHAFT</v>
      </c>
      <c r="E47" s="54">
        <f>VLOOKUP(B47,[1]!Table3[[Part Number]:[Annual]],11,0)</f>
        <v>7</v>
      </c>
      <c r="F47" s="63">
        <f>VLOOKUP(B47,[1]!Table3[[Part Number]:[Annual]],4,0)</f>
        <v>20109.560000000001</v>
      </c>
      <c r="G47" s="64"/>
      <c r="H47" s="24">
        <f>VLOOKUP(B47,[1]!Table3[[Part Number]:[Annual]],5,0)</f>
        <v>10054.780000000001</v>
      </c>
      <c r="I47" s="25">
        <f t="shared" si="0"/>
        <v>70383.460000000006</v>
      </c>
    </row>
    <row r="48" spans="2:9" x14ac:dyDescent="0.25">
      <c r="B48" s="58" t="s">
        <v>49</v>
      </c>
      <c r="C48" s="54" t="str">
        <f>VLOOKUP(B48,[1]!Table3[[Part Number]:[Annual]],2,0)</f>
        <v>CAT D7G (DSC) CAT D7G (DSC) (2) CAT D7G (DSC) (3) CAT D7G (SUB) CAT D7G (3ZD) CAT 572R (DSC) CAT 572R (DSC) (2)</v>
      </c>
      <c r="D48" s="54" t="str">
        <f>VLOOKUP(B48,[1]!Table3[[Part Number]:[Annual]],3,0)</f>
        <v>HYDRAULIC OIL FILTER (POWER TRAIN)</v>
      </c>
      <c r="E48" s="54">
        <f>VLOOKUP(B48,[1]!Table3[[Part Number]:[Annual]],11,0)</f>
        <v>35</v>
      </c>
      <c r="F48" s="63">
        <f>VLOOKUP(B48,[1]!Table3[[Part Number]:[Annual]],4,0)</f>
        <v>197.31</v>
      </c>
      <c r="G48" s="64"/>
      <c r="H48" s="24">
        <f>VLOOKUP(B48,[1]!Table3[[Part Number]:[Annual]],5,0)</f>
        <v>98.66</v>
      </c>
      <c r="I48" s="25">
        <f t="shared" si="0"/>
        <v>3453.1</v>
      </c>
    </row>
    <row r="49" spans="2:9" x14ac:dyDescent="0.25">
      <c r="B49" s="58" t="s">
        <v>56</v>
      </c>
      <c r="C49" s="54" t="str">
        <f>VLOOKUP(B49,[1]!Table3[[Part Number]:[Annual]],2,0)</f>
        <v xml:space="preserve">CAT PL61 (DHA) CAT PL61 (WGS) CAT D6D (06X)        </v>
      </c>
      <c r="D49" s="54" t="str">
        <f>VLOOKUP(B49,[1]!Table3[[Part Number]:[Annual]],3,0)</f>
        <v>CAMSHAFT</v>
      </c>
      <c r="E49" s="54">
        <f>VLOOKUP(B49,[1]!Table3[[Part Number]:[Annual]],11,0)</f>
        <v>3</v>
      </c>
      <c r="F49" s="63">
        <f>VLOOKUP(B49,[1]!Table3[[Part Number]:[Annual]],4,0)</f>
        <v>744.17</v>
      </c>
      <c r="G49" s="64"/>
      <c r="H49" s="24">
        <f>VLOOKUP(B49,[1]!Table3[[Part Number]:[Annual]],5,0)</f>
        <v>372.09</v>
      </c>
      <c r="I49" s="25">
        <f t="shared" si="0"/>
        <v>1116.27</v>
      </c>
    </row>
    <row r="50" spans="2:9" x14ac:dyDescent="0.25">
      <c r="B50" s="58" t="s">
        <v>57</v>
      </c>
      <c r="C50" s="54" t="str">
        <f>VLOOKUP(B50,[1]!Table3[[Part Number]:[Annual]],2,0)</f>
        <v xml:space="preserve">CAT PL61 (DHA) CAT PL61 (WGS) CAT D6D (06X)        </v>
      </c>
      <c r="D50" s="54" t="str">
        <f>VLOOKUP(B50,[1]!Table3[[Part Number]:[Annual]],3,0)</f>
        <v>CRANKSHAFT</v>
      </c>
      <c r="E50" s="54">
        <f>VLOOKUP(B50,[1]!Table3[[Part Number]:[Annual]],11,0)</f>
        <v>3</v>
      </c>
      <c r="F50" s="63">
        <f>VLOOKUP(B50,[1]!Table3[[Part Number]:[Annual]],4,0)</f>
        <v>6363.17</v>
      </c>
      <c r="G50" s="64"/>
      <c r="H50" s="24">
        <f>VLOOKUP(B50,[1]!Table3[[Part Number]:[Annual]],5,0)</f>
        <v>3181.59</v>
      </c>
      <c r="I50" s="25">
        <f t="shared" si="0"/>
        <v>9544.77</v>
      </c>
    </row>
    <row r="51" spans="2:9" x14ac:dyDescent="0.25">
      <c r="B51" s="58" t="s">
        <v>84</v>
      </c>
      <c r="C51" s="54" t="str">
        <f>VLOOKUP(B51,[1]!Table3[[Part Number]:[Annual]],2,0)</f>
        <v xml:space="preserve">CAT PL61 (DHA) CAT PL61 (WGS) CAT D6D (06X)        </v>
      </c>
      <c r="D51" s="54" t="str">
        <f>VLOOKUP(B51,[1]!Table3[[Part Number]:[Annual]],3,0)</f>
        <v>ENGINE OIL FILTER</v>
      </c>
      <c r="E51" s="54">
        <f>VLOOKUP(B51,[1]!Table3[[Part Number]:[Annual]],11,0)</f>
        <v>15</v>
      </c>
      <c r="F51" s="63">
        <f>VLOOKUP(B51,[1]!Table3[[Part Number]:[Annual]],4,0)</f>
        <v>35.25</v>
      </c>
      <c r="G51" s="64"/>
      <c r="H51" s="24">
        <f>VLOOKUP(B51,[1]!Table3[[Part Number]:[Annual]],5,0)</f>
        <v>17.63</v>
      </c>
      <c r="I51" s="25">
        <f t="shared" si="0"/>
        <v>264.45</v>
      </c>
    </row>
    <row r="52" spans="2:9" x14ac:dyDescent="0.25">
      <c r="B52" s="58" t="s">
        <v>101</v>
      </c>
      <c r="C52" s="54" t="str">
        <f>VLOOKUP(B52,[1]!Table3[[Part Number]:[Annual]],2,0)</f>
        <v xml:space="preserve">JD 470GLC (1FF) HITACHI 470GLC (HCM)          </v>
      </c>
      <c r="D52" s="54" t="str">
        <f>VLOOKUP(B52,[1]!Table3[[Part Number]:[Annual]],3,0)</f>
        <v>GQP 470GLC Complete UC KIT</v>
      </c>
      <c r="E52" s="54">
        <f>VLOOKUP(B52,[1]!Table3[[Part Number]:[Annual]],11,0)</f>
        <v>2</v>
      </c>
      <c r="F52" s="63">
        <f>VLOOKUP(B52,[1]!Table3[[Part Number]:[Annual]],4,0)</f>
        <v>106637.54</v>
      </c>
      <c r="G52" s="64"/>
      <c r="H52" s="24">
        <f>VLOOKUP(B52,[1]!Table3[[Part Number]:[Annual]],5,0)</f>
        <v>42655.02</v>
      </c>
      <c r="I52" s="25">
        <f t="shared" si="0"/>
        <v>85310.04</v>
      </c>
    </row>
    <row r="53" spans="2:9" x14ac:dyDescent="0.25">
      <c r="B53" s="58" t="s">
        <v>102</v>
      </c>
      <c r="C53" s="54" t="str">
        <f>VLOOKUP(B53,[1]!Table3[[Part Number]:[Annual]],2,0)</f>
        <v xml:space="preserve">CAT 583T (CMX) CAT 589 (31Z) CAT DK8 (893) CAT DK8 (950)      </v>
      </c>
      <c r="D53" s="54" t="str">
        <f>VLOOKUP(B53,[1]!Table3[[Part Number]:[Annual]],3,0)</f>
        <v>Hydraulic Filter</v>
      </c>
      <c r="E53" s="54">
        <f>VLOOKUP(B53,[1]!Table3[[Part Number]:[Annual]],11,0)</f>
        <v>20</v>
      </c>
      <c r="F53" s="63">
        <f>VLOOKUP(B53,[1]!Table3[[Part Number]:[Annual]],4,0)</f>
        <v>234.01</v>
      </c>
      <c r="G53" s="64"/>
      <c r="H53" s="24">
        <f>VLOOKUP(B53,[1]!Table3[[Part Number]:[Annual]],5,0)</f>
        <v>117.01</v>
      </c>
      <c r="I53" s="25">
        <f t="shared" si="0"/>
        <v>2340.1999999999998</v>
      </c>
    </row>
    <row r="54" spans="2:9" x14ac:dyDescent="0.25">
      <c r="B54" s="58" t="s">
        <v>58</v>
      </c>
      <c r="C54" s="54" t="str">
        <f>VLOOKUP(B54,[1]!Table3[[Part Number]:[Annual]],2,0)</f>
        <v xml:space="preserve">CAT 594 (96V) CAT 594H (96V)          </v>
      </c>
      <c r="D54" s="54" t="str">
        <f>VLOOKUP(B54,[1]!Table3[[Part Number]:[Annual]],3,0)</f>
        <v>CAMSHAFT</v>
      </c>
      <c r="E54" s="54">
        <f>VLOOKUP(B54,[1]!Table3[[Part Number]:[Annual]],11,0)</f>
        <v>2</v>
      </c>
      <c r="F54" s="63">
        <f>VLOOKUP(B54,[1]!Table3[[Part Number]:[Annual]],4,0)</f>
        <v>6442.44</v>
      </c>
      <c r="G54" s="64"/>
      <c r="H54" s="24">
        <f>VLOOKUP(B54,[1]!Table3[[Part Number]:[Annual]],5,0)</f>
        <v>3221.22</v>
      </c>
      <c r="I54" s="25">
        <f t="shared" si="0"/>
        <v>6442.44</v>
      </c>
    </row>
    <row r="55" spans="2:9" x14ac:dyDescent="0.25">
      <c r="B55" s="58" t="s">
        <v>103</v>
      </c>
      <c r="C55" s="54" t="str">
        <f>VLOOKUP(B55,[1]!Table3[[Part Number]:[Annual]],2,0)</f>
        <v xml:space="preserve">CAT 583T (CMX) CAT 589 (31Z) CAT DK8 (893) CAT DK8 (950)      </v>
      </c>
      <c r="D55" s="54" t="str">
        <f>VLOOKUP(B55,[1]!Table3[[Part Number]:[Annual]],3,0)</f>
        <v>Transmission Filter</v>
      </c>
      <c r="E55" s="54">
        <f>VLOOKUP(B55,[1]!Table3[[Part Number]:[Annual]],11,0)</f>
        <v>40</v>
      </c>
      <c r="F55" s="63">
        <f>VLOOKUP(B55,[1]!Table3[[Part Number]:[Annual]],4,0)</f>
        <v>25.04</v>
      </c>
      <c r="G55" s="64"/>
      <c r="H55" s="24">
        <f>VLOOKUP(B55,[1]!Table3[[Part Number]:[Annual]],5,0)</f>
        <v>12.52</v>
      </c>
      <c r="I55" s="25">
        <f t="shared" si="0"/>
        <v>500.8</v>
      </c>
    </row>
    <row r="56" spans="2:9" x14ac:dyDescent="0.25">
      <c r="B56" s="58" t="s">
        <v>66</v>
      </c>
      <c r="C56" s="54" t="str">
        <f>VLOOKUP(B56,[1]!Table3[[Part Number]:[Annual]],2,0)</f>
        <v xml:space="preserve">HITACHI ZX290LC-5 (1FF) HITACHI ZX290LC-5 (1FF) (2) HITACHI ZX290LC-5 (1FF) (3)        </v>
      </c>
      <c r="D56" s="54" t="str">
        <f>VLOOKUP(B56,[1]!Table3[[Part Number]:[Annual]],3,0)</f>
        <v>CAB AIR FILTER</v>
      </c>
      <c r="E56" s="54">
        <f>VLOOKUP(B56,[1]!Table3[[Part Number]:[Annual]],11,0)</f>
        <v>3</v>
      </c>
      <c r="F56" s="63">
        <f>VLOOKUP(B56,[1]!Table3[[Part Number]:[Annual]],4,0)</f>
        <v>151.97939999999997</v>
      </c>
      <c r="G56" s="64"/>
      <c r="H56" s="24">
        <f>VLOOKUP(B56,[1]!Table3[[Part Number]:[Annual]],5,0)</f>
        <v>98.79</v>
      </c>
      <c r="I56" s="25">
        <f t="shared" si="0"/>
        <v>296.37</v>
      </c>
    </row>
    <row r="57" spans="2:9" x14ac:dyDescent="0.25">
      <c r="B57" s="58" t="s">
        <v>67</v>
      </c>
      <c r="C57" s="54" t="str">
        <f>VLOOKUP(B57,[1]!Table3[[Part Number]:[Annual]],2,0)</f>
        <v xml:space="preserve">HITACHI ZX290LC-5 (1FF) HITACHI ZX290LC-5 (1FF) (2) HITACHI ZX290LC-5 (1FF) (3)        </v>
      </c>
      <c r="D57" s="54" t="str">
        <f>VLOOKUP(B57,[1]!Table3[[Part Number]:[Annual]],3,0)</f>
        <v>CAB AIR FILTER</v>
      </c>
      <c r="E57" s="54">
        <f>VLOOKUP(B57,[1]!Table3[[Part Number]:[Annual]],11,0)</f>
        <v>3</v>
      </c>
      <c r="F57" s="63">
        <f>VLOOKUP(B57,[1]!Table3[[Part Number]:[Annual]],4,0)</f>
        <v>123.9378</v>
      </c>
      <c r="G57" s="64"/>
      <c r="H57" s="24">
        <f>VLOOKUP(B57,[1]!Table3[[Part Number]:[Annual]],5,0)</f>
        <v>80.56</v>
      </c>
      <c r="I57" s="25">
        <f t="shared" si="0"/>
        <v>241.68</v>
      </c>
    </row>
    <row r="58" spans="2:9" x14ac:dyDescent="0.25">
      <c r="B58" s="58" t="s">
        <v>68</v>
      </c>
      <c r="C58" s="54" t="str">
        <f>VLOOKUP(B58,[1]!Table3[[Part Number]:[Annual]],2,0)</f>
        <v xml:space="preserve">JD 470GLC (1FF) HITACHI 470GLC (HCM)          </v>
      </c>
      <c r="D58" s="54" t="str">
        <f>VLOOKUP(B58,[1]!Table3[[Part Number]:[Annual]],3,0)</f>
        <v>CAB AIR FILTER</v>
      </c>
      <c r="E58" s="54">
        <f>VLOOKUP(B58,[1]!Table3[[Part Number]:[Annual]],11,0)</f>
        <v>2</v>
      </c>
      <c r="F58" s="63">
        <f>VLOOKUP(B58,[1]!Table3[[Part Number]:[Annual]],4,0)</f>
        <v>134.99159999999998</v>
      </c>
      <c r="G58" s="64"/>
      <c r="H58" s="24">
        <f>VLOOKUP(B58,[1]!Table3[[Part Number]:[Annual]],5,0)</f>
        <v>87.74</v>
      </c>
      <c r="I58" s="25">
        <f t="shared" si="0"/>
        <v>175.48</v>
      </c>
    </row>
    <row r="59" spans="2:9" x14ac:dyDescent="0.25">
      <c r="B59" s="58" t="s">
        <v>93</v>
      </c>
      <c r="C59" s="54" t="str">
        <f>VLOOKUP(B59,[1]!Table3[[Part Number]:[Annual]],2,0)</f>
        <v>CAT D7G (DSC) CAT D7G (DSC) (2) CAT D7G (DSC) (3) CAT D7G (SUB) CAT D7G (3ZD) CAT 572R (DSC) CAT 572R (DSC) (2)</v>
      </c>
      <c r="D59" s="54" t="str">
        <f>VLOOKUP(B59,[1]!Table3[[Part Number]:[Annual]],3,0)</f>
        <v>GQP 572R Complete UC KIT</v>
      </c>
      <c r="E59" s="54">
        <f>VLOOKUP(B59,[1]!Table3[[Part Number]:[Annual]],11,0)</f>
        <v>7</v>
      </c>
      <c r="F59" s="63">
        <f>VLOOKUP(B59,[1]!Table3[[Part Number]:[Annual]],4,0)</f>
        <v>98900.34</v>
      </c>
      <c r="G59" s="64"/>
      <c r="H59" s="24">
        <f>VLOOKUP(B59,[1]!Table3[[Part Number]:[Annual]],5,0)</f>
        <v>54395.19</v>
      </c>
      <c r="I59" s="25">
        <f t="shared" si="0"/>
        <v>380766.33</v>
      </c>
    </row>
    <row r="60" spans="2:9" x14ac:dyDescent="0.25">
      <c r="B60" s="58" t="s">
        <v>104</v>
      </c>
      <c r="C60" s="54" t="str">
        <f>VLOOKUP(B60,[1]!Table3[[Part Number]:[Annual]],2,0)</f>
        <v xml:space="preserve">CAT 583T (CMX) CAT 589 (31Z) CAT DK8 (893) CAT DK8 (950)      </v>
      </c>
      <c r="D60" s="54" t="str">
        <f>VLOOKUP(B60,[1]!Table3[[Part Number]:[Annual]],3,0)</f>
        <v>GQP 583T Complete UC KIT</v>
      </c>
      <c r="E60" s="54">
        <f>VLOOKUP(B60,[1]!Table3[[Part Number]:[Annual]],11,0)</f>
        <v>4</v>
      </c>
      <c r="F60" s="63">
        <f>VLOOKUP(B60,[1]!Table3[[Part Number]:[Annual]],4,0)</f>
        <v>89509.32</v>
      </c>
      <c r="G60" s="64"/>
      <c r="H60" s="24">
        <f>VLOOKUP(B60,[1]!Table3[[Part Number]:[Annual]],5,0)</f>
        <v>49230.13</v>
      </c>
      <c r="I60" s="25">
        <f t="shared" si="0"/>
        <v>196920.52</v>
      </c>
    </row>
    <row r="61" spans="2:9" x14ac:dyDescent="0.25">
      <c r="B61" s="58" t="s">
        <v>38</v>
      </c>
      <c r="C61" s="54" t="str">
        <f>VLOOKUP(B61,[1]!Table3[[Part Number]:[Annual]],2,0)</f>
        <v>CAT D7G (DSC) CAT D7G (DSC) (2) CAT D7G (DSC) (3) CAT D7G (SUB) CAT D7G (3ZD) CAT 572R (DSC) CAT 572R (DSC) (2)</v>
      </c>
      <c r="D61" s="54" t="str">
        <f>VLOOKUP(B61,[1]!Table3[[Part Number]:[Annual]],3,0)</f>
        <v>PRIMARY AIR FILTER ELEMENT</v>
      </c>
      <c r="E61" s="54">
        <f>VLOOKUP(B61,[1]!Table3[[Part Number]:[Annual]],11,0)</f>
        <v>70</v>
      </c>
      <c r="F61" s="63">
        <f>VLOOKUP(B61,[1]!Table3[[Part Number]:[Annual]],4,0)</f>
        <v>150.1</v>
      </c>
      <c r="G61" s="64"/>
      <c r="H61" s="24">
        <f>VLOOKUP(B61,[1]!Table3[[Part Number]:[Annual]],5,0)</f>
        <v>97.57</v>
      </c>
      <c r="I61" s="25">
        <f t="shared" si="0"/>
        <v>6829.9</v>
      </c>
    </row>
    <row r="62" spans="2:9" x14ac:dyDescent="0.25">
      <c r="B62" s="58" t="s">
        <v>39</v>
      </c>
      <c r="C62" s="54" t="str">
        <f>VLOOKUP(B62,[1]!Table3[[Part Number]:[Annual]],2,0)</f>
        <v>CAT D7G (DSC) CAT D7G (DSC) (2) CAT D7G (DSC) (3) CAT D7G (SUB) CAT D7G (3ZD) CAT 572R (DSC) CAT 572R (DSC) (2)</v>
      </c>
      <c r="D62" s="54" t="str">
        <f>VLOOKUP(B62,[1]!Table3[[Part Number]:[Annual]],3,0)</f>
        <v>SECONDARY AIR FILTER ELEMENT</v>
      </c>
      <c r="E62" s="54">
        <f>VLOOKUP(B62,[1]!Table3[[Part Number]:[Annual]],11,0)</f>
        <v>70</v>
      </c>
      <c r="F62" s="63">
        <f>VLOOKUP(B62,[1]!Table3[[Part Number]:[Annual]],4,0)</f>
        <v>114.79</v>
      </c>
      <c r="G62" s="64"/>
      <c r="H62" s="24">
        <f>VLOOKUP(B62,[1]!Table3[[Part Number]:[Annual]],5,0)</f>
        <v>74.61</v>
      </c>
      <c r="I62" s="25">
        <f t="shared" si="0"/>
        <v>5222.7</v>
      </c>
    </row>
    <row r="63" spans="2:9" x14ac:dyDescent="0.25">
      <c r="B63" s="58" t="s">
        <v>105</v>
      </c>
      <c r="C63" s="54" t="str">
        <f>VLOOKUP(B63,[1]!Table3[[Part Number]:[Annual]],2,0)</f>
        <v xml:space="preserve">CAT 583T (CMX) CAT 589 (31Z) CAT DK8 (893) CAT DK8 (950)      </v>
      </c>
      <c r="D63" s="54" t="str">
        <f>VLOOKUP(B63,[1]!Table3[[Part Number]:[Annual]],3,0)</f>
        <v>Cab - Fresh Air</v>
      </c>
      <c r="E63" s="54">
        <f>VLOOKUP(B63,[1]!Table3[[Part Number]:[Annual]],11,0)</f>
        <v>24</v>
      </c>
      <c r="F63" s="63">
        <f>VLOOKUP(B63,[1]!Table3[[Part Number]:[Annual]],4,0)</f>
        <v>47.71</v>
      </c>
      <c r="G63" s="64"/>
      <c r="H63" s="24">
        <f>VLOOKUP(B63,[1]!Table3[[Part Number]:[Annual]],5,0)</f>
        <v>31.01</v>
      </c>
      <c r="I63" s="25">
        <f t="shared" si="0"/>
        <v>744.24</v>
      </c>
    </row>
    <row r="64" spans="2:9" x14ac:dyDescent="0.25">
      <c r="B64" s="58" t="s">
        <v>106</v>
      </c>
      <c r="C64" s="54" t="str">
        <f>VLOOKUP(B64,[1]!Table3[[Part Number]:[Annual]],2,0)</f>
        <v xml:space="preserve">CAT 583T (CMX) CAT 589 (31Z) CAT DK8 (893) CAT DK8 (950)      </v>
      </c>
      <c r="D64" s="54" t="str">
        <f>VLOOKUP(B64,[1]!Table3[[Part Number]:[Annual]],3,0)</f>
        <v>Cab - Recirculate</v>
      </c>
      <c r="E64" s="54">
        <f>VLOOKUP(B64,[1]!Table3[[Part Number]:[Annual]],11,0)</f>
        <v>24</v>
      </c>
      <c r="F64" s="63">
        <f>VLOOKUP(B64,[1]!Table3[[Part Number]:[Annual]],4,0)</f>
        <v>95.06</v>
      </c>
      <c r="G64" s="64"/>
      <c r="H64" s="24">
        <f>VLOOKUP(B64,[1]!Table3[[Part Number]:[Annual]],5,0)</f>
        <v>61.79</v>
      </c>
      <c r="I64" s="25">
        <f t="shared" si="0"/>
        <v>1482.96</v>
      </c>
    </row>
    <row r="65" spans="2:9" x14ac:dyDescent="0.25">
      <c r="B65" s="58" t="s">
        <v>92</v>
      </c>
      <c r="C65" s="54" t="str">
        <f>VLOOKUP(B65,[1]!Table3[[Part Number]:[Annual]],2,0)</f>
        <v xml:space="preserve">CAT 594 (96V) CAT 594H (96V)          </v>
      </c>
      <c r="D65" s="54" t="str">
        <f>VLOOKUP(B65,[1]!Table3[[Part Number]:[Annual]],3,0)</f>
        <v>TURBOCHARGER</v>
      </c>
      <c r="E65" s="54">
        <f>VLOOKUP(B65,[1]!Table3[[Part Number]:[Annual]],11,0)</f>
        <v>2</v>
      </c>
      <c r="F65" s="63">
        <f>VLOOKUP(B65,[1]!Table3[[Part Number]:[Annual]],4,0)</f>
        <v>9221.34</v>
      </c>
      <c r="G65" s="64"/>
      <c r="H65" s="24">
        <f>VLOOKUP(B65,[1]!Table3[[Part Number]:[Annual]],5,0)</f>
        <v>4610.67</v>
      </c>
      <c r="I65" s="25">
        <f t="shared" si="0"/>
        <v>9221.34</v>
      </c>
    </row>
    <row r="66" spans="2:9" x14ac:dyDescent="0.25">
      <c r="B66" s="58" t="s">
        <v>107</v>
      </c>
      <c r="C66" s="54" t="str">
        <f>VLOOKUP(B66,[1]!Table3[[Part Number]:[Annual]],2,0)</f>
        <v xml:space="preserve">CAT 583T (CMX) CAT 589 (31Z) CAT DK8 (893) CAT DK8 (950)      </v>
      </c>
      <c r="D66" s="54" t="str">
        <f>VLOOKUP(B66,[1]!Table3[[Part Number]:[Annual]],3,0)</f>
        <v>Air Filter - Primary</v>
      </c>
      <c r="E66" s="54">
        <f>VLOOKUP(B66,[1]!Table3[[Part Number]:[Annual]],11,0)</f>
        <v>20</v>
      </c>
      <c r="F66" s="63">
        <f>VLOOKUP(B66,[1]!Table3[[Part Number]:[Annual]],4,0)</f>
        <v>105.91</v>
      </c>
      <c r="G66" s="64"/>
      <c r="H66" s="24">
        <f>VLOOKUP(B66,[1]!Table3[[Part Number]:[Annual]],5,0)</f>
        <v>68.84</v>
      </c>
      <c r="I66" s="25">
        <f t="shared" si="0"/>
        <v>1376.8</v>
      </c>
    </row>
    <row r="67" spans="2:9" x14ac:dyDescent="0.25">
      <c r="B67" s="58" t="s">
        <v>96</v>
      </c>
      <c r="C67" s="54" t="str">
        <f>VLOOKUP(B67,[1]!Table3[[Part Number]:[Annual]],2,0)</f>
        <v xml:space="preserve">CAT 594 (96V) CAT 594H (96V)          </v>
      </c>
      <c r="D67" s="54" t="str">
        <f>VLOOKUP(B67,[1]!Table3[[Part Number]:[Annual]],3,0)</f>
        <v xml:space="preserve">FUEL INJECTOR NOZZLE </v>
      </c>
      <c r="E67" s="54">
        <f>VLOOKUP(B67,[1]!Table3[[Part Number]:[Annual]],11,0)</f>
        <v>12</v>
      </c>
      <c r="F67" s="63">
        <f>VLOOKUP(B67,[1]!Table3[[Part Number]:[Annual]],4,0)</f>
        <v>154.75</v>
      </c>
      <c r="G67" s="64"/>
      <c r="H67" s="24">
        <f>VLOOKUP(B67,[1]!Table3[[Part Number]:[Annual]],5,0)</f>
        <v>108.33</v>
      </c>
      <c r="I67" s="25">
        <f t="shared" si="0"/>
        <v>1299.96</v>
      </c>
    </row>
    <row r="68" spans="2:9" x14ac:dyDescent="0.25">
      <c r="B68" s="58" t="s">
        <v>108</v>
      </c>
      <c r="C68" s="54" t="str">
        <f>VLOOKUP(B68,[1]!Table3[[Part Number]:[Annual]],2,0)</f>
        <v xml:space="preserve">CAT 583T (CMX) CAT 589 (31Z) CAT DK8 (893) CAT DK8 (950)      </v>
      </c>
      <c r="D68" s="54" t="str">
        <f>VLOOKUP(B68,[1]!Table3[[Part Number]:[Annual]],3,0)</f>
        <v>Turbocharger</v>
      </c>
      <c r="E68" s="54">
        <f>VLOOKUP(B68,[1]!Table3[[Part Number]:[Annual]],11,0)</f>
        <v>4</v>
      </c>
      <c r="F68" s="63">
        <f>VLOOKUP(B68,[1]!Table3[[Part Number]:[Annual]],4,0)</f>
        <v>9607.81</v>
      </c>
      <c r="G68" s="64"/>
      <c r="H68" s="24">
        <f>VLOOKUP(B68,[1]!Table3[[Part Number]:[Annual]],5,0)</f>
        <v>4803.91</v>
      </c>
      <c r="I68" s="25">
        <f t="shared" si="0"/>
        <v>19215.64</v>
      </c>
    </row>
    <row r="69" spans="2:9" x14ac:dyDescent="0.25">
      <c r="B69" s="58" t="s">
        <v>85</v>
      </c>
      <c r="C69" s="54" t="str">
        <f>VLOOKUP(B69,[1]!Table3[[Part Number]:[Annual]],2,0)</f>
        <v xml:space="preserve">CAT 583T (CMX) CAT 589 (31Z) CAT 594 (96V) CAT 594H (96V) CAT DK8 (893) CAT DK8 (950)  </v>
      </c>
      <c r="D69" s="54" t="str">
        <f>VLOOKUP(B69,[1]!Table3[[Part Number]:[Annual]],3,0)</f>
        <v>Fuel Filter - Primary</v>
      </c>
      <c r="E69" s="54">
        <f>VLOOKUP(B69,[1]!Table3[[Part Number]:[Annual]],11,0)</f>
        <v>40</v>
      </c>
      <c r="F69" s="63">
        <f>VLOOKUP(B69,[1]!Table3[[Part Number]:[Annual]],4,0)</f>
        <v>20.63</v>
      </c>
      <c r="G69" s="64"/>
      <c r="H69" s="24">
        <f>VLOOKUP(B69,[1]!Table3[[Part Number]:[Annual]],5,0)</f>
        <v>10.32</v>
      </c>
      <c r="I69" s="25">
        <f t="shared" si="0"/>
        <v>412.8</v>
      </c>
    </row>
    <row r="70" spans="2:9" x14ac:dyDescent="0.25">
      <c r="B70" s="58" t="s">
        <v>52</v>
      </c>
      <c r="C70" s="54" t="str">
        <f>VLOOKUP(B70,[1]!Table3[[Part Number]:[Annual]],2,0)</f>
        <v xml:space="preserve">CAT PL61 (DHA) CAT PL61 (WGS) CAT D6D (06X)        </v>
      </c>
      <c r="D70" s="54" t="str">
        <f>VLOOKUP(B70,[1]!Table3[[Part Number]:[Annual]],3,0)</f>
        <v xml:space="preserve">12V BATTERY </v>
      </c>
      <c r="E70" s="54">
        <f>VLOOKUP(B70,[1]!Table3[[Part Number]:[Annual]],11,0)</f>
        <v>6</v>
      </c>
      <c r="F70" s="63">
        <f>VLOOKUP(B70,[1]!Table3[[Part Number]:[Annual]],4,0)</f>
        <v>486.48</v>
      </c>
      <c r="G70" s="64"/>
      <c r="H70" s="24">
        <f>VLOOKUP(B70,[1]!Table3[[Part Number]:[Annual]],5,0)</f>
        <v>243.24</v>
      </c>
      <c r="I70" s="25">
        <f t="shared" si="0"/>
        <v>1459.44</v>
      </c>
    </row>
    <row r="71" spans="2:9" x14ac:dyDescent="0.25">
      <c r="B71" s="58" t="s">
        <v>89</v>
      </c>
      <c r="C71" s="54" t="str">
        <f>VLOOKUP(B71,[1]!Table3[[Part Number]:[Annual]],2,0)</f>
        <v xml:space="preserve">HITACHI ZX290LC-5 (1FF) HITACHI ZX290LC-5 (1FF) (2) HITACHI ZX290LC-5 (1FF) (3)        </v>
      </c>
      <c r="D71" s="54" t="str">
        <f>VLOOKUP(B71,[1]!Table3[[Part Number]:[Annual]],3,0)</f>
        <v>CUTTING EDGE</v>
      </c>
      <c r="E71" s="54">
        <f>VLOOKUP(B71,[1]!Table3[[Part Number]:[Annual]],11,0)</f>
        <v>3</v>
      </c>
      <c r="F71" s="63">
        <f>VLOOKUP(B71,[1]!Table3[[Part Number]:[Annual]],4,0)</f>
        <v>1340.9736</v>
      </c>
      <c r="G71" s="64"/>
      <c r="H71" s="24">
        <f>VLOOKUP(B71,[1]!Table3[[Part Number]:[Annual]],5,0)</f>
        <v>670.49</v>
      </c>
      <c r="I71" s="25">
        <f t="shared" si="0"/>
        <v>2011.47</v>
      </c>
    </row>
    <row r="72" spans="2:9" x14ac:dyDescent="0.25">
      <c r="B72" s="58" t="s">
        <v>77</v>
      </c>
      <c r="C72" s="54" t="str">
        <f>VLOOKUP(B72,[1]!Table3[[Part Number]:[Annual]],2,0)</f>
        <v xml:space="preserve">HITACHI ZX290LC-5 (1FF) HITACHI ZX290LC-5 (1FF) (2) HITACHI ZX290LC-5 (1FF) (3)        </v>
      </c>
      <c r="D72" s="54" t="str">
        <f>VLOOKUP(B72,[1]!Table3[[Part Number]:[Annual]],3,0)</f>
        <v>HYDRAULIC FILTER PILOT</v>
      </c>
      <c r="E72" s="54">
        <f>VLOOKUP(B72,[1]!Table3[[Part Number]:[Annual]],11,0)</f>
        <v>9</v>
      </c>
      <c r="F72" s="63">
        <f>VLOOKUP(B72,[1]!Table3[[Part Number]:[Annual]],4,0)</f>
        <v>70.76639999999999</v>
      </c>
      <c r="G72" s="64"/>
      <c r="H72" s="24">
        <f>VLOOKUP(B72,[1]!Table3[[Part Number]:[Annual]],5,0)</f>
        <v>35.380000000000003</v>
      </c>
      <c r="I72" s="25">
        <f t="shared" si="0"/>
        <v>318.42</v>
      </c>
    </row>
    <row r="73" spans="2:9" x14ac:dyDescent="0.25">
      <c r="B73" s="58" t="s">
        <v>69</v>
      </c>
      <c r="C73" s="54" t="str">
        <f>VLOOKUP(B73,[1]!Table3[[Part Number]:[Annual]],2,0)</f>
        <v xml:space="preserve">JD 470GLC (1FF) HITACHI 470GLC (HCM)          </v>
      </c>
      <c r="D73" s="54" t="str">
        <f>VLOOKUP(B73,[1]!Table3[[Part Number]:[Annual]],3,0)</f>
        <v>PRIMARY AIR FILTER</v>
      </c>
      <c r="E73" s="54">
        <f>VLOOKUP(B73,[1]!Table3[[Part Number]:[Annual]],11,0)</f>
        <v>6</v>
      </c>
      <c r="F73" s="63">
        <f>VLOOKUP(B73,[1]!Table3[[Part Number]:[Annual]],4,0)</f>
        <v>221.559</v>
      </c>
      <c r="G73" s="64"/>
      <c r="H73" s="24">
        <f>VLOOKUP(B73,[1]!Table3[[Part Number]:[Annual]],5,0)</f>
        <v>144.01</v>
      </c>
      <c r="I73" s="25">
        <f t="shared" si="0"/>
        <v>864.06</v>
      </c>
    </row>
    <row r="74" spans="2:9" x14ac:dyDescent="0.25">
      <c r="B74" s="58" t="s">
        <v>70</v>
      </c>
      <c r="C74" s="54" t="str">
        <f>VLOOKUP(B74,[1]!Table3[[Part Number]:[Annual]],2,0)</f>
        <v xml:space="preserve">HITACHI ZX290LC-5 (1FF) HITACHI ZX290LC-5 (1FF) (2) HITACHI ZX290LC-5 (1FF) (3)        </v>
      </c>
      <c r="D74" s="54" t="str">
        <f>VLOOKUP(B74,[1]!Table3[[Part Number]:[Annual]],3,0)</f>
        <v>SECONDARY AIR FILTER</v>
      </c>
      <c r="E74" s="54">
        <f>VLOOKUP(B74,[1]!Table3[[Part Number]:[Annual]],11,0)</f>
        <v>9</v>
      </c>
      <c r="F74" s="63">
        <f>VLOOKUP(B74,[1]!Table3[[Part Number]:[Annual]],4,0)</f>
        <v>93.398399999999995</v>
      </c>
      <c r="G74" s="64"/>
      <c r="H74" s="24">
        <f>VLOOKUP(B74,[1]!Table3[[Part Number]:[Annual]],5,0)</f>
        <v>60.71</v>
      </c>
      <c r="I74" s="25">
        <f t="shared" si="0"/>
        <v>546.39</v>
      </c>
    </row>
    <row r="75" spans="2:9" x14ac:dyDescent="0.25">
      <c r="B75" s="58" t="s">
        <v>78</v>
      </c>
      <c r="C75" s="54" t="str">
        <f>VLOOKUP(B75,[1]!Table3[[Part Number]:[Annual]],2,0)</f>
        <v xml:space="preserve">JD 470GLC (1FF) HITACHI 470GLC (HCM)          </v>
      </c>
      <c r="D75" s="54" t="str">
        <f>VLOOKUP(B75,[1]!Table3[[Part Number]:[Annual]],3,0)</f>
        <v>HYDRAULIC FILTER</v>
      </c>
      <c r="E75" s="54">
        <f>VLOOKUP(B75,[1]!Table3[[Part Number]:[Annual]],11,0)</f>
        <v>10</v>
      </c>
      <c r="F75" s="63">
        <f>VLOOKUP(B75,[1]!Table3[[Part Number]:[Annual]],4,0)</f>
        <v>49.252199999999995</v>
      </c>
      <c r="G75" s="64"/>
      <c r="H75" s="24">
        <f>VLOOKUP(B75,[1]!Table3[[Part Number]:[Annual]],5,0)</f>
        <v>24.63</v>
      </c>
      <c r="I75" s="25">
        <f t="shared" si="0"/>
        <v>246.3</v>
      </c>
    </row>
    <row r="76" spans="2:9" x14ac:dyDescent="0.25">
      <c r="B76" s="58" t="s">
        <v>86</v>
      </c>
      <c r="C76" s="54" t="str">
        <f>VLOOKUP(B76,[1]!Table3[[Part Number]:[Annual]],2,0)</f>
        <v xml:space="preserve">JD 470GLC (1FF) HITACHI 470GLC (HCM)          </v>
      </c>
      <c r="D76" s="54" t="str">
        <f>VLOOKUP(B76,[1]!Table3[[Part Number]:[Annual]],3,0)</f>
        <v>FUEL FILTER</v>
      </c>
      <c r="E76" s="54">
        <f>VLOOKUP(B76,[1]!Table3[[Part Number]:[Annual]],11,0)</f>
        <v>20</v>
      </c>
      <c r="F76" s="63">
        <f>VLOOKUP(B76,[1]!Table3[[Part Number]:[Annual]],4,0)</f>
        <v>39.964799999999997</v>
      </c>
      <c r="G76" s="64"/>
      <c r="H76" s="24">
        <f>VLOOKUP(B76,[1]!Table3[[Part Number]:[Annual]],5,0)</f>
        <v>19.98</v>
      </c>
      <c r="I76" s="25">
        <f t="shared" si="0"/>
        <v>399.6</v>
      </c>
    </row>
    <row r="77" spans="2:9" x14ac:dyDescent="0.25">
      <c r="B77" s="58" t="s">
        <v>109</v>
      </c>
      <c r="C77" s="54" t="str">
        <f>VLOOKUP(B77,[1]!Table3[[Part Number]:[Annual]],2,0)</f>
        <v xml:space="preserve">CAT 594 (96V) CAT 594H (96V)          </v>
      </c>
      <c r="D77" s="54" t="str">
        <f>VLOOKUP(B77,[1]!Table3[[Part Number]:[Annual]],3,0)</f>
        <v>GQP D9G/H Complete UC KIT</v>
      </c>
      <c r="E77" s="54">
        <f>VLOOKUP(B77,[1]!Table3[[Part Number]:[Annual]],11,0)</f>
        <v>2</v>
      </c>
      <c r="F77" s="63">
        <f>VLOOKUP(B77,[1]!Table3[[Part Number]:[Annual]],4,0)</f>
        <v>265728.26</v>
      </c>
      <c r="G77" s="64"/>
      <c r="H77" s="24">
        <f>VLOOKUP(B77,[1]!Table3[[Part Number]:[Annual]],5,0)</f>
        <v>146150.54</v>
      </c>
      <c r="I77" s="25">
        <f t="shared" si="0"/>
        <v>292301.08</v>
      </c>
    </row>
    <row r="78" spans="2:9" x14ac:dyDescent="0.25">
      <c r="B78" s="58" t="s">
        <v>71</v>
      </c>
      <c r="C78" s="54" t="str">
        <f>VLOOKUP(B78,[1]!Table3[[Part Number]:[Annual]],2,0)</f>
        <v xml:space="preserve">JD 470GLC (1FF) HITACHI 470GLC (HCM)          </v>
      </c>
      <c r="D78" s="54" t="str">
        <f>VLOOKUP(B78,[1]!Table3[[Part Number]:[Annual]],3,0)</f>
        <v>CAB AIR FILTER</v>
      </c>
      <c r="E78" s="54">
        <f>VLOOKUP(B78,[1]!Table3[[Part Number]:[Annual]],11,0)</f>
        <v>2</v>
      </c>
      <c r="F78" s="63">
        <f>VLOOKUP(B78,[1]!Table3[[Part Number]:[Annual]],4,0)</f>
        <v>57.228599999999993</v>
      </c>
      <c r="G78" s="64"/>
      <c r="H78" s="24">
        <f>VLOOKUP(B78,[1]!Table3[[Part Number]:[Annual]],5,0)</f>
        <v>37.200000000000003</v>
      </c>
      <c r="I78" s="25">
        <f t="shared" si="0"/>
        <v>74.400000000000006</v>
      </c>
    </row>
    <row r="79" spans="2:9" x14ac:dyDescent="0.25">
      <c r="B79" s="58" t="s">
        <v>94</v>
      </c>
      <c r="C79" s="54" t="str">
        <f>VLOOKUP(B79,[1]!Table3[[Part Number]:[Annual]],2,0)</f>
        <v xml:space="preserve">CAT PL61 (DHA) CAT PL61 (WGS) CAT D6D (06X)        </v>
      </c>
      <c r="D79" s="54" t="str">
        <f>VLOOKUP(B79,[1]!Table3[[Part Number]:[Annual]],3,0)</f>
        <v>GQP PL61 Complete UC KIT</v>
      </c>
      <c r="E79" s="54">
        <f>VLOOKUP(B79,[1]!Table3[[Part Number]:[Annual]],11,0)</f>
        <v>3</v>
      </c>
      <c r="F79" s="63">
        <f>VLOOKUP(B79,[1]!Table3[[Part Number]:[Annual]],4,0)</f>
        <v>54495.98000000001</v>
      </c>
      <c r="G79" s="64"/>
      <c r="H79" s="24">
        <f>VLOOKUP(B79,[1]!Table3[[Part Number]:[Annual]],5,0)</f>
        <v>29972.79</v>
      </c>
      <c r="I79" s="25">
        <f t="shared" ref="I79:I91" si="1">ROUND(E79*H79,2)</f>
        <v>89918.37</v>
      </c>
    </row>
    <row r="80" spans="2:9" x14ac:dyDescent="0.25">
      <c r="B80" s="58" t="s">
        <v>110</v>
      </c>
      <c r="C80" s="54" t="str">
        <f>VLOOKUP(B80,[1]!Table3[[Part Number]:[Annual]],2,0)</f>
        <v xml:space="preserve">HITACHI ZX290LC-5 (1FF) HITACHI ZX290LC-5 (1FF) (2) HITACHI ZX290LC-5 (1FF) (3)        </v>
      </c>
      <c r="D80" s="54" t="str">
        <f>VLOOKUP(B80,[1]!Table3[[Part Number]:[Annual]],3,0)</f>
        <v>ENGINE OIL FILTER</v>
      </c>
      <c r="E80" s="54">
        <f>VLOOKUP(B80,[1]!Table3[[Part Number]:[Annual]],11,0)</f>
        <v>15</v>
      </c>
      <c r="F80" s="63">
        <f>VLOOKUP(B80,[1]!Table3[[Part Number]:[Annual]],4,0)</f>
        <v>27.544799999999999</v>
      </c>
      <c r="G80" s="64"/>
      <c r="H80" s="24">
        <f>VLOOKUP(B80,[1]!Table3[[Part Number]:[Annual]],5,0)</f>
        <v>13.77</v>
      </c>
      <c r="I80" s="25">
        <f t="shared" si="1"/>
        <v>206.55</v>
      </c>
    </row>
    <row r="81" spans="2:9" x14ac:dyDescent="0.25">
      <c r="B81" s="58" t="s">
        <v>59</v>
      </c>
      <c r="C81" s="54" t="str">
        <f>VLOOKUP(B81,[1]!Table3[[Part Number]:[Annual]],2,0)</f>
        <v xml:space="preserve">HITACHI ZX290LC-5 (1FF) HITACHI ZX290LC-5 (1FF) (2) HITACHI ZX290LC-5 (1FF) (3)        </v>
      </c>
      <c r="D81" s="54" t="str">
        <f>VLOOKUP(B81,[1]!Table3[[Part Number]:[Annual]],3,0)</f>
        <v>CAMSHAFT</v>
      </c>
      <c r="E81" s="54">
        <f>VLOOKUP(B81,[1]!Table3[[Part Number]:[Annual]],11,0)</f>
        <v>3</v>
      </c>
      <c r="F81" s="63">
        <f>VLOOKUP(B81,[1]!Table3[[Part Number]:[Annual]],4,0)</f>
        <v>798.0401999999998</v>
      </c>
      <c r="G81" s="64"/>
      <c r="H81" s="24">
        <f>VLOOKUP(B81,[1]!Table3[[Part Number]:[Annual]],5,0)</f>
        <v>399.02</v>
      </c>
      <c r="I81" s="25">
        <f t="shared" si="1"/>
        <v>1197.06</v>
      </c>
    </row>
    <row r="82" spans="2:9" x14ac:dyDescent="0.25">
      <c r="B82" s="58" t="s">
        <v>97</v>
      </c>
      <c r="C82" s="54" t="str">
        <f>VLOOKUP(B82,[1]!Table3[[Part Number]:[Annual]],2,0)</f>
        <v xml:space="preserve">HITACHI ZX290LC-5 (1FF) HITACHI ZX290LC-5 (1FF) (2) HITACHI ZX290LC-5 (1FF) (3)        </v>
      </c>
      <c r="D82" s="54" t="str">
        <f>VLOOKUP(B82,[1]!Table3[[Part Number]:[Annual]],3,0)</f>
        <v>INJECTOR</v>
      </c>
      <c r="E82" s="54">
        <f>VLOOKUP(B82,[1]!Table3[[Part Number]:[Annual]],11,0)</f>
        <v>18</v>
      </c>
      <c r="F82" s="63">
        <f>VLOOKUP(B82,[1]!Table3[[Part Number]:[Annual]],4,0)</f>
        <v>228.54179999999999</v>
      </c>
      <c r="G82" s="64"/>
      <c r="H82" s="24">
        <f>VLOOKUP(B82,[1]!Table3[[Part Number]:[Annual]],5,0)</f>
        <v>159.97999999999999</v>
      </c>
      <c r="I82" s="25">
        <f t="shared" si="1"/>
        <v>2879.64</v>
      </c>
    </row>
    <row r="83" spans="2:9" x14ac:dyDescent="0.25">
      <c r="B83" s="58" t="s">
        <v>87</v>
      </c>
      <c r="C83" s="54" t="str">
        <f>VLOOKUP(B83,[1]!Table3[[Part Number]:[Annual]],2,0)</f>
        <v xml:space="preserve">HITACHI ZX290LC-5 (1FF) HITACHI ZX290LC-5 (1FF) (2) HITACHI ZX290LC-5 (1FF) (3)        </v>
      </c>
      <c r="D83" s="54" t="str">
        <f>VLOOKUP(B83,[1]!Table3[[Part Number]:[Annual]],3,0)</f>
        <v>FUEL FILTER</v>
      </c>
      <c r="E83" s="54">
        <f>VLOOKUP(B83,[1]!Table3[[Part Number]:[Annual]],11,0)</f>
        <v>15</v>
      </c>
      <c r="F83" s="63">
        <f>VLOOKUP(B83,[1]!Table3[[Part Number]:[Annual]],4,0)</f>
        <v>47.306399999999996</v>
      </c>
      <c r="G83" s="64"/>
      <c r="H83" s="24">
        <f>VLOOKUP(B83,[1]!Table3[[Part Number]:[Annual]],5,0)</f>
        <v>23.65</v>
      </c>
      <c r="I83" s="25">
        <f t="shared" si="1"/>
        <v>354.75</v>
      </c>
    </row>
    <row r="84" spans="2:9" x14ac:dyDescent="0.25">
      <c r="B84" s="58" t="s">
        <v>60</v>
      </c>
      <c r="C84" s="54" t="str">
        <f>VLOOKUP(B84,[1]!Table3[[Part Number]:[Annual]],2,0)</f>
        <v xml:space="preserve">HITACHI ZX290LC-5 (1FF) HITACHI ZX290LC-5 (1FF) (2) HITACHI ZX290LC-5 (1FF) (3)        </v>
      </c>
      <c r="D84" s="54" t="str">
        <f>VLOOKUP(B84,[1]!Table3[[Part Number]:[Annual]],3,0)</f>
        <v>CRANKSHAFT</v>
      </c>
      <c r="E84" s="54">
        <f>VLOOKUP(B84,[1]!Table3[[Part Number]:[Annual]],11,0)</f>
        <v>3</v>
      </c>
      <c r="F84" s="63">
        <f>VLOOKUP(B84,[1]!Table3[[Part Number]:[Annual]],4,0)</f>
        <v>5593.070999999999</v>
      </c>
      <c r="G84" s="64"/>
      <c r="H84" s="24">
        <f>VLOOKUP(B84,[1]!Table3[[Part Number]:[Annual]],5,0)</f>
        <v>2796.54</v>
      </c>
      <c r="I84" s="25">
        <f t="shared" si="1"/>
        <v>8389.6200000000008</v>
      </c>
    </row>
    <row r="85" spans="2:9" x14ac:dyDescent="0.25">
      <c r="B85" s="58" t="s">
        <v>88</v>
      </c>
      <c r="C85" s="54" t="str">
        <f>VLOOKUP(B85,[1]!Table3[[Part Number]:[Annual]],2,0)</f>
        <v xml:space="preserve">HITACHI ZX290LC-5 (1FF) HITACHI ZX290LC-5 (1FF) (2) HITACHI ZX290LC-5 (1FF) (3)        </v>
      </c>
      <c r="D85" s="54" t="str">
        <f>VLOOKUP(B85,[1]!Table3[[Part Number]:[Annual]],3,0)</f>
        <v>FUEL FILTER</v>
      </c>
      <c r="E85" s="54">
        <f>VLOOKUP(B85,[1]!Table3[[Part Number]:[Annual]],11,0)</f>
        <v>15</v>
      </c>
      <c r="F85" s="63">
        <f>VLOOKUP(B85,[1]!Table3[[Part Number]:[Annual]],4,0)</f>
        <v>41.110199999999999</v>
      </c>
      <c r="G85" s="64"/>
      <c r="H85" s="24">
        <f>VLOOKUP(B85,[1]!Table3[[Part Number]:[Annual]],5,0)</f>
        <v>20.56</v>
      </c>
      <c r="I85" s="25">
        <f t="shared" si="1"/>
        <v>308.39999999999998</v>
      </c>
    </row>
    <row r="86" spans="2:9" x14ac:dyDescent="0.25">
      <c r="B86" s="58" t="s">
        <v>111</v>
      </c>
      <c r="C86" s="54" t="str">
        <f>VLOOKUP(B86,[1]!Table3[[Part Number]:[Annual]],2,0)</f>
        <v xml:space="preserve">HITACHI ZX290LC-5 (1FF) HITACHI ZX290LC-5 (1FF) (2) HITACHI ZX290LC-5 (1FF) (3)        </v>
      </c>
      <c r="D86" s="54" t="str">
        <f>VLOOKUP(B86,[1]!Table3[[Part Number]:[Annual]],3,0)</f>
        <v>TURBOCHARGER</v>
      </c>
      <c r="E86" s="54">
        <f>VLOOKUP(B86,[1]!Table3[[Part Number]:[Annual]],11,0)</f>
        <v>3</v>
      </c>
      <c r="F86" s="63">
        <f>VLOOKUP(B86,[1]!Table3[[Part Number]:[Annual]],4,0)</f>
        <v>2168.3801999999996</v>
      </c>
      <c r="G86" s="64"/>
      <c r="H86" s="24">
        <f>VLOOKUP(B86,[1]!Table3[[Part Number]:[Annual]],5,0)</f>
        <v>1084.19</v>
      </c>
      <c r="I86" s="25">
        <f t="shared" si="1"/>
        <v>3252.57</v>
      </c>
    </row>
    <row r="87" spans="2:9" x14ac:dyDescent="0.25">
      <c r="B87" s="58" t="s">
        <v>72</v>
      </c>
      <c r="C87" s="54" t="str">
        <f>VLOOKUP(B87,[1]!Table3[[Part Number]:[Annual]],2,0)</f>
        <v xml:space="preserve">HITACHI ZX290LC-5 (1FF) HITACHI ZX290LC-5 (1FF) (2) HITACHI ZX290LC-5 (1FF) (3)        </v>
      </c>
      <c r="D87" s="54" t="str">
        <f>VLOOKUP(B87,[1]!Table3[[Part Number]:[Annual]],3,0)</f>
        <v>PRIMARY AIR FILTER</v>
      </c>
      <c r="E87" s="54">
        <f>VLOOKUP(B87,[1]!Table3[[Part Number]:[Annual]],11,0)</f>
        <v>9</v>
      </c>
      <c r="F87" s="63">
        <f>VLOOKUP(B87,[1]!Table3[[Part Number]:[Annual]],4,0)</f>
        <v>236.93219999999997</v>
      </c>
      <c r="G87" s="64"/>
      <c r="H87" s="24">
        <f>VLOOKUP(B87,[1]!Table3[[Part Number]:[Annual]],5,0)</f>
        <v>154.01</v>
      </c>
      <c r="I87" s="25">
        <f t="shared" si="1"/>
        <v>1386.09</v>
      </c>
    </row>
    <row r="88" spans="2:9" x14ac:dyDescent="0.25">
      <c r="B88" s="58" t="s">
        <v>73</v>
      </c>
      <c r="C88" s="54" t="str">
        <f>VLOOKUP(B88,[1]!Table3[[Part Number]:[Annual]],2,0)</f>
        <v xml:space="preserve">JD 470GLC (1FF) HITACHI 470GLC (HCM)          </v>
      </c>
      <c r="D88" s="54" t="str">
        <f>VLOOKUP(B88,[1]!Table3[[Part Number]:[Annual]],3,0)</f>
        <v>SECONDARY AIR FILTER</v>
      </c>
      <c r="E88" s="54">
        <f>VLOOKUP(B88,[1]!Table3[[Part Number]:[Annual]],11,0)</f>
        <v>6</v>
      </c>
      <c r="F88" s="63">
        <f>VLOOKUP(B88,[1]!Table3[[Part Number]:[Annual]],4,0)</f>
        <v>119.32859999999999</v>
      </c>
      <c r="G88" s="64"/>
      <c r="H88" s="24">
        <f>VLOOKUP(B88,[1]!Table3[[Part Number]:[Annual]],5,0)</f>
        <v>77.56</v>
      </c>
      <c r="I88" s="25">
        <f t="shared" si="1"/>
        <v>465.36</v>
      </c>
    </row>
    <row r="89" spans="2:9" x14ac:dyDescent="0.25">
      <c r="B89" s="58" t="s">
        <v>53</v>
      </c>
      <c r="C89" s="54" t="str">
        <f>VLOOKUP(B89,[1]!Table3[[Part Number]:[Annual]],2,0)</f>
        <v xml:space="preserve">HITACHI ZX290LC-5 (1FF) HITACHI ZX290LC-5 (1FF) (2) HITACHI ZX290LC-5 (1FF) (3)        </v>
      </c>
      <c r="D89" s="54" t="str">
        <f>VLOOKUP(B89,[1]!Table3[[Part Number]:[Annual]],3,0)</f>
        <v>BATTERY 12V 1400 CCA</v>
      </c>
      <c r="E89" s="54">
        <f>VLOOKUP(B89,[1]!Table3[[Part Number]:[Annual]],11,0)</f>
        <v>6</v>
      </c>
      <c r="F89" s="63">
        <f>VLOOKUP(B89,[1]!Table3[[Part Number]:[Annual]],4,0)</f>
        <v>575.41859999999997</v>
      </c>
      <c r="G89" s="64"/>
      <c r="H89" s="24">
        <f>VLOOKUP(B89,[1]!Table3[[Part Number]:[Annual]],5,0)</f>
        <v>287.70999999999998</v>
      </c>
      <c r="I89" s="25">
        <f t="shared" si="1"/>
        <v>1726.26</v>
      </c>
    </row>
    <row r="90" spans="2:9" x14ac:dyDescent="0.25">
      <c r="B90" s="58" t="s">
        <v>54</v>
      </c>
      <c r="C90" s="54" t="str">
        <f>VLOOKUP(B90,[1]!Table3[[Part Number]:[Annual]],2,0)</f>
        <v xml:space="preserve">JD 470GLC (1FF) HITACHI 470GLC (HCM)          </v>
      </c>
      <c r="D90" s="54" t="str">
        <f>VLOOKUP(B90,[1]!Table3[[Part Number]:[Annual]],3,0)</f>
        <v>BATTERY 12V 1400 CCA</v>
      </c>
      <c r="E90" s="54">
        <f>VLOOKUP(B90,[1]!Table3[[Part Number]:[Annual]],11,0)</f>
        <v>4</v>
      </c>
      <c r="F90" s="63">
        <f>VLOOKUP(B90,[1]!Table3[[Part Number]:[Annual]],4,0)</f>
        <v>474.87180000000001</v>
      </c>
      <c r="G90" s="64"/>
      <c r="H90" s="24">
        <f>VLOOKUP(B90,[1]!Table3[[Part Number]:[Annual]],5,0)</f>
        <v>237.44</v>
      </c>
      <c r="I90" s="25">
        <f t="shared" si="1"/>
        <v>949.76</v>
      </c>
    </row>
    <row r="91" spans="2:9" x14ac:dyDescent="0.25">
      <c r="B91" s="58" t="s">
        <v>112</v>
      </c>
      <c r="C91" s="54" t="str">
        <f>VLOOKUP(B91,[1]!Table3[[Part Number]:[Annual]],2,0)</f>
        <v xml:space="preserve">HITACHI ZX290LC-5 (1FF) HITACHI ZX290LC-5 (1FF) (2) HITACHI ZX290LC-5 (1FF) (3)        </v>
      </c>
      <c r="D91" s="54" t="str">
        <f>VLOOKUP(B91,[1]!Table3[[Part Number]:[Annual]],3,0)</f>
        <v>GQP ZX290LC Complete UC KIT</v>
      </c>
      <c r="E91" s="54">
        <f>VLOOKUP(B91,[1]!Table3[[Part Number]:[Annual]],11,0)</f>
        <v>3</v>
      </c>
      <c r="F91" s="63">
        <f>VLOOKUP(B91,[1]!Table3[[Part Number]:[Annual]],4,0)</f>
        <v>74547.460000000006</v>
      </c>
      <c r="G91" s="64"/>
      <c r="H91" s="24">
        <f>VLOOKUP(B91,[1]!Table3[[Part Number]:[Annual]],5,0)</f>
        <v>29818.98</v>
      </c>
      <c r="I91" s="25">
        <f t="shared" si="1"/>
        <v>89456.94</v>
      </c>
    </row>
    <row r="92" spans="2:9" x14ac:dyDescent="0.25">
      <c r="B92" s="65"/>
      <c r="C92" s="65"/>
      <c r="D92" s="65"/>
      <c r="E92" s="65"/>
      <c r="F92" s="66"/>
      <c r="G92" s="23"/>
      <c r="H92" s="24"/>
      <c r="I92" s="25">
        <f t="shared" ref="I92:I102" si="2">ROUND(E92*H92,2)</f>
        <v>0</v>
      </c>
    </row>
    <row r="93" spans="2:9" x14ac:dyDescent="0.25">
      <c r="B93" s="65"/>
      <c r="C93" s="65"/>
      <c r="D93" s="65"/>
      <c r="E93" s="65"/>
      <c r="F93" s="66"/>
      <c r="G93" s="23"/>
      <c r="H93" s="24"/>
      <c r="I93" s="25">
        <f t="shared" si="2"/>
        <v>0</v>
      </c>
    </row>
    <row r="94" spans="2:9" x14ac:dyDescent="0.25">
      <c r="B94" s="65"/>
      <c r="C94" s="65"/>
      <c r="D94" s="65"/>
      <c r="E94" s="65"/>
      <c r="F94" s="66"/>
      <c r="G94" s="23"/>
      <c r="H94" s="24"/>
      <c r="I94" s="25">
        <f t="shared" si="2"/>
        <v>0</v>
      </c>
    </row>
    <row r="95" spans="2:9" x14ac:dyDescent="0.25">
      <c r="B95" s="65"/>
      <c r="C95" s="65"/>
      <c r="D95" s="65"/>
      <c r="E95" s="65"/>
      <c r="F95" s="66"/>
      <c r="G95" s="23"/>
      <c r="H95" s="24"/>
      <c r="I95" s="25">
        <f t="shared" si="2"/>
        <v>0</v>
      </c>
    </row>
    <row r="96" spans="2:9" x14ac:dyDescent="0.25">
      <c r="B96" s="65"/>
      <c r="C96" s="65"/>
      <c r="D96" s="65"/>
      <c r="E96" s="65"/>
      <c r="F96" s="66"/>
      <c r="G96" s="23"/>
      <c r="H96" s="24"/>
      <c r="I96" s="25">
        <f t="shared" si="2"/>
        <v>0</v>
      </c>
    </row>
    <row r="97" spans="2:14" x14ac:dyDescent="0.25">
      <c r="B97" s="65"/>
      <c r="C97" s="65"/>
      <c r="D97" s="65"/>
      <c r="E97" s="65"/>
      <c r="F97" s="66"/>
      <c r="G97" s="23"/>
      <c r="H97" s="24"/>
      <c r="I97" s="25">
        <f t="shared" si="2"/>
        <v>0</v>
      </c>
    </row>
    <row r="98" spans="2:14" x14ac:dyDescent="0.25">
      <c r="B98" s="65"/>
      <c r="C98" s="65"/>
      <c r="D98" s="65"/>
      <c r="E98" s="65"/>
      <c r="F98" s="66"/>
      <c r="G98" s="23"/>
      <c r="H98" s="24"/>
      <c r="I98" s="25">
        <f t="shared" si="2"/>
        <v>0</v>
      </c>
    </row>
    <row r="99" spans="2:14" x14ac:dyDescent="0.25">
      <c r="B99" s="65"/>
      <c r="C99" s="65"/>
      <c r="D99" s="65"/>
      <c r="E99" s="65"/>
      <c r="F99" s="66"/>
      <c r="G99" s="23"/>
      <c r="H99" s="24"/>
      <c r="I99" s="25">
        <f t="shared" si="2"/>
        <v>0</v>
      </c>
    </row>
    <row r="100" spans="2:14" x14ac:dyDescent="0.25">
      <c r="B100" s="21"/>
      <c r="C100" s="52"/>
      <c r="D100" s="21"/>
      <c r="E100" s="22"/>
      <c r="F100" s="23"/>
      <c r="G100" s="23"/>
      <c r="H100" s="24"/>
      <c r="I100" s="25">
        <f t="shared" si="2"/>
        <v>0</v>
      </c>
    </row>
    <row r="101" spans="2:14" x14ac:dyDescent="0.25">
      <c r="B101" s="21"/>
      <c r="C101" s="52"/>
      <c r="D101" s="21"/>
      <c r="E101" s="22"/>
      <c r="F101" s="23"/>
      <c r="G101" s="23"/>
      <c r="H101" s="24"/>
      <c r="I101" s="25">
        <f t="shared" si="2"/>
        <v>0</v>
      </c>
    </row>
    <row r="102" spans="2:14" x14ac:dyDescent="0.25">
      <c r="B102" s="21"/>
      <c r="C102" s="52"/>
      <c r="D102" s="21"/>
      <c r="E102" s="22"/>
      <c r="F102" s="23"/>
      <c r="G102" s="23"/>
      <c r="H102" s="24"/>
      <c r="I102" s="25">
        <f t="shared" si="2"/>
        <v>0</v>
      </c>
    </row>
    <row r="103" spans="2:14" x14ac:dyDescent="0.25">
      <c r="B103" s="75"/>
      <c r="C103" s="76"/>
      <c r="D103" s="76"/>
      <c r="E103" s="76"/>
      <c r="F103" s="77"/>
      <c r="G103" s="26"/>
      <c r="H103" s="27" t="s">
        <v>16</v>
      </c>
      <c r="I103" s="28">
        <f>SUM(I15:I102)</f>
        <v>1554016.9600000002</v>
      </c>
    </row>
    <row r="104" spans="2:14" x14ac:dyDescent="0.25">
      <c r="B104" s="29"/>
      <c r="C104" s="30"/>
      <c r="D104" s="31" t="s">
        <v>17</v>
      </c>
      <c r="E104" s="78">
        <f>SUM(G15:G102)</f>
        <v>0</v>
      </c>
      <c r="F104" s="79"/>
      <c r="G104" s="32"/>
      <c r="H104" s="27" t="s">
        <v>18</v>
      </c>
      <c r="I104" s="33">
        <v>0</v>
      </c>
      <c r="N104" s="46"/>
    </row>
    <row r="105" spans="2:14" x14ac:dyDescent="0.25">
      <c r="B105" s="29"/>
      <c r="C105" s="30"/>
      <c r="D105" s="31" t="s">
        <v>19</v>
      </c>
      <c r="E105" s="78">
        <f>SUM(I15:I102)</f>
        <v>1554016.9600000002</v>
      </c>
      <c r="F105" s="79"/>
      <c r="G105" s="32"/>
      <c r="H105" s="34" t="s">
        <v>20</v>
      </c>
      <c r="I105" s="33">
        <v>0</v>
      </c>
      <c r="N105" s="46"/>
    </row>
    <row r="106" spans="2:14" x14ac:dyDescent="0.25">
      <c r="B106" s="29"/>
      <c r="C106" s="30"/>
      <c r="D106" s="31" t="s">
        <v>21</v>
      </c>
      <c r="E106" s="88">
        <f>E104-E105</f>
        <v>-1554016.9600000002</v>
      </c>
      <c r="F106" s="89"/>
      <c r="G106" s="35"/>
      <c r="H106" s="27" t="s">
        <v>22</v>
      </c>
      <c r="I106" s="36">
        <f>SUM(I103:I105)</f>
        <v>1554016.9600000002</v>
      </c>
      <c r="N106" s="46"/>
    </row>
    <row r="107" spans="2:14" x14ac:dyDescent="0.25">
      <c r="B107" s="29"/>
      <c r="C107" s="30"/>
      <c r="D107" s="31"/>
      <c r="E107" s="90"/>
      <c r="F107" s="91"/>
      <c r="G107" s="37"/>
      <c r="H107" s="27" t="s">
        <v>23</v>
      </c>
      <c r="I107" s="36">
        <f>I106*0.05</f>
        <v>77700.848000000013</v>
      </c>
      <c r="N107" s="46"/>
    </row>
    <row r="108" spans="2:14" x14ac:dyDescent="0.25">
      <c r="B108" s="29"/>
      <c r="C108" s="30"/>
      <c r="D108" s="38"/>
      <c r="E108" s="38"/>
      <c r="F108" s="39"/>
      <c r="G108" s="39"/>
      <c r="H108" s="27" t="s">
        <v>24</v>
      </c>
      <c r="I108" s="33"/>
      <c r="N108" s="46"/>
    </row>
    <row r="109" spans="2:14" ht="15.75" x14ac:dyDescent="0.25">
      <c r="B109" s="85" t="s">
        <v>25</v>
      </c>
      <c r="C109" s="86"/>
      <c r="D109" s="86"/>
      <c r="E109" s="86"/>
      <c r="F109" s="87"/>
      <c r="G109" s="40"/>
      <c r="H109" s="41" t="s">
        <v>26</v>
      </c>
      <c r="I109" s="42">
        <f>SUM(I106:I108)</f>
        <v>1631717.8080000002</v>
      </c>
      <c r="N109" s="46"/>
    </row>
    <row r="110" spans="2:14" x14ac:dyDescent="0.25">
      <c r="I110" s="46"/>
      <c r="N110" s="46"/>
    </row>
    <row r="111" spans="2:14" x14ac:dyDescent="0.25">
      <c r="I111" s="46"/>
      <c r="N111" s="46"/>
    </row>
    <row r="112" spans="2:14" x14ac:dyDescent="0.25">
      <c r="I112" s="46"/>
      <c r="N112" s="46"/>
    </row>
    <row r="113" spans="9:14" x14ac:dyDescent="0.25">
      <c r="I113" s="46"/>
      <c r="M113" s="67"/>
      <c r="N113" s="46"/>
    </row>
    <row r="114" spans="9:14" x14ac:dyDescent="0.25">
      <c r="I114" s="46"/>
    </row>
    <row r="115" spans="9:14" x14ac:dyDescent="0.25">
      <c r="I115" s="46"/>
    </row>
    <row r="116" spans="9:14" x14ac:dyDescent="0.25">
      <c r="I116" s="46"/>
    </row>
    <row r="117" spans="9:14" x14ac:dyDescent="0.25">
      <c r="I117" s="46"/>
    </row>
    <row r="118" spans="9:14" x14ac:dyDescent="0.25">
      <c r="I118" s="46"/>
    </row>
    <row r="119" spans="9:14" x14ac:dyDescent="0.25">
      <c r="I119" s="46"/>
    </row>
    <row r="120" spans="9:14" x14ac:dyDescent="0.25">
      <c r="I120" s="46"/>
    </row>
    <row r="121" spans="9:14" x14ac:dyDescent="0.25">
      <c r="I121" s="46"/>
    </row>
    <row r="122" spans="9:14" x14ac:dyDescent="0.25">
      <c r="I122" s="46"/>
    </row>
    <row r="123" spans="9:14" x14ac:dyDescent="0.25">
      <c r="I123" s="46"/>
    </row>
  </sheetData>
  <autoFilter ref="B14:I109" xr:uid="{AD999A5F-9A85-49B2-A032-166145993CC7}"/>
  <mergeCells count="25">
    <mergeCell ref="B109:F109"/>
    <mergeCell ref="F13:I13"/>
    <mergeCell ref="B103:F103"/>
    <mergeCell ref="E104:F104"/>
    <mergeCell ref="E105:F105"/>
    <mergeCell ref="E106:F106"/>
    <mergeCell ref="E107:F107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A8376-DD3C-4FED-B721-B7ABE66EF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MOQ Batteries</vt:lpstr>
      <vt:lpstr>MOQ Engines</vt:lpstr>
      <vt:lpstr>MOQ Filters Q1</vt:lpstr>
      <vt:lpstr>MOQ Filters Q2</vt:lpstr>
      <vt:lpstr>MOQ Filters Q3</vt:lpstr>
      <vt:lpstr>MOQ Filters Q4</vt:lpstr>
      <vt:lpstr>MOQ GET</vt:lpstr>
      <vt:lpstr>MOQ Injector</vt:lpstr>
      <vt:lpstr>MOQ Turbos</vt:lpstr>
      <vt:lpstr>UC</vt:lpstr>
      <vt:lpstr>MOQ Grand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procurement globalmachineryauctions.com</cp:lastModifiedBy>
  <cp:lastPrinted>2024-06-05T20:54:10Z</cp:lastPrinted>
  <dcterms:created xsi:type="dcterms:W3CDTF">2024-03-27T02:49:14Z</dcterms:created>
  <dcterms:modified xsi:type="dcterms:W3CDTF">2025-09-15T21:21:14Z</dcterms:modified>
</cp:coreProperties>
</file>