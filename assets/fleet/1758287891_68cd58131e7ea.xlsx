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1970E79D-1542-418D-887D-C64F98739931}" xr6:coauthVersionLast="47" xr6:coauthVersionMax="47" xr10:uidLastSave="{00000000-0000-0000-0000-000000000000}"/>
  <bookViews>
    <workbookView xWindow="-120" yWindow="-120" windowWidth="20640" windowHeight="11160" tabRatio="897" firstSheet="4" activeTab="12" xr2:uid="{EAC116F2-D257-4308-B3E1-626B33CB1430}"/>
  </bookViews>
  <sheets>
    <sheet name="MOQ Batteries" sheetId="47" r:id="rId1"/>
    <sheet name="MOQ Engine" sheetId="61" r:id="rId2"/>
    <sheet name="MOQ Filters Q1" sheetId="48" r:id="rId3"/>
    <sheet name="MOQ Filters Q2" sheetId="63" r:id="rId4"/>
    <sheet name="MOQ Filters Q3" sheetId="64" r:id="rId5"/>
    <sheet name="MOQ Filters Q4" sheetId="65" r:id="rId6"/>
    <sheet name="MOQ GET Parts" sheetId="66" r:id="rId7"/>
    <sheet name="MOQ Injectors" sheetId="53" r:id="rId8"/>
    <sheet name="MOQ Seats" sheetId="55" state="hidden" r:id="rId9"/>
    <sheet name="MOQ Tires" sheetId="67" r:id="rId10"/>
    <sheet name="MOQ Turbos" sheetId="56" r:id="rId11"/>
    <sheet name="MOQ Undercarriages" sheetId="62" r:id="rId12"/>
    <sheet name="MOQ Grand Total" sheetId="58" r:id="rId13"/>
  </sheets>
  <externalReferences>
    <externalReference r:id="rId14"/>
  </externalReferences>
  <definedNames>
    <definedName name="_xlnm._FilterDatabase" localSheetId="0" hidden="1">'MOQ Batteries'!$B$14:$I$74</definedName>
    <definedName name="_xlnm._FilterDatabase" localSheetId="1" hidden="1">'MOQ Engine'!$B$14:$I$90</definedName>
    <definedName name="_xlnm._FilterDatabase" localSheetId="7" hidden="1">'MOQ Injectors'!$B$14:$I$73</definedName>
    <definedName name="_xlnm._FilterDatabase" localSheetId="8" hidden="1">'MOQ Seats'!$B$14:$I$63</definedName>
    <definedName name="_xlnm._FilterDatabase" localSheetId="9" hidden="1">'MOQ Tires'!$B$14:$I$63</definedName>
    <definedName name="_xlnm._FilterDatabase" localSheetId="10" hidden="1">'MOQ Turbos'!$B$14:$I$77</definedName>
    <definedName name="_xlnm._FilterDatabase" localSheetId="11" hidden="1">'MOQ Undercarriages'!$B$14:$I$75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65" l="1"/>
  <c r="E18" i="65"/>
  <c r="E19" i="65"/>
  <c r="E20" i="65"/>
  <c r="E21" i="65"/>
  <c r="E22" i="65"/>
  <c r="E23" i="65"/>
  <c r="E24" i="65"/>
  <c r="E25" i="65"/>
  <c r="E26" i="65"/>
  <c r="E27" i="65"/>
  <c r="E28" i="65"/>
  <c r="E29" i="65"/>
  <c r="E30" i="65"/>
  <c r="E31" i="65"/>
  <c r="E32" i="65"/>
  <c r="E33" i="65"/>
  <c r="E34" i="65"/>
  <c r="E35" i="65"/>
  <c r="E36" i="65"/>
  <c r="E37" i="65"/>
  <c r="E38" i="65"/>
  <c r="E39" i="65"/>
  <c r="E40" i="65"/>
  <c r="E41" i="65"/>
  <c r="E42" i="65"/>
  <c r="E43" i="65"/>
  <c r="E44" i="65"/>
  <c r="E45" i="65"/>
  <c r="E46" i="65"/>
  <c r="E47" i="65"/>
  <c r="E48" i="65"/>
  <c r="E49" i="65"/>
  <c r="E50" i="65"/>
  <c r="E51" i="65"/>
  <c r="E52" i="65"/>
  <c r="E53" i="65"/>
  <c r="E54" i="65"/>
  <c r="E55" i="65"/>
  <c r="E56" i="65"/>
  <c r="E57" i="65"/>
  <c r="E58" i="65"/>
  <c r="E59" i="65"/>
  <c r="E60" i="65"/>
  <c r="E61" i="65"/>
  <c r="E62" i="65"/>
  <c r="E63" i="65"/>
  <c r="E64" i="65"/>
  <c r="E65" i="65"/>
  <c r="E66" i="65"/>
  <c r="E67" i="65"/>
  <c r="E68" i="65"/>
  <c r="E69" i="65"/>
  <c r="E70" i="65"/>
  <c r="E71" i="65"/>
  <c r="E72" i="65"/>
  <c r="E73" i="65"/>
  <c r="E74" i="65"/>
  <c r="E75" i="65"/>
  <c r="E76" i="65"/>
  <c r="E77" i="65"/>
  <c r="E78" i="65"/>
  <c r="E79" i="65"/>
  <c r="E80" i="65"/>
  <c r="E81" i="65"/>
  <c r="E82" i="65"/>
  <c r="E83" i="65"/>
  <c r="E84" i="65"/>
  <c r="E85" i="65"/>
  <c r="E86" i="65"/>
  <c r="E87" i="65"/>
  <c r="E88" i="65"/>
  <c r="E89" i="65"/>
  <c r="E90" i="65"/>
  <c r="E91" i="65"/>
  <c r="E92" i="65"/>
  <c r="E93" i="65"/>
  <c r="E94" i="65"/>
  <c r="E95" i="65"/>
  <c r="E96" i="65"/>
  <c r="E97" i="65"/>
  <c r="E98" i="65"/>
  <c r="E99" i="65"/>
  <c r="E100" i="65"/>
  <c r="E101" i="65"/>
  <c r="E102" i="65"/>
  <c r="E103" i="65"/>
  <c r="E104" i="65"/>
  <c r="E105" i="65"/>
  <c r="E106" i="65"/>
  <c r="E107" i="65"/>
  <c r="E108" i="65"/>
  <c r="E109" i="65"/>
  <c r="E110" i="65"/>
  <c r="E111" i="65"/>
  <c r="E112" i="65"/>
  <c r="E113" i="65"/>
  <c r="E114" i="65"/>
  <c r="E115" i="65"/>
  <c r="E116" i="65"/>
  <c r="E117" i="65"/>
  <c r="E118" i="65"/>
  <c r="E119" i="65"/>
  <c r="E120" i="65"/>
  <c r="E121" i="65"/>
  <c r="E122" i="65"/>
  <c r="E16" i="65"/>
  <c r="E15" i="65"/>
  <c r="E15" i="48"/>
  <c r="E17" i="64"/>
  <c r="E18" i="64"/>
  <c r="E19" i="64"/>
  <c r="E20" i="64"/>
  <c r="E21" i="64"/>
  <c r="E22" i="64"/>
  <c r="E23" i="64"/>
  <c r="E24" i="64"/>
  <c r="E25" i="64"/>
  <c r="E26" i="64"/>
  <c r="E27" i="64"/>
  <c r="E28" i="64"/>
  <c r="E29" i="64"/>
  <c r="E30" i="64"/>
  <c r="E31" i="64"/>
  <c r="E32" i="64"/>
  <c r="E33" i="64"/>
  <c r="E34" i="64"/>
  <c r="E35" i="64"/>
  <c r="E36" i="64"/>
  <c r="E37" i="64"/>
  <c r="E38" i="64"/>
  <c r="E39" i="64"/>
  <c r="E40" i="64"/>
  <c r="E41" i="64"/>
  <c r="E42" i="64"/>
  <c r="E43" i="64"/>
  <c r="E44" i="64"/>
  <c r="E45" i="64"/>
  <c r="E46" i="64"/>
  <c r="E47" i="64"/>
  <c r="E48" i="64"/>
  <c r="E49" i="64"/>
  <c r="E50" i="64"/>
  <c r="E51" i="64"/>
  <c r="E52" i="64"/>
  <c r="E53" i="64"/>
  <c r="E54" i="64"/>
  <c r="E55" i="64"/>
  <c r="E56" i="64"/>
  <c r="E57" i="64"/>
  <c r="E58" i="64"/>
  <c r="E59" i="64"/>
  <c r="E60" i="64"/>
  <c r="E61" i="64"/>
  <c r="E62" i="64"/>
  <c r="E63" i="64"/>
  <c r="E64" i="64"/>
  <c r="E65" i="64"/>
  <c r="E66" i="64"/>
  <c r="E67" i="64"/>
  <c r="E68" i="64"/>
  <c r="E69" i="64"/>
  <c r="E70" i="64"/>
  <c r="E71" i="64"/>
  <c r="E72" i="64"/>
  <c r="E73" i="64"/>
  <c r="E74" i="64"/>
  <c r="E75" i="64"/>
  <c r="E76" i="64"/>
  <c r="E77" i="64"/>
  <c r="E78" i="64"/>
  <c r="E79" i="64"/>
  <c r="E80" i="64"/>
  <c r="E81" i="64"/>
  <c r="E82" i="64"/>
  <c r="E83" i="64"/>
  <c r="E84" i="64"/>
  <c r="E85" i="64"/>
  <c r="E86" i="64"/>
  <c r="E87" i="64"/>
  <c r="E88" i="64"/>
  <c r="E89" i="64"/>
  <c r="E90" i="64"/>
  <c r="E91" i="64"/>
  <c r="E92" i="64"/>
  <c r="E93" i="64"/>
  <c r="E94" i="64"/>
  <c r="E95" i="64"/>
  <c r="E96" i="64"/>
  <c r="E97" i="64"/>
  <c r="E98" i="64"/>
  <c r="E99" i="64"/>
  <c r="E100" i="64"/>
  <c r="E101" i="64"/>
  <c r="E102" i="64"/>
  <c r="E103" i="64"/>
  <c r="E104" i="64"/>
  <c r="E105" i="64"/>
  <c r="E106" i="64"/>
  <c r="E107" i="64"/>
  <c r="E108" i="64"/>
  <c r="E109" i="64"/>
  <c r="E110" i="64"/>
  <c r="E111" i="64"/>
  <c r="E112" i="64"/>
  <c r="E113" i="64"/>
  <c r="E114" i="64"/>
  <c r="E115" i="64"/>
  <c r="E116" i="64"/>
  <c r="E117" i="64"/>
  <c r="E118" i="64"/>
  <c r="E119" i="64"/>
  <c r="E120" i="64"/>
  <c r="E121" i="64"/>
  <c r="E122" i="64"/>
  <c r="E17" i="63"/>
  <c r="E18" i="63"/>
  <c r="E19" i="63"/>
  <c r="E20" i="63"/>
  <c r="E21" i="63"/>
  <c r="E22" i="63"/>
  <c r="E23" i="63"/>
  <c r="E24" i="63"/>
  <c r="E25" i="63"/>
  <c r="E26" i="63"/>
  <c r="E27" i="63"/>
  <c r="E28" i="63"/>
  <c r="E29" i="63"/>
  <c r="E30" i="63"/>
  <c r="E31" i="63"/>
  <c r="E32" i="63"/>
  <c r="E33" i="63"/>
  <c r="E34" i="63"/>
  <c r="E35" i="63"/>
  <c r="E36" i="63"/>
  <c r="E37" i="63"/>
  <c r="E38" i="63"/>
  <c r="E39" i="63"/>
  <c r="E40" i="63"/>
  <c r="E41" i="63"/>
  <c r="E42" i="63"/>
  <c r="E43" i="63"/>
  <c r="E44" i="63"/>
  <c r="E45" i="63"/>
  <c r="E46" i="63"/>
  <c r="E47" i="63"/>
  <c r="E48" i="63"/>
  <c r="E49" i="63"/>
  <c r="E50" i="63"/>
  <c r="E51" i="63"/>
  <c r="E52" i="63"/>
  <c r="E53" i="63"/>
  <c r="E54" i="63"/>
  <c r="E55" i="63"/>
  <c r="E56" i="63"/>
  <c r="E57" i="63"/>
  <c r="E58" i="63"/>
  <c r="E59" i="63"/>
  <c r="E60" i="63"/>
  <c r="E61" i="63"/>
  <c r="E62" i="63"/>
  <c r="E63" i="63"/>
  <c r="E64" i="63"/>
  <c r="E65" i="63"/>
  <c r="E66" i="63"/>
  <c r="E67" i="63"/>
  <c r="E68" i="63"/>
  <c r="E69" i="63"/>
  <c r="E70" i="63"/>
  <c r="E71" i="63"/>
  <c r="E72" i="63"/>
  <c r="E73" i="63"/>
  <c r="E74" i="63"/>
  <c r="E75" i="63"/>
  <c r="E76" i="63"/>
  <c r="E77" i="63"/>
  <c r="E78" i="63"/>
  <c r="E79" i="63"/>
  <c r="E80" i="63"/>
  <c r="E81" i="63"/>
  <c r="E82" i="63"/>
  <c r="E83" i="63"/>
  <c r="E84" i="63"/>
  <c r="E85" i="63"/>
  <c r="E86" i="63"/>
  <c r="E87" i="63"/>
  <c r="E88" i="63"/>
  <c r="E89" i="63"/>
  <c r="E90" i="63"/>
  <c r="E91" i="63"/>
  <c r="E92" i="63"/>
  <c r="E93" i="63"/>
  <c r="E94" i="63"/>
  <c r="E95" i="63"/>
  <c r="E96" i="63"/>
  <c r="E97" i="63"/>
  <c r="E98" i="63"/>
  <c r="E99" i="63"/>
  <c r="E100" i="63"/>
  <c r="E101" i="63"/>
  <c r="E102" i="63"/>
  <c r="E103" i="63"/>
  <c r="E104" i="63"/>
  <c r="E105" i="63"/>
  <c r="E106" i="63"/>
  <c r="E107" i="63"/>
  <c r="E108" i="63"/>
  <c r="E109" i="63"/>
  <c r="E110" i="63"/>
  <c r="E111" i="63"/>
  <c r="E112" i="63"/>
  <c r="E113" i="63"/>
  <c r="E114" i="63"/>
  <c r="E115" i="63"/>
  <c r="E116" i="63"/>
  <c r="E117" i="63"/>
  <c r="E118" i="63"/>
  <c r="E119" i="63"/>
  <c r="E120" i="63"/>
  <c r="E121" i="63"/>
  <c r="E122" i="63"/>
  <c r="I123" i="63"/>
  <c r="I124" i="63"/>
  <c r="I125" i="63"/>
  <c r="I126" i="63"/>
  <c r="I127" i="63"/>
  <c r="I123" i="48"/>
  <c r="I124" i="48"/>
  <c r="I125" i="48"/>
  <c r="I126" i="48"/>
  <c r="I127" i="48"/>
  <c r="I128" i="48"/>
  <c r="I263" i="58" l="1"/>
  <c r="I264" i="58"/>
  <c r="I265" i="58"/>
  <c r="I17" i="67"/>
  <c r="I18" i="67"/>
  <c r="I19" i="67"/>
  <c r="I20" i="67"/>
  <c r="I56" i="67"/>
  <c r="I55" i="67"/>
  <c r="I54" i="67"/>
  <c r="I53" i="67"/>
  <c r="I52" i="67"/>
  <c r="I51" i="67"/>
  <c r="I50" i="67"/>
  <c r="I49" i="67"/>
  <c r="I48" i="67"/>
  <c r="I47" i="67"/>
  <c r="I46" i="67"/>
  <c r="I45" i="67"/>
  <c r="I44" i="67"/>
  <c r="I43" i="67"/>
  <c r="I42" i="67"/>
  <c r="I41" i="67"/>
  <c r="I40" i="67"/>
  <c r="I39" i="67"/>
  <c r="I38" i="67"/>
  <c r="I37" i="67"/>
  <c r="I36" i="67"/>
  <c r="I35" i="67"/>
  <c r="I34" i="67"/>
  <c r="I33" i="67"/>
  <c r="I32" i="67"/>
  <c r="I31" i="67"/>
  <c r="I30" i="67"/>
  <c r="I29" i="67"/>
  <c r="I28" i="67"/>
  <c r="I27" i="67"/>
  <c r="I26" i="67"/>
  <c r="I25" i="67"/>
  <c r="I24" i="67"/>
  <c r="I23" i="67"/>
  <c r="I22" i="67"/>
  <c r="I21" i="67"/>
  <c r="G18" i="67"/>
  <c r="I30" i="62"/>
  <c r="I31" i="62"/>
  <c r="I32" i="62"/>
  <c r="I33" i="56"/>
  <c r="I34" i="56"/>
  <c r="I27" i="53"/>
  <c r="I28" i="53"/>
  <c r="I29" i="53"/>
  <c r="I30" i="53"/>
  <c r="I70" i="66"/>
  <c r="I71" i="66"/>
  <c r="I72" i="66"/>
  <c r="I73" i="66"/>
  <c r="I74" i="66"/>
  <c r="I75" i="66"/>
  <c r="I76" i="66"/>
  <c r="I129" i="65"/>
  <c r="I128" i="65"/>
  <c r="I127" i="65"/>
  <c r="I126" i="65"/>
  <c r="I125" i="65"/>
  <c r="I124" i="65"/>
  <c r="I123" i="65"/>
  <c r="I129" i="64"/>
  <c r="I128" i="64"/>
  <c r="I127" i="64"/>
  <c r="I126" i="64"/>
  <c r="I125" i="64"/>
  <c r="I124" i="64"/>
  <c r="I123" i="64"/>
  <c r="I129" i="63"/>
  <c r="I128" i="63"/>
  <c r="I129" i="48"/>
  <c r="I29" i="47"/>
  <c r="I68" i="62"/>
  <c r="I67" i="62"/>
  <c r="I66" i="62"/>
  <c r="I65" i="62"/>
  <c r="I64" i="62"/>
  <c r="I63" i="62"/>
  <c r="I62" i="62"/>
  <c r="I61" i="62"/>
  <c r="I60" i="62"/>
  <c r="I59" i="62"/>
  <c r="I58" i="62"/>
  <c r="I57" i="62"/>
  <c r="I56" i="62"/>
  <c r="I55" i="62"/>
  <c r="I54" i="62"/>
  <c r="I53" i="62"/>
  <c r="I52" i="62"/>
  <c r="I51" i="62"/>
  <c r="I50" i="62"/>
  <c r="I49" i="62"/>
  <c r="I48" i="62"/>
  <c r="I47" i="62"/>
  <c r="I46" i="62"/>
  <c r="I45" i="62"/>
  <c r="I44" i="62"/>
  <c r="I43" i="62"/>
  <c r="I42" i="62"/>
  <c r="I41" i="62"/>
  <c r="I40" i="62"/>
  <c r="I39" i="62"/>
  <c r="I38" i="62"/>
  <c r="I37" i="62"/>
  <c r="I36" i="62"/>
  <c r="I35" i="62"/>
  <c r="I34" i="62"/>
  <c r="I33" i="62"/>
  <c r="H12" i="62"/>
  <c r="C12" i="62"/>
  <c r="H11" i="62"/>
  <c r="C11" i="62"/>
  <c r="H10" i="62"/>
  <c r="C10" i="62"/>
  <c r="H9" i="62"/>
  <c r="C9" i="62"/>
  <c r="H8" i="62"/>
  <c r="C8" i="62"/>
  <c r="I7" i="62"/>
  <c r="F7" i="62"/>
  <c r="H9" i="56" l="1"/>
  <c r="H10" i="56"/>
  <c r="H11" i="56"/>
  <c r="H12" i="56"/>
  <c r="H8" i="56"/>
  <c r="I7" i="56"/>
  <c r="F7" i="56"/>
  <c r="C8" i="56"/>
  <c r="C9" i="56"/>
  <c r="C10" i="56"/>
  <c r="C11" i="56"/>
  <c r="C12" i="56"/>
  <c r="I83" i="61"/>
  <c r="I82" i="61"/>
  <c r="I81" i="61"/>
  <c r="I80" i="61"/>
  <c r="I79" i="61"/>
  <c r="I78" i="61"/>
  <c r="I77" i="61"/>
  <c r="I76" i="61"/>
  <c r="I75" i="61"/>
  <c r="I74" i="61"/>
  <c r="I73" i="61"/>
  <c r="I72" i="61"/>
  <c r="I71" i="61"/>
  <c r="I70" i="61"/>
  <c r="I69" i="61"/>
  <c r="I68" i="61"/>
  <c r="I67" i="61"/>
  <c r="I66" i="61"/>
  <c r="I65" i="61"/>
  <c r="I64" i="61"/>
  <c r="I63" i="61"/>
  <c r="I62" i="61"/>
  <c r="I61" i="61"/>
  <c r="I60" i="61"/>
  <c r="I59" i="61"/>
  <c r="I58" i="61"/>
  <c r="I57" i="61"/>
  <c r="I56" i="61"/>
  <c r="I55" i="61"/>
  <c r="I54" i="61"/>
  <c r="I53" i="61"/>
  <c r="I52" i="61"/>
  <c r="I51" i="61"/>
  <c r="I50" i="61"/>
  <c r="I49" i="61"/>
  <c r="I48" i="61"/>
  <c r="I47" i="61"/>
  <c r="I46" i="61"/>
  <c r="I35" i="56"/>
  <c r="G20" i="55"/>
  <c r="G21" i="55"/>
  <c r="I33" i="53"/>
  <c r="I34" i="53"/>
  <c r="I37" i="53"/>
  <c r="I21" i="55"/>
  <c r="G22" i="55"/>
  <c r="I70" i="56"/>
  <c r="I69" i="56"/>
  <c r="I68" i="56"/>
  <c r="I67" i="56"/>
  <c r="I66" i="56"/>
  <c r="I65" i="56"/>
  <c r="I64" i="56"/>
  <c r="I63" i="56"/>
  <c r="I62" i="56"/>
  <c r="I61" i="56"/>
  <c r="I60" i="56"/>
  <c r="I59" i="56"/>
  <c r="I58" i="56"/>
  <c r="I57" i="56"/>
  <c r="I56" i="56"/>
  <c r="I55" i="56"/>
  <c r="I54" i="56"/>
  <c r="I53" i="56"/>
  <c r="I52" i="56"/>
  <c r="I51" i="56"/>
  <c r="I50" i="56"/>
  <c r="I49" i="56"/>
  <c r="I48" i="56"/>
  <c r="I47" i="56"/>
  <c r="I46" i="56"/>
  <c r="I45" i="56"/>
  <c r="I44" i="56"/>
  <c r="I43" i="56"/>
  <c r="I42" i="56"/>
  <c r="I41" i="56"/>
  <c r="I40" i="56"/>
  <c r="I39" i="56"/>
  <c r="I56" i="55"/>
  <c r="I55" i="55"/>
  <c r="I54" i="55"/>
  <c r="I53" i="55"/>
  <c r="I52" i="55"/>
  <c r="I51" i="55"/>
  <c r="I50" i="55"/>
  <c r="I49" i="55"/>
  <c r="I48" i="55"/>
  <c r="I47" i="55"/>
  <c r="I46" i="55"/>
  <c r="I45" i="55"/>
  <c r="I44" i="55"/>
  <c r="I43" i="55"/>
  <c r="I42" i="55"/>
  <c r="I41" i="55"/>
  <c r="I40" i="55"/>
  <c r="I39" i="55"/>
  <c r="I38" i="55"/>
  <c r="I37" i="55"/>
  <c r="I36" i="55"/>
  <c r="I35" i="55"/>
  <c r="I34" i="55"/>
  <c r="I33" i="55"/>
  <c r="I32" i="55"/>
  <c r="I31" i="55"/>
  <c r="I30" i="55"/>
  <c r="I29" i="55"/>
  <c r="I28" i="55"/>
  <c r="I27" i="55"/>
  <c r="I26" i="55"/>
  <c r="I25" i="55"/>
  <c r="I24" i="55"/>
  <c r="I23" i="55"/>
  <c r="I22" i="55"/>
  <c r="I66" i="53"/>
  <c r="I65" i="53"/>
  <c r="I64" i="53"/>
  <c r="I63" i="53"/>
  <c r="I62" i="53"/>
  <c r="I61" i="53"/>
  <c r="I60" i="53"/>
  <c r="I59" i="53"/>
  <c r="I58" i="53"/>
  <c r="I57" i="53"/>
  <c r="I56" i="53"/>
  <c r="I55" i="53"/>
  <c r="I54" i="53"/>
  <c r="I53" i="53"/>
  <c r="I52" i="53"/>
  <c r="I51" i="53"/>
  <c r="I50" i="53"/>
  <c r="I49" i="53"/>
  <c r="I48" i="53"/>
  <c r="I47" i="53"/>
  <c r="I46" i="53"/>
  <c r="I45" i="53"/>
  <c r="I44" i="53"/>
  <c r="I43" i="53"/>
  <c r="I42" i="53"/>
  <c r="I41" i="53"/>
  <c r="I40" i="53"/>
  <c r="I39" i="53"/>
  <c r="I38" i="53"/>
  <c r="I36" i="53"/>
  <c r="I35" i="53"/>
  <c r="I32" i="53"/>
  <c r="I36" i="56" l="1"/>
  <c r="I20" i="55"/>
  <c r="I31" i="53"/>
  <c r="I37" i="56"/>
  <c r="I38" i="56"/>
  <c r="I67" i="47" l="1"/>
  <c r="I66" i="47"/>
  <c r="I65" i="47"/>
  <c r="I64" i="47"/>
  <c r="I63" i="47"/>
  <c r="I62" i="47"/>
  <c r="I61" i="47"/>
  <c r="I60" i="47"/>
  <c r="I59" i="47"/>
  <c r="I58" i="47"/>
  <c r="I57" i="47"/>
  <c r="I56" i="47"/>
  <c r="I55" i="47"/>
  <c r="I54" i="47"/>
  <c r="I53" i="47"/>
  <c r="I52" i="47"/>
  <c r="I51" i="47"/>
  <c r="I50" i="47"/>
  <c r="I49" i="47"/>
  <c r="I48" i="47"/>
  <c r="I47" i="47"/>
  <c r="I46" i="47"/>
  <c r="I45" i="47"/>
  <c r="I44" i="47"/>
  <c r="I43" i="47"/>
  <c r="I42" i="47"/>
  <c r="I41" i="47"/>
  <c r="I40" i="47"/>
  <c r="I39" i="47"/>
  <c r="I38" i="47"/>
  <c r="I37" i="47"/>
  <c r="I36" i="47"/>
  <c r="I35" i="47"/>
  <c r="I34" i="47"/>
  <c r="I33" i="47"/>
  <c r="I30" i="47" l="1"/>
  <c r="I32" i="47"/>
  <c r="I31" i="47"/>
  <c r="G16" i="55" l="1"/>
  <c r="G18" i="55"/>
  <c r="I18" i="55"/>
  <c r="G19" i="55"/>
  <c r="I19" i="55"/>
  <c r="I16" i="55" l="1"/>
  <c r="G17" i="55"/>
  <c r="I17" i="55"/>
  <c r="G15" i="55"/>
  <c r="I15" i="55"/>
  <c r="E59" i="55" l="1"/>
  <c r="I57" i="55"/>
  <c r="I60" i="55" s="1"/>
  <c r="I61" i="55" s="1"/>
  <c r="I63" i="55" s="1"/>
  <c r="E58" i="55"/>
  <c r="E60" i="55" l="1"/>
  <c r="I43" i="61" l="1"/>
  <c r="I44" i="61"/>
  <c r="I42" i="61" l="1"/>
  <c r="I40" i="61"/>
  <c r="I41" i="61"/>
  <c r="I39" i="61"/>
  <c r="I45" i="61"/>
  <c r="G28" i="53" l="1"/>
  <c r="G29" i="47"/>
  <c r="E267" i="58" l="1"/>
  <c r="E35" i="48" l="1"/>
  <c r="E37" i="48"/>
  <c r="E59" i="48"/>
  <c r="E103" i="48"/>
  <c r="E81" i="48"/>
  <c r="E25" i="48"/>
  <c r="E68" i="48"/>
  <c r="E64" i="48"/>
  <c r="E84" i="48" l="1"/>
  <c r="E58" i="48"/>
  <c r="E85" i="48"/>
  <c r="E62" i="48"/>
  <c r="E102" i="48"/>
  <c r="E22" i="48"/>
  <c r="E95" i="48"/>
  <c r="E93" i="48"/>
  <c r="E105" i="48"/>
  <c r="E97" i="48"/>
  <c r="E42" i="48"/>
  <c r="E34" i="48"/>
  <c r="E36" i="48"/>
  <c r="E44" i="48"/>
  <c r="E80" i="48"/>
  <c r="E39" i="48"/>
  <c r="E74" i="48"/>
  <c r="E38" i="48"/>
  <c r="E26" i="48"/>
  <c r="E18" i="48"/>
  <c r="E41" i="48"/>
  <c r="E71" i="48"/>
  <c r="E101" i="48"/>
  <c r="H20" i="47" l="1"/>
  <c r="H17" i="47"/>
  <c r="H22" i="66"/>
  <c r="H43" i="48"/>
  <c r="H67" i="48"/>
  <c r="H90" i="48"/>
  <c r="H23" i="56"/>
  <c r="H61" i="48"/>
  <c r="H56" i="48"/>
  <c r="H101" i="48"/>
  <c r="I101" i="48" s="1"/>
  <c r="H35" i="48"/>
  <c r="I35" i="48" s="1"/>
  <c r="H57" i="66"/>
  <c r="H44" i="66"/>
  <c r="H65" i="48"/>
  <c r="H68" i="66"/>
  <c r="H31" i="61"/>
  <c r="H105" i="48"/>
  <c r="I105" i="48" s="1"/>
  <c r="H15" i="67"/>
  <c r="H110" i="48"/>
  <c r="H117" i="48"/>
  <c r="H29" i="62"/>
  <c r="H29" i="66"/>
  <c r="H23" i="53"/>
  <c r="H100" i="48"/>
  <c r="H34" i="48"/>
  <c r="I34" i="48" s="1"/>
  <c r="H74" i="48"/>
  <c r="I74" i="48" s="1"/>
  <c r="H31" i="48"/>
  <c r="H50" i="48"/>
  <c r="H28" i="56"/>
  <c r="H113" i="48"/>
  <c r="H25" i="66"/>
  <c r="H32" i="61"/>
  <c r="H59" i="48"/>
  <c r="I59" i="48" s="1"/>
  <c r="H15" i="56"/>
  <c r="H44" i="48"/>
  <c r="I44" i="48" s="1"/>
  <c r="H20" i="66"/>
  <c r="H72" i="48"/>
  <c r="H92" i="48"/>
  <c r="H78" i="48"/>
  <c r="H15" i="61"/>
  <c r="H120" i="48"/>
  <c r="H61" i="66"/>
  <c r="H28" i="66"/>
  <c r="H26" i="62"/>
  <c r="H96" i="48"/>
  <c r="H19" i="56"/>
  <c r="H26" i="61"/>
  <c r="H62" i="48"/>
  <c r="I62" i="48" s="1"/>
  <c r="H17" i="48"/>
  <c r="H37" i="66"/>
  <c r="H28" i="47"/>
  <c r="H16" i="53"/>
  <c r="H20" i="61"/>
  <c r="H58" i="66"/>
  <c r="H24" i="48"/>
  <c r="H19" i="53"/>
  <c r="H24" i="66"/>
  <c r="H18" i="53"/>
  <c r="H42" i="48"/>
  <c r="I42" i="48" s="1"/>
  <c r="H19" i="62"/>
  <c r="H17" i="61"/>
  <c r="H22" i="47"/>
  <c r="H17" i="66"/>
  <c r="H27" i="66"/>
  <c r="H25" i="56"/>
  <c r="H37" i="48"/>
  <c r="I37" i="48" s="1"/>
  <c r="H69" i="48"/>
  <c r="H23" i="61"/>
  <c r="H18" i="56"/>
  <c r="H33" i="48"/>
  <c r="H39" i="66"/>
  <c r="H64" i="66"/>
  <c r="H17" i="56"/>
  <c r="H89" i="48"/>
  <c r="H26" i="47"/>
  <c r="H17" i="62"/>
  <c r="H63" i="48"/>
  <c r="H65" i="66"/>
  <c r="H30" i="66"/>
  <c r="H84" i="48"/>
  <c r="I84" i="48" s="1"/>
  <c r="H19" i="48"/>
  <c r="H32" i="48"/>
  <c r="H94" i="48"/>
  <c r="H15" i="66"/>
  <c r="H22" i="61"/>
  <c r="H118" i="48"/>
  <c r="H76" i="48"/>
  <c r="H28" i="48"/>
  <c r="H60" i="48"/>
  <c r="H45" i="66"/>
  <c r="H99" i="48"/>
  <c r="H60" i="66"/>
  <c r="H66" i="66"/>
  <c r="H62" i="66"/>
  <c r="H20" i="62"/>
  <c r="H27" i="56"/>
  <c r="H107" i="48"/>
  <c r="H20" i="53"/>
  <c r="H22" i="56"/>
  <c r="H104" i="48"/>
  <c r="H21" i="62"/>
  <c r="H16" i="47"/>
  <c r="H45" i="48"/>
  <c r="H97" i="48"/>
  <c r="I97" i="48" s="1"/>
  <c r="H16" i="67"/>
  <c r="H20" i="56"/>
  <c r="H41" i="48"/>
  <c r="I41" i="48" s="1"/>
  <c r="H21" i="61"/>
  <c r="H28" i="61"/>
  <c r="H88" i="48"/>
  <c r="H82" i="48"/>
  <c r="H35" i="61"/>
  <c r="H77" i="48"/>
  <c r="H40" i="48"/>
  <c r="H30" i="56"/>
  <c r="H24" i="62"/>
  <c r="H38" i="48"/>
  <c r="I38" i="48" s="1"/>
  <c r="H19" i="66"/>
  <c r="H26" i="56"/>
  <c r="H18" i="47"/>
  <c r="H43" i="66"/>
  <c r="H28" i="62"/>
  <c r="H119" i="48"/>
  <c r="H24" i="61"/>
  <c r="H93" i="48"/>
  <c r="I93" i="48" s="1"/>
  <c r="H39" i="48"/>
  <c r="I39" i="48" s="1"/>
  <c r="H26" i="48"/>
  <c r="I26" i="48" s="1"/>
  <c r="H17" i="53"/>
  <c r="H55" i="66"/>
  <c r="H46" i="48"/>
  <c r="H23" i="48"/>
  <c r="H24" i="47"/>
  <c r="H32" i="56"/>
  <c r="H48" i="48"/>
  <c r="H25" i="53"/>
  <c r="H33" i="61"/>
  <c r="H30" i="61"/>
  <c r="H98" i="48"/>
  <c r="H32" i="66"/>
  <c r="H18" i="66"/>
  <c r="H16" i="63"/>
  <c r="H26" i="66"/>
  <c r="H25" i="48"/>
  <c r="I25" i="48" s="1"/>
  <c r="H41" i="66"/>
  <c r="H40" i="66"/>
  <c r="H23" i="62"/>
  <c r="H64" i="48"/>
  <c r="I64" i="48" s="1"/>
  <c r="H27" i="62"/>
  <c r="H21" i="56"/>
  <c r="H68" i="48"/>
  <c r="I68" i="48" s="1"/>
  <c r="H59" i="66"/>
  <c r="H18" i="61"/>
  <c r="H15" i="62"/>
  <c r="H103" i="48"/>
  <c r="I103" i="48" s="1"/>
  <c r="H52" i="66"/>
  <c r="H47" i="48"/>
  <c r="H56" i="66"/>
  <c r="H23" i="66"/>
  <c r="H48" i="66"/>
  <c r="H115" i="48"/>
  <c r="H34" i="61"/>
  <c r="H114" i="48"/>
  <c r="H121" i="48"/>
  <c r="H73" i="48"/>
  <c r="H29" i="61"/>
  <c r="H24" i="56"/>
  <c r="H21" i="66"/>
  <c r="H25" i="61"/>
  <c r="H27" i="48"/>
  <c r="H42" i="66"/>
  <c r="H16" i="61"/>
  <c r="F20" i="47"/>
  <c r="F17" i="47"/>
  <c r="F22" i="66"/>
  <c r="F23" i="56"/>
  <c r="F57" i="66"/>
  <c r="F44" i="66"/>
  <c r="F68" i="66"/>
  <c r="F31" i="61"/>
  <c r="F15" i="67"/>
  <c r="F29" i="62"/>
  <c r="F29" i="66"/>
  <c r="F23" i="53"/>
  <c r="F28" i="56"/>
  <c r="F25" i="66"/>
  <c r="F32" i="61"/>
  <c r="F15" i="56"/>
  <c r="F20" i="66"/>
  <c r="F15" i="61"/>
  <c r="F61" i="66"/>
  <c r="F28" i="66"/>
  <c r="F26" i="62"/>
  <c r="F19" i="56"/>
  <c r="F26" i="61"/>
  <c r="F37" i="66"/>
  <c r="F28" i="47"/>
  <c r="F16" i="53"/>
  <c r="F20" i="61"/>
  <c r="F58" i="66"/>
  <c r="F19" i="53"/>
  <c r="F24" i="66"/>
  <c r="F18" i="53"/>
  <c r="F19" i="62"/>
  <c r="F17" i="61"/>
  <c r="F22" i="47"/>
  <c r="F17" i="66"/>
  <c r="F27" i="66"/>
  <c r="F25" i="56"/>
  <c r="F23" i="61"/>
  <c r="F18" i="56"/>
  <c r="F39" i="66"/>
  <c r="F64" i="66"/>
  <c r="F17" i="56"/>
  <c r="F26" i="47"/>
  <c r="F17" i="62"/>
  <c r="F65" i="66"/>
  <c r="F30" i="66"/>
  <c r="F15" i="66"/>
  <c r="F22" i="61"/>
  <c r="F45" i="66"/>
  <c r="F60" i="66"/>
  <c r="F66" i="66"/>
  <c r="F62" i="66"/>
  <c r="F20" i="62"/>
  <c r="F27" i="56"/>
  <c r="F20" i="53"/>
  <c r="F22" i="56"/>
  <c r="F21" i="62"/>
  <c r="F16" i="47"/>
  <c r="F16" i="67"/>
  <c r="F20" i="56"/>
  <c r="F21" i="61"/>
  <c r="F28" i="61"/>
  <c r="F35" i="61"/>
  <c r="F30" i="56"/>
  <c r="F24" i="62"/>
  <c r="F19" i="66"/>
  <c r="F26" i="56"/>
  <c r="F18" i="47"/>
  <c r="F43" i="66"/>
  <c r="F28" i="62"/>
  <c r="F24" i="61"/>
  <c r="F17" i="53"/>
  <c r="F55" i="66"/>
  <c r="F24" i="47"/>
  <c r="F32" i="56"/>
  <c r="F25" i="53"/>
  <c r="F33" i="61"/>
  <c r="F30" i="61"/>
  <c r="F32" i="66"/>
  <c r="F18" i="66"/>
  <c r="F26" i="66"/>
  <c r="F41" i="66"/>
  <c r="F40" i="66"/>
  <c r="F23" i="62"/>
  <c r="F27" i="62"/>
  <c r="F21" i="56"/>
  <c r="F59" i="66"/>
  <c r="F18" i="61"/>
  <c r="F15" i="62"/>
  <c r="F52" i="66"/>
  <c r="F56" i="66"/>
  <c r="F23" i="66"/>
  <c r="F48" i="66"/>
  <c r="F34" i="61"/>
  <c r="F29" i="61"/>
  <c r="F24" i="56"/>
  <c r="F21" i="66"/>
  <c r="F25" i="61"/>
  <c r="F42" i="66"/>
  <c r="F16" i="61"/>
  <c r="D20" i="47"/>
  <c r="D17" i="47"/>
  <c r="D22" i="66"/>
  <c r="D23" i="56"/>
  <c r="D57" i="66"/>
  <c r="D44" i="66"/>
  <c r="D68" i="66"/>
  <c r="D31" i="61"/>
  <c r="D15" i="67"/>
  <c r="D29" i="62"/>
  <c r="D29" i="66"/>
  <c r="D23" i="53"/>
  <c r="D28" i="56"/>
  <c r="D25" i="66"/>
  <c r="D32" i="61"/>
  <c r="D15" i="56"/>
  <c r="D20" i="66"/>
  <c r="D15" i="61"/>
  <c r="D61" i="66"/>
  <c r="D28" i="66"/>
  <c r="D26" i="62"/>
  <c r="D19" i="56"/>
  <c r="D26" i="61"/>
  <c r="D37" i="66"/>
  <c r="D28" i="47"/>
  <c r="D16" i="53"/>
  <c r="D20" i="61"/>
  <c r="D58" i="66"/>
  <c r="D19" i="53"/>
  <c r="D24" i="66"/>
  <c r="D18" i="53"/>
  <c r="D19" i="62"/>
  <c r="D17" i="61"/>
  <c r="D22" i="47"/>
  <c r="D17" i="66"/>
  <c r="D27" i="66"/>
  <c r="D25" i="56"/>
  <c r="D23" i="61"/>
  <c r="D18" i="56"/>
  <c r="D39" i="66"/>
  <c r="D64" i="66"/>
  <c r="D17" i="56"/>
  <c r="D26" i="47"/>
  <c r="D17" i="62"/>
  <c r="D65" i="66"/>
  <c r="D30" i="66"/>
  <c r="D15" i="66"/>
  <c r="D22" i="61"/>
  <c r="D45" i="66"/>
  <c r="D60" i="66"/>
  <c r="D66" i="66"/>
  <c r="D62" i="66"/>
  <c r="D20" i="62"/>
  <c r="D27" i="56"/>
  <c r="D20" i="53"/>
  <c r="D22" i="56"/>
  <c r="D21" i="62"/>
  <c r="D16" i="47"/>
  <c r="D16" i="67"/>
  <c r="D20" i="56"/>
  <c r="D21" i="61"/>
  <c r="D28" i="61"/>
  <c r="D35" i="61"/>
  <c r="D30" i="56"/>
  <c r="D24" i="62"/>
  <c r="D19" i="66"/>
  <c r="D26" i="56"/>
  <c r="D18" i="47"/>
  <c r="D43" i="66"/>
  <c r="D28" i="62"/>
  <c r="D24" i="61"/>
  <c r="D17" i="53"/>
  <c r="D55" i="66"/>
  <c r="D24" i="47"/>
  <c r="D32" i="56"/>
  <c r="D25" i="53"/>
  <c r="D33" i="61"/>
  <c r="D30" i="61"/>
  <c r="D32" i="66"/>
  <c r="D18" i="66"/>
  <c r="D26" i="66"/>
  <c r="D41" i="66"/>
  <c r="D40" i="66"/>
  <c r="D23" i="62"/>
  <c r="D27" i="62"/>
  <c r="D21" i="56"/>
  <c r="D59" i="66"/>
  <c r="D18" i="61"/>
  <c r="D15" i="62"/>
  <c r="D52" i="66"/>
  <c r="D56" i="66"/>
  <c r="D23" i="66"/>
  <c r="D48" i="66"/>
  <c r="D34" i="61"/>
  <c r="D29" i="61"/>
  <c r="D24" i="56"/>
  <c r="D21" i="66"/>
  <c r="D25" i="61"/>
  <c r="D42" i="66"/>
  <c r="D16" i="61"/>
  <c r="E122" i="48"/>
  <c r="E115" i="48"/>
  <c r="E114" i="48"/>
  <c r="E110" i="48"/>
  <c r="E79" i="48"/>
  <c r="E61" i="48"/>
  <c r="E52" i="48"/>
  <c r="E60" i="48"/>
  <c r="E28" i="48"/>
  <c r="I28" i="48" s="1"/>
  <c r="E112" i="48"/>
  <c r="E111" i="48"/>
  <c r="E109" i="48"/>
  <c r="E113" i="48"/>
  <c r="E77" i="48"/>
  <c r="E56" i="48"/>
  <c r="I114" i="48" l="1"/>
  <c r="I56" i="48"/>
  <c r="I61" i="48"/>
  <c r="I113" i="48"/>
  <c r="I77" i="48"/>
  <c r="I110" i="48"/>
  <c r="I60" i="48"/>
  <c r="I115" i="48"/>
  <c r="H122" i="48"/>
  <c r="I122" i="48" s="1"/>
  <c r="H122" i="64"/>
  <c r="H116" i="48"/>
  <c r="H116" i="65"/>
  <c r="D68" i="48"/>
  <c r="D68" i="63"/>
  <c r="D25" i="63"/>
  <c r="D25" i="48"/>
  <c r="D98" i="63"/>
  <c r="D98" i="48"/>
  <c r="D39" i="63"/>
  <c r="D39" i="48"/>
  <c r="D40" i="63"/>
  <c r="D40" i="48"/>
  <c r="D37" i="63"/>
  <c r="D37" i="48"/>
  <c r="D24" i="63"/>
  <c r="D24" i="48"/>
  <c r="D17" i="48"/>
  <c r="D17" i="63"/>
  <c r="D72" i="63"/>
  <c r="D72" i="48"/>
  <c r="D34" i="63"/>
  <c r="D34" i="48"/>
  <c r="D117" i="63"/>
  <c r="D117" i="48"/>
  <c r="D65" i="48"/>
  <c r="D65" i="63"/>
  <c r="D61" i="63"/>
  <c r="D61" i="48"/>
  <c r="F25" i="63"/>
  <c r="G25" i="63" s="1"/>
  <c r="F25" i="48"/>
  <c r="G25" i="48" s="1"/>
  <c r="F98" i="63"/>
  <c r="F98" i="48"/>
  <c r="F39" i="63"/>
  <c r="G39" i="63" s="1"/>
  <c r="F39" i="48"/>
  <c r="G39" i="48" s="1"/>
  <c r="F40" i="63"/>
  <c r="F40" i="48"/>
  <c r="F37" i="63"/>
  <c r="G37" i="63" s="1"/>
  <c r="F37" i="48"/>
  <c r="G37" i="48" s="1"/>
  <c r="F24" i="63"/>
  <c r="F24" i="48"/>
  <c r="F17" i="63"/>
  <c r="F17" i="48"/>
  <c r="F72" i="63"/>
  <c r="F72" i="48"/>
  <c r="F34" i="63"/>
  <c r="F34" i="48"/>
  <c r="G34" i="48" s="1"/>
  <c r="F117" i="63"/>
  <c r="F117" i="48"/>
  <c r="F65" i="63"/>
  <c r="F65" i="48"/>
  <c r="F61" i="63"/>
  <c r="F61" i="48"/>
  <c r="G61" i="48" s="1"/>
  <c r="D28" i="63"/>
  <c r="D28" i="48"/>
  <c r="D33" i="63"/>
  <c r="D33" i="48"/>
  <c r="D120" i="63"/>
  <c r="D120" i="48"/>
  <c r="D115" i="63"/>
  <c r="D115" i="48"/>
  <c r="D103" i="63"/>
  <c r="D103" i="48"/>
  <c r="D23" i="48"/>
  <c r="D23" i="63"/>
  <c r="D93" i="63"/>
  <c r="D93" i="48"/>
  <c r="D77" i="48"/>
  <c r="D77" i="63"/>
  <c r="D41" i="48"/>
  <c r="D41" i="63"/>
  <c r="D60" i="63"/>
  <c r="D60" i="48"/>
  <c r="D94" i="63"/>
  <c r="D94" i="48"/>
  <c r="D63" i="63"/>
  <c r="D63" i="48"/>
  <c r="D122" i="63"/>
  <c r="D122" i="48"/>
  <c r="D62" i="63"/>
  <c r="D62" i="48"/>
  <c r="D113" i="63"/>
  <c r="D113" i="48"/>
  <c r="D100" i="63"/>
  <c r="D100" i="48"/>
  <c r="D110" i="48"/>
  <c r="D110" i="63"/>
  <c r="F115" i="63"/>
  <c r="F115" i="48"/>
  <c r="G115" i="48" s="1"/>
  <c r="F103" i="63"/>
  <c r="G103" i="63" s="1"/>
  <c r="F103" i="48"/>
  <c r="G103" i="48" s="1"/>
  <c r="F23" i="63"/>
  <c r="F23" i="48"/>
  <c r="F93" i="63"/>
  <c r="G93" i="63" s="1"/>
  <c r="F93" i="48"/>
  <c r="G93" i="48" s="1"/>
  <c r="F77" i="63"/>
  <c r="F77" i="48"/>
  <c r="G77" i="48" s="1"/>
  <c r="F41" i="63"/>
  <c r="G41" i="63" s="1"/>
  <c r="F41" i="48"/>
  <c r="G41" i="48" s="1"/>
  <c r="F60" i="63"/>
  <c r="F60" i="48"/>
  <c r="G60" i="48" s="1"/>
  <c r="F94" i="63"/>
  <c r="F94" i="48"/>
  <c r="F63" i="63"/>
  <c r="F63" i="48"/>
  <c r="F122" i="63"/>
  <c r="F122" i="48"/>
  <c r="G122" i="48" s="1"/>
  <c r="F62" i="63"/>
  <c r="G62" i="63" s="1"/>
  <c r="F62" i="48"/>
  <c r="G62" i="48" s="1"/>
  <c r="F113" i="63"/>
  <c r="F113" i="48"/>
  <c r="G113" i="48" s="1"/>
  <c r="F100" i="63"/>
  <c r="F100" i="48"/>
  <c r="F110" i="63"/>
  <c r="F110" i="48"/>
  <c r="G110" i="48" s="1"/>
  <c r="D16" i="65"/>
  <c r="D16" i="64"/>
  <c r="D16" i="63"/>
  <c r="D16" i="48"/>
  <c r="D46" i="63"/>
  <c r="D46" i="48"/>
  <c r="D104" i="48"/>
  <c r="D104" i="63"/>
  <c r="D32" i="48"/>
  <c r="D32" i="63"/>
  <c r="D44" i="63"/>
  <c r="D44" i="48"/>
  <c r="D90" i="63"/>
  <c r="D90" i="48"/>
  <c r="F64" i="63"/>
  <c r="G64" i="63" s="1"/>
  <c r="F64" i="48"/>
  <c r="G64" i="48" s="1"/>
  <c r="F104" i="63"/>
  <c r="F104" i="48"/>
  <c r="F28" i="63"/>
  <c r="F28" i="48"/>
  <c r="G28" i="48" s="1"/>
  <c r="F32" i="63"/>
  <c r="F32" i="48"/>
  <c r="F33" i="63"/>
  <c r="F33" i="48"/>
  <c r="F42" i="63"/>
  <c r="G42" i="63" s="1"/>
  <c r="F42" i="48"/>
  <c r="G42" i="48" s="1"/>
  <c r="F120" i="63"/>
  <c r="F120" i="48"/>
  <c r="F44" i="63"/>
  <c r="G44" i="63" s="1"/>
  <c r="F44" i="48"/>
  <c r="G44" i="48" s="1"/>
  <c r="F90" i="63"/>
  <c r="F90" i="48"/>
  <c r="H16" i="64"/>
  <c r="H16" i="65"/>
  <c r="H16" i="48"/>
  <c r="D73" i="63"/>
  <c r="D73" i="48"/>
  <c r="D119" i="63"/>
  <c r="D119" i="48"/>
  <c r="D38" i="48"/>
  <c r="D38" i="63"/>
  <c r="D82" i="63"/>
  <c r="D82" i="48"/>
  <c r="D76" i="63"/>
  <c r="D76" i="48"/>
  <c r="D19" i="63"/>
  <c r="D19" i="48"/>
  <c r="D50" i="48"/>
  <c r="D50" i="63"/>
  <c r="D105" i="63"/>
  <c r="D105" i="48"/>
  <c r="D35" i="48"/>
  <c r="D35" i="63"/>
  <c r="D67" i="63"/>
  <c r="D67" i="48"/>
  <c r="F73" i="63"/>
  <c r="F73" i="48"/>
  <c r="F119" i="63"/>
  <c r="F119" i="48"/>
  <c r="F38" i="63"/>
  <c r="G38" i="63" s="1"/>
  <c r="F38" i="48"/>
  <c r="G38" i="48" s="1"/>
  <c r="F82" i="63"/>
  <c r="F82" i="48"/>
  <c r="F76" i="63"/>
  <c r="F76" i="48"/>
  <c r="F19" i="63"/>
  <c r="F19" i="48"/>
  <c r="F50" i="63"/>
  <c r="F50" i="48"/>
  <c r="F105" i="63"/>
  <c r="G105" i="63" s="1"/>
  <c r="F105" i="48"/>
  <c r="G105" i="48" s="1"/>
  <c r="F35" i="63"/>
  <c r="F35" i="48"/>
  <c r="G35" i="48" s="1"/>
  <c r="F67" i="63"/>
  <c r="F67" i="48"/>
  <c r="D21" i="63"/>
  <c r="D21" i="48"/>
  <c r="D64" i="63"/>
  <c r="D64" i="48"/>
  <c r="D42" i="63"/>
  <c r="D42" i="48"/>
  <c r="F16" i="65"/>
  <c r="F16" i="64"/>
  <c r="F16" i="63"/>
  <c r="F16" i="48"/>
  <c r="D27" i="63"/>
  <c r="D27" i="48"/>
  <c r="D121" i="63"/>
  <c r="D121" i="48"/>
  <c r="D48" i="63"/>
  <c r="D48" i="48"/>
  <c r="D88" i="63"/>
  <c r="D88" i="48"/>
  <c r="D97" i="63"/>
  <c r="D97" i="48"/>
  <c r="D118" i="63"/>
  <c r="D118" i="48"/>
  <c r="D84" i="63"/>
  <c r="D84" i="48"/>
  <c r="D89" i="48"/>
  <c r="D89" i="63"/>
  <c r="D96" i="63"/>
  <c r="D96" i="48"/>
  <c r="D78" i="63"/>
  <c r="D78" i="48"/>
  <c r="D59" i="48"/>
  <c r="D59" i="63"/>
  <c r="D31" i="63"/>
  <c r="D31" i="48"/>
  <c r="D101" i="63"/>
  <c r="D101" i="48"/>
  <c r="D43" i="63"/>
  <c r="D43" i="48"/>
  <c r="F27" i="63"/>
  <c r="F27" i="48"/>
  <c r="F121" i="63"/>
  <c r="F121" i="48"/>
  <c r="F48" i="63"/>
  <c r="F48" i="48"/>
  <c r="F88" i="63"/>
  <c r="F88" i="48"/>
  <c r="F97" i="63"/>
  <c r="G97" i="63" s="1"/>
  <c r="F97" i="48"/>
  <c r="G97" i="48" s="1"/>
  <c r="F118" i="63"/>
  <c r="F118" i="48"/>
  <c r="F84" i="63"/>
  <c r="G84" i="63" s="1"/>
  <c r="F84" i="48"/>
  <c r="G84" i="48" s="1"/>
  <c r="F89" i="63"/>
  <c r="F89" i="48"/>
  <c r="F96" i="63"/>
  <c r="F96" i="48"/>
  <c r="F78" i="63"/>
  <c r="F78" i="48"/>
  <c r="F59" i="63"/>
  <c r="G59" i="63" s="1"/>
  <c r="F59" i="48"/>
  <c r="G59" i="48" s="1"/>
  <c r="F31" i="63"/>
  <c r="F31" i="48"/>
  <c r="F101" i="63"/>
  <c r="G101" i="63" s="1"/>
  <c r="F101" i="48"/>
  <c r="G101" i="48" s="1"/>
  <c r="F43" i="63"/>
  <c r="F43" i="48"/>
  <c r="F46" i="63"/>
  <c r="F46" i="48"/>
  <c r="D114" i="63"/>
  <c r="D114" i="48"/>
  <c r="D47" i="48"/>
  <c r="D47" i="63"/>
  <c r="D15" i="65"/>
  <c r="D15" i="64"/>
  <c r="D15" i="63"/>
  <c r="D15" i="48"/>
  <c r="D26" i="63"/>
  <c r="D26" i="48"/>
  <c r="D45" i="63"/>
  <c r="D45" i="48"/>
  <c r="D107" i="48"/>
  <c r="D107" i="63"/>
  <c r="D99" i="63"/>
  <c r="D99" i="48"/>
  <c r="D69" i="63"/>
  <c r="D69" i="48"/>
  <c r="D92" i="48"/>
  <c r="D92" i="63"/>
  <c r="D74" i="48"/>
  <c r="D74" i="63"/>
  <c r="D116" i="63"/>
  <c r="D116" i="48"/>
  <c r="D56" i="48"/>
  <c r="D56" i="63"/>
  <c r="F114" i="63"/>
  <c r="F114" i="48"/>
  <c r="G114" i="48" s="1"/>
  <c r="F47" i="63"/>
  <c r="F47" i="48"/>
  <c r="F68" i="63"/>
  <c r="G68" i="63" s="1"/>
  <c r="F68" i="48"/>
  <c r="G68" i="48" s="1"/>
  <c r="F15" i="65"/>
  <c r="F15" i="64"/>
  <c r="F15" i="63"/>
  <c r="F15" i="48"/>
  <c r="F26" i="63"/>
  <c r="G26" i="63" s="1"/>
  <c r="F26" i="48"/>
  <c r="G26" i="48" s="1"/>
  <c r="F45" i="63"/>
  <c r="F45" i="48"/>
  <c r="F107" i="63"/>
  <c r="F107" i="48"/>
  <c r="F99" i="63"/>
  <c r="F99" i="48"/>
  <c r="F69" i="63"/>
  <c r="F69" i="48"/>
  <c r="F92" i="63"/>
  <c r="F92" i="48"/>
  <c r="F74" i="63"/>
  <c r="G74" i="63" s="1"/>
  <c r="F74" i="48"/>
  <c r="G74" i="48" s="1"/>
  <c r="F116" i="63"/>
  <c r="F116" i="48"/>
  <c r="F56" i="63"/>
  <c r="F56" i="48"/>
  <c r="G56" i="48" s="1"/>
  <c r="H15" i="64"/>
  <c r="H15" i="65"/>
  <c r="H15" i="48"/>
  <c r="H15" i="63"/>
  <c r="D167" i="58"/>
  <c r="D236" i="58"/>
  <c r="D77" i="58"/>
  <c r="D39" i="64"/>
  <c r="D39" i="65"/>
  <c r="D35" i="58"/>
  <c r="D191" i="58"/>
  <c r="D210" i="58"/>
  <c r="D62" i="58"/>
  <c r="D24" i="65"/>
  <c r="D24" i="64"/>
  <c r="D171" i="58"/>
  <c r="D99" i="58"/>
  <c r="D61" i="65"/>
  <c r="D61" i="64"/>
  <c r="F48" i="58"/>
  <c r="F63" i="58"/>
  <c r="F25" i="65"/>
  <c r="G25" i="65" s="1"/>
  <c r="F25" i="64"/>
  <c r="G25" i="64" s="1"/>
  <c r="F77" i="58"/>
  <c r="F39" i="65"/>
  <c r="G39" i="65" s="1"/>
  <c r="F39" i="64"/>
  <c r="G39" i="64" s="1"/>
  <c r="F35" i="58"/>
  <c r="F191" i="58"/>
  <c r="F210" i="58"/>
  <c r="F62" i="58"/>
  <c r="F24" i="65"/>
  <c r="F24" i="64"/>
  <c r="F171" i="58"/>
  <c r="F103" i="58"/>
  <c r="F65" i="65"/>
  <c r="F65" i="64"/>
  <c r="H48" i="58"/>
  <c r="H136" i="58"/>
  <c r="H98" i="65"/>
  <c r="H98" i="64"/>
  <c r="H98" i="63"/>
  <c r="H18" i="58"/>
  <c r="H16" i="58"/>
  <c r="H161" i="58"/>
  <c r="H75" i="58"/>
  <c r="H37" i="65"/>
  <c r="I37" i="65" s="1"/>
  <c r="H37" i="64"/>
  <c r="I37" i="64" s="1"/>
  <c r="H37" i="63"/>
  <c r="I37" i="63" s="1"/>
  <c r="H55" i="58"/>
  <c r="H17" i="65"/>
  <c r="H17" i="63"/>
  <c r="H17" i="64"/>
  <c r="H72" i="58"/>
  <c r="H34" i="65"/>
  <c r="I34" i="65" s="1"/>
  <c r="H34" i="64"/>
  <c r="I34" i="64" s="1"/>
  <c r="H34" i="63"/>
  <c r="I34" i="63" s="1"/>
  <c r="D239" i="58"/>
  <c r="D153" i="58"/>
  <c r="D115" i="65"/>
  <c r="D115" i="64"/>
  <c r="D141" i="58"/>
  <c r="D103" i="65"/>
  <c r="D103" i="64"/>
  <c r="D260" i="58"/>
  <c r="D172" i="58"/>
  <c r="D44" i="58"/>
  <c r="D61" i="58"/>
  <c r="D23" i="65"/>
  <c r="D23" i="64"/>
  <c r="D131" i="58"/>
  <c r="D93" i="65"/>
  <c r="D93" i="64"/>
  <c r="D241" i="58"/>
  <c r="D115" i="58"/>
  <c r="D77" i="65"/>
  <c r="D77" i="64"/>
  <c r="D79" i="58"/>
  <c r="D41" i="65"/>
  <c r="D41" i="64"/>
  <c r="D254" i="58"/>
  <c r="D253" i="58"/>
  <c r="D98" i="58"/>
  <c r="D60" i="65"/>
  <c r="D60" i="64"/>
  <c r="D132" i="58"/>
  <c r="D94" i="65"/>
  <c r="D94" i="64"/>
  <c r="D101" i="58"/>
  <c r="D63" i="65"/>
  <c r="D63" i="64"/>
  <c r="D185" i="58"/>
  <c r="D240" i="58"/>
  <c r="D160" i="58"/>
  <c r="D122" i="65"/>
  <c r="D122" i="64"/>
  <c r="D204" i="58"/>
  <c r="D100" i="58"/>
  <c r="D62" i="65"/>
  <c r="D62" i="64"/>
  <c r="D207" i="58"/>
  <c r="D166" i="58"/>
  <c r="D151" i="58"/>
  <c r="D113" i="65"/>
  <c r="D113" i="64"/>
  <c r="D138" i="58"/>
  <c r="D100" i="65"/>
  <c r="D100" i="64"/>
  <c r="D148" i="58"/>
  <c r="D110" i="65"/>
  <c r="D110" i="64"/>
  <c r="D190" i="58"/>
  <c r="D238" i="58"/>
  <c r="D20" i="58"/>
  <c r="F239" i="58"/>
  <c r="F153" i="58"/>
  <c r="F115" i="65"/>
  <c r="F115" i="64"/>
  <c r="F141" i="58"/>
  <c r="F103" i="65"/>
  <c r="G103" i="65" s="1"/>
  <c r="F103" i="64"/>
  <c r="G103" i="64" s="1"/>
  <c r="F260" i="58"/>
  <c r="F172" i="58"/>
  <c r="F44" i="58"/>
  <c r="F61" i="58"/>
  <c r="F23" i="65"/>
  <c r="F23" i="64"/>
  <c r="F131" i="58"/>
  <c r="F93" i="65"/>
  <c r="G93" i="65" s="1"/>
  <c r="F93" i="64"/>
  <c r="G93" i="64" s="1"/>
  <c r="F241" i="58"/>
  <c r="F115" i="58"/>
  <c r="F77" i="65"/>
  <c r="F77" i="64"/>
  <c r="F79" i="58"/>
  <c r="F41" i="65"/>
  <c r="G41" i="65" s="1"/>
  <c r="F41" i="64"/>
  <c r="G41" i="64" s="1"/>
  <c r="F254" i="58"/>
  <c r="F253" i="58"/>
  <c r="F98" i="58"/>
  <c r="F60" i="65"/>
  <c r="F60" i="64"/>
  <c r="F132" i="58"/>
  <c r="F94" i="65"/>
  <c r="F94" i="64"/>
  <c r="F101" i="58"/>
  <c r="F63" i="65"/>
  <c r="F63" i="64"/>
  <c r="F185" i="58"/>
  <c r="F240" i="58"/>
  <c r="F160" i="58"/>
  <c r="F122" i="65"/>
  <c r="F122" i="64"/>
  <c r="F204" i="58"/>
  <c r="F100" i="58"/>
  <c r="F62" i="65"/>
  <c r="G62" i="65" s="1"/>
  <c r="F62" i="64"/>
  <c r="G62" i="64" s="1"/>
  <c r="F207" i="58"/>
  <c r="F166" i="58"/>
  <c r="F151" i="58"/>
  <c r="F113" i="65"/>
  <c r="F113" i="64"/>
  <c r="F138" i="58"/>
  <c r="F100" i="65"/>
  <c r="F100" i="64"/>
  <c r="F148" i="58"/>
  <c r="F110" i="65"/>
  <c r="F110" i="64"/>
  <c r="F190" i="58"/>
  <c r="F238" i="58"/>
  <c r="F20" i="58"/>
  <c r="H239" i="58"/>
  <c r="H153" i="58"/>
  <c r="H115" i="65"/>
  <c r="H115" i="64"/>
  <c r="H115" i="63"/>
  <c r="H141" i="58"/>
  <c r="H103" i="65"/>
  <c r="I103" i="65" s="1"/>
  <c r="H103" i="64"/>
  <c r="I103" i="64" s="1"/>
  <c r="H103" i="63"/>
  <c r="I103" i="63" s="1"/>
  <c r="H260" i="58"/>
  <c r="H172" i="58"/>
  <c r="H44" i="58"/>
  <c r="H61" i="58"/>
  <c r="H23" i="64"/>
  <c r="H23" i="63"/>
  <c r="H23" i="65"/>
  <c r="H131" i="58"/>
  <c r="H93" i="65"/>
  <c r="I93" i="65" s="1"/>
  <c r="H93" i="64"/>
  <c r="I93" i="64" s="1"/>
  <c r="H93" i="63"/>
  <c r="I93" i="63" s="1"/>
  <c r="H241" i="58"/>
  <c r="H115" i="58"/>
  <c r="H77" i="63"/>
  <c r="H77" i="65"/>
  <c r="H77" i="64"/>
  <c r="H79" i="58"/>
  <c r="H41" i="65"/>
  <c r="I41" i="65" s="1"/>
  <c r="H41" i="64"/>
  <c r="I41" i="64" s="1"/>
  <c r="H41" i="63"/>
  <c r="I41" i="63" s="1"/>
  <c r="H254" i="58"/>
  <c r="H253" i="58"/>
  <c r="H98" i="58"/>
  <c r="H60" i="63"/>
  <c r="H60" i="64"/>
  <c r="H60" i="65"/>
  <c r="H132" i="58"/>
  <c r="H94" i="65"/>
  <c r="H94" i="64"/>
  <c r="H94" i="63"/>
  <c r="H101" i="58"/>
  <c r="H63" i="65"/>
  <c r="H63" i="64"/>
  <c r="H63" i="63"/>
  <c r="H185" i="58"/>
  <c r="H240" i="58"/>
  <c r="H160" i="58"/>
  <c r="H122" i="65"/>
  <c r="H122" i="63"/>
  <c r="H204" i="58"/>
  <c r="H100" i="58"/>
  <c r="H62" i="65"/>
  <c r="I62" i="65" s="1"/>
  <c r="H62" i="64"/>
  <c r="I62" i="64" s="1"/>
  <c r="H62" i="63"/>
  <c r="I62" i="63" s="1"/>
  <c r="H207" i="58"/>
  <c r="H166" i="58"/>
  <c r="H151" i="58"/>
  <c r="H113" i="65"/>
  <c r="H113" i="63"/>
  <c r="H113" i="64"/>
  <c r="H138" i="58"/>
  <c r="H100" i="65"/>
  <c r="H100" i="64"/>
  <c r="H100" i="63"/>
  <c r="H148" i="58"/>
  <c r="H110" i="65"/>
  <c r="H110" i="64"/>
  <c r="H110" i="63"/>
  <c r="H190" i="58"/>
  <c r="H238" i="58"/>
  <c r="H20" i="58"/>
  <c r="D198" i="58"/>
  <c r="D24" i="58"/>
  <c r="D78" i="58"/>
  <c r="D40" i="65"/>
  <c r="D40" i="64"/>
  <c r="D242" i="58"/>
  <c r="D211" i="58"/>
  <c r="D252" i="58"/>
  <c r="D110" i="58"/>
  <c r="D72" i="65"/>
  <c r="D72" i="64"/>
  <c r="D155" i="58"/>
  <c r="D117" i="65"/>
  <c r="D117" i="64"/>
  <c r="D17" i="58"/>
  <c r="F198" i="58"/>
  <c r="F136" i="58"/>
  <c r="F98" i="65"/>
  <c r="F98" i="64"/>
  <c r="F18" i="58"/>
  <c r="F242" i="58"/>
  <c r="F211" i="58"/>
  <c r="F252" i="58"/>
  <c r="F174" i="58"/>
  <c r="F72" i="58"/>
  <c r="F34" i="64"/>
  <c r="G34" i="64" s="1"/>
  <c r="F34" i="65"/>
  <c r="G34" i="65" s="1"/>
  <c r="G34" i="63"/>
  <c r="F99" i="58"/>
  <c r="F61" i="65"/>
  <c r="F61" i="64"/>
  <c r="H167" i="58"/>
  <c r="H236" i="58"/>
  <c r="H24" i="58"/>
  <c r="H78" i="58"/>
  <c r="H40" i="65"/>
  <c r="H40" i="64"/>
  <c r="H40" i="63"/>
  <c r="H191" i="58"/>
  <c r="H210" i="58"/>
  <c r="H62" i="58"/>
  <c r="H24" i="64"/>
  <c r="H24" i="63"/>
  <c r="H24" i="65"/>
  <c r="H110" i="58"/>
  <c r="H72" i="63"/>
  <c r="H72" i="65"/>
  <c r="H72" i="64"/>
  <c r="H103" i="58"/>
  <c r="H65" i="65"/>
  <c r="H65" i="64"/>
  <c r="H65" i="63"/>
  <c r="H17" i="58"/>
  <c r="D30" i="58"/>
  <c r="D194" i="58"/>
  <c r="D102" i="58"/>
  <c r="D64" i="65"/>
  <c r="D64" i="64"/>
  <c r="D47" i="58"/>
  <c r="D38" i="58"/>
  <c r="D235" i="58"/>
  <c r="D208" i="58"/>
  <c r="D70" i="58"/>
  <c r="D32" i="65"/>
  <c r="D32" i="64"/>
  <c r="D71" i="58"/>
  <c r="D33" i="64"/>
  <c r="D33" i="65"/>
  <c r="D80" i="58"/>
  <c r="D42" i="65"/>
  <c r="D42" i="64"/>
  <c r="D40" i="58"/>
  <c r="D82" i="58"/>
  <c r="D44" i="65"/>
  <c r="D44" i="64"/>
  <c r="D224" i="58"/>
  <c r="D203" i="58"/>
  <c r="F43" i="58"/>
  <c r="F194" i="58"/>
  <c r="F54" i="58"/>
  <c r="F84" i="58"/>
  <c r="F46" i="65"/>
  <c r="F46" i="64"/>
  <c r="F165" i="58"/>
  <c r="F235" i="58"/>
  <c r="F208" i="58"/>
  <c r="F250" i="58"/>
  <c r="F173" i="58"/>
  <c r="F34" i="58"/>
  <c r="F158" i="58"/>
  <c r="F120" i="65"/>
  <c r="F120" i="64"/>
  <c r="F243" i="58"/>
  <c r="F228" i="58"/>
  <c r="F128" i="58"/>
  <c r="F90" i="65"/>
  <c r="F90" i="64"/>
  <c r="H30" i="58"/>
  <c r="H43" i="58"/>
  <c r="H194" i="58"/>
  <c r="H248" i="58"/>
  <c r="H102" i="58"/>
  <c r="H64" i="65"/>
  <c r="I64" i="65" s="1"/>
  <c r="H64" i="64"/>
  <c r="I64" i="64" s="1"/>
  <c r="H64" i="63"/>
  <c r="I64" i="63" s="1"/>
  <c r="H54" i="58"/>
  <c r="H47" i="58"/>
  <c r="H84" i="58"/>
  <c r="H46" i="65"/>
  <c r="H46" i="63"/>
  <c r="H46" i="64"/>
  <c r="H38" i="58"/>
  <c r="H165" i="58"/>
  <c r="H49" i="58"/>
  <c r="H235" i="58"/>
  <c r="H142" i="58"/>
  <c r="H104" i="65"/>
  <c r="H104" i="64"/>
  <c r="H104" i="63"/>
  <c r="H208" i="58"/>
  <c r="H66" i="58"/>
  <c r="H28" i="65"/>
  <c r="H28" i="63"/>
  <c r="H28" i="64"/>
  <c r="H70" i="58"/>
  <c r="H32" i="65"/>
  <c r="H32" i="64"/>
  <c r="H32" i="63"/>
  <c r="H250" i="58"/>
  <c r="H71" i="58"/>
  <c r="H33" i="65"/>
  <c r="H33" i="64"/>
  <c r="H33" i="63"/>
  <c r="H173" i="58"/>
  <c r="H80" i="58"/>
  <c r="H42" i="64"/>
  <c r="I42" i="64" s="1"/>
  <c r="H42" i="63"/>
  <c r="I42" i="63" s="1"/>
  <c r="H42" i="65"/>
  <c r="I42" i="65" s="1"/>
  <c r="H34" i="58"/>
  <c r="H40" i="58"/>
  <c r="H158" i="58"/>
  <c r="H120" i="65"/>
  <c r="H120" i="64"/>
  <c r="H120" i="63"/>
  <c r="H82" i="58"/>
  <c r="H44" i="65"/>
  <c r="I44" i="65" s="1"/>
  <c r="H44" i="64"/>
  <c r="I44" i="64" s="1"/>
  <c r="H44" i="63"/>
  <c r="I44" i="63" s="1"/>
  <c r="H243" i="58"/>
  <c r="H224" i="58"/>
  <c r="H228" i="58"/>
  <c r="H203" i="58"/>
  <c r="H128" i="58"/>
  <c r="H90" i="63"/>
  <c r="H90" i="65"/>
  <c r="H90" i="64"/>
  <c r="D48" i="58"/>
  <c r="D136" i="58"/>
  <c r="D98" i="65"/>
  <c r="D98" i="64"/>
  <c r="D18" i="58"/>
  <c r="D16" i="58"/>
  <c r="D161" i="58"/>
  <c r="D75" i="58"/>
  <c r="D37" i="65"/>
  <c r="D37" i="64"/>
  <c r="D174" i="58"/>
  <c r="D72" i="58"/>
  <c r="D34" i="65"/>
  <c r="D34" i="64"/>
  <c r="D103" i="58"/>
  <c r="D65" i="65"/>
  <c r="D65" i="64"/>
  <c r="F167" i="58"/>
  <c r="F236" i="58"/>
  <c r="F24" i="58"/>
  <c r="F78" i="58"/>
  <c r="F40" i="65"/>
  <c r="F40" i="64"/>
  <c r="F16" i="58"/>
  <c r="F161" i="58"/>
  <c r="F75" i="58"/>
  <c r="F37" i="65"/>
  <c r="G37" i="65" s="1"/>
  <c r="F37" i="64"/>
  <c r="G37" i="64" s="1"/>
  <c r="F55" i="58"/>
  <c r="F17" i="64"/>
  <c r="F17" i="65"/>
  <c r="F110" i="58"/>
  <c r="F72" i="65"/>
  <c r="F72" i="64"/>
  <c r="F155" i="58"/>
  <c r="F117" i="65"/>
  <c r="F117" i="64"/>
  <c r="F17" i="58"/>
  <c r="H198" i="58"/>
  <c r="H63" i="58"/>
  <c r="H25" i="65"/>
  <c r="I25" i="65" s="1"/>
  <c r="H25" i="64"/>
  <c r="I25" i="64" s="1"/>
  <c r="H25" i="63"/>
  <c r="I25" i="63" s="1"/>
  <c r="H77" i="58"/>
  <c r="H39" i="65"/>
  <c r="I39" i="65" s="1"/>
  <c r="H39" i="64"/>
  <c r="I39" i="64" s="1"/>
  <c r="H39" i="63"/>
  <c r="I39" i="63" s="1"/>
  <c r="H35" i="58"/>
  <c r="H242" i="58"/>
  <c r="H211" i="58"/>
  <c r="H252" i="58"/>
  <c r="H174" i="58"/>
  <c r="H155" i="58"/>
  <c r="H117" i="65"/>
  <c r="H117" i="64"/>
  <c r="H117" i="63"/>
  <c r="H99" i="58"/>
  <c r="H61" i="65"/>
  <c r="H61" i="64"/>
  <c r="H61" i="63"/>
  <c r="D59" i="58"/>
  <c r="D21" i="64"/>
  <c r="D21" i="65"/>
  <c r="D43" i="58"/>
  <c r="D248" i="58"/>
  <c r="D54" i="58"/>
  <c r="D84" i="58"/>
  <c r="D46" i="65"/>
  <c r="D46" i="64"/>
  <c r="D165" i="58"/>
  <c r="D49" i="58"/>
  <c r="D142" i="58"/>
  <c r="D104" i="65"/>
  <c r="D104" i="64"/>
  <c r="D66" i="58"/>
  <c r="D28" i="65"/>
  <c r="D28" i="64"/>
  <c r="D250" i="58"/>
  <c r="D173" i="58"/>
  <c r="D34" i="58"/>
  <c r="D158" i="58"/>
  <c r="D120" i="65"/>
  <c r="D120" i="64"/>
  <c r="D243" i="58"/>
  <c r="D228" i="58"/>
  <c r="D128" i="58"/>
  <c r="D90" i="65"/>
  <c r="D90" i="64"/>
  <c r="F30" i="58"/>
  <c r="F248" i="58"/>
  <c r="F102" i="58"/>
  <c r="F64" i="65"/>
  <c r="G64" i="65" s="1"/>
  <c r="F64" i="64"/>
  <c r="G64" i="64" s="1"/>
  <c r="F47" i="58"/>
  <c r="F38" i="58"/>
  <c r="F49" i="58"/>
  <c r="F142" i="58"/>
  <c r="F104" i="65"/>
  <c r="F104" i="64"/>
  <c r="F66" i="58"/>
  <c r="F28" i="65"/>
  <c r="F28" i="64"/>
  <c r="F70" i="58"/>
  <c r="F32" i="65"/>
  <c r="F32" i="64"/>
  <c r="F71" i="58"/>
  <c r="F33" i="65"/>
  <c r="F33" i="64"/>
  <c r="F80" i="58"/>
  <c r="F42" i="65"/>
  <c r="G42" i="65" s="1"/>
  <c r="F42" i="64"/>
  <c r="G42" i="64" s="1"/>
  <c r="F40" i="58"/>
  <c r="F82" i="58"/>
  <c r="F44" i="65"/>
  <c r="G44" i="65" s="1"/>
  <c r="F44" i="64"/>
  <c r="G44" i="64" s="1"/>
  <c r="F224" i="58"/>
  <c r="F203" i="58"/>
  <c r="D188" i="58"/>
  <c r="D111" i="58"/>
  <c r="D73" i="65"/>
  <c r="D73" i="64"/>
  <c r="D169" i="58"/>
  <c r="D32" i="58"/>
  <c r="D256" i="58"/>
  <c r="D164" i="58"/>
  <c r="D226" i="58"/>
  <c r="D201" i="58"/>
  <c r="D157" i="58"/>
  <c r="D119" i="65"/>
  <c r="D119" i="64"/>
  <c r="D76" i="58"/>
  <c r="D38" i="64"/>
  <c r="D38" i="65"/>
  <c r="D120" i="58"/>
  <c r="D82" i="65"/>
  <c r="D82" i="64"/>
  <c r="D229" i="58"/>
  <c r="D237" i="58"/>
  <c r="D212" i="58"/>
  <c r="D114" i="58"/>
  <c r="D76" i="65"/>
  <c r="D76" i="64"/>
  <c r="D57" i="58"/>
  <c r="D19" i="65"/>
  <c r="D19" i="64"/>
  <c r="D26" i="58"/>
  <c r="D233" i="58"/>
  <c r="D163" i="58"/>
  <c r="D219" i="58"/>
  <c r="D217" i="58"/>
  <c r="D234" i="58"/>
  <c r="D29" i="58"/>
  <c r="D230" i="58"/>
  <c r="D88" i="58"/>
  <c r="D50" i="65"/>
  <c r="D50" i="64"/>
  <c r="D175" i="58"/>
  <c r="D143" i="58"/>
  <c r="D105" i="65"/>
  <c r="D105" i="64"/>
  <c r="D73" i="58"/>
  <c r="D35" i="65"/>
  <c r="D35" i="64"/>
  <c r="D105" i="58"/>
  <c r="D67" i="65"/>
  <c r="D67" i="64"/>
  <c r="F188" i="58"/>
  <c r="F111" i="58"/>
  <c r="F73" i="65"/>
  <c r="F73" i="64"/>
  <c r="F169" i="58"/>
  <c r="F32" i="58"/>
  <c r="F256" i="58"/>
  <c r="F164" i="58"/>
  <c r="F226" i="58"/>
  <c r="F201" i="58"/>
  <c r="F157" i="58"/>
  <c r="F119" i="65"/>
  <c r="F119" i="64"/>
  <c r="F76" i="58"/>
  <c r="F38" i="65"/>
  <c r="G38" i="65" s="1"/>
  <c r="F38" i="64"/>
  <c r="G38" i="64" s="1"/>
  <c r="F120" i="58"/>
  <c r="F82" i="65"/>
  <c r="F82" i="64"/>
  <c r="F229" i="58"/>
  <c r="F237" i="58"/>
  <c r="F212" i="58"/>
  <c r="F114" i="58"/>
  <c r="F76" i="65"/>
  <c r="F76" i="64"/>
  <c r="F57" i="58"/>
  <c r="F19" i="65"/>
  <c r="F19" i="64"/>
  <c r="F26" i="58"/>
  <c r="F233" i="58"/>
  <c r="F163" i="58"/>
  <c r="F219" i="58"/>
  <c r="F217" i="58"/>
  <c r="F234" i="58"/>
  <c r="F29" i="58"/>
  <c r="F230" i="58"/>
  <c r="F88" i="58"/>
  <c r="F50" i="65"/>
  <c r="F50" i="64"/>
  <c r="F175" i="58"/>
  <c r="F143" i="58"/>
  <c r="F105" i="65"/>
  <c r="G105" i="65" s="1"/>
  <c r="F105" i="64"/>
  <c r="G105" i="64" s="1"/>
  <c r="F73" i="58"/>
  <c r="F35" i="64"/>
  <c r="G35" i="64" s="1"/>
  <c r="G35" i="63"/>
  <c r="F35" i="65"/>
  <c r="G35" i="65" s="1"/>
  <c r="F105" i="58"/>
  <c r="F67" i="65"/>
  <c r="F67" i="64"/>
  <c r="H188" i="58"/>
  <c r="H111" i="58"/>
  <c r="H73" i="65"/>
  <c r="H73" i="64"/>
  <c r="H73" i="63"/>
  <c r="H169" i="58"/>
  <c r="H32" i="58"/>
  <c r="H256" i="58"/>
  <c r="H164" i="58"/>
  <c r="H226" i="58"/>
  <c r="H201" i="58"/>
  <c r="H157" i="58"/>
  <c r="H119" i="65"/>
  <c r="H119" i="64"/>
  <c r="H119" i="63"/>
  <c r="H76" i="58"/>
  <c r="H38" i="65"/>
  <c r="I38" i="65" s="1"/>
  <c r="H38" i="64"/>
  <c r="I38" i="64" s="1"/>
  <c r="H38" i="63"/>
  <c r="I38" i="63" s="1"/>
  <c r="H120" i="58"/>
  <c r="H82" i="65"/>
  <c r="H82" i="64"/>
  <c r="H82" i="63"/>
  <c r="H229" i="58"/>
  <c r="H237" i="58"/>
  <c r="H212" i="58"/>
  <c r="H114" i="58"/>
  <c r="H76" i="65"/>
  <c r="H76" i="64"/>
  <c r="H76" i="63"/>
  <c r="H57" i="58"/>
  <c r="H19" i="65"/>
  <c r="H19" i="64"/>
  <c r="H19" i="63"/>
  <c r="H26" i="58"/>
  <c r="H233" i="58"/>
  <c r="H163" i="58"/>
  <c r="H219" i="58"/>
  <c r="H217" i="58"/>
  <c r="H234" i="58"/>
  <c r="H29" i="58"/>
  <c r="H230" i="58"/>
  <c r="H88" i="58"/>
  <c r="H50" i="65"/>
  <c r="H50" i="64"/>
  <c r="H50" i="63"/>
  <c r="H175" i="58"/>
  <c r="H143" i="58"/>
  <c r="H105" i="65"/>
  <c r="I105" i="65" s="1"/>
  <c r="H105" i="64"/>
  <c r="I105" i="64" s="1"/>
  <c r="H105" i="63"/>
  <c r="I105" i="63" s="1"/>
  <c r="H73" i="58"/>
  <c r="H35" i="65"/>
  <c r="I35" i="65" s="1"/>
  <c r="H35" i="63"/>
  <c r="I35" i="63" s="1"/>
  <c r="H35" i="64"/>
  <c r="I35" i="64" s="1"/>
  <c r="H105" i="58"/>
  <c r="H67" i="65"/>
  <c r="H67" i="64"/>
  <c r="H67" i="63"/>
  <c r="D63" i="58"/>
  <c r="D25" i="65"/>
  <c r="D25" i="64"/>
  <c r="D55" i="58"/>
  <c r="D17" i="65"/>
  <c r="D17" i="64"/>
  <c r="H171" i="58"/>
  <c r="D159" i="58"/>
  <c r="D121" i="64"/>
  <c r="D121" i="65"/>
  <c r="D202" i="58"/>
  <c r="D205" i="58"/>
  <c r="D186" i="58"/>
  <c r="D178" i="58"/>
  <c r="D86" i="58"/>
  <c r="D48" i="65"/>
  <c r="D48" i="64"/>
  <c r="D218" i="58"/>
  <c r="D261" i="58"/>
  <c r="D257" i="58"/>
  <c r="D126" i="58"/>
  <c r="D88" i="65"/>
  <c r="D88" i="64"/>
  <c r="D135" i="58"/>
  <c r="D97" i="65"/>
  <c r="D97" i="64"/>
  <c r="D221" i="58"/>
  <c r="D206" i="58"/>
  <c r="D118" i="65"/>
  <c r="D118" i="64"/>
  <c r="D156" i="58"/>
  <c r="D122" i="58"/>
  <c r="D84" i="65"/>
  <c r="D84" i="64"/>
  <c r="D127" i="58"/>
  <c r="D89" i="65"/>
  <c r="D89" i="64"/>
  <c r="D37" i="58"/>
  <c r="D22" i="58"/>
  <c r="D170" i="58"/>
  <c r="D28" i="58"/>
  <c r="D134" i="58"/>
  <c r="D96" i="65"/>
  <c r="D96" i="64"/>
  <c r="D116" i="58"/>
  <c r="D78" i="65"/>
  <c r="D78" i="64"/>
  <c r="D97" i="58"/>
  <c r="D59" i="65"/>
  <c r="D59" i="64"/>
  <c r="D69" i="58"/>
  <c r="D31" i="65"/>
  <c r="D31" i="64"/>
  <c r="D262" i="58"/>
  <c r="D45" i="58"/>
  <c r="D139" i="58"/>
  <c r="D101" i="65"/>
  <c r="D101" i="64"/>
  <c r="D81" i="58"/>
  <c r="D43" i="65"/>
  <c r="D43" i="64"/>
  <c r="F65" i="58"/>
  <c r="F27" i="65"/>
  <c r="F27" i="64"/>
  <c r="F159" i="58"/>
  <c r="F121" i="65"/>
  <c r="F121" i="64"/>
  <c r="F202" i="58"/>
  <c r="F205" i="58"/>
  <c r="F186" i="58"/>
  <c r="F178" i="58"/>
  <c r="F86" i="58"/>
  <c r="F48" i="65"/>
  <c r="F48" i="64"/>
  <c r="F218" i="58"/>
  <c r="F261" i="58"/>
  <c r="F257" i="58"/>
  <c r="F126" i="58"/>
  <c r="F88" i="64"/>
  <c r="F88" i="65"/>
  <c r="F135" i="58"/>
  <c r="F97" i="65"/>
  <c r="G97" i="65" s="1"/>
  <c r="F97" i="64"/>
  <c r="G97" i="64" s="1"/>
  <c r="F221" i="58"/>
  <c r="F206" i="58"/>
  <c r="F156" i="58"/>
  <c r="F118" i="65"/>
  <c r="F118" i="64"/>
  <c r="F122" i="58"/>
  <c r="F84" i="65"/>
  <c r="G84" i="65" s="1"/>
  <c r="F84" i="64"/>
  <c r="G84" i="64" s="1"/>
  <c r="F127" i="58"/>
  <c r="F89" i="65"/>
  <c r="F89" i="64"/>
  <c r="F37" i="58"/>
  <c r="F22" i="58"/>
  <c r="F170" i="58"/>
  <c r="F28" i="58"/>
  <c r="F134" i="58"/>
  <c r="F96" i="65"/>
  <c r="F96" i="64"/>
  <c r="F116" i="58"/>
  <c r="F78" i="65"/>
  <c r="F78" i="64"/>
  <c r="F97" i="58"/>
  <c r="F59" i="65"/>
  <c r="G59" i="65" s="1"/>
  <c r="F59" i="64"/>
  <c r="G59" i="64" s="1"/>
  <c r="F69" i="58"/>
  <c r="F31" i="65"/>
  <c r="F31" i="64"/>
  <c r="F262" i="58"/>
  <c r="F45" i="58"/>
  <c r="F139" i="58"/>
  <c r="F101" i="65"/>
  <c r="G101" i="65" s="1"/>
  <c r="F101" i="64"/>
  <c r="G101" i="64" s="1"/>
  <c r="F81" i="58"/>
  <c r="F43" i="65"/>
  <c r="F43" i="64"/>
  <c r="H65" i="58"/>
  <c r="H27" i="65"/>
  <c r="H27" i="64"/>
  <c r="H27" i="63"/>
  <c r="H159" i="58"/>
  <c r="H121" i="64"/>
  <c r="H121" i="65"/>
  <c r="H121" i="63"/>
  <c r="H202" i="58"/>
  <c r="H205" i="58"/>
  <c r="H186" i="58"/>
  <c r="H178" i="58"/>
  <c r="H86" i="58"/>
  <c r="H48" i="65"/>
  <c r="H48" i="64"/>
  <c r="H48" i="63"/>
  <c r="H218" i="58"/>
  <c r="H261" i="58"/>
  <c r="H257" i="58"/>
  <c r="H126" i="58"/>
  <c r="H88" i="65"/>
  <c r="H88" i="64"/>
  <c r="H88" i="63"/>
  <c r="H135" i="58"/>
  <c r="H97" i="65"/>
  <c r="I97" i="65" s="1"/>
  <c r="H97" i="64"/>
  <c r="I97" i="64" s="1"/>
  <c r="H97" i="63"/>
  <c r="I97" i="63" s="1"/>
  <c r="H221" i="58"/>
  <c r="H206" i="58"/>
  <c r="H156" i="58"/>
  <c r="H118" i="64"/>
  <c r="H118" i="65"/>
  <c r="H118" i="63"/>
  <c r="H122" i="58"/>
  <c r="H84" i="65"/>
  <c r="I84" i="65" s="1"/>
  <c r="H84" i="64"/>
  <c r="I84" i="64" s="1"/>
  <c r="H84" i="63"/>
  <c r="I84" i="63" s="1"/>
  <c r="H127" i="58"/>
  <c r="H89" i="65"/>
  <c r="H89" i="64"/>
  <c r="H89" i="63"/>
  <c r="H37" i="58"/>
  <c r="H22" i="58"/>
  <c r="H170" i="58"/>
  <c r="H28" i="58"/>
  <c r="H134" i="58"/>
  <c r="H96" i="63"/>
  <c r="H96" i="65"/>
  <c r="H96" i="64"/>
  <c r="H116" i="58"/>
  <c r="H78" i="63"/>
  <c r="H78" i="65"/>
  <c r="H78" i="64"/>
  <c r="H97" i="58"/>
  <c r="H59" i="65"/>
  <c r="I59" i="65" s="1"/>
  <c r="H59" i="64"/>
  <c r="I59" i="64" s="1"/>
  <c r="H59" i="63"/>
  <c r="I59" i="63" s="1"/>
  <c r="H69" i="58"/>
  <c r="H31" i="65"/>
  <c r="H31" i="64"/>
  <c r="H31" i="63"/>
  <c r="H262" i="58"/>
  <c r="H45" i="58"/>
  <c r="H139" i="58"/>
  <c r="H101" i="65"/>
  <c r="I101" i="65" s="1"/>
  <c r="H101" i="64"/>
  <c r="I101" i="64" s="1"/>
  <c r="H101" i="63"/>
  <c r="I101" i="63" s="1"/>
  <c r="H81" i="58"/>
  <c r="H43" i="65"/>
  <c r="H43" i="64"/>
  <c r="H43" i="63"/>
  <c r="D65" i="58"/>
  <c r="D27" i="65"/>
  <c r="D27" i="64"/>
  <c r="D39" i="58"/>
  <c r="D152" i="58"/>
  <c r="D114" i="65"/>
  <c r="D114" i="64"/>
  <c r="D85" i="58"/>
  <c r="D47" i="65"/>
  <c r="D47" i="64"/>
  <c r="D106" i="58"/>
  <c r="D68" i="65"/>
  <c r="D68" i="64"/>
  <c r="D187" i="58"/>
  <c r="D53" i="58"/>
  <c r="D247" i="58"/>
  <c r="D64" i="58"/>
  <c r="D26" i="65"/>
  <c r="D26" i="64"/>
  <c r="D189" i="58"/>
  <c r="D245" i="58"/>
  <c r="D42" i="58"/>
  <c r="D83" i="58"/>
  <c r="D45" i="65"/>
  <c r="D45" i="64"/>
  <c r="D145" i="58"/>
  <c r="D107" i="65"/>
  <c r="D107" i="64"/>
  <c r="D137" i="58"/>
  <c r="D99" i="65"/>
  <c r="D99" i="64"/>
  <c r="D36" i="58"/>
  <c r="D176" i="58"/>
  <c r="D232" i="58"/>
  <c r="D107" i="58"/>
  <c r="D69" i="65"/>
  <c r="D69" i="64"/>
  <c r="D31" i="58"/>
  <c r="D220" i="58"/>
  <c r="D183" i="58"/>
  <c r="D259" i="58"/>
  <c r="D130" i="58"/>
  <c r="D92" i="65"/>
  <c r="D92" i="64"/>
  <c r="D46" i="58"/>
  <c r="D112" i="58"/>
  <c r="D74" i="65"/>
  <c r="D74" i="64"/>
  <c r="D154" i="58"/>
  <c r="D116" i="64"/>
  <c r="D116" i="65"/>
  <c r="D214" i="58"/>
  <c r="D94" i="58"/>
  <c r="D56" i="64"/>
  <c r="D56" i="65"/>
  <c r="D168" i="58"/>
  <c r="F39" i="58"/>
  <c r="F152" i="58"/>
  <c r="F114" i="64"/>
  <c r="F114" i="65"/>
  <c r="F85" i="58"/>
  <c r="F47" i="64"/>
  <c r="F47" i="65"/>
  <c r="F106" i="58"/>
  <c r="F68" i="65"/>
  <c r="G68" i="65" s="1"/>
  <c r="F68" i="64"/>
  <c r="G68" i="64" s="1"/>
  <c r="F187" i="58"/>
  <c r="F53" i="58"/>
  <c r="F247" i="58"/>
  <c r="F64" i="58"/>
  <c r="F26" i="65"/>
  <c r="G26" i="65" s="1"/>
  <c r="F26" i="64"/>
  <c r="G26" i="64" s="1"/>
  <c r="F189" i="58"/>
  <c r="F245" i="58"/>
  <c r="F42" i="58"/>
  <c r="F83" i="58"/>
  <c r="F45" i="65"/>
  <c r="F45" i="64"/>
  <c r="F145" i="58"/>
  <c r="F107" i="65"/>
  <c r="F107" i="64"/>
  <c r="F137" i="58"/>
  <c r="F99" i="65"/>
  <c r="F99" i="64"/>
  <c r="F36" i="58"/>
  <c r="F176" i="58"/>
  <c r="F232" i="58"/>
  <c r="F107" i="58"/>
  <c r="F69" i="65"/>
  <c r="F69" i="64"/>
  <c r="F31" i="58"/>
  <c r="F220" i="58"/>
  <c r="F183" i="58"/>
  <c r="F259" i="58"/>
  <c r="F130" i="58"/>
  <c r="F92" i="65"/>
  <c r="F92" i="64"/>
  <c r="F46" i="58"/>
  <c r="F112" i="58"/>
  <c r="F74" i="65"/>
  <c r="G74" i="65" s="1"/>
  <c r="F74" i="64"/>
  <c r="G74" i="64" s="1"/>
  <c r="F154" i="58"/>
  <c r="F116" i="65"/>
  <c r="F116" i="64"/>
  <c r="F214" i="58"/>
  <c r="F94" i="58"/>
  <c r="F56" i="65"/>
  <c r="F56" i="64"/>
  <c r="F168" i="58"/>
  <c r="H39" i="58"/>
  <c r="H152" i="58"/>
  <c r="H114" i="65"/>
  <c r="H114" i="63"/>
  <c r="H114" i="64"/>
  <c r="H85" i="58"/>
  <c r="H47" i="65"/>
  <c r="H47" i="64"/>
  <c r="H47" i="63"/>
  <c r="H106" i="58"/>
  <c r="H68" i="65"/>
  <c r="I68" i="65" s="1"/>
  <c r="H68" i="64"/>
  <c r="I68" i="64" s="1"/>
  <c r="H68" i="63"/>
  <c r="I68" i="63" s="1"/>
  <c r="H187" i="58"/>
  <c r="H53" i="58"/>
  <c r="H247" i="58"/>
  <c r="H64" i="58"/>
  <c r="H26" i="65"/>
  <c r="I26" i="65" s="1"/>
  <c r="H26" i="64"/>
  <c r="I26" i="64" s="1"/>
  <c r="H26" i="63"/>
  <c r="I26" i="63" s="1"/>
  <c r="H189" i="58"/>
  <c r="H245" i="58"/>
  <c r="H42" i="58"/>
  <c r="H83" i="58"/>
  <c r="H45" i="65"/>
  <c r="H45" i="64"/>
  <c r="H45" i="63"/>
  <c r="H145" i="58"/>
  <c r="H107" i="65"/>
  <c r="H107" i="64"/>
  <c r="H107" i="63"/>
  <c r="H137" i="58"/>
  <c r="H99" i="65"/>
  <c r="H99" i="64"/>
  <c r="H99" i="63"/>
  <c r="H36" i="58"/>
  <c r="H176" i="58"/>
  <c r="H232" i="58"/>
  <c r="H107" i="58"/>
  <c r="H69" i="65"/>
  <c r="H69" i="64"/>
  <c r="H69" i="63"/>
  <c r="H31" i="58"/>
  <c r="H220" i="58"/>
  <c r="H183" i="58"/>
  <c r="H259" i="58"/>
  <c r="H130" i="58"/>
  <c r="H92" i="65"/>
  <c r="H92" i="64"/>
  <c r="H92" i="63"/>
  <c r="H46" i="58"/>
  <c r="H112" i="58"/>
  <c r="H74" i="65"/>
  <c r="I74" i="65" s="1"/>
  <c r="H74" i="64"/>
  <c r="I74" i="64" s="1"/>
  <c r="H74" i="63"/>
  <c r="I74" i="63" s="1"/>
  <c r="H154" i="58"/>
  <c r="H116" i="64"/>
  <c r="H116" i="63"/>
  <c r="H214" i="58"/>
  <c r="H94" i="58"/>
  <c r="H56" i="65"/>
  <c r="H56" i="64"/>
  <c r="H56" i="63"/>
  <c r="H168" i="58"/>
  <c r="E53" i="48"/>
  <c r="E49" i="48"/>
  <c r="E51" i="48"/>
  <c r="G15" i="48"/>
  <c r="E66" i="48"/>
  <c r="E16" i="48"/>
  <c r="E96" i="48"/>
  <c r="E106" i="48"/>
  <c r="E27" i="48"/>
  <c r="I27" i="48" s="1"/>
  <c r="E99" i="48"/>
  <c r="I99" i="48" s="1"/>
  <c r="H75" i="48"/>
  <c r="H15" i="53"/>
  <c r="H83" i="48"/>
  <c r="H37" i="61"/>
  <c r="H36" i="61"/>
  <c r="H53" i="48"/>
  <c r="H38" i="61"/>
  <c r="H26" i="53"/>
  <c r="H71" i="48"/>
  <c r="I71" i="48" s="1"/>
  <c r="H86" i="48"/>
  <c r="H46" i="66"/>
  <c r="H47" i="66"/>
  <c r="H80" i="48"/>
  <c r="I80" i="48" s="1"/>
  <c r="H25" i="62"/>
  <c r="H51" i="66"/>
  <c r="H18" i="48"/>
  <c r="I18" i="48" s="1"/>
  <c r="H23" i="47"/>
  <c r="H16" i="62"/>
  <c r="H20" i="48"/>
  <c r="H29" i="56"/>
  <c r="H31" i="56"/>
  <c r="H63" i="66"/>
  <c r="H108" i="48"/>
  <c r="H87" i="48"/>
  <c r="H38" i="66"/>
  <c r="H91" i="48"/>
  <c r="H30" i="48"/>
  <c r="H19" i="47"/>
  <c r="H22" i="48"/>
  <c r="I22" i="48" s="1"/>
  <c r="H66" i="48"/>
  <c r="H102" i="48"/>
  <c r="I102" i="48" s="1"/>
  <c r="H36" i="48"/>
  <c r="I36" i="48" s="1"/>
  <c r="H19" i="61"/>
  <c r="H55" i="48"/>
  <c r="H54" i="48"/>
  <c r="H111" i="48"/>
  <c r="I111" i="48" s="1"/>
  <c r="H51" i="48"/>
  <c r="H109" i="48"/>
  <c r="I109" i="48" s="1"/>
  <c r="H52" i="48"/>
  <c r="I52" i="48" s="1"/>
  <c r="H79" i="48"/>
  <c r="I79" i="48" s="1"/>
  <c r="H69" i="66"/>
  <c r="H85" i="48"/>
  <c r="I85" i="48" s="1"/>
  <c r="H21" i="47"/>
  <c r="H49" i="66"/>
  <c r="H22" i="62"/>
  <c r="H16" i="66"/>
  <c r="H27" i="61"/>
  <c r="H58" i="48"/>
  <c r="I58" i="48" s="1"/>
  <c r="H21" i="53"/>
  <c r="H54" i="66"/>
  <c r="H16" i="56"/>
  <c r="H25" i="47"/>
  <c r="H106" i="48"/>
  <c r="H49" i="48"/>
  <c r="H24" i="53"/>
  <c r="H15" i="47"/>
  <c r="H70" i="48"/>
  <c r="H36" i="66"/>
  <c r="H29" i="48"/>
  <c r="H95" i="48"/>
  <c r="I95" i="48" s="1"/>
  <c r="H22" i="53"/>
  <c r="H33" i="66"/>
  <c r="H34" i="66"/>
  <c r="H112" i="48"/>
  <c r="I112" i="48" s="1"/>
  <c r="H18" i="62"/>
  <c r="H67" i="66"/>
  <c r="H27" i="47"/>
  <c r="H31" i="66"/>
  <c r="H57" i="48"/>
  <c r="H35" i="66"/>
  <c r="H81" i="48"/>
  <c r="I81" i="48" s="1"/>
  <c r="H50" i="66"/>
  <c r="H53" i="66"/>
  <c r="H21" i="48"/>
  <c r="I49" i="48" l="1"/>
  <c r="I106" i="48"/>
  <c r="I53" i="48"/>
  <c r="G96" i="48"/>
  <c r="I96" i="48"/>
  <c r="I66" i="48"/>
  <c r="I51" i="48"/>
  <c r="G113" i="65"/>
  <c r="G16" i="48"/>
  <c r="G99" i="48"/>
  <c r="G27" i="48"/>
  <c r="E119" i="48"/>
  <c r="I119" i="48" s="1"/>
  <c r="E98" i="48"/>
  <c r="I98" i="48" s="1"/>
  <c r="E73" i="48"/>
  <c r="I73" i="48" s="1"/>
  <c r="I114" i="63"/>
  <c r="E45" i="48"/>
  <c r="I45" i="48" s="1"/>
  <c r="I77" i="63"/>
  <c r="I110" i="63"/>
  <c r="I122" i="63"/>
  <c r="I15" i="48"/>
  <c r="I61" i="63"/>
  <c r="E107" i="48"/>
  <c r="I107" i="48" s="1"/>
  <c r="I115" i="63"/>
  <c r="I56" i="63"/>
  <c r="E120" i="48"/>
  <c r="I120" i="48" s="1"/>
  <c r="E121" i="48"/>
  <c r="I121" i="48" s="1"/>
  <c r="E100" i="48"/>
  <c r="I100" i="48" s="1"/>
  <c r="E40" i="48"/>
  <c r="I40" i="48" s="1"/>
  <c r="E104" i="48"/>
  <c r="I104" i="48" s="1"/>
  <c r="I16" i="48"/>
  <c r="G61" i="65"/>
  <c r="G61" i="64"/>
  <c r="I113" i="63"/>
  <c r="E50" i="48"/>
  <c r="I50" i="48" s="1"/>
  <c r="E67" i="48"/>
  <c r="I67" i="48" s="1"/>
  <c r="E43" i="48"/>
  <c r="I43" i="48" s="1"/>
  <c r="H133" i="58"/>
  <c r="H95" i="65"/>
  <c r="I95" i="65" s="1"/>
  <c r="H95" i="64"/>
  <c r="I95" i="64" s="1"/>
  <c r="H95" i="63"/>
  <c r="I95" i="63" s="1"/>
  <c r="H123" i="58"/>
  <c r="H85" i="65"/>
  <c r="I85" i="65" s="1"/>
  <c r="H85" i="64"/>
  <c r="I85" i="64" s="1"/>
  <c r="H85" i="63"/>
  <c r="I85" i="63" s="1"/>
  <c r="H193" i="58"/>
  <c r="H251" i="58"/>
  <c r="H41" i="58"/>
  <c r="H60" i="58"/>
  <c r="H22" i="65"/>
  <c r="I22" i="65" s="1"/>
  <c r="H22" i="64"/>
  <c r="I22" i="64" s="1"/>
  <c r="H22" i="63"/>
  <c r="I22" i="63" s="1"/>
  <c r="H23" i="58"/>
  <c r="H196" i="58"/>
  <c r="H96" i="58"/>
  <c r="H58" i="65"/>
  <c r="I58" i="65" s="1"/>
  <c r="H58" i="64"/>
  <c r="I58" i="64" s="1"/>
  <c r="H58" i="63"/>
  <c r="I58" i="63" s="1"/>
  <c r="H104" i="58"/>
  <c r="H66" i="65"/>
  <c r="H66" i="63"/>
  <c r="H66" i="64"/>
  <c r="H125" i="58"/>
  <c r="H87" i="65"/>
  <c r="H87" i="64"/>
  <c r="H87" i="63"/>
  <c r="H91" i="58"/>
  <c r="H53" i="64"/>
  <c r="H53" i="65"/>
  <c r="H53" i="63"/>
  <c r="H119" i="58"/>
  <c r="H81" i="65"/>
  <c r="I81" i="65" s="1"/>
  <c r="H81" i="64"/>
  <c r="I81" i="64" s="1"/>
  <c r="H81" i="63"/>
  <c r="I81" i="63" s="1"/>
  <c r="H67" i="58"/>
  <c r="H29" i="65"/>
  <c r="H29" i="64"/>
  <c r="H29" i="63"/>
  <c r="H215" i="58"/>
  <c r="H92" i="58"/>
  <c r="H54" i="63"/>
  <c r="H54" i="65"/>
  <c r="H54" i="64"/>
  <c r="H146" i="58"/>
  <c r="H108" i="63"/>
  <c r="H108" i="65"/>
  <c r="H108" i="64"/>
  <c r="H50" i="58"/>
  <c r="H181" i="58"/>
  <c r="H150" i="58"/>
  <c r="H112" i="65"/>
  <c r="H112" i="64"/>
  <c r="H112" i="63"/>
  <c r="I112" i="63" s="1"/>
  <c r="H182" i="58"/>
  <c r="H25" i="58"/>
  <c r="H162" i="58"/>
  <c r="H117" i="58"/>
  <c r="H79" i="65"/>
  <c r="H79" i="64"/>
  <c r="H79" i="63"/>
  <c r="I79" i="63" s="1"/>
  <c r="H93" i="58"/>
  <c r="H55" i="65"/>
  <c r="H55" i="64"/>
  <c r="H55" i="63"/>
  <c r="H19" i="58"/>
  <c r="H209" i="58"/>
  <c r="H56" i="58"/>
  <c r="H18" i="64"/>
  <c r="I18" i="64" s="1"/>
  <c r="H18" i="65"/>
  <c r="I18" i="65" s="1"/>
  <c r="H18" i="63"/>
  <c r="I18" i="63" s="1"/>
  <c r="H124" i="58"/>
  <c r="H86" i="65"/>
  <c r="H86" i="64"/>
  <c r="H86" i="63"/>
  <c r="H51" i="58"/>
  <c r="H149" i="58"/>
  <c r="H111" i="65"/>
  <c r="H111" i="64"/>
  <c r="H111" i="63"/>
  <c r="H95" i="58"/>
  <c r="H57" i="65"/>
  <c r="H57" i="64"/>
  <c r="H57" i="63"/>
  <c r="H180" i="58"/>
  <c r="H108" i="58"/>
  <c r="H70" i="65"/>
  <c r="H70" i="64"/>
  <c r="H70" i="63"/>
  <c r="H231" i="58"/>
  <c r="H255" i="58"/>
  <c r="H90" i="58"/>
  <c r="H52" i="65"/>
  <c r="H52" i="63"/>
  <c r="I52" i="63" s="1"/>
  <c r="H52" i="64"/>
  <c r="H33" i="58"/>
  <c r="H68" i="58"/>
  <c r="H30" i="65"/>
  <c r="H30" i="64"/>
  <c r="H30" i="63"/>
  <c r="H246" i="58"/>
  <c r="H197" i="58"/>
  <c r="H109" i="58"/>
  <c r="H71" i="65"/>
  <c r="I71" i="65" s="1"/>
  <c r="H71" i="64"/>
  <c r="I71" i="64" s="1"/>
  <c r="H71" i="63"/>
  <c r="I71" i="63" s="1"/>
  <c r="H121" i="58"/>
  <c r="H83" i="65"/>
  <c r="H83" i="64"/>
  <c r="H83" i="63"/>
  <c r="H87" i="58"/>
  <c r="H49" i="65"/>
  <c r="H49" i="64"/>
  <c r="H49" i="63"/>
  <c r="H249" i="58"/>
  <c r="H144" i="58"/>
  <c r="H106" i="65"/>
  <c r="H106" i="64"/>
  <c r="H106" i="63"/>
  <c r="H192" i="58"/>
  <c r="H59" i="58"/>
  <c r="H21" i="65"/>
  <c r="H21" i="64"/>
  <c r="H21" i="63"/>
  <c r="H177" i="58"/>
  <c r="H179" i="58"/>
  <c r="H15" i="58"/>
  <c r="H200" i="58"/>
  <c r="H195" i="58"/>
  <c r="H147" i="58"/>
  <c r="H109" i="65"/>
  <c r="H109" i="64"/>
  <c r="H109" i="63"/>
  <c r="I109" i="63" s="1"/>
  <c r="H74" i="58"/>
  <c r="H36" i="64"/>
  <c r="I36" i="64" s="1"/>
  <c r="H36" i="65"/>
  <c r="I36" i="65" s="1"/>
  <c r="H36" i="63"/>
  <c r="I36" i="63" s="1"/>
  <c r="H129" i="58"/>
  <c r="H91" i="65"/>
  <c r="H91" i="64"/>
  <c r="H91" i="63"/>
  <c r="H244" i="58"/>
  <c r="H258" i="58"/>
  <c r="H227" i="58"/>
  <c r="H216" i="58"/>
  <c r="H213" i="58"/>
  <c r="H199" i="58"/>
  <c r="H27" i="58"/>
  <c r="H223" i="58"/>
  <c r="H225" i="58"/>
  <c r="H222" i="58"/>
  <c r="H21" i="58"/>
  <c r="H89" i="58"/>
  <c r="H51" i="65"/>
  <c r="H51" i="64"/>
  <c r="H51" i="63"/>
  <c r="H140" i="58"/>
  <c r="H102" i="65"/>
  <c r="I102" i="65" s="1"/>
  <c r="H102" i="64"/>
  <c r="I102" i="64" s="1"/>
  <c r="H102" i="63"/>
  <c r="I102" i="63" s="1"/>
  <c r="H184" i="58"/>
  <c r="H58" i="58"/>
  <c r="H20" i="65"/>
  <c r="H20" i="64"/>
  <c r="H20" i="63"/>
  <c r="H118" i="58"/>
  <c r="H80" i="65"/>
  <c r="I80" i="65" s="1"/>
  <c r="H80" i="64"/>
  <c r="I80" i="64" s="1"/>
  <c r="H80" i="63"/>
  <c r="I80" i="63" s="1"/>
  <c r="H52" i="58"/>
  <c r="H113" i="58"/>
  <c r="H75" i="65"/>
  <c r="H75" i="64"/>
  <c r="H75" i="63"/>
  <c r="I111" i="63"/>
  <c r="I28" i="63"/>
  <c r="E16" i="63"/>
  <c r="G16" i="63" s="1"/>
  <c r="E15" i="63"/>
  <c r="G15" i="63" s="1"/>
  <c r="F46" i="66"/>
  <c r="F47" i="66"/>
  <c r="F38" i="66"/>
  <c r="F15" i="53"/>
  <c r="F38" i="61"/>
  <c r="F50" i="66"/>
  <c r="F33" i="66"/>
  <c r="F22" i="53"/>
  <c r="F49" i="66"/>
  <c r="F21" i="47"/>
  <c r="F27" i="47"/>
  <c r="F19" i="61"/>
  <c r="F27" i="61"/>
  <c r="F21" i="53"/>
  <c r="F54" i="66"/>
  <c r="F22" i="62"/>
  <c r="F16" i="66"/>
  <c r="F34" i="66"/>
  <c r="F29" i="56"/>
  <c r="F25" i="62"/>
  <c r="F31" i="56"/>
  <c r="F31" i="66"/>
  <c r="F36" i="61"/>
  <c r="F18" i="62"/>
  <c r="F69" i="66"/>
  <c r="F15" i="47"/>
  <c r="F25" i="47"/>
  <c r="F67" i="66"/>
  <c r="F24" i="53"/>
  <c r="F36" i="66"/>
  <c r="F51" i="66"/>
  <c r="F63" i="66"/>
  <c r="F23" i="47"/>
  <c r="F16" i="62"/>
  <c r="F35" i="66"/>
  <c r="F37" i="61"/>
  <c r="F26" i="53"/>
  <c r="F53" i="66"/>
  <c r="F16" i="56"/>
  <c r="F19" i="47"/>
  <c r="D46" i="66"/>
  <c r="D47" i="66"/>
  <c r="D38" i="66"/>
  <c r="D15" i="53"/>
  <c r="D38" i="61"/>
  <c r="D50" i="66"/>
  <c r="D33" i="66"/>
  <c r="D22" i="53"/>
  <c r="D49" i="66"/>
  <c r="D21" i="47"/>
  <c r="D27" i="47"/>
  <c r="D19" i="61"/>
  <c r="D27" i="61"/>
  <c r="D21" i="53"/>
  <c r="D54" i="66"/>
  <c r="D22" i="62"/>
  <c r="D16" i="66"/>
  <c r="D34" i="66"/>
  <c r="D29" i="56"/>
  <c r="D25" i="62"/>
  <c r="D31" i="56"/>
  <c r="D31" i="66"/>
  <c r="D36" i="61"/>
  <c r="D18" i="62"/>
  <c r="D69" i="66"/>
  <c r="D15" i="47"/>
  <c r="D25" i="47"/>
  <c r="D67" i="66"/>
  <c r="D24" i="53"/>
  <c r="D36" i="66"/>
  <c r="D51" i="66"/>
  <c r="D63" i="66"/>
  <c r="D23" i="47"/>
  <c r="D16" i="62"/>
  <c r="D35" i="66"/>
  <c r="D37" i="61"/>
  <c r="D26" i="53"/>
  <c r="D53" i="66"/>
  <c r="D16" i="56"/>
  <c r="D19" i="47"/>
  <c r="E31" i="48"/>
  <c r="I31" i="48" s="1"/>
  <c r="E24" i="48"/>
  <c r="I24" i="48" s="1"/>
  <c r="E17" i="48"/>
  <c r="I17" i="48" s="1"/>
  <c r="G27" i="63" l="1"/>
  <c r="I27" i="63"/>
  <c r="G60" i="63"/>
  <c r="I60" i="63"/>
  <c r="G121" i="63"/>
  <c r="I121" i="63"/>
  <c r="I79" i="64"/>
  <c r="I109" i="65"/>
  <c r="I79" i="65"/>
  <c r="G113" i="64"/>
  <c r="I61" i="64"/>
  <c r="I15" i="63"/>
  <c r="I16" i="63"/>
  <c r="I49" i="64"/>
  <c r="I53" i="64"/>
  <c r="G40" i="48"/>
  <c r="G120" i="48"/>
  <c r="G107" i="48"/>
  <c r="G114" i="63"/>
  <c r="G98" i="48"/>
  <c r="E90" i="48"/>
  <c r="I90" i="48" s="1"/>
  <c r="D81" i="63"/>
  <c r="D81" i="48"/>
  <c r="D54" i="63"/>
  <c r="D54" i="48"/>
  <c r="D53" i="48"/>
  <c r="D53" i="63"/>
  <c r="D18" i="63"/>
  <c r="D18" i="48"/>
  <c r="F108" i="48"/>
  <c r="F108" i="63"/>
  <c r="F95" i="63"/>
  <c r="G95" i="63" s="1"/>
  <c r="F95" i="48"/>
  <c r="G95" i="48" s="1"/>
  <c r="F20" i="63"/>
  <c r="F20" i="48"/>
  <c r="F102" i="63"/>
  <c r="G102" i="63" s="1"/>
  <c r="F102" i="48"/>
  <c r="G102" i="48" s="1"/>
  <c r="F51" i="63"/>
  <c r="F51" i="48"/>
  <c r="G51" i="48" s="1"/>
  <c r="F87" i="63"/>
  <c r="F87" i="48"/>
  <c r="F30" i="63"/>
  <c r="F30" i="48"/>
  <c r="G119" i="65"/>
  <c r="G119" i="64"/>
  <c r="I67" i="63"/>
  <c r="I107" i="63"/>
  <c r="I109" i="64"/>
  <c r="G50" i="48"/>
  <c r="I61" i="65"/>
  <c r="G56" i="63"/>
  <c r="G77" i="63"/>
  <c r="G45" i="48"/>
  <c r="G115" i="65"/>
  <c r="D22" i="63"/>
  <c r="D22" i="48"/>
  <c r="D83" i="48"/>
  <c r="D83" i="63"/>
  <c r="D80" i="63"/>
  <c r="D80" i="48"/>
  <c r="D55" i="63"/>
  <c r="D55" i="48"/>
  <c r="D86" i="48"/>
  <c r="D86" i="63"/>
  <c r="F81" i="63"/>
  <c r="G81" i="63" s="1"/>
  <c r="F81" i="48"/>
  <c r="G81" i="48" s="1"/>
  <c r="F49" i="63"/>
  <c r="F49" i="48"/>
  <c r="G49" i="48" s="1"/>
  <c r="F66" i="63"/>
  <c r="F66" i="48"/>
  <c r="G66" i="48" s="1"/>
  <c r="F70" i="63"/>
  <c r="F70" i="48"/>
  <c r="F85" i="63"/>
  <c r="G85" i="63" s="1"/>
  <c r="F85" i="48"/>
  <c r="G85" i="48" s="1"/>
  <c r="G122" i="65"/>
  <c r="G120" i="65"/>
  <c r="G120" i="64"/>
  <c r="G110" i="65"/>
  <c r="G121" i="65"/>
  <c r="I120" i="63"/>
  <c r="I50" i="63"/>
  <c r="I73" i="63"/>
  <c r="I40" i="63"/>
  <c r="I106" i="63"/>
  <c r="I51" i="64"/>
  <c r="I119" i="63"/>
  <c r="G100" i="48"/>
  <c r="G61" i="63"/>
  <c r="G119" i="48"/>
  <c r="I113" i="65"/>
  <c r="G31" i="48"/>
  <c r="D108" i="63"/>
  <c r="D108" i="48"/>
  <c r="F36" i="63"/>
  <c r="G36" i="63" s="1"/>
  <c r="F36" i="48"/>
  <c r="G36" i="48" s="1"/>
  <c r="F58" i="63"/>
  <c r="G58" i="63" s="1"/>
  <c r="F58" i="48"/>
  <c r="G58" i="48" s="1"/>
  <c r="F111" i="63"/>
  <c r="G111" i="63" s="1"/>
  <c r="F111" i="48"/>
  <c r="G111" i="48" s="1"/>
  <c r="G17" i="48"/>
  <c r="D57" i="63"/>
  <c r="D57" i="48"/>
  <c r="F54" i="63"/>
  <c r="F54" i="48"/>
  <c r="F18" i="63"/>
  <c r="G18" i="63" s="1"/>
  <c r="F18" i="48"/>
  <c r="G18" i="48" s="1"/>
  <c r="I15" i="65"/>
  <c r="E15" i="64"/>
  <c r="G15" i="64" s="1"/>
  <c r="I96" i="63"/>
  <c r="I53" i="63"/>
  <c r="G43" i="48"/>
  <c r="G113" i="63"/>
  <c r="G104" i="48"/>
  <c r="G115" i="63"/>
  <c r="G122" i="63"/>
  <c r="E86" i="48"/>
  <c r="I86" i="48" s="1"/>
  <c r="D70" i="63"/>
  <c r="D70" i="48"/>
  <c r="F21" i="63"/>
  <c r="F21" i="48"/>
  <c r="D79" i="63"/>
  <c r="D79" i="48"/>
  <c r="D91" i="63"/>
  <c r="D91" i="48"/>
  <c r="D52" i="63"/>
  <c r="D52" i="48"/>
  <c r="F22" i="63"/>
  <c r="G22" i="63" s="1"/>
  <c r="F22" i="48"/>
  <c r="G22" i="48" s="1"/>
  <c r="F83" i="63"/>
  <c r="F83" i="48"/>
  <c r="F53" i="63"/>
  <c r="F53" i="48"/>
  <c r="G53" i="48" s="1"/>
  <c r="G77" i="65"/>
  <c r="I51" i="63"/>
  <c r="G24" i="48"/>
  <c r="D36" i="63"/>
  <c r="D36" i="48"/>
  <c r="F79" i="63"/>
  <c r="G79" i="63" s="1"/>
  <c r="F79" i="48"/>
  <c r="G79" i="48" s="1"/>
  <c r="F109" i="63"/>
  <c r="G109" i="63" s="1"/>
  <c r="F109" i="48"/>
  <c r="G109" i="48" s="1"/>
  <c r="F80" i="63"/>
  <c r="G80" i="63" s="1"/>
  <c r="F80" i="48"/>
  <c r="G80" i="48" s="1"/>
  <c r="F55" i="63"/>
  <c r="F55" i="48"/>
  <c r="F86" i="63"/>
  <c r="F86" i="48"/>
  <c r="G114" i="65"/>
  <c r="I112" i="65"/>
  <c r="I112" i="64"/>
  <c r="I66" i="63"/>
  <c r="I99" i="63"/>
  <c r="I100" i="63"/>
  <c r="G28" i="63"/>
  <c r="I45" i="63"/>
  <c r="G121" i="48"/>
  <c r="G73" i="48"/>
  <c r="D95" i="63"/>
  <c r="D95" i="48"/>
  <c r="D49" i="63"/>
  <c r="D49" i="48"/>
  <c r="D66" i="63"/>
  <c r="D66" i="48"/>
  <c r="D85" i="63"/>
  <c r="D85" i="48"/>
  <c r="F75" i="63"/>
  <c r="F75" i="48"/>
  <c r="F29" i="63"/>
  <c r="F29" i="48"/>
  <c r="G43" i="65"/>
  <c r="G43" i="64"/>
  <c r="D109" i="63"/>
  <c r="D109" i="48"/>
  <c r="D106" i="63"/>
  <c r="D106" i="48"/>
  <c r="E69" i="48"/>
  <c r="I69" i="48" s="1"/>
  <c r="D71" i="48"/>
  <c r="D71" i="63"/>
  <c r="D112" i="63"/>
  <c r="D112" i="48"/>
  <c r="D58" i="63"/>
  <c r="D58" i="48"/>
  <c r="D111" i="63"/>
  <c r="D111" i="48"/>
  <c r="D75" i="63"/>
  <c r="D75" i="48"/>
  <c r="D29" i="48"/>
  <c r="D29" i="63"/>
  <c r="D20" i="48"/>
  <c r="D20" i="63"/>
  <c r="D102" i="63"/>
  <c r="D102" i="48"/>
  <c r="D51" i="63"/>
  <c r="D51" i="48"/>
  <c r="D87" i="63"/>
  <c r="D87" i="48"/>
  <c r="D30" i="63"/>
  <c r="D30" i="48"/>
  <c r="F71" i="63"/>
  <c r="G71" i="63" s="1"/>
  <c r="F71" i="48"/>
  <c r="G71" i="48" s="1"/>
  <c r="F112" i="63"/>
  <c r="G112" i="63" s="1"/>
  <c r="F112" i="48"/>
  <c r="G112" i="48" s="1"/>
  <c r="F91" i="63"/>
  <c r="F91" i="48"/>
  <c r="F106" i="63"/>
  <c r="F106" i="48"/>
  <c r="G106" i="48" s="1"/>
  <c r="F52" i="63"/>
  <c r="G52" i="63" s="1"/>
  <c r="F52" i="48"/>
  <c r="G52" i="48" s="1"/>
  <c r="F57" i="63"/>
  <c r="F57" i="48"/>
  <c r="E253" i="58"/>
  <c r="I253" i="58" s="1"/>
  <c r="E20" i="62"/>
  <c r="I20" i="62" s="1"/>
  <c r="G56" i="65"/>
  <c r="I43" i="63"/>
  <c r="I104" i="63"/>
  <c r="I52" i="65"/>
  <c r="I52" i="64"/>
  <c r="G28" i="65"/>
  <c r="G28" i="64"/>
  <c r="I98" i="63"/>
  <c r="I49" i="63"/>
  <c r="G67" i="48"/>
  <c r="G110" i="63"/>
  <c r="D19" i="58"/>
  <c r="D67" i="58"/>
  <c r="D29" i="65"/>
  <c r="D29" i="64"/>
  <c r="D89" i="58"/>
  <c r="D51" i="64"/>
  <c r="D51" i="65"/>
  <c r="D125" i="58"/>
  <c r="D87" i="65"/>
  <c r="D87" i="64"/>
  <c r="F109" i="58"/>
  <c r="F71" i="65"/>
  <c r="G71" i="65" s="1"/>
  <c r="F71" i="64"/>
  <c r="G71" i="64" s="1"/>
  <c r="F129" i="58"/>
  <c r="F91" i="65"/>
  <c r="F91" i="64"/>
  <c r="F33" i="58"/>
  <c r="D231" i="58"/>
  <c r="D15" i="58"/>
  <c r="D104" i="58"/>
  <c r="D66" i="65"/>
  <c r="D66" i="64"/>
  <c r="D123" i="58"/>
  <c r="D85" i="65"/>
  <c r="D85" i="64"/>
  <c r="F19" i="58"/>
  <c r="F67" i="58"/>
  <c r="F29" i="64"/>
  <c r="F29" i="65"/>
  <c r="F74" i="58"/>
  <c r="F36" i="65"/>
  <c r="G36" i="65" s="1"/>
  <c r="F36" i="64"/>
  <c r="G36" i="64" s="1"/>
  <c r="F223" i="58"/>
  <c r="D199" i="58"/>
  <c r="D23" i="58"/>
  <c r="D182" i="58"/>
  <c r="D215" i="58"/>
  <c r="D119" i="58"/>
  <c r="D81" i="65"/>
  <c r="D81" i="64"/>
  <c r="D258" i="58"/>
  <c r="D162" i="58"/>
  <c r="D200" i="58"/>
  <c r="D92" i="58"/>
  <c r="D54" i="65"/>
  <c r="D54" i="64"/>
  <c r="D21" i="58"/>
  <c r="D91" i="58"/>
  <c r="D53" i="65"/>
  <c r="D53" i="64"/>
  <c r="D56" i="58"/>
  <c r="D18" i="65"/>
  <c r="D18" i="64"/>
  <c r="F231" i="58"/>
  <c r="F249" i="58"/>
  <c r="F146" i="58"/>
  <c r="F108" i="65"/>
  <c r="F108" i="64"/>
  <c r="F15" i="58"/>
  <c r="F133" i="58"/>
  <c r="F95" i="65"/>
  <c r="G95" i="65" s="1"/>
  <c r="F95" i="64"/>
  <c r="G95" i="64" s="1"/>
  <c r="F58" i="58"/>
  <c r="F20" i="65"/>
  <c r="F20" i="64"/>
  <c r="F180" i="58"/>
  <c r="F140" i="58"/>
  <c r="F102" i="65"/>
  <c r="G102" i="65" s="1"/>
  <c r="F102" i="64"/>
  <c r="G102" i="64" s="1"/>
  <c r="F89" i="58"/>
  <c r="F51" i="65"/>
  <c r="F51" i="64"/>
  <c r="F27" i="58"/>
  <c r="F179" i="58"/>
  <c r="F125" i="58"/>
  <c r="F87" i="65"/>
  <c r="F87" i="64"/>
  <c r="F68" i="58"/>
  <c r="F30" i="65"/>
  <c r="F30" i="64"/>
  <c r="I111" i="64"/>
  <c r="D25" i="58"/>
  <c r="D140" i="58"/>
  <c r="D102" i="65"/>
  <c r="D102" i="64"/>
  <c r="D68" i="58"/>
  <c r="D30" i="65"/>
  <c r="D30" i="64"/>
  <c r="F150" i="58"/>
  <c r="F112" i="65"/>
  <c r="F112" i="64"/>
  <c r="F144" i="58"/>
  <c r="F106" i="65"/>
  <c r="F106" i="64"/>
  <c r="F90" i="58"/>
  <c r="F52" i="65"/>
  <c r="F52" i="64"/>
  <c r="D249" i="58"/>
  <c r="D246" i="58"/>
  <c r="D196" i="58"/>
  <c r="F113" i="58"/>
  <c r="F75" i="65"/>
  <c r="F75" i="64"/>
  <c r="F197" i="58"/>
  <c r="F59" i="58"/>
  <c r="F21" i="65"/>
  <c r="F21" i="64"/>
  <c r="F96" i="58"/>
  <c r="F58" i="65"/>
  <c r="G58" i="65" s="1"/>
  <c r="F58" i="64"/>
  <c r="G58" i="64" s="1"/>
  <c r="F216" i="58"/>
  <c r="D60" i="58"/>
  <c r="D22" i="65"/>
  <c r="D22" i="64"/>
  <c r="D225" i="58"/>
  <c r="D121" i="58"/>
  <c r="D83" i="65"/>
  <c r="D83" i="64"/>
  <c r="D255" i="58"/>
  <c r="D93" i="58"/>
  <c r="D55" i="65"/>
  <c r="D55" i="64"/>
  <c r="D52" i="58"/>
  <c r="F199" i="58"/>
  <c r="F182" i="58"/>
  <c r="F119" i="58"/>
  <c r="F81" i="65"/>
  <c r="G81" i="65" s="1"/>
  <c r="F81" i="64"/>
  <c r="G81" i="64" s="1"/>
  <c r="F87" i="58"/>
  <c r="F49" i="65"/>
  <c r="F49" i="64"/>
  <c r="F108" i="58"/>
  <c r="F70" i="65"/>
  <c r="F70" i="64"/>
  <c r="F196" i="58"/>
  <c r="D113" i="58"/>
  <c r="D75" i="65"/>
  <c r="D75" i="64"/>
  <c r="D58" i="58"/>
  <c r="D20" i="65"/>
  <c r="D20" i="64"/>
  <c r="D27" i="58"/>
  <c r="F181" i="58"/>
  <c r="F177" i="58"/>
  <c r="F41" i="58"/>
  <c r="F193" i="58"/>
  <c r="D146" i="58"/>
  <c r="D108" i="65"/>
  <c r="D108" i="64"/>
  <c r="D87" i="58"/>
  <c r="D49" i="65"/>
  <c r="D49" i="64"/>
  <c r="D108" i="58"/>
  <c r="D70" i="65"/>
  <c r="D70" i="64"/>
  <c r="D184" i="58"/>
  <c r="F25" i="58"/>
  <c r="F244" i="58"/>
  <c r="F149" i="58"/>
  <c r="F111" i="65"/>
  <c r="F111" i="64"/>
  <c r="F192" i="58"/>
  <c r="D227" i="58"/>
  <c r="D251" i="58"/>
  <c r="D118" i="58"/>
  <c r="D80" i="65"/>
  <c r="D80" i="64"/>
  <c r="D222" i="58"/>
  <c r="D195" i="58"/>
  <c r="D124" i="58"/>
  <c r="D86" i="65"/>
  <c r="D86" i="64"/>
  <c r="F23" i="58"/>
  <c r="F215" i="58"/>
  <c r="F246" i="58"/>
  <c r="F104" i="58"/>
  <c r="F66" i="65"/>
  <c r="F66" i="64"/>
  <c r="F123" i="58"/>
  <c r="F85" i="65"/>
  <c r="G85" i="65" s="1"/>
  <c r="F85" i="64"/>
  <c r="G85" i="64" s="1"/>
  <c r="F184" i="58"/>
  <c r="D51" i="58"/>
  <c r="D209" i="58"/>
  <c r="D117" i="58"/>
  <c r="D79" i="65"/>
  <c r="D79" i="64"/>
  <c r="D147" i="58"/>
  <c r="D109" i="65"/>
  <c r="D109" i="64"/>
  <c r="D50" i="58"/>
  <c r="D129" i="58"/>
  <c r="D91" i="65"/>
  <c r="D91" i="64"/>
  <c r="D144" i="58"/>
  <c r="D106" i="65"/>
  <c r="D106" i="64"/>
  <c r="D41" i="58"/>
  <c r="D33" i="58"/>
  <c r="D90" i="58"/>
  <c r="D52" i="65"/>
  <c r="D52" i="64"/>
  <c r="D95" i="58"/>
  <c r="D57" i="64"/>
  <c r="D57" i="65"/>
  <c r="D193" i="58"/>
  <c r="F227" i="58"/>
  <c r="F60" i="58"/>
  <c r="F22" i="65"/>
  <c r="G22" i="65" s="1"/>
  <c r="F22" i="64"/>
  <c r="G22" i="64" s="1"/>
  <c r="F225" i="58"/>
  <c r="F251" i="58"/>
  <c r="F121" i="58"/>
  <c r="F83" i="65"/>
  <c r="F83" i="64"/>
  <c r="F258" i="58"/>
  <c r="F162" i="58"/>
  <c r="F200" i="58"/>
  <c r="F92" i="58"/>
  <c r="F54" i="65"/>
  <c r="F54" i="64"/>
  <c r="F21" i="58"/>
  <c r="F91" i="58"/>
  <c r="F53" i="64"/>
  <c r="F53" i="65"/>
  <c r="F56" i="58"/>
  <c r="F18" i="65"/>
  <c r="G18" i="65" s="1"/>
  <c r="F18" i="64"/>
  <c r="G18" i="64" s="1"/>
  <c r="D197" i="58"/>
  <c r="D180" i="58"/>
  <c r="D179" i="58"/>
  <c r="F213" i="58"/>
  <c r="F95" i="58"/>
  <c r="F57" i="65"/>
  <c r="F57" i="64"/>
  <c r="D133" i="58"/>
  <c r="D95" i="65"/>
  <c r="D95" i="64"/>
  <c r="D181" i="58"/>
  <c r="D109" i="58"/>
  <c r="D71" i="65"/>
  <c r="D71" i="64"/>
  <c r="D213" i="58"/>
  <c r="D150" i="58"/>
  <c r="D112" i="65"/>
  <c r="D112" i="64"/>
  <c r="D177" i="58"/>
  <c r="D244" i="58"/>
  <c r="D74" i="58"/>
  <c r="D36" i="65"/>
  <c r="D36" i="64"/>
  <c r="D96" i="58"/>
  <c r="D58" i="65"/>
  <c r="D58" i="64"/>
  <c r="D149" i="58"/>
  <c r="D111" i="65"/>
  <c r="D111" i="64"/>
  <c r="D223" i="58"/>
  <c r="D216" i="58"/>
  <c r="D192" i="58"/>
  <c r="F51" i="58"/>
  <c r="F209" i="58"/>
  <c r="F117" i="58"/>
  <c r="F79" i="65"/>
  <c r="G79" i="65" s="1"/>
  <c r="F79" i="64"/>
  <c r="G79" i="64" s="1"/>
  <c r="F147" i="58"/>
  <c r="F109" i="65"/>
  <c r="G109" i="65" s="1"/>
  <c r="F109" i="64"/>
  <c r="G109" i="64" s="1"/>
  <c r="F50" i="58"/>
  <c r="F118" i="58"/>
  <c r="F80" i="65"/>
  <c r="G80" i="65" s="1"/>
  <c r="F80" i="64"/>
  <c r="G80" i="64" s="1"/>
  <c r="F255" i="58"/>
  <c r="F222" i="58"/>
  <c r="F93" i="58"/>
  <c r="F55" i="65"/>
  <c r="F55" i="64"/>
  <c r="F195" i="58"/>
  <c r="F52" i="58"/>
  <c r="F124" i="58"/>
  <c r="F86" i="65"/>
  <c r="F86" i="64"/>
  <c r="C28" i="66"/>
  <c r="C24" i="53"/>
  <c r="E23" i="48"/>
  <c r="I23" i="48" s="1"/>
  <c r="E19" i="48"/>
  <c r="I19" i="48" s="1"/>
  <c r="I17" i="63"/>
  <c r="E32" i="48"/>
  <c r="I32" i="48" s="1"/>
  <c r="C17" i="53"/>
  <c r="I113" i="64" l="1"/>
  <c r="I15" i="64"/>
  <c r="I43" i="64"/>
  <c r="G15" i="65"/>
  <c r="I110" i="65"/>
  <c r="I43" i="65"/>
  <c r="I114" i="65"/>
  <c r="I121" i="65"/>
  <c r="I120" i="65"/>
  <c r="I28" i="64"/>
  <c r="I77" i="65"/>
  <c r="G111" i="65"/>
  <c r="I120" i="64"/>
  <c r="E87" i="48"/>
  <c r="I87" i="48" s="1"/>
  <c r="G45" i="65"/>
  <c r="G43" i="63"/>
  <c r="G96" i="63"/>
  <c r="G119" i="63"/>
  <c r="G67" i="63"/>
  <c r="I86" i="63"/>
  <c r="E46" i="48"/>
  <c r="I46" i="48" s="1"/>
  <c r="I90" i="63"/>
  <c r="G19" i="48"/>
  <c r="E94" i="48"/>
  <c r="I94" i="48" s="1"/>
  <c r="E171" i="58"/>
  <c r="I171" i="58" s="1"/>
  <c r="E25" i="66"/>
  <c r="E40" i="58"/>
  <c r="I40" i="58" s="1"/>
  <c r="E26" i="61"/>
  <c r="I26" i="61" s="1"/>
  <c r="E46" i="58"/>
  <c r="I46" i="58" s="1"/>
  <c r="E32" i="61"/>
  <c r="I32" i="61" s="1"/>
  <c r="G96" i="65"/>
  <c r="G106" i="65"/>
  <c r="G66" i="65"/>
  <c r="G100" i="65"/>
  <c r="G49" i="63"/>
  <c r="G52" i="64"/>
  <c r="G66" i="63"/>
  <c r="G114" i="64"/>
  <c r="I114" i="64"/>
  <c r="G51" i="63"/>
  <c r="G86" i="48"/>
  <c r="I119" i="64"/>
  <c r="G40" i="63"/>
  <c r="I111" i="65"/>
  <c r="G121" i="64"/>
  <c r="I121" i="64"/>
  <c r="I122" i="65"/>
  <c r="I115" i="65"/>
  <c r="G53" i="64"/>
  <c r="G53" i="65"/>
  <c r="E63" i="48"/>
  <c r="I63" i="48" s="1"/>
  <c r="E78" i="48"/>
  <c r="I78" i="48" s="1"/>
  <c r="E70" i="48"/>
  <c r="I70" i="48" s="1"/>
  <c r="E82" i="48"/>
  <c r="I82" i="48" s="1"/>
  <c r="E118" i="48"/>
  <c r="I118" i="48" s="1"/>
  <c r="E259" i="58"/>
  <c r="I259" i="58" s="1"/>
  <c r="E26" i="62"/>
  <c r="I26" i="62" s="1"/>
  <c r="E45" i="58"/>
  <c r="I45" i="58" s="1"/>
  <c r="E31" i="61"/>
  <c r="I31" i="61" s="1"/>
  <c r="E238" i="58"/>
  <c r="I238" i="58" s="1"/>
  <c r="E23" i="56"/>
  <c r="I23" i="56" s="1"/>
  <c r="I27" i="65"/>
  <c r="G104" i="65"/>
  <c r="G52" i="65"/>
  <c r="G56" i="64"/>
  <c r="I56" i="64"/>
  <c r="G51" i="64"/>
  <c r="G50" i="63"/>
  <c r="I53" i="65"/>
  <c r="G90" i="48"/>
  <c r="E75" i="48"/>
  <c r="I75" i="48" s="1"/>
  <c r="E88" i="48"/>
  <c r="I88" i="48" s="1"/>
  <c r="E89" i="48"/>
  <c r="I89" i="48" s="1"/>
  <c r="G23" i="48"/>
  <c r="E47" i="48"/>
  <c r="I47" i="48" s="1"/>
  <c r="E108" i="48"/>
  <c r="I108" i="48" s="1"/>
  <c r="E91" i="48"/>
  <c r="I91" i="48" s="1"/>
  <c r="I69" i="63"/>
  <c r="E30" i="61"/>
  <c r="E235" i="58"/>
  <c r="I235" i="58" s="1"/>
  <c r="E20" i="56"/>
  <c r="I20" i="56" s="1"/>
  <c r="E236" i="58"/>
  <c r="I236" i="58" s="1"/>
  <c r="E21" i="56"/>
  <c r="I21" i="56" s="1"/>
  <c r="G50" i="65"/>
  <c r="G107" i="65"/>
  <c r="G67" i="65"/>
  <c r="E16" i="64"/>
  <c r="G16" i="65"/>
  <c r="G17" i="63"/>
  <c r="G98" i="63"/>
  <c r="G69" i="48"/>
  <c r="G100" i="63"/>
  <c r="G51" i="65"/>
  <c r="G73" i="63"/>
  <c r="G107" i="63"/>
  <c r="G49" i="64"/>
  <c r="G98" i="65"/>
  <c r="I28" i="65"/>
  <c r="G104" i="63"/>
  <c r="I56" i="65"/>
  <c r="G45" i="63"/>
  <c r="G112" i="64"/>
  <c r="G77" i="64"/>
  <c r="I77" i="64"/>
  <c r="G53" i="63"/>
  <c r="I51" i="65"/>
  <c r="G120" i="63"/>
  <c r="G110" i="64"/>
  <c r="I110" i="64"/>
  <c r="G49" i="65"/>
  <c r="E57" i="48"/>
  <c r="I57" i="48" s="1"/>
  <c r="E243" i="58"/>
  <c r="I243" i="58" s="1"/>
  <c r="E28" i="56"/>
  <c r="I28" i="56" s="1"/>
  <c r="E224" i="58"/>
  <c r="I224" i="58" s="1"/>
  <c r="E23" i="53"/>
  <c r="I23" i="53" s="1"/>
  <c r="G32" i="48"/>
  <c r="E76" i="48"/>
  <c r="I76" i="48" s="1"/>
  <c r="E116" i="48"/>
  <c r="I116" i="48" s="1"/>
  <c r="E117" i="48"/>
  <c r="I117" i="48" s="1"/>
  <c r="E20" i="58"/>
  <c r="I20" i="58" s="1"/>
  <c r="E20" i="47"/>
  <c r="G60" i="65"/>
  <c r="G73" i="65"/>
  <c r="G40" i="65"/>
  <c r="G99" i="65"/>
  <c r="G99" i="63"/>
  <c r="G112" i="65"/>
  <c r="G106" i="63"/>
  <c r="G111" i="64"/>
  <c r="G122" i="64"/>
  <c r="I122" i="64"/>
  <c r="G115" i="64"/>
  <c r="I115" i="64"/>
  <c r="I119" i="65"/>
  <c r="I49" i="65"/>
  <c r="C218" i="58"/>
  <c r="E151" i="58"/>
  <c r="I151" i="58" s="1"/>
  <c r="E81" i="58"/>
  <c r="I81" i="58" s="1"/>
  <c r="C174" i="58"/>
  <c r="E100" i="58"/>
  <c r="I100" i="58" s="1"/>
  <c r="E122" i="58"/>
  <c r="I122" i="58" s="1"/>
  <c r="E99" i="58"/>
  <c r="I99" i="58" s="1"/>
  <c r="C225" i="58"/>
  <c r="E135" i="58"/>
  <c r="I135" i="58" s="1"/>
  <c r="G27" i="65"/>
  <c r="E79" i="58"/>
  <c r="I79" i="58" s="1"/>
  <c r="E148" i="58"/>
  <c r="I148" i="58" s="1"/>
  <c r="E72" i="58"/>
  <c r="I72" i="58" s="1"/>
  <c r="I16" i="65"/>
  <c r="C21" i="47"/>
  <c r="C36" i="66"/>
  <c r="C21" i="61"/>
  <c r="C22" i="66"/>
  <c r="C29" i="66"/>
  <c r="C38" i="61"/>
  <c r="C28" i="56"/>
  <c r="C29" i="56"/>
  <c r="C29" i="61"/>
  <c r="C15" i="62"/>
  <c r="C25" i="53"/>
  <c r="C61" i="66"/>
  <c r="C15" i="61"/>
  <c r="C48" i="66"/>
  <c r="C16" i="53"/>
  <c r="C18" i="61"/>
  <c r="C67" i="66"/>
  <c r="C26" i="47"/>
  <c r="C16" i="67"/>
  <c r="C30" i="56"/>
  <c r="C22" i="62"/>
  <c r="C24" i="66"/>
  <c r="C64" i="66"/>
  <c r="C32" i="56"/>
  <c r="C66" i="66"/>
  <c r="C16" i="61"/>
  <c r="C62" i="66"/>
  <c r="C45" i="66"/>
  <c r="C19" i="47"/>
  <c r="C34" i="61"/>
  <c r="C31" i="66"/>
  <c r="C25" i="61"/>
  <c r="C37" i="61"/>
  <c r="C22" i="56"/>
  <c r="C38" i="66"/>
  <c r="C19" i="61"/>
  <c r="C16" i="62"/>
  <c r="C24" i="62"/>
  <c r="C46" i="66"/>
  <c r="C28" i="61"/>
  <c r="C27" i="47"/>
  <c r="C65" i="66"/>
  <c r="C21" i="66"/>
  <c r="C16" i="47"/>
  <c r="C30" i="66"/>
  <c r="C31" i="61"/>
  <c r="C28" i="62"/>
  <c r="C23" i="61"/>
  <c r="C17" i="47"/>
  <c r="C41" i="66"/>
  <c r="C27" i="66"/>
  <c r="C26" i="56"/>
  <c r="C24" i="47"/>
  <c r="C27" i="56"/>
  <c r="C57" i="66"/>
  <c r="C15" i="53"/>
  <c r="C17" i="56"/>
  <c r="C18" i="53"/>
  <c r="C36" i="61"/>
  <c r="C17" i="62"/>
  <c r="C30" i="61"/>
  <c r="C28" i="47"/>
  <c r="C63" i="66"/>
  <c r="C19" i="62"/>
  <c r="C23" i="66"/>
  <c r="C27" i="61"/>
  <c r="C20" i="62"/>
  <c r="C19" i="66"/>
  <c r="C29" i="62"/>
  <c r="C39" i="66"/>
  <c r="C51" i="66"/>
  <c r="C15" i="66"/>
  <c r="C52" i="66"/>
  <c r="C27" i="62"/>
  <c r="C44" i="66"/>
  <c r="C20" i="53"/>
  <c r="C60" i="66"/>
  <c r="C32" i="61"/>
  <c r="C20" i="47"/>
  <c r="C20" i="56"/>
  <c r="C19" i="56"/>
  <c r="C26" i="62"/>
  <c r="C17" i="66"/>
  <c r="C42" i="66"/>
  <c r="C23" i="47"/>
  <c r="C16" i="66"/>
  <c r="C25" i="62"/>
  <c r="C22" i="47"/>
  <c r="C26" i="53"/>
  <c r="C34" i="66"/>
  <c r="C16" i="56"/>
  <c r="C37" i="66"/>
  <c r="C17" i="61"/>
  <c r="C49" i="66"/>
  <c r="C18" i="56"/>
  <c r="C35" i="66"/>
  <c r="C68" i="66"/>
  <c r="C35" i="61"/>
  <c r="C18" i="66"/>
  <c r="C69" i="66"/>
  <c r="C31" i="56"/>
  <c r="C43" i="66"/>
  <c r="C53" i="66"/>
  <c r="C15" i="47"/>
  <c r="C23" i="56"/>
  <c r="C21" i="53"/>
  <c r="C23" i="62"/>
  <c r="C59" i="66"/>
  <c r="C20" i="66"/>
  <c r="C54" i="66"/>
  <c r="C25" i="56"/>
  <c r="C21" i="56"/>
  <c r="C32" i="66"/>
  <c r="C56" i="66"/>
  <c r="C33" i="61"/>
  <c r="C24" i="61"/>
  <c r="C21" i="62"/>
  <c r="C25" i="47"/>
  <c r="C20" i="61"/>
  <c r="C15" i="56"/>
  <c r="C47" i="66"/>
  <c r="C50" i="66"/>
  <c r="C24" i="56"/>
  <c r="C33" i="66"/>
  <c r="C18" i="62"/>
  <c r="C26" i="66"/>
  <c r="C22" i="53"/>
  <c r="C15" i="67"/>
  <c r="C55" i="66"/>
  <c r="C22" i="61"/>
  <c r="C23" i="53"/>
  <c r="C40" i="66"/>
  <c r="C25" i="66"/>
  <c r="C18" i="47"/>
  <c r="C19" i="53"/>
  <c r="C26" i="61"/>
  <c r="C58" i="66"/>
  <c r="E22" i="66"/>
  <c r="G22" i="66" s="1"/>
  <c r="I20" i="63"/>
  <c r="E20" i="48"/>
  <c r="I20" i="48" s="1"/>
  <c r="E29" i="48"/>
  <c r="I29" i="48" s="1"/>
  <c r="I31" i="63"/>
  <c r="I33" i="63"/>
  <c r="E33" i="48"/>
  <c r="I33" i="48" s="1"/>
  <c r="I24" i="63"/>
  <c r="I30" i="63"/>
  <c r="E30" i="48"/>
  <c r="I30" i="48" s="1"/>
  <c r="I21" i="63"/>
  <c r="E21" i="48"/>
  <c r="I21" i="48" s="1"/>
  <c r="E22" i="61"/>
  <c r="I22" i="61" s="1"/>
  <c r="E40" i="66"/>
  <c r="G30" i="61" l="1"/>
  <c r="I30" i="61"/>
  <c r="I96" i="65"/>
  <c r="I45" i="65"/>
  <c r="I67" i="65"/>
  <c r="C43" i="63"/>
  <c r="C43" i="48"/>
  <c r="C24" i="63"/>
  <c r="C24" i="48"/>
  <c r="C118" i="63"/>
  <c r="C118" i="48"/>
  <c r="C74" i="63"/>
  <c r="C74" i="48"/>
  <c r="C23" i="63"/>
  <c r="C23" i="48"/>
  <c r="C70" i="48"/>
  <c r="C70" i="63"/>
  <c r="C25" i="63"/>
  <c r="C25" i="48"/>
  <c r="C103" i="63"/>
  <c r="C103" i="48"/>
  <c r="C50" i="63"/>
  <c r="C50" i="48"/>
  <c r="C28" i="63"/>
  <c r="C28" i="48"/>
  <c r="C26" i="63"/>
  <c r="C26" i="48"/>
  <c r="C21" i="63"/>
  <c r="C21" i="48"/>
  <c r="C44" i="63"/>
  <c r="C44" i="48"/>
  <c r="C29" i="63"/>
  <c r="C29" i="48"/>
  <c r="C18" i="63"/>
  <c r="C18" i="48"/>
  <c r="C122" i="63"/>
  <c r="C122" i="48"/>
  <c r="C20" i="63"/>
  <c r="C20" i="48"/>
  <c r="C111" i="63"/>
  <c r="C111" i="48"/>
  <c r="C60" i="63"/>
  <c r="C60" i="48"/>
  <c r="C61" i="63"/>
  <c r="C61" i="48"/>
  <c r="C75" i="63"/>
  <c r="C75" i="48"/>
  <c r="C49" i="63"/>
  <c r="C49" i="48"/>
  <c r="C72" i="63"/>
  <c r="C72" i="48"/>
  <c r="C54" i="63"/>
  <c r="C54" i="48"/>
  <c r="I66" i="65"/>
  <c r="C95" i="63"/>
  <c r="C95" i="48"/>
  <c r="C42" i="63"/>
  <c r="C42" i="48"/>
  <c r="C40" i="63"/>
  <c r="C40" i="48"/>
  <c r="C113" i="63"/>
  <c r="C113" i="48"/>
  <c r="C99" i="63"/>
  <c r="C99" i="48"/>
  <c r="C115" i="63"/>
  <c r="C115" i="48"/>
  <c r="C87" i="63"/>
  <c r="C87" i="48"/>
  <c r="C97" i="63"/>
  <c r="C97" i="48"/>
  <c r="C15" i="65"/>
  <c r="C15" i="64"/>
  <c r="C15" i="63"/>
  <c r="C15" i="48"/>
  <c r="C52" i="63"/>
  <c r="C52" i="48"/>
  <c r="C96" i="63"/>
  <c r="C96" i="48"/>
  <c r="C108" i="63"/>
  <c r="C108" i="48"/>
  <c r="C41" i="63"/>
  <c r="C41" i="48"/>
  <c r="C53" i="63"/>
  <c r="C53" i="48"/>
  <c r="C112" i="63"/>
  <c r="C112" i="48"/>
  <c r="C102" i="63"/>
  <c r="C102" i="48"/>
  <c r="C22" i="48"/>
  <c r="C22" i="63"/>
  <c r="C78" i="63"/>
  <c r="C78" i="48"/>
  <c r="C89" i="63"/>
  <c r="C89" i="48"/>
  <c r="C73" i="63"/>
  <c r="C73" i="48"/>
  <c r="C91" i="63"/>
  <c r="C91" i="48"/>
  <c r="C66" i="63"/>
  <c r="C66" i="48"/>
  <c r="C38" i="63"/>
  <c r="C38" i="48"/>
  <c r="C120" i="63"/>
  <c r="C120" i="48"/>
  <c r="C119" i="63"/>
  <c r="C119" i="48"/>
  <c r="C16" i="65"/>
  <c r="C16" i="64"/>
  <c r="C16" i="63"/>
  <c r="C16" i="48"/>
  <c r="C92" i="63"/>
  <c r="C92" i="48"/>
  <c r="C58" i="63"/>
  <c r="C58" i="48"/>
  <c r="C30" i="63"/>
  <c r="C30" i="48"/>
  <c r="C37" i="63"/>
  <c r="C37" i="48"/>
  <c r="C32" i="63"/>
  <c r="C32" i="48"/>
  <c r="C63" i="63"/>
  <c r="C63" i="48"/>
  <c r="C81" i="63"/>
  <c r="C81" i="48"/>
  <c r="C76" i="63"/>
  <c r="C76" i="48"/>
  <c r="C100" i="63"/>
  <c r="C100" i="48"/>
  <c r="C64" i="63"/>
  <c r="C64" i="48"/>
  <c r="C27" i="63"/>
  <c r="C27" i="48"/>
  <c r="C68" i="63"/>
  <c r="C68" i="48"/>
  <c r="C35" i="63"/>
  <c r="C35" i="48"/>
  <c r="C55" i="63"/>
  <c r="C55" i="48"/>
  <c r="C88" i="63"/>
  <c r="C88" i="48"/>
  <c r="C110" i="63"/>
  <c r="C110" i="48"/>
  <c r="C17" i="63"/>
  <c r="C17" i="48"/>
  <c r="C107" i="63"/>
  <c r="C107" i="48"/>
  <c r="C34" i="48"/>
  <c r="C34" i="63"/>
  <c r="C80" i="63"/>
  <c r="C80" i="48"/>
  <c r="C86" i="63"/>
  <c r="C86" i="48"/>
  <c r="C46" i="48"/>
  <c r="C46" i="63"/>
  <c r="C84" i="63"/>
  <c r="C84" i="48"/>
  <c r="C62" i="63"/>
  <c r="C62" i="48"/>
  <c r="C109" i="63"/>
  <c r="C109" i="48"/>
  <c r="C94" i="63"/>
  <c r="C94" i="48"/>
  <c r="C79" i="63"/>
  <c r="C79" i="48"/>
  <c r="C51" i="63"/>
  <c r="C51" i="48"/>
  <c r="C19" i="63"/>
  <c r="C19" i="48"/>
  <c r="C93" i="63"/>
  <c r="C93" i="48"/>
  <c r="C59" i="63"/>
  <c r="C59" i="48"/>
  <c r="C71" i="63"/>
  <c r="C71" i="48"/>
  <c r="C101" i="63"/>
  <c r="C101" i="48"/>
  <c r="C90" i="63"/>
  <c r="C90" i="48"/>
  <c r="C67" i="63"/>
  <c r="C67" i="48"/>
  <c r="C56" i="63"/>
  <c r="C56" i="48"/>
  <c r="C45" i="63"/>
  <c r="C45" i="48"/>
  <c r="C114" i="63"/>
  <c r="C114" i="48"/>
  <c r="C47" i="63"/>
  <c r="C47" i="48"/>
  <c r="C106" i="63"/>
  <c r="C106" i="48"/>
  <c r="C104" i="63"/>
  <c r="C104" i="48"/>
  <c r="C121" i="63"/>
  <c r="C121" i="48"/>
  <c r="C69" i="63"/>
  <c r="C69" i="48"/>
  <c r="C98" i="63"/>
  <c r="C98" i="48"/>
  <c r="C31" i="63"/>
  <c r="C31" i="48"/>
  <c r="C85" i="63"/>
  <c r="C85" i="48"/>
  <c r="C105" i="63"/>
  <c r="C105" i="48"/>
  <c r="C39" i="63"/>
  <c r="C39" i="48"/>
  <c r="C48" i="63"/>
  <c r="C48" i="48"/>
  <c r="C116" i="63"/>
  <c r="C116" i="48"/>
  <c r="C36" i="63"/>
  <c r="C36" i="48"/>
  <c r="C57" i="63"/>
  <c r="C57" i="48"/>
  <c r="C65" i="63"/>
  <c r="C65" i="48"/>
  <c r="C82" i="63"/>
  <c r="C82" i="48"/>
  <c r="C33" i="63"/>
  <c r="C33" i="48"/>
  <c r="C117" i="63"/>
  <c r="C117" i="48"/>
  <c r="C83" i="63"/>
  <c r="C83" i="48"/>
  <c r="C77" i="63"/>
  <c r="C77" i="48"/>
  <c r="I104" i="65"/>
  <c r="I75" i="63"/>
  <c r="E202" i="58"/>
  <c r="I202" i="58" s="1"/>
  <c r="E56" i="66"/>
  <c r="E163" i="58"/>
  <c r="I163" i="58" s="1"/>
  <c r="E17" i="66"/>
  <c r="E189" i="58"/>
  <c r="I189" i="58" s="1"/>
  <c r="E43" i="66"/>
  <c r="G90" i="65"/>
  <c r="E16" i="58"/>
  <c r="I16" i="58" s="1"/>
  <c r="E16" i="47"/>
  <c r="I117" i="63"/>
  <c r="E173" i="58"/>
  <c r="I173" i="58" s="1"/>
  <c r="E27" i="66"/>
  <c r="E72" i="48"/>
  <c r="I72" i="48" s="1"/>
  <c r="G29" i="48"/>
  <c r="I73" i="65"/>
  <c r="G116" i="48"/>
  <c r="I50" i="65"/>
  <c r="G69" i="63"/>
  <c r="G47" i="48"/>
  <c r="G88" i="48"/>
  <c r="G27" i="64"/>
  <c r="I27" i="64"/>
  <c r="G31" i="61"/>
  <c r="G82" i="48"/>
  <c r="G63" i="48"/>
  <c r="G90" i="63"/>
  <c r="I87" i="63"/>
  <c r="G32" i="61"/>
  <c r="I46" i="63"/>
  <c r="G88" i="65"/>
  <c r="G88" i="64"/>
  <c r="I89" i="63"/>
  <c r="E234" i="58"/>
  <c r="I234" i="58" s="1"/>
  <c r="E19" i="56"/>
  <c r="I19" i="56" s="1"/>
  <c r="E211" i="58"/>
  <c r="I211" i="58" s="1"/>
  <c r="E65" i="66"/>
  <c r="G65" i="66" s="1"/>
  <c r="E17" i="58"/>
  <c r="I17" i="58" s="1"/>
  <c r="E17" i="47"/>
  <c r="I78" i="63"/>
  <c r="E166" i="58"/>
  <c r="I166" i="58" s="1"/>
  <c r="E20" i="66"/>
  <c r="G40" i="66"/>
  <c r="I40" i="66"/>
  <c r="E54" i="48"/>
  <c r="I54" i="48" s="1"/>
  <c r="G20" i="48"/>
  <c r="E83" i="48"/>
  <c r="I83" i="48" s="1"/>
  <c r="G99" i="64"/>
  <c r="I99" i="64"/>
  <c r="I40" i="65"/>
  <c r="G60" i="64"/>
  <c r="I60" i="64"/>
  <c r="G20" i="47"/>
  <c r="I20" i="47"/>
  <c r="I98" i="65"/>
  <c r="G107" i="64"/>
  <c r="I107" i="64"/>
  <c r="I100" i="65"/>
  <c r="I106" i="65"/>
  <c r="G87" i="48"/>
  <c r="E220" i="58"/>
  <c r="I220" i="58" s="1"/>
  <c r="E19" i="53"/>
  <c r="I19" i="53" s="1"/>
  <c r="I91" i="63"/>
  <c r="G25" i="66"/>
  <c r="I25" i="66"/>
  <c r="I70" i="63"/>
  <c r="G86" i="65"/>
  <c r="E38" i="58"/>
  <c r="I38" i="58" s="1"/>
  <c r="E24" i="61"/>
  <c r="I24" i="61" s="1"/>
  <c r="E198" i="58"/>
  <c r="I198" i="58" s="1"/>
  <c r="E52" i="66"/>
  <c r="E252" i="58"/>
  <c r="I252" i="58" s="1"/>
  <c r="E19" i="62"/>
  <c r="I19" i="62" s="1"/>
  <c r="I88" i="63"/>
  <c r="I76" i="63"/>
  <c r="E161" i="58"/>
  <c r="I161" i="58" s="1"/>
  <c r="E15" i="66"/>
  <c r="E207" i="58"/>
  <c r="I207" i="58" s="1"/>
  <c r="E61" i="66"/>
  <c r="G22" i="61"/>
  <c r="G21" i="48"/>
  <c r="G24" i="63"/>
  <c r="G33" i="48"/>
  <c r="E48" i="48"/>
  <c r="I48" i="48" s="1"/>
  <c r="I22" i="66"/>
  <c r="G76" i="48"/>
  <c r="G16" i="64"/>
  <c r="I16" i="64"/>
  <c r="G91" i="48"/>
  <c r="G75" i="48"/>
  <c r="G70" i="48"/>
  <c r="G66" i="64"/>
  <c r="I66" i="64"/>
  <c r="G96" i="64"/>
  <c r="I96" i="64"/>
  <c r="G94" i="48"/>
  <c r="G46" i="48"/>
  <c r="G40" i="64"/>
  <c r="I40" i="64"/>
  <c r="G98" i="64"/>
  <c r="I98" i="64"/>
  <c r="G100" i="64"/>
  <c r="I100" i="64"/>
  <c r="G76" i="65"/>
  <c r="G76" i="64"/>
  <c r="I116" i="63"/>
  <c r="I94" i="63"/>
  <c r="E26" i="58"/>
  <c r="I26" i="58" s="1"/>
  <c r="E26" i="47"/>
  <c r="E185" i="58"/>
  <c r="I185" i="58" s="1"/>
  <c r="E39" i="66"/>
  <c r="E37" i="58"/>
  <c r="I37" i="58" s="1"/>
  <c r="E23" i="61"/>
  <c r="I23" i="61" s="1"/>
  <c r="E49" i="58"/>
  <c r="I49" i="58" s="1"/>
  <c r="E35" i="61"/>
  <c r="E204" i="58"/>
  <c r="I204" i="58" s="1"/>
  <c r="E58" i="66"/>
  <c r="I108" i="63"/>
  <c r="E55" i="48"/>
  <c r="I55" i="48" s="1"/>
  <c r="I99" i="65"/>
  <c r="I60" i="65"/>
  <c r="G67" i="64"/>
  <c r="I67" i="64"/>
  <c r="I107" i="65"/>
  <c r="G104" i="64"/>
  <c r="I104" i="64"/>
  <c r="G26" i="61"/>
  <c r="G45" i="64"/>
  <c r="I45" i="64"/>
  <c r="E214" i="58"/>
  <c r="I214" i="58" s="1"/>
  <c r="E68" i="66"/>
  <c r="I57" i="63"/>
  <c r="G106" i="64"/>
  <c r="I106" i="64"/>
  <c r="I82" i="63"/>
  <c r="G78" i="65"/>
  <c r="G78" i="64"/>
  <c r="E208" i="58"/>
  <c r="I208" i="58" s="1"/>
  <c r="E62" i="66"/>
  <c r="E28" i="58"/>
  <c r="I28" i="58" s="1"/>
  <c r="E28" i="47"/>
  <c r="E250" i="58"/>
  <c r="I250" i="58" s="1"/>
  <c r="E17" i="62"/>
  <c r="E18" i="58"/>
  <c r="I18" i="58" s="1"/>
  <c r="E18" i="47"/>
  <c r="E188" i="58"/>
  <c r="I188" i="58" s="1"/>
  <c r="E42" i="66"/>
  <c r="E240" i="58"/>
  <c r="I240" i="58" s="1"/>
  <c r="E25" i="56"/>
  <c r="I25" i="56" s="1"/>
  <c r="I118" i="63"/>
  <c r="G30" i="48"/>
  <c r="G31" i="63"/>
  <c r="E92" i="48"/>
  <c r="I92" i="48" s="1"/>
  <c r="E65" i="48"/>
  <c r="I65" i="48" s="1"/>
  <c r="E176" i="58"/>
  <c r="I176" i="58" s="1"/>
  <c r="E30" i="66"/>
  <c r="G30" i="66" s="1"/>
  <c r="E237" i="58"/>
  <c r="I237" i="58" s="1"/>
  <c r="E22" i="56"/>
  <c r="I22" i="56" s="1"/>
  <c r="G73" i="64"/>
  <c r="I73" i="64"/>
  <c r="G117" i="48"/>
  <c r="G57" i="48"/>
  <c r="G50" i="64"/>
  <c r="I50" i="64"/>
  <c r="G108" i="48"/>
  <c r="G89" i="48"/>
  <c r="G118" i="48"/>
  <c r="G78" i="48"/>
  <c r="G86" i="63"/>
  <c r="E54" i="58"/>
  <c r="I54" i="58" s="1"/>
  <c r="E94" i="58"/>
  <c r="I94" i="58" s="1"/>
  <c r="E63" i="58"/>
  <c r="I63" i="58" s="1"/>
  <c r="E157" i="58"/>
  <c r="I157" i="58" s="1"/>
  <c r="E134" i="58"/>
  <c r="I134" i="58" s="1"/>
  <c r="E21" i="66"/>
  <c r="G21" i="66" s="1"/>
  <c r="C40" i="58"/>
  <c r="C93" i="58"/>
  <c r="C55" i="65"/>
  <c r="C55" i="64"/>
  <c r="C47" i="58"/>
  <c r="C145" i="58"/>
  <c r="C107" i="65"/>
  <c r="C107" i="64"/>
  <c r="C118" i="58"/>
  <c r="C80" i="65"/>
  <c r="C80" i="64"/>
  <c r="C100" i="58"/>
  <c r="C62" i="65"/>
  <c r="C62" i="64"/>
  <c r="C33" i="58"/>
  <c r="C245" i="58"/>
  <c r="E186" i="58"/>
  <c r="I186" i="58" s="1"/>
  <c r="E145" i="58"/>
  <c r="I145" i="58" s="1"/>
  <c r="E66" i="66"/>
  <c r="G66" i="66" s="1"/>
  <c r="C83" i="58"/>
  <c r="C45" i="65"/>
  <c r="C45" i="64"/>
  <c r="C152" i="58"/>
  <c r="C114" i="64"/>
  <c r="C114" i="65"/>
  <c r="C230" i="58"/>
  <c r="C85" i="58"/>
  <c r="C47" i="65"/>
  <c r="C47" i="64"/>
  <c r="C238" i="58"/>
  <c r="C189" i="58"/>
  <c r="C106" i="65"/>
  <c r="C106" i="64"/>
  <c r="C144" i="58"/>
  <c r="C142" i="58"/>
  <c r="C104" i="65"/>
  <c r="C104" i="64"/>
  <c r="C159" i="58"/>
  <c r="C121" i="65"/>
  <c r="C121" i="64"/>
  <c r="C107" i="58"/>
  <c r="C69" i="65"/>
  <c r="C69" i="64"/>
  <c r="C136" i="58"/>
  <c r="C98" i="65"/>
  <c r="C98" i="64"/>
  <c r="C69" i="58"/>
  <c r="C31" i="65"/>
  <c r="C31" i="64"/>
  <c r="C162" i="58"/>
  <c r="C188" i="58"/>
  <c r="C123" i="58"/>
  <c r="C85" i="65"/>
  <c r="C85" i="64"/>
  <c r="C198" i="58"/>
  <c r="C185" i="58"/>
  <c r="C143" i="58"/>
  <c r="C105" i="65"/>
  <c r="C105" i="64"/>
  <c r="C77" i="58"/>
  <c r="C39" i="65"/>
  <c r="C39" i="64"/>
  <c r="C28" i="58"/>
  <c r="C86" i="58"/>
  <c r="C48" i="65"/>
  <c r="C48" i="64"/>
  <c r="C154" i="58"/>
  <c r="C116" i="65"/>
  <c r="C116" i="64"/>
  <c r="C74" i="58"/>
  <c r="C36" i="65"/>
  <c r="C36" i="64"/>
  <c r="C17" i="58"/>
  <c r="C45" i="58"/>
  <c r="C176" i="58"/>
  <c r="C167" i="58"/>
  <c r="C95" i="58"/>
  <c r="C57" i="65"/>
  <c r="C57" i="64"/>
  <c r="C192" i="58"/>
  <c r="C103" i="58"/>
  <c r="C65" i="65"/>
  <c r="C65" i="64"/>
  <c r="C120" i="58"/>
  <c r="C82" i="65"/>
  <c r="C82" i="64"/>
  <c r="C71" i="58"/>
  <c r="C33" i="65"/>
  <c r="C33" i="64"/>
  <c r="C213" i="58"/>
  <c r="C155" i="58"/>
  <c r="C117" i="64"/>
  <c r="C117" i="65"/>
  <c r="C121" i="58"/>
  <c r="C83" i="65"/>
  <c r="C83" i="64"/>
  <c r="C115" i="58"/>
  <c r="C77" i="65"/>
  <c r="C77" i="64"/>
  <c r="C243" i="58"/>
  <c r="C168" i="58"/>
  <c r="E136" i="58"/>
  <c r="I136" i="58" s="1"/>
  <c r="G30" i="63"/>
  <c r="E168" i="58"/>
  <c r="I168" i="58" s="1"/>
  <c r="E138" i="58"/>
  <c r="I138" i="58" s="1"/>
  <c r="C76" i="58"/>
  <c r="C38" i="65"/>
  <c r="C38" i="64"/>
  <c r="C228" i="58"/>
  <c r="C157" i="58"/>
  <c r="C119" i="65"/>
  <c r="C119" i="64"/>
  <c r="C130" i="58"/>
  <c r="C92" i="65"/>
  <c r="C92" i="64"/>
  <c r="C25" i="58"/>
  <c r="C178" i="58"/>
  <c r="C215" i="58"/>
  <c r="C183" i="58"/>
  <c r="C258" i="58"/>
  <c r="C75" i="58"/>
  <c r="C37" i="65"/>
  <c r="C37" i="64"/>
  <c r="C259" i="58"/>
  <c r="C221" i="58"/>
  <c r="C260" i="58"/>
  <c r="C262" i="58"/>
  <c r="C250" i="58"/>
  <c r="C70" i="58"/>
  <c r="C32" i="64"/>
  <c r="C32" i="65"/>
  <c r="C101" i="58"/>
  <c r="C63" i="65"/>
  <c r="C63" i="64"/>
  <c r="C24" i="58"/>
  <c r="C187" i="58"/>
  <c r="C37" i="58"/>
  <c r="C119" i="58"/>
  <c r="C81" i="65"/>
  <c r="C81" i="64"/>
  <c r="C211" i="58"/>
  <c r="C42" i="58"/>
  <c r="C249" i="58"/>
  <c r="C184" i="58"/>
  <c r="C51" i="58"/>
  <c r="C19" i="58"/>
  <c r="C114" i="58"/>
  <c r="C76" i="65"/>
  <c r="C76" i="64"/>
  <c r="C255" i="58"/>
  <c r="C138" i="58"/>
  <c r="C100" i="65"/>
  <c r="C100" i="64"/>
  <c r="C194" i="58"/>
  <c r="C226" i="58"/>
  <c r="C244" i="58"/>
  <c r="C182" i="58"/>
  <c r="E139" i="58"/>
  <c r="I139" i="58" s="1"/>
  <c r="E44" i="58"/>
  <c r="I44" i="58" s="1"/>
  <c r="C251" i="58"/>
  <c r="C148" i="58"/>
  <c r="C110" i="65"/>
  <c r="C110" i="64"/>
  <c r="C199" i="58"/>
  <c r="C231" i="58"/>
  <c r="C72" i="58"/>
  <c r="C34" i="65"/>
  <c r="C34" i="64"/>
  <c r="C124" i="58"/>
  <c r="C86" i="65"/>
  <c r="C86" i="64"/>
  <c r="C241" i="58"/>
  <c r="C27" i="58"/>
  <c r="C191" i="58"/>
  <c r="C117" i="58"/>
  <c r="C79" i="65"/>
  <c r="C79" i="64"/>
  <c r="C21" i="58"/>
  <c r="E36" i="58"/>
  <c r="I36" i="58" s="1"/>
  <c r="E105" i="58"/>
  <c r="I105" i="58" s="1"/>
  <c r="G20" i="63"/>
  <c r="C204" i="58"/>
  <c r="C171" i="58"/>
  <c r="C81" i="58"/>
  <c r="C43" i="65"/>
  <c r="C43" i="64"/>
  <c r="C62" i="58"/>
  <c r="C24" i="65"/>
  <c r="C24" i="64"/>
  <c r="C236" i="58"/>
  <c r="C205" i="58"/>
  <c r="C15" i="58"/>
  <c r="C246" i="58"/>
  <c r="C65" i="58"/>
  <c r="C27" i="65"/>
  <c r="C27" i="64"/>
  <c r="C214" i="58"/>
  <c r="C89" i="58"/>
  <c r="C51" i="65"/>
  <c r="C51" i="64"/>
  <c r="C57" i="58"/>
  <c r="C19" i="65"/>
  <c r="C19" i="64"/>
  <c r="C227" i="58"/>
  <c r="C22" i="58"/>
  <c r="C106" i="58"/>
  <c r="C68" i="64"/>
  <c r="C68" i="65"/>
  <c r="C163" i="58"/>
  <c r="C20" i="58"/>
  <c r="C131" i="58"/>
  <c r="C93" i="65"/>
  <c r="C93" i="64"/>
  <c r="C161" i="58"/>
  <c r="C97" i="58"/>
  <c r="C59" i="65"/>
  <c r="C59" i="64"/>
  <c r="C109" i="58"/>
  <c r="C71" i="65"/>
  <c r="C71" i="64"/>
  <c r="C197" i="58"/>
  <c r="C41" i="58"/>
  <c r="C169" i="58"/>
  <c r="C252" i="58"/>
  <c r="C156" i="58"/>
  <c r="C118" i="65"/>
  <c r="C118" i="64"/>
  <c r="C232" i="58"/>
  <c r="C203" i="58"/>
  <c r="C139" i="58"/>
  <c r="C101" i="65"/>
  <c r="C101" i="64"/>
  <c r="C112" i="58"/>
  <c r="C74" i="65"/>
  <c r="C74" i="64"/>
  <c r="C128" i="58"/>
  <c r="C90" i="65"/>
  <c r="C90" i="64"/>
  <c r="C61" i="58"/>
  <c r="C23" i="65"/>
  <c r="C23" i="64"/>
  <c r="C177" i="58"/>
  <c r="C170" i="58"/>
  <c r="C108" i="58"/>
  <c r="C70" i="65"/>
  <c r="C70" i="64"/>
  <c r="C105" i="58"/>
  <c r="C67" i="64"/>
  <c r="C67" i="65"/>
  <c r="C32" i="58"/>
  <c r="C207" i="58"/>
  <c r="C248" i="58"/>
  <c r="C94" i="58"/>
  <c r="C56" i="65"/>
  <c r="C56" i="64"/>
  <c r="E143" i="58"/>
  <c r="I143" i="58" s="1"/>
  <c r="E21" i="62"/>
  <c r="I21" i="62" s="1"/>
  <c r="C224" i="58"/>
  <c r="C158" i="58"/>
  <c r="C120" i="65"/>
  <c r="C120" i="64"/>
  <c r="C54" i="58"/>
  <c r="C38" i="58"/>
  <c r="C96" i="58"/>
  <c r="C58" i="65"/>
  <c r="C58" i="64"/>
  <c r="C68" i="58"/>
  <c r="C30" i="65"/>
  <c r="C30" i="64"/>
  <c r="C180" i="58"/>
  <c r="C23" i="58"/>
  <c r="C46" i="58"/>
  <c r="C102" i="58"/>
  <c r="C64" i="65"/>
  <c r="C64" i="64"/>
  <c r="C73" i="58"/>
  <c r="C35" i="65"/>
  <c r="C35" i="64"/>
  <c r="C193" i="58"/>
  <c r="C55" i="58"/>
  <c r="C17" i="65"/>
  <c r="C17" i="64"/>
  <c r="C49" i="58"/>
  <c r="C234" i="58"/>
  <c r="C84" i="58"/>
  <c r="C46" i="65"/>
  <c r="C46" i="64"/>
  <c r="C261" i="58"/>
  <c r="C132" i="58"/>
  <c r="C94" i="65"/>
  <c r="C94" i="64"/>
  <c r="C26" i="58"/>
  <c r="C43" i="58"/>
  <c r="E77" i="58"/>
  <c r="I77" i="58" s="1"/>
  <c r="G21" i="63"/>
  <c r="G33" i="63"/>
  <c r="E158" i="58"/>
  <c r="I158" i="58" s="1"/>
  <c r="C220" i="58"/>
  <c r="C63" i="58"/>
  <c r="C25" i="65"/>
  <c r="C25" i="64"/>
  <c r="C186" i="58"/>
  <c r="C36" i="58"/>
  <c r="C141" i="58"/>
  <c r="C103" i="65"/>
  <c r="C103" i="64"/>
  <c r="C172" i="58"/>
  <c r="C88" i="58"/>
  <c r="C50" i="64"/>
  <c r="C50" i="65"/>
  <c r="C239" i="58"/>
  <c r="C34" i="58"/>
  <c r="C66" i="58"/>
  <c r="C28" i="65"/>
  <c r="C28" i="64"/>
  <c r="C254" i="58"/>
  <c r="C64" i="58"/>
  <c r="C26" i="64"/>
  <c r="C26" i="65"/>
  <c r="C166" i="58"/>
  <c r="C222" i="58"/>
  <c r="C164" i="58"/>
  <c r="C181" i="58"/>
  <c r="C31" i="58"/>
  <c r="C59" i="58"/>
  <c r="C21" i="65"/>
  <c r="C21" i="64"/>
  <c r="C235" i="58"/>
  <c r="C82" i="58"/>
  <c r="C44" i="64"/>
  <c r="C44" i="65"/>
  <c r="C67" i="58"/>
  <c r="C29" i="65"/>
  <c r="C29" i="64"/>
  <c r="C56" i="58"/>
  <c r="C18" i="65"/>
  <c r="C18" i="64"/>
  <c r="C160" i="58"/>
  <c r="C122" i="65"/>
  <c r="C122" i="64"/>
  <c r="C58" i="58"/>
  <c r="C20" i="65"/>
  <c r="C20" i="64"/>
  <c r="C149" i="58"/>
  <c r="C111" i="65"/>
  <c r="C111" i="64"/>
  <c r="C257" i="58"/>
  <c r="C98" i="58"/>
  <c r="C60" i="65"/>
  <c r="C60" i="64"/>
  <c r="C208" i="58"/>
  <c r="C212" i="58"/>
  <c r="C99" i="58"/>
  <c r="C61" i="64"/>
  <c r="C61" i="65"/>
  <c r="C113" i="58"/>
  <c r="C75" i="65"/>
  <c r="C75" i="64"/>
  <c r="C229" i="58"/>
  <c r="C217" i="58"/>
  <c r="C87" i="58"/>
  <c r="C49" i="64"/>
  <c r="C49" i="65"/>
  <c r="C110" i="58"/>
  <c r="C72" i="65"/>
  <c r="C72" i="64"/>
  <c r="C52" i="58"/>
  <c r="C92" i="58"/>
  <c r="C54" i="65"/>
  <c r="C54" i="64"/>
  <c r="C179" i="58"/>
  <c r="C126" i="58"/>
  <c r="C88" i="65"/>
  <c r="C88" i="64"/>
  <c r="C256" i="58"/>
  <c r="C195" i="58"/>
  <c r="C165" i="58"/>
  <c r="C122" i="58"/>
  <c r="C84" i="65"/>
  <c r="C84" i="64"/>
  <c r="C147" i="58"/>
  <c r="C109" i="65"/>
  <c r="C109" i="64"/>
  <c r="C39" i="58"/>
  <c r="C29" i="58"/>
  <c r="I30" i="66"/>
  <c r="E106" i="58"/>
  <c r="I106" i="58" s="1"/>
  <c r="E142" i="58"/>
  <c r="I142" i="58" s="1"/>
  <c r="E88" i="58"/>
  <c r="I88" i="58" s="1"/>
  <c r="E141" i="58"/>
  <c r="I141" i="58" s="1"/>
  <c r="E28" i="66"/>
  <c r="G28" i="66" s="1"/>
  <c r="C133" i="58"/>
  <c r="C95" i="65"/>
  <c r="C95" i="64"/>
  <c r="C80" i="58"/>
  <c r="C42" i="65"/>
  <c r="C42" i="64"/>
  <c r="C18" i="58"/>
  <c r="C201" i="58"/>
  <c r="C223" i="58"/>
  <c r="C78" i="58"/>
  <c r="C40" i="65"/>
  <c r="C40" i="64"/>
  <c r="C151" i="58"/>
  <c r="C113" i="65"/>
  <c r="C113" i="64"/>
  <c r="C137" i="58"/>
  <c r="C99" i="65"/>
  <c r="C99" i="64"/>
  <c r="C153" i="58"/>
  <c r="C115" i="65"/>
  <c r="C115" i="64"/>
  <c r="C196" i="58"/>
  <c r="C87" i="65"/>
  <c r="C87" i="64"/>
  <c r="C125" i="58"/>
  <c r="C202" i="58"/>
  <c r="C240" i="58"/>
  <c r="C200" i="58"/>
  <c r="C135" i="58"/>
  <c r="C97" i="65"/>
  <c r="C97" i="64"/>
  <c r="C53" i="58"/>
  <c r="C90" i="58"/>
  <c r="C52" i="65"/>
  <c r="C52" i="64"/>
  <c r="C134" i="58"/>
  <c r="C96" i="65"/>
  <c r="C96" i="64"/>
  <c r="C233" i="58"/>
  <c r="C146" i="58"/>
  <c r="C108" i="65"/>
  <c r="C108" i="64"/>
  <c r="C79" i="58"/>
  <c r="C41" i="65"/>
  <c r="C41" i="64"/>
  <c r="C206" i="58"/>
  <c r="C190" i="58"/>
  <c r="C253" i="58"/>
  <c r="C91" i="58"/>
  <c r="C53" i="65"/>
  <c r="C53" i="64"/>
  <c r="C209" i="58"/>
  <c r="C44" i="58"/>
  <c r="C50" i="58"/>
  <c r="C219" i="58"/>
  <c r="C216" i="58"/>
  <c r="C242" i="58"/>
  <c r="C173" i="58"/>
  <c r="C16" i="58"/>
  <c r="C150" i="58"/>
  <c r="C112" i="65"/>
  <c r="C112" i="64"/>
  <c r="C140" i="58"/>
  <c r="C102" i="65"/>
  <c r="C102" i="64"/>
  <c r="C60" i="58"/>
  <c r="C22" i="65"/>
  <c r="C22" i="64"/>
  <c r="C237" i="58"/>
  <c r="C48" i="58"/>
  <c r="C116" i="58"/>
  <c r="C78" i="65"/>
  <c r="C78" i="64"/>
  <c r="C30" i="58"/>
  <c r="C247" i="58"/>
  <c r="C210" i="58"/>
  <c r="C127" i="58"/>
  <c r="C89" i="65"/>
  <c r="C89" i="64"/>
  <c r="C111" i="58"/>
  <c r="C73" i="65"/>
  <c r="C73" i="64"/>
  <c r="C129" i="58"/>
  <c r="C91" i="65"/>
  <c r="C91" i="64"/>
  <c r="C104" i="58"/>
  <c r="C66" i="65"/>
  <c r="C66" i="64"/>
  <c r="C175" i="58"/>
  <c r="C35" i="58"/>
  <c r="I29" i="63"/>
  <c r="I19" i="63"/>
  <c r="I23" i="63"/>
  <c r="I32" i="63"/>
  <c r="E18" i="66"/>
  <c r="G92" i="63" l="1"/>
  <c r="I92" i="63"/>
  <c r="G83" i="63"/>
  <c r="I83" i="63"/>
  <c r="G35" i="61"/>
  <c r="I35" i="61"/>
  <c r="G65" i="63"/>
  <c r="I65" i="63"/>
  <c r="G54" i="63"/>
  <c r="I54" i="63"/>
  <c r="I88" i="64"/>
  <c r="I66" i="66"/>
  <c r="I76" i="64"/>
  <c r="I86" i="65"/>
  <c r="I65" i="66"/>
  <c r="G92" i="65"/>
  <c r="G75" i="65"/>
  <c r="E256" i="58"/>
  <c r="I256" i="58" s="1"/>
  <c r="E23" i="62"/>
  <c r="I23" i="62" s="1"/>
  <c r="I21" i="65"/>
  <c r="G23" i="63"/>
  <c r="I72" i="63"/>
  <c r="G57" i="63"/>
  <c r="G108" i="63"/>
  <c r="G23" i="61"/>
  <c r="G94" i="63"/>
  <c r="I76" i="65"/>
  <c r="I15" i="66"/>
  <c r="G15" i="66"/>
  <c r="G86" i="64"/>
  <c r="I86" i="64"/>
  <c r="G72" i="48"/>
  <c r="G16" i="47"/>
  <c r="I16" i="47"/>
  <c r="G91" i="65"/>
  <c r="G70" i="65"/>
  <c r="E261" i="58"/>
  <c r="I261" i="58" s="1"/>
  <c r="E28" i="62"/>
  <c r="I28" i="62" s="1"/>
  <c r="G108" i="65"/>
  <c r="G87" i="65"/>
  <c r="G72" i="65"/>
  <c r="G72" i="64"/>
  <c r="I23" i="65"/>
  <c r="G23" i="64"/>
  <c r="G69" i="65"/>
  <c r="G83" i="65"/>
  <c r="G65" i="48"/>
  <c r="G42" i="66"/>
  <c r="I42" i="66"/>
  <c r="G28" i="47"/>
  <c r="I28" i="47"/>
  <c r="I78" i="65"/>
  <c r="G20" i="66"/>
  <c r="I20" i="66"/>
  <c r="G17" i="66"/>
  <c r="I17" i="66"/>
  <c r="G56" i="66"/>
  <c r="I56" i="66"/>
  <c r="E203" i="58"/>
  <c r="I203" i="58" s="1"/>
  <c r="E57" i="66"/>
  <c r="E178" i="58"/>
  <c r="I178" i="58" s="1"/>
  <c r="E32" i="66"/>
  <c r="G116" i="65"/>
  <c r="E241" i="58"/>
  <c r="I241" i="58" s="1"/>
  <c r="E26" i="56"/>
  <c r="I26" i="56" s="1"/>
  <c r="G32" i="63"/>
  <c r="G65" i="65"/>
  <c r="G17" i="65"/>
  <c r="E175" i="58"/>
  <c r="I175" i="58" s="1"/>
  <c r="E29" i="66"/>
  <c r="G29" i="66" s="1"/>
  <c r="G82" i="63"/>
  <c r="G68" i="66"/>
  <c r="I68" i="66"/>
  <c r="G58" i="66"/>
  <c r="I58" i="66"/>
  <c r="G39" i="66"/>
  <c r="I39" i="66"/>
  <c r="G116" i="63"/>
  <c r="G48" i="48"/>
  <c r="G76" i="63"/>
  <c r="G52" i="66"/>
  <c r="I52" i="66"/>
  <c r="G54" i="48"/>
  <c r="G27" i="66"/>
  <c r="I27" i="66"/>
  <c r="G90" i="64"/>
  <c r="I90" i="64"/>
  <c r="G117" i="65"/>
  <c r="G24" i="65"/>
  <c r="I47" i="63"/>
  <c r="G20" i="65"/>
  <c r="G92" i="48"/>
  <c r="G118" i="63"/>
  <c r="G18" i="47"/>
  <c r="I18" i="47"/>
  <c r="G62" i="66"/>
  <c r="I62" i="66"/>
  <c r="G78" i="63"/>
  <c r="I88" i="65"/>
  <c r="G75" i="63"/>
  <c r="E205" i="58"/>
  <c r="I205" i="58" s="1"/>
  <c r="E59" i="66"/>
  <c r="E213" i="58"/>
  <c r="I213" i="58" s="1"/>
  <c r="E67" i="66"/>
  <c r="G89" i="65"/>
  <c r="E206" i="58"/>
  <c r="I206" i="58" s="1"/>
  <c r="E60" i="66"/>
  <c r="E187" i="58"/>
  <c r="I187" i="58" s="1"/>
  <c r="E41" i="66"/>
  <c r="I48" i="63"/>
  <c r="G19" i="63"/>
  <c r="I63" i="63"/>
  <c r="I55" i="63"/>
  <c r="G47" i="64"/>
  <c r="G47" i="65"/>
  <c r="G118" i="65"/>
  <c r="E221" i="58"/>
  <c r="I221" i="58" s="1"/>
  <c r="E20" i="53"/>
  <c r="I20" i="53" s="1"/>
  <c r="E229" i="58"/>
  <c r="I229" i="58" s="1"/>
  <c r="E16" i="67"/>
  <c r="I16" i="67" s="1"/>
  <c r="G29" i="63"/>
  <c r="G55" i="48"/>
  <c r="G26" i="47"/>
  <c r="I26" i="47"/>
  <c r="G61" i="66"/>
  <c r="I61" i="66"/>
  <c r="G88" i="63"/>
  <c r="G24" i="61"/>
  <c r="G91" i="63"/>
  <c r="G83" i="48"/>
  <c r="I78" i="64"/>
  <c r="G46" i="63"/>
  <c r="G117" i="63"/>
  <c r="I90" i="65"/>
  <c r="E169" i="58"/>
  <c r="I169" i="58" s="1"/>
  <c r="E23" i="66"/>
  <c r="E24" i="58"/>
  <c r="I24" i="58" s="1"/>
  <c r="E24" i="47"/>
  <c r="G18" i="66"/>
  <c r="I18" i="66"/>
  <c r="G19" i="65"/>
  <c r="I19" i="64"/>
  <c r="G63" i="65"/>
  <c r="G63" i="64"/>
  <c r="I32" i="65"/>
  <c r="I32" i="64"/>
  <c r="E58" i="58"/>
  <c r="I58" i="58" s="1"/>
  <c r="I17" i="62"/>
  <c r="G17" i="62"/>
  <c r="G70" i="63"/>
  <c r="G17" i="47"/>
  <c r="I17" i="47"/>
  <c r="G89" i="63"/>
  <c r="G87" i="63"/>
  <c r="G43" i="66"/>
  <c r="I43" i="66"/>
  <c r="E167" i="58"/>
  <c r="I167" i="58" s="1"/>
  <c r="E97" i="58"/>
  <c r="I97" i="58" s="1"/>
  <c r="E116" i="58"/>
  <c r="I116" i="58" s="1"/>
  <c r="E73" i="58"/>
  <c r="I73" i="58" s="1"/>
  <c r="E212" i="58"/>
  <c r="I212" i="58" s="1"/>
  <c r="G23" i="65"/>
  <c r="E114" i="58"/>
  <c r="I114" i="58" s="1"/>
  <c r="E112" i="58"/>
  <c r="I112" i="58" s="1"/>
  <c r="E53" i="58"/>
  <c r="I53" i="58" s="1"/>
  <c r="E80" i="58"/>
  <c r="I80" i="58" s="1"/>
  <c r="E160" i="58"/>
  <c r="I160" i="58" s="1"/>
  <c r="E82" i="58"/>
  <c r="I82" i="58" s="1"/>
  <c r="E164" i="58"/>
  <c r="I164" i="58" s="1"/>
  <c r="I28" i="66"/>
  <c r="E64" i="58"/>
  <c r="I64" i="58" s="1"/>
  <c r="I31" i="65"/>
  <c r="G31" i="65"/>
  <c r="I30" i="65"/>
  <c r="G30" i="65"/>
  <c r="E174" i="58"/>
  <c r="I174" i="58" s="1"/>
  <c r="E254" i="58"/>
  <c r="I254" i="58" s="1"/>
  <c r="E128" i="58"/>
  <c r="I128" i="58" s="1"/>
  <c r="E156" i="58"/>
  <c r="I156" i="58" s="1"/>
  <c r="E126" i="58"/>
  <c r="I126" i="58" s="1"/>
  <c r="G19" i="64"/>
  <c r="E83" i="58"/>
  <c r="I83" i="58" s="1"/>
  <c r="E131" i="58"/>
  <c r="I131" i="58" s="1"/>
  <c r="E102" i="58"/>
  <c r="I102" i="58" s="1"/>
  <c r="I21" i="66"/>
  <c r="E33" i="61"/>
  <c r="E17" i="61"/>
  <c r="E20" i="61"/>
  <c r="E21" i="61"/>
  <c r="E108" i="58"/>
  <c r="I108" i="58" s="1"/>
  <c r="E96" i="58"/>
  <c r="I96" i="58" s="1"/>
  <c r="E149" i="58"/>
  <c r="I149" i="58" s="1"/>
  <c r="E121" i="58"/>
  <c r="I121" i="58" s="1"/>
  <c r="E150" i="58"/>
  <c r="I150" i="58" s="1"/>
  <c r="E133" i="58"/>
  <c r="I133" i="58" s="1"/>
  <c r="E140" i="58"/>
  <c r="I140" i="58" s="1"/>
  <c r="E147" i="58"/>
  <c r="I147" i="58" s="1"/>
  <c r="E91" i="58"/>
  <c r="I91" i="58" s="1"/>
  <c r="E59" i="58"/>
  <c r="I59" i="58" s="1"/>
  <c r="E90" i="58"/>
  <c r="I90" i="58" s="1"/>
  <c r="E144" i="58"/>
  <c r="I144" i="58" s="1"/>
  <c r="E87" i="58"/>
  <c r="I87" i="58" s="1"/>
  <c r="E74" i="58"/>
  <c r="I74" i="58" s="1"/>
  <c r="G16" i="67" l="1"/>
  <c r="E58" i="67" s="1"/>
  <c r="I17" i="65"/>
  <c r="G20" i="61"/>
  <c r="I20" i="61"/>
  <c r="G33" i="61"/>
  <c r="I33" i="61"/>
  <c r="G21" i="61"/>
  <c r="I21" i="61"/>
  <c r="G17" i="61"/>
  <c r="I17" i="61"/>
  <c r="I24" i="65"/>
  <c r="I23" i="64"/>
  <c r="G21" i="65"/>
  <c r="I19" i="65"/>
  <c r="I29" i="66"/>
  <c r="G32" i="65"/>
  <c r="I20" i="65"/>
  <c r="I63" i="64"/>
  <c r="E132" i="48"/>
  <c r="I65" i="65"/>
  <c r="I69" i="65"/>
  <c r="I72" i="65"/>
  <c r="I108" i="65"/>
  <c r="I117" i="65"/>
  <c r="E131" i="48"/>
  <c r="I116" i="65"/>
  <c r="I83" i="65"/>
  <c r="I87" i="65"/>
  <c r="I130" i="48"/>
  <c r="I89" i="65"/>
  <c r="E244" i="58"/>
  <c r="I244" i="58" s="1"/>
  <c r="E29" i="56"/>
  <c r="I29" i="56" s="1"/>
  <c r="E43" i="58"/>
  <c r="I43" i="58" s="1"/>
  <c r="E29" i="61"/>
  <c r="I29" i="61" s="1"/>
  <c r="G29" i="65"/>
  <c r="G46" i="65"/>
  <c r="G48" i="65"/>
  <c r="G41" i="66"/>
  <c r="I41" i="66"/>
  <c r="G47" i="63"/>
  <c r="G117" i="64"/>
  <c r="I117" i="64"/>
  <c r="G65" i="64"/>
  <c r="I65" i="64"/>
  <c r="G57" i="66"/>
  <c r="I57" i="66"/>
  <c r="G69" i="64"/>
  <c r="I69" i="64"/>
  <c r="G108" i="64"/>
  <c r="I108" i="64"/>
  <c r="G72" i="63"/>
  <c r="E223" i="58"/>
  <c r="I223" i="58" s="1"/>
  <c r="E22" i="53"/>
  <c r="I22" i="53" s="1"/>
  <c r="E33" i="58"/>
  <c r="I33" i="58" s="1"/>
  <c r="E19" i="61"/>
  <c r="I19" i="61" s="1"/>
  <c r="E215" i="58"/>
  <c r="I215" i="58" s="1"/>
  <c r="E69" i="66"/>
  <c r="E184" i="58"/>
  <c r="I184" i="58" s="1"/>
  <c r="E38" i="66"/>
  <c r="G54" i="65"/>
  <c r="E230" i="58"/>
  <c r="I230" i="58" s="1"/>
  <c r="E15" i="56"/>
  <c r="G15" i="56" s="1"/>
  <c r="E194" i="58"/>
  <c r="I194" i="58" s="1"/>
  <c r="E48" i="66"/>
  <c r="E32" i="58"/>
  <c r="I32" i="58" s="1"/>
  <c r="E18" i="61"/>
  <c r="I18" i="61" s="1"/>
  <c r="I63" i="65"/>
  <c r="G24" i="47"/>
  <c r="I24" i="47"/>
  <c r="I47" i="64"/>
  <c r="G116" i="64"/>
  <c r="I116" i="64"/>
  <c r="I70" i="65"/>
  <c r="I72" i="64"/>
  <c r="I31" i="64"/>
  <c r="G31" i="64"/>
  <c r="I75" i="65"/>
  <c r="E30" i="58"/>
  <c r="I30" i="58" s="1"/>
  <c r="E16" i="61"/>
  <c r="I16" i="61" s="1"/>
  <c r="E245" i="58"/>
  <c r="I245" i="58" s="1"/>
  <c r="E30" i="56"/>
  <c r="I30" i="56" s="1"/>
  <c r="G57" i="65"/>
  <c r="G118" i="64"/>
  <c r="I118" i="64"/>
  <c r="I47" i="65"/>
  <c r="G60" i="66"/>
  <c r="I60" i="66"/>
  <c r="G67" i="66"/>
  <c r="I67" i="66"/>
  <c r="G20" i="64"/>
  <c r="I20" i="64"/>
  <c r="G24" i="64"/>
  <c r="I24" i="64"/>
  <c r="G91" i="64"/>
  <c r="I91" i="64"/>
  <c r="G92" i="64"/>
  <c r="I92" i="64"/>
  <c r="G55" i="65"/>
  <c r="G23" i="66"/>
  <c r="I23" i="66"/>
  <c r="G55" i="63"/>
  <c r="I17" i="64"/>
  <c r="G17" i="64"/>
  <c r="G83" i="64"/>
  <c r="I83" i="64"/>
  <c r="E48" i="58"/>
  <c r="I48" i="58" s="1"/>
  <c r="E34" i="61"/>
  <c r="I34" i="61" s="1"/>
  <c r="G87" i="64"/>
  <c r="I87" i="64"/>
  <c r="E258" i="58"/>
  <c r="I258" i="58" s="1"/>
  <c r="E25" i="62"/>
  <c r="I25" i="62" s="1"/>
  <c r="E50" i="58"/>
  <c r="I50" i="58" s="1"/>
  <c r="E36" i="61"/>
  <c r="I36" i="61" s="1"/>
  <c r="E209" i="58"/>
  <c r="I209" i="58" s="1"/>
  <c r="E63" i="66"/>
  <c r="E257" i="58"/>
  <c r="I257" i="58" s="1"/>
  <c r="E24" i="62"/>
  <c r="I24" i="62" s="1"/>
  <c r="G82" i="65"/>
  <c r="G94" i="65"/>
  <c r="E248" i="58"/>
  <c r="I248" i="58" s="1"/>
  <c r="E15" i="62"/>
  <c r="E29" i="58"/>
  <c r="I29" i="58" s="1"/>
  <c r="E15" i="61"/>
  <c r="I15" i="61" s="1"/>
  <c r="G32" i="64"/>
  <c r="I118" i="65"/>
  <c r="G48" i="63"/>
  <c r="G89" i="64"/>
  <c r="I89" i="64"/>
  <c r="G59" i="66"/>
  <c r="I59" i="66"/>
  <c r="G30" i="64"/>
  <c r="I30" i="64"/>
  <c r="G32" i="66"/>
  <c r="I32" i="66"/>
  <c r="I91" i="65"/>
  <c r="I92" i="65"/>
  <c r="E180" i="58"/>
  <c r="I180" i="58" s="1"/>
  <c r="E34" i="66"/>
  <c r="E192" i="58"/>
  <c r="I192" i="58" s="1"/>
  <c r="E46" i="66"/>
  <c r="G46" i="66" s="1"/>
  <c r="E227" i="58"/>
  <c r="I227" i="58" s="1"/>
  <c r="E26" i="53"/>
  <c r="I26" i="53" s="1"/>
  <c r="E200" i="58"/>
  <c r="I200" i="58" s="1"/>
  <c r="E54" i="66"/>
  <c r="E172" i="58"/>
  <c r="I172" i="58" s="1"/>
  <c r="E26" i="66"/>
  <c r="E239" i="58"/>
  <c r="I239" i="58" s="1"/>
  <c r="E24" i="56"/>
  <c r="I24" i="56" s="1"/>
  <c r="E190" i="58"/>
  <c r="I190" i="58" s="1"/>
  <c r="E44" i="66"/>
  <c r="G63" i="63"/>
  <c r="G70" i="64"/>
  <c r="I70" i="64"/>
  <c r="I21" i="64"/>
  <c r="G21" i="64"/>
  <c r="G75" i="64"/>
  <c r="I75" i="64"/>
  <c r="E16" i="53"/>
  <c r="E85" i="58"/>
  <c r="I85" i="58" s="1"/>
  <c r="E70" i="58"/>
  <c r="I70" i="58" s="1"/>
  <c r="E154" i="58"/>
  <c r="I154" i="58" s="1"/>
  <c r="E47" i="58"/>
  <c r="I47" i="58" s="1"/>
  <c r="E103" i="58"/>
  <c r="I103" i="58" s="1"/>
  <c r="E56" i="58"/>
  <c r="I56" i="58" s="1"/>
  <c r="E37" i="66"/>
  <c r="G37" i="66" s="1"/>
  <c r="E18" i="56"/>
  <c r="I18" i="56" s="1"/>
  <c r="E152" i="58"/>
  <c r="I152" i="58" s="1"/>
  <c r="E34" i="58"/>
  <c r="I34" i="58" s="1"/>
  <c r="E110" i="58"/>
  <c r="I110" i="58" s="1"/>
  <c r="E31" i="58"/>
  <c r="I31" i="58" s="1"/>
  <c r="E61" i="58"/>
  <c r="I61" i="58" s="1"/>
  <c r="E146" i="58"/>
  <c r="I146" i="58" s="1"/>
  <c r="E35" i="58"/>
  <c r="I35" i="58" s="1"/>
  <c r="E101" i="58"/>
  <c r="I101" i="58" s="1"/>
  <c r="E69" i="58"/>
  <c r="I69" i="58" s="1"/>
  <c r="E137" i="58"/>
  <c r="I137" i="58" s="1"/>
  <c r="E32" i="56"/>
  <c r="I32" i="56" s="1"/>
  <c r="E25" i="53"/>
  <c r="I25" i="53" s="1"/>
  <c r="E57" i="58"/>
  <c r="I57" i="58" s="1"/>
  <c r="E55" i="58"/>
  <c r="I55" i="58" s="1"/>
  <c r="E18" i="53"/>
  <c r="E75" i="58"/>
  <c r="I75" i="58" s="1"/>
  <c r="E28" i="61"/>
  <c r="E111" i="58"/>
  <c r="I111" i="58" s="1"/>
  <c r="E24" i="66"/>
  <c r="G24" i="66" s="1"/>
  <c r="E62" i="58"/>
  <c r="I62" i="58" s="1"/>
  <c r="E107" i="58"/>
  <c r="I107" i="58" s="1"/>
  <c r="E113" i="58"/>
  <c r="I113" i="58" s="1"/>
  <c r="E17" i="56"/>
  <c r="G17" i="56" s="1"/>
  <c r="E29" i="62"/>
  <c r="I29" i="62" s="1"/>
  <c r="E64" i="66"/>
  <c r="E15" i="47"/>
  <c r="E92" i="58"/>
  <c r="I92" i="58" s="1"/>
  <c r="E117" i="58"/>
  <c r="I117" i="58" s="1"/>
  <c r="E104" i="58"/>
  <c r="I104" i="58" s="1"/>
  <c r="E67" i="58"/>
  <c r="I67" i="58" s="1"/>
  <c r="G28" i="61" l="1"/>
  <c r="I28" i="61"/>
  <c r="I15" i="56"/>
  <c r="I29" i="65"/>
  <c r="E133" i="48"/>
  <c r="I133" i="48"/>
  <c r="I134" i="48" s="1"/>
  <c r="I136" i="48" s="1"/>
  <c r="E132" i="63"/>
  <c r="I130" i="63"/>
  <c r="I55" i="65"/>
  <c r="I54" i="65"/>
  <c r="E23" i="58"/>
  <c r="I23" i="58" s="1"/>
  <c r="E23" i="47"/>
  <c r="E25" i="58"/>
  <c r="I25" i="58" s="1"/>
  <c r="E25" i="47"/>
  <c r="E41" i="58"/>
  <c r="I41" i="58" s="1"/>
  <c r="E27" i="61"/>
  <c r="I27" i="61" s="1"/>
  <c r="E21" i="58"/>
  <c r="I21" i="58" s="1"/>
  <c r="E21" i="47"/>
  <c r="E177" i="58"/>
  <c r="I177" i="58" s="1"/>
  <c r="E31" i="66"/>
  <c r="E260" i="58"/>
  <c r="I260" i="58" s="1"/>
  <c r="E27" i="62"/>
  <c r="I27" i="62" s="1"/>
  <c r="I46" i="66"/>
  <c r="I82" i="65"/>
  <c r="G55" i="64"/>
  <c r="I55" i="64"/>
  <c r="G19" i="61"/>
  <c r="I48" i="65"/>
  <c r="G29" i="61"/>
  <c r="E196" i="58"/>
  <c r="I196" i="58" s="1"/>
  <c r="E50" i="66"/>
  <c r="E195" i="58"/>
  <c r="I195" i="58" s="1"/>
  <c r="E49" i="66"/>
  <c r="G64" i="66"/>
  <c r="I64" i="66"/>
  <c r="E27" i="58"/>
  <c r="I27" i="58" s="1"/>
  <c r="E27" i="47"/>
  <c r="E199" i="58"/>
  <c r="I199" i="58" s="1"/>
  <c r="E53" i="66"/>
  <c r="E193" i="58"/>
  <c r="I193" i="58" s="1"/>
  <c r="E47" i="66"/>
  <c r="E165" i="58"/>
  <c r="I165" i="58" s="1"/>
  <c r="E19" i="66"/>
  <c r="E246" i="58"/>
  <c r="I246" i="58" s="1"/>
  <c r="E31" i="56"/>
  <c r="I31" i="56" s="1"/>
  <c r="E222" i="58"/>
  <c r="I222" i="58" s="1"/>
  <c r="E21" i="53"/>
  <c r="I21" i="53" s="1"/>
  <c r="E197" i="58"/>
  <c r="I197" i="58" s="1"/>
  <c r="E51" i="66"/>
  <c r="I15" i="47"/>
  <c r="G15" i="47"/>
  <c r="E242" i="58"/>
  <c r="I242" i="58" s="1"/>
  <c r="E27" i="56"/>
  <c r="I27" i="56" s="1"/>
  <c r="E251" i="58"/>
  <c r="I251" i="58" s="1"/>
  <c r="E18" i="62"/>
  <c r="I18" i="62" s="1"/>
  <c r="G44" i="66"/>
  <c r="I44" i="66"/>
  <c r="G94" i="64"/>
  <c r="I94" i="64"/>
  <c r="G16" i="61"/>
  <c r="G38" i="66"/>
  <c r="I38" i="66"/>
  <c r="G46" i="64"/>
  <c r="I46" i="64"/>
  <c r="G54" i="66"/>
  <c r="I54" i="66"/>
  <c r="G34" i="66"/>
  <c r="I34" i="66"/>
  <c r="G15" i="61"/>
  <c r="G57" i="64"/>
  <c r="I57" i="64"/>
  <c r="E231" i="58"/>
  <c r="I231" i="58" s="1"/>
  <c r="E16" i="56"/>
  <c r="I94" i="65"/>
  <c r="G63" i="66"/>
  <c r="I63" i="66"/>
  <c r="G18" i="61"/>
  <c r="G54" i="64"/>
  <c r="I54" i="64"/>
  <c r="I46" i="65"/>
  <c r="E19" i="58"/>
  <c r="I19" i="58" s="1"/>
  <c r="E19" i="47"/>
  <c r="E249" i="58"/>
  <c r="I249" i="58" s="1"/>
  <c r="E16" i="62"/>
  <c r="I17" i="56"/>
  <c r="I37" i="66"/>
  <c r="G15" i="62"/>
  <c r="I15" i="62"/>
  <c r="G82" i="64"/>
  <c r="I82" i="64"/>
  <c r="I33" i="64"/>
  <c r="G33" i="64"/>
  <c r="I57" i="65"/>
  <c r="G69" i="66"/>
  <c r="I69" i="66"/>
  <c r="G48" i="64"/>
  <c r="I48" i="64"/>
  <c r="I29" i="64"/>
  <c r="G29" i="64"/>
  <c r="E51" i="58"/>
  <c r="I51" i="58" s="1"/>
  <c r="E37" i="61"/>
  <c r="I37" i="61" s="1"/>
  <c r="G26" i="66"/>
  <c r="I26" i="66"/>
  <c r="G36" i="61"/>
  <c r="G34" i="61"/>
  <c r="G48" i="66"/>
  <c r="I48" i="66"/>
  <c r="E131" i="63"/>
  <c r="E127" i="58"/>
  <c r="I127" i="58" s="1"/>
  <c r="E42" i="58"/>
  <c r="I42" i="58" s="1"/>
  <c r="E219" i="58"/>
  <c r="I219" i="58" s="1"/>
  <c r="E129" i="58"/>
  <c r="I129" i="58" s="1"/>
  <c r="E125" i="58"/>
  <c r="I125" i="58" s="1"/>
  <c r="E159" i="58"/>
  <c r="I159" i="58" s="1"/>
  <c r="E124" i="58"/>
  <c r="I124" i="58" s="1"/>
  <c r="E130" i="58"/>
  <c r="I130" i="58" s="1"/>
  <c r="E84" i="58"/>
  <c r="I84" i="58" s="1"/>
  <c r="E17" i="53"/>
  <c r="I24" i="66"/>
  <c r="I33" i="65"/>
  <c r="G33" i="65"/>
  <c r="E131" i="65" s="1"/>
  <c r="I16" i="53"/>
  <c r="G16" i="53"/>
  <c r="E118" i="58"/>
  <c r="I118" i="58" s="1"/>
  <c r="E210" i="58"/>
  <c r="I210" i="58" s="1"/>
  <c r="E170" i="58"/>
  <c r="I170" i="58" s="1"/>
  <c r="E71" i="58"/>
  <c r="I71" i="58" s="1"/>
  <c r="E226" i="58"/>
  <c r="I226" i="58" s="1"/>
  <c r="E233" i="58"/>
  <c r="I233" i="58" s="1"/>
  <c r="E217" i="58"/>
  <c r="I217" i="58" s="1"/>
  <c r="E119" i="58"/>
  <c r="I119" i="58" s="1"/>
  <c r="E262" i="58"/>
  <c r="I262" i="58" s="1"/>
  <c r="E155" i="58"/>
  <c r="I155" i="58" s="1"/>
  <c r="E15" i="58"/>
  <c r="I15" i="58" s="1"/>
  <c r="E98" i="58"/>
  <c r="I98" i="58" s="1"/>
  <c r="E95" i="58"/>
  <c r="I95" i="58" s="1"/>
  <c r="E232" i="58"/>
  <c r="I232" i="58" s="1"/>
  <c r="E120" i="58"/>
  <c r="I120" i="58" s="1"/>
  <c r="E247" i="58"/>
  <c r="I247" i="58" s="1"/>
  <c r="E183" i="58"/>
  <c r="I183" i="58" s="1"/>
  <c r="E60" i="58"/>
  <c r="I60" i="58" s="1"/>
  <c r="E36" i="66"/>
  <c r="G36" i="66" s="1"/>
  <c r="E132" i="58"/>
  <c r="I132" i="58" s="1"/>
  <c r="E109" i="58"/>
  <c r="I109" i="58" s="1"/>
  <c r="E66" i="58"/>
  <c r="I66" i="58" s="1"/>
  <c r="E86" i="58"/>
  <c r="I86" i="58" s="1"/>
  <c r="E22" i="47"/>
  <c r="G22" i="47" s="1"/>
  <c r="E15" i="53"/>
  <c r="I15" i="53" s="1"/>
  <c r="I18" i="53"/>
  <c r="G18" i="53"/>
  <c r="E25" i="61"/>
  <c r="I25" i="61" s="1"/>
  <c r="E133" i="63" l="1"/>
  <c r="I133" i="63"/>
  <c r="I134" i="63" s="1"/>
  <c r="I136" i="63" s="1"/>
  <c r="E131" i="64"/>
  <c r="I36" i="66"/>
  <c r="E201" i="58"/>
  <c r="I201" i="58" s="1"/>
  <c r="E55" i="66"/>
  <c r="E162" i="58"/>
  <c r="I162" i="58" s="1"/>
  <c r="E16" i="66"/>
  <c r="E132" i="64"/>
  <c r="G31" i="66"/>
  <c r="I31" i="66"/>
  <c r="G25" i="47"/>
  <c r="I25" i="47"/>
  <c r="E179" i="58"/>
  <c r="I179" i="58" s="1"/>
  <c r="E33" i="66"/>
  <c r="E181" i="58"/>
  <c r="I181" i="58" s="1"/>
  <c r="E35" i="66"/>
  <c r="E191" i="58"/>
  <c r="I191" i="58" s="1"/>
  <c r="E45" i="66"/>
  <c r="E228" i="58"/>
  <c r="I228" i="58" s="1"/>
  <c r="E15" i="67"/>
  <c r="I15" i="67" s="1"/>
  <c r="E132" i="65"/>
  <c r="E133" i="65" s="1"/>
  <c r="I22" i="47"/>
  <c r="G47" i="66"/>
  <c r="I47" i="66"/>
  <c r="I16" i="62"/>
  <c r="G16" i="62"/>
  <c r="E70" i="62" s="1"/>
  <c r="G16" i="56"/>
  <c r="E72" i="56" s="1"/>
  <c r="I16" i="56"/>
  <c r="G21" i="47"/>
  <c r="I21" i="47"/>
  <c r="G23" i="47"/>
  <c r="I23" i="47"/>
  <c r="E225" i="58"/>
  <c r="I225" i="58" s="1"/>
  <c r="E24" i="53"/>
  <c r="I24" i="53" s="1"/>
  <c r="E255" i="58"/>
  <c r="I255" i="58" s="1"/>
  <c r="E22" i="62"/>
  <c r="I22" i="62" s="1"/>
  <c r="G37" i="61"/>
  <c r="G53" i="66"/>
  <c r="I53" i="66"/>
  <c r="G49" i="66"/>
  <c r="I49" i="66"/>
  <c r="E52" i="58"/>
  <c r="I52" i="58" s="1"/>
  <c r="E38" i="61"/>
  <c r="I38" i="61" s="1"/>
  <c r="G25" i="61"/>
  <c r="G19" i="47"/>
  <c r="I19" i="47"/>
  <c r="G27" i="61"/>
  <c r="I130" i="64"/>
  <c r="G51" i="66"/>
  <c r="I51" i="66"/>
  <c r="G19" i="66"/>
  <c r="I19" i="66"/>
  <c r="G27" i="47"/>
  <c r="I27" i="47"/>
  <c r="G50" i="66"/>
  <c r="I50" i="66"/>
  <c r="E115" i="58"/>
  <c r="I115" i="58" s="1"/>
  <c r="G17" i="53"/>
  <c r="E68" i="53" s="1"/>
  <c r="I17" i="53"/>
  <c r="E39" i="58"/>
  <c r="I39" i="58" s="1"/>
  <c r="E218" i="58"/>
  <c r="I218" i="58" s="1"/>
  <c r="E76" i="58"/>
  <c r="I76" i="58" s="1"/>
  <c r="E216" i="58"/>
  <c r="I216" i="58" s="1"/>
  <c r="E93" i="58"/>
  <c r="I93" i="58" s="1"/>
  <c r="E65" i="58"/>
  <c r="I65" i="58" s="1"/>
  <c r="E68" i="58"/>
  <c r="I68" i="58" s="1"/>
  <c r="E78" i="58"/>
  <c r="I78" i="58" s="1"/>
  <c r="I130" i="65"/>
  <c r="E89" i="58"/>
  <c r="I89" i="58" s="1"/>
  <c r="E123" i="58"/>
  <c r="I123" i="58" s="1"/>
  <c r="E153" i="58"/>
  <c r="I153" i="58" s="1"/>
  <c r="E22" i="58"/>
  <c r="I22" i="58" s="1"/>
  <c r="E182" i="58"/>
  <c r="I182" i="58" s="1"/>
  <c r="I67" i="53" l="1"/>
  <c r="I70" i="53" s="1"/>
  <c r="I71" i="53" s="1"/>
  <c r="I73" i="53" s="1"/>
  <c r="I133" i="65"/>
  <c r="I134" i="65" s="1"/>
  <c r="I136" i="65" s="1"/>
  <c r="E133" i="64"/>
  <c r="I133" i="64"/>
  <c r="I134" i="64" s="1"/>
  <c r="I136" i="64" s="1"/>
  <c r="E268" i="58"/>
  <c r="E269" i="58" s="1"/>
  <c r="E70" i="47"/>
  <c r="E69" i="53"/>
  <c r="E70" i="53" s="1"/>
  <c r="E69" i="47"/>
  <c r="E71" i="62"/>
  <c r="E72" i="62" s="1"/>
  <c r="I68" i="47"/>
  <c r="G45" i="66"/>
  <c r="I45" i="66"/>
  <c r="G38" i="61"/>
  <c r="E85" i="61" s="1"/>
  <c r="E86" i="61"/>
  <c r="I69" i="62"/>
  <c r="E59" i="67"/>
  <c r="E60" i="67" s="1"/>
  <c r="I57" i="67"/>
  <c r="G33" i="66"/>
  <c r="I33" i="66"/>
  <c r="I16" i="66"/>
  <c r="G16" i="66"/>
  <c r="E73" i="56"/>
  <c r="E74" i="56" s="1"/>
  <c r="I71" i="56"/>
  <c r="G55" i="66"/>
  <c r="I55" i="66"/>
  <c r="I266" i="58"/>
  <c r="I269" i="58" s="1"/>
  <c r="G35" i="66"/>
  <c r="I35" i="66"/>
  <c r="I84" i="61" l="1"/>
  <c r="E71" i="47"/>
  <c r="I71" i="47"/>
  <c r="I72" i="47" s="1"/>
  <c r="I74" i="47" s="1"/>
  <c r="I72" i="62"/>
  <c r="I73" i="62" s="1"/>
  <c r="I75" i="62" s="1"/>
  <c r="I74" i="56"/>
  <c r="I75" i="56" s="1"/>
  <c r="I77" i="56" s="1"/>
  <c r="I60" i="67"/>
  <c r="I61" i="67" s="1"/>
  <c r="I63" i="67" s="1"/>
  <c r="I270" i="58"/>
  <c r="I272" i="58" s="1"/>
  <c r="E87" i="61"/>
  <c r="E78" i="66"/>
  <c r="I77" i="66"/>
  <c r="E79" i="66"/>
  <c r="I87" i="61" l="1"/>
  <c r="I88" i="61" s="1"/>
  <c r="I90" i="61" s="1"/>
  <c r="I80" i="66"/>
  <c r="I81" i="66" s="1"/>
  <c r="I83" i="66" s="1"/>
  <c r="E80" i="6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9FD820-4C33-4BAF-B383-1DF1579F8026}" keepAlive="1" name="Query - County of Vermillion MOQ xlsx" description="Connection to the 'County of Vermillion MOQ xlsx' query in the workbook." type="5" refreshedVersion="8" background="1" saveData="1">
    <dbPr connection="Provider=Microsoft.Mashup.OleDb.1;Data Source=$Workbook$;Location=&quot;County of Vermillion MOQ xlsx&quot;;Extended Properties=&quot;&quot;" command="SELECT * FROM [County of Vermillion MOQ xlsx]"/>
  </connection>
</connections>
</file>

<file path=xl/sharedStrings.xml><?xml version="1.0" encoding="utf-8"?>
<sst xmlns="http://schemas.openxmlformats.org/spreadsheetml/2006/main" count="1227" uniqueCount="302">
  <si>
    <t>PART NUMBER</t>
  </si>
  <si>
    <t>DESCRIPTION</t>
  </si>
  <si>
    <t>QTY</t>
  </si>
  <si>
    <t>CAD $</t>
  </si>
  <si>
    <t>OEM MSRP</t>
  </si>
  <si>
    <t>GQP PRICE</t>
  </si>
  <si>
    <t>Seats</t>
  </si>
  <si>
    <t>COMPANY:</t>
  </si>
  <si>
    <t>DATE:</t>
  </si>
  <si>
    <t>PO NUMBER:</t>
  </si>
  <si>
    <t>CONTACT NAME:</t>
  </si>
  <si>
    <t>PHONE NUMBER:</t>
  </si>
  <si>
    <t>BILLING ADDRESS:</t>
  </si>
  <si>
    <t>EMAIL ADDRESS:</t>
  </si>
  <si>
    <t>SHIPPING ADDRESS:</t>
  </si>
  <si>
    <t>Make &amp; Model</t>
  </si>
  <si>
    <t>TOTAL</t>
  </si>
  <si>
    <t>Subtotal</t>
  </si>
  <si>
    <t>OEM MSRP :</t>
  </si>
  <si>
    <t>Shipping</t>
  </si>
  <si>
    <t>GQP :</t>
  </si>
  <si>
    <t>Customs/Broker Fee</t>
  </si>
  <si>
    <t>GQP SAVINGS :</t>
  </si>
  <si>
    <t>Total</t>
  </si>
  <si>
    <t>GST</t>
  </si>
  <si>
    <t>PST / QST</t>
  </si>
  <si>
    <t>Quote valid for 14 days, shipping subject to delays in supply chain.</t>
  </si>
  <si>
    <t>GRAND TOTAL</t>
  </si>
  <si>
    <t>MOQ QUOTE</t>
  </si>
  <si>
    <t>Injectors</t>
  </si>
  <si>
    <t>Batteries</t>
  </si>
  <si>
    <t>Grand Total</t>
  </si>
  <si>
    <t>Turbos</t>
  </si>
  <si>
    <t>Enoch</t>
  </si>
  <si>
    <t>Filters Q3</t>
  </si>
  <si>
    <t>Filters Q2</t>
  </si>
  <si>
    <t>Filters Q1</t>
  </si>
  <si>
    <t>Filters Q4</t>
  </si>
  <si>
    <t>153-5710</t>
  </si>
  <si>
    <t>328-3655</t>
  </si>
  <si>
    <t>2J-3506</t>
  </si>
  <si>
    <t>9X-3404</t>
  </si>
  <si>
    <t>5J-4773</t>
  </si>
  <si>
    <t xml:space="preserve"> </t>
  </si>
  <si>
    <t>08000-D2213</t>
  </si>
  <si>
    <t>08003-3190H</t>
  </si>
  <si>
    <t>08003-C145F</t>
  </si>
  <si>
    <t>08003-C165G</t>
  </si>
  <si>
    <t>115-2422</t>
  </si>
  <si>
    <t>134-06-61540</t>
  </si>
  <si>
    <t>175-4390</t>
  </si>
  <si>
    <t>22B-06-22311</t>
  </si>
  <si>
    <t>2A5-06-A1010</t>
  </si>
  <si>
    <t>TY23020B</t>
  </si>
  <si>
    <t>TY25879</t>
  </si>
  <si>
    <t>TY25879B</t>
  </si>
  <si>
    <t>336-7516</t>
  </si>
  <si>
    <t>361-5594</t>
  </si>
  <si>
    <t>363-3890</t>
  </si>
  <si>
    <t>375-2810</t>
  </si>
  <si>
    <t>376-4074</t>
  </si>
  <si>
    <t>466-4921</t>
  </si>
  <si>
    <t>546-1917</t>
  </si>
  <si>
    <t>6252-31-1010</t>
  </si>
  <si>
    <t>6252-41-1010</t>
  </si>
  <si>
    <t>6261-31-1200 </t>
  </si>
  <si>
    <t>6263-41-1010</t>
  </si>
  <si>
    <t>6271-31-1110</t>
  </si>
  <si>
    <t>6275-41-1500</t>
  </si>
  <si>
    <t>630-8777</t>
  </si>
  <si>
    <t>6745-41-1110</t>
  </si>
  <si>
    <t>6746-31-1120</t>
  </si>
  <si>
    <t>6754-32-1330</t>
  </si>
  <si>
    <t>6754-41-1100</t>
  </si>
  <si>
    <t>MIA881102</t>
  </si>
  <si>
    <t>MIA882116</t>
  </si>
  <si>
    <t>R534321</t>
  </si>
  <si>
    <t>RE505921</t>
  </si>
  <si>
    <t>RE528950</t>
  </si>
  <si>
    <t>RE539339</t>
  </si>
  <si>
    <t>12Y-979-1174</t>
  </si>
  <si>
    <t>12Y-979-6180</t>
  </si>
  <si>
    <t>149-1912</t>
  </si>
  <si>
    <t>17M-911-3530</t>
  </si>
  <si>
    <t>211-2660</t>
  </si>
  <si>
    <t>222-9020</t>
  </si>
  <si>
    <t>222-9021</t>
  </si>
  <si>
    <t>2A5-979-1551</t>
  </si>
  <si>
    <t>327-6618</t>
  </si>
  <si>
    <t>331-8108</t>
  </si>
  <si>
    <t>421-07-72450</t>
  </si>
  <si>
    <t>423-07-52411</t>
  </si>
  <si>
    <t>426-07-32441</t>
  </si>
  <si>
    <t>4S00686R</t>
  </si>
  <si>
    <t>526-3119</t>
  </si>
  <si>
    <t>526-3123</t>
  </si>
  <si>
    <t>577-1435</t>
  </si>
  <si>
    <t>585-9997</t>
  </si>
  <si>
    <t>586-0030</t>
  </si>
  <si>
    <t>600-185-2510</t>
  </si>
  <si>
    <t>600-185-2520</t>
  </si>
  <si>
    <t>600-185-3110</t>
  </si>
  <si>
    <t>600-185-3120</t>
  </si>
  <si>
    <t>600-185-4110</t>
  </si>
  <si>
    <t>600-185-4120</t>
  </si>
  <si>
    <t>600-185-5100</t>
  </si>
  <si>
    <t>600-185-5110</t>
  </si>
  <si>
    <t>600-185-5120</t>
  </si>
  <si>
    <t>600-185-6110</t>
  </si>
  <si>
    <t>600-185-6120</t>
  </si>
  <si>
    <t>600-185-6120.</t>
  </si>
  <si>
    <t>6I-2503</t>
  </si>
  <si>
    <t>6I-2504</t>
  </si>
  <si>
    <t>AT171854</t>
  </si>
  <si>
    <t>AT191102</t>
  </si>
  <si>
    <t>AT300487</t>
  </si>
  <si>
    <t>AT307501</t>
  </si>
  <si>
    <t>AT308575</t>
  </si>
  <si>
    <t>AT314583</t>
  </si>
  <si>
    <t>AT359416</t>
  </si>
  <si>
    <t>AT441536</t>
  </si>
  <si>
    <t>FYA00001490R</t>
  </si>
  <si>
    <t>KV16429</t>
  </si>
  <si>
    <t>ND145530-1210</t>
  </si>
  <si>
    <t>ND145530-2040</t>
  </si>
  <si>
    <t>TT220747</t>
  </si>
  <si>
    <t> 207-970-5121</t>
  </si>
  <si>
    <t>093-7521</t>
  </si>
  <si>
    <t>11Y-60-28712</t>
  </si>
  <si>
    <t>179-9806</t>
  </si>
  <si>
    <t>207-60-71183</t>
  </si>
  <si>
    <t>208-60-71124</t>
  </si>
  <si>
    <t>22P-60-21161</t>
  </si>
  <si>
    <t>389-1076</t>
  </si>
  <si>
    <t>418-60-55151</t>
  </si>
  <si>
    <t>421-5479</t>
  </si>
  <si>
    <t>423-60-45461</t>
  </si>
  <si>
    <t xml:space="preserve">423-60-45461  </t>
  </si>
  <si>
    <t>5I-8670</t>
  </si>
  <si>
    <t>AT314164</t>
  </si>
  <si>
    <t>AT318160</t>
  </si>
  <si>
    <t>AT495722</t>
  </si>
  <si>
    <t>AT539500</t>
  </si>
  <si>
    <t> 600-319-4540LP</t>
  </si>
  <si>
    <t>14X-49-61410</t>
  </si>
  <si>
    <t>322-3155</t>
  </si>
  <si>
    <t>360-8960</t>
  </si>
  <si>
    <t>418-18-34160</t>
  </si>
  <si>
    <t>423-07-52441</t>
  </si>
  <si>
    <t>436-7077</t>
  </si>
  <si>
    <t>471-7003</t>
  </si>
  <si>
    <t>479-4131</t>
  </si>
  <si>
    <t>479-4133</t>
  </si>
  <si>
    <t>500-0480</t>
  </si>
  <si>
    <t>500-0483</t>
  </si>
  <si>
    <t>523-6602</t>
  </si>
  <si>
    <t>569-15-51732</t>
  </si>
  <si>
    <t>569-8036</t>
  </si>
  <si>
    <t>600-211-1341</t>
  </si>
  <si>
    <t>600-211-1341 </t>
  </si>
  <si>
    <t>600-211-2111</t>
  </si>
  <si>
    <t>600-319-3610</t>
  </si>
  <si>
    <t>600-319-3750</t>
  </si>
  <si>
    <t>600-319-3841</t>
  </si>
  <si>
    <t>600-319-3881</t>
  </si>
  <si>
    <t>600-319-4110</t>
  </si>
  <si>
    <t>600-319-4540LP</t>
  </si>
  <si>
    <t>600-319-4801</t>
  </si>
  <si>
    <t>6736-51-5142</t>
  </si>
  <si>
    <t>6742-01-4540</t>
  </si>
  <si>
    <t>714-07-28713</t>
  </si>
  <si>
    <t>7W-2326</t>
  </si>
  <si>
    <t>AT223493</t>
  </si>
  <si>
    <t>AT365869</t>
  </si>
  <si>
    <t>AT365870</t>
  </si>
  <si>
    <t>AT367635</t>
  </si>
  <si>
    <t>AT468647</t>
  </si>
  <si>
    <t>DZ112918</t>
  </si>
  <si>
    <t>DZ130550</t>
  </si>
  <si>
    <t>MIU800650</t>
  </si>
  <si>
    <t>MIU802421</t>
  </si>
  <si>
    <t>MIU805005</t>
  </si>
  <si>
    <t>RE504836</t>
  </si>
  <si>
    <t>RE522878</t>
  </si>
  <si>
    <t>RE541922</t>
  </si>
  <si>
    <t>RE572785</t>
  </si>
  <si>
    <t>01643-22460</t>
  </si>
  <si>
    <t>01643-32260</t>
  </si>
  <si>
    <t>02090-11265</t>
  </si>
  <si>
    <t>02090-11270</t>
  </si>
  <si>
    <t>02090-11485</t>
  </si>
  <si>
    <t>02090-11685</t>
  </si>
  <si>
    <t>02290-11219</t>
  </si>
  <si>
    <t>09244-02508</t>
  </si>
  <si>
    <t>10H1047</t>
  </si>
  <si>
    <t>135-9394</t>
  </si>
  <si>
    <t>13G-72-61410</t>
  </si>
  <si>
    <t>13G-72-61420</t>
  </si>
  <si>
    <t>13G-72-63250</t>
  </si>
  <si>
    <t>141-78-11253</t>
  </si>
  <si>
    <t>144-78-11245</t>
  </si>
  <si>
    <t>14H1058</t>
  </si>
  <si>
    <t>14H794</t>
  </si>
  <si>
    <t>14X-72-51610</t>
  </si>
  <si>
    <t>14Y-71-11330</t>
  </si>
  <si>
    <t>14Y-71-11340</t>
  </si>
  <si>
    <t>159-2953</t>
  </si>
  <si>
    <t>2J-3507</t>
  </si>
  <si>
    <t>419-815-A110</t>
  </si>
  <si>
    <t>419-815-A120</t>
  </si>
  <si>
    <t>421-815-3210</t>
  </si>
  <si>
    <t>421-815-3220</t>
  </si>
  <si>
    <t>424-815-A130</t>
  </si>
  <si>
    <t>424-815-A140</t>
  </si>
  <si>
    <t>436-5490</t>
  </si>
  <si>
    <t>4J-9208</t>
  </si>
  <si>
    <t>4T-2236</t>
  </si>
  <si>
    <t>5P-8250</t>
  </si>
  <si>
    <t>8E-5529</t>
  </si>
  <si>
    <t>8T-4778</t>
  </si>
  <si>
    <t>K15SYL</t>
  </si>
  <si>
    <t>K30SYL</t>
  </si>
  <si>
    <t>K40SYL</t>
  </si>
  <si>
    <t>KP15C</t>
  </si>
  <si>
    <t>KP30C</t>
  </si>
  <si>
    <t>KP40C</t>
  </si>
  <si>
    <t>NH12C1LP</t>
  </si>
  <si>
    <t>NH12C34LP</t>
  </si>
  <si>
    <t>NH12C78LP</t>
  </si>
  <si>
    <t>T10510</t>
  </si>
  <si>
    <t>T146672</t>
  </si>
  <si>
    <t>T146934</t>
  </si>
  <si>
    <t>T157492</t>
  </si>
  <si>
    <t>T223519</t>
  </si>
  <si>
    <t>T223520</t>
  </si>
  <si>
    <t>T224179</t>
  </si>
  <si>
    <t>T32742</t>
  </si>
  <si>
    <t>T70286</t>
  </si>
  <si>
    <t>TK550FD</t>
  </si>
  <si>
    <t>370-7280</t>
  </si>
  <si>
    <t>370-7286</t>
  </si>
  <si>
    <t>378-4609</t>
  </si>
  <si>
    <t>563-7897</t>
  </si>
  <si>
    <t>6252-11-3100</t>
  </si>
  <si>
    <t>6262-11-3200</t>
  </si>
  <si>
    <t>6276-11-3100</t>
  </si>
  <si>
    <t>6746-11-3100</t>
  </si>
  <si>
    <t>6755-11-3100</t>
  </si>
  <si>
    <t>DZ100217</t>
  </si>
  <si>
    <t>MIU804361</t>
  </si>
  <si>
    <t>RE560656</t>
  </si>
  <si>
    <t>424-3445</t>
  </si>
  <si>
    <t>443-0318</t>
  </si>
  <si>
    <t>479-5810</t>
  </si>
  <si>
    <t>588-1477</t>
  </si>
  <si>
    <t>6276-81-8100</t>
  </si>
  <si>
    <t>6507-12-5010</t>
  </si>
  <si>
    <t>6507-21-5010</t>
  </si>
  <si>
    <t>6508-12-5010</t>
  </si>
  <si>
    <t>6747-81-8011</t>
  </si>
  <si>
    <t>6747-81-8020 </t>
  </si>
  <si>
    <t>6756-81-8130</t>
  </si>
  <si>
    <t>6756-81-8140</t>
  </si>
  <si>
    <t>6756-81-8330</t>
  </si>
  <si>
    <t>DZ102306</t>
  </si>
  <si>
    <t>DZ108149</t>
  </si>
  <si>
    <t>DZ108160</t>
  </si>
  <si>
    <t>DZ123421</t>
  </si>
  <si>
    <t>MIA884648</t>
  </si>
  <si>
    <t>255_RT_MTO_400x86x52_GP</t>
  </si>
  <si>
    <t>329E_MS_MTO_31.5"_50LINK</t>
  </si>
  <si>
    <t>333G_RT__MTO_450x86x58_GP</t>
  </si>
  <si>
    <t>470_MS_MTO_29.5"_53LINK</t>
  </si>
  <si>
    <t>764_RT__MTO_70"x70"x6.5"_GP</t>
  </si>
  <si>
    <t>D61PX_MS_MTO_33.9"_46LINK</t>
  </si>
  <si>
    <t>D71PX-24_MS_MTO_36"_45LINK</t>
  </si>
  <si>
    <t>GB01N (20.5R25)</t>
  </si>
  <si>
    <t>GLC8S (26.5R25)</t>
  </si>
  <si>
    <t>GR-4 (13.00R24)</t>
  </si>
  <si>
    <t>PC138USLC_MS_MTO_23.6"_46LINK</t>
  </si>
  <si>
    <t>PC238USLC_MS_MTO_27.6"_50LINK</t>
  </si>
  <si>
    <t>PC290LC_MS_MTO_31.5_48LINK</t>
  </si>
  <si>
    <t>PC360LC_MS_MTO_27.6_48LINK</t>
  </si>
  <si>
    <t>PC490LC_MS_MT_31.5"_49LINK</t>
  </si>
  <si>
    <t>419-30-11600</t>
  </si>
  <si>
    <t>56B-30-13140</t>
  </si>
  <si>
    <t>UC</t>
  </si>
  <si>
    <t>Tire</t>
  </si>
  <si>
    <t>GET</t>
  </si>
  <si>
    <t>Engine</t>
  </si>
  <si>
    <t>GRAHAM</t>
  </si>
  <si>
    <t>577-8381</t>
  </si>
  <si>
    <t>CAT D7</t>
  </si>
  <si>
    <t>Seat Group</t>
  </si>
  <si>
    <t>6W-9744</t>
  </si>
  <si>
    <t>AT527707</t>
  </si>
  <si>
    <t>JD 624K, JD 624KXDW</t>
  </si>
  <si>
    <t>Seat</t>
  </si>
  <si>
    <t>AT522591</t>
  </si>
  <si>
    <t>JD 650K</t>
  </si>
  <si>
    <t>AT522601</t>
  </si>
  <si>
    <t>JD 770G, JD 772G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</si>
</sst>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[$-409]mmmm\ d\,\ yyyy;@"/>
    <numFmt numFmtId="167" formatCode="&quot;$&quot;#,##0.00"/>
    <numFmt numFmtId="168" formatCode="0;\-0;;@"/>
    <numFmt numFmtId="169" formatCode="[$-F800]dddd\,\ mmmm\ dd\,\ yyyy"/>
    <numFmt numFmtId="170" formatCode="_-* #,##0_-;\-* #,##0_-;_-* &quot;-&quot;??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8"/>
      <color theme="1"/>
      <name val="Bahnschrift SemiCondensed"/>
      <family val="2"/>
    </font>
    <font>
      <b/>
      <sz val="28"/>
      <color theme="1"/>
      <name val="Aptos Narrow"/>
      <family val="2"/>
      <scheme val="minor"/>
    </font>
    <font>
      <b/>
      <sz val="10"/>
      <color theme="1"/>
      <name val="Arial Nova Cond"/>
      <family val="2"/>
    </font>
    <font>
      <b/>
      <sz val="9"/>
      <color theme="1"/>
      <name val="Arial Nova Cond"/>
      <family val="2"/>
    </font>
    <font>
      <sz val="10"/>
      <color theme="1"/>
      <name val="Arial Nova Cond"/>
      <family val="2"/>
    </font>
    <font>
      <sz val="9"/>
      <color theme="1"/>
      <name val="Arial Nova Cond"/>
      <family val="2"/>
    </font>
    <font>
      <sz val="11"/>
      <color theme="1"/>
      <name val="Bahnschrift SemiCondensed"/>
      <family val="2"/>
    </font>
    <font>
      <b/>
      <sz val="11"/>
      <color theme="0"/>
      <name val="Arial Nova Cond"/>
      <family val="2"/>
    </font>
    <font>
      <b/>
      <sz val="11"/>
      <color theme="1"/>
      <name val="Bahnschrift SemiCondense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sz val="11"/>
      <color rgb="FFFF0000"/>
      <name val="Arial Nova Cond"/>
      <family val="2"/>
    </font>
    <font>
      <b/>
      <sz val="12"/>
      <color theme="1"/>
      <name val="Arial Nova Cond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17">
    <xf numFmtId="0" fontId="0" fillId="0" borderId="0" xfId="0"/>
    <xf numFmtId="0" fontId="0" fillId="0" borderId="6" xfId="0" applyBorder="1"/>
    <xf numFmtId="0" fontId="0" fillId="0" borderId="10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3" borderId="13" xfId="0" applyFill="1" applyBorder="1"/>
    <xf numFmtId="0" fontId="0" fillId="3" borderId="0" xfId="0" applyFill="1"/>
    <xf numFmtId="0" fontId="3" fillId="3" borderId="0" xfId="0" applyFont="1" applyFill="1" applyAlignment="1">
      <alignment horizontal="center" wrapText="1"/>
    </xf>
    <xf numFmtId="169" fontId="4" fillId="2" borderId="1" xfId="0" applyNumberFormat="1" applyFont="1" applyFill="1" applyBorder="1" applyAlignment="1">
      <alignment horizontal="right"/>
    </xf>
    <xf numFmtId="166" fontId="4" fillId="0" borderId="1" xfId="0" applyNumberFormat="1" applyFont="1" applyBorder="1" applyAlignment="1">
      <alignment horizontal="left" vertical="center"/>
    </xf>
    <xf numFmtId="166" fontId="4" fillId="2" borderId="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/>
      <protection locked="0"/>
    </xf>
    <xf numFmtId="0" fontId="8" fillId="3" borderId="14" xfId="0" applyFont="1" applyFill="1" applyBorder="1"/>
    <xf numFmtId="0" fontId="8" fillId="3" borderId="15" xfId="0" applyFont="1" applyFill="1" applyBorder="1"/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168" fontId="6" fillId="0" borderId="2" xfId="0" applyNumberFormat="1" applyFont="1" applyBorder="1" applyAlignment="1">
      <alignment horizontal="left"/>
    </xf>
    <xf numFmtId="170" fontId="6" fillId="0" borderId="2" xfId="2" applyNumberFormat="1" applyFont="1" applyBorder="1" applyAlignment="1">
      <alignment horizontal="center"/>
    </xf>
    <xf numFmtId="44" fontId="6" fillId="0" borderId="2" xfId="1" applyFont="1" applyBorder="1" applyAlignment="1">
      <alignment horizontal="center"/>
    </xf>
    <xf numFmtId="44" fontId="6" fillId="2" borderId="2" xfId="1" applyFont="1" applyFill="1" applyBorder="1" applyProtection="1"/>
    <xf numFmtId="44" fontId="6" fillId="0" borderId="2" xfId="1" applyFont="1" applyBorder="1" applyProtection="1"/>
    <xf numFmtId="0" fontId="11" fillId="2" borderId="11" xfId="0" applyFont="1" applyFill="1" applyBorder="1" applyAlignment="1">
      <alignment horizontal="center"/>
    </xf>
    <xf numFmtId="0" fontId="12" fillId="0" borderId="1" xfId="0" applyFont="1" applyBorder="1"/>
    <xf numFmtId="164" fontId="11" fillId="0" borderId="1" xfId="0" applyNumberFormat="1" applyFont="1" applyBorder="1"/>
    <xf numFmtId="0" fontId="11" fillId="2" borderId="12" xfId="0" applyFont="1" applyFill="1" applyBorder="1"/>
    <xf numFmtId="0" fontId="11" fillId="2" borderId="0" xfId="0" applyFont="1" applyFill="1"/>
    <xf numFmtId="0" fontId="11" fillId="2" borderId="0" xfId="0" applyFont="1" applyFill="1" applyAlignment="1">
      <alignment horizontal="right" vertical="center" wrapText="1"/>
    </xf>
    <xf numFmtId="167" fontId="11" fillId="2" borderId="8" xfId="0" applyNumberFormat="1" applyFont="1" applyFill="1" applyBorder="1" applyAlignment="1">
      <alignment horizontal="left" vertical="center" wrapText="1"/>
    </xf>
    <xf numFmtId="44" fontId="11" fillId="2" borderId="1" xfId="1" applyFont="1" applyFill="1" applyBorder="1" applyProtection="1">
      <protection locked="0"/>
    </xf>
    <xf numFmtId="0" fontId="5" fillId="0" borderId="1" xfId="0" applyFont="1" applyBorder="1"/>
    <xf numFmtId="167" fontId="13" fillId="2" borderId="8" xfId="0" applyNumberFormat="1" applyFont="1" applyFill="1" applyBorder="1" applyAlignment="1">
      <alignment horizontal="left" vertical="center" wrapText="1"/>
    </xf>
    <xf numFmtId="44" fontId="11" fillId="0" borderId="1" xfId="0" applyNumberFormat="1" applyFont="1" applyBorder="1"/>
    <xf numFmtId="0" fontId="11" fillId="2" borderId="8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11" fillId="2" borderId="8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/>
    </xf>
    <xf numFmtId="0" fontId="14" fillId="0" borderId="1" xfId="0" applyFont="1" applyBorder="1"/>
    <xf numFmtId="44" fontId="14" fillId="0" borderId="1" xfId="0" applyNumberFormat="1" applyFont="1" applyBorder="1"/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164" fontId="0" fillId="0" borderId="0" xfId="0" applyNumberFormat="1"/>
    <xf numFmtId="44" fontId="0" fillId="0" borderId="0" xfId="0" applyNumberFormat="1"/>
    <xf numFmtId="0" fontId="4" fillId="2" borderId="3" xfId="0" applyFont="1" applyFill="1" applyBorder="1"/>
    <xf numFmtId="0" fontId="5" fillId="2" borderId="3" xfId="0" applyFont="1" applyFill="1" applyBorder="1"/>
    <xf numFmtId="0" fontId="7" fillId="2" borderId="3" xfId="0" applyFont="1" applyFill="1" applyBorder="1"/>
    <xf numFmtId="0" fontId="10" fillId="0" borderId="21" xfId="0" applyFont="1" applyBorder="1" applyAlignment="1">
      <alignment horizontal="center"/>
    </xf>
    <xf numFmtId="165" fontId="0" fillId="0" borderId="0" xfId="2" applyFont="1"/>
    <xf numFmtId="0" fontId="10" fillId="0" borderId="22" xfId="0" applyFont="1" applyBorder="1" applyAlignment="1">
      <alignment horizontal="center"/>
    </xf>
    <xf numFmtId="165" fontId="15" fillId="0" borderId="0" xfId="2" applyFont="1" applyBorder="1"/>
    <xf numFmtId="165" fontId="1" fillId="0" borderId="0" xfId="2" applyFont="1" applyBorder="1"/>
    <xf numFmtId="0" fontId="10" fillId="0" borderId="23" xfId="0" applyFont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44" fontId="6" fillId="0" borderId="24" xfId="1" applyFont="1" applyBorder="1" applyAlignment="1">
      <alignment horizontal="center"/>
    </xf>
    <xf numFmtId="167" fontId="11" fillId="2" borderId="0" xfId="0" applyNumberFormat="1" applyFont="1" applyFill="1" applyAlignment="1">
      <alignment horizontal="left" vertical="center" wrapText="1"/>
    </xf>
    <xf numFmtId="167" fontId="13" fillId="2" borderId="0" xfId="0" applyNumberFormat="1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168" fontId="6" fillId="0" borderId="1" xfId="0" applyNumberFormat="1" applyFont="1" applyBorder="1" applyAlignment="1">
      <alignment horizontal="left"/>
    </xf>
    <xf numFmtId="170" fontId="6" fillId="0" borderId="1" xfId="2" applyNumberFormat="1" applyFont="1" applyBorder="1" applyAlignment="1">
      <alignment horizontal="center"/>
    </xf>
    <xf numFmtId="44" fontId="6" fillId="0" borderId="1" xfId="1" applyFont="1" applyBorder="1" applyAlignment="1">
      <alignment horizontal="center"/>
    </xf>
    <xf numFmtId="44" fontId="6" fillId="2" borderId="1" xfId="1" applyFont="1" applyFill="1" applyBorder="1" applyProtection="1"/>
    <xf numFmtId="0" fontId="0" fillId="0" borderId="29" xfId="0" applyBorder="1"/>
    <xf numFmtId="168" fontId="6" fillId="0" borderId="30" xfId="0" applyNumberFormat="1" applyFont="1" applyBorder="1" applyAlignment="1">
      <alignment horizontal="left"/>
    </xf>
    <xf numFmtId="170" fontId="6" fillId="0" borderId="30" xfId="2" applyNumberFormat="1" applyFont="1" applyBorder="1" applyAlignment="1">
      <alignment horizontal="center"/>
    </xf>
    <xf numFmtId="44" fontId="6" fillId="0" borderId="30" xfId="1" applyFont="1" applyBorder="1" applyAlignment="1">
      <alignment horizontal="center"/>
    </xf>
    <xf numFmtId="44" fontId="6" fillId="2" borderId="30" xfId="1" applyFont="1" applyFill="1" applyBorder="1" applyProtection="1"/>
    <xf numFmtId="44" fontId="6" fillId="0" borderId="31" xfId="1" applyFont="1" applyBorder="1" applyProtection="1"/>
    <xf numFmtId="0" fontId="0" fillId="0" borderId="32" xfId="0" applyBorder="1"/>
    <xf numFmtId="44" fontId="6" fillId="0" borderId="33" xfId="1" applyFont="1" applyBorder="1" applyProtection="1"/>
    <xf numFmtId="0" fontId="0" fillId="0" borderId="32" xfId="0" applyBorder="1" applyAlignment="1">
      <alignment horizontal="left"/>
    </xf>
    <xf numFmtId="0" fontId="6" fillId="0" borderId="32" xfId="0" applyFont="1" applyBorder="1" applyAlignment="1">
      <alignment horizontal="center"/>
    </xf>
    <xf numFmtId="44" fontId="6" fillId="0" borderId="33" xfId="1" applyFont="1" applyBorder="1" applyAlignment="1">
      <alignment horizontal="center"/>
    </xf>
    <xf numFmtId="0" fontId="6" fillId="0" borderId="32" xfId="0" applyFont="1" applyBorder="1"/>
    <xf numFmtId="0" fontId="6" fillId="0" borderId="34" xfId="0" applyFont="1" applyBorder="1"/>
    <xf numFmtId="168" fontId="6" fillId="0" borderId="20" xfId="0" applyNumberFormat="1" applyFont="1" applyBorder="1" applyAlignment="1">
      <alignment horizontal="left"/>
    </xf>
    <xf numFmtId="170" fontId="6" fillId="0" borderId="20" xfId="2" applyNumberFormat="1" applyFont="1" applyBorder="1" applyAlignment="1">
      <alignment horizontal="center"/>
    </xf>
    <xf numFmtId="44" fontId="6" fillId="0" borderId="20" xfId="1" applyFont="1" applyBorder="1" applyAlignment="1">
      <alignment horizontal="center"/>
    </xf>
    <xf numFmtId="44" fontId="6" fillId="2" borderId="20" xfId="1" applyFont="1" applyFill="1" applyBorder="1" applyProtection="1"/>
    <xf numFmtId="44" fontId="6" fillId="0" borderId="35" xfId="1" applyFont="1" applyBorder="1" applyAlignment="1">
      <alignment horizontal="center"/>
    </xf>
    <xf numFmtId="44" fontId="6" fillId="0" borderId="6" xfId="1" applyFont="1" applyBorder="1" applyAlignment="1">
      <alignment horizontal="center"/>
    </xf>
    <xf numFmtId="44" fontId="6" fillId="0" borderId="31" xfId="1" applyFont="1" applyBorder="1" applyAlignment="1">
      <alignment horizontal="center"/>
    </xf>
    <xf numFmtId="44" fontId="6" fillId="0" borderId="36" xfId="1" applyFont="1" applyBorder="1" applyAlignment="1">
      <alignment horizontal="center"/>
    </xf>
    <xf numFmtId="0" fontId="0" fillId="0" borderId="34" xfId="0" applyBorder="1"/>
    <xf numFmtId="168" fontId="6" fillId="0" borderId="37" xfId="0" applyNumberFormat="1" applyFont="1" applyBorder="1" applyAlignment="1">
      <alignment horizontal="left"/>
    </xf>
    <xf numFmtId="170" fontId="6" fillId="0" borderId="37" xfId="2" applyNumberFormat="1" applyFont="1" applyBorder="1" applyAlignment="1">
      <alignment horizontal="center"/>
    </xf>
    <xf numFmtId="44" fontId="6" fillId="0" borderId="38" xfId="1" applyFont="1" applyBorder="1" applyAlignment="1">
      <alignment horizontal="center"/>
    </xf>
    <xf numFmtId="44" fontId="6" fillId="2" borderId="29" xfId="1" applyFont="1" applyFill="1" applyBorder="1" applyProtection="1"/>
    <xf numFmtId="44" fontId="6" fillId="2" borderId="32" xfId="1" applyFont="1" applyFill="1" applyBorder="1" applyProtection="1"/>
    <xf numFmtId="44" fontId="6" fillId="0" borderId="36" xfId="1" applyFont="1" applyBorder="1" applyProtection="1"/>
    <xf numFmtId="44" fontId="6" fillId="2" borderId="39" xfId="1" applyFont="1" applyFill="1" applyBorder="1" applyProtection="1"/>
    <xf numFmtId="44" fontId="6" fillId="2" borderId="40" xfId="1" applyFont="1" applyFill="1" applyBorder="1" applyProtection="1"/>
    <xf numFmtId="44" fontId="6" fillId="0" borderId="38" xfId="1" applyFont="1" applyBorder="1" applyProtection="1"/>
    <xf numFmtId="168" fontId="6" fillId="0" borderId="24" xfId="0" applyNumberFormat="1" applyFont="1" applyBorder="1" applyAlignment="1">
      <alignment horizontal="left"/>
    </xf>
    <xf numFmtId="170" fontId="6" fillId="0" borderId="24" xfId="2" applyNumberFormat="1" applyFont="1" applyBorder="1" applyAlignment="1">
      <alignment horizontal="center"/>
    </xf>
    <xf numFmtId="44" fontId="6" fillId="2" borderId="24" xfId="1" applyFont="1" applyFill="1" applyBorder="1" applyProtection="1"/>
    <xf numFmtId="44" fontId="6" fillId="0" borderId="24" xfId="1" applyFont="1" applyBorder="1" applyProtection="1"/>
    <xf numFmtId="0" fontId="11" fillId="2" borderId="13" xfId="0" applyFont="1" applyFill="1" applyBorder="1"/>
    <xf numFmtId="0" fontId="11" fillId="2" borderId="43" xfId="0" applyFont="1" applyFill="1" applyBorder="1" applyAlignment="1">
      <alignment vertical="center" wrapText="1"/>
    </xf>
    <xf numFmtId="0" fontId="12" fillId="0" borderId="29" xfId="0" applyFont="1" applyBorder="1"/>
    <xf numFmtId="164" fontId="11" fillId="0" borderId="31" xfId="0" applyNumberFormat="1" applyFont="1" applyBorder="1"/>
    <xf numFmtId="0" fontId="12" fillId="0" borderId="32" xfId="0" applyFont="1" applyBorder="1"/>
    <xf numFmtId="44" fontId="11" fillId="2" borderId="33" xfId="1" applyFont="1" applyFill="1" applyBorder="1" applyProtection="1">
      <protection locked="0"/>
    </xf>
    <xf numFmtId="0" fontId="5" fillId="0" borderId="32" xfId="0" applyFont="1" applyBorder="1"/>
    <xf numFmtId="44" fontId="11" fillId="0" borderId="33" xfId="0" applyNumberFormat="1" applyFont="1" applyBorder="1"/>
    <xf numFmtId="0" fontId="14" fillId="0" borderId="34" xfId="0" applyFont="1" applyBorder="1"/>
    <xf numFmtId="44" fontId="14" fillId="0" borderId="35" xfId="0" applyNumberFormat="1" applyFont="1" applyBorder="1"/>
    <xf numFmtId="44" fontId="6" fillId="2" borderId="34" xfId="1" applyFont="1" applyFill="1" applyBorder="1" applyProtection="1"/>
    <xf numFmtId="44" fontId="6" fillId="0" borderId="35" xfId="1" applyFont="1" applyBorder="1" applyProtection="1"/>
    <xf numFmtId="0" fontId="11" fillId="2" borderId="45" xfId="0" applyFont="1" applyFill="1" applyBorder="1" applyAlignment="1">
      <alignment horizontal="center"/>
    </xf>
    <xf numFmtId="0" fontId="12" fillId="0" borderId="30" xfId="0" applyFont="1" applyBorder="1"/>
    <xf numFmtId="0" fontId="7" fillId="2" borderId="46" xfId="0" applyFont="1" applyFill="1" applyBorder="1" applyAlignment="1">
      <alignment horizontal="center"/>
    </xf>
    <xf numFmtId="0" fontId="14" fillId="0" borderId="20" xfId="0" applyFont="1" applyBorder="1"/>
    <xf numFmtId="44" fontId="6" fillId="2" borderId="6" xfId="1" applyFont="1" applyFill="1" applyBorder="1" applyProtection="1"/>
    <xf numFmtId="166" fontId="4" fillId="0" borderId="4" xfId="0" applyNumberFormat="1" applyFont="1" applyBorder="1" applyAlignment="1">
      <alignment horizontal="left" vertical="center"/>
    </xf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 applyAlignment="1" applyProtection="1">
      <alignment horizontal="center"/>
      <protection locked="0"/>
    </xf>
    <xf numFmtId="0" fontId="0" fillId="0" borderId="41" xfId="0" applyBorder="1"/>
    <xf numFmtId="0" fontId="0" fillId="0" borderId="25" xfId="0" applyBorder="1"/>
    <xf numFmtId="0" fontId="0" fillId="0" borderId="13" xfId="0" applyBorder="1"/>
    <xf numFmtId="0" fontId="0" fillId="0" borderId="47" xfId="0" applyBorder="1"/>
    <xf numFmtId="0" fontId="3" fillId="3" borderId="43" xfId="0" applyFont="1" applyFill="1" applyBorder="1" applyAlignment="1">
      <alignment horizontal="center" wrapText="1"/>
    </xf>
    <xf numFmtId="0" fontId="4" fillId="2" borderId="49" xfId="0" applyFont="1" applyFill="1" applyBorder="1"/>
    <xf numFmtId="166" fontId="4" fillId="0" borderId="33" xfId="0" applyNumberFormat="1" applyFont="1" applyBorder="1" applyAlignment="1">
      <alignment horizontal="left" vertical="center"/>
    </xf>
    <xf numFmtId="0" fontId="5" fillId="2" borderId="49" xfId="0" applyFont="1" applyFill="1" applyBorder="1"/>
    <xf numFmtId="0" fontId="7" fillId="2" borderId="50" xfId="0" applyFont="1" applyFill="1" applyBorder="1"/>
    <xf numFmtId="0" fontId="3" fillId="3" borderId="13" xfId="0" applyFont="1" applyFill="1" applyBorder="1" applyAlignment="1">
      <alignment horizontal="center" wrapText="1"/>
    </xf>
    <xf numFmtId="166" fontId="4" fillId="2" borderId="32" xfId="0" applyNumberFormat="1" applyFont="1" applyFill="1" applyBorder="1" applyAlignment="1">
      <alignment horizontal="center"/>
    </xf>
    <xf numFmtId="166" fontId="4" fillId="0" borderId="33" xfId="0" applyNumberFormat="1" applyFont="1" applyBorder="1" applyAlignment="1">
      <alignment horizontal="left"/>
    </xf>
    <xf numFmtId="166" fontId="4" fillId="0" borderId="51" xfId="0" applyNumberFormat="1" applyFont="1" applyBorder="1" applyAlignment="1">
      <alignment horizontal="left" vertical="center"/>
    </xf>
    <xf numFmtId="0" fontId="5" fillId="2" borderId="51" xfId="0" applyFont="1" applyFill="1" applyBorder="1" applyAlignment="1">
      <alignment horizontal="center"/>
    </xf>
    <xf numFmtId="0" fontId="5" fillId="2" borderId="51" xfId="0" applyFont="1" applyFill="1" applyBorder="1" applyAlignment="1" applyProtection="1">
      <alignment horizontal="center"/>
      <protection locked="0"/>
    </xf>
    <xf numFmtId="0" fontId="10" fillId="0" borderId="5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7" fillId="2" borderId="49" xfId="0" applyFont="1" applyFill="1" applyBorder="1"/>
    <xf numFmtId="0" fontId="10" fillId="0" borderId="54" xfId="0" applyFont="1" applyBorder="1" applyAlignment="1">
      <alignment horizontal="center"/>
    </xf>
    <xf numFmtId="0" fontId="2" fillId="0" borderId="25" xfId="0" applyFont="1" applyBorder="1" applyAlignment="1">
      <alignment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9" fillId="3" borderId="53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50" xfId="0" applyFont="1" applyFill="1" applyBorder="1" applyAlignment="1">
      <alignment horizontal="center"/>
    </xf>
    <xf numFmtId="0" fontId="11" fillId="2" borderId="41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center"/>
    </xf>
    <xf numFmtId="0" fontId="11" fillId="2" borderId="42" xfId="0" applyFont="1" applyFill="1" applyBorder="1" applyAlignment="1">
      <alignment horizontal="center"/>
    </xf>
    <xf numFmtId="167" fontId="11" fillId="2" borderId="0" xfId="0" applyNumberFormat="1" applyFont="1" applyFill="1" applyAlignment="1">
      <alignment horizontal="left" vertical="center" wrapText="1"/>
    </xf>
    <xf numFmtId="167" fontId="11" fillId="2" borderId="43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168" fontId="7" fillId="0" borderId="32" xfId="0" applyNumberFormat="1" applyFont="1" applyBorder="1"/>
    <xf numFmtId="168" fontId="7" fillId="0" borderId="33" xfId="0" applyNumberFormat="1" applyFont="1" applyBorder="1"/>
    <xf numFmtId="0" fontId="7" fillId="0" borderId="32" xfId="0" applyFont="1" applyBorder="1" applyProtection="1">
      <protection locked="0"/>
    </xf>
    <xf numFmtId="0" fontId="7" fillId="0" borderId="33" xfId="0" applyFont="1" applyBorder="1" applyProtection="1">
      <protection locked="0"/>
    </xf>
    <xf numFmtId="168" fontId="4" fillId="0" borderId="32" xfId="0" applyNumberFormat="1" applyFont="1" applyBorder="1"/>
    <xf numFmtId="168" fontId="4" fillId="0" borderId="33" xfId="0" applyNumberFormat="1" applyFont="1" applyBorder="1"/>
    <xf numFmtId="0" fontId="4" fillId="0" borderId="32" xfId="0" applyFont="1" applyBorder="1"/>
    <xf numFmtId="0" fontId="4" fillId="0" borderId="33" xfId="0" applyFont="1" applyBorder="1"/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44" xfId="0" applyFont="1" applyFill="1" applyBorder="1" applyAlignment="1">
      <alignment horizontal="center"/>
    </xf>
    <xf numFmtId="0" fontId="2" fillId="0" borderId="2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7" fontId="13" fillId="2" borderId="0" xfId="0" applyNumberFormat="1" applyFont="1" applyFill="1" applyAlignment="1">
      <alignment horizontal="left" vertical="center" wrapText="1"/>
    </xf>
    <xf numFmtId="167" fontId="13" fillId="2" borderId="43" xfId="0" applyNumberFormat="1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1" fillId="2" borderId="43" xfId="0" applyFont="1" applyFill="1" applyBorder="1" applyAlignment="1">
      <alignment horizontal="left" vertical="center" wrapText="1"/>
    </xf>
    <xf numFmtId="168" fontId="4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 applyProtection="1">
      <alignment horizontal="center"/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168" fontId="6" fillId="0" borderId="3" xfId="0" applyNumberFormat="1" applyFont="1" applyBorder="1" applyAlignment="1">
      <alignment horizontal="left"/>
    </xf>
    <xf numFmtId="168" fontId="6" fillId="0" borderId="4" xfId="0" applyNumberFormat="1" applyFont="1" applyBorder="1" applyAlignment="1">
      <alignment horizontal="left"/>
    </xf>
    <xf numFmtId="168" fontId="4" fillId="0" borderId="20" xfId="0" applyNumberFormat="1" applyFont="1" applyBorder="1" applyAlignment="1">
      <alignment horizontal="center"/>
    </xf>
    <xf numFmtId="0" fontId="5" fillId="2" borderId="20" xfId="0" applyFont="1" applyFill="1" applyBorder="1" applyAlignment="1" applyProtection="1">
      <alignment horizontal="center"/>
      <protection locked="0"/>
    </xf>
    <xf numFmtId="0" fontId="5" fillId="2" borderId="35" xfId="0" applyFont="1" applyFill="1" applyBorder="1" applyAlignment="1" applyProtection="1">
      <alignment horizontal="center"/>
      <protection locked="0"/>
    </xf>
    <xf numFmtId="0" fontId="7" fillId="0" borderId="34" xfId="0" applyFont="1" applyBorder="1" applyProtection="1">
      <protection locked="0"/>
    </xf>
    <xf numFmtId="0" fontId="7" fillId="0" borderId="35" xfId="0" applyFont="1" applyBorder="1" applyProtection="1">
      <protection locked="0"/>
    </xf>
    <xf numFmtId="0" fontId="9" fillId="3" borderId="44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55" xfId="0" applyFont="1" applyFill="1" applyBorder="1" applyAlignment="1">
      <alignment horizontal="center"/>
    </xf>
    <xf numFmtId="0" fontId="11" fillId="2" borderId="45" xfId="0" applyFont="1" applyFill="1" applyBorder="1" applyAlignment="1">
      <alignment horizontal="center"/>
    </xf>
    <xf numFmtId="167" fontId="11" fillId="2" borderId="8" xfId="0" applyNumberFormat="1" applyFont="1" applyFill="1" applyBorder="1" applyAlignment="1">
      <alignment horizontal="left" vertical="center" wrapText="1"/>
    </xf>
    <xf numFmtId="168" fontId="7" fillId="0" borderId="1" xfId="0" applyNumberFormat="1" applyFont="1" applyBorder="1"/>
    <xf numFmtId="0" fontId="7" fillId="0" borderId="1" xfId="0" applyFont="1" applyBorder="1" applyProtection="1">
      <protection locked="0"/>
    </xf>
    <xf numFmtId="0" fontId="4" fillId="0" borderId="1" xfId="0" applyFont="1" applyBorder="1"/>
    <xf numFmtId="168" fontId="4" fillId="0" borderId="1" xfId="0" applyNumberFormat="1" applyFont="1" applyBorder="1"/>
    <xf numFmtId="0" fontId="7" fillId="2" borderId="46" xfId="0" applyFont="1" applyFill="1" applyBorder="1" applyAlignment="1">
      <alignment horizontal="center"/>
    </xf>
    <xf numFmtId="167" fontId="13" fillId="2" borderId="8" xfId="0" applyNumberFormat="1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8" fontId="4" fillId="0" borderId="3" xfId="0" applyNumberFormat="1" applyFont="1" applyBorder="1" applyAlignment="1">
      <alignment horizontal="left"/>
    </xf>
    <xf numFmtId="168" fontId="4" fillId="0" borderId="4" xfId="0" applyNumberFormat="1" applyFont="1" applyBorder="1" applyAlignment="1">
      <alignment horizontal="left"/>
    </xf>
    <xf numFmtId="0" fontId="7" fillId="2" borderId="7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DA9AA4-F1A4-4BA4-A669-D71087476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1A6929-EE86-46D0-95B0-B7C492991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8D17FD-B170-4E55-97C6-AFF0D6751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3BFA00-D216-4F22-8EB5-4EEA57831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2</xdr:col>
      <xdr:colOff>2893086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EDC980-2424-43C7-9D08-7C8544B6E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175" y="46095"/>
          <a:ext cx="3845586" cy="858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129</xdr:row>
      <xdr:rowOff>178138</xdr:rowOff>
    </xdr:from>
    <xdr:to>
      <xdr:col>2</xdr:col>
      <xdr:colOff>970860</xdr:colOff>
      <xdr:row>135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B9A523-9D07-4EDE-A639-2D6503165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11318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F50F59-062E-411E-AC7A-1667101F7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91025" y="0"/>
          <a:ext cx="1895475" cy="9487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2</xdr:col>
      <xdr:colOff>2893086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6232C7-0815-40F0-91B9-54E062E21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175" y="46095"/>
          <a:ext cx="3845586" cy="858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129</xdr:row>
      <xdr:rowOff>178138</xdr:rowOff>
    </xdr:from>
    <xdr:to>
      <xdr:col>2</xdr:col>
      <xdr:colOff>970860</xdr:colOff>
      <xdr:row>135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DDE360-A7D1-4F4A-B316-A73F58782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038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271DB6-8A4E-4891-8407-016E53978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91025" y="0"/>
          <a:ext cx="1895475" cy="9487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2</xdr:col>
      <xdr:colOff>2893086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61504C-E338-40B2-9A75-A215A398C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175" y="46095"/>
          <a:ext cx="3845586" cy="858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129</xdr:row>
      <xdr:rowOff>178138</xdr:rowOff>
    </xdr:from>
    <xdr:to>
      <xdr:col>2</xdr:col>
      <xdr:colOff>970860</xdr:colOff>
      <xdr:row>135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2C9A66-2AB3-4042-9C23-D82344C36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038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D88929-550D-4E3E-8B5F-763399BB2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91025" y="0"/>
          <a:ext cx="1895475" cy="9487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2</xdr:col>
      <xdr:colOff>2893086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842DEC-2D6C-46D0-9FCF-E706D0CDC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175" y="46095"/>
          <a:ext cx="3845586" cy="858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129</xdr:row>
      <xdr:rowOff>178138</xdr:rowOff>
    </xdr:from>
    <xdr:to>
      <xdr:col>2</xdr:col>
      <xdr:colOff>970860</xdr:colOff>
      <xdr:row>135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DBA560-B6BB-4FEB-BEC8-426A60A3E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038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3554C6-0B88-41FC-A880-C697BD657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91025" y="0"/>
          <a:ext cx="1895475" cy="9487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2</xdr:col>
      <xdr:colOff>2893086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70A160-4DCC-49A6-888C-4C381B9F4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175" y="46095"/>
          <a:ext cx="3845586" cy="858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76</xdr:row>
      <xdr:rowOff>178138</xdr:rowOff>
    </xdr:from>
    <xdr:to>
      <xdr:col>2</xdr:col>
      <xdr:colOff>970860</xdr:colOff>
      <xdr:row>82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1274FF-8608-4A00-A0F5-2D9CC39AF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038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75DBB8-AAA0-4409-A272-851767125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91025" y="0"/>
          <a:ext cx="1895475" cy="9487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409009-7E51-48CC-AAEC-6F79C08EC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4D0BF9-6A1B-4B4E-8059-639343B24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ACACD0-9BFA-47B7-B216-65C72AE1F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9ADD4B-7844-4C9F-A57D-0D7A5ED76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99B81E-D472-4CEB-89A6-57EEC6352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A8659F-4217-4030-821D-73C8447FF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779F96-0146-468C-A5B7-505D1BF3A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265DF7E-2C40-4393-A00C-3C3066236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B08EBF-3C4A-48C5-BCBF-3FFD8283D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CBB2A6-45B7-42E2-AF23-01DC8B40F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103245</xdr:rowOff>
    </xdr:from>
    <xdr:to>
      <xdr:col>2</xdr:col>
      <xdr:colOff>1314450</xdr:colOff>
      <xdr:row>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97436D-8C8B-4833-B308-B24DE7F3A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075" y="103245"/>
          <a:ext cx="3333750" cy="74447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265</xdr:row>
      <xdr:rowOff>178138</xdr:rowOff>
    </xdr:from>
    <xdr:to>
      <xdr:col>1</xdr:col>
      <xdr:colOff>1999560</xdr:colOff>
      <xdr:row>271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7C4625-CF6E-4AAD-BC73-0A5D75A04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419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265</xdr:row>
      <xdr:rowOff>178138</xdr:rowOff>
    </xdr:from>
    <xdr:to>
      <xdr:col>1</xdr:col>
      <xdr:colOff>1999560</xdr:colOff>
      <xdr:row>271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594A22-23AF-429A-98BA-470E49EDF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419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295275</xdr:colOff>
      <xdr:row>0</xdr:row>
      <xdr:rowOff>0</xdr:rowOff>
    </xdr:from>
    <xdr:to>
      <xdr:col>3</xdr:col>
      <xdr:colOff>2190750</xdr:colOff>
      <xdr:row>5</xdr:row>
      <xdr:rowOff>595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30E49F-CABC-45F6-BFF9-D29DDD465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67225" y="0"/>
          <a:ext cx="1895475" cy="948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wner\OneDrive%20-%20Global%20Machinery%20Auctions%20Inc\Desktop\MOQ%20Workbook\Graham%20Construction\GRAHAM%20MOQ%20-%20DATA%20FILE.xlsx" TargetMode="External"/><Relationship Id="rId1" Type="http://schemas.openxmlformats.org/officeDocument/2006/relationships/externalLinkPath" Target="/Users/Owner/OneDrive%20-%20Global%20Machinery%20Auctions%20Inc/Desktop/MOQ%20Workbook/Graham%20Construction/GRAHAM%20MOQ%20-%20DATA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Q DATA SHEET INSTRUCTIONS"/>
      <sheetName val="GRAHAM Full MOQ"/>
      <sheetName val="Products by Machine"/>
      <sheetName val="Products by Part Number"/>
      <sheetName val="Vlookup Make and Model"/>
    </sheetNames>
    <sheetDataSet>
      <sheetData sheetId="0"/>
      <sheetData sheetId="1"/>
      <sheetData sheetId="2"/>
      <sheetData sheetId="3">
        <row r="1">
          <cell r="A1" t="str">
            <v>Part Number</v>
          </cell>
          <cell r="B1" t="str">
            <v>Make &amp; Model</v>
          </cell>
          <cell r="C1" t="str">
            <v>Description</v>
          </cell>
          <cell r="D1" t="str">
            <v>OEM CAD$</v>
          </cell>
          <cell r="E1" t="str">
            <v>OEM USD</v>
          </cell>
          <cell r="F1" t="str">
            <v>GQP CAD</v>
          </cell>
          <cell r="G1" t="str">
            <v>Product Type</v>
          </cell>
          <cell r="H1" t="str">
            <v>Q1 QTY</v>
          </cell>
          <cell r="I1" t="str">
            <v>Q2 QTY</v>
          </cell>
          <cell r="J1" t="str">
            <v>Q3 QTY</v>
          </cell>
          <cell r="K1" t="str">
            <v>Q4 QTY</v>
          </cell>
          <cell r="L1" t="str">
            <v>Annual</v>
          </cell>
        </row>
        <row r="2">
          <cell r="A2" t="str">
            <v>08000-D2213</v>
          </cell>
          <cell r="B2" t="str">
            <v xml:space="preserve">KOM WA320-8 (867) KOM WA320PZ-6 (729)                                            </v>
          </cell>
          <cell r="C2" t="str">
            <v xml:space="preserve">BATTERY </v>
          </cell>
          <cell r="D2">
            <v>600.03</v>
          </cell>
          <cell r="E2">
            <v>413.81</v>
          </cell>
          <cell r="F2">
            <v>300.02</v>
          </cell>
          <cell r="G2" t="str">
            <v>Battery</v>
          </cell>
          <cell r="H2">
            <v>4</v>
          </cell>
          <cell r="I2">
            <v>0</v>
          </cell>
          <cell r="J2">
            <v>0</v>
          </cell>
          <cell r="K2">
            <v>0</v>
          </cell>
          <cell r="L2">
            <v>4</v>
          </cell>
        </row>
        <row r="3">
          <cell r="A3" t="str">
            <v>08003-3190H</v>
          </cell>
          <cell r="B3" t="str">
    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    </cell>
          <cell r="C3" t="str">
            <v xml:space="preserve">BATTERY </v>
          </cell>
          <cell r="D3">
            <v>583.87</v>
          </cell>
          <cell r="E3">
            <v>402.67</v>
          </cell>
          <cell r="F3">
            <v>291.94</v>
          </cell>
          <cell r="G3" t="str">
            <v>Battery</v>
          </cell>
          <cell r="H3">
            <v>28</v>
          </cell>
          <cell r="I3">
            <v>0</v>
          </cell>
          <cell r="J3">
            <v>0</v>
          </cell>
          <cell r="K3">
            <v>0</v>
          </cell>
          <cell r="L3">
            <v>28</v>
          </cell>
        </row>
        <row r="4">
          <cell r="A4" t="str">
            <v>08003-C145F</v>
          </cell>
          <cell r="B4" t="str">
            <v xml:space="preserve">KOM PC238USLC-11 (2)                                              </v>
          </cell>
          <cell r="C4" t="str">
            <v xml:space="preserve">BATTERY </v>
          </cell>
          <cell r="D4">
            <v>444.7</v>
          </cell>
          <cell r="E4">
            <v>306.69</v>
          </cell>
          <cell r="F4">
            <v>222.35</v>
          </cell>
          <cell r="G4" t="str">
            <v>Battery</v>
          </cell>
          <cell r="H4">
            <v>2</v>
          </cell>
          <cell r="I4">
            <v>0</v>
          </cell>
          <cell r="J4">
            <v>0</v>
          </cell>
          <cell r="K4">
            <v>0</v>
          </cell>
          <cell r="L4">
            <v>2</v>
          </cell>
        </row>
        <row r="5">
          <cell r="A5" t="str">
            <v>08003-C165G</v>
          </cell>
          <cell r="B5" t="str">
            <v xml:space="preserve">KOM WA380-8 (1) KOM WA380-8 (2) KOM WA475-10 (120) KOM PC290LC-11 (K73)                                        </v>
          </cell>
          <cell r="C5" t="str">
            <v xml:space="preserve">BATTERY </v>
          </cell>
          <cell r="D5">
            <v>483.17</v>
          </cell>
          <cell r="E5">
            <v>333.22</v>
          </cell>
          <cell r="F5">
            <v>241.59</v>
          </cell>
          <cell r="G5" t="str">
            <v>Battery</v>
          </cell>
          <cell r="H5">
            <v>8</v>
          </cell>
          <cell r="I5">
            <v>0</v>
          </cell>
          <cell r="J5">
            <v>0</v>
          </cell>
          <cell r="K5">
            <v>0</v>
          </cell>
          <cell r="L5">
            <v>8</v>
          </cell>
        </row>
        <row r="6">
          <cell r="A6" t="str">
            <v>115-2422</v>
          </cell>
          <cell r="B6" t="str">
            <v xml:space="preserve">CAT 255 CAT 255 (2) CAT 255 (FL7)                                          </v>
          </cell>
          <cell r="C6" t="str">
            <v>BATTERY 12 V 1000 CCA</v>
          </cell>
          <cell r="D6">
            <v>505.03</v>
          </cell>
          <cell r="E6">
            <v>348.3</v>
          </cell>
          <cell r="F6">
            <v>252.52</v>
          </cell>
          <cell r="G6" t="str">
            <v>Battery</v>
          </cell>
          <cell r="H6">
            <v>3</v>
          </cell>
          <cell r="I6">
            <v>0</v>
          </cell>
          <cell r="J6">
            <v>0</v>
          </cell>
          <cell r="K6">
            <v>0</v>
          </cell>
          <cell r="L6">
            <v>3</v>
          </cell>
        </row>
        <row r="7">
          <cell r="A7" t="str">
            <v>134-06-61540</v>
          </cell>
          <cell r="B7" t="str">
            <v xml:space="preserve">KOM D61PX-24 (B60)                                              </v>
          </cell>
          <cell r="C7" t="str">
            <v>BATTERY</v>
          </cell>
          <cell r="D7">
            <v>631.66</v>
          </cell>
          <cell r="E7">
            <v>435.63</v>
          </cell>
          <cell r="F7">
            <v>315.83</v>
          </cell>
          <cell r="G7" t="str">
            <v>Battery</v>
          </cell>
          <cell r="H7">
            <v>2</v>
          </cell>
          <cell r="I7">
            <v>0</v>
          </cell>
          <cell r="J7">
            <v>0</v>
          </cell>
          <cell r="K7">
            <v>0</v>
          </cell>
          <cell r="L7">
            <v>2</v>
          </cell>
        </row>
        <row r="8">
          <cell r="A8" t="str">
            <v>153-5710</v>
          </cell>
          <cell r="B8" t="str">
            <v xml:space="preserve">CAT 14 (EN4)                                              </v>
          </cell>
          <cell r="C8" t="str">
            <v>BATTERY 12V 1400 CCA</v>
          </cell>
          <cell r="D8">
            <v>783.62</v>
          </cell>
          <cell r="E8">
            <v>540.42999999999995</v>
          </cell>
          <cell r="F8">
            <v>391.81</v>
          </cell>
          <cell r="G8" t="str">
            <v>Battery</v>
          </cell>
          <cell r="H8">
            <v>2</v>
          </cell>
          <cell r="I8">
            <v>0</v>
          </cell>
          <cell r="J8">
            <v>0</v>
          </cell>
          <cell r="K8">
            <v>0</v>
          </cell>
          <cell r="L8">
            <v>2</v>
          </cell>
        </row>
        <row r="9">
          <cell r="A9" t="str">
            <v>175-4390</v>
          </cell>
          <cell r="B9" t="str">
            <v xml:space="preserve">CAT TL1055C (KDE)                                              </v>
          </cell>
          <cell r="C9" t="str">
            <v>BATTERY 12V 1000CCA</v>
          </cell>
          <cell r="D9">
            <v>372.62</v>
          </cell>
          <cell r="E9">
            <v>256.98</v>
          </cell>
          <cell r="F9">
            <v>186.31</v>
          </cell>
          <cell r="G9" t="str">
            <v>Battery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  <cell r="L9">
            <v>1</v>
          </cell>
        </row>
        <row r="10">
          <cell r="A10" t="str">
            <v>22B-06-22311</v>
          </cell>
          <cell r="B10" t="str">
            <v xml:space="preserve">KOM PC138USLC-11 KOM PC238USLC-11 (1)                                            </v>
          </cell>
          <cell r="C10" t="str">
            <v xml:space="preserve">BATTERY </v>
          </cell>
          <cell r="D10">
            <v>532.45000000000005</v>
          </cell>
          <cell r="E10">
            <v>367.21</v>
          </cell>
          <cell r="F10">
            <v>266.23</v>
          </cell>
          <cell r="G10" t="str">
            <v>Battery</v>
          </cell>
          <cell r="H10">
            <v>4</v>
          </cell>
          <cell r="I10">
            <v>0</v>
          </cell>
          <cell r="J10">
            <v>0</v>
          </cell>
          <cell r="K10">
            <v>0</v>
          </cell>
          <cell r="L10">
            <v>4</v>
          </cell>
        </row>
        <row r="11">
          <cell r="A11" t="str">
            <v>2A5-06-A1010</v>
          </cell>
          <cell r="B11" t="str">
            <v xml:space="preserve">KOM PC490LC-11 (A42) KOM PC490LC-11 (A42) (2) KOM PC490LC-11 (A42) (3) KOM PC490LC-11 (A42) (4) KOM PC490LC-11 (A42) (5) KOM PC490LC-11 (A43) KOM PC490LC-11 (KMT) (1) KOM PC490LC-11 (KMT) (2) KOM PC490LC-11 (KMT) (3) KOM PC360LC-11 (A37) KOM PC360LC-11 (A39) KOM PC360LC-11 (A39) (2)                        </v>
          </cell>
          <cell r="C11" t="str">
            <v>BATTERY</v>
          </cell>
          <cell r="D11">
            <v>632.66</v>
          </cell>
          <cell r="E11">
            <v>436.32</v>
          </cell>
          <cell r="F11">
            <v>316.33</v>
          </cell>
          <cell r="G11" t="str">
            <v>Battery</v>
          </cell>
          <cell r="H11">
            <v>24</v>
          </cell>
          <cell r="I11">
            <v>0</v>
          </cell>
          <cell r="J11">
            <v>0</v>
          </cell>
          <cell r="K11">
            <v>0</v>
          </cell>
          <cell r="L11">
            <v>24</v>
          </cell>
        </row>
        <row r="12">
          <cell r="A12" t="str">
            <v>9X-3404</v>
          </cell>
          <cell r="B12" t="str">
            <v xml:space="preserve">CAT 329EL (ZCD)                                              </v>
          </cell>
          <cell r="C12" t="str">
            <v>BATTERY 12V 900 CCA</v>
          </cell>
          <cell r="D12">
            <v>486.48</v>
          </cell>
          <cell r="E12">
            <v>335.5</v>
          </cell>
          <cell r="F12">
            <v>243.24</v>
          </cell>
          <cell r="G12" t="str">
            <v>Battery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</row>
        <row r="13">
          <cell r="A13" t="str">
            <v>TY23020B</v>
          </cell>
          <cell r="B13" t="str">
            <v xml:space="preserve">JD 470P (1FF)                                              </v>
          </cell>
          <cell r="C13" t="str">
            <v>BATTERY</v>
          </cell>
          <cell r="D13">
            <v>575.41859999999997</v>
          </cell>
          <cell r="E13">
            <v>396.84</v>
          </cell>
          <cell r="F13">
            <v>287.70999999999998</v>
          </cell>
          <cell r="G13" t="str">
            <v>Battery</v>
          </cell>
          <cell r="H13">
            <v>2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</row>
        <row r="14">
          <cell r="A14" t="str">
            <v>TY25879</v>
          </cell>
          <cell r="B14" t="str">
            <v xml:space="preserve">JD 333G (1T0)                                              </v>
          </cell>
          <cell r="C14" t="str">
            <v>BATTERY 12 V 925 CCA</v>
          </cell>
          <cell r="D14">
            <v>318.2004</v>
          </cell>
          <cell r="E14">
            <v>219.45</v>
          </cell>
          <cell r="F14">
            <v>159.1</v>
          </cell>
          <cell r="G14" t="str">
            <v>Battery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</row>
        <row r="15">
          <cell r="A15" t="str">
            <v>TY25879B</v>
          </cell>
          <cell r="B15" t="str">
            <v xml:space="preserve">JD 624K (DW6) JD 764 (100)                                            </v>
          </cell>
          <cell r="C15" t="str">
            <v>BATTERY 12V 950CCA</v>
          </cell>
          <cell r="D15">
            <v>318.2004</v>
          </cell>
          <cell r="E15">
            <v>219.45</v>
          </cell>
          <cell r="F15">
            <v>159.1</v>
          </cell>
          <cell r="G15" t="str">
            <v>Battery</v>
          </cell>
          <cell r="H15">
            <v>4</v>
          </cell>
          <cell r="I15">
            <v>0</v>
          </cell>
          <cell r="J15">
            <v>0</v>
          </cell>
          <cell r="K15">
            <v>0</v>
          </cell>
          <cell r="L15">
            <v>4</v>
          </cell>
        </row>
        <row r="16">
          <cell r="A16" t="str">
            <v>336-7516</v>
          </cell>
          <cell r="B16" t="str">
            <v xml:space="preserve">CAT 329EL (ZCD)                                              </v>
          </cell>
          <cell r="C16" t="str">
            <v>CAMSHAFT</v>
          </cell>
          <cell r="D16">
            <v>1834.21</v>
          </cell>
          <cell r="E16">
            <v>1264.97</v>
          </cell>
          <cell r="F16">
            <v>917.11</v>
          </cell>
          <cell r="G16" t="str">
            <v>Engine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</row>
        <row r="17">
          <cell r="A17" t="str">
            <v>361-5594</v>
          </cell>
          <cell r="B17" t="str">
            <v xml:space="preserve">CAT 14 (EN4)                                              </v>
          </cell>
          <cell r="C17" t="str">
            <v>CRANKSHAFT</v>
          </cell>
          <cell r="D17">
            <v>18666.009999999998</v>
          </cell>
          <cell r="E17">
            <v>12873.11</v>
          </cell>
          <cell r="F17">
            <v>9333.01</v>
          </cell>
          <cell r="G17" t="str">
            <v>Engine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</row>
        <row r="18">
          <cell r="A18" t="str">
            <v>363-3890</v>
          </cell>
          <cell r="B18" t="str">
            <v xml:space="preserve">CAT TL1055C (KDE)                                              </v>
          </cell>
          <cell r="C18" t="str">
            <v>CAMSHAFT</v>
          </cell>
          <cell r="D18">
            <v>1706.83</v>
          </cell>
          <cell r="E18">
            <v>1177.1199999999999</v>
          </cell>
          <cell r="F18">
            <v>853.42</v>
          </cell>
          <cell r="G18" t="str">
            <v>Engine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</row>
        <row r="19">
          <cell r="A19" t="str">
            <v>375-2810</v>
          </cell>
          <cell r="B19" t="str">
            <v xml:space="preserve">CAT 14 (EN4)                                              </v>
          </cell>
          <cell r="C19" t="str">
            <v>CAMSHAFT</v>
          </cell>
          <cell r="D19">
            <v>6599.72</v>
          </cell>
          <cell r="E19">
            <v>4551.53</v>
          </cell>
          <cell r="F19">
            <v>3299.86</v>
          </cell>
          <cell r="G19" t="str">
            <v>Engine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</row>
        <row r="20">
          <cell r="A20" t="str">
            <v>376-4074</v>
          </cell>
          <cell r="B20" t="str">
            <v xml:space="preserve">CAT 329EL (ZCD)                                              </v>
          </cell>
          <cell r="C20" t="str">
            <v>CRANKSHAFT</v>
          </cell>
          <cell r="D20">
            <v>11151.43</v>
          </cell>
          <cell r="E20">
            <v>7690.64</v>
          </cell>
          <cell r="F20">
            <v>5575.72</v>
          </cell>
          <cell r="G20" t="str">
            <v>Engine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1</v>
          </cell>
        </row>
        <row r="21">
          <cell r="A21" t="str">
            <v>466-4921</v>
          </cell>
          <cell r="B21" t="str">
            <v xml:space="preserve">CAT TL1055C (KDE)                                              </v>
          </cell>
          <cell r="C21" t="str">
            <v>CRANKSHAFT</v>
          </cell>
          <cell r="D21">
            <v>4302.96</v>
          </cell>
          <cell r="E21">
            <v>2967.56</v>
          </cell>
          <cell r="F21">
            <v>2151.48</v>
          </cell>
          <cell r="G21" t="str">
            <v>Engine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1</v>
          </cell>
        </row>
        <row r="22">
          <cell r="A22" t="str">
            <v>546-1917</v>
          </cell>
          <cell r="B22" t="str">
            <v xml:space="preserve">CAT 255 CAT 255 (2) CAT 255 (FL7)                                          </v>
          </cell>
          <cell r="C22" t="str">
            <v>CAMSHAFT</v>
          </cell>
          <cell r="D22">
            <v>1708.74</v>
          </cell>
          <cell r="E22">
            <v>1178.44</v>
          </cell>
          <cell r="F22">
            <v>854.37</v>
          </cell>
          <cell r="G22" t="str">
            <v>Engine</v>
          </cell>
          <cell r="H22">
            <v>3</v>
          </cell>
          <cell r="I22">
            <v>0</v>
          </cell>
          <cell r="J22">
            <v>0</v>
          </cell>
          <cell r="K22">
            <v>0</v>
          </cell>
          <cell r="L22">
            <v>3</v>
          </cell>
        </row>
        <row r="23">
          <cell r="A23" t="str">
            <v>6252-31-1010</v>
          </cell>
          <cell r="B23" t="str">
            <v xml:space="preserve">KOM PC490LC-11 (A42) KOM PC490LC-11 (A42) (2) KOM PC490LC-11 (A42) (3) KOM PC490LC-11 (A42) (4) KOM PC490LC-11 (A42) (5) KOM PC490LC-11 (A43) KOM PC490LC-11 (KMT) (1) KOM PC490LC-11 (KMT) (2) KOM PC490LC-11 (KMT) (3) KOM WA475-10 (120)                            </v>
          </cell>
          <cell r="C23" t="str">
            <v>CRANKSHAFT</v>
          </cell>
          <cell r="D23">
            <v>11348.37</v>
          </cell>
          <cell r="E23">
            <v>7826.46</v>
          </cell>
          <cell r="F23">
            <v>5674.19</v>
          </cell>
          <cell r="G23" t="str">
            <v>Engine</v>
          </cell>
          <cell r="H23">
            <v>10</v>
          </cell>
          <cell r="I23">
            <v>0</v>
          </cell>
          <cell r="J23">
            <v>0</v>
          </cell>
          <cell r="K23">
            <v>0</v>
          </cell>
          <cell r="L23">
            <v>10</v>
          </cell>
        </row>
        <row r="24">
          <cell r="A24" t="str">
            <v>6252-41-1010</v>
          </cell>
          <cell r="B24" t="str">
            <v xml:space="preserve">KOM PC490LC-11 (A42) KOM PC490LC-11 (A42) (2) KOM PC490LC-11 (A42) (3) KOM PC490LC-11 (A42) (4) KOM PC490LC-11 (A42) (5) KOM PC490LC-11 (A43) KOM PC490LC-11 (KMT) (1) KOM PC490LC-11 (KMT) (2) KOM PC490LC-11 (KMT) (3) KOM WA475-10 (120)                            </v>
          </cell>
          <cell r="C24" t="str">
            <v>CAMSHAFT</v>
          </cell>
          <cell r="D24">
            <v>3603.77</v>
          </cell>
          <cell r="E24">
            <v>2485.36</v>
          </cell>
          <cell r="F24">
            <v>1801.89</v>
          </cell>
          <cell r="G24" t="str">
            <v>Engine</v>
          </cell>
          <cell r="H24">
            <v>10</v>
          </cell>
          <cell r="I24">
            <v>0</v>
          </cell>
          <cell r="J24">
            <v>0</v>
          </cell>
          <cell r="K24">
            <v>0</v>
          </cell>
          <cell r="L24">
            <v>10</v>
          </cell>
        </row>
        <row r="25">
          <cell r="A25" t="str">
            <v>6261-31-1200 </v>
          </cell>
          <cell r="B25" t="str">
    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    </cell>
          <cell r="C25" t="str">
            <v>CRANKSHAFT</v>
          </cell>
          <cell r="D25">
            <v>16696.43</v>
          </cell>
          <cell r="E25">
            <v>11514.78</v>
          </cell>
          <cell r="F25">
            <v>8348.2199999999993</v>
          </cell>
          <cell r="G25" t="str">
            <v>Engine</v>
          </cell>
          <cell r="H25">
            <v>14</v>
          </cell>
          <cell r="I25">
            <v>0</v>
          </cell>
          <cell r="J25">
            <v>0</v>
          </cell>
          <cell r="K25">
            <v>0</v>
          </cell>
          <cell r="L25">
            <v>14</v>
          </cell>
        </row>
        <row r="26">
          <cell r="A26" t="str">
            <v>6263-41-1010</v>
          </cell>
          <cell r="B26" t="str">
    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    </cell>
          <cell r="C26" t="str">
            <v>CAMSHAFT</v>
          </cell>
          <cell r="D26">
            <v>6442.61</v>
          </cell>
          <cell r="E26">
            <v>4443.18</v>
          </cell>
          <cell r="F26">
            <v>3221.31</v>
          </cell>
          <cell r="G26" t="str">
            <v>Engine</v>
          </cell>
          <cell r="H26">
            <v>14</v>
          </cell>
          <cell r="I26">
            <v>0</v>
          </cell>
          <cell r="J26">
            <v>0</v>
          </cell>
          <cell r="K26">
            <v>0</v>
          </cell>
          <cell r="L26">
            <v>14</v>
          </cell>
        </row>
        <row r="27">
          <cell r="A27" t="str">
            <v>6271-31-1110</v>
          </cell>
          <cell r="B27" t="str">
            <v xml:space="preserve">KOM PC138USLC-11 KOM PC238USLC-11 (1)                                            </v>
          </cell>
          <cell r="C27" t="str">
            <v>CRANKSHAFT</v>
          </cell>
          <cell r="D27">
            <v>3547.2</v>
          </cell>
          <cell r="E27">
            <v>2446.34</v>
          </cell>
          <cell r="F27">
            <v>1773.6</v>
          </cell>
          <cell r="G27" t="str">
            <v>Engine</v>
          </cell>
          <cell r="H27">
            <v>2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</row>
        <row r="28">
          <cell r="A28" t="str">
            <v>6275-41-1500</v>
          </cell>
          <cell r="B28" t="str">
            <v xml:space="preserve">KOM PC138USLC-11 KOM PC238USLC-11 (1)                                            </v>
          </cell>
          <cell r="C28" t="str">
            <v>CAMSHAFT</v>
          </cell>
          <cell r="D28">
            <v>1575.55</v>
          </cell>
          <cell r="E28">
            <v>1086.5899999999999</v>
          </cell>
          <cell r="F28">
            <v>787.78</v>
          </cell>
          <cell r="G28" t="str">
            <v>Engine</v>
          </cell>
          <cell r="H28">
            <v>2</v>
          </cell>
          <cell r="I28">
            <v>0</v>
          </cell>
          <cell r="J28">
            <v>0</v>
          </cell>
          <cell r="K28">
            <v>0</v>
          </cell>
          <cell r="L28">
            <v>2</v>
          </cell>
        </row>
        <row r="29">
          <cell r="A29" t="str">
            <v>630-8777</v>
          </cell>
          <cell r="B29" t="str">
            <v xml:space="preserve">CAT 255 CAT 255 (2) CAT 255 (FL7)                                          </v>
          </cell>
          <cell r="C29" t="str">
            <v>CRANKSHAFT</v>
          </cell>
          <cell r="D29">
            <v>4139</v>
          </cell>
          <cell r="E29">
            <v>2854.48</v>
          </cell>
          <cell r="F29">
            <v>2069.5</v>
          </cell>
          <cell r="G29" t="str">
            <v>Engine</v>
          </cell>
          <cell r="H29">
            <v>3</v>
          </cell>
          <cell r="I29">
            <v>0</v>
          </cell>
          <cell r="J29">
            <v>0</v>
          </cell>
          <cell r="K29">
            <v>0</v>
          </cell>
          <cell r="L29">
            <v>3</v>
          </cell>
        </row>
        <row r="30">
          <cell r="A30" t="str">
            <v>6745-41-1110</v>
          </cell>
          <cell r="B30" t="str">
            <v xml:space="preserve">KOM D71PX-24 (1) KOM D71PX-24 (2) KOM D71PX-24 (3) KOM D71PX-24 (4) KOM D71PX-24 (5) KOM D71PX-24 (6) KOM D71PX-24 (7) KOM PC360LC-11 (A37) KOM PC360LC-11 (A39) KOM PC360LC-11 (A39) (2)                            </v>
          </cell>
          <cell r="C30" t="str">
            <v>CAMSHAFT</v>
          </cell>
          <cell r="D30">
            <v>822.86639999999989</v>
          </cell>
          <cell r="E30">
            <v>567.49</v>
          </cell>
          <cell r="F30">
            <v>411.43</v>
          </cell>
          <cell r="G30" t="str">
            <v>Engine</v>
          </cell>
          <cell r="H30">
            <v>10</v>
          </cell>
          <cell r="I30">
            <v>0</v>
          </cell>
          <cell r="J30">
            <v>0</v>
          </cell>
          <cell r="K30">
            <v>0</v>
          </cell>
          <cell r="L30">
            <v>10</v>
          </cell>
        </row>
        <row r="31">
          <cell r="A31" t="str">
            <v>6746-31-1120</v>
          </cell>
          <cell r="B31" t="str">
            <v xml:space="preserve">KOM D71PX-24 (1) KOM D71PX-24 (2) KOM D71PX-24 (3) KOM D71PX-24 (4) KOM D71PX-24 (5) KOM D71PX-24 (6) KOM D71PX-24 (7) KOM PC360LC-11 (A37) KOM PC360LC-11 (A39) KOM PC360LC-11 (A39) (2)                            </v>
          </cell>
          <cell r="C31" t="str">
            <v>CRANKSHAFT</v>
          </cell>
          <cell r="D31">
            <v>2567.5589999999997</v>
          </cell>
          <cell r="E31">
            <v>1770.73</v>
          </cell>
          <cell r="F31">
            <v>1283.78</v>
          </cell>
          <cell r="G31" t="str">
            <v>Engine</v>
          </cell>
          <cell r="H31">
            <v>10</v>
          </cell>
          <cell r="I31">
            <v>0</v>
          </cell>
          <cell r="J31">
            <v>0</v>
          </cell>
          <cell r="K31">
            <v>0</v>
          </cell>
          <cell r="L31">
            <v>10</v>
          </cell>
        </row>
        <row r="32">
          <cell r="A32" t="str">
            <v>6754-32-1330</v>
          </cell>
          <cell r="B32" t="str">
            <v xml:space="preserve">KOM PC238USLC-11 (2) KOM WA380-8 (1) KOM WA380-8 (2) KOM WA320-8 (867) KOM WA320PZ-6 (729) KOM PC290LC-11 (K73) KOM D61PX-24 (B60)                                  </v>
          </cell>
          <cell r="C32" t="str">
            <v>CRANKSHAFT</v>
          </cell>
          <cell r="D32">
            <v>2859.5</v>
          </cell>
          <cell r="E32">
            <v>1972.07</v>
          </cell>
          <cell r="F32">
            <v>1429.75</v>
          </cell>
          <cell r="G32" t="str">
            <v>Engine</v>
          </cell>
          <cell r="H32">
            <v>7</v>
          </cell>
          <cell r="I32">
            <v>0</v>
          </cell>
          <cell r="J32">
            <v>0</v>
          </cell>
          <cell r="K32">
            <v>0</v>
          </cell>
          <cell r="L32">
            <v>7</v>
          </cell>
        </row>
        <row r="33">
          <cell r="A33" t="str">
            <v>6754-41-1100</v>
          </cell>
          <cell r="B33" t="str">
            <v xml:space="preserve">KOM PC238USLC-11 (2) KOM WA380-8 (1) KOM WA380-8 (2) KOM WA320-8 (867) KOM WA320PZ-6 (729) KOM PC290LC-11 (K73) KOM D61PX-24 (B60)                                  </v>
          </cell>
          <cell r="C33" t="str">
            <v>CAMSHAFT</v>
          </cell>
          <cell r="D33">
            <v>1236.57</v>
          </cell>
          <cell r="E33">
            <v>852.81</v>
          </cell>
          <cell r="F33">
            <v>618.29</v>
          </cell>
          <cell r="G33" t="str">
            <v>Engine</v>
          </cell>
          <cell r="H33">
            <v>7</v>
          </cell>
          <cell r="I33">
            <v>0</v>
          </cell>
          <cell r="J33">
            <v>0</v>
          </cell>
          <cell r="K33">
            <v>0</v>
          </cell>
          <cell r="L33">
            <v>7</v>
          </cell>
        </row>
        <row r="34">
          <cell r="A34" t="str">
            <v>MIA881102</v>
          </cell>
          <cell r="B34" t="str">
            <v xml:space="preserve">JD 333G (1T0)                                              </v>
          </cell>
          <cell r="C34" t="str">
            <v>CAMSHAFT</v>
          </cell>
          <cell r="D34">
            <v>802.52520000000004</v>
          </cell>
          <cell r="E34">
            <v>553.47</v>
          </cell>
          <cell r="F34">
            <v>401.26</v>
          </cell>
          <cell r="G34" t="str">
            <v>Engine</v>
          </cell>
          <cell r="H34">
            <v>1</v>
          </cell>
          <cell r="I34">
            <v>0</v>
          </cell>
          <cell r="J34">
            <v>0</v>
          </cell>
          <cell r="K34">
            <v>0</v>
          </cell>
          <cell r="L34">
            <v>1</v>
          </cell>
        </row>
        <row r="35">
          <cell r="A35" t="str">
            <v>MIA882116</v>
          </cell>
          <cell r="B35" t="str">
            <v xml:space="preserve">JD 333G (1T0)                                              </v>
          </cell>
          <cell r="C35" t="str">
            <v>CRANKSHAFT</v>
          </cell>
          <cell r="D35">
            <v>1956.4674</v>
          </cell>
          <cell r="E35">
            <v>1349.29</v>
          </cell>
          <cell r="F35">
            <v>978.23</v>
          </cell>
          <cell r="G35" t="str">
            <v>Engine</v>
          </cell>
          <cell r="H35">
            <v>1</v>
          </cell>
          <cell r="I35">
            <v>0</v>
          </cell>
          <cell r="J35">
            <v>0</v>
          </cell>
          <cell r="K35">
            <v>0</v>
          </cell>
          <cell r="L35">
            <v>1</v>
          </cell>
        </row>
        <row r="36">
          <cell r="A36" t="str">
            <v>R534321</v>
          </cell>
          <cell r="B36" t="str">
            <v xml:space="preserve">JD 470P (1FF)                                              </v>
          </cell>
          <cell r="C36" t="str">
            <v>CAMSHAFT</v>
          </cell>
          <cell r="D36">
            <v>1925.9141999999997</v>
          </cell>
          <cell r="E36">
            <v>1328.22</v>
          </cell>
          <cell r="F36">
            <v>962.96</v>
          </cell>
          <cell r="G36" t="str">
            <v>Engine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1</v>
          </cell>
        </row>
        <row r="37">
          <cell r="A37" t="str">
            <v>RE505921</v>
          </cell>
          <cell r="B37" t="str">
            <v xml:space="preserve">JD 624K (DW6) JD 764 (100)                                            </v>
          </cell>
          <cell r="C37" t="str">
            <v>CRANKSHAFT</v>
          </cell>
          <cell r="D37">
            <v>5543.6669999999995</v>
          </cell>
          <cell r="E37">
            <v>3823.22</v>
          </cell>
          <cell r="F37">
            <v>2771.83</v>
          </cell>
          <cell r="G37" t="str">
            <v>Engine</v>
          </cell>
          <cell r="H37">
            <v>2</v>
          </cell>
          <cell r="I37">
            <v>0</v>
          </cell>
          <cell r="J37">
            <v>0</v>
          </cell>
          <cell r="K37">
            <v>0</v>
          </cell>
          <cell r="L37">
            <v>2</v>
          </cell>
        </row>
        <row r="38">
          <cell r="A38" t="str">
            <v>RE528950</v>
          </cell>
          <cell r="B38" t="str">
            <v xml:space="preserve">JD 624K (DW6) JD 764 (100)                                            </v>
          </cell>
          <cell r="C38" t="str">
            <v>CAMSHAFT</v>
          </cell>
          <cell r="D38">
            <v>1002.3492</v>
          </cell>
          <cell r="E38">
            <v>691.28</v>
          </cell>
          <cell r="F38">
            <v>501.17</v>
          </cell>
          <cell r="G38" t="str">
            <v>Engine</v>
          </cell>
          <cell r="H38">
            <v>2</v>
          </cell>
          <cell r="I38">
            <v>0</v>
          </cell>
          <cell r="J38">
            <v>0</v>
          </cell>
          <cell r="K38">
            <v>0</v>
          </cell>
          <cell r="L38">
            <v>2</v>
          </cell>
        </row>
        <row r="39">
          <cell r="A39" t="str">
            <v>RE539339</v>
          </cell>
          <cell r="B39" t="str">
            <v xml:space="preserve">JD 470P (1FF)                                              </v>
          </cell>
          <cell r="C39" t="str">
            <v>CRANKSHAFT</v>
          </cell>
          <cell r="D39">
            <v>12521.733599999998</v>
          </cell>
          <cell r="E39">
            <v>8635.68</v>
          </cell>
          <cell r="F39">
            <v>6260.87</v>
          </cell>
          <cell r="G39" t="str">
            <v>Engine</v>
          </cell>
          <cell r="H39">
            <v>1</v>
          </cell>
          <cell r="I39">
            <v>0</v>
          </cell>
          <cell r="J39">
            <v>0</v>
          </cell>
          <cell r="K39">
            <v>0</v>
          </cell>
          <cell r="L39">
            <v>1</v>
          </cell>
        </row>
        <row r="40">
          <cell r="A40" t="str">
            <v>12Y-979-1174</v>
          </cell>
          <cell r="B40" t="str">
            <v xml:space="preserve">KOM D71PX-24 (1) KOM D71PX-24 (2) KOM D71PX-24 (3) KOM D71PX-24 (4) KOM D71PX-24 (5) KOM D71PX-24 (6) KOM D71PX-24 (7) KOM D61PX-24 (B60)                                </v>
          </cell>
          <cell r="C40" t="str">
            <v>CAB AIR FILTER</v>
          </cell>
          <cell r="D40">
            <v>188.74260000000001</v>
          </cell>
          <cell r="E40">
            <v>130.16999999999999</v>
          </cell>
          <cell r="F40">
            <v>122.68</v>
          </cell>
          <cell r="G40" t="str">
            <v>Filter-Air</v>
          </cell>
          <cell r="H40">
            <v>9</v>
          </cell>
          <cell r="I40">
            <v>8</v>
          </cell>
          <cell r="J40">
            <v>9</v>
          </cell>
          <cell r="K40">
            <v>1</v>
          </cell>
          <cell r="L40">
            <v>27</v>
          </cell>
        </row>
        <row r="41">
          <cell r="A41" t="str">
            <v>12Y-979-6180</v>
          </cell>
          <cell r="B41" t="str">
            <v xml:space="preserve">KOM D71PX-24 (1) KOM D71PX-24 (2) KOM D71PX-24 (3) KOM D71PX-24 (4) KOM D71PX-24 (5) KOM D71PX-24 (6) KOM D71PX-24 (7) KOM D61PX-24 (B60)                                </v>
          </cell>
          <cell r="C41" t="str">
            <v>CAB AIR FILTER</v>
          </cell>
          <cell r="D41">
            <v>164.08199999999999</v>
          </cell>
          <cell r="E41">
            <v>113.16</v>
          </cell>
          <cell r="F41">
            <v>106.65</v>
          </cell>
          <cell r="G41" t="str">
            <v>Filter-Air</v>
          </cell>
          <cell r="H41">
            <v>9</v>
          </cell>
          <cell r="I41">
            <v>8</v>
          </cell>
          <cell r="J41">
            <v>9</v>
          </cell>
          <cell r="K41">
            <v>1</v>
          </cell>
          <cell r="L41">
            <v>27</v>
          </cell>
        </row>
        <row r="42">
          <cell r="A42" t="str">
            <v>149-1912</v>
          </cell>
          <cell r="B42" t="str">
            <v xml:space="preserve">CAT 14 (EN4)                                              </v>
          </cell>
          <cell r="C42" t="str">
            <v>CAB AIR FILTER</v>
          </cell>
          <cell r="D42">
            <v>93.03</v>
          </cell>
          <cell r="E42">
            <v>64.16</v>
          </cell>
          <cell r="F42">
            <v>60.47</v>
          </cell>
          <cell r="G42" t="str">
            <v>Filter-Air</v>
          </cell>
          <cell r="H42">
            <v>2</v>
          </cell>
          <cell r="I42">
            <v>1</v>
          </cell>
          <cell r="J42">
            <v>2</v>
          </cell>
          <cell r="K42">
            <v>1</v>
          </cell>
          <cell r="L42">
            <v>6</v>
          </cell>
        </row>
        <row r="43">
          <cell r="A43" t="str">
            <v>17M-911-3530</v>
          </cell>
          <cell r="B43" t="str">
            <v xml:space="preserve">KOM PC138USLC-11 KOM PC238USLC-11 (1) KOM PC490LC-11 (A42) KOM PC490LC-11 (A42) (2) KOM PC490LC-11 (A42) (3) KOM PC490LC-11 (A42) (4) KOM PC490LC-11 (A42) (5) KOM PC490LC-11 (A43) KOM PC490LC-11 (KMT) (1) KOM PC490LC-11 (KMT) (2) KOM PC490LC-11 (KMT) (3) KOM PC360LC-11 (A37) KOM PC360LC-11 (A39) KOM PC360LC-11 (A39) (2) KOM PC290LC-11 (K73)                  </v>
          </cell>
          <cell r="C43" t="str">
            <v>CAB AIR FILTER</v>
          </cell>
          <cell r="D43">
            <v>67.87</v>
          </cell>
          <cell r="E43">
            <v>46.81</v>
          </cell>
          <cell r="F43">
            <v>44.12</v>
          </cell>
          <cell r="G43" t="str">
            <v>Filter-Air</v>
          </cell>
          <cell r="H43">
            <v>30</v>
          </cell>
          <cell r="I43">
            <v>15</v>
          </cell>
          <cell r="J43">
            <v>30</v>
          </cell>
          <cell r="K43">
            <v>15</v>
          </cell>
          <cell r="L43">
            <v>90</v>
          </cell>
        </row>
        <row r="44">
          <cell r="A44" t="str">
            <v>211-2660</v>
          </cell>
          <cell r="B44" t="str">
            <v xml:space="preserve">CAT 14 (EN4)                                              </v>
          </cell>
          <cell r="C44" t="str">
            <v>CAB AIR FILTER</v>
          </cell>
          <cell r="D44">
            <v>74.81</v>
          </cell>
          <cell r="E44">
            <v>51.59</v>
          </cell>
          <cell r="F44">
            <v>48.63</v>
          </cell>
          <cell r="G44" t="str">
            <v>Filter-Air</v>
          </cell>
          <cell r="H44">
            <v>2</v>
          </cell>
          <cell r="I44">
            <v>1</v>
          </cell>
          <cell r="J44">
            <v>2</v>
          </cell>
          <cell r="K44">
            <v>1</v>
          </cell>
          <cell r="L44">
            <v>6</v>
          </cell>
        </row>
        <row r="45">
          <cell r="A45" t="str">
            <v>222-9020</v>
          </cell>
          <cell r="B45" t="str">
            <v xml:space="preserve">CAT TL1055C (KDE)                                              </v>
          </cell>
          <cell r="C45" t="str">
            <v>PRIMARY AIR FILTER</v>
          </cell>
          <cell r="D45">
            <v>100.67</v>
          </cell>
          <cell r="E45">
            <v>69.430000000000007</v>
          </cell>
          <cell r="F45">
            <v>65.44</v>
          </cell>
          <cell r="G45" t="str">
            <v>Filter-Air</v>
          </cell>
          <cell r="H45">
            <v>1</v>
          </cell>
          <cell r="I45">
            <v>1</v>
          </cell>
          <cell r="J45">
            <v>1</v>
          </cell>
          <cell r="K45">
            <v>0</v>
          </cell>
          <cell r="L45">
            <v>3</v>
          </cell>
        </row>
        <row r="46">
          <cell r="A46" t="str">
            <v>222-9021</v>
          </cell>
          <cell r="B46" t="str">
            <v xml:space="preserve">CAT TL1055C (KDE)                                              </v>
          </cell>
          <cell r="C46" t="str">
            <v>SECONDARY AIR FILTER</v>
          </cell>
          <cell r="D46">
            <v>80.09</v>
          </cell>
          <cell r="E46">
            <v>55.23</v>
          </cell>
          <cell r="F46">
            <v>52.06</v>
          </cell>
          <cell r="G46" t="str">
            <v>Filter-Air</v>
          </cell>
          <cell r="H46">
            <v>1</v>
          </cell>
          <cell r="I46">
            <v>1</v>
          </cell>
          <cell r="J46">
            <v>1</v>
          </cell>
          <cell r="K46">
            <v>0</v>
          </cell>
          <cell r="L46">
            <v>3</v>
          </cell>
        </row>
        <row r="47">
          <cell r="A47" t="str">
            <v>2A5-979-1551</v>
          </cell>
          <cell r="B47" t="str">
            <v xml:space="preserve">KOM PC490LC-11 (A42) KOM PC490LC-11 (A42) (2) KOM PC490LC-11 (A42) (3) KOM PC490LC-11 (A42) (4) KOM PC490LC-11 (A42) (5) KOM PC490LC-11 (A43) KOM PC490LC-11 (KMT) (1) KOM PC490LC-11 (KMT) (2) KOM PC490LC-11 (KMT) (3) KOM PC360LC-11 (A37) KOM PC360LC-11 (A39) KOM PC360LC-11 (A39) (2) KOM PC290LC-11 (K73)                      </v>
          </cell>
          <cell r="C47" t="str">
            <v>CAB AIR FILTER</v>
          </cell>
          <cell r="D47">
            <v>68.78</v>
          </cell>
          <cell r="E47">
            <v>47.43</v>
          </cell>
          <cell r="F47">
            <v>44.71</v>
          </cell>
          <cell r="G47" t="str">
            <v>Filter-Air</v>
          </cell>
          <cell r="H47">
            <v>26</v>
          </cell>
          <cell r="I47">
            <v>13</v>
          </cell>
          <cell r="J47">
            <v>26</v>
          </cell>
          <cell r="K47">
            <v>13</v>
          </cell>
          <cell r="L47">
            <v>78</v>
          </cell>
        </row>
        <row r="48">
          <cell r="A48" t="str">
            <v>327-6618</v>
          </cell>
          <cell r="B48" t="str">
            <v xml:space="preserve">CAT 329EL (ZCD)                                              </v>
          </cell>
          <cell r="C48" t="str">
            <v>CAB AIR FILTER</v>
          </cell>
          <cell r="D48">
            <v>82.09</v>
          </cell>
          <cell r="E48">
            <v>56.61</v>
          </cell>
          <cell r="F48">
            <v>53.36</v>
          </cell>
          <cell r="G48" t="str">
            <v>Filter-Air</v>
          </cell>
          <cell r="H48">
            <v>2</v>
          </cell>
          <cell r="I48">
            <v>1</v>
          </cell>
          <cell r="J48">
            <v>2</v>
          </cell>
          <cell r="K48">
            <v>1</v>
          </cell>
          <cell r="L48">
            <v>6</v>
          </cell>
        </row>
        <row r="49">
          <cell r="A49" t="str">
            <v>331-8108</v>
          </cell>
          <cell r="B49" t="str">
            <v xml:space="preserve">CAT 14 (EN4)                                              </v>
          </cell>
          <cell r="C49" t="str">
            <v>SECONDARY AIR FILTER</v>
          </cell>
          <cell r="D49">
            <v>105.26</v>
          </cell>
          <cell r="E49">
            <v>72.59</v>
          </cell>
          <cell r="F49">
            <v>68.42</v>
          </cell>
          <cell r="G49" t="str">
            <v>Filter-Air</v>
          </cell>
          <cell r="H49">
            <v>1</v>
          </cell>
          <cell r="I49">
            <v>1</v>
          </cell>
          <cell r="J49">
            <v>1</v>
          </cell>
          <cell r="K49">
            <v>0</v>
          </cell>
          <cell r="L49">
            <v>3</v>
          </cell>
        </row>
        <row r="50">
          <cell r="A50" t="str">
            <v>421-07-72450</v>
          </cell>
          <cell r="B50" t="str">
            <v xml:space="preserve">KOM WA475-10 (120)                                              </v>
          </cell>
          <cell r="C50" t="str">
            <v>CAB AIR FILTER</v>
          </cell>
          <cell r="D50">
            <v>134.66999999999999</v>
          </cell>
          <cell r="E50">
            <v>92.88</v>
          </cell>
          <cell r="F50">
            <v>87.54</v>
          </cell>
          <cell r="G50" t="str">
            <v>Filter-Air</v>
          </cell>
          <cell r="H50">
            <v>1</v>
          </cell>
          <cell r="I50">
            <v>1</v>
          </cell>
          <cell r="J50">
            <v>1</v>
          </cell>
          <cell r="K50">
            <v>0</v>
          </cell>
          <cell r="L50">
            <v>3</v>
          </cell>
        </row>
        <row r="51">
          <cell r="A51" t="str">
            <v>423-07-52411</v>
          </cell>
          <cell r="B51" t="str">
            <v xml:space="preserve">KOM WA380-8 (1) KOM WA380-8 (2) KOM WA320-8 (867) KOM WA320PZ-6 (729)                                        </v>
          </cell>
          <cell r="C51" t="str">
            <v>CAB AIR FILTER</v>
          </cell>
          <cell r="D51">
            <v>152.87</v>
          </cell>
          <cell r="E51">
            <v>105.43</v>
          </cell>
          <cell r="F51">
            <v>99.37</v>
          </cell>
          <cell r="G51" t="str">
            <v>Filter-Air</v>
          </cell>
          <cell r="H51">
            <v>6</v>
          </cell>
          <cell r="I51">
            <v>6</v>
          </cell>
          <cell r="J51">
            <v>6</v>
          </cell>
          <cell r="K51">
            <v>0</v>
          </cell>
          <cell r="L51">
            <v>18</v>
          </cell>
        </row>
        <row r="52">
          <cell r="A52" t="str">
            <v>426-07-32441</v>
          </cell>
          <cell r="B52" t="str">
    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    </cell>
          <cell r="C52" t="str">
            <v>CAB AIR FILTER</v>
          </cell>
          <cell r="D52">
            <v>131.29</v>
          </cell>
          <cell r="E52">
            <v>90.54</v>
          </cell>
          <cell r="F52">
            <v>85.34</v>
          </cell>
          <cell r="G52" t="str">
            <v>Filter-Air</v>
          </cell>
          <cell r="H52">
            <v>14</v>
          </cell>
          <cell r="I52">
            <v>14</v>
          </cell>
          <cell r="J52">
            <v>14</v>
          </cell>
          <cell r="K52">
            <v>0</v>
          </cell>
          <cell r="L52">
            <v>42</v>
          </cell>
        </row>
        <row r="53">
          <cell r="A53" t="str">
            <v>4S00686R</v>
          </cell>
          <cell r="B53" t="str">
            <v xml:space="preserve">JD 470P (1FF)                                              </v>
          </cell>
          <cell r="C53" t="str">
            <v>CAB AIR FILTER</v>
          </cell>
          <cell r="D53">
            <v>103.0722</v>
          </cell>
          <cell r="E53">
            <v>71.08</v>
          </cell>
          <cell r="F53">
            <v>67</v>
          </cell>
          <cell r="G53" t="str">
            <v>Filter-Air</v>
          </cell>
          <cell r="H53">
            <v>1</v>
          </cell>
          <cell r="I53">
            <v>0</v>
          </cell>
          <cell r="J53">
            <v>0</v>
          </cell>
          <cell r="K53">
            <v>0</v>
          </cell>
          <cell r="L53">
            <v>1</v>
          </cell>
        </row>
        <row r="54">
          <cell r="A54" t="str">
            <v>526-3119</v>
          </cell>
          <cell r="B54" t="str">
            <v xml:space="preserve">CAT 255 CAT 255 (2) CAT 255 (FL7)                                          </v>
          </cell>
          <cell r="C54" t="str">
            <v>PRIMARY AIR FILTER</v>
          </cell>
          <cell r="D54">
            <v>95.35</v>
          </cell>
          <cell r="E54">
            <v>65.760000000000005</v>
          </cell>
          <cell r="F54">
            <v>61.98</v>
          </cell>
          <cell r="G54" t="str">
            <v>Filter-Air</v>
          </cell>
          <cell r="H54">
            <v>6</v>
          </cell>
          <cell r="I54">
            <v>3</v>
          </cell>
          <cell r="J54">
            <v>6</v>
          </cell>
          <cell r="K54">
            <v>3</v>
          </cell>
          <cell r="L54">
            <v>18</v>
          </cell>
        </row>
        <row r="55">
          <cell r="A55" t="str">
            <v>526-3123</v>
          </cell>
          <cell r="B55" t="str">
            <v xml:space="preserve">CAT 255 CAT 255 (2) CAT 255 (FL7)                                          </v>
          </cell>
          <cell r="C55" t="str">
            <v>SECONDARY AIR FILTER</v>
          </cell>
          <cell r="D55">
            <v>71.010000000000005</v>
          </cell>
          <cell r="E55">
            <v>48.97</v>
          </cell>
          <cell r="F55">
            <v>46.16</v>
          </cell>
          <cell r="G55" t="str">
            <v>Filter-Air</v>
          </cell>
          <cell r="H55">
            <v>6</v>
          </cell>
          <cell r="I55">
            <v>3</v>
          </cell>
          <cell r="J55">
            <v>6</v>
          </cell>
          <cell r="K55">
            <v>3</v>
          </cell>
          <cell r="L55">
            <v>18</v>
          </cell>
        </row>
        <row r="56">
          <cell r="A56" t="str">
            <v>577-1435</v>
          </cell>
          <cell r="B56" t="str">
            <v xml:space="preserve">CAT 14 (EN4)                                              </v>
          </cell>
          <cell r="C56" t="str">
            <v>PRIMARY AIR FILTER</v>
          </cell>
          <cell r="D56">
            <v>250.86</v>
          </cell>
          <cell r="E56">
            <v>173.01</v>
          </cell>
          <cell r="F56">
            <v>163.06</v>
          </cell>
          <cell r="G56" t="str">
            <v>Filter-Air</v>
          </cell>
          <cell r="H56">
            <v>1</v>
          </cell>
          <cell r="I56">
            <v>1</v>
          </cell>
          <cell r="J56">
            <v>1</v>
          </cell>
          <cell r="K56">
            <v>0</v>
          </cell>
          <cell r="L56">
            <v>3</v>
          </cell>
        </row>
        <row r="57">
          <cell r="A57" t="str">
            <v>585-9997</v>
          </cell>
          <cell r="B57" t="str">
            <v xml:space="preserve">CAT 255 CAT 255 (2) CAT 255 (FL7)                                          </v>
          </cell>
          <cell r="C57" t="str">
            <v>CAB AIR FILTER</v>
          </cell>
          <cell r="D57">
            <v>79.63</v>
          </cell>
          <cell r="E57">
            <v>54.92</v>
          </cell>
          <cell r="F57">
            <v>51.76</v>
          </cell>
          <cell r="G57" t="str">
            <v>Filter-Air</v>
          </cell>
          <cell r="H57">
            <v>6</v>
          </cell>
          <cell r="I57">
            <v>3</v>
          </cell>
          <cell r="J57">
            <v>6</v>
          </cell>
          <cell r="K57">
            <v>3</v>
          </cell>
          <cell r="L57">
            <v>18</v>
          </cell>
        </row>
        <row r="58">
          <cell r="A58" t="str">
            <v>586-0030</v>
          </cell>
          <cell r="B58" t="str">
            <v xml:space="preserve">CAT 255 CAT 255 (2) CAT 255 (FL7)                                          </v>
          </cell>
          <cell r="C58" t="str">
            <v>CAB AIR FILTER</v>
          </cell>
          <cell r="D58">
            <v>87.75</v>
          </cell>
          <cell r="E58">
            <v>60.52</v>
          </cell>
          <cell r="F58">
            <v>57.04</v>
          </cell>
          <cell r="G58" t="str">
            <v>Filter-Air</v>
          </cell>
          <cell r="H58">
            <v>6</v>
          </cell>
          <cell r="I58">
            <v>3</v>
          </cell>
          <cell r="J58">
            <v>6</v>
          </cell>
          <cell r="K58">
            <v>3</v>
          </cell>
          <cell r="L58">
            <v>18</v>
          </cell>
        </row>
        <row r="59">
          <cell r="A59" t="str">
            <v>600-185-2510</v>
          </cell>
          <cell r="B59" t="str">
            <v xml:space="preserve">KOM PC138USLC-11 KOM PC238USLC-11 (1)                                            </v>
          </cell>
          <cell r="C59" t="str">
            <v>PRIMARY AIR FILTER</v>
          </cell>
          <cell r="D59">
            <v>70.44</v>
          </cell>
          <cell r="E59">
            <v>48.58</v>
          </cell>
          <cell r="F59">
            <v>45.79</v>
          </cell>
          <cell r="G59" t="str">
            <v>Filter-Air</v>
          </cell>
          <cell r="H59">
            <v>4</v>
          </cell>
          <cell r="I59">
            <v>2</v>
          </cell>
          <cell r="J59">
            <v>4</v>
          </cell>
          <cell r="K59">
            <v>2</v>
          </cell>
          <cell r="L59">
            <v>12</v>
          </cell>
        </row>
        <row r="60">
          <cell r="A60" t="str">
            <v>600-185-2520</v>
          </cell>
          <cell r="B60" t="str">
            <v xml:space="preserve">KOM PC138USLC-11 KOM PC238USLC-11 (1)                                            </v>
          </cell>
          <cell r="C60" t="str">
            <v>SECONDARY AIR FILTER</v>
          </cell>
          <cell r="D60">
            <v>51.65</v>
          </cell>
          <cell r="E60">
            <v>35.619999999999997</v>
          </cell>
          <cell r="F60">
            <v>33.57</v>
          </cell>
          <cell r="G60" t="str">
            <v>Filter-Air</v>
          </cell>
          <cell r="H60">
            <v>2</v>
          </cell>
          <cell r="I60">
            <v>2</v>
          </cell>
          <cell r="J60">
            <v>2</v>
          </cell>
          <cell r="K60">
            <v>0</v>
          </cell>
          <cell r="L60">
            <v>6</v>
          </cell>
        </row>
        <row r="61">
          <cell r="A61" t="str">
            <v>600-185-3110</v>
          </cell>
          <cell r="B61" t="str">
            <v xml:space="preserve">KOM PC238USLC-11 (2)                                              </v>
          </cell>
          <cell r="C61" t="str">
            <v>PRIMARY AIR FILTER</v>
          </cell>
          <cell r="D61">
            <v>94.52</v>
          </cell>
          <cell r="E61">
            <v>65.19</v>
          </cell>
          <cell r="F61">
            <v>61.44</v>
          </cell>
          <cell r="G61" t="str">
            <v>Filter-Air</v>
          </cell>
          <cell r="H61">
            <v>2</v>
          </cell>
          <cell r="I61">
            <v>1</v>
          </cell>
          <cell r="J61">
            <v>2</v>
          </cell>
          <cell r="K61">
            <v>1</v>
          </cell>
          <cell r="L61">
            <v>6</v>
          </cell>
        </row>
        <row r="62">
          <cell r="A62" t="str">
            <v>600-185-3120</v>
          </cell>
          <cell r="B62" t="str">
            <v xml:space="preserve">KOM PC238USLC-11 (2)                                              </v>
          </cell>
          <cell r="C62" t="str">
            <v>SECONDARY AIR FILTER</v>
          </cell>
          <cell r="D62">
            <v>60.42</v>
          </cell>
          <cell r="E62">
            <v>41.67</v>
          </cell>
          <cell r="F62">
            <v>39.270000000000003</v>
          </cell>
          <cell r="G62" t="str">
            <v>Filter-Air</v>
          </cell>
          <cell r="H62">
            <v>1</v>
          </cell>
          <cell r="I62">
            <v>1</v>
          </cell>
          <cell r="J62">
            <v>1</v>
          </cell>
          <cell r="K62">
            <v>0</v>
          </cell>
          <cell r="L62">
            <v>3</v>
          </cell>
        </row>
        <row r="63">
          <cell r="A63" t="str">
            <v>600-185-4110</v>
          </cell>
          <cell r="B63" t="str">
            <v xml:space="preserve">KOM WA380-8 (1) KOM WA380-8 (2) KOM WA320-8 (867) KOM WA320PZ-6 (729) KOM PC290LC-11 (K73) KOM D61PX-24 (B60)                                    </v>
          </cell>
          <cell r="C63" t="str">
            <v>PRIMARY AIR FILTER</v>
          </cell>
          <cell r="D63">
            <v>64.540000000000006</v>
          </cell>
          <cell r="E63">
            <v>44.51</v>
          </cell>
          <cell r="F63">
            <v>41.95</v>
          </cell>
          <cell r="G63" t="str">
            <v>Filter-Air</v>
          </cell>
          <cell r="H63">
            <v>12</v>
          </cell>
          <cell r="I63">
            <v>6</v>
          </cell>
          <cell r="J63">
            <v>12</v>
          </cell>
          <cell r="K63">
            <v>6</v>
          </cell>
          <cell r="L63">
            <v>36</v>
          </cell>
        </row>
        <row r="64">
          <cell r="A64" t="str">
            <v>600-185-4120</v>
          </cell>
          <cell r="B64" t="str">
            <v xml:space="preserve">KOM WA380-8 (1) KOM WA380-8 (2) KOM WA320-8 (867) KOM WA320PZ-6 (729) KOM PC290LC-11 (K73) KOM D61PX-24 (B60)                                    </v>
          </cell>
          <cell r="C64" t="str">
            <v>SECONDARY AIR FILTER</v>
          </cell>
          <cell r="D64">
            <v>59.85</v>
          </cell>
          <cell r="E64">
            <v>41.28</v>
          </cell>
          <cell r="F64">
            <v>38.9</v>
          </cell>
          <cell r="G64" t="str">
            <v>Filter-Air</v>
          </cell>
          <cell r="H64">
            <v>6</v>
          </cell>
          <cell r="I64">
            <v>6</v>
          </cell>
          <cell r="J64">
            <v>6</v>
          </cell>
          <cell r="K64">
            <v>0</v>
          </cell>
          <cell r="L64">
            <v>18</v>
          </cell>
        </row>
        <row r="65">
          <cell r="A65" t="str">
            <v>600-185-5100</v>
          </cell>
          <cell r="B65" t="str">
            <v xml:space="preserve">KOM D71PX-24 (1) KOM D71PX-24 (2) KOM D71PX-24 (3) KOM D71PX-24 (4) KOM D71PX-24 (5) KOM D71PX-24 (6) KOM D71PX-24 (7)                                  </v>
          </cell>
          <cell r="C65" t="str">
            <v>AIR FILTER KIT</v>
          </cell>
          <cell r="D65">
            <v>148.99859999999998</v>
          </cell>
          <cell r="E65">
            <v>102.76</v>
          </cell>
          <cell r="F65">
            <v>96.85</v>
          </cell>
          <cell r="G65" t="str">
            <v>Filter-Air</v>
          </cell>
          <cell r="H65">
            <v>7</v>
          </cell>
          <cell r="I65">
            <v>7</v>
          </cell>
          <cell r="J65">
            <v>7</v>
          </cell>
          <cell r="K65">
            <v>0</v>
          </cell>
          <cell r="L65">
            <v>21</v>
          </cell>
        </row>
        <row r="66">
          <cell r="A66" t="str">
            <v>600-185-5110</v>
          </cell>
          <cell r="B66" t="str">
            <v xml:space="preserve">KOM PC360LC-11 (A37) KOM PC360LC-11 (A39) KOM PC360LC-11 (A39) (2) KOM WA475-10 (120)                                        </v>
          </cell>
          <cell r="C66" t="str">
            <v>PRIMARY AIR FILTER</v>
          </cell>
          <cell r="D66">
            <v>95.67</v>
          </cell>
          <cell r="E66">
            <v>65.98</v>
          </cell>
          <cell r="F66">
            <v>62.19</v>
          </cell>
          <cell r="G66" t="str">
            <v>Filter-Air</v>
          </cell>
          <cell r="H66">
            <v>8</v>
          </cell>
          <cell r="I66">
            <v>4</v>
          </cell>
          <cell r="J66">
            <v>8</v>
          </cell>
          <cell r="K66">
            <v>4</v>
          </cell>
          <cell r="L66">
            <v>24</v>
          </cell>
        </row>
        <row r="67">
          <cell r="A67" t="str">
            <v>600-185-5120</v>
          </cell>
          <cell r="B67" t="str">
            <v xml:space="preserve">KOM PC360LC-11 (A37) KOM PC360LC-11 (A39) KOM PC360LC-11 (A39) (2) KOM WA475-10 (120)                                        </v>
          </cell>
          <cell r="C67" t="str">
            <v>SECONDARY AIR FILTER</v>
          </cell>
          <cell r="D67">
            <v>81.97</v>
          </cell>
          <cell r="E67">
            <v>56.53</v>
          </cell>
          <cell r="F67">
            <v>53.28</v>
          </cell>
          <cell r="G67" t="str">
            <v>Filter-Air</v>
          </cell>
          <cell r="H67">
            <v>4</v>
          </cell>
          <cell r="I67">
            <v>4</v>
          </cell>
          <cell r="J67">
            <v>4</v>
          </cell>
          <cell r="K67">
            <v>0</v>
          </cell>
          <cell r="L67">
            <v>12</v>
          </cell>
        </row>
        <row r="68">
          <cell r="A68" t="str">
            <v>600-185-6110</v>
          </cell>
          <cell r="B68" t="str">
            <v xml:space="preserve">KOM HM400-5 (1) KOM HM400-5 (2) KOM HM400-5 (3) KOM HM400-5 (4) KOM HM400-5 (5) KOM HM400-5 (6) KOM HM400-5 (7) KOM HM400-5 (8) KOM HM400-5 (9) KOM HM400-5 (10) KOM HM400 (11) KOM HM400 (12) KOM HM400 (13) KOM HM400-5 (14) KOM PC490LC-11 (A42) KOM PC490LC-11 (A42) (2) KOM PC490LC-11 (A42) (3) KOM PC490LC-11 (A42) (4) KOM PC490LC-11 (A42) (5) KOM PC490LC-11 (A43) KOM PC490LC-11 (KMT) (1) KOM PC490LC-11 (KMT) (2) KOM PC490LC-11 (KMT) (3)  </v>
          </cell>
          <cell r="C68" t="str">
            <v>PRIMARY AIR FILTER</v>
          </cell>
          <cell r="D68">
            <v>128.5</v>
          </cell>
          <cell r="E68">
            <v>88.62</v>
          </cell>
          <cell r="F68">
            <v>83.53</v>
          </cell>
          <cell r="G68" t="str">
            <v>Filter-Air</v>
          </cell>
          <cell r="H68">
            <v>32</v>
          </cell>
          <cell r="I68">
            <v>23</v>
          </cell>
          <cell r="J68">
            <v>32</v>
          </cell>
          <cell r="K68">
            <v>9</v>
          </cell>
          <cell r="L68">
            <v>96</v>
          </cell>
        </row>
        <row r="69">
          <cell r="A69" t="str">
            <v>600-185-6120</v>
          </cell>
          <cell r="B69" t="str">
    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    </cell>
          <cell r="C69" t="str">
            <v>SECONDARY AIR FILTER</v>
          </cell>
          <cell r="D69">
            <v>90.19</v>
          </cell>
          <cell r="E69">
            <v>62.2</v>
          </cell>
          <cell r="F69">
            <v>58.62</v>
          </cell>
          <cell r="G69" t="str">
            <v>Filter-Air</v>
          </cell>
          <cell r="H69">
            <v>9</v>
          </cell>
          <cell r="I69">
            <v>9</v>
          </cell>
          <cell r="J69">
            <v>9</v>
          </cell>
          <cell r="K69">
            <v>0</v>
          </cell>
          <cell r="L69">
            <v>27</v>
          </cell>
        </row>
        <row r="70">
          <cell r="A70" t="str">
            <v>600-185-6120.</v>
          </cell>
          <cell r="B70" t="str">
    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    </cell>
          <cell r="C70" t="str">
            <v>SECONDARY AIR FILTER</v>
          </cell>
          <cell r="D70">
            <v>90.19</v>
          </cell>
          <cell r="E70">
            <v>62.2</v>
          </cell>
          <cell r="F70">
            <v>58.62</v>
          </cell>
          <cell r="G70" t="str">
            <v>Filter-Air</v>
          </cell>
          <cell r="H70">
            <v>14</v>
          </cell>
          <cell r="I70">
            <v>14</v>
          </cell>
          <cell r="J70">
            <v>14</v>
          </cell>
          <cell r="K70">
            <v>0</v>
          </cell>
          <cell r="L70">
            <v>42</v>
          </cell>
        </row>
        <row r="71">
          <cell r="A71" t="str">
            <v>6I-2503</v>
          </cell>
          <cell r="B71" t="str">
            <v xml:space="preserve">CAT 329EL (ZCD)                                              </v>
          </cell>
          <cell r="C71" t="str">
            <v>PRIMARY AIR FILTER</v>
          </cell>
          <cell r="D71">
            <v>160.11000000000001</v>
          </cell>
          <cell r="E71">
            <v>110.42</v>
          </cell>
          <cell r="F71">
            <v>104.07</v>
          </cell>
          <cell r="G71" t="str">
            <v>Filter-Air</v>
          </cell>
          <cell r="H71">
            <v>1</v>
          </cell>
          <cell r="I71">
            <v>1</v>
          </cell>
          <cell r="J71">
            <v>1</v>
          </cell>
          <cell r="K71">
            <v>0</v>
          </cell>
          <cell r="L71">
            <v>3</v>
          </cell>
        </row>
        <row r="72">
          <cell r="A72" t="str">
            <v>6I-2504</v>
          </cell>
          <cell r="B72" t="str">
            <v xml:space="preserve">CAT 329EL (ZCD)                                              </v>
          </cell>
          <cell r="C72" t="str">
            <v>SECONDARY AIR FILTER</v>
          </cell>
          <cell r="D72">
            <v>113.26</v>
          </cell>
          <cell r="E72">
            <v>78.11</v>
          </cell>
          <cell r="F72">
            <v>73.62</v>
          </cell>
          <cell r="G72" t="str">
            <v>Filter-Air</v>
          </cell>
          <cell r="H72">
            <v>1</v>
          </cell>
          <cell r="I72">
            <v>1</v>
          </cell>
          <cell r="J72">
            <v>1</v>
          </cell>
          <cell r="K72">
            <v>0</v>
          </cell>
          <cell r="L72">
            <v>3</v>
          </cell>
        </row>
        <row r="73">
          <cell r="A73" t="str">
            <v>AT171854</v>
          </cell>
          <cell r="B73" t="str">
            <v xml:space="preserve">JD 333G (1T0)                                              </v>
          </cell>
          <cell r="C73" t="str">
            <v>SECONDARY AIR FILTER</v>
          </cell>
          <cell r="D73">
            <v>45.7746</v>
          </cell>
          <cell r="E73">
            <v>31.57</v>
          </cell>
          <cell r="F73">
            <v>29.75</v>
          </cell>
          <cell r="G73" t="str">
            <v>Filter-Air</v>
          </cell>
          <cell r="H73">
            <v>1</v>
          </cell>
          <cell r="I73">
            <v>1</v>
          </cell>
          <cell r="J73">
            <v>1</v>
          </cell>
          <cell r="K73">
            <v>0</v>
          </cell>
          <cell r="L73">
            <v>3</v>
          </cell>
        </row>
        <row r="74">
          <cell r="A74" t="str">
            <v>AT191102</v>
          </cell>
          <cell r="B74" t="str">
            <v xml:space="preserve">JD 624K (DW6) JD 764 (100)                                            </v>
          </cell>
          <cell r="C74" t="str">
            <v>CAB AIR FILTER</v>
          </cell>
          <cell r="D74">
            <v>28.138200000000001</v>
          </cell>
          <cell r="E74">
            <v>19.41</v>
          </cell>
          <cell r="F74">
            <v>18.29</v>
          </cell>
          <cell r="G74" t="str">
            <v>Filter-Air</v>
          </cell>
          <cell r="H74">
            <v>3</v>
          </cell>
          <cell r="I74">
            <v>1</v>
          </cell>
          <cell r="J74">
            <v>2</v>
          </cell>
          <cell r="K74">
            <v>1</v>
          </cell>
          <cell r="L74">
            <v>7</v>
          </cell>
        </row>
        <row r="75">
          <cell r="A75" t="str">
            <v>AT300487</v>
          </cell>
          <cell r="B75" t="str">
            <v xml:space="preserve">JD 624K (DW6) JD 764 (100)                                            </v>
          </cell>
          <cell r="C75" t="str">
            <v>PRIMARY AIR FILTER</v>
          </cell>
          <cell r="D75">
            <v>111.3108</v>
          </cell>
          <cell r="E75">
            <v>76.77</v>
          </cell>
          <cell r="F75">
            <v>72.349999999999994</v>
          </cell>
          <cell r="G75" t="str">
            <v>Filter-Air</v>
          </cell>
          <cell r="H75">
            <v>2</v>
          </cell>
          <cell r="I75">
            <v>2</v>
          </cell>
          <cell r="J75">
            <v>2</v>
          </cell>
          <cell r="K75">
            <v>0</v>
          </cell>
          <cell r="L75">
            <v>6</v>
          </cell>
        </row>
        <row r="76">
          <cell r="A76" t="str">
            <v>AT307501</v>
          </cell>
          <cell r="B76" t="str">
            <v xml:space="preserve">JD 624K (DW6) JD 764 (100)                                            </v>
          </cell>
          <cell r="C76" t="str">
            <v>CAB AIR FILTER</v>
          </cell>
          <cell r="D76">
            <v>22.300799999999999</v>
          </cell>
          <cell r="E76">
            <v>15.38</v>
          </cell>
          <cell r="F76">
            <v>14.5</v>
          </cell>
          <cell r="G76" t="str">
            <v>Filter-Air</v>
          </cell>
          <cell r="H76">
            <v>3</v>
          </cell>
          <cell r="I76">
            <v>1</v>
          </cell>
          <cell r="J76">
            <v>2</v>
          </cell>
          <cell r="K76">
            <v>1</v>
          </cell>
          <cell r="L76">
            <v>7</v>
          </cell>
        </row>
        <row r="77">
          <cell r="A77" t="str">
            <v>AT308575</v>
          </cell>
          <cell r="B77" t="str">
            <v xml:space="preserve">JD 470P (1FF)                                              </v>
          </cell>
          <cell r="C77" t="str">
            <v>PRIMARY AIR FILTER</v>
          </cell>
          <cell r="D77">
            <v>221.559</v>
          </cell>
          <cell r="E77">
            <v>152.80000000000001</v>
          </cell>
          <cell r="F77">
            <v>144.01</v>
          </cell>
          <cell r="G77" t="str">
            <v>Filter-Air</v>
          </cell>
          <cell r="H77">
            <v>1</v>
          </cell>
          <cell r="I77">
            <v>1</v>
          </cell>
          <cell r="J77">
            <v>1</v>
          </cell>
          <cell r="K77">
            <v>0</v>
          </cell>
          <cell r="L77">
            <v>3</v>
          </cell>
        </row>
        <row r="78">
          <cell r="A78" t="str">
            <v>AT314583</v>
          </cell>
          <cell r="B78" t="str">
            <v xml:space="preserve">JD 624K (DW6) JD 764 (100)                                            </v>
          </cell>
          <cell r="C78" t="str">
            <v>SECONDARY AIR FILTER</v>
          </cell>
          <cell r="D78">
            <v>69.772800000000004</v>
          </cell>
          <cell r="E78">
            <v>48.12</v>
          </cell>
          <cell r="F78">
            <v>45.35</v>
          </cell>
          <cell r="G78" t="str">
            <v>Filter-Air</v>
          </cell>
          <cell r="H78">
            <v>2</v>
          </cell>
          <cell r="I78">
            <v>2</v>
          </cell>
          <cell r="J78">
            <v>2</v>
          </cell>
          <cell r="K78">
            <v>0</v>
          </cell>
          <cell r="L78">
            <v>6</v>
          </cell>
        </row>
        <row r="79">
          <cell r="A79" t="str">
            <v>AT359416</v>
          </cell>
          <cell r="B79" t="str">
            <v xml:space="preserve">JD 333G (1T0)                                              </v>
          </cell>
          <cell r="C79" t="str">
            <v>CAB AIR FILTER</v>
          </cell>
          <cell r="D79">
            <v>30.484200000000001</v>
          </cell>
          <cell r="E79">
            <v>21.02</v>
          </cell>
          <cell r="F79">
            <v>19.809999999999999</v>
          </cell>
          <cell r="G79" t="str">
            <v>Filter-Air</v>
          </cell>
          <cell r="H79">
            <v>2</v>
          </cell>
          <cell r="I79">
            <v>1</v>
          </cell>
          <cell r="J79">
            <v>2</v>
          </cell>
          <cell r="K79">
            <v>1</v>
          </cell>
          <cell r="L79">
            <v>6</v>
          </cell>
        </row>
        <row r="80">
          <cell r="A80" t="str">
            <v>AT441536</v>
          </cell>
          <cell r="B80" t="str">
            <v xml:space="preserve">JD 333G (1T0)                                              </v>
          </cell>
          <cell r="C80" t="str">
            <v>CAB AIR FILTER</v>
          </cell>
          <cell r="D80">
            <v>31.560599999999997</v>
          </cell>
          <cell r="E80">
            <v>21.77</v>
          </cell>
          <cell r="F80">
            <v>20.51</v>
          </cell>
          <cell r="G80" t="str">
            <v>Filter-Air</v>
          </cell>
          <cell r="H80">
            <v>2</v>
          </cell>
          <cell r="I80">
            <v>1</v>
          </cell>
          <cell r="J80">
            <v>2</v>
          </cell>
          <cell r="K80">
            <v>1</v>
          </cell>
          <cell r="L80">
            <v>6</v>
          </cell>
        </row>
        <row r="81">
          <cell r="A81" t="str">
            <v>FYA00001490R</v>
          </cell>
          <cell r="B81" t="str">
            <v xml:space="preserve">JD 470P (1FF)                                              </v>
          </cell>
          <cell r="C81" t="str">
            <v>CAB AIR FILTER</v>
          </cell>
          <cell r="D81">
            <v>69.344999999999999</v>
          </cell>
          <cell r="E81">
            <v>47.82</v>
          </cell>
          <cell r="F81">
            <v>45.07</v>
          </cell>
          <cell r="G81" t="str">
            <v>Filter-Air</v>
          </cell>
          <cell r="H81">
            <v>1</v>
          </cell>
          <cell r="I81">
            <v>0</v>
          </cell>
          <cell r="J81">
            <v>0</v>
          </cell>
          <cell r="K81">
            <v>0</v>
          </cell>
          <cell r="L81">
            <v>1</v>
          </cell>
        </row>
        <row r="82">
          <cell r="A82" t="str">
            <v>KV16429</v>
          </cell>
          <cell r="B82" t="str">
            <v xml:space="preserve">JD 333G (1T0)                                              </v>
          </cell>
          <cell r="C82" t="str">
            <v>PRIMARY AIR FILTER</v>
          </cell>
          <cell r="D82">
            <v>82.703399999999988</v>
          </cell>
          <cell r="E82">
            <v>57.04</v>
          </cell>
          <cell r="F82">
            <v>53.76</v>
          </cell>
          <cell r="G82" t="str">
            <v>Filter-Air</v>
          </cell>
          <cell r="H82">
            <v>1</v>
          </cell>
          <cell r="I82">
            <v>1</v>
          </cell>
          <cell r="J82">
            <v>1</v>
          </cell>
          <cell r="K82">
            <v>0</v>
          </cell>
          <cell r="L82">
            <v>3</v>
          </cell>
        </row>
        <row r="83">
          <cell r="A83" t="str">
            <v>ND145530-1210</v>
          </cell>
          <cell r="B83" t="str">
            <v xml:space="preserve">KOM PC138USLC-11 KOM PC238USLC-11 (1)                                            </v>
          </cell>
          <cell r="C83" t="str">
            <v>CAB AIR FILTER</v>
          </cell>
          <cell r="D83">
            <v>107.11</v>
          </cell>
          <cell r="E83">
            <v>73.87</v>
          </cell>
          <cell r="F83">
            <v>69.62</v>
          </cell>
          <cell r="G83" t="str">
            <v>Filter-Air</v>
          </cell>
          <cell r="H83">
            <v>2</v>
          </cell>
          <cell r="I83">
            <v>2</v>
          </cell>
          <cell r="J83">
            <v>2</v>
          </cell>
          <cell r="K83">
            <v>0</v>
          </cell>
          <cell r="L83">
            <v>6</v>
          </cell>
        </row>
        <row r="84">
          <cell r="A84" t="str">
            <v>ND145530-2040</v>
          </cell>
          <cell r="B84" t="str">
            <v xml:space="preserve">KOM PC238USLC-11 (2)                                              </v>
          </cell>
          <cell r="C84" t="str">
            <v>CAB AIR FILTER</v>
          </cell>
          <cell r="D84">
            <v>107.11</v>
          </cell>
          <cell r="E84">
            <v>73.87</v>
          </cell>
          <cell r="F84">
            <v>69.62</v>
          </cell>
          <cell r="G84" t="str">
            <v>Filter-Air</v>
          </cell>
          <cell r="H84">
            <v>1</v>
          </cell>
          <cell r="I84">
            <v>1</v>
          </cell>
          <cell r="J84">
            <v>1</v>
          </cell>
          <cell r="K84">
            <v>0</v>
          </cell>
          <cell r="L84">
            <v>3</v>
          </cell>
        </row>
        <row r="85">
          <cell r="A85" t="str">
            <v>TT220747</v>
          </cell>
          <cell r="B85" t="str">
            <v xml:space="preserve">JD 470P (1FF)                                              </v>
          </cell>
          <cell r="C85" t="str">
            <v>SECONDARY AIR FILTER</v>
          </cell>
          <cell r="D85">
            <v>122.9028</v>
          </cell>
          <cell r="E85">
            <v>84.76</v>
          </cell>
          <cell r="F85">
            <v>79.89</v>
          </cell>
          <cell r="G85" t="str">
            <v>Filter-Air</v>
          </cell>
          <cell r="H85">
            <v>1</v>
          </cell>
          <cell r="I85">
            <v>1</v>
          </cell>
          <cell r="J85">
            <v>1</v>
          </cell>
          <cell r="K85">
            <v>0</v>
          </cell>
          <cell r="L85">
            <v>3</v>
          </cell>
        </row>
        <row r="86">
          <cell r="A86">
            <v>4630525</v>
          </cell>
          <cell r="B86" t="str">
            <v xml:space="preserve">JD 470P (1FF)                                              </v>
          </cell>
          <cell r="C86" t="str">
            <v xml:space="preserve">HYDRAULIC FILTER PILOT </v>
          </cell>
          <cell r="D86">
            <v>40.640999999999998</v>
          </cell>
          <cell r="E86">
            <v>28.03</v>
          </cell>
          <cell r="F86">
            <v>20.32</v>
          </cell>
          <cell r="G86" t="str">
            <v>Filter-Hydraulic</v>
          </cell>
          <cell r="H86">
            <v>1</v>
          </cell>
          <cell r="I86">
            <v>1</v>
          </cell>
          <cell r="J86">
            <v>1</v>
          </cell>
          <cell r="K86">
            <v>0</v>
          </cell>
          <cell r="L86">
            <v>3</v>
          </cell>
        </row>
        <row r="87">
          <cell r="A87" t="str">
            <v> 207-970-5121</v>
          </cell>
          <cell r="B87" t="str">
            <v xml:space="preserve">KOM PC360LC-11 (A37) KOM PC360LC-11 (A39) KOM PC360LC-11 (A39) (2)                                          </v>
          </cell>
          <cell r="C87" t="str">
            <v>HYDRAULIC FILTER</v>
          </cell>
          <cell r="D87">
            <v>198.35</v>
          </cell>
          <cell r="E87">
            <v>136.79</v>
          </cell>
          <cell r="F87">
            <v>99.18</v>
          </cell>
          <cell r="G87" t="str">
            <v>Filter-Hydraulic</v>
          </cell>
          <cell r="H87">
            <v>3</v>
          </cell>
          <cell r="I87">
            <v>3</v>
          </cell>
          <cell r="J87">
            <v>3</v>
          </cell>
          <cell r="K87">
            <v>0</v>
          </cell>
          <cell r="L87">
            <v>9</v>
          </cell>
        </row>
        <row r="88">
          <cell r="A88" t="str">
            <v>093-7521</v>
          </cell>
          <cell r="B88" t="str">
            <v xml:space="preserve">CAT 329EL (ZCD)                                              </v>
          </cell>
          <cell r="C88" t="str">
            <v>HYDRAULIC FILTER CASE DRAIN</v>
          </cell>
          <cell r="D88">
            <v>98.57</v>
          </cell>
          <cell r="E88">
            <v>67.98</v>
          </cell>
          <cell r="F88">
            <v>49.29</v>
          </cell>
          <cell r="G88" t="str">
            <v>Filter-Hydraulic</v>
          </cell>
          <cell r="H88">
            <v>1</v>
          </cell>
          <cell r="I88">
            <v>1</v>
          </cell>
          <cell r="J88">
            <v>1</v>
          </cell>
          <cell r="K88">
            <v>0</v>
          </cell>
          <cell r="L88">
            <v>3</v>
          </cell>
        </row>
        <row r="89">
          <cell r="A89" t="str">
            <v>11Y-60-28712</v>
          </cell>
          <cell r="B89" t="str">
            <v xml:space="preserve">KOM D61PX-24 (B60)                                              </v>
          </cell>
          <cell r="C89" t="str">
            <v>HYDRAULIC FILTER</v>
          </cell>
          <cell r="D89">
            <v>370.6</v>
          </cell>
          <cell r="E89">
            <v>255.59</v>
          </cell>
          <cell r="F89">
            <v>185.3</v>
          </cell>
          <cell r="G89" t="str">
            <v>Filter-Hydraulic</v>
          </cell>
          <cell r="H89">
            <v>1</v>
          </cell>
          <cell r="I89">
            <v>0</v>
          </cell>
          <cell r="J89">
            <v>1</v>
          </cell>
          <cell r="K89">
            <v>0</v>
          </cell>
          <cell r="L89">
            <v>2</v>
          </cell>
        </row>
        <row r="90">
          <cell r="A90" t="str">
            <v>179-9806</v>
          </cell>
          <cell r="B90" t="str">
            <v xml:space="preserve">CAT 329EL (ZCD)                                              </v>
          </cell>
          <cell r="C90" t="str">
            <v>HYDRAULIC FILTER RETURN</v>
          </cell>
          <cell r="D90">
            <v>221.11</v>
          </cell>
          <cell r="E90">
            <v>152.49</v>
          </cell>
          <cell r="F90">
            <v>110.56</v>
          </cell>
          <cell r="G90" t="str">
            <v>Filter-Hydraulic</v>
          </cell>
          <cell r="H90">
            <v>1</v>
          </cell>
          <cell r="I90">
            <v>0</v>
          </cell>
          <cell r="J90">
            <v>1</v>
          </cell>
          <cell r="K90">
            <v>0</v>
          </cell>
          <cell r="L90">
            <v>2</v>
          </cell>
        </row>
        <row r="91">
          <cell r="A91" t="str">
            <v>207-60-71183</v>
          </cell>
          <cell r="B91" t="str">
            <v xml:space="preserve">KOM HM400-5 (1) KOM HM400-5 (2) KOM HM400-5 (3) KOM HM400-5 (4) KOM HM400-5 (5) KOM HM400-5 (6) KOM HM400-5 (7) KOM HM400-5 (8) KOM HM400-5 (9) KOM HM400-5 (10) KOM HM400 (11) KOM HM400 (12) KOM HM400 (13) KOM HM400-5 (14) KOM PC238USLC-11 (2) KOM PC360LC-11 (A37) KOM PC360LC-11 (A39) KOM PC360LC-11 (A39) (2) KOM WA475-10 (120) KOM PC290LC-11 (K73)        </v>
          </cell>
          <cell r="C91" t="str">
            <v>HYDRAULIC FILTER TANK</v>
          </cell>
          <cell r="D91">
            <v>188.98</v>
          </cell>
          <cell r="E91">
            <v>130.33000000000001</v>
          </cell>
          <cell r="F91">
            <v>94.49</v>
          </cell>
          <cell r="G91" t="str">
            <v>Filter-Hydraulic</v>
          </cell>
          <cell r="H91">
            <v>20</v>
          </cell>
          <cell r="I91">
            <v>20</v>
          </cell>
          <cell r="J91">
            <v>20</v>
          </cell>
          <cell r="K91">
            <v>0</v>
          </cell>
          <cell r="L91">
            <v>60</v>
          </cell>
        </row>
        <row r="92">
          <cell r="A92" t="str">
            <v>208-60-71124</v>
          </cell>
          <cell r="B92" t="str">
            <v xml:space="preserve">KOM HM400-5 (1) KOM HM400-5 (2) KOM HM400-5 (3) KOM HM400-5 (4) KOM HM400-5 (5) KOM HM400-5 (6) KOM HM400-5 (7) KOM HM400-5 (8) KOM HM400-5 (9) KOM HM400-5 (10) KOM HM400 (11) KOM HM400 (12) KOM HM400 (13) KOM HM400-5 (14) KOM PC490LC-11 (A42) KOM PC490LC-11 (A42) (2) KOM PC490LC-11 (A42) (3) KOM PC490LC-11 (A42) (4) KOM PC490LC-11 (A42) (5) KOM PC490LC-11 (A43) KOM PC490LC-11 (KMT) (1) KOM PC490LC-11 (KMT) (2) KOM PC490LC-11 (KMT) (3)  </v>
          </cell>
          <cell r="C92" t="str">
            <v>HYDRAULIC FILTER ACCUMULATOR</v>
          </cell>
          <cell r="D92">
            <v>259.43</v>
          </cell>
          <cell r="E92">
            <v>178.92</v>
          </cell>
          <cell r="F92">
            <v>129.72</v>
          </cell>
          <cell r="G92" t="str">
            <v>Filter-Hydraulic</v>
          </cell>
          <cell r="H92">
            <v>23</v>
          </cell>
          <cell r="I92">
            <v>23</v>
          </cell>
          <cell r="J92">
            <v>23</v>
          </cell>
          <cell r="K92">
            <v>0</v>
          </cell>
          <cell r="L92">
            <v>69</v>
          </cell>
        </row>
        <row r="93">
          <cell r="A93" t="str">
            <v>22P-60-21161</v>
          </cell>
          <cell r="B93" t="str">
            <v xml:space="preserve">KOM D61PX-24 (B60)                                              </v>
          </cell>
          <cell r="C93" t="str">
            <v>HYDRAULIC FILTER</v>
          </cell>
          <cell r="D93">
            <v>220.88</v>
          </cell>
          <cell r="E93">
            <v>152.33000000000001</v>
          </cell>
          <cell r="F93">
            <v>110.44</v>
          </cell>
          <cell r="G93" t="str">
            <v>Filter-Hydraulic</v>
          </cell>
          <cell r="H93">
            <v>1</v>
          </cell>
          <cell r="I93">
            <v>0</v>
          </cell>
          <cell r="J93">
            <v>1</v>
          </cell>
          <cell r="K93">
            <v>0</v>
          </cell>
          <cell r="L93">
            <v>2</v>
          </cell>
        </row>
        <row r="94">
          <cell r="A94" t="str">
            <v>328-3655</v>
          </cell>
          <cell r="B94" t="str">
            <v xml:space="preserve">CAT 14 (EN4)                                              </v>
          </cell>
          <cell r="C94" t="str">
            <v xml:space="preserve">HYDRAULIC FILTER </v>
          </cell>
          <cell r="D94">
            <v>197.31</v>
          </cell>
          <cell r="E94">
            <v>136.08000000000001</v>
          </cell>
          <cell r="F94">
            <v>98.66</v>
          </cell>
          <cell r="G94" t="str">
            <v>Filter-Hydraulic</v>
          </cell>
          <cell r="H94">
            <v>1</v>
          </cell>
          <cell r="I94">
            <v>1</v>
          </cell>
          <cell r="J94">
            <v>1</v>
          </cell>
          <cell r="K94">
            <v>0</v>
          </cell>
          <cell r="L94">
            <v>3</v>
          </cell>
        </row>
        <row r="95">
          <cell r="A95" t="str">
            <v>389-1076</v>
          </cell>
          <cell r="B95" t="str">
            <v xml:space="preserve">CAT 14 (EN4)                                              </v>
          </cell>
          <cell r="C95" t="str">
            <v>HYDRAULIC FILTER</v>
          </cell>
          <cell r="D95">
            <v>103.37</v>
          </cell>
          <cell r="E95">
            <v>71.290000000000006</v>
          </cell>
          <cell r="F95">
            <v>51.69</v>
          </cell>
          <cell r="G95" t="str">
            <v>Filter-Hydraulic</v>
          </cell>
          <cell r="H95">
            <v>1</v>
          </cell>
          <cell r="I95">
            <v>1</v>
          </cell>
          <cell r="J95">
            <v>1</v>
          </cell>
          <cell r="K95">
            <v>0</v>
          </cell>
          <cell r="L95">
            <v>3</v>
          </cell>
        </row>
        <row r="96">
          <cell r="A96" t="str">
            <v>418-60-55151</v>
          </cell>
          <cell r="B96" t="str">
            <v xml:space="preserve">KOM WA320-8 (867) KOM WA320PZ-6 (729)                                            </v>
          </cell>
          <cell r="C96" t="str">
            <v>HYDRAULIC FILTER</v>
          </cell>
          <cell r="D96">
            <v>197.46</v>
          </cell>
          <cell r="E96">
            <v>136.18</v>
          </cell>
          <cell r="F96">
            <v>98.73</v>
          </cell>
          <cell r="G96" t="str">
            <v>Filter-Hydraulic</v>
          </cell>
          <cell r="H96">
            <v>2</v>
          </cell>
          <cell r="I96">
            <v>2</v>
          </cell>
          <cell r="J96">
            <v>2</v>
          </cell>
          <cell r="K96">
            <v>0</v>
          </cell>
          <cell r="L96">
            <v>6</v>
          </cell>
        </row>
        <row r="97">
          <cell r="A97" t="str">
            <v>421-5479</v>
          </cell>
          <cell r="B97" t="str">
            <v xml:space="preserve">CAT 255 CAT 255 (2) CAT 255 (FL7)                                          </v>
          </cell>
          <cell r="C97" t="str">
            <v>HYDRAULIC FILTER</v>
          </cell>
          <cell r="D97">
            <v>91.89</v>
          </cell>
          <cell r="E97">
            <v>63.37</v>
          </cell>
          <cell r="F97">
            <v>45.95</v>
          </cell>
          <cell r="G97" t="str">
            <v>Filter-Hydraulic</v>
          </cell>
          <cell r="H97">
            <v>3</v>
          </cell>
          <cell r="I97">
            <v>3</v>
          </cell>
          <cell r="J97">
            <v>3</v>
          </cell>
          <cell r="K97">
            <v>0</v>
          </cell>
          <cell r="L97">
            <v>9</v>
          </cell>
        </row>
        <row r="98">
          <cell r="A98" t="str">
            <v>423-60-45461</v>
          </cell>
          <cell r="B98" t="str">
            <v xml:space="preserve">KOM D71PX-24 (1) KOM D71PX-24 (2) KOM D71PX-24 (3) KOM D71PX-24 (4) KOM D71PX-24 (5) KOM D71PX-24 (6) KOM D71PX-24 (7) KOM WA380-8 (1) KOM WA380-8 (2)                              </v>
          </cell>
          <cell r="C98" t="str">
            <v>HYDRAULIC FILTER TANK</v>
          </cell>
          <cell r="D98">
            <v>161.15639999999999</v>
          </cell>
          <cell r="E98">
            <v>111.14</v>
          </cell>
          <cell r="F98">
            <v>80.58</v>
          </cell>
          <cell r="G98" t="str">
            <v>Filter-Hydraulic</v>
          </cell>
          <cell r="H98">
            <v>16</v>
          </cell>
          <cell r="I98">
            <v>9</v>
          </cell>
          <cell r="J98">
            <v>16</v>
          </cell>
          <cell r="K98">
            <v>7</v>
          </cell>
          <cell r="L98">
            <v>48</v>
          </cell>
        </row>
        <row r="99">
          <cell r="A99" t="str">
            <v xml:space="preserve">423-60-45461  </v>
          </cell>
          <cell r="B99" t="str">
            <v xml:space="preserve">KOM PC138USLC-11 KOM PC238USLC-11 (1)                                            </v>
          </cell>
          <cell r="C99" t="str">
            <v>HYDRAULIC FILTER</v>
          </cell>
          <cell r="D99">
            <v>164.32</v>
          </cell>
          <cell r="E99">
            <v>113.32</v>
          </cell>
          <cell r="F99">
            <v>82.16</v>
          </cell>
          <cell r="G99" t="str">
            <v>Filter-Hydraulic</v>
          </cell>
          <cell r="H99">
            <v>2</v>
          </cell>
          <cell r="I99">
            <v>2</v>
          </cell>
          <cell r="J99">
            <v>2</v>
          </cell>
          <cell r="K99">
            <v>0</v>
          </cell>
          <cell r="L99">
            <v>6</v>
          </cell>
        </row>
        <row r="100">
          <cell r="A100" t="str">
            <v>5I-8670</v>
          </cell>
          <cell r="B100" t="str">
            <v xml:space="preserve">CAT 329EL (ZCD)                                              </v>
          </cell>
          <cell r="C100" t="str">
            <v>HYDRAULIC FILTER PILOT</v>
          </cell>
          <cell r="D100">
            <v>102.89</v>
          </cell>
          <cell r="E100">
            <v>70.959999999999994</v>
          </cell>
          <cell r="F100">
            <v>51.45</v>
          </cell>
          <cell r="G100" t="str">
            <v>Filter-Hydraulic</v>
          </cell>
          <cell r="H100">
            <v>1</v>
          </cell>
          <cell r="I100">
            <v>1</v>
          </cell>
          <cell r="J100">
            <v>1</v>
          </cell>
          <cell r="K100">
            <v>0</v>
          </cell>
          <cell r="L100">
            <v>3</v>
          </cell>
        </row>
        <row r="101">
          <cell r="A101" t="str">
            <v>AT314164</v>
          </cell>
          <cell r="B101" t="str">
            <v xml:space="preserve">JD 333G (1T0)                                              </v>
          </cell>
          <cell r="C101" t="str">
            <v>HYDRAULIC FILTER</v>
          </cell>
          <cell r="D101">
            <v>131.1138</v>
          </cell>
          <cell r="E101">
            <v>90.42</v>
          </cell>
          <cell r="F101">
            <v>65.56</v>
          </cell>
          <cell r="G101" t="str">
            <v>Filter-Hydraulic</v>
          </cell>
          <cell r="H101">
            <v>1</v>
          </cell>
          <cell r="I101">
            <v>1</v>
          </cell>
          <cell r="J101">
            <v>1</v>
          </cell>
          <cell r="K101">
            <v>0</v>
          </cell>
          <cell r="L101">
            <v>3</v>
          </cell>
        </row>
        <row r="102">
          <cell r="A102" t="str">
            <v>AT318160</v>
          </cell>
          <cell r="B102" t="str">
            <v xml:space="preserve">JD 764 (100)                                              </v>
          </cell>
          <cell r="C102" t="str">
            <v>HYDRAULIC FILTER</v>
          </cell>
          <cell r="D102">
            <v>178.50299999999999</v>
          </cell>
          <cell r="E102">
            <v>123.11</v>
          </cell>
          <cell r="F102">
            <v>89.25</v>
          </cell>
          <cell r="G102" t="str">
            <v>Filter-Hydraulic</v>
          </cell>
          <cell r="H102">
            <v>1</v>
          </cell>
          <cell r="I102">
            <v>0</v>
          </cell>
          <cell r="J102">
            <v>1</v>
          </cell>
          <cell r="K102">
            <v>0</v>
          </cell>
          <cell r="L102">
            <v>2</v>
          </cell>
        </row>
        <row r="103">
          <cell r="A103" t="str">
            <v>AT495722</v>
          </cell>
          <cell r="B103" t="str">
            <v xml:space="preserve">JD 333G (1T0)                                              </v>
          </cell>
          <cell r="C103" t="str">
            <v>HYDRAULIC FILTER</v>
          </cell>
          <cell r="D103">
            <v>168.56700000000001</v>
          </cell>
          <cell r="E103">
            <v>116.25</v>
          </cell>
          <cell r="F103">
            <v>84.28</v>
          </cell>
          <cell r="G103" t="str">
            <v>Filter-Hydraulic</v>
          </cell>
          <cell r="H103">
            <v>1</v>
          </cell>
          <cell r="I103">
            <v>1</v>
          </cell>
          <cell r="J103">
            <v>1</v>
          </cell>
          <cell r="K103">
            <v>0</v>
          </cell>
          <cell r="L103">
            <v>3</v>
          </cell>
        </row>
        <row r="104">
          <cell r="A104" t="str">
            <v>AT539500</v>
          </cell>
          <cell r="B104" t="str">
            <v xml:space="preserve">JD 470P (1FF)                                              </v>
          </cell>
          <cell r="C104" t="str">
            <v>HYDRAULIC FILTER CASE DRAIN</v>
          </cell>
          <cell r="D104">
            <v>49.252199999999995</v>
          </cell>
          <cell r="E104">
            <v>33.97</v>
          </cell>
          <cell r="F104">
            <v>24.63</v>
          </cell>
          <cell r="G104" t="str">
            <v>Filter-Hydraulic</v>
          </cell>
          <cell r="H104">
            <v>1</v>
          </cell>
          <cell r="I104">
            <v>1</v>
          </cell>
          <cell r="J104">
            <v>1</v>
          </cell>
          <cell r="K104">
            <v>0</v>
          </cell>
          <cell r="L104">
            <v>3</v>
          </cell>
        </row>
        <row r="105">
          <cell r="A105" t="str">
            <v> 600-319-4540LP</v>
          </cell>
          <cell r="B105" t="str">
    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    </cell>
          <cell r="C105" t="str">
            <v>FUEL FILTER</v>
          </cell>
          <cell r="D105">
            <v>69.17</v>
          </cell>
          <cell r="E105">
            <v>47.7</v>
          </cell>
          <cell r="F105">
            <v>34.590000000000003</v>
          </cell>
          <cell r="G105" t="str">
            <v>Filter-Oil</v>
          </cell>
          <cell r="H105">
            <v>18</v>
          </cell>
          <cell r="I105">
            <v>9</v>
          </cell>
          <cell r="J105">
            <v>18</v>
          </cell>
          <cell r="K105">
            <v>9</v>
          </cell>
          <cell r="L105">
            <v>54</v>
          </cell>
        </row>
        <row r="106">
          <cell r="A106" t="str">
            <v>14X-49-61410</v>
          </cell>
          <cell r="B106" t="str">
            <v xml:space="preserve">KOM WA475-10 (120)                                              </v>
          </cell>
          <cell r="C106" t="str">
            <v>TRANSMISSION FILTER</v>
          </cell>
          <cell r="D106">
            <v>200.94</v>
          </cell>
          <cell r="E106">
            <v>138.58000000000001</v>
          </cell>
          <cell r="F106">
            <v>100.47</v>
          </cell>
          <cell r="G106" t="str">
            <v>Filter-Oil</v>
          </cell>
          <cell r="H106">
            <v>1</v>
          </cell>
          <cell r="I106">
            <v>1</v>
          </cell>
          <cell r="J106">
            <v>1</v>
          </cell>
          <cell r="K106">
            <v>0</v>
          </cell>
          <cell r="L106">
            <v>3</v>
          </cell>
        </row>
        <row r="107">
          <cell r="A107" t="str">
            <v>322-3155</v>
          </cell>
          <cell r="B107" t="str">
            <v xml:space="preserve">CAT 329EL (ZCD)                                              </v>
          </cell>
          <cell r="C107" t="str">
            <v>ENGINE OIL FILTER</v>
          </cell>
          <cell r="D107">
            <v>42.63</v>
          </cell>
          <cell r="E107">
            <v>29.4</v>
          </cell>
          <cell r="F107">
            <v>21.32</v>
          </cell>
          <cell r="G107" t="str">
            <v>Filter-Oil</v>
          </cell>
          <cell r="H107">
            <v>2</v>
          </cell>
          <cell r="I107">
            <v>1</v>
          </cell>
          <cell r="J107">
            <v>2</v>
          </cell>
          <cell r="K107">
            <v>1</v>
          </cell>
          <cell r="L107">
            <v>6</v>
          </cell>
        </row>
        <row r="108">
          <cell r="A108" t="str">
            <v>360-8960</v>
          </cell>
          <cell r="B108" t="str">
            <v xml:space="preserve">CAT 329EL (ZCD) CAT TL1055C (KDE)                                            </v>
          </cell>
          <cell r="C108" t="str">
            <v>FUEL FILTER</v>
          </cell>
          <cell r="D108">
            <v>50.09</v>
          </cell>
          <cell r="E108">
            <v>34.54</v>
          </cell>
          <cell r="F108">
            <v>25.05</v>
          </cell>
          <cell r="G108" t="str">
            <v>Filter-Oil</v>
          </cell>
          <cell r="H108">
            <v>4</v>
          </cell>
          <cell r="I108">
            <v>2</v>
          </cell>
          <cell r="J108">
            <v>4</v>
          </cell>
          <cell r="K108">
            <v>2</v>
          </cell>
          <cell r="L108">
            <v>12</v>
          </cell>
        </row>
        <row r="109">
          <cell r="A109" t="str">
            <v>418-18-34160</v>
          </cell>
          <cell r="B109" t="str">
            <v xml:space="preserve">KOM WA320-8 (867) KOM WA320PZ-6 (729)                                            </v>
          </cell>
          <cell r="C109" t="str">
            <v>TRANSMISSION FILTER</v>
          </cell>
          <cell r="D109">
            <v>106.91</v>
          </cell>
          <cell r="E109">
            <v>73.73</v>
          </cell>
          <cell r="F109">
            <v>53.46</v>
          </cell>
          <cell r="G109" t="str">
            <v>Filter-Oil</v>
          </cell>
          <cell r="H109">
            <v>2</v>
          </cell>
          <cell r="I109">
            <v>2</v>
          </cell>
          <cell r="J109">
            <v>2</v>
          </cell>
          <cell r="K109">
            <v>0</v>
          </cell>
          <cell r="L109">
            <v>6</v>
          </cell>
        </row>
        <row r="110">
          <cell r="A110" t="str">
            <v>423-07-52441</v>
          </cell>
          <cell r="B110" t="str">
            <v xml:space="preserve">KOM WA320-8 (867) KOM WA320PZ-6 (729)                                            </v>
          </cell>
          <cell r="C110" t="str">
            <v>CAB FILTER</v>
          </cell>
          <cell r="D110">
            <v>162.04</v>
          </cell>
          <cell r="E110">
            <v>111.75</v>
          </cell>
          <cell r="F110">
            <v>105.33</v>
          </cell>
          <cell r="G110" t="str">
            <v>Filter-Oil</v>
          </cell>
          <cell r="H110">
            <v>2</v>
          </cell>
          <cell r="I110">
            <v>2</v>
          </cell>
          <cell r="J110">
            <v>2</v>
          </cell>
          <cell r="K110">
            <v>0</v>
          </cell>
          <cell r="L110">
            <v>6</v>
          </cell>
        </row>
        <row r="111">
          <cell r="A111" t="str">
            <v>436-7077</v>
          </cell>
          <cell r="B111" t="str">
            <v xml:space="preserve">CAT 14 (EN4)                                              </v>
          </cell>
          <cell r="C111" t="str">
            <v>FUEL/WATER SEPERATOR</v>
          </cell>
          <cell r="D111">
            <v>86.8</v>
          </cell>
          <cell r="E111">
            <v>59.86</v>
          </cell>
          <cell r="F111">
            <v>43.4</v>
          </cell>
          <cell r="G111" t="str">
            <v>Filter-Oil</v>
          </cell>
          <cell r="H111">
            <v>2</v>
          </cell>
          <cell r="I111">
            <v>1</v>
          </cell>
          <cell r="J111">
            <v>2</v>
          </cell>
          <cell r="K111">
            <v>1</v>
          </cell>
          <cell r="L111">
            <v>6</v>
          </cell>
        </row>
        <row r="112">
          <cell r="A112" t="str">
            <v>471-7003</v>
          </cell>
          <cell r="B112" t="str">
            <v xml:space="preserve">CAT TL1055C (KDE)                                              </v>
          </cell>
          <cell r="C112" t="str">
            <v>TRANSMISSION FILTER</v>
          </cell>
          <cell r="D112">
            <v>54.46</v>
          </cell>
          <cell r="E112">
            <v>37.56</v>
          </cell>
          <cell r="F112">
            <v>27.23</v>
          </cell>
          <cell r="G112" t="str">
            <v>Filter-Oil</v>
          </cell>
          <cell r="H112">
            <v>1</v>
          </cell>
          <cell r="I112">
            <v>0</v>
          </cell>
          <cell r="J112">
            <v>1</v>
          </cell>
          <cell r="K112">
            <v>0</v>
          </cell>
          <cell r="L112">
            <v>2</v>
          </cell>
        </row>
        <row r="113">
          <cell r="A113" t="str">
            <v>479-4131</v>
          </cell>
          <cell r="B113" t="str">
            <v xml:space="preserve">CAT 329EL (ZCD)                                              </v>
          </cell>
          <cell r="C113" t="str">
            <v>FUEL/WATER SEPERATOR</v>
          </cell>
          <cell r="D113">
            <v>76.150000000000006</v>
          </cell>
          <cell r="E113">
            <v>52.52</v>
          </cell>
          <cell r="F113">
            <v>38.08</v>
          </cell>
          <cell r="G113" t="str">
            <v>Filter-Oil</v>
          </cell>
          <cell r="H113">
            <v>2</v>
          </cell>
          <cell r="I113">
            <v>1</v>
          </cell>
          <cell r="J113">
            <v>2</v>
          </cell>
          <cell r="K113">
            <v>1</v>
          </cell>
          <cell r="L113">
            <v>6</v>
          </cell>
        </row>
        <row r="114">
          <cell r="A114" t="str">
            <v>479-4133</v>
          </cell>
          <cell r="B114" t="str">
            <v xml:space="preserve">CAT TL1055C (KDE)                                              </v>
          </cell>
          <cell r="C114" t="str">
            <v>FUEL/WATER SEPERATOR</v>
          </cell>
          <cell r="D114">
            <v>72.33</v>
          </cell>
          <cell r="E114">
            <v>49.88</v>
          </cell>
          <cell r="F114">
            <v>36.17</v>
          </cell>
          <cell r="G114" t="str">
            <v>Filter-Oil</v>
          </cell>
          <cell r="H114">
            <v>2</v>
          </cell>
          <cell r="I114">
            <v>1</v>
          </cell>
          <cell r="J114">
            <v>2</v>
          </cell>
          <cell r="K114">
            <v>1</v>
          </cell>
          <cell r="L114">
            <v>6</v>
          </cell>
        </row>
        <row r="115">
          <cell r="A115" t="str">
            <v>500-0480</v>
          </cell>
          <cell r="B115" t="str">
            <v xml:space="preserve">CAT 14 (EN4)                                              </v>
          </cell>
          <cell r="C115" t="str">
            <v>FUEL FILTER</v>
          </cell>
          <cell r="D115">
            <v>47.23</v>
          </cell>
          <cell r="E115">
            <v>32.57</v>
          </cell>
          <cell r="F115">
            <v>23.62</v>
          </cell>
          <cell r="G115" t="str">
            <v>Filter-Oil</v>
          </cell>
          <cell r="H115">
            <v>4</v>
          </cell>
          <cell r="I115">
            <v>2</v>
          </cell>
          <cell r="J115">
            <v>4</v>
          </cell>
          <cell r="K115">
            <v>2</v>
          </cell>
          <cell r="L115">
            <v>12</v>
          </cell>
        </row>
        <row r="116">
          <cell r="A116" t="str">
            <v>500-0483</v>
          </cell>
          <cell r="B116" t="str">
            <v xml:space="preserve">CAT 14 (EN4)                                              </v>
          </cell>
          <cell r="C116" t="str">
            <v>ENGINE OIL FILTER</v>
          </cell>
          <cell r="D116">
            <v>75.31</v>
          </cell>
          <cell r="E116">
            <v>51.94</v>
          </cell>
          <cell r="F116">
            <v>37.659999999999997</v>
          </cell>
          <cell r="G116" t="str">
            <v>Filter-Oil</v>
          </cell>
          <cell r="H116">
            <v>2</v>
          </cell>
          <cell r="I116">
            <v>1</v>
          </cell>
          <cell r="J116">
            <v>2</v>
          </cell>
          <cell r="K116">
            <v>1</v>
          </cell>
          <cell r="L116">
            <v>6</v>
          </cell>
        </row>
        <row r="117">
          <cell r="A117" t="str">
            <v>523-6602</v>
          </cell>
          <cell r="B117" t="str">
            <v xml:space="preserve">CAT 255 CAT 255 (2) CAT 255 (FL7)                                          </v>
          </cell>
          <cell r="C117" t="str">
            <v>FUEL/WATER SEPERATOR</v>
          </cell>
          <cell r="D117">
            <v>77.34</v>
          </cell>
          <cell r="E117">
            <v>53.34</v>
          </cell>
          <cell r="F117">
            <v>38.67</v>
          </cell>
          <cell r="G117" t="str">
            <v>Filter-Oil</v>
          </cell>
          <cell r="H117">
            <v>6</v>
          </cell>
          <cell r="I117">
            <v>3</v>
          </cell>
          <cell r="J117">
            <v>6</v>
          </cell>
          <cell r="K117">
            <v>3</v>
          </cell>
          <cell r="L117">
            <v>18</v>
          </cell>
        </row>
        <row r="118">
          <cell r="A118" t="str">
            <v>569-15-51732</v>
          </cell>
          <cell r="B118" t="str">
            <v xml:space="preserve">KOM WA380-8 (1) KOM WA380-8 (2)                                            </v>
          </cell>
          <cell r="C118" t="str">
            <v>TRANSMISSION FILTER</v>
          </cell>
          <cell r="D118">
            <v>415.83</v>
          </cell>
          <cell r="E118">
            <v>286.77999999999997</v>
          </cell>
          <cell r="F118">
            <v>207.92</v>
          </cell>
          <cell r="G118" t="str">
            <v>Filter-Oil</v>
          </cell>
          <cell r="H118">
            <v>2</v>
          </cell>
          <cell r="I118">
            <v>2</v>
          </cell>
          <cell r="J118">
            <v>2</v>
          </cell>
          <cell r="K118">
            <v>0</v>
          </cell>
          <cell r="L118">
            <v>6</v>
          </cell>
        </row>
        <row r="119">
          <cell r="A119" t="str">
            <v>569-8036</v>
          </cell>
          <cell r="B119" t="str">
            <v xml:space="preserve">CAT 255 CAT 255 (2) CAT 255 (FL7)                                          </v>
          </cell>
          <cell r="C119" t="str">
            <v>ENGINE OIL FILTER</v>
          </cell>
          <cell r="D119">
            <v>54.67</v>
          </cell>
          <cell r="E119">
            <v>37.700000000000003</v>
          </cell>
          <cell r="F119">
            <v>27.34</v>
          </cell>
          <cell r="G119" t="str">
            <v>Filter-Oil</v>
          </cell>
          <cell r="H119">
            <v>6</v>
          </cell>
          <cell r="I119">
            <v>3</v>
          </cell>
          <cell r="J119">
            <v>6</v>
          </cell>
          <cell r="K119">
            <v>3</v>
          </cell>
          <cell r="L119">
            <v>18</v>
          </cell>
        </row>
        <row r="120">
          <cell r="A120" t="str">
            <v>600-211-1341</v>
          </cell>
          <cell r="B120" t="str">
            <v xml:space="preserve">KOM PC490LC-11 (A42) KOM PC490LC-11 (A42) (2) KOM PC490LC-11 (A42) (3) KOM PC490LC-11 (A42) (4) KOM PC490LC-11 (A42) (5) KOM PC490LC-11 (A43) KOM PC490LC-11 (KMT) (1) KOM PC490LC-11 (KMT) (2) KOM PC490LC-11 (KMT) (3) KOM WA475-10 (120)                            </v>
          </cell>
          <cell r="C120" t="str">
            <v>ENGINE OIL FILTER</v>
          </cell>
          <cell r="D120">
            <v>161.84</v>
          </cell>
          <cell r="E120">
            <v>111.61</v>
          </cell>
          <cell r="F120">
            <v>80.92</v>
          </cell>
          <cell r="G120" t="str">
            <v>Filter-Oil</v>
          </cell>
          <cell r="H120">
            <v>20</v>
          </cell>
          <cell r="I120">
            <v>10</v>
          </cell>
          <cell r="J120">
            <v>20</v>
          </cell>
          <cell r="K120">
            <v>10</v>
          </cell>
          <cell r="L120">
            <v>60</v>
          </cell>
        </row>
        <row r="121">
          <cell r="A121" t="str">
            <v>600-211-1341 </v>
          </cell>
          <cell r="B121" t="str">
    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    </cell>
          <cell r="C121" t="str">
            <v>ENGINE OIL FILTER</v>
          </cell>
          <cell r="D121">
            <v>161.84</v>
          </cell>
          <cell r="E121">
            <v>111.61</v>
          </cell>
          <cell r="F121">
            <v>80.92</v>
          </cell>
          <cell r="G121" t="str">
            <v>Filter-Oil</v>
          </cell>
          <cell r="H121">
            <v>28</v>
          </cell>
          <cell r="I121">
            <v>14</v>
          </cell>
          <cell r="J121">
            <v>28</v>
          </cell>
          <cell r="K121">
            <v>14</v>
          </cell>
          <cell r="L121">
            <v>84</v>
          </cell>
        </row>
        <row r="122">
          <cell r="A122" t="str">
            <v>600-211-2111</v>
          </cell>
          <cell r="B122" t="str">
            <v xml:space="preserve">KOM PC138USLC-11 KOM PC238USLC-11 (1)                                            </v>
          </cell>
          <cell r="C122" t="str">
            <v>ENGINE OIL FILTER</v>
          </cell>
          <cell r="D122">
            <v>27.53</v>
          </cell>
          <cell r="E122">
            <v>18.989999999999998</v>
          </cell>
          <cell r="F122">
            <v>13.77</v>
          </cell>
          <cell r="G122" t="str">
            <v>Filter-Oil</v>
          </cell>
          <cell r="H122">
            <v>4</v>
          </cell>
          <cell r="I122">
            <v>2</v>
          </cell>
          <cell r="J122">
            <v>4</v>
          </cell>
          <cell r="K122">
            <v>2</v>
          </cell>
          <cell r="L122">
            <v>12</v>
          </cell>
        </row>
        <row r="123">
          <cell r="A123" t="str">
            <v>600-319-3610</v>
          </cell>
          <cell r="B123" t="str">
            <v xml:space="preserve">KOM D71PX-24 (1) KOM D71PX-24 (2) KOM D71PX-24 (3) KOM D71PX-24 (4) KOM D71PX-24 (5) KOM D71PX-24 (6) KOM D71PX-24 (7) KOM PC238USLC-11 (2) KOM WA380-8 (1) KOM WA380-8 (2) KOM WA320-8 (867) KOM WA320PZ-6 (729) KOM PC360LC-11 (A37) KOM PC360LC-11 (A39) KOM PC360LC-11 (A39) (2) KOM PC290LC-11 (K73) KOM D61PX-24 (B60)              </v>
          </cell>
          <cell r="C123" t="str">
            <v>FUEL FILTER</v>
          </cell>
          <cell r="D123">
            <v>275.9862</v>
          </cell>
          <cell r="E123">
            <v>190.34</v>
          </cell>
          <cell r="F123">
            <v>137.99</v>
          </cell>
          <cell r="G123" t="str">
            <v>Filter-Oil</v>
          </cell>
          <cell r="H123">
            <v>34</v>
          </cell>
          <cell r="I123">
            <v>17</v>
          </cell>
          <cell r="J123">
            <v>34</v>
          </cell>
          <cell r="K123">
            <v>17</v>
          </cell>
          <cell r="L123">
            <v>102</v>
          </cell>
        </row>
        <row r="124">
          <cell r="A124" t="str">
            <v>600-319-3750</v>
          </cell>
          <cell r="B124" t="str">
            <v xml:space="preserve">KOM D71PX-24 (1) KOM D71PX-24 (2) KOM D71PX-24 (3) KOM D71PX-24 (4) KOM D71PX-24 (5) KOM D71PX-24 (6) KOM D71PX-24 (7) KOM PC238USLC-11 (2) KOM WA380-8 (1) KOM WA380-8 (2) KOM WA320-8 (867) KOM WA320PZ-6 (729) KOM PC360LC-11 (A37) KOM PC360LC-11 (A39) KOM PC360LC-11 (A39) (2) KOM PC290LC-11 (K73) KOM D61PX-24 (B60)              </v>
          </cell>
          <cell r="C124" t="str">
            <v>FUEL FILTER</v>
          </cell>
          <cell r="D124">
            <v>61.975799999999992</v>
          </cell>
          <cell r="E124">
            <v>42.74</v>
          </cell>
          <cell r="F124">
            <v>30.99</v>
          </cell>
          <cell r="G124" t="str">
            <v>Filter-Oil</v>
          </cell>
          <cell r="H124">
            <v>29</v>
          </cell>
          <cell r="I124">
            <v>17</v>
          </cell>
          <cell r="J124">
            <v>29</v>
          </cell>
          <cell r="K124">
            <v>12</v>
          </cell>
          <cell r="L124">
            <v>87</v>
          </cell>
        </row>
        <row r="125">
          <cell r="A125" t="str">
            <v>600-319-3841</v>
          </cell>
          <cell r="B125" t="str">
            <v>KOM HM400-5 (1) KOM HM400-5 (2) KOM HM400-5 (3) KOM HM400-5 (4) KOM HM400-5 (5) KOM HM400-5 (6) KOM HM400-5 (7) KOM HM400-5 (8) KOM HM400-5 (9) KOM HM400-5 (10) KOM HM400 (11) KOM HM400 (12) KOM HM400 (13) KOM HM400-5 (14) KOM PC490LC-11 (A42) KOM PC490LC-11 (A42) (2) KOM PC490LC-11 (A42) (3) KOM PC490LC-11 (A42) (4) KOM PC490LC-11 (A42) (5) KOM PC490LC-11 (A43) KOM PC490LC-11 (KMT) (1) KOM PC490LC-11 (KMT) (2) KOM PC490LC-11 (KMT) (3) KOM WA475-10 (120)</v>
          </cell>
          <cell r="C125" t="str">
            <v>FUEL FILTER</v>
          </cell>
          <cell r="D125">
            <v>198.95</v>
          </cell>
          <cell r="E125">
            <v>137.21</v>
          </cell>
          <cell r="F125">
            <v>99.48</v>
          </cell>
          <cell r="G125" t="str">
            <v>Filter-Oil</v>
          </cell>
          <cell r="H125">
            <v>39</v>
          </cell>
          <cell r="I125">
            <v>24</v>
          </cell>
          <cell r="J125">
            <v>39</v>
          </cell>
          <cell r="K125">
            <v>15</v>
          </cell>
          <cell r="L125">
            <v>117</v>
          </cell>
        </row>
        <row r="126">
          <cell r="A126" t="str">
            <v>600-319-3881</v>
          </cell>
          <cell r="B126" t="str">
            <v xml:space="preserve">KOM PC138USLC-11 KOM PC238USLC-11 (1)                                            </v>
          </cell>
          <cell r="C126" t="str">
            <v>FUEL FILTER</v>
          </cell>
          <cell r="D126">
            <v>78.06</v>
          </cell>
          <cell r="E126">
            <v>53.83</v>
          </cell>
          <cell r="F126">
            <v>39.03</v>
          </cell>
          <cell r="G126" t="str">
            <v>Filter-Oil</v>
          </cell>
          <cell r="H126">
            <v>4</v>
          </cell>
          <cell r="I126">
            <v>2</v>
          </cell>
          <cell r="J126">
            <v>4</v>
          </cell>
          <cell r="K126">
            <v>2</v>
          </cell>
          <cell r="L126">
            <v>12</v>
          </cell>
        </row>
        <row r="127">
          <cell r="A127" t="str">
            <v>600-319-4110</v>
          </cell>
          <cell r="B127" t="str">
            <v xml:space="preserve">KOM PC138USLC-11 KOM PC238USLC-11 (1)                                            </v>
          </cell>
          <cell r="C127" t="str">
            <v>FUEL FILTER</v>
          </cell>
          <cell r="D127">
            <v>81.8</v>
          </cell>
          <cell r="E127">
            <v>56.41</v>
          </cell>
          <cell r="F127">
            <v>40.9</v>
          </cell>
          <cell r="G127" t="str">
            <v>Filter-Oil</v>
          </cell>
          <cell r="H127">
            <v>4</v>
          </cell>
          <cell r="I127">
            <v>2</v>
          </cell>
          <cell r="J127">
            <v>4</v>
          </cell>
          <cell r="K127">
            <v>2</v>
          </cell>
          <cell r="L127">
            <v>12</v>
          </cell>
        </row>
        <row r="128">
          <cell r="A128" t="str">
            <v>600-319-4540LP</v>
          </cell>
          <cell r="B128" t="str">
            <v xml:space="preserve">KOM WA475-10 (120)                                              </v>
          </cell>
          <cell r="C128" t="str">
            <v>FUEL FILTER</v>
          </cell>
          <cell r="D128">
            <v>69.17</v>
          </cell>
          <cell r="E128">
            <v>47.7</v>
          </cell>
          <cell r="F128">
            <v>34.590000000000003</v>
          </cell>
          <cell r="G128" t="str">
            <v>Filter-Oil</v>
          </cell>
          <cell r="H128">
            <v>2</v>
          </cell>
          <cell r="I128">
            <v>1</v>
          </cell>
          <cell r="J128">
            <v>2</v>
          </cell>
          <cell r="K128">
            <v>1</v>
          </cell>
          <cell r="L128">
            <v>6</v>
          </cell>
        </row>
        <row r="129">
          <cell r="A129" t="str">
            <v>600-319-4801</v>
          </cell>
          <cell r="B129" t="str">
    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    </cell>
          <cell r="C129" t="str">
            <v>FUEL FILTER</v>
          </cell>
          <cell r="D129">
            <v>233.62</v>
          </cell>
          <cell r="E129">
            <v>161.12</v>
          </cell>
          <cell r="F129">
            <v>116.81</v>
          </cell>
          <cell r="G129" t="str">
            <v>Filter-Oil</v>
          </cell>
          <cell r="H129">
            <v>28</v>
          </cell>
          <cell r="I129">
            <v>14</v>
          </cell>
          <cell r="J129">
            <v>28</v>
          </cell>
          <cell r="K129">
            <v>14</v>
          </cell>
          <cell r="L129">
            <v>84</v>
          </cell>
        </row>
        <row r="130">
          <cell r="A130" t="str">
            <v>6736-51-5142</v>
          </cell>
          <cell r="B130" t="str">
            <v xml:space="preserve">KOM PC238USLC-11 (2) KOM WA380-8 (1) KOM WA380-8 (2) KOM WA320-8 (867) KOM WA320PZ-6 (729) KOM PC290LC-11 (K73) KOM D61PX-24 (B60)                                  </v>
          </cell>
          <cell r="C130" t="str">
            <v>ENGINE OIL FILTER</v>
          </cell>
          <cell r="D130">
            <v>38.229999999999997</v>
          </cell>
          <cell r="E130">
            <v>26.37</v>
          </cell>
          <cell r="F130">
            <v>19.12</v>
          </cell>
          <cell r="G130" t="str">
            <v>Filter-Oil</v>
          </cell>
          <cell r="H130">
            <v>14</v>
          </cell>
          <cell r="I130">
            <v>7</v>
          </cell>
          <cell r="J130">
            <v>14</v>
          </cell>
          <cell r="K130">
            <v>7</v>
          </cell>
          <cell r="L130">
            <v>42</v>
          </cell>
        </row>
        <row r="131">
          <cell r="A131" t="str">
            <v>6742-01-4540</v>
          </cell>
          <cell r="B131" t="str">
            <v xml:space="preserve">KOM D71PX-24 (1) KOM D71PX-24 (2) KOM D71PX-24 (3) KOM D71PX-24 (4) KOM D71PX-24 (5) KOM D71PX-24 (6) KOM D71PX-24 (7) KOM PC360LC-11 (A37) KOM PC360LC-11 (A39) KOM PC360LC-11 (A39) (2)                            </v>
          </cell>
          <cell r="C131" t="str">
            <v>ENGINE OIL FILTER</v>
          </cell>
          <cell r="D131">
            <v>179.262</v>
          </cell>
          <cell r="E131">
            <v>123.63</v>
          </cell>
          <cell r="F131">
            <v>89.63</v>
          </cell>
          <cell r="G131" t="str">
            <v>Filter-Oil</v>
          </cell>
          <cell r="H131">
            <v>20</v>
          </cell>
          <cell r="I131">
            <v>10</v>
          </cell>
          <cell r="J131">
            <v>20</v>
          </cell>
          <cell r="K131">
            <v>10</v>
          </cell>
          <cell r="L131">
            <v>60</v>
          </cell>
        </row>
        <row r="132">
          <cell r="A132" t="str">
            <v>714-07-28713</v>
          </cell>
          <cell r="B132" t="str">
            <v xml:space="preserve">KOM HM400-5 (1) KOM HM400-5 (2) KOM HM400-5 (3) KOM HM400-5 (4) KOM HM400-5 (5) KOM HM400-5 (6) KOM HM400-5 (7) KOM HM400-5 (8) KOM HM400-5 (9) KOM HM400-5 (10) KOM HM400 (11) KOM HM400 (12) KOM HM400 (13) KOM HM400-5 (14) KOM WA475-10 (120)                  </v>
          </cell>
          <cell r="C132" t="str">
            <v>TRANSMISSION FILTER</v>
          </cell>
          <cell r="D132">
            <v>126.77</v>
          </cell>
          <cell r="E132">
            <v>87.43</v>
          </cell>
          <cell r="F132">
            <v>63.39</v>
          </cell>
          <cell r="G132" t="str">
            <v>Filter-Oil</v>
          </cell>
          <cell r="H132">
            <v>15</v>
          </cell>
          <cell r="I132">
            <v>1</v>
          </cell>
          <cell r="J132">
            <v>15</v>
          </cell>
          <cell r="K132">
            <v>0</v>
          </cell>
          <cell r="L132">
            <v>31</v>
          </cell>
        </row>
        <row r="133">
          <cell r="A133" t="str">
            <v>7W-2326</v>
          </cell>
          <cell r="B133" t="str">
            <v xml:space="preserve">CAT TL1055C (KDE)                                              </v>
          </cell>
          <cell r="C133" t="str">
            <v>ENGINE OIL FILTER</v>
          </cell>
          <cell r="D133">
            <v>29.79</v>
          </cell>
          <cell r="E133">
            <v>20.54</v>
          </cell>
          <cell r="F133">
            <v>14.9</v>
          </cell>
          <cell r="G133" t="str">
            <v>Filter-Oil</v>
          </cell>
          <cell r="H133">
            <v>2</v>
          </cell>
          <cell r="I133">
            <v>1</v>
          </cell>
          <cell r="J133">
            <v>2</v>
          </cell>
          <cell r="K133">
            <v>1</v>
          </cell>
          <cell r="L133">
            <v>6</v>
          </cell>
        </row>
        <row r="134">
          <cell r="A134" t="str">
            <v>AT223493</v>
          </cell>
          <cell r="B134" t="str">
            <v xml:space="preserve">JD 624K (DW6)                                              </v>
          </cell>
          <cell r="C134" t="str">
            <v>INLINE FUEL FILTER</v>
          </cell>
          <cell r="D134">
            <v>18.519599999999997</v>
          </cell>
          <cell r="E134">
            <v>12.77</v>
          </cell>
          <cell r="F134">
            <v>9.26</v>
          </cell>
          <cell r="G134" t="str">
            <v>Filter-Oil</v>
          </cell>
          <cell r="H134">
            <v>2</v>
          </cell>
          <cell r="I134">
            <v>1</v>
          </cell>
          <cell r="J134">
            <v>2</v>
          </cell>
          <cell r="K134">
            <v>1</v>
          </cell>
          <cell r="L134">
            <v>6</v>
          </cell>
        </row>
        <row r="135">
          <cell r="A135" t="str">
            <v>AT365869</v>
          </cell>
          <cell r="B135" t="str">
            <v xml:space="preserve">JD 470P (1FF)                                              </v>
          </cell>
          <cell r="C135" t="str">
            <v>FUEL FILTER</v>
          </cell>
          <cell r="D135">
            <v>91.452600000000004</v>
          </cell>
          <cell r="E135">
            <v>63.07</v>
          </cell>
          <cell r="F135">
            <v>45.73</v>
          </cell>
          <cell r="G135" t="str">
            <v>Filter-Oil</v>
          </cell>
          <cell r="H135">
            <v>2</v>
          </cell>
          <cell r="I135">
            <v>1</v>
          </cell>
          <cell r="J135">
            <v>2</v>
          </cell>
          <cell r="K135">
            <v>1</v>
          </cell>
          <cell r="L135">
            <v>6</v>
          </cell>
        </row>
        <row r="136">
          <cell r="A136" t="str">
            <v>AT365870</v>
          </cell>
          <cell r="B136" t="str">
            <v xml:space="preserve">JD 624K (DW6)                                              </v>
          </cell>
          <cell r="C136" t="str">
            <v>FUEL/WATER SEPERATOR</v>
          </cell>
          <cell r="D136">
            <v>72.049799999999991</v>
          </cell>
          <cell r="E136">
            <v>49.69</v>
          </cell>
          <cell r="F136">
            <v>36.020000000000003</v>
          </cell>
          <cell r="G136" t="str">
            <v>Filter-Oil</v>
          </cell>
          <cell r="H136">
            <v>2</v>
          </cell>
          <cell r="I136">
            <v>1</v>
          </cell>
          <cell r="J136">
            <v>2</v>
          </cell>
          <cell r="K136">
            <v>1</v>
          </cell>
          <cell r="L136">
            <v>6</v>
          </cell>
        </row>
        <row r="137">
          <cell r="A137" t="str">
            <v>AT367635</v>
          </cell>
          <cell r="B137" t="str">
            <v xml:space="preserve">JD 624K (DW6)                                              </v>
          </cell>
          <cell r="C137" t="str">
            <v>AXLE OIL FILTERS</v>
          </cell>
          <cell r="D137">
            <v>176.19839999999999</v>
          </cell>
          <cell r="E137">
            <v>121.52</v>
          </cell>
          <cell r="F137">
            <v>88.1</v>
          </cell>
          <cell r="G137" t="str">
            <v>Filter-Oil</v>
          </cell>
          <cell r="H137">
            <v>2</v>
          </cell>
          <cell r="I137">
            <v>2</v>
          </cell>
          <cell r="J137">
            <v>2</v>
          </cell>
          <cell r="K137">
            <v>0</v>
          </cell>
          <cell r="L137">
            <v>6</v>
          </cell>
        </row>
        <row r="138">
          <cell r="A138" t="str">
            <v>AT468647</v>
          </cell>
          <cell r="B138" t="str">
            <v xml:space="preserve">JD 624K (DW6)                                              </v>
          </cell>
          <cell r="C138" t="str">
            <v>TRANSMISSION OIL FILTER</v>
          </cell>
          <cell r="D138">
            <v>91.866599999999977</v>
          </cell>
          <cell r="E138">
            <v>63.36</v>
          </cell>
          <cell r="F138">
            <v>45.93</v>
          </cell>
          <cell r="G138" t="str">
            <v>Filter-Oil</v>
          </cell>
          <cell r="H138">
            <v>1</v>
          </cell>
          <cell r="I138">
            <v>0</v>
          </cell>
          <cell r="J138">
            <v>1</v>
          </cell>
          <cell r="K138">
            <v>0</v>
          </cell>
          <cell r="L138">
            <v>2</v>
          </cell>
        </row>
        <row r="139">
          <cell r="A139" t="str">
            <v>DZ112918</v>
          </cell>
          <cell r="B139" t="str">
            <v xml:space="preserve">JD 470P (1FF)                                              </v>
          </cell>
          <cell r="C139" t="str">
            <v>FINAL FUEL FILTER</v>
          </cell>
          <cell r="D139">
            <v>201.06599999999997</v>
          </cell>
          <cell r="E139">
            <v>138.66999999999999</v>
          </cell>
          <cell r="F139">
            <v>100.53</v>
          </cell>
          <cell r="G139" t="str">
            <v>Filter-Oil</v>
          </cell>
          <cell r="H139">
            <v>2</v>
          </cell>
          <cell r="I139">
            <v>1</v>
          </cell>
          <cell r="J139">
            <v>2</v>
          </cell>
          <cell r="K139">
            <v>1</v>
          </cell>
          <cell r="L139">
            <v>6</v>
          </cell>
        </row>
        <row r="140">
          <cell r="A140" t="str">
            <v>DZ130550</v>
          </cell>
          <cell r="B140" t="str">
            <v xml:space="preserve">JD 470P (1FF)                                              </v>
          </cell>
          <cell r="C140" t="str">
            <v>PRIMARY FUEL FILTER</v>
          </cell>
          <cell r="D140">
            <v>197.90579999999997</v>
          </cell>
          <cell r="E140">
            <v>136.49</v>
          </cell>
          <cell r="F140">
            <v>98.95</v>
          </cell>
          <cell r="G140" t="str">
            <v>Filter-Oil</v>
          </cell>
          <cell r="H140">
            <v>2</v>
          </cell>
          <cell r="I140">
            <v>1</v>
          </cell>
          <cell r="J140">
            <v>2</v>
          </cell>
          <cell r="K140">
            <v>1</v>
          </cell>
          <cell r="L140">
            <v>6</v>
          </cell>
        </row>
        <row r="141">
          <cell r="A141" t="str">
            <v>MIU800650</v>
          </cell>
          <cell r="B141" t="str">
            <v xml:space="preserve">JD 333G (1T0)                                              </v>
          </cell>
          <cell r="C141" t="str">
            <v>ENGINE OIL FILTER</v>
          </cell>
          <cell r="D141">
            <v>27.669</v>
          </cell>
          <cell r="E141">
            <v>19.079999999999998</v>
          </cell>
          <cell r="F141">
            <v>13.83</v>
          </cell>
          <cell r="G141" t="str">
            <v>Filter-Oil</v>
          </cell>
          <cell r="H141">
            <v>2</v>
          </cell>
          <cell r="I141">
            <v>1</v>
          </cell>
          <cell r="J141">
            <v>2</v>
          </cell>
          <cell r="K141">
            <v>1</v>
          </cell>
          <cell r="L141">
            <v>6</v>
          </cell>
        </row>
        <row r="142">
          <cell r="A142" t="str">
            <v>MIU802421</v>
          </cell>
          <cell r="B142" t="str">
            <v xml:space="preserve">JD 333G (1T0)                                              </v>
          </cell>
          <cell r="C142" t="str">
            <v>PRIMARY FUEL FILTER</v>
          </cell>
          <cell r="D142">
            <v>51.722399999999993</v>
          </cell>
          <cell r="E142">
            <v>35.67</v>
          </cell>
          <cell r="F142">
            <v>25.86</v>
          </cell>
          <cell r="G142" t="str">
            <v>Filter-Oil</v>
          </cell>
          <cell r="H142">
            <v>2</v>
          </cell>
          <cell r="I142">
            <v>1</v>
          </cell>
          <cell r="J142">
            <v>2</v>
          </cell>
          <cell r="K142">
            <v>1</v>
          </cell>
          <cell r="L142">
            <v>6</v>
          </cell>
        </row>
        <row r="143">
          <cell r="A143" t="str">
            <v>MIU805005</v>
          </cell>
          <cell r="B143" t="str">
            <v xml:space="preserve">JD 333G (1T0)                                              </v>
          </cell>
          <cell r="C143" t="str">
            <v>FINAL FUEL FILTER</v>
          </cell>
          <cell r="D143">
            <v>91.010999999999996</v>
          </cell>
          <cell r="E143">
            <v>62.77</v>
          </cell>
          <cell r="F143">
            <v>45.51</v>
          </cell>
          <cell r="G143" t="str">
            <v>Filter-Oil</v>
          </cell>
          <cell r="H143">
            <v>2</v>
          </cell>
          <cell r="I143">
            <v>1</v>
          </cell>
          <cell r="J143">
            <v>2</v>
          </cell>
          <cell r="K143">
            <v>1</v>
          </cell>
          <cell r="L143">
            <v>6</v>
          </cell>
        </row>
        <row r="144">
          <cell r="A144" t="str">
            <v>RE504836</v>
          </cell>
          <cell r="B144" t="str">
            <v xml:space="preserve">JD 624K (DW6) JD 764 (100)                                            </v>
          </cell>
          <cell r="C144" t="str">
            <v>ENGINE OIL FILTER</v>
          </cell>
          <cell r="D144">
            <v>33.368399999999994</v>
          </cell>
          <cell r="E144">
            <v>23.01</v>
          </cell>
          <cell r="F144">
            <v>16.68</v>
          </cell>
          <cell r="G144" t="str">
            <v>Filter-Oil</v>
          </cell>
          <cell r="H144">
            <v>4</v>
          </cell>
          <cell r="I144">
            <v>2</v>
          </cell>
          <cell r="J144">
            <v>4</v>
          </cell>
          <cell r="K144">
            <v>2</v>
          </cell>
          <cell r="L144">
            <v>12</v>
          </cell>
        </row>
        <row r="145">
          <cell r="A145" t="str">
            <v>RE522878</v>
          </cell>
          <cell r="B145" t="str">
            <v xml:space="preserve">JD 624K (DW6) JD 764 (100)                                            </v>
          </cell>
          <cell r="C145" t="str">
            <v>FINAL FUEL FILTER</v>
          </cell>
          <cell r="D145">
            <v>57.490799999999993</v>
          </cell>
          <cell r="E145">
            <v>39.65</v>
          </cell>
          <cell r="F145">
            <v>28.75</v>
          </cell>
          <cell r="G145" t="str">
            <v>Filter-Oil</v>
          </cell>
          <cell r="H145">
            <v>4</v>
          </cell>
          <cell r="I145">
            <v>2</v>
          </cell>
          <cell r="J145">
            <v>4</v>
          </cell>
          <cell r="K145">
            <v>2</v>
          </cell>
          <cell r="L145">
            <v>12</v>
          </cell>
        </row>
        <row r="146">
          <cell r="A146" t="str">
            <v>RE541922</v>
          </cell>
          <cell r="B146" t="str">
            <v xml:space="preserve">JD 624K (DW6) JD 764 (100)                                            </v>
          </cell>
          <cell r="C146" t="str">
            <v>PRIMARY FUEL FILTER</v>
          </cell>
          <cell r="D146">
            <v>57.463199999999993</v>
          </cell>
          <cell r="E146">
            <v>39.630000000000003</v>
          </cell>
          <cell r="F146">
            <v>28.73</v>
          </cell>
          <cell r="G146" t="str">
            <v>Filter-Oil</v>
          </cell>
          <cell r="H146">
            <v>4</v>
          </cell>
          <cell r="I146">
            <v>2</v>
          </cell>
          <cell r="J146">
            <v>4</v>
          </cell>
          <cell r="K146">
            <v>2</v>
          </cell>
          <cell r="L146">
            <v>12</v>
          </cell>
        </row>
        <row r="147">
          <cell r="A147" t="str">
            <v>RE572785</v>
          </cell>
          <cell r="B147" t="str">
            <v xml:space="preserve">JD 470P (1FF)                                              </v>
          </cell>
          <cell r="C147" t="str">
            <v>ENGINE OIL FILTER</v>
          </cell>
          <cell r="D147">
            <v>122.91659999999996</v>
          </cell>
          <cell r="E147">
            <v>84.77</v>
          </cell>
          <cell r="F147">
            <v>61.46</v>
          </cell>
          <cell r="G147" t="str">
            <v>Filter-Oil</v>
          </cell>
          <cell r="H147">
            <v>2</v>
          </cell>
          <cell r="I147">
            <v>1</v>
          </cell>
          <cell r="J147">
            <v>2</v>
          </cell>
          <cell r="K147">
            <v>1</v>
          </cell>
          <cell r="L147">
            <v>6</v>
          </cell>
        </row>
        <row r="148">
          <cell r="A148" t="str">
            <v>01643-22460</v>
          </cell>
          <cell r="B148" t="str">
            <v xml:space="preserve">KOM WA320-8 (867) KOM WA320PZ-6 (729)                                            </v>
          </cell>
          <cell r="C148" t="str">
            <v>WASHER CUTTING EDGE</v>
          </cell>
          <cell r="D148">
            <v>8.27</v>
          </cell>
          <cell r="E148">
            <v>5.7</v>
          </cell>
          <cell r="F148">
            <v>4.55</v>
          </cell>
          <cell r="G148" t="str">
            <v>GET</v>
          </cell>
          <cell r="H148">
            <v>16</v>
          </cell>
          <cell r="I148">
            <v>0</v>
          </cell>
          <cell r="J148">
            <v>16</v>
          </cell>
          <cell r="K148">
            <v>0</v>
          </cell>
          <cell r="L148">
            <v>32</v>
          </cell>
        </row>
        <row r="149">
          <cell r="A149" t="str">
            <v>01643-32260</v>
          </cell>
          <cell r="B149" t="str">
            <v xml:space="preserve">KOM WA380-8 (1) KOM WA380-8 (2) KOM WA475-10 (120)                                          </v>
          </cell>
          <cell r="C149" t="str">
            <v>WASHER CUTTING EDGE</v>
          </cell>
          <cell r="D149">
            <v>5.84</v>
          </cell>
          <cell r="E149">
            <v>4.03</v>
          </cell>
          <cell r="F149">
            <v>3.21</v>
          </cell>
          <cell r="G149" t="str">
            <v>GET</v>
          </cell>
          <cell r="H149">
            <v>46</v>
          </cell>
          <cell r="I149">
            <v>0</v>
          </cell>
          <cell r="J149">
            <v>46</v>
          </cell>
          <cell r="K149">
            <v>0</v>
          </cell>
          <cell r="L149">
            <v>92</v>
          </cell>
        </row>
        <row r="150">
          <cell r="A150" t="str">
            <v>02090-11265</v>
          </cell>
          <cell r="B150" t="str">
            <v xml:space="preserve">KOM D61PX-24 (B60)                                              </v>
          </cell>
          <cell r="C150" t="str">
            <v>BOLT CUTTING EDGE</v>
          </cell>
          <cell r="D150">
            <v>4.37</v>
          </cell>
          <cell r="E150">
            <v>3.01</v>
          </cell>
          <cell r="F150">
            <v>2.4</v>
          </cell>
          <cell r="G150" t="str">
            <v>GET</v>
          </cell>
          <cell r="H150">
            <v>52</v>
          </cell>
          <cell r="I150">
            <v>26</v>
          </cell>
          <cell r="J150">
            <v>26</v>
          </cell>
          <cell r="K150">
            <v>26</v>
          </cell>
          <cell r="L150">
            <v>130</v>
          </cell>
        </row>
        <row r="151">
          <cell r="A151" t="str">
            <v>02090-11270</v>
          </cell>
          <cell r="B151" t="str">
            <v xml:space="preserve">KOM D71PX-24 (1) KOM D71PX-24 (2) KOM D71PX-24 (3) KOM D71PX-24 (4) KOM D71PX-24 (5) KOM D71PX-24 (6) KOM D71PX-24 (7)                                  </v>
          </cell>
          <cell r="C151" t="str">
            <v>BOLT BIT END</v>
          </cell>
          <cell r="D151">
            <v>1.87</v>
          </cell>
          <cell r="E151">
            <v>1.29</v>
          </cell>
          <cell r="F151">
            <v>1.03</v>
          </cell>
          <cell r="G151" t="str">
            <v>GET</v>
          </cell>
          <cell r="H151">
            <v>462</v>
          </cell>
          <cell r="I151">
            <v>231</v>
          </cell>
          <cell r="J151">
            <v>231</v>
          </cell>
          <cell r="K151">
            <v>231</v>
          </cell>
          <cell r="L151">
            <v>1155</v>
          </cell>
        </row>
        <row r="152">
          <cell r="A152" t="str">
            <v>02090-11485</v>
          </cell>
          <cell r="B152" t="str">
            <v xml:space="preserve">KOM WA380-8 (1) KOM WA380-8 (2) KOM WA475-10 (120)                                          </v>
          </cell>
          <cell r="C152" t="str">
            <v>BOLT CUTTING EDGE</v>
          </cell>
          <cell r="D152">
            <v>6.1</v>
          </cell>
          <cell r="E152">
            <v>4.21</v>
          </cell>
          <cell r="F152">
            <v>3.36</v>
          </cell>
          <cell r="G152" t="str">
            <v>GET</v>
          </cell>
          <cell r="H152">
            <v>46</v>
          </cell>
          <cell r="I152">
            <v>0</v>
          </cell>
          <cell r="J152">
            <v>46</v>
          </cell>
          <cell r="K152">
            <v>0</v>
          </cell>
          <cell r="L152">
            <v>92</v>
          </cell>
        </row>
        <row r="153">
          <cell r="A153" t="str">
            <v>02090-11685</v>
          </cell>
          <cell r="B153" t="str">
            <v xml:space="preserve">KOM WA320-8 (867) KOM WA320PZ-6 (729)                                            </v>
          </cell>
          <cell r="C153" t="str">
            <v>BOLT CUTTING EDGE</v>
          </cell>
          <cell r="D153">
            <v>8.81</v>
          </cell>
          <cell r="E153">
            <v>6.08</v>
          </cell>
          <cell r="F153">
            <v>4.8499999999999996</v>
          </cell>
          <cell r="G153" t="str">
            <v>GET</v>
          </cell>
          <cell r="H153">
            <v>16</v>
          </cell>
          <cell r="I153">
            <v>0</v>
          </cell>
          <cell r="J153">
            <v>16</v>
          </cell>
          <cell r="K153">
            <v>0</v>
          </cell>
          <cell r="L153">
            <v>32</v>
          </cell>
        </row>
        <row r="154">
          <cell r="A154" t="str">
            <v>02290-11219</v>
          </cell>
          <cell r="B154" t="str">
            <v xml:space="preserve">KOM D71PX-24 (1) KOM D71PX-24 (2) KOM D71PX-24 (3) KOM D71PX-24 (4) KOM D71PX-24 (5) KOM D71PX-24 (6) KOM D71PX-24 (7)                                  </v>
          </cell>
          <cell r="C154" t="str">
            <v>NUT CUTTING EDGE/BIT END</v>
          </cell>
          <cell r="D154">
            <v>0.56999999999999995</v>
          </cell>
          <cell r="E154">
            <v>0.39</v>
          </cell>
          <cell r="F154">
            <v>0.31</v>
          </cell>
          <cell r="G154" t="str">
            <v>GET</v>
          </cell>
          <cell r="H154">
            <v>462</v>
          </cell>
          <cell r="I154">
            <v>231</v>
          </cell>
          <cell r="J154">
            <v>231</v>
          </cell>
          <cell r="K154">
            <v>231</v>
          </cell>
          <cell r="L154">
            <v>1155</v>
          </cell>
        </row>
        <row r="155">
          <cell r="A155" t="str">
            <v>09244-02508</v>
          </cell>
          <cell r="B155" t="str">
            <v xml:space="preserve">KOM D71PX-24 (1) KOM D71PX-24 (2) KOM D71PX-24 (3) KOM D71PX-24 (4) KOM D71PX-24 (5) KOM D71PX-24 (6) KOM D71PX-24 (7)                                  </v>
          </cell>
          <cell r="C155" t="str">
            <v>TOOTH PIN</v>
          </cell>
          <cell r="D155">
            <v>32.15</v>
          </cell>
          <cell r="E155">
            <v>22.17</v>
          </cell>
          <cell r="F155">
            <v>17.68</v>
          </cell>
          <cell r="G155" t="str">
            <v>GET</v>
          </cell>
          <cell r="H155">
            <v>42</v>
          </cell>
          <cell r="I155">
            <v>21</v>
          </cell>
          <cell r="J155">
            <v>21</v>
          </cell>
          <cell r="K155">
            <v>21</v>
          </cell>
          <cell r="L155">
            <v>105</v>
          </cell>
        </row>
        <row r="156">
          <cell r="A156" t="str">
            <v>10H1047</v>
          </cell>
          <cell r="B156" t="str">
            <v xml:space="preserve">JD 333G (1T0)                                              </v>
          </cell>
          <cell r="C156" t="str">
            <v>BOLT CUTTING EDGE</v>
          </cell>
          <cell r="D156">
            <v>6.8585999999999991</v>
          </cell>
          <cell r="E156">
            <v>4.7300000000000004</v>
          </cell>
          <cell r="F156">
            <v>3.77</v>
          </cell>
          <cell r="G156" t="str">
            <v>GET</v>
          </cell>
          <cell r="H156">
            <v>7</v>
          </cell>
          <cell r="I156">
            <v>0</v>
          </cell>
          <cell r="J156">
            <v>7</v>
          </cell>
          <cell r="K156">
            <v>0</v>
          </cell>
          <cell r="L156">
            <v>14</v>
          </cell>
        </row>
        <row r="157">
          <cell r="A157" t="str">
            <v>135-9394</v>
          </cell>
          <cell r="B157" t="str">
            <v xml:space="preserve">CAT 255 CAT 255 (2) CAT 255 (FL7)                                          </v>
          </cell>
          <cell r="C157" t="str">
            <v>CUTTING EDGE</v>
          </cell>
          <cell r="D157">
            <v>308.64</v>
          </cell>
          <cell r="E157">
            <v>212.86</v>
          </cell>
          <cell r="F157">
            <v>169.75</v>
          </cell>
          <cell r="G157" t="str">
            <v>GET</v>
          </cell>
          <cell r="H157">
            <v>3</v>
          </cell>
          <cell r="I157">
            <v>0</v>
          </cell>
          <cell r="J157">
            <v>3</v>
          </cell>
          <cell r="K157">
            <v>0</v>
          </cell>
          <cell r="L157">
            <v>6</v>
          </cell>
        </row>
        <row r="158">
          <cell r="A158" t="str">
            <v>13G-72-61410</v>
          </cell>
          <cell r="B158" t="str">
            <v xml:space="preserve">KOM D61PX-24 (B60)                                              </v>
          </cell>
          <cell r="C158" t="str">
            <v>CUTTING EDGE</v>
          </cell>
          <cell r="D158">
            <v>344.77</v>
          </cell>
          <cell r="E158">
            <v>237.77</v>
          </cell>
          <cell r="F158">
            <v>189.62</v>
          </cell>
          <cell r="G158" t="str">
            <v>GET</v>
          </cell>
          <cell r="H158">
            <v>2</v>
          </cell>
          <cell r="I158">
            <v>1</v>
          </cell>
          <cell r="J158">
            <v>1</v>
          </cell>
          <cell r="K158">
            <v>1</v>
          </cell>
          <cell r="L158">
            <v>5</v>
          </cell>
        </row>
        <row r="159">
          <cell r="A159" t="str">
            <v>13G-72-61420</v>
          </cell>
          <cell r="B159" t="str">
            <v xml:space="preserve">KOM D71PX-24 (1) KOM D71PX-24 (2) KOM D71PX-24 (3) KOM D71PX-24 (4) KOM D71PX-24 (5) KOM D71PX-24 (6) KOM D71PX-24 (7)                                  </v>
          </cell>
          <cell r="C159" t="str">
            <v>CUTTING EDGE</v>
          </cell>
          <cell r="D159">
            <v>234.92</v>
          </cell>
          <cell r="E159">
            <v>162.01</v>
          </cell>
          <cell r="F159">
            <v>129.21</v>
          </cell>
          <cell r="G159" t="str">
            <v>GET</v>
          </cell>
          <cell r="H159">
            <v>28</v>
          </cell>
          <cell r="I159">
            <v>14</v>
          </cell>
          <cell r="J159">
            <v>14</v>
          </cell>
          <cell r="K159">
            <v>14</v>
          </cell>
          <cell r="L159">
            <v>70</v>
          </cell>
        </row>
        <row r="160">
          <cell r="A160" t="str">
            <v>13G-72-63250</v>
          </cell>
          <cell r="B160" t="str">
            <v xml:space="preserve">KOM D61PX-24 (B60)                                              </v>
          </cell>
          <cell r="C160" t="str">
            <v>CUTTING EDGE</v>
          </cell>
          <cell r="D160">
            <v>270.64</v>
          </cell>
          <cell r="E160">
            <v>186.65</v>
          </cell>
          <cell r="F160">
            <v>148.85</v>
          </cell>
          <cell r="G160" t="str">
            <v>GET</v>
          </cell>
          <cell r="H160">
            <v>4</v>
          </cell>
          <cell r="I160">
            <v>2</v>
          </cell>
          <cell r="J160">
            <v>2</v>
          </cell>
          <cell r="K160">
            <v>2</v>
          </cell>
          <cell r="L160">
            <v>10</v>
          </cell>
        </row>
        <row r="161">
          <cell r="A161" t="str">
            <v>141-78-11253</v>
          </cell>
          <cell r="B161" t="str">
            <v xml:space="preserve">KOM D71PX-24 (1) KOM D71PX-24 (2) KOM D71PX-24 (3) KOM D71PX-24 (4) KOM D71PX-24 (5) KOM D71PX-24 (6) KOM D71PX-24 (7)                                  </v>
          </cell>
          <cell r="C161" t="str">
            <v>TOOTH RIPPER</v>
          </cell>
          <cell r="D161">
            <v>129.46</v>
          </cell>
          <cell r="E161">
            <v>89.28</v>
          </cell>
          <cell r="F161">
            <v>71.2</v>
          </cell>
          <cell r="G161" t="str">
            <v>GET</v>
          </cell>
          <cell r="H161">
            <v>42</v>
          </cell>
          <cell r="I161">
            <v>42</v>
          </cell>
          <cell r="J161">
            <v>42</v>
          </cell>
          <cell r="K161">
            <v>42</v>
          </cell>
          <cell r="L161">
            <v>168</v>
          </cell>
        </row>
        <row r="162">
          <cell r="A162" t="str">
            <v>144-78-11245</v>
          </cell>
          <cell r="B162" t="str">
            <v xml:space="preserve">KOM D71PX-24 (1) KOM D71PX-24 (2) KOM D71PX-24 (3) KOM D71PX-24 (4) KOM D71PX-24 (5) KOM D71PX-24 (6) KOM D71PX-24 (7)                                  </v>
          </cell>
          <cell r="C162" t="str">
            <v>RIPPER SHANK</v>
          </cell>
          <cell r="D162">
            <v>2046.93</v>
          </cell>
          <cell r="E162">
            <v>1411.68</v>
          </cell>
          <cell r="F162">
            <v>1125.81</v>
          </cell>
          <cell r="G162" t="str">
            <v>GET</v>
          </cell>
          <cell r="H162">
            <v>21</v>
          </cell>
          <cell r="I162">
            <v>0</v>
          </cell>
          <cell r="J162">
            <v>0</v>
          </cell>
          <cell r="K162">
            <v>0</v>
          </cell>
          <cell r="L162">
            <v>21</v>
          </cell>
        </row>
        <row r="163">
          <cell r="A163" t="str">
            <v>14H1058</v>
          </cell>
          <cell r="B163" t="str">
            <v xml:space="preserve">JD 624K (DW6) JD 764 (100)                                            </v>
          </cell>
          <cell r="C163" t="str">
            <v>NUT CUTTING EDGE</v>
          </cell>
          <cell r="D163">
            <v>4.4849999999999994</v>
          </cell>
          <cell r="E163">
            <v>3.09</v>
          </cell>
          <cell r="F163">
            <v>2.4700000000000002</v>
          </cell>
          <cell r="G163" t="str">
            <v>GET</v>
          </cell>
          <cell r="H163">
            <v>54</v>
          </cell>
          <cell r="I163">
            <v>21</v>
          </cell>
          <cell r="J163">
            <v>33</v>
          </cell>
          <cell r="K163">
            <v>21</v>
          </cell>
          <cell r="L163">
            <v>129</v>
          </cell>
        </row>
        <row r="164">
          <cell r="A164" t="str">
            <v>14H794</v>
          </cell>
          <cell r="B164" t="str">
            <v xml:space="preserve">JD 333G (1T0)                                              </v>
          </cell>
          <cell r="C164" t="str">
            <v>NUT CUTTING EDGE</v>
          </cell>
          <cell r="D164">
            <v>4.0434000000000001</v>
          </cell>
          <cell r="E164">
            <v>2.79</v>
          </cell>
          <cell r="F164">
            <v>2.2200000000000002</v>
          </cell>
          <cell r="G164" t="str">
            <v>GET</v>
          </cell>
          <cell r="H164">
            <v>7</v>
          </cell>
          <cell r="I164">
            <v>0</v>
          </cell>
          <cell r="J164">
            <v>7</v>
          </cell>
          <cell r="K164">
            <v>0</v>
          </cell>
          <cell r="L164">
            <v>14</v>
          </cell>
        </row>
        <row r="165">
          <cell r="A165" t="str">
            <v>14X-72-51610</v>
          </cell>
          <cell r="B165" t="str">
            <v xml:space="preserve">KOM D71PX-24 (1) KOM D71PX-24 (2) KOM D71PX-24 (3) KOM D71PX-24 (4) KOM D71PX-24 (5) KOM D71PX-24 (6) KOM D71PX-24 (7)                                  </v>
          </cell>
          <cell r="C165" t="str">
            <v>CUTTING EDGE</v>
          </cell>
          <cell r="D165">
            <v>325.91000000000003</v>
          </cell>
          <cell r="E165">
            <v>224.77</v>
          </cell>
          <cell r="F165">
            <v>179.25</v>
          </cell>
          <cell r="G165" t="str">
            <v>GET</v>
          </cell>
          <cell r="H165">
            <v>14</v>
          </cell>
          <cell r="I165">
            <v>7</v>
          </cell>
          <cell r="J165">
            <v>7</v>
          </cell>
          <cell r="K165">
            <v>7</v>
          </cell>
          <cell r="L165">
            <v>35</v>
          </cell>
        </row>
        <row r="166">
          <cell r="A166" t="str">
            <v>14Y-71-11330</v>
          </cell>
          <cell r="B166" t="str">
            <v xml:space="preserve">KOM D71PX-24 (1) KOM D71PX-24 (2) KOM D71PX-24 (3) KOM D71PX-24 (4) KOM D71PX-24 (5) KOM D71PX-24 (6) KOM D71PX-24 (7)                                  </v>
          </cell>
          <cell r="C166" t="str">
            <v>BIT END LH</v>
          </cell>
          <cell r="D166">
            <v>185.79</v>
          </cell>
          <cell r="E166">
            <v>128.13</v>
          </cell>
          <cell r="F166">
            <v>102.18</v>
          </cell>
          <cell r="G166" t="str">
            <v>GET</v>
          </cell>
          <cell r="H166">
            <v>14</v>
          </cell>
          <cell r="I166">
            <v>7</v>
          </cell>
          <cell r="J166">
            <v>7</v>
          </cell>
          <cell r="K166">
            <v>7</v>
          </cell>
          <cell r="L166">
            <v>35</v>
          </cell>
        </row>
        <row r="167">
          <cell r="A167" t="str">
            <v>14Y-71-11340</v>
          </cell>
          <cell r="B167" t="str">
            <v xml:space="preserve">KOM D71PX-24 (1) KOM D71PX-24 (2) KOM D71PX-24 (3) KOM D71PX-24 (4) KOM D71PX-24 (5) KOM D71PX-24 (6) KOM D71PX-24 (7)                                  </v>
          </cell>
          <cell r="C167" t="str">
            <v>BIT END RH</v>
          </cell>
          <cell r="D167">
            <v>196.94</v>
          </cell>
          <cell r="E167">
            <v>135.82</v>
          </cell>
          <cell r="F167">
            <v>108.32</v>
          </cell>
          <cell r="G167" t="str">
            <v>GET</v>
          </cell>
          <cell r="H167">
            <v>14</v>
          </cell>
          <cell r="I167">
            <v>7</v>
          </cell>
          <cell r="J167">
            <v>7</v>
          </cell>
          <cell r="K167">
            <v>7</v>
          </cell>
          <cell r="L167">
            <v>35</v>
          </cell>
        </row>
        <row r="168">
          <cell r="A168" t="str">
            <v>159-2953</v>
          </cell>
          <cell r="B168" t="str">
            <v xml:space="preserve">CAT 255 CAT 255 (2) CAT 255 (FL7)                                          </v>
          </cell>
          <cell r="C168" t="str">
            <v>BOLT CUTTING EDGE</v>
          </cell>
          <cell r="D168">
            <v>4.6500000000000004</v>
          </cell>
          <cell r="E168">
            <v>3.21</v>
          </cell>
          <cell r="F168">
            <v>2.56</v>
          </cell>
          <cell r="G168" t="str">
            <v>GET</v>
          </cell>
          <cell r="H168">
            <v>24</v>
          </cell>
          <cell r="I168">
            <v>0</v>
          </cell>
          <cell r="J168">
            <v>24</v>
          </cell>
          <cell r="K168">
            <v>0</v>
          </cell>
          <cell r="L168">
            <v>48</v>
          </cell>
        </row>
        <row r="169">
          <cell r="A169" t="str">
            <v>2J-3506</v>
          </cell>
          <cell r="B169" t="str">
            <v xml:space="preserve">CAT 14 (EN4)                                              </v>
          </cell>
          <cell r="C169" t="str">
            <v>NUTS CUTTING EDGE/BIT END</v>
          </cell>
          <cell r="D169">
            <v>3.53</v>
          </cell>
          <cell r="E169">
            <v>2.4300000000000002</v>
          </cell>
          <cell r="F169">
            <v>1.94</v>
          </cell>
          <cell r="G169" t="str">
            <v>GET</v>
          </cell>
          <cell r="H169">
            <v>176</v>
          </cell>
          <cell r="I169">
            <v>176</v>
          </cell>
          <cell r="J169">
            <v>132</v>
          </cell>
          <cell r="K169">
            <v>176</v>
          </cell>
          <cell r="L169">
            <v>660</v>
          </cell>
        </row>
        <row r="170">
          <cell r="A170" t="str">
            <v>2J-3507</v>
          </cell>
          <cell r="B170" t="str">
            <v xml:space="preserve">CAT 329EL (ZCD)                                              </v>
          </cell>
          <cell r="C170" t="str">
            <v>NUT CUTTING EDGE</v>
          </cell>
          <cell r="D170">
            <v>7.97</v>
          </cell>
          <cell r="E170">
            <v>5.5</v>
          </cell>
          <cell r="F170">
            <v>4.38</v>
          </cell>
          <cell r="G170" t="str">
            <v>GET</v>
          </cell>
          <cell r="H170">
            <v>16</v>
          </cell>
          <cell r="I170">
            <v>8</v>
          </cell>
          <cell r="J170">
            <v>16</v>
          </cell>
          <cell r="K170">
            <v>8</v>
          </cell>
          <cell r="L170">
            <v>48</v>
          </cell>
        </row>
        <row r="171">
          <cell r="A171" t="str">
            <v>419-815-A110</v>
          </cell>
          <cell r="B171" t="str">
            <v xml:space="preserve">KOM WA320-8 (867) KOM WA320PZ-6 (729)                                            </v>
          </cell>
          <cell r="C171" t="str">
            <v>CUTTING EDGE</v>
          </cell>
          <cell r="D171">
            <v>1105.51</v>
          </cell>
          <cell r="E171">
            <v>762.42</v>
          </cell>
          <cell r="F171">
            <v>608.03</v>
          </cell>
          <cell r="G171" t="str">
            <v>GET</v>
          </cell>
          <cell r="H171">
            <v>2</v>
          </cell>
          <cell r="I171">
            <v>0</v>
          </cell>
          <cell r="J171">
            <v>2</v>
          </cell>
          <cell r="K171">
            <v>0</v>
          </cell>
          <cell r="L171">
            <v>4</v>
          </cell>
        </row>
        <row r="172">
          <cell r="A172" t="str">
            <v>419-815-A120</v>
          </cell>
          <cell r="B172" t="str">
            <v xml:space="preserve">KOM WA320-8 (867) KOM WA320PZ-6 (729)                                            </v>
          </cell>
          <cell r="C172" t="str">
            <v>CUTTING EDGE</v>
          </cell>
          <cell r="D172">
            <v>414.98</v>
          </cell>
          <cell r="E172">
            <v>286.19</v>
          </cell>
          <cell r="F172">
            <v>228.24</v>
          </cell>
          <cell r="G172" t="str">
            <v>GET</v>
          </cell>
          <cell r="H172">
            <v>4</v>
          </cell>
          <cell r="I172">
            <v>0</v>
          </cell>
          <cell r="J172">
            <v>4</v>
          </cell>
          <cell r="K172">
            <v>0</v>
          </cell>
          <cell r="L172">
            <v>8</v>
          </cell>
        </row>
        <row r="173">
          <cell r="A173" t="str">
            <v>421-815-3210</v>
          </cell>
          <cell r="B173" t="str">
            <v xml:space="preserve">KOM WA475-10 (120)                                              </v>
          </cell>
          <cell r="C173" t="str">
            <v>CUTTING EDGE</v>
          </cell>
          <cell r="D173">
            <v>1014.34</v>
          </cell>
          <cell r="E173">
            <v>699.54</v>
          </cell>
          <cell r="F173">
            <v>557.89</v>
          </cell>
          <cell r="G173" t="str">
            <v>GET</v>
          </cell>
          <cell r="H173">
            <v>2</v>
          </cell>
          <cell r="I173">
            <v>0</v>
          </cell>
          <cell r="J173">
            <v>2</v>
          </cell>
          <cell r="K173">
            <v>0</v>
          </cell>
          <cell r="L173">
            <v>4</v>
          </cell>
        </row>
        <row r="174">
          <cell r="A174" t="str">
            <v>421-815-3220</v>
          </cell>
          <cell r="B174" t="str">
            <v xml:space="preserve">KOM WA475-10 (120)                                              </v>
          </cell>
          <cell r="C174" t="str">
            <v>CUTING EDGE</v>
          </cell>
          <cell r="D174">
            <v>400.54</v>
          </cell>
          <cell r="E174">
            <v>276.23</v>
          </cell>
          <cell r="F174">
            <v>220.3</v>
          </cell>
          <cell r="G174" t="str">
            <v>GET</v>
          </cell>
          <cell r="H174">
            <v>2</v>
          </cell>
          <cell r="I174">
            <v>0</v>
          </cell>
          <cell r="J174">
            <v>2</v>
          </cell>
          <cell r="K174">
            <v>0</v>
          </cell>
          <cell r="L174">
            <v>4</v>
          </cell>
        </row>
        <row r="175">
          <cell r="A175" t="str">
            <v>424-815-A130</v>
          </cell>
          <cell r="B175" t="str">
            <v xml:space="preserve">KOM WA380-8 (1) KOM WA380-8 (2)                                            </v>
          </cell>
          <cell r="C175" t="str">
            <v>CUTTING EDGE</v>
          </cell>
          <cell r="D175">
            <v>396.35</v>
          </cell>
          <cell r="E175">
            <v>273.33999999999997</v>
          </cell>
          <cell r="F175">
            <v>217.99</v>
          </cell>
          <cell r="G175" t="str">
            <v>GET</v>
          </cell>
          <cell r="H175">
            <v>4</v>
          </cell>
          <cell r="I175">
            <v>0</v>
          </cell>
          <cell r="J175">
            <v>4</v>
          </cell>
          <cell r="K175">
            <v>0</v>
          </cell>
          <cell r="L175">
            <v>8</v>
          </cell>
        </row>
        <row r="176">
          <cell r="A176" t="str">
            <v>424-815-A140</v>
          </cell>
          <cell r="B176" t="str">
            <v xml:space="preserve">KOM WA380-8 (1) KOM WA380-8 (2)                                            </v>
          </cell>
          <cell r="C176" t="str">
            <v>CUTTING EDGE</v>
          </cell>
          <cell r="D176">
            <v>1133.8699999999999</v>
          </cell>
          <cell r="E176">
            <v>781.98</v>
          </cell>
          <cell r="F176">
            <v>623.63</v>
          </cell>
          <cell r="G176" t="str">
            <v>GET</v>
          </cell>
          <cell r="H176">
            <v>2</v>
          </cell>
          <cell r="I176">
            <v>0</v>
          </cell>
          <cell r="J176">
            <v>2</v>
          </cell>
          <cell r="K176">
            <v>0</v>
          </cell>
          <cell r="L176">
            <v>4</v>
          </cell>
        </row>
        <row r="177">
          <cell r="A177" t="str">
            <v>436-5490</v>
          </cell>
          <cell r="B177" t="str">
            <v xml:space="preserve">CAT 329EL (ZCD)                                              </v>
          </cell>
          <cell r="C177" t="str">
            <v>CUTTING EDGE BUCKET</v>
          </cell>
          <cell r="D177">
            <v>242.74</v>
          </cell>
          <cell r="E177">
            <v>167.41</v>
          </cell>
          <cell r="F177">
            <v>133.51</v>
          </cell>
          <cell r="G177" t="str">
            <v>GET</v>
          </cell>
          <cell r="H177">
            <v>4</v>
          </cell>
          <cell r="I177">
            <v>2</v>
          </cell>
          <cell r="J177">
            <v>4</v>
          </cell>
          <cell r="K177">
            <v>2</v>
          </cell>
          <cell r="L177">
            <v>12</v>
          </cell>
        </row>
        <row r="178">
          <cell r="A178" t="str">
            <v>4J-9208</v>
          </cell>
          <cell r="B178" t="str">
            <v xml:space="preserve">CAT 329EL (ZCD)                                              </v>
          </cell>
          <cell r="C178" t="str">
            <v>BOLT CUTTING EDGE</v>
          </cell>
          <cell r="D178">
            <v>10.41</v>
          </cell>
          <cell r="E178">
            <v>7.18</v>
          </cell>
          <cell r="F178">
            <v>5.73</v>
          </cell>
          <cell r="G178" t="str">
            <v>GET</v>
          </cell>
          <cell r="H178">
            <v>16</v>
          </cell>
          <cell r="I178">
            <v>8</v>
          </cell>
          <cell r="J178">
            <v>16</v>
          </cell>
          <cell r="K178">
            <v>8</v>
          </cell>
          <cell r="L178">
            <v>48</v>
          </cell>
        </row>
        <row r="179">
          <cell r="A179" t="str">
            <v>4T-2236</v>
          </cell>
          <cell r="B179" t="str">
            <v xml:space="preserve">CAT 14 (EN4)                                              </v>
          </cell>
          <cell r="C179" t="str">
            <v>CUTTING EDGE</v>
          </cell>
          <cell r="D179">
            <v>492.82</v>
          </cell>
          <cell r="E179">
            <v>339.88</v>
          </cell>
          <cell r="F179">
            <v>271.05</v>
          </cell>
          <cell r="G179" t="str">
            <v>GET</v>
          </cell>
          <cell r="H179">
            <v>2</v>
          </cell>
          <cell r="I179">
            <v>0</v>
          </cell>
          <cell r="J179">
            <v>2</v>
          </cell>
          <cell r="K179">
            <v>0</v>
          </cell>
          <cell r="L179">
            <v>4</v>
          </cell>
        </row>
        <row r="180">
          <cell r="A180" t="str">
            <v>5J-4773</v>
          </cell>
          <cell r="B180" t="str">
            <v xml:space="preserve">CAT 14 (EN4)                                              </v>
          </cell>
          <cell r="C180" t="str">
            <v>BOLTS CUTTING EDGE/BIT END</v>
          </cell>
          <cell r="D180">
            <v>4.3600000000000003</v>
          </cell>
          <cell r="E180">
            <v>3.01</v>
          </cell>
          <cell r="F180">
            <v>2.4</v>
          </cell>
          <cell r="G180" t="str">
            <v>GET</v>
          </cell>
          <cell r="H180">
            <v>176</v>
          </cell>
          <cell r="I180">
            <v>176</v>
          </cell>
          <cell r="J180">
            <v>132</v>
          </cell>
          <cell r="K180">
            <v>176</v>
          </cell>
          <cell r="L180">
            <v>660</v>
          </cell>
        </row>
        <row r="181">
          <cell r="A181" t="str">
            <v>5P-8250</v>
          </cell>
          <cell r="B181" t="str">
            <v xml:space="preserve">CAT 329EL (ZCD)                                              </v>
          </cell>
          <cell r="C181" t="str">
            <v>WASHER CUTTING EDGE</v>
          </cell>
          <cell r="D181">
            <v>7.38</v>
          </cell>
          <cell r="E181">
            <v>5.09</v>
          </cell>
          <cell r="F181">
            <v>4.0599999999999996</v>
          </cell>
          <cell r="G181" t="str">
            <v>GET</v>
          </cell>
          <cell r="H181">
            <v>16</v>
          </cell>
          <cell r="I181">
            <v>8</v>
          </cell>
          <cell r="J181">
            <v>16</v>
          </cell>
          <cell r="K181">
            <v>8</v>
          </cell>
          <cell r="L181">
            <v>48</v>
          </cell>
        </row>
        <row r="182">
          <cell r="A182" t="str">
            <v>8E-5529</v>
          </cell>
          <cell r="B182" t="str">
            <v xml:space="preserve">CAT 14 (EN4)                                              </v>
          </cell>
          <cell r="C182" t="str">
            <v>BIT END</v>
          </cell>
          <cell r="D182">
            <v>221.04</v>
          </cell>
          <cell r="E182">
            <v>152.44</v>
          </cell>
          <cell r="F182">
            <v>121.57</v>
          </cell>
          <cell r="G182" t="str">
            <v>GET</v>
          </cell>
          <cell r="H182">
            <v>2</v>
          </cell>
          <cell r="I182">
            <v>0</v>
          </cell>
          <cell r="J182">
            <v>0</v>
          </cell>
          <cell r="K182">
            <v>0</v>
          </cell>
          <cell r="L182">
            <v>2</v>
          </cell>
        </row>
        <row r="183">
          <cell r="A183" t="str">
            <v>8T-4778</v>
          </cell>
          <cell r="B183" t="str">
            <v xml:space="preserve">CAT 255 CAT 255 (2) CAT 255 (FL7)                                          </v>
          </cell>
          <cell r="C183" t="str">
            <v>NUT CUTTING EDGE</v>
          </cell>
          <cell r="D183">
            <v>8.8699999999999992</v>
          </cell>
          <cell r="E183">
            <v>6.12</v>
          </cell>
          <cell r="F183">
            <v>4.88</v>
          </cell>
          <cell r="G183" t="str">
            <v>GET</v>
          </cell>
          <cell r="H183">
            <v>24</v>
          </cell>
          <cell r="I183">
            <v>0</v>
          </cell>
          <cell r="J183">
            <v>24</v>
          </cell>
          <cell r="K183">
            <v>0</v>
          </cell>
          <cell r="L183">
            <v>48</v>
          </cell>
        </row>
        <row r="184">
          <cell r="A184" t="str">
            <v>K15SYL</v>
          </cell>
          <cell r="B184" t="str">
            <v xml:space="preserve">KOM PC138USLC-11 KOM PC238USLC-11 (1)                                            </v>
          </cell>
          <cell r="C184" t="str">
            <v>TOOTH BUCKET</v>
          </cell>
          <cell r="D184">
            <v>141.79</v>
          </cell>
          <cell r="E184">
            <v>97.79</v>
          </cell>
          <cell r="F184">
            <v>77.98</v>
          </cell>
          <cell r="G184" t="str">
            <v>GET</v>
          </cell>
          <cell r="H184">
            <v>12</v>
          </cell>
          <cell r="I184">
            <v>12</v>
          </cell>
          <cell r="J184">
            <v>12</v>
          </cell>
          <cell r="K184">
            <v>12</v>
          </cell>
          <cell r="L184">
            <v>48</v>
          </cell>
        </row>
        <row r="185">
          <cell r="A185" t="str">
            <v>K30SYL</v>
          </cell>
          <cell r="B185" t="str">
            <v xml:space="preserve">KOM PC360LC-11 (A37) KOM PC360LC-11 (A39) KOM PC360LC-11 (A39) (2) KOM PC290LC-11 (K73)                                        </v>
          </cell>
          <cell r="C185" t="str">
            <v>TOOTH BUCKET</v>
          </cell>
          <cell r="D185">
            <v>338.5</v>
          </cell>
          <cell r="E185">
            <v>233.45</v>
          </cell>
          <cell r="F185">
            <v>186.18</v>
          </cell>
          <cell r="G185" t="str">
            <v>GET</v>
          </cell>
          <cell r="H185">
            <v>24</v>
          </cell>
          <cell r="I185">
            <v>24</v>
          </cell>
          <cell r="J185">
            <v>24</v>
          </cell>
          <cell r="K185">
            <v>24</v>
          </cell>
          <cell r="L185">
            <v>96</v>
          </cell>
        </row>
        <row r="186">
          <cell r="A186" t="str">
            <v>K40SYL</v>
          </cell>
          <cell r="B186" t="str">
    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    </cell>
          <cell r="C186" t="str">
            <v>TOOTH BUCKET</v>
          </cell>
          <cell r="D186">
            <v>378.83</v>
          </cell>
          <cell r="E186">
            <v>261.26</v>
          </cell>
          <cell r="F186">
            <v>208.36</v>
          </cell>
          <cell r="G186" t="str">
            <v>GET</v>
          </cell>
          <cell r="H186">
            <v>54</v>
          </cell>
          <cell r="I186">
            <v>54</v>
          </cell>
          <cell r="J186">
            <v>54</v>
          </cell>
          <cell r="K186">
            <v>54</v>
          </cell>
          <cell r="L186">
            <v>216</v>
          </cell>
        </row>
        <row r="187">
          <cell r="A187" t="str">
            <v>KP15C</v>
          </cell>
          <cell r="B187" t="str">
            <v xml:space="preserve">KOM PC138USLC-11 KOM PC238USLC-11 (1)                                            </v>
          </cell>
          <cell r="C187" t="str">
            <v>PIN TOOTH</v>
          </cell>
          <cell r="D187">
            <v>62.19</v>
          </cell>
          <cell r="E187">
            <v>42.89</v>
          </cell>
          <cell r="F187">
            <v>34.200000000000003</v>
          </cell>
          <cell r="G187" t="str">
            <v>GET</v>
          </cell>
          <cell r="H187">
            <v>12</v>
          </cell>
          <cell r="I187">
            <v>12</v>
          </cell>
          <cell r="J187">
            <v>12</v>
          </cell>
          <cell r="K187">
            <v>12</v>
          </cell>
          <cell r="L187">
            <v>48</v>
          </cell>
        </row>
        <row r="188">
          <cell r="A188" t="str">
            <v>KP30C</v>
          </cell>
          <cell r="B188" t="str">
            <v xml:space="preserve">KOM PC360LC-11 (A37) KOM PC360LC-11 (A39) KOM PC360LC-11 (A39) (2) KOM PC290LC-11 (K73)                                        </v>
          </cell>
          <cell r="C188" t="str">
            <v>PTI TOOTH</v>
          </cell>
          <cell r="D188">
            <v>124.34</v>
          </cell>
          <cell r="E188">
            <v>85.75</v>
          </cell>
          <cell r="F188">
            <v>68.39</v>
          </cell>
          <cell r="G188" t="str">
            <v>GET</v>
          </cell>
          <cell r="H188">
            <v>24</v>
          </cell>
          <cell r="I188">
            <v>24</v>
          </cell>
          <cell r="J188">
            <v>24</v>
          </cell>
          <cell r="K188">
            <v>24</v>
          </cell>
          <cell r="L188">
            <v>96</v>
          </cell>
        </row>
        <row r="189">
          <cell r="A189" t="str">
            <v>KP40C</v>
          </cell>
          <cell r="B189" t="str">
    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    </cell>
          <cell r="C189" t="str">
            <v>PIN TOOTH</v>
          </cell>
          <cell r="D189">
            <v>149.11000000000001</v>
          </cell>
          <cell r="E189">
            <v>102.83</v>
          </cell>
          <cell r="F189">
            <v>82.01</v>
          </cell>
          <cell r="G189" t="str">
            <v>GET</v>
          </cell>
          <cell r="H189">
            <v>54</v>
          </cell>
          <cell r="I189">
            <v>54</v>
          </cell>
          <cell r="J189">
            <v>54</v>
          </cell>
          <cell r="K189">
            <v>54</v>
          </cell>
          <cell r="L189">
            <v>216</v>
          </cell>
        </row>
        <row r="190">
          <cell r="A190" t="str">
            <v>NH12C1LP</v>
          </cell>
          <cell r="B190" t="str">
            <v xml:space="preserve">KOM WA320-8 (867) KOM WA320PZ-6 (729)                                            </v>
          </cell>
          <cell r="C190" t="str">
            <v>NUT CUTTING EDGE</v>
          </cell>
          <cell r="D190">
            <v>1.39</v>
          </cell>
          <cell r="E190">
            <v>0.96</v>
          </cell>
          <cell r="F190">
            <v>0.76</v>
          </cell>
          <cell r="G190" t="str">
            <v>GET</v>
          </cell>
          <cell r="H190">
            <v>16</v>
          </cell>
          <cell r="I190">
            <v>0</v>
          </cell>
          <cell r="J190">
            <v>16</v>
          </cell>
          <cell r="K190">
            <v>0</v>
          </cell>
          <cell r="L190">
            <v>32</v>
          </cell>
        </row>
        <row r="191">
          <cell r="A191" t="str">
            <v>NH12C34LP</v>
          </cell>
          <cell r="B191" t="str">
            <v xml:space="preserve">KOM D61PX-24 (B60)                                              </v>
          </cell>
          <cell r="C191" t="str">
            <v>NUT CUTTING EDGE</v>
          </cell>
          <cell r="D191">
            <v>0.56999999999999995</v>
          </cell>
          <cell r="E191">
            <v>0.39</v>
          </cell>
          <cell r="F191">
            <v>0.31</v>
          </cell>
          <cell r="G191" t="str">
            <v>GET</v>
          </cell>
          <cell r="H191">
            <v>52</v>
          </cell>
          <cell r="I191">
            <v>26</v>
          </cell>
          <cell r="J191">
            <v>26</v>
          </cell>
          <cell r="K191">
            <v>26</v>
          </cell>
          <cell r="L191">
            <v>130</v>
          </cell>
        </row>
        <row r="192">
          <cell r="A192" t="str">
            <v>NH12C78LP</v>
          </cell>
          <cell r="B192" t="str">
            <v xml:space="preserve">KOM WA380-8 (1) KOM WA380-8 (2) KOM WA475-10 (120)                                          </v>
          </cell>
          <cell r="C192" t="str">
            <v>NUT CUTTING EDGE</v>
          </cell>
          <cell r="D192">
            <v>0.9</v>
          </cell>
          <cell r="E192">
            <v>0.62</v>
          </cell>
          <cell r="F192">
            <v>0.5</v>
          </cell>
          <cell r="G192" t="str">
            <v>GET</v>
          </cell>
          <cell r="H192">
            <v>46</v>
          </cell>
          <cell r="I192">
            <v>0</v>
          </cell>
          <cell r="J192">
            <v>46</v>
          </cell>
          <cell r="K192">
            <v>0</v>
          </cell>
          <cell r="L192">
            <v>92</v>
          </cell>
        </row>
        <row r="193">
          <cell r="A193" t="str">
            <v>T10510</v>
          </cell>
          <cell r="B193" t="str">
            <v xml:space="preserve">JD 764 (100)                                              </v>
          </cell>
          <cell r="C193" t="str">
            <v>WASHER CUTTING EDGE</v>
          </cell>
          <cell r="D193">
            <v>2.2631999999999999</v>
          </cell>
          <cell r="E193">
            <v>1.56</v>
          </cell>
          <cell r="F193">
            <v>1.24</v>
          </cell>
          <cell r="G193" t="str">
            <v>GET</v>
          </cell>
          <cell r="H193">
            <v>42</v>
          </cell>
          <cell r="I193">
            <v>21</v>
          </cell>
          <cell r="J193">
            <v>21</v>
          </cell>
          <cell r="K193">
            <v>21</v>
          </cell>
          <cell r="L193">
            <v>105</v>
          </cell>
        </row>
        <row r="194">
          <cell r="A194" t="str">
            <v>T146672</v>
          </cell>
          <cell r="B194" t="str">
            <v xml:space="preserve">JD 624K (DW6)                                              </v>
          </cell>
          <cell r="C194" t="str">
            <v>CUTTING EDGE ENDS</v>
          </cell>
          <cell r="D194">
            <v>134.6</v>
          </cell>
          <cell r="E194">
            <v>92.83</v>
          </cell>
          <cell r="F194">
            <v>74.03</v>
          </cell>
          <cell r="G194" t="str">
            <v>GET</v>
          </cell>
          <cell r="H194">
            <v>2</v>
          </cell>
          <cell r="I194">
            <v>0</v>
          </cell>
          <cell r="J194">
            <v>2</v>
          </cell>
          <cell r="K194">
            <v>0</v>
          </cell>
          <cell r="L194">
            <v>4</v>
          </cell>
        </row>
        <row r="195">
          <cell r="A195" t="str">
            <v>T146934</v>
          </cell>
          <cell r="B195" t="str">
            <v xml:space="preserve">JD 624K (DW6)                                              </v>
          </cell>
          <cell r="C195" t="str">
            <v>BOLT CUTTING EDGE</v>
          </cell>
          <cell r="D195">
            <v>13.399800000000001</v>
          </cell>
          <cell r="E195">
            <v>9.24</v>
          </cell>
          <cell r="F195">
            <v>7.37</v>
          </cell>
          <cell r="G195" t="str">
            <v>GET</v>
          </cell>
          <cell r="H195">
            <v>12</v>
          </cell>
          <cell r="I195">
            <v>0</v>
          </cell>
          <cell r="J195">
            <v>12</v>
          </cell>
          <cell r="K195">
            <v>0</v>
          </cell>
          <cell r="L195">
            <v>24</v>
          </cell>
        </row>
        <row r="196">
          <cell r="A196" t="str">
            <v>T157492</v>
          </cell>
          <cell r="B196" t="str">
            <v xml:space="preserve">JD 624K (DW6)                                              </v>
          </cell>
          <cell r="C196" t="str">
            <v>CUTTING EDGE</v>
          </cell>
          <cell r="D196">
            <v>517.32000000000005</v>
          </cell>
          <cell r="E196">
            <v>356.77</v>
          </cell>
          <cell r="F196">
            <v>284.52999999999997</v>
          </cell>
          <cell r="G196" t="str">
            <v>GET</v>
          </cell>
          <cell r="H196">
            <v>2</v>
          </cell>
          <cell r="I196">
            <v>0</v>
          </cell>
          <cell r="J196">
            <v>2</v>
          </cell>
          <cell r="K196">
            <v>0</v>
          </cell>
          <cell r="L196">
            <v>4</v>
          </cell>
        </row>
        <row r="197">
          <cell r="A197" t="str">
            <v>T223519</v>
          </cell>
          <cell r="B197" t="str">
            <v xml:space="preserve">JD 764 (100)                                              </v>
          </cell>
          <cell r="C197" t="str">
            <v>BIT END RH</v>
          </cell>
          <cell r="D197">
            <v>133.34</v>
          </cell>
          <cell r="E197">
            <v>91.96</v>
          </cell>
          <cell r="F197">
            <v>73.34</v>
          </cell>
          <cell r="G197" t="str">
            <v>GET</v>
          </cell>
          <cell r="H197">
            <v>2</v>
          </cell>
          <cell r="I197">
            <v>1</v>
          </cell>
          <cell r="J197">
            <v>1</v>
          </cell>
          <cell r="K197">
            <v>1</v>
          </cell>
          <cell r="L197">
            <v>5</v>
          </cell>
        </row>
        <row r="198">
          <cell r="A198" t="str">
            <v>T223520</v>
          </cell>
          <cell r="B198" t="str">
            <v xml:space="preserve">JD 764 (100)                                              </v>
          </cell>
          <cell r="C198" t="str">
            <v>BIT END LH</v>
          </cell>
          <cell r="D198">
            <v>125.8</v>
          </cell>
          <cell r="E198">
            <v>86.76</v>
          </cell>
          <cell r="F198">
            <v>69.19</v>
          </cell>
          <cell r="G198" t="str">
            <v>GET</v>
          </cell>
          <cell r="H198">
            <v>2</v>
          </cell>
          <cell r="I198">
            <v>1</v>
          </cell>
          <cell r="J198">
            <v>1</v>
          </cell>
          <cell r="K198">
            <v>1</v>
          </cell>
          <cell r="L198">
            <v>5</v>
          </cell>
        </row>
        <row r="199">
          <cell r="A199" t="str">
            <v>T224179</v>
          </cell>
          <cell r="B199" t="str">
            <v xml:space="preserve">JD 764 (100)                                              </v>
          </cell>
          <cell r="C199" t="str">
            <v>CUTTING EDGE</v>
          </cell>
          <cell r="D199">
            <v>607.69679999999994</v>
          </cell>
          <cell r="E199">
            <v>419.1</v>
          </cell>
          <cell r="F199">
            <v>334.23</v>
          </cell>
          <cell r="G199" t="str">
            <v>GET</v>
          </cell>
          <cell r="H199">
            <v>2</v>
          </cell>
          <cell r="I199">
            <v>1</v>
          </cell>
          <cell r="J199">
            <v>1</v>
          </cell>
          <cell r="K199">
            <v>1</v>
          </cell>
          <cell r="L199">
            <v>5</v>
          </cell>
        </row>
        <row r="200">
          <cell r="A200" t="str">
            <v>T32742</v>
          </cell>
          <cell r="B200" t="str">
            <v xml:space="preserve">JD 333G (1T0)                                              </v>
          </cell>
          <cell r="C200" t="str">
            <v>CUTTING EDGE</v>
          </cell>
          <cell r="D200">
            <v>249.35220000000001</v>
          </cell>
          <cell r="E200">
            <v>171.97</v>
          </cell>
          <cell r="F200">
            <v>137.13999999999999</v>
          </cell>
          <cell r="G200" t="str">
            <v>GET</v>
          </cell>
          <cell r="H200">
            <v>1</v>
          </cell>
          <cell r="I200">
            <v>0</v>
          </cell>
          <cell r="J200">
            <v>1</v>
          </cell>
          <cell r="K200">
            <v>0</v>
          </cell>
          <cell r="L200">
            <v>2</v>
          </cell>
        </row>
        <row r="201">
          <cell r="A201" t="str">
            <v>T70286</v>
          </cell>
          <cell r="B201" t="str">
            <v xml:space="preserve">JD 764 (100)                                              </v>
          </cell>
          <cell r="C201" t="str">
            <v>BOLT CUTTING EDGE</v>
          </cell>
          <cell r="D201">
            <v>8.5559999999999992</v>
          </cell>
          <cell r="E201">
            <v>5.9</v>
          </cell>
          <cell r="F201">
            <v>4.71</v>
          </cell>
          <cell r="G201" t="str">
            <v>GET</v>
          </cell>
          <cell r="H201">
            <v>42</v>
          </cell>
          <cell r="I201">
            <v>21</v>
          </cell>
          <cell r="J201">
            <v>21</v>
          </cell>
          <cell r="K201">
            <v>21</v>
          </cell>
          <cell r="L201">
            <v>105</v>
          </cell>
        </row>
        <row r="202">
          <cell r="A202" t="str">
            <v>TK550FD</v>
          </cell>
          <cell r="B202" t="str">
            <v xml:space="preserve">JD 470P (1FF)                                              </v>
          </cell>
          <cell r="C202" t="str">
            <v>BUCKET TOOTH</v>
          </cell>
          <cell r="D202">
            <v>275.91000000000003</v>
          </cell>
          <cell r="E202">
            <v>190.28</v>
          </cell>
          <cell r="F202">
            <v>151.75</v>
          </cell>
          <cell r="G202" t="str">
            <v>GET</v>
          </cell>
          <cell r="H202">
            <v>8</v>
          </cell>
          <cell r="I202">
            <v>8</v>
          </cell>
          <cell r="J202">
            <v>8</v>
          </cell>
          <cell r="K202">
            <v>8</v>
          </cell>
          <cell r="L202">
            <v>32</v>
          </cell>
        </row>
        <row r="203">
          <cell r="A203" t="str">
            <v>370-7280</v>
          </cell>
          <cell r="B203" t="str">
            <v xml:space="preserve">CAT 329EL (ZCD)                                              </v>
          </cell>
          <cell r="C203" t="str">
            <v>INJECTOR</v>
          </cell>
          <cell r="D203">
            <v>1423.26</v>
          </cell>
          <cell r="E203">
            <v>981.56</v>
          </cell>
          <cell r="F203">
            <v>996.28</v>
          </cell>
          <cell r="G203" t="str">
            <v>Injector</v>
          </cell>
          <cell r="H203">
            <v>6</v>
          </cell>
          <cell r="I203">
            <v>0</v>
          </cell>
          <cell r="J203">
            <v>0</v>
          </cell>
          <cell r="K203">
            <v>0</v>
          </cell>
          <cell r="L203">
            <v>6</v>
          </cell>
        </row>
        <row r="204">
          <cell r="A204" t="str">
            <v>370-7286</v>
          </cell>
          <cell r="B204" t="str">
            <v xml:space="preserve">CAT TL1055C (KDE)                                              </v>
          </cell>
          <cell r="C204" t="str">
            <v>INJECTOR</v>
          </cell>
          <cell r="D204">
            <v>1093.8599999999999</v>
          </cell>
          <cell r="E204">
            <v>754.39</v>
          </cell>
          <cell r="F204">
            <v>765.7</v>
          </cell>
          <cell r="G204" t="str">
            <v>Injector</v>
          </cell>
          <cell r="H204">
            <v>4</v>
          </cell>
          <cell r="I204">
            <v>0</v>
          </cell>
          <cell r="J204">
            <v>0</v>
          </cell>
          <cell r="K204">
            <v>0</v>
          </cell>
          <cell r="L204">
            <v>4</v>
          </cell>
        </row>
        <row r="205">
          <cell r="A205" t="str">
            <v>378-4609</v>
          </cell>
          <cell r="B205" t="str">
            <v xml:space="preserve">CAT 14 (EN4)                                              </v>
          </cell>
          <cell r="C205" t="str">
            <v>INJECTOR</v>
          </cell>
          <cell r="D205">
            <v>2080.54</v>
          </cell>
          <cell r="E205">
            <v>1434.86</v>
          </cell>
          <cell r="F205">
            <v>1456.38</v>
          </cell>
          <cell r="G205" t="str">
            <v>Injector</v>
          </cell>
          <cell r="H205">
            <v>6</v>
          </cell>
          <cell r="I205">
            <v>0</v>
          </cell>
          <cell r="J205">
            <v>0</v>
          </cell>
          <cell r="K205">
            <v>0</v>
          </cell>
          <cell r="L205">
            <v>6</v>
          </cell>
        </row>
        <row r="206">
          <cell r="A206" t="str">
            <v>563-7897</v>
          </cell>
          <cell r="B206" t="str">
            <v xml:space="preserve">CAT 255 CAT 255 (2) CAT 255 (FL7)                                          </v>
          </cell>
          <cell r="C206" t="str">
            <v>INJECTOR</v>
          </cell>
          <cell r="D206">
            <v>1093.82</v>
          </cell>
          <cell r="E206">
            <v>754.36</v>
          </cell>
          <cell r="F206">
            <v>765.67</v>
          </cell>
          <cell r="G206" t="str">
            <v>Injector</v>
          </cell>
          <cell r="H206">
            <v>12</v>
          </cell>
          <cell r="I206">
            <v>0</v>
          </cell>
          <cell r="J206">
            <v>0</v>
          </cell>
          <cell r="K206">
            <v>0</v>
          </cell>
          <cell r="L206">
            <v>12</v>
          </cell>
        </row>
        <row r="207">
          <cell r="A207" t="str">
            <v>6252-11-3100</v>
          </cell>
          <cell r="B207" t="str">
            <v xml:space="preserve">KOM PC490LC-11 (A42) KOM PC490LC-11 (A42) (2) KOM PC490LC-11 (A42) (3) KOM PC490LC-11 (A42) (4) KOM PC490LC-11 (A42) (5) KOM PC490LC-11 (A43) KOM PC490LC-11 (KMT) (1) KOM PC490LC-11 (KMT) (2) KOM PC490LC-11 (KMT) (3) KOM WA475-10 (120)                            </v>
          </cell>
          <cell r="C207" t="str">
            <v>INJECTOR</v>
          </cell>
          <cell r="D207">
            <v>901.07</v>
          </cell>
          <cell r="E207">
            <v>621.42999999999995</v>
          </cell>
          <cell r="F207">
            <v>630.75</v>
          </cell>
          <cell r="G207" t="str">
            <v>Injector</v>
          </cell>
          <cell r="H207">
            <v>60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</row>
        <row r="208">
          <cell r="A208" t="str">
            <v>6262-11-3200</v>
          </cell>
          <cell r="B208" t="str">
    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    </cell>
          <cell r="C208" t="str">
            <v>INJECTOR</v>
          </cell>
          <cell r="D208">
            <v>1189.99</v>
          </cell>
          <cell r="E208">
            <v>820.68</v>
          </cell>
          <cell r="F208">
            <v>832.99</v>
          </cell>
          <cell r="G208" t="str">
            <v>Injector</v>
          </cell>
          <cell r="H208">
            <v>84</v>
          </cell>
          <cell r="I208">
            <v>0</v>
          </cell>
          <cell r="J208">
            <v>0</v>
          </cell>
          <cell r="K208">
            <v>0</v>
          </cell>
          <cell r="L208">
            <v>84</v>
          </cell>
        </row>
        <row r="209">
          <cell r="A209" t="str">
            <v>6276-11-3100</v>
          </cell>
          <cell r="B209" t="str">
            <v xml:space="preserve">KOM PC138USLC-11 KOM PC238USLC-11 (1)                                            </v>
          </cell>
          <cell r="C209" t="str">
            <v>INJECTOR</v>
          </cell>
          <cell r="D209">
            <v>1218.3</v>
          </cell>
          <cell r="E209">
            <v>840.21</v>
          </cell>
          <cell r="F209">
            <v>852.81</v>
          </cell>
          <cell r="G209" t="str">
            <v>Injector</v>
          </cell>
          <cell r="H209">
            <v>8</v>
          </cell>
          <cell r="I209">
            <v>0</v>
          </cell>
          <cell r="J209">
            <v>0</v>
          </cell>
          <cell r="K209">
            <v>0</v>
          </cell>
          <cell r="L209">
            <v>8</v>
          </cell>
        </row>
        <row r="210">
          <cell r="A210" t="str">
            <v>6746-11-3100</v>
          </cell>
          <cell r="B210" t="str">
            <v xml:space="preserve">KOM D71PX-24 (1) KOM D71PX-24 (2) KOM D71PX-24 (3) KOM D71PX-24 (4) KOM D71PX-24 (5) KOM D71PX-24 (6) KOM D71PX-24 (7) KOM PC360LC-11 (A37) KOM PC360LC-11 (A39) KOM PC360LC-11 (A39) (2)                            </v>
          </cell>
          <cell r="C210" t="str">
            <v>INJECTOR</v>
          </cell>
          <cell r="D210">
            <v>993.24</v>
          </cell>
          <cell r="E210">
            <v>684.99</v>
          </cell>
          <cell r="F210">
            <v>695.27</v>
          </cell>
          <cell r="G210" t="str">
            <v>Injector</v>
          </cell>
          <cell r="H210">
            <v>60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</row>
        <row r="211">
          <cell r="A211" t="str">
            <v>6755-11-3100</v>
          </cell>
          <cell r="B211" t="str">
            <v xml:space="preserve">KOM PC238USLC-11 (2) KOM WA380-8 (1) KOM WA380-8 (2) KOM WA320-8 (867) KOM WA320PZ-6 (729) KOM PC290LC-11 (K73) KOM D61PX-24 (B60)                                  </v>
          </cell>
          <cell r="C211" t="str">
            <v>INJECTOR</v>
          </cell>
          <cell r="D211">
            <v>866.09</v>
          </cell>
          <cell r="E211">
            <v>597.29999999999995</v>
          </cell>
          <cell r="F211">
            <v>606.26</v>
          </cell>
          <cell r="G211" t="str">
            <v>Injector</v>
          </cell>
          <cell r="H211">
            <v>42</v>
          </cell>
          <cell r="I211">
            <v>0</v>
          </cell>
          <cell r="J211">
            <v>0</v>
          </cell>
          <cell r="K211">
            <v>0</v>
          </cell>
          <cell r="L211">
            <v>42</v>
          </cell>
        </row>
        <row r="212">
          <cell r="A212" t="str">
            <v>DZ100217</v>
          </cell>
          <cell r="B212" t="str">
            <v xml:space="preserve">JD 624K (DW6) JD 764 (100)                                            </v>
          </cell>
          <cell r="C212" t="str">
            <v>INJECTOR</v>
          </cell>
          <cell r="D212">
            <v>896.8205999999999</v>
          </cell>
          <cell r="E212">
            <v>618.5</v>
          </cell>
          <cell r="F212">
            <v>627.77</v>
          </cell>
          <cell r="G212" t="str">
            <v>Injector</v>
          </cell>
          <cell r="H212">
            <v>12</v>
          </cell>
          <cell r="I212">
            <v>0</v>
          </cell>
          <cell r="J212">
            <v>0</v>
          </cell>
          <cell r="K212">
            <v>0</v>
          </cell>
          <cell r="L212">
            <v>12</v>
          </cell>
        </row>
        <row r="213">
          <cell r="A213" t="str">
            <v>MIU804361</v>
          </cell>
          <cell r="B213" t="str">
            <v xml:space="preserve">JD 333G (1T0)                                              </v>
          </cell>
          <cell r="C213" t="str">
            <v>INJECTOR</v>
          </cell>
          <cell r="D213">
            <v>1719.0522000000001</v>
          </cell>
          <cell r="E213">
            <v>1185.55</v>
          </cell>
          <cell r="F213">
            <v>1203.3399999999999</v>
          </cell>
          <cell r="G213" t="str">
            <v>Injector</v>
          </cell>
          <cell r="H213">
            <v>4</v>
          </cell>
          <cell r="I213">
            <v>0</v>
          </cell>
          <cell r="J213">
            <v>0</v>
          </cell>
          <cell r="K213">
            <v>0</v>
          </cell>
          <cell r="L213">
            <v>4</v>
          </cell>
        </row>
        <row r="214">
          <cell r="A214" t="str">
            <v>RE560656</v>
          </cell>
          <cell r="B214" t="str">
            <v xml:space="preserve">JD 470P (1FF)                                              </v>
          </cell>
          <cell r="C214" t="str">
            <v>INJECTOR</v>
          </cell>
          <cell r="D214">
            <v>2136.9575999999997</v>
          </cell>
          <cell r="E214">
            <v>1473.76</v>
          </cell>
          <cell r="F214">
            <v>1495.87</v>
          </cell>
          <cell r="G214" t="str">
            <v>Injector</v>
          </cell>
          <cell r="H214">
            <v>6</v>
          </cell>
          <cell r="I214">
            <v>0</v>
          </cell>
          <cell r="J214">
            <v>0</v>
          </cell>
          <cell r="K214">
            <v>0</v>
          </cell>
          <cell r="L214">
            <v>6</v>
          </cell>
        </row>
        <row r="215">
          <cell r="A215" t="str">
            <v>419-30-11600</v>
          </cell>
          <cell r="B215" t="str">
            <v xml:space="preserve">KOM WA320-8 (867) KOM WA320PZ-6 (729)                                            </v>
          </cell>
          <cell r="C215" t="str">
            <v>TIRE 20.5R25</v>
          </cell>
          <cell r="D215">
            <v>3694.17</v>
          </cell>
          <cell r="E215">
            <v>2547.6999999999998</v>
          </cell>
          <cell r="F215">
            <v>2031.79</v>
          </cell>
          <cell r="G215" t="str">
            <v>Tire</v>
          </cell>
          <cell r="H215">
            <v>8</v>
          </cell>
          <cell r="I215">
            <v>0</v>
          </cell>
          <cell r="J215">
            <v>0</v>
          </cell>
          <cell r="K215">
            <v>0</v>
          </cell>
          <cell r="L215">
            <v>8</v>
          </cell>
        </row>
        <row r="216">
          <cell r="A216" t="str">
            <v>56B-30-13140</v>
          </cell>
          <cell r="B216" t="str">
    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    </cell>
          <cell r="C216" t="str">
            <v>TIRE 29.5-R25</v>
          </cell>
          <cell r="D216">
            <v>9401.44</v>
          </cell>
          <cell r="E216">
            <v>6483.75</v>
          </cell>
          <cell r="F216">
            <v>4700.72</v>
          </cell>
          <cell r="G216" t="str">
            <v>Tire</v>
          </cell>
          <cell r="H216">
            <v>84</v>
          </cell>
          <cell r="I216">
            <v>0</v>
          </cell>
          <cell r="J216">
            <v>0</v>
          </cell>
          <cell r="K216">
            <v>0</v>
          </cell>
          <cell r="L216">
            <v>84</v>
          </cell>
        </row>
        <row r="217">
          <cell r="A217" t="str">
            <v>424-3445</v>
          </cell>
          <cell r="B217" t="str">
            <v xml:space="preserve">CAT 14 (EN4)                                              </v>
          </cell>
          <cell r="C217" t="str">
            <v>TURBOCHARGER</v>
          </cell>
          <cell r="D217">
            <v>6480.33</v>
          </cell>
          <cell r="E217">
            <v>4469.1899999999996</v>
          </cell>
          <cell r="F217">
            <v>3240.17</v>
          </cell>
          <cell r="G217" t="str">
            <v>Turbo</v>
          </cell>
          <cell r="H217">
            <v>1</v>
          </cell>
          <cell r="I217">
            <v>0</v>
          </cell>
          <cell r="J217">
            <v>0</v>
          </cell>
          <cell r="K217">
            <v>0</v>
          </cell>
          <cell r="L217">
            <v>1</v>
          </cell>
        </row>
        <row r="218">
          <cell r="A218" t="str">
            <v>443-0318</v>
          </cell>
          <cell r="B218" t="str">
            <v xml:space="preserve">CAT 329EL (ZCD)                                              </v>
          </cell>
          <cell r="C218" t="str">
            <v>TURBOCHARGER</v>
          </cell>
          <cell r="D218">
            <v>3792.29</v>
          </cell>
          <cell r="E218">
            <v>2615.37</v>
          </cell>
          <cell r="F218">
            <v>1896.15</v>
          </cell>
          <cell r="G218" t="str">
            <v>Turbo</v>
          </cell>
          <cell r="H218">
            <v>1</v>
          </cell>
          <cell r="I218">
            <v>0</v>
          </cell>
          <cell r="J218">
            <v>0</v>
          </cell>
          <cell r="K218">
            <v>0</v>
          </cell>
          <cell r="L218">
            <v>1</v>
          </cell>
        </row>
        <row r="219">
          <cell r="A219" t="str">
            <v>479-5810</v>
          </cell>
          <cell r="B219" t="str">
            <v xml:space="preserve">CAT TL1055C (KDE)                                              </v>
          </cell>
          <cell r="C219" t="str">
            <v>TURBOCHARGER</v>
          </cell>
          <cell r="D219">
            <v>3328.65</v>
          </cell>
          <cell r="E219">
            <v>2295.62</v>
          </cell>
          <cell r="F219">
            <v>1664.33</v>
          </cell>
          <cell r="G219" t="str">
            <v>Turbo</v>
          </cell>
          <cell r="H219">
            <v>1</v>
          </cell>
          <cell r="I219">
            <v>0</v>
          </cell>
          <cell r="J219">
            <v>0</v>
          </cell>
          <cell r="K219">
            <v>0</v>
          </cell>
          <cell r="L219">
            <v>1</v>
          </cell>
        </row>
        <row r="220">
          <cell r="A220" t="str">
            <v>588-1477</v>
          </cell>
          <cell r="B220" t="str">
            <v xml:space="preserve">CAT 255 CAT 255 (2) CAT 255 (FL7)                                          </v>
          </cell>
          <cell r="C220" t="str">
            <v>TURBOCHARGER</v>
          </cell>
          <cell r="D220">
            <v>2773.6</v>
          </cell>
          <cell r="E220">
            <v>1912.83</v>
          </cell>
          <cell r="F220">
            <v>1386.8</v>
          </cell>
          <cell r="G220" t="str">
            <v>Turbo</v>
          </cell>
          <cell r="H220">
            <v>3</v>
          </cell>
          <cell r="I220">
            <v>0</v>
          </cell>
          <cell r="J220">
            <v>0</v>
          </cell>
          <cell r="K220">
            <v>0</v>
          </cell>
          <cell r="L220">
            <v>3</v>
          </cell>
        </row>
        <row r="221">
          <cell r="A221" t="str">
            <v>6276-81-8100</v>
          </cell>
          <cell r="B221" t="str">
            <v xml:space="preserve">KOM PC138USLC-11 KOM PC238USLC-11 (1)                                            </v>
          </cell>
          <cell r="C221" t="str">
            <v>TURBOCHARGER</v>
          </cell>
          <cell r="D221">
            <v>6007.95</v>
          </cell>
          <cell r="E221">
            <v>4143.41</v>
          </cell>
          <cell r="F221">
            <v>3003.98</v>
          </cell>
          <cell r="G221" t="str">
            <v>Turbo</v>
          </cell>
          <cell r="H221">
            <v>2</v>
          </cell>
          <cell r="I221">
            <v>0</v>
          </cell>
          <cell r="J221">
            <v>0</v>
          </cell>
          <cell r="K221">
            <v>0</v>
          </cell>
          <cell r="L221">
            <v>2</v>
          </cell>
        </row>
        <row r="222">
          <cell r="A222" t="str">
            <v>6507-12-5010</v>
          </cell>
          <cell r="B222" t="str">
    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    </cell>
          <cell r="C222" t="str">
            <v>TURBOCHARGER</v>
          </cell>
          <cell r="D222">
            <v>15534.64</v>
          </cell>
          <cell r="E222">
            <v>10713.54</v>
          </cell>
          <cell r="F222">
            <v>7767.32</v>
          </cell>
          <cell r="G222" t="str">
            <v>Turbo</v>
          </cell>
          <cell r="H222">
            <v>9</v>
          </cell>
          <cell r="I222">
            <v>0</v>
          </cell>
          <cell r="J222">
            <v>0</v>
          </cell>
          <cell r="K222">
            <v>0</v>
          </cell>
          <cell r="L222">
            <v>9</v>
          </cell>
        </row>
        <row r="223">
          <cell r="A223" t="str">
            <v>6507-21-5010</v>
          </cell>
          <cell r="B223" t="str">
            <v xml:space="preserve">KOM WA475-10 (120)                                              </v>
          </cell>
          <cell r="C223" t="str">
            <v>TURBOCHARGER</v>
          </cell>
          <cell r="D223">
            <v>18281.09</v>
          </cell>
          <cell r="E223">
            <v>12607.65</v>
          </cell>
          <cell r="F223">
            <v>9140.5499999999993</v>
          </cell>
          <cell r="G223" t="str">
            <v>Turbo</v>
          </cell>
          <cell r="H223">
            <v>1</v>
          </cell>
          <cell r="I223">
            <v>0</v>
          </cell>
          <cell r="J223">
            <v>0</v>
          </cell>
          <cell r="K223">
            <v>0</v>
          </cell>
          <cell r="L223">
            <v>1</v>
          </cell>
        </row>
        <row r="224">
          <cell r="A224" t="str">
            <v>6508-12-5010</v>
          </cell>
          <cell r="B224" t="str">
    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    </cell>
          <cell r="C224" t="str">
            <v>TURBOCHARGER</v>
          </cell>
          <cell r="D224">
            <v>18264.490000000002</v>
          </cell>
          <cell r="E224">
            <v>12596.2</v>
          </cell>
          <cell r="F224">
            <v>9132.25</v>
          </cell>
          <cell r="G224" t="str">
            <v>Turbo</v>
          </cell>
          <cell r="H224">
            <v>14</v>
          </cell>
          <cell r="I224">
            <v>0</v>
          </cell>
          <cell r="J224">
            <v>0</v>
          </cell>
          <cell r="K224">
            <v>0</v>
          </cell>
          <cell r="L224">
            <v>14</v>
          </cell>
        </row>
        <row r="225">
          <cell r="A225" t="str">
            <v>6747-81-8011</v>
          </cell>
          <cell r="B225" t="str">
            <v xml:space="preserve">KOM PC360LC-11 (A37) KOM PC360LC-11 (A39) KOM PC360LC-11 (A39) (2)                                          </v>
          </cell>
          <cell r="C225" t="str">
            <v>TURBOCHARGER</v>
          </cell>
          <cell r="D225">
            <v>12799.25</v>
          </cell>
          <cell r="E225">
            <v>8827.07</v>
          </cell>
          <cell r="F225">
            <v>6399.63</v>
          </cell>
          <cell r="G225" t="str">
            <v>Turbo</v>
          </cell>
          <cell r="H225">
            <v>3</v>
          </cell>
          <cell r="I225">
            <v>0</v>
          </cell>
          <cell r="J225">
            <v>0</v>
          </cell>
          <cell r="K225">
            <v>0</v>
          </cell>
          <cell r="L225">
            <v>3</v>
          </cell>
        </row>
        <row r="226">
          <cell r="A226" t="str">
            <v>6747-81-8020 </v>
          </cell>
          <cell r="B226" t="str">
            <v xml:space="preserve">KOM D71PX-24 (1) KOM D71PX-24 (2) KOM D71PX-24 (3) KOM D71PX-24 (4) KOM D71PX-24 (5) KOM D71PX-24 (6) KOM D71PX-24 (7)                                  </v>
          </cell>
          <cell r="C226" t="str">
            <v>TURBOCHARGER</v>
          </cell>
          <cell r="D226">
            <v>12782.78</v>
          </cell>
          <cell r="E226">
            <v>8815.7099999999991</v>
          </cell>
          <cell r="F226">
            <v>6391.39</v>
          </cell>
          <cell r="G226" t="str">
            <v>Turbo</v>
          </cell>
          <cell r="H226">
            <v>7</v>
          </cell>
          <cell r="I226">
            <v>0</v>
          </cell>
          <cell r="J226">
            <v>0</v>
          </cell>
          <cell r="K226">
            <v>0</v>
          </cell>
          <cell r="L226">
            <v>7</v>
          </cell>
        </row>
        <row r="227">
          <cell r="A227" t="str">
            <v>6756-81-8130</v>
          </cell>
          <cell r="B227" t="str">
            <v xml:space="preserve">KOM PC238USLC-11 (2) KOM PC290LC-11 (K73)                                            </v>
          </cell>
          <cell r="C227" t="str">
            <v>TURBOCHARGER</v>
          </cell>
          <cell r="D227">
            <v>9876.7800000000007</v>
          </cell>
          <cell r="E227">
            <v>6811.57</v>
          </cell>
          <cell r="F227">
            <v>4938.3900000000003</v>
          </cell>
          <cell r="G227" t="str">
            <v>Turbo</v>
          </cell>
          <cell r="H227">
            <v>2</v>
          </cell>
          <cell r="I227">
            <v>0</v>
          </cell>
          <cell r="J227">
            <v>0</v>
          </cell>
          <cell r="K227">
            <v>0</v>
          </cell>
          <cell r="L227">
            <v>2</v>
          </cell>
        </row>
        <row r="228">
          <cell r="A228" t="str">
            <v>6756-81-8140</v>
          </cell>
          <cell r="B228" t="str">
            <v xml:space="preserve">KOM WA380-8 (1) KOM WA380-8 (2) KOM WA320-8 (867) KOM WA320PZ-6 (729)                                        </v>
          </cell>
          <cell r="C228" t="str">
            <v>TURBOCHARGER</v>
          </cell>
          <cell r="D228">
            <v>8656.94</v>
          </cell>
          <cell r="E228">
            <v>5970.3</v>
          </cell>
          <cell r="F228">
            <v>4328.47</v>
          </cell>
          <cell r="G228" t="str">
            <v>Turbo</v>
          </cell>
          <cell r="H228">
            <v>4</v>
          </cell>
          <cell r="I228">
            <v>0</v>
          </cell>
          <cell r="J228">
            <v>0</v>
          </cell>
          <cell r="K228">
            <v>0</v>
          </cell>
          <cell r="L228">
            <v>4</v>
          </cell>
        </row>
        <row r="229">
          <cell r="A229" t="str">
            <v>6756-81-8330</v>
          </cell>
          <cell r="B229" t="str">
            <v xml:space="preserve">KOM D61PX-24 (B60)                                              </v>
          </cell>
          <cell r="C229" t="str">
            <v>TURBOCHARGER</v>
          </cell>
          <cell r="D229">
            <v>9117.02</v>
          </cell>
          <cell r="E229">
            <v>6287.6</v>
          </cell>
          <cell r="F229">
            <v>4558.51</v>
          </cell>
          <cell r="G229" t="str">
            <v>Turbo</v>
          </cell>
          <cell r="H229">
            <v>1</v>
          </cell>
          <cell r="I229">
            <v>0</v>
          </cell>
          <cell r="J229">
            <v>0</v>
          </cell>
          <cell r="K229">
            <v>0</v>
          </cell>
          <cell r="L229">
            <v>1</v>
          </cell>
        </row>
        <row r="230">
          <cell r="A230" t="str">
            <v>DZ102306</v>
          </cell>
          <cell r="B230" t="str">
            <v xml:space="preserve">JD 470P (1FF)                                              </v>
          </cell>
          <cell r="C230" t="str">
            <v>TURBOCHARGER</v>
          </cell>
          <cell r="D230">
            <v>6077.9753999999994</v>
          </cell>
          <cell r="E230">
            <v>4191.71</v>
          </cell>
          <cell r="F230">
            <v>3038.99</v>
          </cell>
          <cell r="G230" t="str">
            <v>Turbo</v>
          </cell>
          <cell r="H230">
            <v>1</v>
          </cell>
          <cell r="I230">
            <v>0</v>
          </cell>
          <cell r="J230">
            <v>0</v>
          </cell>
          <cell r="K230">
            <v>0</v>
          </cell>
          <cell r="L230">
            <v>1</v>
          </cell>
        </row>
        <row r="231">
          <cell r="A231" t="str">
            <v>DZ108149</v>
          </cell>
          <cell r="B231" t="str">
            <v xml:space="preserve">JD 624K (DW6)                                              </v>
          </cell>
          <cell r="C231" t="str">
            <v>TURBOCHARGER</v>
          </cell>
          <cell r="D231">
            <v>4795.7069999999994</v>
          </cell>
          <cell r="E231">
            <v>3307.38</v>
          </cell>
          <cell r="F231">
            <v>2397.85</v>
          </cell>
          <cell r="G231" t="str">
            <v>Turbo</v>
          </cell>
          <cell r="H231">
            <v>1</v>
          </cell>
          <cell r="I231">
            <v>0</v>
          </cell>
          <cell r="J231">
            <v>0</v>
          </cell>
          <cell r="K231">
            <v>0</v>
          </cell>
          <cell r="L231">
            <v>1</v>
          </cell>
        </row>
        <row r="232">
          <cell r="A232" t="str">
            <v>DZ108160</v>
          </cell>
          <cell r="B232" t="str">
            <v xml:space="preserve">JD 764 (100)                                              </v>
          </cell>
          <cell r="C232" t="str">
            <v>TURBOCHARGER</v>
          </cell>
          <cell r="D232">
            <v>4590.0455999999995</v>
          </cell>
          <cell r="E232">
            <v>3165.55</v>
          </cell>
          <cell r="F232">
            <v>2295.02</v>
          </cell>
          <cell r="G232" t="str">
            <v>Turbo</v>
          </cell>
          <cell r="H232">
            <v>1</v>
          </cell>
          <cell r="I232">
            <v>0</v>
          </cell>
          <cell r="J232">
            <v>0</v>
          </cell>
          <cell r="K232">
            <v>0</v>
          </cell>
          <cell r="L232">
            <v>1</v>
          </cell>
        </row>
        <row r="233">
          <cell r="A233" t="str">
            <v>DZ123421</v>
          </cell>
          <cell r="B233" t="str">
            <v xml:space="preserve">JD 470P (1FF)                                              </v>
          </cell>
          <cell r="C233" t="str">
            <v>TURBOCHARGER</v>
          </cell>
          <cell r="D233">
            <v>2617.1561999999999</v>
          </cell>
          <cell r="E233">
            <v>1804.94</v>
          </cell>
          <cell r="F233">
            <v>1308.58</v>
          </cell>
          <cell r="G233" t="str">
            <v>Turbo</v>
          </cell>
          <cell r="H233">
            <v>1</v>
          </cell>
          <cell r="I233">
            <v>0</v>
          </cell>
          <cell r="J233">
            <v>0</v>
          </cell>
          <cell r="K233">
            <v>0</v>
          </cell>
          <cell r="L233">
            <v>1</v>
          </cell>
        </row>
        <row r="234">
          <cell r="A234" t="str">
            <v>MIA884648</v>
          </cell>
          <cell r="B234" t="str">
            <v xml:space="preserve">JD 333G (1T0)                                              </v>
          </cell>
          <cell r="C234" t="str">
            <v>TURBOCHARGER</v>
          </cell>
          <cell r="D234">
            <v>3111.8723999999997</v>
          </cell>
          <cell r="E234">
            <v>2146.12</v>
          </cell>
          <cell r="F234">
            <v>1555.94</v>
          </cell>
          <cell r="G234" t="str">
            <v>Turbo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</row>
        <row r="235">
          <cell r="A235" t="str">
            <v>255_RT_MTO_400x86x52_GP</v>
          </cell>
          <cell r="B235" t="str">
            <v xml:space="preserve">CAT 255 CAT 255 (2) CAT 255 (FL7)                                          </v>
          </cell>
          <cell r="C235" t="str">
            <v>GQP CAT255 COMPLETE UC KIT</v>
          </cell>
          <cell r="D235">
            <v>22584.78</v>
          </cell>
          <cell r="E235">
            <v>15575.71</v>
          </cell>
          <cell r="F235">
            <v>12421.63</v>
          </cell>
          <cell r="G235" t="str">
            <v>UC</v>
          </cell>
          <cell r="H235">
            <v>3</v>
          </cell>
          <cell r="I235">
            <v>0</v>
          </cell>
          <cell r="J235">
            <v>0</v>
          </cell>
          <cell r="K235">
            <v>0</v>
          </cell>
          <cell r="L235">
            <v>3</v>
          </cell>
        </row>
        <row r="236">
          <cell r="A236" t="str">
            <v>329E_MS_MTO_31.5"_50LINK</v>
          </cell>
          <cell r="B236" t="str">
            <v xml:space="preserve">CAT 329EL (ZCD)                                              </v>
          </cell>
          <cell r="C236" t="str">
            <v>GQP CAT329E COMPLETE UC KIT</v>
          </cell>
          <cell r="D236">
            <v>72253.5</v>
          </cell>
          <cell r="E236">
            <v>49830</v>
          </cell>
          <cell r="F236">
            <v>39739.43</v>
          </cell>
          <cell r="G236" t="str">
            <v>UC</v>
          </cell>
          <cell r="H236">
            <v>1</v>
          </cell>
          <cell r="I236">
            <v>0</v>
          </cell>
          <cell r="J236">
            <v>0</v>
          </cell>
          <cell r="K236">
            <v>0</v>
          </cell>
          <cell r="L236">
            <v>1</v>
          </cell>
        </row>
        <row r="237">
          <cell r="A237" t="str">
            <v>333G_RT__MTO_450x86x58_GP</v>
          </cell>
          <cell r="B237" t="str">
            <v xml:space="preserve">JD 333G (1T0)                                              </v>
          </cell>
          <cell r="C237" t="str">
            <v>GQP JD333G COMPLETE UC KIT</v>
          </cell>
          <cell r="D237">
            <v>18575.82</v>
          </cell>
          <cell r="E237">
            <v>12810.91</v>
          </cell>
          <cell r="F237">
            <v>10216.700000000001</v>
          </cell>
          <cell r="G237" t="str">
            <v>UC</v>
          </cell>
          <cell r="H237">
            <v>1</v>
          </cell>
          <cell r="I237">
            <v>0</v>
          </cell>
          <cell r="J237">
            <v>0</v>
          </cell>
          <cell r="K237">
            <v>0</v>
          </cell>
          <cell r="L237">
            <v>1</v>
          </cell>
        </row>
        <row r="238">
          <cell r="A238" t="str">
            <v>470_MS_MTO_29.5"_53LINK</v>
          </cell>
          <cell r="B238" t="str">
            <v xml:space="preserve">JD 470P (1FF)                                              </v>
          </cell>
          <cell r="C238" t="str">
            <v>GQP JD470 COMPLETE UC KIT</v>
          </cell>
          <cell r="D238">
            <v>118254.44</v>
          </cell>
          <cell r="E238">
            <v>81554.789999999994</v>
          </cell>
          <cell r="F238">
            <v>65039.94</v>
          </cell>
          <cell r="G238" t="str">
            <v>UC</v>
          </cell>
          <cell r="H238">
            <v>1</v>
          </cell>
          <cell r="I238">
            <v>0</v>
          </cell>
          <cell r="J238">
            <v>0</v>
          </cell>
          <cell r="K238">
            <v>0</v>
          </cell>
          <cell r="L238">
            <v>1</v>
          </cell>
        </row>
        <row r="239">
          <cell r="A239" t="str">
            <v>764_RT__MTO_70"x70"x6.5"_GP</v>
          </cell>
          <cell r="B239" t="str">
            <v xml:space="preserve">JD 764 (100)                                              </v>
          </cell>
          <cell r="C239" t="str">
            <v>GQP CAT764 COMPLETE UC KIT</v>
          </cell>
          <cell r="D239">
            <v>187453.69</v>
          </cell>
          <cell r="E239">
            <v>129278.41</v>
          </cell>
          <cell r="F239">
            <v>103099.53</v>
          </cell>
          <cell r="G239" t="str">
            <v>UC</v>
          </cell>
          <cell r="H239">
            <v>1</v>
          </cell>
          <cell r="I239">
            <v>0</v>
          </cell>
          <cell r="J239">
            <v>0</v>
          </cell>
          <cell r="K239">
            <v>0</v>
          </cell>
          <cell r="L239">
            <v>1</v>
          </cell>
        </row>
        <row r="240">
          <cell r="A240" t="str">
            <v>D61PX_MS_MTO_33.9"_46LINK</v>
          </cell>
          <cell r="B240" t="str">
            <v xml:space="preserve">KOM D61PX-24 (B60)                                              </v>
          </cell>
          <cell r="C240" t="str">
            <v>GQP KOMATSU D61PX-24 COMPLETE UC KIT</v>
          </cell>
          <cell r="D240">
            <v>68101.38</v>
          </cell>
          <cell r="E240">
            <v>46966.47</v>
          </cell>
          <cell r="F240">
            <v>37455.760000000002</v>
          </cell>
          <cell r="G240" t="str">
            <v>UC</v>
          </cell>
          <cell r="H240">
            <v>1</v>
          </cell>
          <cell r="I240">
            <v>0</v>
          </cell>
          <cell r="J240">
            <v>0</v>
          </cell>
          <cell r="K240">
            <v>0</v>
          </cell>
          <cell r="L240">
            <v>1</v>
          </cell>
        </row>
        <row r="241">
          <cell r="A241" t="str">
            <v>D71PX-24_MS_MTO_36"_45LINK</v>
          </cell>
          <cell r="B241" t="str">
            <v xml:space="preserve">KOM D71PX-24 (1) KOM D71PX-24 (2) KOM D71PX-24 (3) KOM D71PX-24 (4) KOM D71PX-24 (5) KOM D71PX-24 (6) KOM D71PX-24 (7)                                  </v>
          </cell>
          <cell r="C241" t="str">
            <v>GQP KOMATSU D71PX-24 COMPLETE UC KIT</v>
          </cell>
          <cell r="D241">
            <v>94078.760000000009</v>
          </cell>
          <cell r="E241">
            <v>64881.9</v>
          </cell>
          <cell r="F241">
            <v>51743.32</v>
          </cell>
          <cell r="G241" t="str">
            <v>UC</v>
          </cell>
          <cell r="H241">
            <v>7</v>
          </cell>
          <cell r="I241">
            <v>0</v>
          </cell>
          <cell r="J241">
            <v>0</v>
          </cell>
          <cell r="K241">
            <v>0</v>
          </cell>
          <cell r="L241">
            <v>7</v>
          </cell>
        </row>
        <row r="242">
          <cell r="A242" t="str">
            <v>GB01N (20.5R25)</v>
          </cell>
          <cell r="B242" t="str">
            <v xml:space="preserve">CAT 14 (EN4) JD 624K (DW6)                                            </v>
          </cell>
          <cell r="C242" t="str">
            <v>TIRES 20.5R25</v>
          </cell>
          <cell r="D242">
            <v>2250</v>
          </cell>
          <cell r="E242">
            <v>1551.72</v>
          </cell>
          <cell r="F242">
            <v>1125</v>
          </cell>
          <cell r="G242" t="str">
            <v>UC</v>
          </cell>
          <cell r="H242">
            <v>10</v>
          </cell>
          <cell r="I242">
            <v>0</v>
          </cell>
          <cell r="J242">
            <v>0</v>
          </cell>
          <cell r="K242">
            <v>0</v>
          </cell>
          <cell r="L242">
            <v>10</v>
          </cell>
        </row>
        <row r="243">
          <cell r="A243" t="str">
            <v>GLC8S (26.5R25)</v>
          </cell>
          <cell r="B243" t="str">
            <v xml:space="preserve">KOM WA475-10 (120)                                              </v>
          </cell>
          <cell r="C243" t="str">
            <v>TIRE 26.5-R25</v>
          </cell>
          <cell r="D243">
            <v>3250</v>
          </cell>
          <cell r="E243">
            <v>2241.38</v>
          </cell>
          <cell r="F243">
            <v>1625</v>
          </cell>
          <cell r="G243" t="str">
            <v>UC</v>
          </cell>
          <cell r="H243">
            <v>4</v>
          </cell>
          <cell r="I243">
            <v>0</v>
          </cell>
          <cell r="J243">
            <v>0</v>
          </cell>
          <cell r="K243">
            <v>0</v>
          </cell>
          <cell r="L243">
            <v>4</v>
          </cell>
        </row>
        <row r="244">
          <cell r="A244" t="str">
            <v>GR-4 (13.00R24)</v>
          </cell>
          <cell r="B244" t="str">
            <v xml:space="preserve">CAT TL1055C (KDE)                                              </v>
          </cell>
          <cell r="C244" t="str">
            <v>TIRE 13.00-24</v>
          </cell>
          <cell r="D244">
            <v>4204.91</v>
          </cell>
          <cell r="E244">
            <v>2899.94</v>
          </cell>
          <cell r="F244">
            <v>2102.46</v>
          </cell>
          <cell r="G244" t="str">
            <v>UC</v>
          </cell>
          <cell r="H244">
            <v>4</v>
          </cell>
          <cell r="I244">
            <v>0</v>
          </cell>
          <cell r="J244">
            <v>0</v>
          </cell>
          <cell r="K244">
            <v>0</v>
          </cell>
          <cell r="L244">
            <v>4</v>
          </cell>
        </row>
        <row r="245">
          <cell r="A245" t="str">
            <v>PC138USLC_MS_MTO_23.6"_46LINK</v>
          </cell>
          <cell r="B245" t="str">
            <v xml:space="preserve">KOM PC138USLC-11 KOM PC238USLC-11 (1)                                            </v>
          </cell>
          <cell r="C245" t="str">
            <v>GQP KOMATSU PC138USLC-11 COMPLETE UC KIT</v>
          </cell>
          <cell r="D245">
            <v>48983.26</v>
          </cell>
          <cell r="E245">
            <v>33781.56</v>
          </cell>
          <cell r="F245">
            <v>26940.79</v>
          </cell>
          <cell r="G245" t="str">
            <v>UC</v>
          </cell>
          <cell r="H245">
            <v>1</v>
          </cell>
          <cell r="I245">
            <v>0</v>
          </cell>
          <cell r="J245">
            <v>0</v>
          </cell>
          <cell r="K245">
            <v>0</v>
          </cell>
          <cell r="L245">
            <v>1</v>
          </cell>
        </row>
        <row r="246">
          <cell r="A246" t="str">
            <v>PC238USLC_MS_MTO_27.6"_50LINK</v>
          </cell>
          <cell r="B246" t="str">
            <v xml:space="preserve">KOM PC238USLC-11 (2)                                              </v>
          </cell>
          <cell r="C246" t="str">
            <v>GQP KOMATSU PC238USLC-11 COMPLETE UC KIT</v>
          </cell>
          <cell r="D246">
            <v>41236.9</v>
          </cell>
          <cell r="E246">
            <v>28439.24</v>
          </cell>
          <cell r="F246">
            <v>22680.3</v>
          </cell>
          <cell r="G246" t="str">
            <v>UC</v>
          </cell>
          <cell r="H246">
            <v>2</v>
          </cell>
          <cell r="I246">
            <v>0</v>
          </cell>
          <cell r="J246">
            <v>0</v>
          </cell>
          <cell r="K246">
            <v>0</v>
          </cell>
          <cell r="L246">
            <v>2</v>
          </cell>
        </row>
        <row r="247">
          <cell r="A247" t="str">
            <v>PC290LC_MS_MTO_31.5_48LINK</v>
          </cell>
          <cell r="B247" t="str">
            <v xml:space="preserve">KOM PC290LC-11 (K73)                                              </v>
          </cell>
          <cell r="C247" t="str">
            <v>GQP KOMATSU PC290LC-11 COMPLETE UC KIT</v>
          </cell>
          <cell r="D247">
            <v>47683.519999999997</v>
          </cell>
          <cell r="E247">
            <v>32885.19</v>
          </cell>
          <cell r="F247">
            <v>26225.94</v>
          </cell>
          <cell r="G247" t="str">
            <v>UC</v>
          </cell>
          <cell r="H247">
            <v>1</v>
          </cell>
          <cell r="I247">
            <v>0</v>
          </cell>
          <cell r="J247">
            <v>0</v>
          </cell>
          <cell r="K247">
            <v>0</v>
          </cell>
          <cell r="L247">
            <v>1</v>
          </cell>
        </row>
        <row r="248">
          <cell r="A248" t="str">
            <v>PC360LC_MS_MTO_27.6_48LINK</v>
          </cell>
          <cell r="B248" t="str">
            <v xml:space="preserve">KOM PC360LC-11 (A37) KOM PC360LC-11 (A39) KOM PC360LC-11 (A39) (2)                                          </v>
          </cell>
          <cell r="C248" t="str">
            <v>GQP KOMATSU PC360LC-11 COMPLETE UC KIT</v>
          </cell>
          <cell r="D248">
            <v>52916.74</v>
          </cell>
          <cell r="E248">
            <v>36494.300000000003</v>
          </cell>
          <cell r="F248">
            <v>29104.21</v>
          </cell>
          <cell r="G248" t="str">
            <v>UC</v>
          </cell>
          <cell r="H248">
            <v>3</v>
          </cell>
          <cell r="I248">
            <v>0</v>
          </cell>
          <cell r="J248">
            <v>0</v>
          </cell>
          <cell r="K248">
            <v>0</v>
          </cell>
          <cell r="L248">
            <v>3</v>
          </cell>
        </row>
        <row r="249">
          <cell r="A249" t="str">
            <v>PC490LC_MS_MT_31.5"_49LINK</v>
          </cell>
          <cell r="B249" t="str">
    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    </cell>
          <cell r="C249" t="str">
            <v>GQP KOMATSU PC490LC-11 COMPLETE UC KIT</v>
          </cell>
          <cell r="D249">
            <v>105500.36</v>
          </cell>
          <cell r="E249">
            <v>72758.87</v>
          </cell>
          <cell r="F249">
            <v>58025.2</v>
          </cell>
          <cell r="G249" t="str">
            <v>UC</v>
          </cell>
          <cell r="H249">
            <v>9</v>
          </cell>
          <cell r="I249">
            <v>0</v>
          </cell>
          <cell r="J249">
            <v>0</v>
          </cell>
          <cell r="K249">
            <v>0</v>
          </cell>
          <cell r="L249">
            <v>9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1AB4-DFBE-4D76-97FE-0C7F33856F71}">
  <sheetPr filterMode="1">
    <pageSetUpPr fitToPage="1"/>
  </sheetPr>
  <dimension ref="B1:I74"/>
  <sheetViews>
    <sheetView workbookViewId="0">
      <selection activeCell="B13" sqref="B1:I13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127"/>
      <c r="C1" s="128"/>
      <c r="D1" s="128"/>
      <c r="E1" s="176" t="s">
        <v>28</v>
      </c>
      <c r="F1" s="150"/>
      <c r="G1" s="44"/>
      <c r="H1" s="149" t="s">
        <v>30</v>
      </c>
      <c r="I1" s="150"/>
    </row>
    <row r="2" spans="2:9" ht="15" customHeight="1" x14ac:dyDescent="0.25">
      <c r="B2" s="129"/>
      <c r="E2" s="177"/>
      <c r="F2" s="152"/>
      <c r="G2" s="45"/>
      <c r="H2" s="151"/>
      <c r="I2" s="152"/>
    </row>
    <row r="3" spans="2:9" ht="15" customHeight="1" x14ac:dyDescent="0.25">
      <c r="B3" s="129"/>
      <c r="E3" s="177"/>
      <c r="F3" s="152"/>
      <c r="G3" s="45"/>
      <c r="H3" s="151"/>
      <c r="I3" s="152"/>
    </row>
    <row r="4" spans="2:9" ht="15" customHeight="1" x14ac:dyDescent="0.25">
      <c r="B4" s="129"/>
      <c r="E4" s="177"/>
      <c r="F4" s="152"/>
      <c r="G4" s="45"/>
      <c r="H4" s="151"/>
      <c r="I4" s="152"/>
    </row>
    <row r="5" spans="2:9" ht="15" customHeight="1" x14ac:dyDescent="0.25">
      <c r="B5" s="130"/>
      <c r="C5" s="1"/>
      <c r="D5" s="1"/>
      <c r="E5" s="178"/>
      <c r="F5" s="154"/>
      <c r="G5" s="46"/>
      <c r="H5" s="153"/>
      <c r="I5" s="154"/>
    </row>
    <row r="6" spans="2:9" ht="36" x14ac:dyDescent="0.55000000000000004">
      <c r="B6" s="6"/>
      <c r="C6" s="7"/>
      <c r="D6" s="7"/>
      <c r="E6" s="8"/>
      <c r="F6" s="131"/>
      <c r="G6" s="8"/>
      <c r="H6" s="136"/>
      <c r="I6" s="131"/>
    </row>
    <row r="7" spans="2:9" x14ac:dyDescent="0.25">
      <c r="B7" s="132" t="s">
        <v>7</v>
      </c>
      <c r="C7" s="186" t="s">
        <v>290</v>
      </c>
      <c r="D7" s="187"/>
      <c r="E7" s="9" t="s">
        <v>8</v>
      </c>
      <c r="F7" s="133">
        <v>45870</v>
      </c>
      <c r="G7" s="124"/>
      <c r="H7" s="137" t="s">
        <v>9</v>
      </c>
      <c r="I7" s="138"/>
    </row>
    <row r="8" spans="2:9" x14ac:dyDescent="0.25">
      <c r="B8" s="134" t="s">
        <v>10</v>
      </c>
      <c r="C8" s="183">
        <v>0</v>
      </c>
      <c r="D8" s="183"/>
      <c r="E8" s="163" t="s">
        <v>11</v>
      </c>
      <c r="F8" s="164"/>
      <c r="G8" s="125"/>
      <c r="H8" s="171"/>
      <c r="I8" s="172"/>
    </row>
    <row r="9" spans="2:9" x14ac:dyDescent="0.25">
      <c r="B9" s="134" t="s">
        <v>12</v>
      </c>
      <c r="C9" s="183">
        <v>0</v>
      </c>
      <c r="D9" s="183"/>
      <c r="E9" s="163" t="s">
        <v>13</v>
      </c>
      <c r="F9" s="164"/>
      <c r="G9" s="125"/>
      <c r="H9" s="169"/>
      <c r="I9" s="170"/>
    </row>
    <row r="10" spans="2:9" x14ac:dyDescent="0.25">
      <c r="B10" s="134"/>
      <c r="C10" s="183">
        <v>0</v>
      </c>
      <c r="D10" s="183"/>
      <c r="E10" s="163" t="s">
        <v>14</v>
      </c>
      <c r="F10" s="164"/>
      <c r="G10" s="125"/>
      <c r="H10" s="165"/>
      <c r="I10" s="166"/>
    </row>
    <row r="11" spans="2:9" x14ac:dyDescent="0.25">
      <c r="B11" s="134"/>
      <c r="C11" s="183">
        <v>0</v>
      </c>
      <c r="D11" s="183"/>
      <c r="E11" s="163"/>
      <c r="F11" s="164"/>
      <c r="G11" s="125"/>
      <c r="H11" s="165"/>
      <c r="I11" s="166"/>
    </row>
    <row r="12" spans="2:9" x14ac:dyDescent="0.25">
      <c r="B12" s="146"/>
      <c r="C12" s="183">
        <v>0</v>
      </c>
      <c r="D12" s="183"/>
      <c r="E12" s="184"/>
      <c r="F12" s="185"/>
      <c r="G12" s="126"/>
      <c r="H12" s="167"/>
      <c r="I12" s="168"/>
    </row>
    <row r="13" spans="2:9" ht="15.75" thickBot="1" x14ac:dyDescent="0.3">
      <c r="B13" s="15"/>
      <c r="C13" s="16"/>
      <c r="D13" s="16"/>
      <c r="E13" s="16"/>
      <c r="F13" s="155" t="s">
        <v>3</v>
      </c>
      <c r="G13" s="156"/>
      <c r="H13" s="157"/>
      <c r="I13" s="155"/>
    </row>
    <row r="14" spans="2:9" ht="15.75" thickBot="1" x14ac:dyDescent="0.3">
      <c r="B14" s="142" t="s">
        <v>0</v>
      </c>
      <c r="C14" s="143" t="s">
        <v>15</v>
      </c>
      <c r="D14" s="144" t="s">
        <v>1</v>
      </c>
      <c r="E14" s="145" t="s">
        <v>2</v>
      </c>
      <c r="F14" s="145" t="s">
        <v>4</v>
      </c>
      <c r="G14" s="20"/>
      <c r="H14" s="145" t="s">
        <v>5</v>
      </c>
      <c r="I14" s="145" t="s">
        <v>16</v>
      </c>
    </row>
    <row r="15" spans="2:9" x14ac:dyDescent="0.25">
      <c r="B15" s="72" t="s">
        <v>44</v>
      </c>
      <c r="C15" s="73" t="str">
        <f>VLOOKUP($B15,'[1]Products by Part Number'!$A:$L,2,0)</f>
        <v xml:space="preserve">KOM WA320-8 (867) KOM WA320PZ-6 (729)                                            </v>
      </c>
      <c r="D15" s="73" t="str">
        <f>VLOOKUP($B15,'[1]Products by Part Number'!$A:$L,3,0)</f>
        <v xml:space="preserve">BATTERY </v>
      </c>
      <c r="E15" s="74">
        <f>VLOOKUP($B15,'[1]Products by Part Number'!$A:$L,12,0)</f>
        <v>4</v>
      </c>
      <c r="F15" s="91">
        <f>VLOOKUP($B15,'[1]Products by Part Number'!$A:$L,4,0)</f>
        <v>600.03</v>
      </c>
      <c r="G15" s="90">
        <f t="shared" ref="G15:G28" si="0">E15*F15</f>
        <v>2400.12</v>
      </c>
      <c r="H15" s="97">
        <f>VLOOKUP(B15,'[1]Products by Part Number'!$A:$L,6,0)</f>
        <v>300.02</v>
      </c>
      <c r="I15" s="77">
        <f t="shared" ref="I15:I67" si="1">ROUND(E15*H15,2)</f>
        <v>1200.08</v>
      </c>
    </row>
    <row r="16" spans="2:9" x14ac:dyDescent="0.25">
      <c r="B16" s="78" t="s">
        <v>45</v>
      </c>
      <c r="C16" s="68" t="str">
        <f>VLOOKUP($B16,'[1]Products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16" s="68" t="str">
        <f>VLOOKUP($B16,'[1]Products by Part Number'!$A:$L,3,0)</f>
        <v xml:space="preserve">BATTERY </v>
      </c>
      <c r="E16" s="69">
        <f>VLOOKUP($B16,'[1]Products by Part Number'!$A:$L,12,0)</f>
        <v>28</v>
      </c>
      <c r="F16" s="82">
        <f>VLOOKUP($B16,'[1]Products by Part Number'!$A:$L,4,0)</f>
        <v>583.87</v>
      </c>
      <c r="G16" s="90">
        <f t="shared" si="0"/>
        <v>16348.36</v>
      </c>
      <c r="H16" s="98">
        <f>VLOOKUP(B16,'[1]Products by Part Number'!$A:$L,6,0)</f>
        <v>291.94</v>
      </c>
      <c r="I16" s="79">
        <f t="shared" si="1"/>
        <v>8174.32</v>
      </c>
    </row>
    <row r="17" spans="2:9" x14ac:dyDescent="0.25">
      <c r="B17" s="78" t="s">
        <v>46</v>
      </c>
      <c r="C17" s="68" t="str">
        <f>VLOOKUP($B17,'[1]Products by Part Number'!$A:$L,2,0)</f>
        <v xml:space="preserve">KOM PC238USLC-11 (2)                                              </v>
      </c>
      <c r="D17" s="68" t="str">
        <f>VLOOKUP($B17,'[1]Products by Part Number'!$A:$L,3,0)</f>
        <v xml:space="preserve">BATTERY </v>
      </c>
      <c r="E17" s="69">
        <f>VLOOKUP($B17,'[1]Products by Part Number'!$A:$L,12,0)</f>
        <v>2</v>
      </c>
      <c r="F17" s="82">
        <f>VLOOKUP($B17,'[1]Products by Part Number'!$A:$L,4,0)</f>
        <v>444.7</v>
      </c>
      <c r="G17" s="90">
        <f t="shared" si="0"/>
        <v>889.4</v>
      </c>
      <c r="H17" s="98">
        <f>VLOOKUP(B17,'[1]Products by Part Number'!$A:$L,6,0)</f>
        <v>222.35</v>
      </c>
      <c r="I17" s="79">
        <f t="shared" si="1"/>
        <v>444.7</v>
      </c>
    </row>
    <row r="18" spans="2:9" x14ac:dyDescent="0.25">
      <c r="B18" s="78" t="s">
        <v>47</v>
      </c>
      <c r="C18" s="68" t="str">
        <f>VLOOKUP($B18,'[1]Products by Part Number'!$A:$L,2,0)</f>
        <v xml:space="preserve">KOM WA380-8 (1) KOM WA380-8 (2) KOM WA475-10 (120) KOM PC290LC-11 (K73)                                        </v>
      </c>
      <c r="D18" s="68" t="str">
        <f>VLOOKUP($B18,'[1]Products by Part Number'!$A:$L,3,0)</f>
        <v xml:space="preserve">BATTERY </v>
      </c>
      <c r="E18" s="69">
        <f>VLOOKUP($B18,'[1]Products by Part Number'!$A:$L,12,0)</f>
        <v>8</v>
      </c>
      <c r="F18" s="82">
        <f>VLOOKUP($B18,'[1]Products by Part Number'!$A:$L,4,0)</f>
        <v>483.17</v>
      </c>
      <c r="G18" s="90">
        <f t="shared" si="0"/>
        <v>3865.36</v>
      </c>
      <c r="H18" s="98">
        <f>VLOOKUP(B18,'[1]Products by Part Number'!$A:$L,6,0)</f>
        <v>241.59</v>
      </c>
      <c r="I18" s="79">
        <f t="shared" si="1"/>
        <v>1932.72</v>
      </c>
    </row>
    <row r="19" spans="2:9" x14ac:dyDescent="0.25">
      <c r="B19" s="78" t="s">
        <v>48</v>
      </c>
      <c r="C19" s="68" t="str">
        <f>VLOOKUP($B19,'[1]Products by Part Number'!$A:$L,2,0)</f>
        <v xml:space="preserve">CAT 255 CAT 255 (2) CAT 255 (FL7)                                          </v>
      </c>
      <c r="D19" s="68" t="str">
        <f>VLOOKUP($B19,'[1]Products by Part Number'!$A:$L,3,0)</f>
        <v>BATTERY 12 V 1000 CCA</v>
      </c>
      <c r="E19" s="69">
        <f>VLOOKUP($B19,'[1]Products by Part Number'!$A:$L,12,0)</f>
        <v>3</v>
      </c>
      <c r="F19" s="82">
        <f>VLOOKUP($B19,'[1]Products by Part Number'!$A:$L,4,0)</f>
        <v>505.03</v>
      </c>
      <c r="G19" s="90">
        <f t="shared" si="0"/>
        <v>1515.09</v>
      </c>
      <c r="H19" s="98">
        <f>VLOOKUP(B19,'[1]Products by Part Number'!$A:$L,6,0)</f>
        <v>252.52</v>
      </c>
      <c r="I19" s="79">
        <f t="shared" si="1"/>
        <v>757.56</v>
      </c>
    </row>
    <row r="20" spans="2:9" x14ac:dyDescent="0.25">
      <c r="B20" s="78" t="s">
        <v>49</v>
      </c>
      <c r="C20" s="68" t="str">
        <f>VLOOKUP($B20,'[1]Products by Part Number'!$A:$L,2,0)</f>
        <v xml:space="preserve">KOM D61PX-24 (B60)                                              </v>
      </c>
      <c r="D20" s="68" t="str">
        <f>VLOOKUP($B20,'[1]Products by Part Number'!$A:$L,3,0)</f>
        <v>BATTERY</v>
      </c>
      <c r="E20" s="69">
        <f>VLOOKUP($B20,'[1]Products by Part Number'!$A:$L,12,0)</f>
        <v>2</v>
      </c>
      <c r="F20" s="82">
        <f>VLOOKUP($B20,'[1]Products by Part Number'!$A:$L,4,0)</f>
        <v>631.66</v>
      </c>
      <c r="G20" s="90">
        <f t="shared" si="0"/>
        <v>1263.32</v>
      </c>
      <c r="H20" s="98">
        <f>VLOOKUP(B20,'[1]Products by Part Number'!$A:$L,6,0)</f>
        <v>315.83</v>
      </c>
      <c r="I20" s="79">
        <f t="shared" si="1"/>
        <v>631.66</v>
      </c>
    </row>
    <row r="21" spans="2:9" x14ac:dyDescent="0.25">
      <c r="B21" s="78" t="s">
        <v>38</v>
      </c>
      <c r="C21" s="68" t="str">
        <f>VLOOKUP($B21,'[1]Products by Part Number'!$A:$L,2,0)</f>
        <v xml:space="preserve">CAT 14 (EN4)                                              </v>
      </c>
      <c r="D21" s="68" t="str">
        <f>VLOOKUP($B21,'[1]Products by Part Number'!$A:$L,3,0)</f>
        <v>BATTERY 12V 1400 CCA</v>
      </c>
      <c r="E21" s="69">
        <f>VLOOKUP($B21,'[1]Products by Part Number'!$A:$L,12,0)</f>
        <v>2</v>
      </c>
      <c r="F21" s="82">
        <f>VLOOKUP($B21,'[1]Products by Part Number'!$A:$L,4,0)</f>
        <v>783.62</v>
      </c>
      <c r="G21" s="90">
        <f t="shared" si="0"/>
        <v>1567.24</v>
      </c>
      <c r="H21" s="98">
        <f>VLOOKUP(B21,'[1]Products by Part Number'!$A:$L,6,0)</f>
        <v>391.81</v>
      </c>
      <c r="I21" s="79">
        <f t="shared" si="1"/>
        <v>783.62</v>
      </c>
    </row>
    <row r="22" spans="2:9" x14ac:dyDescent="0.25">
      <c r="B22" s="78" t="s">
        <v>50</v>
      </c>
      <c r="C22" s="68" t="str">
        <f>VLOOKUP($B22,'[1]Products by Part Number'!$A:$L,2,0)</f>
        <v xml:space="preserve">CAT TL1055C (KDE)                                              </v>
      </c>
      <c r="D22" s="68" t="str">
        <f>VLOOKUP($B22,'[1]Products by Part Number'!$A:$L,3,0)</f>
        <v>BATTERY 12V 1000CCA</v>
      </c>
      <c r="E22" s="69">
        <f>VLOOKUP($B22,'[1]Products by Part Number'!$A:$L,12,0)</f>
        <v>1</v>
      </c>
      <c r="F22" s="82">
        <f>VLOOKUP($B22,'[1]Products by Part Number'!$A:$L,4,0)</f>
        <v>372.62</v>
      </c>
      <c r="G22" s="90">
        <f t="shared" si="0"/>
        <v>372.62</v>
      </c>
      <c r="H22" s="98">
        <f>VLOOKUP(B22,'[1]Products by Part Number'!$A:$L,6,0)</f>
        <v>186.31</v>
      </c>
      <c r="I22" s="79">
        <f t="shared" si="1"/>
        <v>186.31</v>
      </c>
    </row>
    <row r="23" spans="2:9" x14ac:dyDescent="0.25">
      <c r="B23" s="78" t="s">
        <v>51</v>
      </c>
      <c r="C23" s="68" t="str">
        <f>VLOOKUP($B23,'[1]Products by Part Number'!$A:$L,2,0)</f>
        <v xml:space="preserve">KOM PC138USLC-11 KOM PC238USLC-11 (1)                                            </v>
      </c>
      <c r="D23" s="68" t="str">
        <f>VLOOKUP($B23,'[1]Products by Part Number'!$A:$L,3,0)</f>
        <v xml:space="preserve">BATTERY </v>
      </c>
      <c r="E23" s="69">
        <f>VLOOKUP($B23,'[1]Products by Part Number'!$A:$L,12,0)</f>
        <v>4</v>
      </c>
      <c r="F23" s="82">
        <f>VLOOKUP($B23,'[1]Products by Part Number'!$A:$L,4,0)</f>
        <v>532.45000000000005</v>
      </c>
      <c r="G23" s="90">
        <f t="shared" si="0"/>
        <v>2129.8000000000002</v>
      </c>
      <c r="H23" s="98">
        <f>VLOOKUP(B23,'[1]Products by Part Number'!$A:$L,6,0)</f>
        <v>266.23</v>
      </c>
      <c r="I23" s="79">
        <f t="shared" si="1"/>
        <v>1064.92</v>
      </c>
    </row>
    <row r="24" spans="2:9" x14ac:dyDescent="0.25">
      <c r="B24" s="78" t="s">
        <v>52</v>
      </c>
      <c r="C24" s="68" t="str">
        <f>VLOOKUP($B24,'[1]Products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KOM PC360LC-11 (A37) KOM PC360LC-11 (A39) KOM PC360LC-11 (A39) (2)                        </v>
      </c>
      <c r="D24" s="68" t="str">
        <f>VLOOKUP($B24,'[1]Products by Part Number'!$A:$L,3,0)</f>
        <v>BATTERY</v>
      </c>
      <c r="E24" s="69">
        <f>VLOOKUP($B24,'[1]Products by Part Number'!$A:$L,12,0)</f>
        <v>24</v>
      </c>
      <c r="F24" s="82">
        <f>VLOOKUP($B24,'[1]Products by Part Number'!$A:$L,4,0)</f>
        <v>632.66</v>
      </c>
      <c r="G24" s="90">
        <f t="shared" si="0"/>
        <v>15183.84</v>
      </c>
      <c r="H24" s="98">
        <f>VLOOKUP(B24,'[1]Products by Part Number'!$A:$L,6,0)</f>
        <v>316.33</v>
      </c>
      <c r="I24" s="79">
        <f t="shared" si="1"/>
        <v>7591.92</v>
      </c>
    </row>
    <row r="25" spans="2:9" x14ac:dyDescent="0.25">
      <c r="B25" s="78" t="s">
        <v>41</v>
      </c>
      <c r="C25" s="68" t="str">
        <f>VLOOKUP($B25,'[1]Products by Part Number'!$A:$L,2,0)</f>
        <v xml:space="preserve">CAT 329EL (ZCD)                                              </v>
      </c>
      <c r="D25" s="68" t="str">
        <f>VLOOKUP($B25,'[1]Products by Part Number'!$A:$L,3,0)</f>
        <v>BATTERY 12V 900 CCA</v>
      </c>
      <c r="E25" s="69">
        <f>VLOOKUP($B25,'[1]Products by Part Number'!$A:$L,12,0)</f>
        <v>2</v>
      </c>
      <c r="F25" s="82">
        <f>VLOOKUP($B25,'[1]Products by Part Number'!$A:$L,4,0)</f>
        <v>486.48</v>
      </c>
      <c r="G25" s="90">
        <f t="shared" si="0"/>
        <v>972.96</v>
      </c>
      <c r="H25" s="98">
        <f>VLOOKUP(B25,'[1]Products by Part Number'!$A:$L,6,0)</f>
        <v>243.24</v>
      </c>
      <c r="I25" s="79">
        <f t="shared" si="1"/>
        <v>486.48</v>
      </c>
    </row>
    <row r="26" spans="2:9" x14ac:dyDescent="0.25">
      <c r="B26" s="78" t="s">
        <v>53</v>
      </c>
      <c r="C26" s="68" t="str">
        <f>VLOOKUP($B26,'[1]Products by Part Number'!$A:$L,2,0)</f>
        <v xml:space="preserve">JD 470P (1FF)                                              </v>
      </c>
      <c r="D26" s="68" t="str">
        <f>VLOOKUP($B26,'[1]Products by Part Number'!$A:$L,3,0)</f>
        <v>BATTERY</v>
      </c>
      <c r="E26" s="69">
        <f>VLOOKUP($B26,'[1]Products by Part Number'!$A:$L,12,0)</f>
        <v>2</v>
      </c>
      <c r="F26" s="82">
        <f>VLOOKUP($B26,'[1]Products by Part Number'!$A:$L,4,0)</f>
        <v>575.41859999999997</v>
      </c>
      <c r="G26" s="90">
        <f t="shared" si="0"/>
        <v>1150.8371999999999</v>
      </c>
      <c r="H26" s="98">
        <f>VLOOKUP(B26,'[1]Products by Part Number'!$A:$L,6,0)</f>
        <v>287.70999999999998</v>
      </c>
      <c r="I26" s="79">
        <f t="shared" si="1"/>
        <v>575.41999999999996</v>
      </c>
    </row>
    <row r="27" spans="2:9" x14ac:dyDescent="0.25">
      <c r="B27" s="78" t="s">
        <v>54</v>
      </c>
      <c r="C27" s="68" t="str">
        <f>VLOOKUP($B27,'[1]Products by Part Number'!$A:$L,2,0)</f>
        <v xml:space="preserve">JD 333G (1T0)                                              </v>
      </c>
      <c r="D27" s="68" t="str">
        <f>VLOOKUP($B27,'[1]Products by Part Number'!$A:$L,3,0)</f>
        <v>BATTERY 12 V 925 CCA</v>
      </c>
      <c r="E27" s="69">
        <f>VLOOKUP($B27,'[1]Products by Part Number'!$A:$L,12,0)</f>
        <v>1</v>
      </c>
      <c r="F27" s="82">
        <f>VLOOKUP($B27,'[1]Products by Part Number'!$A:$L,4,0)</f>
        <v>318.2004</v>
      </c>
      <c r="G27" s="90">
        <f t="shared" si="0"/>
        <v>318.2004</v>
      </c>
      <c r="H27" s="98">
        <f>VLOOKUP(B27,'[1]Products by Part Number'!$A:$L,6,0)</f>
        <v>159.1</v>
      </c>
      <c r="I27" s="79">
        <f t="shared" si="1"/>
        <v>159.1</v>
      </c>
    </row>
    <row r="28" spans="2:9" x14ac:dyDescent="0.25">
      <c r="B28" s="78" t="s">
        <v>55</v>
      </c>
      <c r="C28" s="68" t="str">
        <f>VLOOKUP($B28,'[1]Products by Part Number'!$A:$L,2,0)</f>
        <v xml:space="preserve">JD 624K (DW6) JD 764 (100)                                            </v>
      </c>
      <c r="D28" s="68" t="str">
        <f>VLOOKUP($B28,'[1]Products by Part Number'!$A:$L,3,0)</f>
        <v>BATTERY 12V 950CCA</v>
      </c>
      <c r="E28" s="69">
        <f>VLOOKUP($B28,'[1]Products by Part Number'!$A:$L,12,0)</f>
        <v>4</v>
      </c>
      <c r="F28" s="82">
        <f>VLOOKUP($B28,'[1]Products by Part Number'!$A:$L,4,0)</f>
        <v>318.2004</v>
      </c>
      <c r="G28" s="90">
        <f t="shared" si="0"/>
        <v>1272.8016</v>
      </c>
      <c r="H28" s="98">
        <f>VLOOKUP(B28,'[1]Products by Part Number'!$A:$L,6,0)</f>
        <v>159.1</v>
      </c>
      <c r="I28" s="79">
        <f t="shared" si="1"/>
        <v>636.4</v>
      </c>
    </row>
    <row r="29" spans="2:9" ht="15.75" thickBot="1" x14ac:dyDescent="0.3">
      <c r="B29" s="93"/>
      <c r="C29" s="85"/>
      <c r="D29" s="85"/>
      <c r="E29" s="86"/>
      <c r="F29" s="89"/>
      <c r="G29" s="90">
        <f t="shared" ref="G29" si="2">E29*F29</f>
        <v>0</v>
      </c>
      <c r="H29" s="117"/>
      <c r="I29" s="118">
        <f t="shared" si="1"/>
        <v>0</v>
      </c>
    </row>
    <row r="30" spans="2:9" hidden="1" x14ac:dyDescent="0.25">
      <c r="B30" s="22" t="s">
        <v>55</v>
      </c>
      <c r="C30" s="22"/>
      <c r="D30" s="22"/>
      <c r="E30" s="23"/>
      <c r="F30" s="24"/>
      <c r="G30" s="24"/>
      <c r="H30" s="25"/>
      <c r="I30" s="26">
        <f t="shared" si="1"/>
        <v>0</v>
      </c>
    </row>
    <row r="31" spans="2:9" hidden="1" x14ac:dyDescent="0.25">
      <c r="B31" s="22"/>
      <c r="C31" s="22"/>
      <c r="D31" s="22"/>
      <c r="E31" s="23"/>
      <c r="F31" s="24"/>
      <c r="G31" s="24"/>
      <c r="H31" s="25"/>
      <c r="I31" s="26">
        <f t="shared" si="1"/>
        <v>0</v>
      </c>
    </row>
    <row r="32" spans="2:9" hidden="1" x14ac:dyDescent="0.25">
      <c r="B32" s="22"/>
      <c r="C32" s="22"/>
      <c r="D32" s="22"/>
      <c r="E32" s="23"/>
      <c r="F32" s="24"/>
      <c r="G32" s="24"/>
      <c r="H32" s="25"/>
      <c r="I32" s="26">
        <f t="shared" si="1"/>
        <v>0</v>
      </c>
    </row>
    <row r="33" spans="2:9" hidden="1" x14ac:dyDescent="0.25">
      <c r="B33" s="22"/>
      <c r="C33" s="22"/>
      <c r="D33" s="22"/>
      <c r="E33" s="23"/>
      <c r="F33" s="24"/>
      <c r="G33" s="24"/>
      <c r="H33" s="25"/>
      <c r="I33" s="26">
        <f t="shared" si="1"/>
        <v>0</v>
      </c>
    </row>
    <row r="34" spans="2:9" hidden="1" x14ac:dyDescent="0.25">
      <c r="B34" s="22"/>
      <c r="C34" s="22"/>
      <c r="D34" s="22"/>
      <c r="E34" s="23"/>
      <c r="F34" s="24"/>
      <c r="G34" s="24"/>
      <c r="H34" s="25"/>
      <c r="I34" s="26">
        <f t="shared" si="1"/>
        <v>0</v>
      </c>
    </row>
    <row r="35" spans="2:9" hidden="1" x14ac:dyDescent="0.25">
      <c r="B35" s="22"/>
      <c r="C35" s="22"/>
      <c r="D35" s="22"/>
      <c r="E35" s="23"/>
      <c r="F35" s="24"/>
      <c r="G35" s="24"/>
      <c r="H35" s="25"/>
      <c r="I35" s="26">
        <f t="shared" si="1"/>
        <v>0</v>
      </c>
    </row>
    <row r="36" spans="2:9" hidden="1" x14ac:dyDescent="0.25">
      <c r="B36" s="22"/>
      <c r="C36" s="22"/>
      <c r="D36" s="22"/>
      <c r="E36" s="23"/>
      <c r="F36" s="24"/>
      <c r="G36" s="24"/>
      <c r="H36" s="25"/>
      <c r="I36" s="26">
        <f t="shared" si="1"/>
        <v>0</v>
      </c>
    </row>
    <row r="37" spans="2:9" hidden="1" x14ac:dyDescent="0.25">
      <c r="B37" s="22"/>
      <c r="C37" s="22"/>
      <c r="D37" s="22"/>
      <c r="E37" s="23"/>
      <c r="F37" s="24"/>
      <c r="G37" s="24"/>
      <c r="H37" s="25"/>
      <c r="I37" s="26">
        <f t="shared" si="1"/>
        <v>0</v>
      </c>
    </row>
    <row r="38" spans="2:9" hidden="1" x14ac:dyDescent="0.25">
      <c r="B38" s="22"/>
      <c r="C38" s="22"/>
      <c r="D38" s="22"/>
      <c r="E38" s="23"/>
      <c r="F38" s="24"/>
      <c r="G38" s="24"/>
      <c r="H38" s="25"/>
      <c r="I38" s="26">
        <f t="shared" si="1"/>
        <v>0</v>
      </c>
    </row>
    <row r="39" spans="2:9" hidden="1" x14ac:dyDescent="0.25">
      <c r="B39" s="22"/>
      <c r="C39" s="22"/>
      <c r="D39" s="22"/>
      <c r="E39" s="23"/>
      <c r="F39" s="24"/>
      <c r="G39" s="24"/>
      <c r="H39" s="25"/>
      <c r="I39" s="26">
        <f t="shared" si="1"/>
        <v>0</v>
      </c>
    </row>
    <row r="40" spans="2:9" hidden="1" x14ac:dyDescent="0.25">
      <c r="B40" s="22"/>
      <c r="C40" s="22"/>
      <c r="D40" s="22"/>
      <c r="E40" s="23"/>
      <c r="F40" s="24"/>
      <c r="G40" s="24"/>
      <c r="H40" s="25"/>
      <c r="I40" s="26">
        <f t="shared" si="1"/>
        <v>0</v>
      </c>
    </row>
    <row r="41" spans="2:9" hidden="1" x14ac:dyDescent="0.25">
      <c r="B41" s="22"/>
      <c r="C41" s="22"/>
      <c r="D41" s="22"/>
      <c r="E41" s="23"/>
      <c r="F41" s="24"/>
      <c r="G41" s="24"/>
      <c r="H41" s="25"/>
      <c r="I41" s="26">
        <f t="shared" si="1"/>
        <v>0</v>
      </c>
    </row>
    <row r="42" spans="2:9" hidden="1" x14ac:dyDescent="0.25">
      <c r="B42" s="22"/>
      <c r="C42" s="22"/>
      <c r="D42" s="22"/>
      <c r="E42" s="23"/>
      <c r="F42" s="24"/>
      <c r="G42" s="24"/>
      <c r="H42" s="25"/>
      <c r="I42" s="26">
        <f t="shared" si="1"/>
        <v>0</v>
      </c>
    </row>
    <row r="43" spans="2:9" hidden="1" x14ac:dyDescent="0.25">
      <c r="B43" s="22"/>
      <c r="C43" s="22"/>
      <c r="D43" s="22"/>
      <c r="E43" s="23"/>
      <c r="F43" s="24"/>
      <c r="G43" s="24"/>
      <c r="H43" s="25"/>
      <c r="I43" s="26">
        <f t="shared" si="1"/>
        <v>0</v>
      </c>
    </row>
    <row r="44" spans="2:9" hidden="1" x14ac:dyDescent="0.25">
      <c r="B44" s="22"/>
      <c r="C44" s="22"/>
      <c r="D44" s="22"/>
      <c r="E44" s="23"/>
      <c r="F44" s="24"/>
      <c r="G44" s="24"/>
      <c r="H44" s="25"/>
      <c r="I44" s="26">
        <f t="shared" si="1"/>
        <v>0</v>
      </c>
    </row>
    <row r="45" spans="2:9" hidden="1" x14ac:dyDescent="0.25">
      <c r="B45" s="22"/>
      <c r="C45" s="22"/>
      <c r="D45" s="22"/>
      <c r="E45" s="23"/>
      <c r="F45" s="24"/>
      <c r="G45" s="24"/>
      <c r="H45" s="25"/>
      <c r="I45" s="26">
        <f t="shared" si="1"/>
        <v>0</v>
      </c>
    </row>
    <row r="46" spans="2:9" hidden="1" x14ac:dyDescent="0.25">
      <c r="B46" s="22"/>
      <c r="C46" s="22"/>
      <c r="D46" s="22"/>
      <c r="E46" s="23"/>
      <c r="F46" s="24"/>
      <c r="G46" s="24"/>
      <c r="H46" s="25"/>
      <c r="I46" s="26">
        <f t="shared" si="1"/>
        <v>0</v>
      </c>
    </row>
    <row r="47" spans="2:9" hidden="1" x14ac:dyDescent="0.25">
      <c r="B47" s="22"/>
      <c r="C47" s="22"/>
      <c r="D47" s="22"/>
      <c r="E47" s="23"/>
      <c r="F47" s="24"/>
      <c r="G47" s="24"/>
      <c r="H47" s="25"/>
      <c r="I47" s="26">
        <f t="shared" si="1"/>
        <v>0</v>
      </c>
    </row>
    <row r="48" spans="2:9" hidden="1" x14ac:dyDescent="0.25">
      <c r="B48" s="22"/>
      <c r="C48" s="22"/>
      <c r="D48" s="22"/>
      <c r="E48" s="23"/>
      <c r="F48" s="24"/>
      <c r="G48" s="24"/>
      <c r="H48" s="25"/>
      <c r="I48" s="26">
        <f t="shared" si="1"/>
        <v>0</v>
      </c>
    </row>
    <row r="49" spans="2:9" hidden="1" x14ac:dyDescent="0.25">
      <c r="B49" s="22"/>
      <c r="C49" s="22"/>
      <c r="D49" s="22"/>
      <c r="E49" s="23"/>
      <c r="F49" s="24"/>
      <c r="G49" s="24"/>
      <c r="H49" s="25"/>
      <c r="I49" s="26">
        <f t="shared" si="1"/>
        <v>0</v>
      </c>
    </row>
    <row r="50" spans="2:9" hidden="1" x14ac:dyDescent="0.25">
      <c r="B50" s="22"/>
      <c r="C50" s="22"/>
      <c r="D50" s="22"/>
      <c r="E50" s="23"/>
      <c r="F50" s="24"/>
      <c r="G50" s="24"/>
      <c r="H50" s="25"/>
      <c r="I50" s="26">
        <f t="shared" si="1"/>
        <v>0</v>
      </c>
    </row>
    <row r="51" spans="2:9" hidden="1" x14ac:dyDescent="0.25">
      <c r="B51" s="22"/>
      <c r="C51" s="22"/>
      <c r="D51" s="22"/>
      <c r="E51" s="23"/>
      <c r="F51" s="24"/>
      <c r="G51" s="24"/>
      <c r="H51" s="25"/>
      <c r="I51" s="26">
        <f t="shared" si="1"/>
        <v>0</v>
      </c>
    </row>
    <row r="52" spans="2:9" hidden="1" x14ac:dyDescent="0.25">
      <c r="B52" s="22"/>
      <c r="C52" s="22"/>
      <c r="D52" s="22"/>
      <c r="E52" s="23"/>
      <c r="F52" s="24"/>
      <c r="G52" s="24"/>
      <c r="H52" s="25"/>
      <c r="I52" s="26">
        <f t="shared" si="1"/>
        <v>0</v>
      </c>
    </row>
    <row r="53" spans="2:9" hidden="1" x14ac:dyDescent="0.25">
      <c r="B53" s="22"/>
      <c r="C53" s="22"/>
      <c r="D53" s="22"/>
      <c r="E53" s="23"/>
      <c r="F53" s="24"/>
      <c r="G53" s="24"/>
      <c r="H53" s="25"/>
      <c r="I53" s="26">
        <f t="shared" si="1"/>
        <v>0</v>
      </c>
    </row>
    <row r="54" spans="2:9" hidden="1" x14ac:dyDescent="0.25">
      <c r="B54" s="22"/>
      <c r="C54" s="22"/>
      <c r="D54" s="22"/>
      <c r="E54" s="23"/>
      <c r="F54" s="24"/>
      <c r="G54" s="24"/>
      <c r="H54" s="25"/>
      <c r="I54" s="26">
        <f t="shared" si="1"/>
        <v>0</v>
      </c>
    </row>
    <row r="55" spans="2:9" hidden="1" x14ac:dyDescent="0.25">
      <c r="B55" s="22"/>
      <c r="C55" s="22"/>
      <c r="D55" s="22"/>
      <c r="E55" s="23"/>
      <c r="F55" s="24"/>
      <c r="G55" s="24"/>
      <c r="H55" s="25"/>
      <c r="I55" s="26">
        <f t="shared" si="1"/>
        <v>0</v>
      </c>
    </row>
    <row r="56" spans="2:9" hidden="1" x14ac:dyDescent="0.25">
      <c r="B56" s="22"/>
      <c r="C56" s="22"/>
      <c r="D56" s="22"/>
      <c r="E56" s="23"/>
      <c r="F56" s="24"/>
      <c r="G56" s="24"/>
      <c r="H56" s="25"/>
      <c r="I56" s="26">
        <f t="shared" si="1"/>
        <v>0</v>
      </c>
    </row>
    <row r="57" spans="2:9" hidden="1" x14ac:dyDescent="0.25">
      <c r="B57" s="22"/>
      <c r="C57" s="22"/>
      <c r="D57" s="22"/>
      <c r="E57" s="23"/>
      <c r="F57" s="24"/>
      <c r="G57" s="24"/>
      <c r="H57" s="25"/>
      <c r="I57" s="26">
        <f t="shared" si="1"/>
        <v>0</v>
      </c>
    </row>
    <row r="58" spans="2:9" hidden="1" x14ac:dyDescent="0.25">
      <c r="B58" s="22"/>
      <c r="C58" s="22"/>
      <c r="D58" s="22"/>
      <c r="E58" s="23"/>
      <c r="F58" s="24"/>
      <c r="G58" s="24"/>
      <c r="H58" s="25"/>
      <c r="I58" s="26">
        <f t="shared" si="1"/>
        <v>0</v>
      </c>
    </row>
    <row r="59" spans="2:9" hidden="1" x14ac:dyDescent="0.25">
      <c r="B59" s="22"/>
      <c r="C59" s="22"/>
      <c r="D59" s="22"/>
      <c r="E59" s="23"/>
      <c r="F59" s="24"/>
      <c r="G59" s="24"/>
      <c r="H59" s="25"/>
      <c r="I59" s="26">
        <f t="shared" si="1"/>
        <v>0</v>
      </c>
    </row>
    <row r="60" spans="2:9" hidden="1" x14ac:dyDescent="0.25">
      <c r="B60" s="22"/>
      <c r="C60" s="22"/>
      <c r="D60" s="22"/>
      <c r="E60" s="23"/>
      <c r="F60" s="24"/>
      <c r="G60" s="24"/>
      <c r="H60" s="25"/>
      <c r="I60" s="26">
        <f t="shared" si="1"/>
        <v>0</v>
      </c>
    </row>
    <row r="61" spans="2:9" hidden="1" x14ac:dyDescent="0.25">
      <c r="B61" s="22"/>
      <c r="C61" s="22"/>
      <c r="D61" s="22"/>
      <c r="E61" s="23"/>
      <c r="F61" s="24"/>
      <c r="G61" s="24"/>
      <c r="H61" s="25"/>
      <c r="I61" s="26">
        <f t="shared" si="1"/>
        <v>0</v>
      </c>
    </row>
    <row r="62" spans="2:9" hidden="1" x14ac:dyDescent="0.25">
      <c r="B62" s="22"/>
      <c r="C62" s="22"/>
      <c r="D62" s="22"/>
      <c r="E62" s="23"/>
      <c r="F62" s="24"/>
      <c r="G62" s="24"/>
      <c r="H62" s="25"/>
      <c r="I62" s="26">
        <f t="shared" si="1"/>
        <v>0</v>
      </c>
    </row>
    <row r="63" spans="2:9" hidden="1" x14ac:dyDescent="0.25">
      <c r="B63" s="22"/>
      <c r="C63" s="22"/>
      <c r="D63" s="22"/>
      <c r="E63" s="23"/>
      <c r="F63" s="24"/>
      <c r="G63" s="24"/>
      <c r="H63" s="25"/>
      <c r="I63" s="26">
        <f t="shared" si="1"/>
        <v>0</v>
      </c>
    </row>
    <row r="64" spans="2:9" hidden="1" x14ac:dyDescent="0.25">
      <c r="B64" s="22"/>
      <c r="C64" s="22"/>
      <c r="D64" s="22"/>
      <c r="E64" s="23"/>
      <c r="F64" s="24"/>
      <c r="G64" s="24"/>
      <c r="H64" s="25"/>
      <c r="I64" s="26">
        <f t="shared" si="1"/>
        <v>0</v>
      </c>
    </row>
    <row r="65" spans="2:9" hidden="1" x14ac:dyDescent="0.25">
      <c r="B65" s="22"/>
      <c r="C65" s="22"/>
      <c r="D65" s="22"/>
      <c r="E65" s="23"/>
      <c r="F65" s="24"/>
      <c r="G65" s="24"/>
      <c r="H65" s="25"/>
      <c r="I65" s="26">
        <f t="shared" si="1"/>
        <v>0</v>
      </c>
    </row>
    <row r="66" spans="2:9" hidden="1" x14ac:dyDescent="0.25">
      <c r="B66" s="22"/>
      <c r="C66" s="22"/>
      <c r="D66" s="22"/>
      <c r="E66" s="23"/>
      <c r="F66" s="24"/>
      <c r="G66" s="24"/>
      <c r="H66" s="25"/>
      <c r="I66" s="26">
        <f t="shared" si="1"/>
        <v>0</v>
      </c>
    </row>
    <row r="67" spans="2:9" hidden="1" x14ac:dyDescent="0.25">
      <c r="B67" s="103"/>
      <c r="C67" s="103"/>
      <c r="D67" s="103"/>
      <c r="E67" s="104"/>
      <c r="F67" s="60"/>
      <c r="G67" s="24"/>
      <c r="H67" s="105"/>
      <c r="I67" s="106">
        <f t="shared" si="1"/>
        <v>0</v>
      </c>
    </row>
    <row r="68" spans="2:9" x14ac:dyDescent="0.25">
      <c r="B68" s="158"/>
      <c r="C68" s="159"/>
      <c r="D68" s="159"/>
      <c r="E68" s="159"/>
      <c r="F68" s="160"/>
      <c r="G68" s="59"/>
      <c r="H68" s="109" t="s">
        <v>17</v>
      </c>
      <c r="I68" s="110">
        <f>SUM(I15:I67)</f>
        <v>24625.209999999995</v>
      </c>
    </row>
    <row r="69" spans="2:9" x14ac:dyDescent="0.25">
      <c r="B69" s="107"/>
      <c r="C69" s="31"/>
      <c r="D69" s="32" t="s">
        <v>18</v>
      </c>
      <c r="E69" s="161">
        <f>SUM(G15:G67)</f>
        <v>49249.949200000003</v>
      </c>
      <c r="F69" s="162"/>
      <c r="G69" s="61"/>
      <c r="H69" s="111" t="s">
        <v>19</v>
      </c>
      <c r="I69" s="112">
        <v>0</v>
      </c>
    </row>
    <row r="70" spans="2:9" x14ac:dyDescent="0.25">
      <c r="B70" s="107"/>
      <c r="C70" s="31"/>
      <c r="D70" s="32" t="s">
        <v>20</v>
      </c>
      <c r="E70" s="161">
        <f>SUM(I15:I67)</f>
        <v>24625.209999999995</v>
      </c>
      <c r="F70" s="162"/>
      <c r="G70" s="61"/>
      <c r="H70" s="113" t="s">
        <v>21</v>
      </c>
      <c r="I70" s="112">
        <v>0</v>
      </c>
    </row>
    <row r="71" spans="2:9" x14ac:dyDescent="0.25">
      <c r="B71" s="107"/>
      <c r="C71" s="31"/>
      <c r="D71" s="32" t="s">
        <v>22</v>
      </c>
      <c r="E71" s="179">
        <f>E69-E70</f>
        <v>24624.739200000007</v>
      </c>
      <c r="F71" s="180"/>
      <c r="G71" s="62"/>
      <c r="H71" s="111" t="s">
        <v>23</v>
      </c>
      <c r="I71" s="114">
        <f>SUM(I68:I70)</f>
        <v>24625.209999999995</v>
      </c>
    </row>
    <row r="72" spans="2:9" x14ac:dyDescent="0.25">
      <c r="B72" s="107"/>
      <c r="C72" s="31"/>
      <c r="D72" s="32"/>
      <c r="E72" s="181"/>
      <c r="F72" s="182"/>
      <c r="G72" s="63"/>
      <c r="H72" s="111" t="s">
        <v>24</v>
      </c>
      <c r="I72" s="114">
        <f>I71*0.05</f>
        <v>1231.2604999999999</v>
      </c>
    </row>
    <row r="73" spans="2:9" x14ac:dyDescent="0.25">
      <c r="B73" s="107"/>
      <c r="C73" s="31"/>
      <c r="D73" s="39"/>
      <c r="E73" s="39"/>
      <c r="F73" s="108"/>
      <c r="G73" s="39"/>
      <c r="H73" s="111" t="s">
        <v>25</v>
      </c>
      <c r="I73" s="112"/>
    </row>
    <row r="74" spans="2:9" ht="16.5" thickBot="1" x14ac:dyDescent="0.3">
      <c r="B74" s="173" t="s">
        <v>26</v>
      </c>
      <c r="C74" s="174"/>
      <c r="D74" s="174"/>
      <c r="E74" s="174"/>
      <c r="F74" s="175"/>
      <c r="G74" s="58"/>
      <c r="H74" s="115" t="s">
        <v>27</v>
      </c>
      <c r="I74" s="116">
        <f>SUM(I71:I73)</f>
        <v>25856.470499999996</v>
      </c>
    </row>
  </sheetData>
  <autoFilter ref="B14:I74" xr:uid="{79A81AB4-DFBE-4D76-97FE-0C7F33856F71}">
    <filterColumn colId="6">
      <customFilters>
        <customFilter operator="notEqual" val=" "/>
      </customFilters>
    </filterColumn>
  </autoFilter>
  <mergeCells count="25">
    <mergeCell ref="B74:F74"/>
    <mergeCell ref="E1:F5"/>
    <mergeCell ref="E71:F71"/>
    <mergeCell ref="E72:F72"/>
    <mergeCell ref="C10:D10"/>
    <mergeCell ref="C11:D11"/>
    <mergeCell ref="C12:D12"/>
    <mergeCell ref="E9:F9"/>
    <mergeCell ref="E12:F12"/>
    <mergeCell ref="E10:F10"/>
    <mergeCell ref="C7:D7"/>
    <mergeCell ref="C8:D8"/>
    <mergeCell ref="C9:D9"/>
    <mergeCell ref="E8:F8"/>
    <mergeCell ref="H1:I5"/>
    <mergeCell ref="F13:I13"/>
    <mergeCell ref="B68:F68"/>
    <mergeCell ref="E69:F69"/>
    <mergeCell ref="E70:F70"/>
    <mergeCell ref="E11:F11"/>
    <mergeCell ref="H11:I11"/>
    <mergeCell ref="H12:I12"/>
    <mergeCell ref="H10:I10"/>
    <mergeCell ref="H9:I9"/>
    <mergeCell ref="H8:I8"/>
  </mergeCells>
  <pageMargins left="0.7" right="0.7" top="0.75" bottom="0.75" header="0.3" footer="0.3"/>
  <pageSetup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4896-BE02-46CA-91FA-FECA84C37650}">
  <sheetPr filterMode="1">
    <pageSetUpPr fitToPage="1"/>
  </sheetPr>
  <dimension ref="B1:I90"/>
  <sheetViews>
    <sheetView workbookViewId="0">
      <selection activeCell="B13" sqref="B1:I13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127"/>
      <c r="C1" s="128"/>
      <c r="D1" s="128"/>
      <c r="E1" s="176" t="s">
        <v>28</v>
      </c>
      <c r="F1" s="150"/>
      <c r="G1" s="44"/>
      <c r="H1" s="149" t="s">
        <v>289</v>
      </c>
      <c r="I1" s="150"/>
    </row>
    <row r="2" spans="2:9" ht="15" customHeight="1" x14ac:dyDescent="0.25">
      <c r="B2" s="129"/>
      <c r="E2" s="177"/>
      <c r="F2" s="152"/>
      <c r="G2" s="45"/>
      <c r="H2" s="151"/>
      <c r="I2" s="152"/>
    </row>
    <row r="3" spans="2:9" ht="15" customHeight="1" x14ac:dyDescent="0.25">
      <c r="B3" s="129"/>
      <c r="E3" s="177"/>
      <c r="F3" s="152"/>
      <c r="G3" s="45"/>
      <c r="H3" s="151"/>
      <c r="I3" s="152"/>
    </row>
    <row r="4" spans="2:9" ht="15" customHeight="1" x14ac:dyDescent="0.25">
      <c r="B4" s="129"/>
      <c r="E4" s="177"/>
      <c r="F4" s="152"/>
      <c r="G4" s="45"/>
      <c r="H4" s="151"/>
      <c r="I4" s="152"/>
    </row>
    <row r="5" spans="2:9" ht="15" customHeight="1" x14ac:dyDescent="0.25">
      <c r="B5" s="130"/>
      <c r="C5" s="1"/>
      <c r="D5" s="1"/>
      <c r="E5" s="178"/>
      <c r="F5" s="154"/>
      <c r="G5" s="46"/>
      <c r="H5" s="153"/>
      <c r="I5" s="154"/>
    </row>
    <row r="6" spans="2:9" ht="36" x14ac:dyDescent="0.55000000000000004">
      <c r="B6" s="6"/>
      <c r="C6" s="7"/>
      <c r="D6" s="7"/>
      <c r="E6" s="8"/>
      <c r="F6" s="131"/>
      <c r="G6" s="8"/>
      <c r="H6" s="136"/>
      <c r="I6" s="131"/>
    </row>
    <row r="7" spans="2:9" x14ac:dyDescent="0.25">
      <c r="B7" s="132" t="s">
        <v>7</v>
      </c>
      <c r="C7" s="186" t="s">
        <v>290</v>
      </c>
      <c r="D7" s="187"/>
      <c r="E7" s="9" t="s">
        <v>8</v>
      </c>
      <c r="F7" s="133">
        <v>45870</v>
      </c>
      <c r="G7" s="139"/>
      <c r="H7" s="137" t="s">
        <v>9</v>
      </c>
      <c r="I7" s="138"/>
    </row>
    <row r="8" spans="2:9" x14ac:dyDescent="0.25">
      <c r="B8" s="134" t="s">
        <v>10</v>
      </c>
      <c r="C8" s="183">
        <v>0</v>
      </c>
      <c r="D8" s="183"/>
      <c r="E8" s="163" t="s">
        <v>11</v>
      </c>
      <c r="F8" s="164"/>
      <c r="G8" s="140"/>
      <c r="H8" s="171"/>
      <c r="I8" s="172"/>
    </row>
    <row r="9" spans="2:9" x14ac:dyDescent="0.25">
      <c r="B9" s="134" t="s">
        <v>12</v>
      </c>
      <c r="C9" s="183">
        <v>0</v>
      </c>
      <c r="D9" s="183"/>
      <c r="E9" s="163" t="s">
        <v>13</v>
      </c>
      <c r="F9" s="164"/>
      <c r="G9" s="140"/>
      <c r="H9" s="169"/>
      <c r="I9" s="170"/>
    </row>
    <row r="10" spans="2:9" x14ac:dyDescent="0.25">
      <c r="B10" s="134"/>
      <c r="C10" s="183">
        <v>0</v>
      </c>
      <c r="D10" s="183"/>
      <c r="E10" s="163" t="s">
        <v>14</v>
      </c>
      <c r="F10" s="164"/>
      <c r="G10" s="140"/>
      <c r="H10" s="165"/>
      <c r="I10" s="166"/>
    </row>
    <row r="11" spans="2:9" x14ac:dyDescent="0.25">
      <c r="B11" s="134"/>
      <c r="C11" s="183">
        <v>0</v>
      </c>
      <c r="D11" s="183"/>
      <c r="E11" s="163"/>
      <c r="F11" s="164"/>
      <c r="G11" s="140"/>
      <c r="H11" s="165"/>
      <c r="I11" s="166"/>
    </row>
    <row r="12" spans="2:9" ht="15.75" thickBot="1" x14ac:dyDescent="0.3">
      <c r="B12" s="135"/>
      <c r="C12" s="188">
        <v>0</v>
      </c>
      <c r="D12" s="188"/>
      <c r="E12" s="189"/>
      <c r="F12" s="190"/>
      <c r="G12" s="141"/>
      <c r="H12" s="191"/>
      <c r="I12" s="192"/>
    </row>
    <row r="13" spans="2:9" ht="15.75" thickBot="1" x14ac:dyDescent="0.3">
      <c r="B13" s="15"/>
      <c r="C13" s="16"/>
      <c r="D13" s="16"/>
      <c r="E13" s="16"/>
      <c r="F13" s="193" t="s">
        <v>3</v>
      </c>
      <c r="G13" s="156"/>
      <c r="H13" s="194"/>
      <c r="I13" s="193"/>
    </row>
    <row r="14" spans="2:9" ht="15.75" thickBot="1" x14ac:dyDescent="0.3">
      <c r="B14" s="142" t="s">
        <v>0</v>
      </c>
      <c r="C14" s="143" t="s">
        <v>15</v>
      </c>
      <c r="D14" s="144" t="s">
        <v>1</v>
      </c>
      <c r="E14" s="145" t="s">
        <v>2</v>
      </c>
      <c r="F14" s="145" t="s">
        <v>4</v>
      </c>
      <c r="G14" s="20"/>
      <c r="H14" s="145" t="s">
        <v>5</v>
      </c>
      <c r="I14" s="145" t="s">
        <v>16</v>
      </c>
    </row>
    <row r="15" spans="2:9" x14ac:dyDescent="0.25">
      <c r="B15" s="72" t="s">
        <v>56</v>
      </c>
      <c r="C15" s="73" t="str">
        <f>VLOOKUP($B15,'[1]Products by Part Number'!$A:$L,2,0)</f>
        <v xml:space="preserve">CAT 329EL (ZCD)                                              </v>
      </c>
      <c r="D15" s="73" t="str">
        <f>VLOOKUP($B15,'[1]Products by Part Number'!$A:$L,3,0)</f>
        <v>CAMSHAFT</v>
      </c>
      <c r="E15" s="74">
        <f>VLOOKUP($B15,'[1]Products by Part Number'!$A:$L,12,0)</f>
        <v>1</v>
      </c>
      <c r="F15" s="91">
        <f>VLOOKUP($B15,'[1]Products by Part Number'!$A:$L,4,0)</f>
        <v>1834.21</v>
      </c>
      <c r="G15" s="90">
        <f t="shared" ref="G15:G38" si="0">E15*F15</f>
        <v>1834.21</v>
      </c>
      <c r="H15" s="97">
        <f>VLOOKUP($B15,'[1]Products by Part Number'!$A:$L,6,0)</f>
        <v>917.11</v>
      </c>
      <c r="I15" s="77">
        <f>E15*H15</f>
        <v>917.11</v>
      </c>
    </row>
    <row r="16" spans="2:9" x14ac:dyDescent="0.25">
      <c r="B16" s="78" t="s">
        <v>57</v>
      </c>
      <c r="C16" s="68" t="str">
        <f>VLOOKUP($B16,'[1]Products by Part Number'!$A:$L,2,0)</f>
        <v xml:space="preserve">CAT 14 (EN4)                                              </v>
      </c>
      <c r="D16" s="68" t="str">
        <f>VLOOKUP($B16,'[1]Products by Part Number'!$A:$L,3,0)</f>
        <v>CRANKSHAFT</v>
      </c>
      <c r="E16" s="69">
        <f>VLOOKUP($B16,'[1]Products by Part Number'!$A:$L,12,0)</f>
        <v>1</v>
      </c>
      <c r="F16" s="82">
        <f>VLOOKUP($B16,'[1]Products by Part Number'!$A:$L,4,0)</f>
        <v>18666.009999999998</v>
      </c>
      <c r="G16" s="90">
        <f t="shared" si="0"/>
        <v>18666.009999999998</v>
      </c>
      <c r="H16" s="98">
        <f>VLOOKUP($B16,'[1]Products by Part Number'!$A:$L,6,0)</f>
        <v>9333.01</v>
      </c>
      <c r="I16" s="79">
        <f t="shared" ref="I16:I38" si="1">E16*H16</f>
        <v>9333.01</v>
      </c>
    </row>
    <row r="17" spans="2:9" x14ac:dyDescent="0.25">
      <c r="B17" s="78" t="s">
        <v>58</v>
      </c>
      <c r="C17" s="68" t="str">
        <f>VLOOKUP($B17,'[1]Products by Part Number'!$A:$L,2,0)</f>
        <v xml:space="preserve">CAT TL1055C (KDE)                                              </v>
      </c>
      <c r="D17" s="68" t="str">
        <f>VLOOKUP($B17,'[1]Products by Part Number'!$A:$L,3,0)</f>
        <v>CAMSHAFT</v>
      </c>
      <c r="E17" s="69">
        <f>VLOOKUP($B17,'[1]Products by Part Number'!$A:$L,12,0)</f>
        <v>1</v>
      </c>
      <c r="F17" s="82">
        <f>VLOOKUP($B17,'[1]Products by Part Number'!$A:$L,4,0)</f>
        <v>1706.83</v>
      </c>
      <c r="G17" s="90">
        <f t="shared" si="0"/>
        <v>1706.83</v>
      </c>
      <c r="H17" s="98">
        <f>VLOOKUP($B17,'[1]Products by Part Number'!$A:$L,6,0)</f>
        <v>853.42</v>
      </c>
      <c r="I17" s="79">
        <f t="shared" si="1"/>
        <v>853.42</v>
      </c>
    </row>
    <row r="18" spans="2:9" x14ac:dyDescent="0.25">
      <c r="B18" s="78" t="s">
        <v>59</v>
      </c>
      <c r="C18" s="68" t="str">
        <f>VLOOKUP($B18,'[1]Products by Part Number'!$A:$L,2,0)</f>
        <v xml:space="preserve">CAT 14 (EN4)                                              </v>
      </c>
      <c r="D18" s="68" t="str">
        <f>VLOOKUP($B18,'[1]Products by Part Number'!$A:$L,3,0)</f>
        <v>CAMSHAFT</v>
      </c>
      <c r="E18" s="69">
        <f>VLOOKUP($B18,'[1]Products by Part Number'!$A:$L,12,0)</f>
        <v>1</v>
      </c>
      <c r="F18" s="82">
        <f>VLOOKUP($B18,'[1]Products by Part Number'!$A:$L,4,0)</f>
        <v>6599.72</v>
      </c>
      <c r="G18" s="90">
        <f t="shared" si="0"/>
        <v>6599.72</v>
      </c>
      <c r="H18" s="98">
        <f>VLOOKUP($B18,'[1]Products by Part Number'!$A:$L,6,0)</f>
        <v>3299.86</v>
      </c>
      <c r="I18" s="79">
        <f t="shared" si="1"/>
        <v>3299.86</v>
      </c>
    </row>
    <row r="19" spans="2:9" x14ac:dyDescent="0.25">
      <c r="B19" s="78" t="s">
        <v>60</v>
      </c>
      <c r="C19" s="68" t="str">
        <f>VLOOKUP($B19,'[1]Products by Part Number'!$A:$L,2,0)</f>
        <v xml:space="preserve">CAT 329EL (ZCD)                                              </v>
      </c>
      <c r="D19" s="68" t="str">
        <f>VLOOKUP($B19,'[1]Products by Part Number'!$A:$L,3,0)</f>
        <v>CRANKSHAFT</v>
      </c>
      <c r="E19" s="69">
        <f>VLOOKUP($B19,'[1]Products by Part Number'!$A:$L,12,0)</f>
        <v>1</v>
      </c>
      <c r="F19" s="82">
        <f>VLOOKUP($B19,'[1]Products by Part Number'!$A:$L,4,0)</f>
        <v>11151.43</v>
      </c>
      <c r="G19" s="90">
        <f t="shared" si="0"/>
        <v>11151.43</v>
      </c>
      <c r="H19" s="98">
        <f>VLOOKUP($B19,'[1]Products by Part Number'!$A:$L,6,0)</f>
        <v>5575.72</v>
      </c>
      <c r="I19" s="79">
        <f t="shared" si="1"/>
        <v>5575.72</v>
      </c>
    </row>
    <row r="20" spans="2:9" x14ac:dyDescent="0.25">
      <c r="B20" s="78" t="s">
        <v>61</v>
      </c>
      <c r="C20" s="68" t="str">
        <f>VLOOKUP($B20,'[1]Products by Part Number'!$A:$L,2,0)</f>
        <v xml:space="preserve">CAT TL1055C (KDE)                                              </v>
      </c>
      <c r="D20" s="68" t="str">
        <f>VLOOKUP($B20,'[1]Products by Part Number'!$A:$L,3,0)</f>
        <v>CRANKSHAFT</v>
      </c>
      <c r="E20" s="69">
        <f>VLOOKUP($B20,'[1]Products by Part Number'!$A:$L,12,0)</f>
        <v>1</v>
      </c>
      <c r="F20" s="82">
        <f>VLOOKUP($B20,'[1]Products by Part Number'!$A:$L,4,0)</f>
        <v>4302.96</v>
      </c>
      <c r="G20" s="90">
        <f t="shared" si="0"/>
        <v>4302.96</v>
      </c>
      <c r="H20" s="98">
        <f>VLOOKUP($B20,'[1]Products by Part Number'!$A:$L,6,0)</f>
        <v>2151.48</v>
      </c>
      <c r="I20" s="79">
        <f t="shared" si="1"/>
        <v>2151.48</v>
      </c>
    </row>
    <row r="21" spans="2:9" x14ac:dyDescent="0.25">
      <c r="B21" s="78" t="s">
        <v>62</v>
      </c>
      <c r="C21" s="68" t="str">
        <f>VLOOKUP($B21,'[1]Products by Part Number'!$A:$L,2,0)</f>
        <v xml:space="preserve">CAT 255 CAT 255 (2) CAT 255 (FL7)                                          </v>
      </c>
      <c r="D21" s="68" t="str">
        <f>VLOOKUP($B21,'[1]Products by Part Number'!$A:$L,3,0)</f>
        <v>CAMSHAFT</v>
      </c>
      <c r="E21" s="69">
        <f>VLOOKUP($B21,'[1]Products by Part Number'!$A:$L,12,0)</f>
        <v>3</v>
      </c>
      <c r="F21" s="82">
        <f>VLOOKUP($B21,'[1]Products by Part Number'!$A:$L,4,0)</f>
        <v>1708.74</v>
      </c>
      <c r="G21" s="90">
        <f t="shared" si="0"/>
        <v>5126.22</v>
      </c>
      <c r="H21" s="98">
        <f>VLOOKUP($B21,'[1]Products by Part Number'!$A:$L,6,0)</f>
        <v>854.37</v>
      </c>
      <c r="I21" s="79">
        <f t="shared" si="1"/>
        <v>2563.11</v>
      </c>
    </row>
    <row r="22" spans="2:9" x14ac:dyDescent="0.25">
      <c r="B22" s="78" t="s">
        <v>63</v>
      </c>
      <c r="C22" s="68" t="str">
        <f>VLOOKUP($B22,'[1]Products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KOM WA475-10 (120)                            </v>
      </c>
      <c r="D22" s="68" t="str">
        <f>VLOOKUP($B22,'[1]Products by Part Number'!$A:$L,3,0)</f>
        <v>CRANKSHAFT</v>
      </c>
      <c r="E22" s="69">
        <f>VLOOKUP($B22,'[1]Products by Part Number'!$A:$L,12,0)</f>
        <v>10</v>
      </c>
      <c r="F22" s="82">
        <f>VLOOKUP($B22,'[1]Products by Part Number'!$A:$L,4,0)</f>
        <v>11348.37</v>
      </c>
      <c r="G22" s="90">
        <f t="shared" si="0"/>
        <v>113483.70000000001</v>
      </c>
      <c r="H22" s="98">
        <f>VLOOKUP($B22,'[1]Products by Part Number'!$A:$L,6,0)</f>
        <v>5674.19</v>
      </c>
      <c r="I22" s="79">
        <f t="shared" si="1"/>
        <v>56741.899999999994</v>
      </c>
    </row>
    <row r="23" spans="2:9" x14ac:dyDescent="0.25">
      <c r="B23" s="78" t="s">
        <v>64</v>
      </c>
      <c r="C23" s="68" t="str">
        <f>VLOOKUP($B23,'[1]Products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KOM WA475-10 (120)                            </v>
      </c>
      <c r="D23" s="68" t="str">
        <f>VLOOKUP($B23,'[1]Products by Part Number'!$A:$L,3,0)</f>
        <v>CAMSHAFT</v>
      </c>
      <c r="E23" s="69">
        <f>VLOOKUP($B23,'[1]Products by Part Number'!$A:$L,12,0)</f>
        <v>10</v>
      </c>
      <c r="F23" s="82">
        <f>VLOOKUP($B23,'[1]Products by Part Number'!$A:$L,4,0)</f>
        <v>3603.77</v>
      </c>
      <c r="G23" s="90">
        <f t="shared" si="0"/>
        <v>36037.699999999997</v>
      </c>
      <c r="H23" s="98">
        <f>VLOOKUP($B23,'[1]Products by Part Number'!$A:$L,6,0)</f>
        <v>1801.89</v>
      </c>
      <c r="I23" s="79">
        <f t="shared" si="1"/>
        <v>18018.900000000001</v>
      </c>
    </row>
    <row r="24" spans="2:9" x14ac:dyDescent="0.25">
      <c r="B24" s="78" t="s">
        <v>65</v>
      </c>
      <c r="C24" s="68" t="str">
        <f>VLOOKUP($B24,'[1]Products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24" s="68" t="str">
        <f>VLOOKUP($B24,'[1]Products by Part Number'!$A:$L,3,0)</f>
        <v>CRANKSHAFT</v>
      </c>
      <c r="E24" s="69">
        <f>VLOOKUP($B24,'[1]Products by Part Number'!$A:$L,12,0)</f>
        <v>14</v>
      </c>
      <c r="F24" s="82">
        <f>VLOOKUP($B24,'[1]Products by Part Number'!$A:$L,4,0)</f>
        <v>16696.43</v>
      </c>
      <c r="G24" s="90">
        <f t="shared" si="0"/>
        <v>233750.02000000002</v>
      </c>
      <c r="H24" s="98">
        <f>VLOOKUP($B24,'[1]Products by Part Number'!$A:$L,6,0)</f>
        <v>8348.2199999999993</v>
      </c>
      <c r="I24" s="79">
        <f t="shared" si="1"/>
        <v>116875.07999999999</v>
      </c>
    </row>
    <row r="25" spans="2:9" x14ac:dyDescent="0.25">
      <c r="B25" s="78" t="s">
        <v>66</v>
      </c>
      <c r="C25" s="68" t="str">
        <f>VLOOKUP($B25,'[1]Products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25" s="68" t="str">
        <f>VLOOKUP($B25,'[1]Products by Part Number'!$A:$L,3,0)</f>
        <v>CAMSHAFT</v>
      </c>
      <c r="E25" s="69">
        <f>VLOOKUP($B25,'[1]Products by Part Number'!$A:$L,12,0)</f>
        <v>14</v>
      </c>
      <c r="F25" s="82">
        <f>VLOOKUP($B25,'[1]Products by Part Number'!$A:$L,4,0)</f>
        <v>6442.61</v>
      </c>
      <c r="G25" s="90">
        <f t="shared" si="0"/>
        <v>90196.54</v>
      </c>
      <c r="H25" s="98">
        <f>VLOOKUP($B25,'[1]Products by Part Number'!$A:$L,6,0)</f>
        <v>3221.31</v>
      </c>
      <c r="I25" s="79">
        <f t="shared" si="1"/>
        <v>45098.34</v>
      </c>
    </row>
    <row r="26" spans="2:9" x14ac:dyDescent="0.25">
      <c r="B26" s="78" t="s">
        <v>67</v>
      </c>
      <c r="C26" s="68" t="str">
        <f>VLOOKUP($B26,'[1]Products by Part Number'!$A:$L,2,0)</f>
        <v xml:space="preserve">KOM PC138USLC-11 KOM PC238USLC-11 (1)                                            </v>
      </c>
      <c r="D26" s="68" t="str">
        <f>VLOOKUP($B26,'[1]Products by Part Number'!$A:$L,3,0)</f>
        <v>CRANKSHAFT</v>
      </c>
      <c r="E26" s="69">
        <f>VLOOKUP($B26,'[1]Products by Part Number'!$A:$L,12,0)</f>
        <v>2</v>
      </c>
      <c r="F26" s="82">
        <f>VLOOKUP($B26,'[1]Products by Part Number'!$A:$L,4,0)</f>
        <v>3547.2</v>
      </c>
      <c r="G26" s="90">
        <f t="shared" si="0"/>
        <v>7094.4</v>
      </c>
      <c r="H26" s="98">
        <f>VLOOKUP($B26,'[1]Products by Part Number'!$A:$L,6,0)</f>
        <v>1773.6</v>
      </c>
      <c r="I26" s="79">
        <f t="shared" si="1"/>
        <v>3547.2</v>
      </c>
    </row>
    <row r="27" spans="2:9" x14ac:dyDescent="0.25">
      <c r="B27" s="78" t="s">
        <v>68</v>
      </c>
      <c r="C27" s="68" t="str">
        <f>VLOOKUP($B27,'[1]Products by Part Number'!$A:$L,2,0)</f>
        <v xml:space="preserve">KOM PC138USLC-11 KOM PC238USLC-11 (1)                                            </v>
      </c>
      <c r="D27" s="68" t="str">
        <f>VLOOKUP($B27,'[1]Products by Part Number'!$A:$L,3,0)</f>
        <v>CAMSHAFT</v>
      </c>
      <c r="E27" s="69">
        <f>VLOOKUP($B27,'[1]Products by Part Number'!$A:$L,12,0)</f>
        <v>2</v>
      </c>
      <c r="F27" s="82">
        <f>VLOOKUP($B27,'[1]Products by Part Number'!$A:$L,4,0)</f>
        <v>1575.55</v>
      </c>
      <c r="G27" s="90">
        <f t="shared" si="0"/>
        <v>3151.1</v>
      </c>
      <c r="H27" s="98">
        <f>VLOOKUP($B27,'[1]Products by Part Number'!$A:$L,6,0)</f>
        <v>787.78</v>
      </c>
      <c r="I27" s="79">
        <f t="shared" si="1"/>
        <v>1575.56</v>
      </c>
    </row>
    <row r="28" spans="2:9" x14ac:dyDescent="0.25">
      <c r="B28" s="78" t="s">
        <v>69</v>
      </c>
      <c r="C28" s="68" t="str">
        <f>VLOOKUP($B28,'[1]Products by Part Number'!$A:$L,2,0)</f>
        <v xml:space="preserve">CAT 255 CAT 255 (2) CAT 255 (FL7)                                          </v>
      </c>
      <c r="D28" s="68" t="str">
        <f>VLOOKUP($B28,'[1]Products by Part Number'!$A:$L,3,0)</f>
        <v>CRANKSHAFT</v>
      </c>
      <c r="E28" s="69">
        <f>VLOOKUP($B28,'[1]Products by Part Number'!$A:$L,12,0)</f>
        <v>3</v>
      </c>
      <c r="F28" s="82">
        <f>VLOOKUP($B28,'[1]Products by Part Number'!$A:$L,4,0)</f>
        <v>4139</v>
      </c>
      <c r="G28" s="90">
        <f t="shared" si="0"/>
        <v>12417</v>
      </c>
      <c r="H28" s="98">
        <f>VLOOKUP($B28,'[1]Products by Part Number'!$A:$L,6,0)</f>
        <v>2069.5</v>
      </c>
      <c r="I28" s="79">
        <f t="shared" si="1"/>
        <v>6208.5</v>
      </c>
    </row>
    <row r="29" spans="2:9" x14ac:dyDescent="0.25">
      <c r="B29" s="78" t="s">
        <v>70</v>
      </c>
      <c r="C29" s="68" t="str">
        <f>VLOOKUP($B29,'[1]Products by Part Number'!$A:$L,2,0)</f>
        <v xml:space="preserve">KOM D71PX-24 (1) KOM D71PX-24 (2) KOM D71PX-24 (3) KOM D71PX-24 (4) KOM D71PX-24 (5) KOM D71PX-24 (6) KOM D71PX-24 (7) KOM PC360LC-11 (A37) KOM PC360LC-11 (A39) KOM PC360LC-11 (A39) (2)                            </v>
      </c>
      <c r="D29" s="68" t="str">
        <f>VLOOKUP($B29,'[1]Products by Part Number'!$A:$L,3,0)</f>
        <v>CAMSHAFT</v>
      </c>
      <c r="E29" s="69">
        <f>VLOOKUP($B29,'[1]Products by Part Number'!$A:$L,12,0)</f>
        <v>10</v>
      </c>
      <c r="F29" s="82">
        <f>VLOOKUP($B29,'[1]Products by Part Number'!$A:$L,4,0)</f>
        <v>822.86639999999989</v>
      </c>
      <c r="G29" s="90">
        <f t="shared" si="0"/>
        <v>8228.6639999999989</v>
      </c>
      <c r="H29" s="98">
        <f>VLOOKUP($B29,'[1]Products by Part Number'!$A:$L,6,0)</f>
        <v>411.43</v>
      </c>
      <c r="I29" s="79">
        <f t="shared" si="1"/>
        <v>4114.3</v>
      </c>
    </row>
    <row r="30" spans="2:9" x14ac:dyDescent="0.25">
      <c r="B30" s="78" t="s">
        <v>71</v>
      </c>
      <c r="C30" s="68" t="str">
        <f>VLOOKUP($B30,'[1]Products by Part Number'!$A:$L,2,0)</f>
        <v xml:space="preserve">KOM D71PX-24 (1) KOM D71PX-24 (2) KOM D71PX-24 (3) KOM D71PX-24 (4) KOM D71PX-24 (5) KOM D71PX-24 (6) KOM D71PX-24 (7) KOM PC360LC-11 (A37) KOM PC360LC-11 (A39) KOM PC360LC-11 (A39) (2)                            </v>
      </c>
      <c r="D30" s="68" t="str">
        <f>VLOOKUP($B30,'[1]Products by Part Number'!$A:$L,3,0)</f>
        <v>CRANKSHAFT</v>
      </c>
      <c r="E30" s="69">
        <f>VLOOKUP($B30,'[1]Products by Part Number'!$A:$L,12,0)</f>
        <v>10</v>
      </c>
      <c r="F30" s="82">
        <f>VLOOKUP($B30,'[1]Products by Part Number'!$A:$L,4,0)</f>
        <v>2567.5589999999997</v>
      </c>
      <c r="G30" s="90">
        <f t="shared" si="0"/>
        <v>25675.589999999997</v>
      </c>
      <c r="H30" s="98">
        <f>VLOOKUP($B30,'[1]Products by Part Number'!$A:$L,6,0)</f>
        <v>1283.78</v>
      </c>
      <c r="I30" s="79">
        <f t="shared" si="1"/>
        <v>12837.8</v>
      </c>
    </row>
    <row r="31" spans="2:9" x14ac:dyDescent="0.25">
      <c r="B31" s="78" t="s">
        <v>72</v>
      </c>
      <c r="C31" s="68" t="str">
        <f>VLOOKUP($B31,'[1]Products by Part Number'!$A:$L,2,0)</f>
        <v xml:space="preserve">KOM PC238USLC-11 (2) KOM WA380-8 (1) KOM WA380-8 (2) KOM WA320-8 (867) KOM WA320PZ-6 (729) KOM PC290LC-11 (K73) KOM D61PX-24 (B60)                                  </v>
      </c>
      <c r="D31" s="68" t="str">
        <f>VLOOKUP($B31,'[1]Products by Part Number'!$A:$L,3,0)</f>
        <v>CRANKSHAFT</v>
      </c>
      <c r="E31" s="69">
        <f>VLOOKUP($B31,'[1]Products by Part Number'!$A:$L,12,0)</f>
        <v>7</v>
      </c>
      <c r="F31" s="82">
        <f>VLOOKUP($B31,'[1]Products by Part Number'!$A:$L,4,0)</f>
        <v>2859.5</v>
      </c>
      <c r="G31" s="90">
        <f t="shared" si="0"/>
        <v>20016.5</v>
      </c>
      <c r="H31" s="98">
        <f>VLOOKUP($B31,'[1]Products by Part Number'!$A:$L,6,0)</f>
        <v>1429.75</v>
      </c>
      <c r="I31" s="79">
        <f t="shared" si="1"/>
        <v>10008.25</v>
      </c>
    </row>
    <row r="32" spans="2:9" x14ac:dyDescent="0.25">
      <c r="B32" s="78" t="s">
        <v>73</v>
      </c>
      <c r="C32" s="68" t="str">
        <f>VLOOKUP($B32,'[1]Products by Part Number'!$A:$L,2,0)</f>
        <v xml:space="preserve">KOM PC238USLC-11 (2) KOM WA380-8 (1) KOM WA380-8 (2) KOM WA320-8 (867) KOM WA320PZ-6 (729) KOM PC290LC-11 (K73) KOM D61PX-24 (B60)                                  </v>
      </c>
      <c r="D32" s="68" t="str">
        <f>VLOOKUP($B32,'[1]Products by Part Number'!$A:$L,3,0)</f>
        <v>CAMSHAFT</v>
      </c>
      <c r="E32" s="69">
        <f>VLOOKUP($B32,'[1]Products by Part Number'!$A:$L,12,0)</f>
        <v>7</v>
      </c>
      <c r="F32" s="82">
        <f>VLOOKUP($B32,'[1]Products by Part Number'!$A:$L,4,0)</f>
        <v>1236.57</v>
      </c>
      <c r="G32" s="90">
        <f t="shared" si="0"/>
        <v>8655.99</v>
      </c>
      <c r="H32" s="98">
        <f>VLOOKUP($B32,'[1]Products by Part Number'!$A:$L,6,0)</f>
        <v>618.29</v>
      </c>
      <c r="I32" s="79">
        <f t="shared" si="1"/>
        <v>4328.03</v>
      </c>
    </row>
    <row r="33" spans="2:9" x14ac:dyDescent="0.25">
      <c r="B33" s="78" t="s">
        <v>74</v>
      </c>
      <c r="C33" s="68" t="str">
        <f>VLOOKUP($B33,'[1]Products by Part Number'!$A:$L,2,0)</f>
        <v xml:space="preserve">JD 333G (1T0)                                              </v>
      </c>
      <c r="D33" s="68" t="str">
        <f>VLOOKUP($B33,'[1]Products by Part Number'!$A:$L,3,0)</f>
        <v>CAMSHAFT</v>
      </c>
      <c r="E33" s="69">
        <f>VLOOKUP($B33,'[1]Products by Part Number'!$A:$L,12,0)</f>
        <v>1</v>
      </c>
      <c r="F33" s="82">
        <f>VLOOKUP($B33,'[1]Products by Part Number'!$A:$L,4,0)</f>
        <v>802.52520000000004</v>
      </c>
      <c r="G33" s="90">
        <f t="shared" si="0"/>
        <v>802.52520000000004</v>
      </c>
      <c r="H33" s="98">
        <f>VLOOKUP($B33,'[1]Products by Part Number'!$A:$L,6,0)</f>
        <v>401.26</v>
      </c>
      <c r="I33" s="79">
        <f t="shared" si="1"/>
        <v>401.26</v>
      </c>
    </row>
    <row r="34" spans="2:9" x14ac:dyDescent="0.25">
      <c r="B34" s="78" t="s">
        <v>75</v>
      </c>
      <c r="C34" s="68" t="str">
        <f>VLOOKUP($B34,'[1]Products by Part Number'!$A:$L,2,0)</f>
        <v xml:space="preserve">JD 333G (1T0)                                              </v>
      </c>
      <c r="D34" s="68" t="str">
        <f>VLOOKUP($B34,'[1]Products by Part Number'!$A:$L,3,0)</f>
        <v>CRANKSHAFT</v>
      </c>
      <c r="E34" s="69">
        <f>VLOOKUP($B34,'[1]Products by Part Number'!$A:$L,12,0)</f>
        <v>1</v>
      </c>
      <c r="F34" s="82">
        <f>VLOOKUP($B34,'[1]Products by Part Number'!$A:$L,4,0)</f>
        <v>1956.4674</v>
      </c>
      <c r="G34" s="90">
        <f t="shared" si="0"/>
        <v>1956.4674</v>
      </c>
      <c r="H34" s="98">
        <f>VLOOKUP($B34,'[1]Products by Part Number'!$A:$L,6,0)</f>
        <v>978.23</v>
      </c>
      <c r="I34" s="79">
        <f t="shared" si="1"/>
        <v>978.23</v>
      </c>
    </row>
    <row r="35" spans="2:9" x14ac:dyDescent="0.25">
      <c r="B35" s="78" t="s">
        <v>76</v>
      </c>
      <c r="C35" s="68" t="str">
        <f>VLOOKUP($B35,'[1]Products by Part Number'!$A:$L,2,0)</f>
        <v xml:space="preserve">JD 470P (1FF)                                              </v>
      </c>
      <c r="D35" s="68" t="str">
        <f>VLOOKUP($B35,'[1]Products by Part Number'!$A:$L,3,0)</f>
        <v>CAMSHAFT</v>
      </c>
      <c r="E35" s="69">
        <f>VLOOKUP($B35,'[1]Products by Part Number'!$A:$L,12,0)</f>
        <v>1</v>
      </c>
      <c r="F35" s="82">
        <f>VLOOKUP($B35,'[1]Products by Part Number'!$A:$L,4,0)</f>
        <v>1925.9141999999997</v>
      </c>
      <c r="G35" s="90">
        <f t="shared" si="0"/>
        <v>1925.9141999999997</v>
      </c>
      <c r="H35" s="98">
        <f>VLOOKUP($B35,'[1]Products by Part Number'!$A:$L,6,0)</f>
        <v>962.96</v>
      </c>
      <c r="I35" s="79">
        <f t="shared" si="1"/>
        <v>962.96</v>
      </c>
    </row>
    <row r="36" spans="2:9" x14ac:dyDescent="0.25">
      <c r="B36" s="78" t="s">
        <v>77</v>
      </c>
      <c r="C36" s="68" t="str">
        <f>VLOOKUP($B36,'[1]Products by Part Number'!$A:$L,2,0)</f>
        <v xml:space="preserve">JD 624K (DW6) JD 764 (100)                                            </v>
      </c>
      <c r="D36" s="68" t="str">
        <f>VLOOKUP($B36,'[1]Products by Part Number'!$A:$L,3,0)</f>
        <v>CRANKSHAFT</v>
      </c>
      <c r="E36" s="69">
        <f>VLOOKUP($B36,'[1]Products by Part Number'!$A:$L,12,0)</f>
        <v>2</v>
      </c>
      <c r="F36" s="82">
        <f>VLOOKUP($B36,'[1]Products by Part Number'!$A:$L,4,0)</f>
        <v>5543.6669999999995</v>
      </c>
      <c r="G36" s="90">
        <f t="shared" si="0"/>
        <v>11087.333999999999</v>
      </c>
      <c r="H36" s="98">
        <f>VLOOKUP($B36,'[1]Products by Part Number'!$A:$L,6,0)</f>
        <v>2771.83</v>
      </c>
      <c r="I36" s="79">
        <f t="shared" si="1"/>
        <v>5543.66</v>
      </c>
    </row>
    <row r="37" spans="2:9" x14ac:dyDescent="0.25">
      <c r="B37" s="78" t="s">
        <v>78</v>
      </c>
      <c r="C37" s="68" t="str">
        <f>VLOOKUP($B37,'[1]Products by Part Number'!$A:$L,2,0)</f>
        <v xml:space="preserve">JD 624K (DW6) JD 764 (100)                                            </v>
      </c>
      <c r="D37" s="68" t="str">
        <f>VLOOKUP($B37,'[1]Products by Part Number'!$A:$L,3,0)</f>
        <v>CAMSHAFT</v>
      </c>
      <c r="E37" s="69">
        <f>VLOOKUP($B37,'[1]Products by Part Number'!$A:$L,12,0)</f>
        <v>2</v>
      </c>
      <c r="F37" s="82">
        <f>VLOOKUP($B37,'[1]Products by Part Number'!$A:$L,4,0)</f>
        <v>1002.3492</v>
      </c>
      <c r="G37" s="90">
        <f t="shared" si="0"/>
        <v>2004.6984</v>
      </c>
      <c r="H37" s="98">
        <f>VLOOKUP($B37,'[1]Products by Part Number'!$A:$L,6,0)</f>
        <v>501.17</v>
      </c>
      <c r="I37" s="79">
        <f t="shared" si="1"/>
        <v>1002.34</v>
      </c>
    </row>
    <row r="38" spans="2:9" x14ac:dyDescent="0.25">
      <c r="B38" s="78" t="s">
        <v>79</v>
      </c>
      <c r="C38" s="68" t="str">
        <f>VLOOKUP($B38,'[1]Products by Part Number'!$A:$L,2,0)</f>
        <v xml:space="preserve">JD 470P (1FF)                                              </v>
      </c>
      <c r="D38" s="68" t="str">
        <f>VLOOKUP($B38,'[1]Products by Part Number'!$A:$L,3,0)</f>
        <v>CRANKSHAFT</v>
      </c>
      <c r="E38" s="69">
        <f>VLOOKUP($B38,'[1]Products by Part Number'!$A:$L,12,0)</f>
        <v>1</v>
      </c>
      <c r="F38" s="82">
        <f>VLOOKUP($B38,'[1]Products by Part Number'!$A:$L,4,0)</f>
        <v>12521.733599999998</v>
      </c>
      <c r="G38" s="90">
        <f t="shared" si="0"/>
        <v>12521.733599999998</v>
      </c>
      <c r="H38" s="98">
        <f>VLOOKUP($B38,'[1]Products by Part Number'!$A:$L,6,0)</f>
        <v>6260.87</v>
      </c>
      <c r="I38" s="79">
        <f t="shared" si="1"/>
        <v>6260.87</v>
      </c>
    </row>
    <row r="39" spans="2:9" x14ac:dyDescent="0.25">
      <c r="B39" s="78"/>
      <c r="C39" s="68"/>
      <c r="D39" s="68"/>
      <c r="E39" s="69"/>
      <c r="F39" s="82"/>
      <c r="G39" s="90"/>
      <c r="H39" s="98"/>
      <c r="I39" s="79">
        <f t="shared" ref="I39:I83" si="2">ROUND(E39*H39,2)</f>
        <v>0</v>
      </c>
    </row>
    <row r="40" spans="2:9" x14ac:dyDescent="0.25">
      <c r="B40" s="78"/>
      <c r="C40" s="68"/>
      <c r="D40" s="68"/>
      <c r="E40" s="69"/>
      <c r="F40" s="82"/>
      <c r="G40" s="90"/>
      <c r="H40" s="98"/>
      <c r="I40" s="79">
        <f t="shared" si="2"/>
        <v>0</v>
      </c>
    </row>
    <row r="41" spans="2:9" x14ac:dyDescent="0.25">
      <c r="B41" s="78"/>
      <c r="C41" s="68"/>
      <c r="D41" s="68"/>
      <c r="E41" s="69"/>
      <c r="F41" s="82"/>
      <c r="G41" s="90"/>
      <c r="H41" s="98"/>
      <c r="I41" s="79">
        <f t="shared" si="2"/>
        <v>0</v>
      </c>
    </row>
    <row r="42" spans="2:9" x14ac:dyDescent="0.25">
      <c r="B42" s="78"/>
      <c r="C42" s="68"/>
      <c r="D42" s="68"/>
      <c r="E42" s="69"/>
      <c r="F42" s="82"/>
      <c r="G42" s="90"/>
      <c r="H42" s="98"/>
      <c r="I42" s="79">
        <f t="shared" si="2"/>
        <v>0</v>
      </c>
    </row>
    <row r="43" spans="2:9" x14ac:dyDescent="0.25">
      <c r="B43" s="78"/>
      <c r="C43" s="68"/>
      <c r="D43" s="68"/>
      <c r="E43" s="69"/>
      <c r="F43" s="82"/>
      <c r="G43" s="90"/>
      <c r="H43" s="98"/>
      <c r="I43" s="79">
        <f t="shared" si="2"/>
        <v>0</v>
      </c>
    </row>
    <row r="44" spans="2:9" x14ac:dyDescent="0.25">
      <c r="B44" s="78"/>
      <c r="C44" s="68"/>
      <c r="D44" s="68"/>
      <c r="E44" s="69"/>
      <c r="F44" s="82"/>
      <c r="G44" s="90"/>
      <c r="H44" s="98"/>
      <c r="I44" s="79">
        <f t="shared" si="2"/>
        <v>0</v>
      </c>
    </row>
    <row r="45" spans="2:9" ht="15.75" thickBot="1" x14ac:dyDescent="0.3">
      <c r="B45" s="93"/>
      <c r="C45" s="85"/>
      <c r="D45" s="85"/>
      <c r="E45" s="86"/>
      <c r="F45" s="89"/>
      <c r="G45" s="90"/>
      <c r="H45" s="117"/>
      <c r="I45" s="118">
        <f t="shared" si="2"/>
        <v>0</v>
      </c>
    </row>
    <row r="46" spans="2:9" hidden="1" x14ac:dyDescent="0.25">
      <c r="B46" s="22"/>
      <c r="C46" s="22"/>
      <c r="D46" s="22"/>
      <c r="E46" s="23"/>
      <c r="F46" s="24"/>
      <c r="G46" s="24"/>
      <c r="H46" s="25"/>
      <c r="I46" s="26">
        <f t="shared" si="2"/>
        <v>0</v>
      </c>
    </row>
    <row r="47" spans="2:9" hidden="1" x14ac:dyDescent="0.25">
      <c r="B47" s="22"/>
      <c r="C47" s="22"/>
      <c r="D47" s="22"/>
      <c r="E47" s="23"/>
      <c r="F47" s="24"/>
      <c r="G47" s="24"/>
      <c r="H47" s="25"/>
      <c r="I47" s="26">
        <f t="shared" si="2"/>
        <v>0</v>
      </c>
    </row>
    <row r="48" spans="2:9" hidden="1" x14ac:dyDescent="0.25">
      <c r="B48" s="22"/>
      <c r="C48" s="22"/>
      <c r="D48" s="22"/>
      <c r="E48" s="23"/>
      <c r="F48" s="24"/>
      <c r="G48" s="24"/>
      <c r="H48" s="25"/>
      <c r="I48" s="26">
        <f t="shared" si="2"/>
        <v>0</v>
      </c>
    </row>
    <row r="49" spans="2:9" hidden="1" x14ac:dyDescent="0.25">
      <c r="B49" s="22"/>
      <c r="C49" s="22"/>
      <c r="D49" s="22"/>
      <c r="E49" s="23"/>
      <c r="F49" s="24"/>
      <c r="G49" s="24"/>
      <c r="H49" s="25"/>
      <c r="I49" s="26">
        <f t="shared" si="2"/>
        <v>0</v>
      </c>
    </row>
    <row r="50" spans="2:9" hidden="1" x14ac:dyDescent="0.25">
      <c r="B50" s="22"/>
      <c r="C50" s="22"/>
      <c r="D50" s="22"/>
      <c r="E50" s="23"/>
      <c r="F50" s="24"/>
      <c r="G50" s="24"/>
      <c r="H50" s="25"/>
      <c r="I50" s="26">
        <f t="shared" si="2"/>
        <v>0</v>
      </c>
    </row>
    <row r="51" spans="2:9" hidden="1" x14ac:dyDescent="0.25">
      <c r="B51" s="22"/>
      <c r="C51" s="22"/>
      <c r="D51" s="22"/>
      <c r="E51" s="23"/>
      <c r="F51" s="24"/>
      <c r="G51" s="24"/>
      <c r="H51" s="25"/>
      <c r="I51" s="26">
        <f t="shared" si="2"/>
        <v>0</v>
      </c>
    </row>
    <row r="52" spans="2:9" hidden="1" x14ac:dyDescent="0.25">
      <c r="B52" s="22"/>
      <c r="C52" s="22"/>
      <c r="D52" s="22"/>
      <c r="E52" s="23"/>
      <c r="F52" s="24"/>
      <c r="G52" s="24"/>
      <c r="H52" s="25"/>
      <c r="I52" s="26">
        <f t="shared" si="2"/>
        <v>0</v>
      </c>
    </row>
    <row r="53" spans="2:9" hidden="1" x14ac:dyDescent="0.25">
      <c r="B53" s="22"/>
      <c r="C53" s="22"/>
      <c r="D53" s="22"/>
      <c r="E53" s="23"/>
      <c r="F53" s="24"/>
      <c r="G53" s="24"/>
      <c r="H53" s="25"/>
      <c r="I53" s="26">
        <f t="shared" si="2"/>
        <v>0</v>
      </c>
    </row>
    <row r="54" spans="2:9" hidden="1" x14ac:dyDescent="0.25">
      <c r="B54" s="22"/>
      <c r="C54" s="22"/>
      <c r="D54" s="22"/>
      <c r="E54" s="23"/>
      <c r="F54" s="24"/>
      <c r="G54" s="24"/>
      <c r="H54" s="25"/>
      <c r="I54" s="26">
        <f t="shared" si="2"/>
        <v>0</v>
      </c>
    </row>
    <row r="55" spans="2:9" hidden="1" x14ac:dyDescent="0.25">
      <c r="B55" s="22"/>
      <c r="C55" s="22"/>
      <c r="D55" s="22"/>
      <c r="E55" s="23"/>
      <c r="F55" s="24"/>
      <c r="G55" s="24"/>
      <c r="H55" s="25"/>
      <c r="I55" s="26">
        <f t="shared" si="2"/>
        <v>0</v>
      </c>
    </row>
    <row r="56" spans="2:9" hidden="1" x14ac:dyDescent="0.25">
      <c r="B56" s="22"/>
      <c r="C56" s="22"/>
      <c r="D56" s="22"/>
      <c r="E56" s="23"/>
      <c r="F56" s="24"/>
      <c r="G56" s="24"/>
      <c r="H56" s="25"/>
      <c r="I56" s="26">
        <f t="shared" si="2"/>
        <v>0</v>
      </c>
    </row>
    <row r="57" spans="2:9" hidden="1" x14ac:dyDescent="0.25">
      <c r="B57" s="22"/>
      <c r="C57" s="22"/>
      <c r="D57" s="22"/>
      <c r="E57" s="23"/>
      <c r="F57" s="24"/>
      <c r="G57" s="24"/>
      <c r="H57" s="25"/>
      <c r="I57" s="26">
        <f t="shared" si="2"/>
        <v>0</v>
      </c>
    </row>
    <row r="58" spans="2:9" hidden="1" x14ac:dyDescent="0.25">
      <c r="B58" s="22"/>
      <c r="C58" s="22"/>
      <c r="D58" s="22"/>
      <c r="E58" s="23"/>
      <c r="F58" s="24"/>
      <c r="G58" s="24"/>
      <c r="H58" s="25"/>
      <c r="I58" s="26">
        <f t="shared" si="2"/>
        <v>0</v>
      </c>
    </row>
    <row r="59" spans="2:9" hidden="1" x14ac:dyDescent="0.25">
      <c r="B59" s="22"/>
      <c r="C59" s="22"/>
      <c r="D59" s="22"/>
      <c r="E59" s="23"/>
      <c r="F59" s="24"/>
      <c r="G59" s="24"/>
      <c r="H59" s="25"/>
      <c r="I59" s="26">
        <f t="shared" si="2"/>
        <v>0</v>
      </c>
    </row>
    <row r="60" spans="2:9" hidden="1" x14ac:dyDescent="0.25">
      <c r="B60" s="22"/>
      <c r="C60" s="22"/>
      <c r="D60" s="22"/>
      <c r="E60" s="23"/>
      <c r="F60" s="24"/>
      <c r="G60" s="24"/>
      <c r="H60" s="25"/>
      <c r="I60" s="26">
        <f t="shared" si="2"/>
        <v>0</v>
      </c>
    </row>
    <row r="61" spans="2:9" hidden="1" x14ac:dyDescent="0.25">
      <c r="B61" s="22"/>
      <c r="C61" s="22"/>
      <c r="D61" s="22"/>
      <c r="E61" s="23"/>
      <c r="F61" s="24"/>
      <c r="G61" s="24"/>
      <c r="H61" s="25"/>
      <c r="I61" s="26">
        <f t="shared" si="2"/>
        <v>0</v>
      </c>
    </row>
    <row r="62" spans="2:9" hidden="1" x14ac:dyDescent="0.25">
      <c r="B62" s="22"/>
      <c r="C62" s="22"/>
      <c r="D62" s="22"/>
      <c r="E62" s="23"/>
      <c r="F62" s="24"/>
      <c r="G62" s="24"/>
      <c r="H62" s="25"/>
      <c r="I62" s="26">
        <f t="shared" si="2"/>
        <v>0</v>
      </c>
    </row>
    <row r="63" spans="2:9" hidden="1" x14ac:dyDescent="0.25">
      <c r="B63" s="22"/>
      <c r="C63" s="22"/>
      <c r="D63" s="22"/>
      <c r="E63" s="23"/>
      <c r="F63" s="24"/>
      <c r="G63" s="24"/>
      <c r="H63" s="25"/>
      <c r="I63" s="26">
        <f t="shared" si="2"/>
        <v>0</v>
      </c>
    </row>
    <row r="64" spans="2:9" hidden="1" x14ac:dyDescent="0.25">
      <c r="B64" s="22"/>
      <c r="C64" s="22"/>
      <c r="D64" s="22"/>
      <c r="E64" s="23"/>
      <c r="F64" s="24"/>
      <c r="G64" s="24"/>
      <c r="H64" s="25"/>
      <c r="I64" s="26">
        <f t="shared" si="2"/>
        <v>0</v>
      </c>
    </row>
    <row r="65" spans="2:9" hidden="1" x14ac:dyDescent="0.25">
      <c r="B65" s="22"/>
      <c r="C65" s="22"/>
      <c r="D65" s="22"/>
      <c r="E65" s="23"/>
      <c r="F65" s="24"/>
      <c r="G65" s="24"/>
      <c r="H65" s="25"/>
      <c r="I65" s="26">
        <f t="shared" si="2"/>
        <v>0</v>
      </c>
    </row>
    <row r="66" spans="2:9" hidden="1" x14ac:dyDescent="0.25">
      <c r="B66" s="22"/>
      <c r="C66" s="22"/>
      <c r="D66" s="22"/>
      <c r="E66" s="23"/>
      <c r="F66" s="24"/>
      <c r="G66" s="24"/>
      <c r="H66" s="25"/>
      <c r="I66" s="26">
        <f t="shared" si="2"/>
        <v>0</v>
      </c>
    </row>
    <row r="67" spans="2:9" hidden="1" x14ac:dyDescent="0.25">
      <c r="B67" s="22"/>
      <c r="C67" s="22"/>
      <c r="D67" s="22"/>
      <c r="E67" s="23"/>
      <c r="F67" s="24"/>
      <c r="G67" s="24"/>
      <c r="H67" s="25"/>
      <c r="I67" s="26">
        <f t="shared" si="2"/>
        <v>0</v>
      </c>
    </row>
    <row r="68" spans="2:9" hidden="1" x14ac:dyDescent="0.25">
      <c r="B68" s="22"/>
      <c r="C68" s="22"/>
      <c r="D68" s="22"/>
      <c r="E68" s="23"/>
      <c r="F68" s="24"/>
      <c r="G68" s="24"/>
      <c r="H68" s="25"/>
      <c r="I68" s="26">
        <f t="shared" si="2"/>
        <v>0</v>
      </c>
    </row>
    <row r="69" spans="2:9" hidden="1" x14ac:dyDescent="0.25">
      <c r="B69" s="22"/>
      <c r="C69" s="22"/>
      <c r="D69" s="22"/>
      <c r="E69" s="23"/>
      <c r="F69" s="24"/>
      <c r="G69" s="24"/>
      <c r="H69" s="25"/>
      <c r="I69" s="26">
        <f t="shared" si="2"/>
        <v>0</v>
      </c>
    </row>
    <row r="70" spans="2:9" hidden="1" x14ac:dyDescent="0.25">
      <c r="B70" s="22"/>
      <c r="C70" s="22"/>
      <c r="D70" s="22"/>
      <c r="E70" s="23"/>
      <c r="F70" s="24"/>
      <c r="G70" s="24"/>
      <c r="H70" s="25"/>
      <c r="I70" s="26">
        <f t="shared" si="2"/>
        <v>0</v>
      </c>
    </row>
    <row r="71" spans="2:9" hidden="1" x14ac:dyDescent="0.25">
      <c r="B71" s="22"/>
      <c r="C71" s="22"/>
      <c r="D71" s="22"/>
      <c r="E71" s="23"/>
      <c r="F71" s="24"/>
      <c r="G71" s="24"/>
      <c r="H71" s="25"/>
      <c r="I71" s="26">
        <f t="shared" si="2"/>
        <v>0</v>
      </c>
    </row>
    <row r="72" spans="2:9" hidden="1" x14ac:dyDescent="0.25">
      <c r="B72" s="22"/>
      <c r="C72" s="22"/>
      <c r="D72" s="22"/>
      <c r="E72" s="23"/>
      <c r="F72" s="24"/>
      <c r="G72" s="24"/>
      <c r="H72" s="25"/>
      <c r="I72" s="26">
        <f t="shared" si="2"/>
        <v>0</v>
      </c>
    </row>
    <row r="73" spans="2:9" hidden="1" x14ac:dyDescent="0.25">
      <c r="B73" s="22"/>
      <c r="C73" s="22"/>
      <c r="D73" s="22"/>
      <c r="E73" s="23"/>
      <c r="F73" s="24"/>
      <c r="G73" s="24"/>
      <c r="H73" s="25"/>
      <c r="I73" s="26">
        <f t="shared" si="2"/>
        <v>0</v>
      </c>
    </row>
    <row r="74" spans="2:9" hidden="1" x14ac:dyDescent="0.25">
      <c r="B74" s="22"/>
      <c r="C74" s="22"/>
      <c r="D74" s="22"/>
      <c r="E74" s="23"/>
      <c r="F74" s="24"/>
      <c r="G74" s="24"/>
      <c r="H74" s="25"/>
      <c r="I74" s="26">
        <f t="shared" si="2"/>
        <v>0</v>
      </c>
    </row>
    <row r="75" spans="2:9" hidden="1" x14ac:dyDescent="0.25">
      <c r="B75" s="22"/>
      <c r="C75" s="22"/>
      <c r="D75" s="22"/>
      <c r="E75" s="23"/>
      <c r="F75" s="24"/>
      <c r="G75" s="24"/>
      <c r="H75" s="25"/>
      <c r="I75" s="26">
        <f t="shared" si="2"/>
        <v>0</v>
      </c>
    </row>
    <row r="76" spans="2:9" hidden="1" x14ac:dyDescent="0.25">
      <c r="B76" s="22"/>
      <c r="C76" s="22"/>
      <c r="D76" s="22"/>
      <c r="E76" s="23"/>
      <c r="F76" s="24"/>
      <c r="G76" s="24"/>
      <c r="H76" s="25"/>
      <c r="I76" s="26">
        <f t="shared" si="2"/>
        <v>0</v>
      </c>
    </row>
    <row r="77" spans="2:9" hidden="1" x14ac:dyDescent="0.25">
      <c r="B77" s="22"/>
      <c r="C77" s="22"/>
      <c r="D77" s="22"/>
      <c r="E77" s="23"/>
      <c r="F77" s="24"/>
      <c r="G77" s="24"/>
      <c r="H77" s="25"/>
      <c r="I77" s="26">
        <f t="shared" si="2"/>
        <v>0</v>
      </c>
    </row>
    <row r="78" spans="2:9" hidden="1" x14ac:dyDescent="0.25">
      <c r="B78" s="22"/>
      <c r="C78" s="22"/>
      <c r="D78" s="22"/>
      <c r="E78" s="23"/>
      <c r="F78" s="24"/>
      <c r="G78" s="24"/>
      <c r="H78" s="25"/>
      <c r="I78" s="26">
        <f t="shared" si="2"/>
        <v>0</v>
      </c>
    </row>
    <row r="79" spans="2:9" hidden="1" x14ac:dyDescent="0.25">
      <c r="B79" s="22"/>
      <c r="C79" s="22"/>
      <c r="D79" s="22"/>
      <c r="E79" s="23"/>
      <c r="F79" s="24"/>
      <c r="G79" s="24"/>
      <c r="H79" s="25"/>
      <c r="I79" s="26">
        <f t="shared" si="2"/>
        <v>0</v>
      </c>
    </row>
    <row r="80" spans="2:9" hidden="1" x14ac:dyDescent="0.25">
      <c r="B80" s="22"/>
      <c r="C80" s="22"/>
      <c r="D80" s="22"/>
      <c r="E80" s="23"/>
      <c r="F80" s="24"/>
      <c r="G80" s="24"/>
      <c r="H80" s="25"/>
      <c r="I80" s="26">
        <f t="shared" si="2"/>
        <v>0</v>
      </c>
    </row>
    <row r="81" spans="2:9" hidden="1" x14ac:dyDescent="0.25">
      <c r="B81" s="22"/>
      <c r="C81" s="22"/>
      <c r="D81" s="22"/>
      <c r="E81" s="23"/>
      <c r="F81" s="24"/>
      <c r="G81" s="24"/>
      <c r="H81" s="25"/>
      <c r="I81" s="26">
        <f t="shared" si="2"/>
        <v>0</v>
      </c>
    </row>
    <row r="82" spans="2:9" hidden="1" x14ac:dyDescent="0.25">
      <c r="B82" s="22"/>
      <c r="C82" s="22"/>
      <c r="D82" s="22"/>
      <c r="E82" s="23"/>
      <c r="F82" s="24"/>
      <c r="G82" s="24"/>
      <c r="H82" s="25"/>
      <c r="I82" s="26">
        <f t="shared" si="2"/>
        <v>0</v>
      </c>
    </row>
    <row r="83" spans="2:9" hidden="1" x14ac:dyDescent="0.25">
      <c r="B83" s="103"/>
      <c r="C83" s="103"/>
      <c r="D83" s="103"/>
      <c r="E83" s="104"/>
      <c r="F83" s="60"/>
      <c r="G83" s="24"/>
      <c r="H83" s="105"/>
      <c r="I83" s="106">
        <f t="shared" si="2"/>
        <v>0</v>
      </c>
    </row>
    <row r="84" spans="2:9" x14ac:dyDescent="0.25">
      <c r="B84" s="158"/>
      <c r="C84" s="159"/>
      <c r="D84" s="159"/>
      <c r="E84" s="159"/>
      <c r="F84" s="160"/>
      <c r="G84" s="59"/>
      <c r="H84" s="109" t="s">
        <v>17</v>
      </c>
      <c r="I84" s="110">
        <f>SUM(I15:I83)</f>
        <v>319196.89</v>
      </c>
    </row>
    <row r="85" spans="2:9" x14ac:dyDescent="0.25">
      <c r="B85" s="107"/>
      <c r="C85" s="31"/>
      <c r="D85" s="32" t="s">
        <v>18</v>
      </c>
      <c r="E85" s="161">
        <f>SUM(G15:G83)</f>
        <v>638393.25679999997</v>
      </c>
      <c r="F85" s="162"/>
      <c r="G85" s="61"/>
      <c r="H85" s="111" t="s">
        <v>19</v>
      </c>
      <c r="I85" s="112">
        <v>0</v>
      </c>
    </row>
    <row r="86" spans="2:9" x14ac:dyDescent="0.25">
      <c r="B86" s="107"/>
      <c r="C86" s="31"/>
      <c r="D86" s="32" t="s">
        <v>20</v>
      </c>
      <c r="E86" s="161">
        <f>SUM(I15:I83)</f>
        <v>319196.89</v>
      </c>
      <c r="F86" s="162"/>
      <c r="G86" s="61"/>
      <c r="H86" s="113" t="s">
        <v>21</v>
      </c>
      <c r="I86" s="112">
        <v>0</v>
      </c>
    </row>
    <row r="87" spans="2:9" x14ac:dyDescent="0.25">
      <c r="B87" s="107"/>
      <c r="C87" s="31"/>
      <c r="D87" s="32" t="s">
        <v>22</v>
      </c>
      <c r="E87" s="179">
        <f>E85-E86</f>
        <v>319196.36679999996</v>
      </c>
      <c r="F87" s="180"/>
      <c r="G87" s="62"/>
      <c r="H87" s="111" t="s">
        <v>23</v>
      </c>
      <c r="I87" s="114">
        <f>SUM(I84:I86)</f>
        <v>319196.89</v>
      </c>
    </row>
    <row r="88" spans="2:9" x14ac:dyDescent="0.25">
      <c r="B88" s="107"/>
      <c r="C88" s="31"/>
      <c r="D88" s="32"/>
      <c r="E88" s="181"/>
      <c r="F88" s="182"/>
      <c r="G88" s="63"/>
      <c r="H88" s="111" t="s">
        <v>24</v>
      </c>
      <c r="I88" s="114">
        <f>I87*0.05</f>
        <v>15959.844500000001</v>
      </c>
    </row>
    <row r="89" spans="2:9" x14ac:dyDescent="0.25">
      <c r="B89" s="107"/>
      <c r="C89" s="31"/>
      <c r="D89" s="39"/>
      <c r="E89" s="39"/>
      <c r="F89" s="108"/>
      <c r="G89" s="39"/>
      <c r="H89" s="111" t="s">
        <v>25</v>
      </c>
      <c r="I89" s="112"/>
    </row>
    <row r="90" spans="2:9" ht="16.5" thickBot="1" x14ac:dyDescent="0.3">
      <c r="B90" s="173" t="s">
        <v>26</v>
      </c>
      <c r="C90" s="174"/>
      <c r="D90" s="174"/>
      <c r="E90" s="174"/>
      <c r="F90" s="175"/>
      <c r="G90" s="58"/>
      <c r="H90" s="115" t="s">
        <v>27</v>
      </c>
      <c r="I90" s="116">
        <f>SUM(I87:I89)</f>
        <v>335156.73450000002</v>
      </c>
    </row>
  </sheetData>
  <autoFilter ref="B14:I90" xr:uid="{79A81AB4-DFBE-4D76-97FE-0C7F33856F71}">
    <filterColumn colId="6">
      <customFilters>
        <customFilter operator="notEqual" val=" "/>
      </customFilters>
    </filterColumn>
  </autoFilter>
  <mergeCells count="25">
    <mergeCell ref="B90:F90"/>
    <mergeCell ref="F13:I13"/>
    <mergeCell ref="B84:F84"/>
    <mergeCell ref="E85:F85"/>
    <mergeCell ref="E86:F86"/>
    <mergeCell ref="E87:F87"/>
    <mergeCell ref="E88:F88"/>
    <mergeCell ref="C11:D11"/>
    <mergeCell ref="E11:F11"/>
    <mergeCell ref="H11:I11"/>
    <mergeCell ref="C12:D12"/>
    <mergeCell ref="E12:F12"/>
    <mergeCell ref="H12:I12"/>
    <mergeCell ref="C9:D9"/>
    <mergeCell ref="E9:F9"/>
    <mergeCell ref="H9:I9"/>
    <mergeCell ref="C10:D10"/>
    <mergeCell ref="E10:F10"/>
    <mergeCell ref="H10:I10"/>
    <mergeCell ref="E1:F5"/>
    <mergeCell ref="H1:I5"/>
    <mergeCell ref="C7:D7"/>
    <mergeCell ref="C8:D8"/>
    <mergeCell ref="E8:F8"/>
    <mergeCell ref="H8:I8"/>
  </mergeCells>
  <pageMargins left="0.7" right="0.7" top="0.75" bottom="0.75" header="0.3" footer="0.3"/>
  <pageSetup scale="5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4A5F-3A2C-4DA2-9F3F-238E58578600}">
  <dimension ref="B1:I136"/>
  <sheetViews>
    <sheetView workbookViewId="0">
      <selection activeCell="D21" sqref="D21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127"/>
      <c r="C1" s="128"/>
      <c r="D1" s="128"/>
      <c r="E1" s="176" t="s">
        <v>28</v>
      </c>
      <c r="F1" s="176"/>
      <c r="G1" s="148"/>
      <c r="H1" s="176" t="s">
        <v>36</v>
      </c>
      <c r="I1" s="150"/>
    </row>
    <row r="2" spans="2:9" ht="15" customHeight="1" x14ac:dyDescent="0.25">
      <c r="B2" s="129"/>
      <c r="E2" s="177"/>
      <c r="F2" s="177"/>
      <c r="G2" s="45"/>
      <c r="H2" s="177"/>
      <c r="I2" s="152"/>
    </row>
    <row r="3" spans="2:9" ht="15" customHeight="1" x14ac:dyDescent="0.25">
      <c r="B3" s="129"/>
      <c r="E3" s="177"/>
      <c r="F3" s="177"/>
      <c r="G3" s="45"/>
      <c r="H3" s="177"/>
      <c r="I3" s="152"/>
    </row>
    <row r="4" spans="2:9" ht="15" customHeight="1" x14ac:dyDescent="0.25">
      <c r="B4" s="129"/>
      <c r="E4" s="177"/>
      <c r="F4" s="177"/>
      <c r="G4" s="45"/>
      <c r="H4" s="177"/>
      <c r="I4" s="152"/>
    </row>
    <row r="5" spans="2:9" ht="15" customHeight="1" x14ac:dyDescent="0.25">
      <c r="B5" s="130"/>
      <c r="C5" s="1"/>
      <c r="D5" s="1"/>
      <c r="E5" s="178"/>
      <c r="F5" s="178"/>
      <c r="G5" s="46"/>
      <c r="H5" s="178"/>
      <c r="I5" s="154"/>
    </row>
    <row r="6" spans="2:9" ht="36" x14ac:dyDescent="0.55000000000000004">
      <c r="B6" s="6"/>
      <c r="C6" s="7"/>
      <c r="D6" s="7"/>
      <c r="E6" s="8"/>
      <c r="F6" s="8"/>
      <c r="G6" s="8"/>
      <c r="H6" s="8"/>
      <c r="I6" s="131"/>
    </row>
    <row r="7" spans="2:9" x14ac:dyDescent="0.25">
      <c r="B7" s="132" t="s">
        <v>7</v>
      </c>
      <c r="C7" s="186" t="s">
        <v>290</v>
      </c>
      <c r="D7" s="187"/>
      <c r="E7" s="9" t="s">
        <v>8</v>
      </c>
      <c r="F7" s="10">
        <v>45870</v>
      </c>
      <c r="G7" s="10"/>
      <c r="H7" s="11" t="s">
        <v>9</v>
      </c>
      <c r="I7" s="138"/>
    </row>
    <row r="8" spans="2:9" x14ac:dyDescent="0.25">
      <c r="B8" s="134" t="s">
        <v>10</v>
      </c>
      <c r="C8" s="183">
        <v>0</v>
      </c>
      <c r="D8" s="183"/>
      <c r="E8" s="163" t="s">
        <v>11</v>
      </c>
      <c r="F8" s="163"/>
      <c r="G8" s="13"/>
      <c r="H8" s="200"/>
      <c r="I8" s="172"/>
    </row>
    <row r="9" spans="2:9" x14ac:dyDescent="0.25">
      <c r="B9" s="134" t="s">
        <v>12</v>
      </c>
      <c r="C9" s="183">
        <v>0</v>
      </c>
      <c r="D9" s="183"/>
      <c r="E9" s="163" t="s">
        <v>13</v>
      </c>
      <c r="F9" s="163"/>
      <c r="G9" s="13"/>
      <c r="H9" s="201"/>
      <c r="I9" s="170"/>
    </row>
    <row r="10" spans="2:9" x14ac:dyDescent="0.25">
      <c r="B10" s="134"/>
      <c r="C10" s="183">
        <v>0</v>
      </c>
      <c r="D10" s="183"/>
      <c r="E10" s="163" t="s">
        <v>14</v>
      </c>
      <c r="F10" s="163"/>
      <c r="G10" s="13"/>
      <c r="H10" s="198"/>
      <c r="I10" s="166"/>
    </row>
    <row r="11" spans="2:9" x14ac:dyDescent="0.25">
      <c r="B11" s="134"/>
      <c r="C11" s="183">
        <v>0</v>
      </c>
      <c r="D11" s="183"/>
      <c r="E11" s="163"/>
      <c r="F11" s="163"/>
      <c r="G11" s="13"/>
      <c r="H11" s="198"/>
      <c r="I11" s="166"/>
    </row>
    <row r="12" spans="2:9" x14ac:dyDescent="0.25">
      <c r="B12" s="146"/>
      <c r="C12" s="183">
        <v>0</v>
      </c>
      <c r="D12" s="183"/>
      <c r="E12" s="184"/>
      <c r="F12" s="184"/>
      <c r="G12" s="14"/>
      <c r="H12" s="199"/>
      <c r="I12" s="168"/>
    </row>
    <row r="13" spans="2:9" ht="15.75" thickBot="1" x14ac:dyDescent="0.3">
      <c r="B13" s="15"/>
      <c r="C13" s="16"/>
      <c r="D13" s="16"/>
      <c r="E13" s="16"/>
      <c r="F13" s="195" t="s">
        <v>3</v>
      </c>
      <c r="G13" s="195"/>
      <c r="H13" s="195"/>
      <c r="I13" s="155"/>
    </row>
    <row r="14" spans="2:9" ht="15.75" thickBot="1" x14ac:dyDescent="0.3">
      <c r="B14" s="147" t="s">
        <v>0</v>
      </c>
      <c r="C14" s="143" t="s">
        <v>15</v>
      </c>
      <c r="D14" s="144" t="s">
        <v>1</v>
      </c>
      <c r="E14" s="145" t="s">
        <v>2</v>
      </c>
      <c r="F14" s="145" t="s">
        <v>4</v>
      </c>
      <c r="G14" s="145"/>
      <c r="H14" s="145" t="s">
        <v>5</v>
      </c>
      <c r="I14" s="145" t="s">
        <v>16</v>
      </c>
    </row>
    <row r="15" spans="2:9" x14ac:dyDescent="0.25">
      <c r="B15" s="72" t="s">
        <v>80</v>
      </c>
      <c r="C15" s="73" t="str">
        <f>VLOOKUP($B15,'[1]Products by Part Number'!$A:$L,2,0)</f>
        <v xml:space="preserve">KOM D71PX-24 (1) KOM D71PX-24 (2) KOM D71PX-24 (3) KOM D71PX-24 (4) KOM D71PX-24 (5) KOM D71PX-24 (6) KOM D71PX-24 (7) KOM D61PX-24 (B60)                                </v>
      </c>
      <c r="D15" s="73" t="str">
        <f>VLOOKUP($B15,'[1]Products by Part Number'!$A:$L,3,0)</f>
        <v>CAB AIR FILTER</v>
      </c>
      <c r="E15" s="74">
        <f>VLOOKUP($B15,'[1]Products by Part Number'!$A:$L,8,0)</f>
        <v>9</v>
      </c>
      <c r="F15" s="75">
        <f>VLOOKUP($B15,'[1]Products by Part Number'!$A:$L,4,0)</f>
        <v>188.74260000000001</v>
      </c>
      <c r="G15" s="76">
        <f>E15*F15</f>
        <v>1698.6834000000001</v>
      </c>
      <c r="H15" s="76">
        <f>VLOOKUP($B15,'[1]Products by Part Number'!$A:$L,6,0)</f>
        <v>122.68</v>
      </c>
      <c r="I15" s="77">
        <f t="shared" ref="I15:I78" si="0">ROUND(E15*H15,2)</f>
        <v>1104.1199999999999</v>
      </c>
    </row>
    <row r="16" spans="2:9" x14ac:dyDescent="0.25">
      <c r="B16" s="78" t="s">
        <v>81</v>
      </c>
      <c r="C16" s="68" t="str">
        <f>VLOOKUP($B16,'[1]Products by Part Number'!$A:$L,2,0)</f>
        <v xml:space="preserve">KOM D71PX-24 (1) KOM D71PX-24 (2) KOM D71PX-24 (3) KOM D71PX-24 (4) KOM D71PX-24 (5) KOM D71PX-24 (6) KOM D71PX-24 (7) KOM D61PX-24 (B60)                                </v>
      </c>
      <c r="D16" s="68" t="str">
        <f>VLOOKUP($B16,'[1]Products by Part Number'!$A:$L,3,0)</f>
        <v>CAB AIR FILTER</v>
      </c>
      <c r="E16" s="69">
        <f>VLOOKUP($B16,'[1]Products by Part Number'!$A:$L,8,0)</f>
        <v>9</v>
      </c>
      <c r="F16" s="70">
        <f>VLOOKUP($B16,'[1]Products by Part Number'!$A:$L,4,0)</f>
        <v>164.08199999999999</v>
      </c>
      <c r="G16" s="71">
        <f t="shared" ref="G16" si="1">E16*F16</f>
        <v>1476.7379999999998</v>
      </c>
      <c r="H16" s="71">
        <f>VLOOKUP($B16,'[1]Products by Part Number'!$A:$L,6,0)</f>
        <v>106.65</v>
      </c>
      <c r="I16" s="79">
        <f t="shared" si="0"/>
        <v>959.85</v>
      </c>
    </row>
    <row r="17" spans="2:9" x14ac:dyDescent="0.25">
      <c r="B17" s="78" t="s">
        <v>82</v>
      </c>
      <c r="C17" s="68" t="str">
        <f>VLOOKUP($B17,'[1]Products by Part Number'!$A:$L,2,0)</f>
        <v xml:space="preserve">CAT 14 (EN4)                                              </v>
      </c>
      <c r="D17" s="68" t="str">
        <f>VLOOKUP($B17,'[1]Products by Part Number'!$A:$L,3,0)</f>
        <v>CAB AIR FILTER</v>
      </c>
      <c r="E17" s="69">
        <f>VLOOKUP($B17,'[1]Products by Part Number'!$A:$L,8,0)</f>
        <v>2</v>
      </c>
      <c r="F17" s="70">
        <f>VLOOKUP($B17,'[1]Products by Part Number'!$A:$L,4,0)</f>
        <v>93.03</v>
      </c>
      <c r="G17" s="71">
        <f t="shared" ref="G17:G80" si="2">E17*F17</f>
        <v>186.06</v>
      </c>
      <c r="H17" s="71">
        <f>VLOOKUP($B17,'[1]Products by Part Number'!$A:$L,6,0)</f>
        <v>60.47</v>
      </c>
      <c r="I17" s="79">
        <f t="shared" si="0"/>
        <v>120.94</v>
      </c>
    </row>
    <row r="18" spans="2:9" x14ac:dyDescent="0.25">
      <c r="B18" s="78" t="s">
        <v>83</v>
      </c>
      <c r="C18" s="68" t="str">
        <f>VLOOKUP($B18,'[1]Products by Part Number'!$A:$L,2,0)</f>
        <v xml:space="preserve">KOM PC138USLC-11 KOM PC238USLC-11 (1) KOM PC490LC-11 (A42) KOM PC490LC-11 (A42) (2) KOM PC490LC-11 (A42) (3) KOM PC490LC-11 (A42) (4) KOM PC490LC-11 (A42) (5) KOM PC490LC-11 (A43) KOM PC490LC-11 (KMT) (1) KOM PC490LC-11 (KMT) (2) KOM PC490LC-11 (KMT) (3) KOM PC360LC-11 (A37) KOM PC360LC-11 (A39) KOM PC360LC-11 (A39) (2) KOM PC290LC-11 (K73)                  </v>
      </c>
      <c r="D18" s="68" t="str">
        <f>VLOOKUP($B18,'[1]Products by Part Number'!$A:$L,3,0)</f>
        <v>CAB AIR FILTER</v>
      </c>
      <c r="E18" s="69">
        <f>VLOOKUP($B18,'[1]Products by Part Number'!$A:$L,8,0)</f>
        <v>30</v>
      </c>
      <c r="F18" s="70">
        <f>VLOOKUP($B18,'[1]Products by Part Number'!$A:$L,4,0)</f>
        <v>67.87</v>
      </c>
      <c r="G18" s="71">
        <f t="shared" si="2"/>
        <v>2036.1000000000001</v>
      </c>
      <c r="H18" s="71">
        <f>VLOOKUP($B18,'[1]Products by Part Number'!$A:$L,6,0)</f>
        <v>44.12</v>
      </c>
      <c r="I18" s="79">
        <f t="shared" si="0"/>
        <v>1323.6</v>
      </c>
    </row>
    <row r="19" spans="2:9" x14ac:dyDescent="0.25">
      <c r="B19" s="78" t="s">
        <v>84</v>
      </c>
      <c r="C19" s="68" t="str">
        <f>VLOOKUP($B19,'[1]Products by Part Number'!$A:$L,2,0)</f>
        <v xml:space="preserve">CAT 14 (EN4)                                              </v>
      </c>
      <c r="D19" s="68" t="str">
        <f>VLOOKUP($B19,'[1]Products by Part Number'!$A:$L,3,0)</f>
        <v>CAB AIR FILTER</v>
      </c>
      <c r="E19" s="69">
        <f>VLOOKUP($B19,'[1]Products by Part Number'!$A:$L,8,0)</f>
        <v>2</v>
      </c>
      <c r="F19" s="70">
        <f>VLOOKUP($B19,'[1]Products by Part Number'!$A:$L,4,0)</f>
        <v>74.81</v>
      </c>
      <c r="G19" s="71">
        <f t="shared" si="2"/>
        <v>149.62</v>
      </c>
      <c r="H19" s="71">
        <f>VLOOKUP($B19,'[1]Products by Part Number'!$A:$L,6,0)</f>
        <v>48.63</v>
      </c>
      <c r="I19" s="79">
        <f t="shared" si="0"/>
        <v>97.26</v>
      </c>
    </row>
    <row r="20" spans="2:9" x14ac:dyDescent="0.25">
      <c r="B20" s="78" t="s">
        <v>85</v>
      </c>
      <c r="C20" s="68" t="str">
        <f>VLOOKUP($B20,'[1]Products by Part Number'!$A:$L,2,0)</f>
        <v xml:space="preserve">CAT TL1055C (KDE)                                              </v>
      </c>
      <c r="D20" s="68" t="str">
        <f>VLOOKUP($B20,'[1]Products by Part Number'!$A:$L,3,0)</f>
        <v>PRIMARY AIR FILTER</v>
      </c>
      <c r="E20" s="69">
        <f>VLOOKUP($B20,'[1]Products by Part Number'!$A:$L,8,0)</f>
        <v>1</v>
      </c>
      <c r="F20" s="70">
        <f>VLOOKUP($B20,'[1]Products by Part Number'!$A:$L,4,0)</f>
        <v>100.67</v>
      </c>
      <c r="G20" s="71">
        <f t="shared" si="2"/>
        <v>100.67</v>
      </c>
      <c r="H20" s="71">
        <f>VLOOKUP($B20,'[1]Products by Part Number'!$A:$L,6,0)</f>
        <v>65.44</v>
      </c>
      <c r="I20" s="79">
        <f t="shared" si="0"/>
        <v>65.44</v>
      </c>
    </row>
    <row r="21" spans="2:9" x14ac:dyDescent="0.25">
      <c r="B21" s="78" t="s">
        <v>86</v>
      </c>
      <c r="C21" s="68" t="str">
        <f>VLOOKUP($B21,'[1]Products by Part Number'!$A:$L,2,0)</f>
        <v xml:space="preserve">CAT TL1055C (KDE)                                              </v>
      </c>
      <c r="D21" s="68" t="str">
        <f>VLOOKUP($B21,'[1]Products by Part Number'!$A:$L,3,0)</f>
        <v>SECONDARY AIR FILTER</v>
      </c>
      <c r="E21" s="69">
        <f>VLOOKUP($B21,'[1]Products by Part Number'!$A:$L,8,0)</f>
        <v>1</v>
      </c>
      <c r="F21" s="70">
        <f>VLOOKUP($B21,'[1]Products by Part Number'!$A:$L,4,0)</f>
        <v>80.09</v>
      </c>
      <c r="G21" s="71">
        <f t="shared" si="2"/>
        <v>80.09</v>
      </c>
      <c r="H21" s="71">
        <f>VLOOKUP($B21,'[1]Products by Part Number'!$A:$L,6,0)</f>
        <v>52.06</v>
      </c>
      <c r="I21" s="79">
        <f t="shared" si="0"/>
        <v>52.06</v>
      </c>
    </row>
    <row r="22" spans="2:9" x14ac:dyDescent="0.25">
      <c r="B22" s="78" t="s">
        <v>87</v>
      </c>
      <c r="C22" s="68" t="str">
        <f>VLOOKUP($B22,'[1]Products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KOM PC360LC-11 (A37) KOM PC360LC-11 (A39) KOM PC360LC-11 (A39) (2) KOM PC290LC-11 (K73)                      </v>
      </c>
      <c r="D22" s="68" t="str">
        <f>VLOOKUP($B22,'[1]Products by Part Number'!$A:$L,3,0)</f>
        <v>CAB AIR FILTER</v>
      </c>
      <c r="E22" s="69">
        <f>VLOOKUP($B22,'[1]Products by Part Number'!$A:$L,8,0)</f>
        <v>26</v>
      </c>
      <c r="F22" s="70">
        <f>VLOOKUP($B22,'[1]Products by Part Number'!$A:$L,4,0)</f>
        <v>68.78</v>
      </c>
      <c r="G22" s="71">
        <f t="shared" si="2"/>
        <v>1788.28</v>
      </c>
      <c r="H22" s="71">
        <f>VLOOKUP($B22,'[1]Products by Part Number'!$A:$L,6,0)</f>
        <v>44.71</v>
      </c>
      <c r="I22" s="79">
        <f t="shared" si="0"/>
        <v>1162.46</v>
      </c>
    </row>
    <row r="23" spans="2:9" x14ac:dyDescent="0.25">
      <c r="B23" s="78" t="s">
        <v>88</v>
      </c>
      <c r="C23" s="68" t="str">
        <f>VLOOKUP($B23,'[1]Products by Part Number'!$A:$L,2,0)</f>
        <v xml:space="preserve">CAT 329EL (ZCD)                                              </v>
      </c>
      <c r="D23" s="68" t="str">
        <f>VLOOKUP($B23,'[1]Products by Part Number'!$A:$L,3,0)</f>
        <v>CAB AIR FILTER</v>
      </c>
      <c r="E23" s="69">
        <f>VLOOKUP($B23,'[1]Products by Part Number'!$A:$L,8,0)</f>
        <v>2</v>
      </c>
      <c r="F23" s="70">
        <f>VLOOKUP($B23,'[1]Products by Part Number'!$A:$L,4,0)</f>
        <v>82.09</v>
      </c>
      <c r="G23" s="71">
        <f t="shared" si="2"/>
        <v>164.18</v>
      </c>
      <c r="H23" s="71">
        <f>VLOOKUP($B23,'[1]Products by Part Number'!$A:$L,6,0)</f>
        <v>53.36</v>
      </c>
      <c r="I23" s="79">
        <f t="shared" si="0"/>
        <v>106.72</v>
      </c>
    </row>
    <row r="24" spans="2:9" x14ac:dyDescent="0.25">
      <c r="B24" s="78" t="s">
        <v>89</v>
      </c>
      <c r="C24" s="68" t="str">
        <f>VLOOKUP($B24,'[1]Products by Part Number'!$A:$L,2,0)</f>
        <v xml:space="preserve">CAT 14 (EN4)                                              </v>
      </c>
      <c r="D24" s="68" t="str">
        <f>VLOOKUP($B24,'[1]Products by Part Number'!$A:$L,3,0)</f>
        <v>SECONDARY AIR FILTER</v>
      </c>
      <c r="E24" s="69">
        <f>VLOOKUP($B24,'[1]Products by Part Number'!$A:$L,8,0)</f>
        <v>1</v>
      </c>
      <c r="F24" s="70">
        <f>VLOOKUP($B24,'[1]Products by Part Number'!$A:$L,4,0)</f>
        <v>105.26</v>
      </c>
      <c r="G24" s="71">
        <f t="shared" si="2"/>
        <v>105.26</v>
      </c>
      <c r="H24" s="71">
        <f>VLOOKUP($B24,'[1]Products by Part Number'!$A:$L,6,0)</f>
        <v>68.42</v>
      </c>
      <c r="I24" s="79">
        <f t="shared" si="0"/>
        <v>68.42</v>
      </c>
    </row>
    <row r="25" spans="2:9" x14ac:dyDescent="0.25">
      <c r="B25" s="78" t="s">
        <v>90</v>
      </c>
      <c r="C25" s="68" t="str">
        <f>VLOOKUP($B25,'[1]Products by Part Number'!$A:$L,2,0)</f>
        <v xml:space="preserve">KOM WA475-10 (120)                                              </v>
      </c>
      <c r="D25" s="68" t="str">
        <f>VLOOKUP($B25,'[1]Products by Part Number'!$A:$L,3,0)</f>
        <v>CAB AIR FILTER</v>
      </c>
      <c r="E25" s="69">
        <f>VLOOKUP($B25,'[1]Products by Part Number'!$A:$L,8,0)</f>
        <v>1</v>
      </c>
      <c r="F25" s="70">
        <f>VLOOKUP($B25,'[1]Products by Part Number'!$A:$L,4,0)</f>
        <v>134.66999999999999</v>
      </c>
      <c r="G25" s="71">
        <f t="shared" si="2"/>
        <v>134.66999999999999</v>
      </c>
      <c r="H25" s="71">
        <f>VLOOKUP($B25,'[1]Products by Part Number'!$A:$L,6,0)</f>
        <v>87.54</v>
      </c>
      <c r="I25" s="79">
        <f t="shared" si="0"/>
        <v>87.54</v>
      </c>
    </row>
    <row r="26" spans="2:9" x14ac:dyDescent="0.25">
      <c r="B26" s="78" t="s">
        <v>91</v>
      </c>
      <c r="C26" s="68" t="str">
        <f>VLOOKUP($B26,'[1]Products by Part Number'!$A:$L,2,0)</f>
        <v xml:space="preserve">KOM WA380-8 (1) KOM WA380-8 (2) KOM WA320-8 (867) KOM WA320PZ-6 (729)                                        </v>
      </c>
      <c r="D26" s="68" t="str">
        <f>VLOOKUP($B26,'[1]Products by Part Number'!$A:$L,3,0)</f>
        <v>CAB AIR FILTER</v>
      </c>
      <c r="E26" s="69">
        <f>VLOOKUP($B26,'[1]Products by Part Number'!$A:$L,8,0)</f>
        <v>6</v>
      </c>
      <c r="F26" s="70">
        <f>VLOOKUP($B26,'[1]Products by Part Number'!$A:$L,4,0)</f>
        <v>152.87</v>
      </c>
      <c r="G26" s="71">
        <f t="shared" si="2"/>
        <v>917.22</v>
      </c>
      <c r="H26" s="71">
        <f>VLOOKUP($B26,'[1]Products by Part Number'!$A:$L,6,0)</f>
        <v>99.37</v>
      </c>
      <c r="I26" s="79">
        <f t="shared" si="0"/>
        <v>596.22</v>
      </c>
    </row>
    <row r="27" spans="2:9" x14ac:dyDescent="0.25">
      <c r="B27" s="78" t="s">
        <v>92</v>
      </c>
      <c r="C27" s="68" t="str">
        <f>VLOOKUP($B27,'[1]Products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27" s="68" t="str">
        <f>VLOOKUP($B27,'[1]Products by Part Number'!$A:$L,3,0)</f>
        <v>CAB AIR FILTER</v>
      </c>
      <c r="E27" s="69">
        <f>VLOOKUP($B27,'[1]Products by Part Number'!$A:$L,8,0)</f>
        <v>14</v>
      </c>
      <c r="F27" s="70">
        <f>VLOOKUP($B27,'[1]Products by Part Number'!$A:$L,4,0)</f>
        <v>131.29</v>
      </c>
      <c r="G27" s="71">
        <f t="shared" si="2"/>
        <v>1838.06</v>
      </c>
      <c r="H27" s="71">
        <f>VLOOKUP($B27,'[1]Products by Part Number'!$A:$L,6,0)</f>
        <v>85.34</v>
      </c>
      <c r="I27" s="79">
        <f t="shared" si="0"/>
        <v>1194.76</v>
      </c>
    </row>
    <row r="28" spans="2:9" x14ac:dyDescent="0.25">
      <c r="B28" s="78" t="s">
        <v>93</v>
      </c>
      <c r="C28" s="68" t="str">
        <f>VLOOKUP($B28,'[1]Products by Part Number'!$A:$L,2,0)</f>
        <v xml:space="preserve">JD 470P (1FF)                                              </v>
      </c>
      <c r="D28" s="68" t="str">
        <f>VLOOKUP($B28,'[1]Products by Part Number'!$A:$L,3,0)</f>
        <v>CAB AIR FILTER</v>
      </c>
      <c r="E28" s="69">
        <f>VLOOKUP($B28,'[1]Products by Part Number'!$A:$L,8,0)</f>
        <v>1</v>
      </c>
      <c r="F28" s="70">
        <f>VLOOKUP($B28,'[1]Products by Part Number'!$A:$L,4,0)</f>
        <v>103.0722</v>
      </c>
      <c r="G28" s="71">
        <f t="shared" si="2"/>
        <v>103.0722</v>
      </c>
      <c r="H28" s="71">
        <f>VLOOKUP($B28,'[1]Products by Part Number'!$A:$L,6,0)</f>
        <v>67</v>
      </c>
      <c r="I28" s="79">
        <f t="shared" si="0"/>
        <v>67</v>
      </c>
    </row>
    <row r="29" spans="2:9" x14ac:dyDescent="0.25">
      <c r="B29" s="78" t="s">
        <v>94</v>
      </c>
      <c r="C29" s="68" t="str">
        <f>VLOOKUP($B29,'[1]Products by Part Number'!$A:$L,2,0)</f>
        <v xml:space="preserve">CAT 255 CAT 255 (2) CAT 255 (FL7)                                          </v>
      </c>
      <c r="D29" s="68" t="str">
        <f>VLOOKUP($B29,'[1]Products by Part Number'!$A:$L,3,0)</f>
        <v>PRIMARY AIR FILTER</v>
      </c>
      <c r="E29" s="69">
        <f>VLOOKUP($B29,'[1]Products by Part Number'!$A:$L,8,0)</f>
        <v>6</v>
      </c>
      <c r="F29" s="70">
        <f>VLOOKUP($B29,'[1]Products by Part Number'!$A:$L,4,0)</f>
        <v>95.35</v>
      </c>
      <c r="G29" s="71">
        <f t="shared" si="2"/>
        <v>572.09999999999991</v>
      </c>
      <c r="H29" s="71">
        <f>VLOOKUP($B29,'[1]Products by Part Number'!$A:$L,6,0)</f>
        <v>61.98</v>
      </c>
      <c r="I29" s="79">
        <f t="shared" si="0"/>
        <v>371.88</v>
      </c>
    </row>
    <row r="30" spans="2:9" x14ac:dyDescent="0.25">
      <c r="B30" s="78" t="s">
        <v>95</v>
      </c>
      <c r="C30" s="68" t="str">
        <f>VLOOKUP($B30,'[1]Products by Part Number'!$A:$L,2,0)</f>
        <v xml:space="preserve">CAT 255 CAT 255 (2) CAT 255 (FL7)                                          </v>
      </c>
      <c r="D30" s="68" t="str">
        <f>VLOOKUP($B30,'[1]Products by Part Number'!$A:$L,3,0)</f>
        <v>SECONDARY AIR FILTER</v>
      </c>
      <c r="E30" s="69">
        <f>VLOOKUP($B30,'[1]Products by Part Number'!$A:$L,8,0)</f>
        <v>6</v>
      </c>
      <c r="F30" s="70">
        <f>VLOOKUP($B30,'[1]Products by Part Number'!$A:$L,4,0)</f>
        <v>71.010000000000005</v>
      </c>
      <c r="G30" s="71">
        <f t="shared" si="2"/>
        <v>426.06000000000006</v>
      </c>
      <c r="H30" s="71">
        <f>VLOOKUP($B30,'[1]Products by Part Number'!$A:$L,6,0)</f>
        <v>46.16</v>
      </c>
      <c r="I30" s="79">
        <f t="shared" si="0"/>
        <v>276.95999999999998</v>
      </c>
    </row>
    <row r="31" spans="2:9" x14ac:dyDescent="0.25">
      <c r="B31" s="78" t="s">
        <v>96</v>
      </c>
      <c r="C31" s="68" t="str">
        <f>VLOOKUP($B31,'[1]Products by Part Number'!$A:$L,2,0)</f>
        <v xml:space="preserve">CAT 14 (EN4)                                              </v>
      </c>
      <c r="D31" s="68" t="str">
        <f>VLOOKUP($B31,'[1]Products by Part Number'!$A:$L,3,0)</f>
        <v>PRIMARY AIR FILTER</v>
      </c>
      <c r="E31" s="69">
        <f>VLOOKUP($B31,'[1]Products by Part Number'!$A:$L,8,0)</f>
        <v>1</v>
      </c>
      <c r="F31" s="70">
        <f>VLOOKUP($B31,'[1]Products by Part Number'!$A:$L,4,0)</f>
        <v>250.86</v>
      </c>
      <c r="G31" s="71">
        <f t="shared" si="2"/>
        <v>250.86</v>
      </c>
      <c r="H31" s="71">
        <f>VLOOKUP($B31,'[1]Products by Part Number'!$A:$L,6,0)</f>
        <v>163.06</v>
      </c>
      <c r="I31" s="79">
        <f t="shared" si="0"/>
        <v>163.06</v>
      </c>
    </row>
    <row r="32" spans="2:9" x14ac:dyDescent="0.25">
      <c r="B32" s="78" t="s">
        <v>97</v>
      </c>
      <c r="C32" s="68" t="str">
        <f>VLOOKUP($B32,'[1]Products by Part Number'!$A:$L,2,0)</f>
        <v xml:space="preserve">CAT 255 CAT 255 (2) CAT 255 (FL7)                                          </v>
      </c>
      <c r="D32" s="68" t="str">
        <f>VLOOKUP($B32,'[1]Products by Part Number'!$A:$L,3,0)</f>
        <v>CAB AIR FILTER</v>
      </c>
      <c r="E32" s="69">
        <f>VLOOKUP($B32,'[1]Products by Part Number'!$A:$L,8,0)</f>
        <v>6</v>
      </c>
      <c r="F32" s="70">
        <f>VLOOKUP($B32,'[1]Products by Part Number'!$A:$L,4,0)</f>
        <v>79.63</v>
      </c>
      <c r="G32" s="71">
        <f t="shared" si="2"/>
        <v>477.78</v>
      </c>
      <c r="H32" s="71">
        <f>VLOOKUP($B32,'[1]Products by Part Number'!$A:$L,6,0)</f>
        <v>51.76</v>
      </c>
      <c r="I32" s="79">
        <f t="shared" si="0"/>
        <v>310.56</v>
      </c>
    </row>
    <row r="33" spans="2:9" x14ac:dyDescent="0.25">
      <c r="B33" s="78" t="s">
        <v>98</v>
      </c>
      <c r="C33" s="68" t="str">
        <f>VLOOKUP($B33,'[1]Products by Part Number'!$A:$L,2,0)</f>
        <v xml:space="preserve">CAT 255 CAT 255 (2) CAT 255 (FL7)                                          </v>
      </c>
      <c r="D33" s="68" t="str">
        <f>VLOOKUP($B33,'[1]Products by Part Number'!$A:$L,3,0)</f>
        <v>CAB AIR FILTER</v>
      </c>
      <c r="E33" s="69">
        <f>VLOOKUP($B33,'[1]Products by Part Number'!$A:$L,8,0)</f>
        <v>6</v>
      </c>
      <c r="F33" s="70">
        <f>VLOOKUP($B33,'[1]Products by Part Number'!$A:$L,4,0)</f>
        <v>87.75</v>
      </c>
      <c r="G33" s="71">
        <f t="shared" si="2"/>
        <v>526.5</v>
      </c>
      <c r="H33" s="71">
        <f>VLOOKUP($B33,'[1]Products by Part Number'!$A:$L,6,0)</f>
        <v>57.04</v>
      </c>
      <c r="I33" s="79">
        <f t="shared" si="0"/>
        <v>342.24</v>
      </c>
    </row>
    <row r="34" spans="2:9" x14ac:dyDescent="0.25">
      <c r="B34" s="78" t="s">
        <v>99</v>
      </c>
      <c r="C34" s="68" t="str">
        <f>VLOOKUP($B34,'[1]Products by Part Number'!$A:$L,2,0)</f>
        <v xml:space="preserve">KOM PC138USLC-11 KOM PC238USLC-11 (1)                                            </v>
      </c>
      <c r="D34" s="68" t="str">
        <f>VLOOKUP($B34,'[1]Products by Part Number'!$A:$L,3,0)</f>
        <v>PRIMARY AIR FILTER</v>
      </c>
      <c r="E34" s="69">
        <f>VLOOKUP($B34,'[1]Products by Part Number'!$A:$L,8,0)</f>
        <v>4</v>
      </c>
      <c r="F34" s="70">
        <f>VLOOKUP($B34,'[1]Products by Part Number'!$A:$L,4,0)</f>
        <v>70.44</v>
      </c>
      <c r="G34" s="71">
        <f t="shared" si="2"/>
        <v>281.76</v>
      </c>
      <c r="H34" s="71">
        <f>VLOOKUP($B34,'[1]Products by Part Number'!$A:$L,6,0)</f>
        <v>45.79</v>
      </c>
      <c r="I34" s="79">
        <f t="shared" si="0"/>
        <v>183.16</v>
      </c>
    </row>
    <row r="35" spans="2:9" x14ac:dyDescent="0.25">
      <c r="B35" s="78" t="s">
        <v>100</v>
      </c>
      <c r="C35" s="68" t="str">
        <f>VLOOKUP($B35,'[1]Products by Part Number'!$A:$L,2,0)</f>
        <v xml:space="preserve">KOM PC138USLC-11 KOM PC238USLC-11 (1)                                            </v>
      </c>
      <c r="D35" s="68" t="str">
        <f>VLOOKUP($B35,'[1]Products by Part Number'!$A:$L,3,0)</f>
        <v>SECONDARY AIR FILTER</v>
      </c>
      <c r="E35" s="69">
        <f>VLOOKUP($B35,'[1]Products by Part Number'!$A:$L,8,0)</f>
        <v>2</v>
      </c>
      <c r="F35" s="70">
        <f>VLOOKUP($B35,'[1]Products by Part Number'!$A:$L,4,0)</f>
        <v>51.65</v>
      </c>
      <c r="G35" s="71">
        <f t="shared" si="2"/>
        <v>103.3</v>
      </c>
      <c r="H35" s="71">
        <f>VLOOKUP($B35,'[1]Products by Part Number'!$A:$L,6,0)</f>
        <v>33.57</v>
      </c>
      <c r="I35" s="79">
        <f t="shared" si="0"/>
        <v>67.14</v>
      </c>
    </row>
    <row r="36" spans="2:9" x14ac:dyDescent="0.25">
      <c r="B36" s="78" t="s">
        <v>101</v>
      </c>
      <c r="C36" s="68" t="str">
        <f>VLOOKUP($B36,'[1]Products by Part Number'!$A:$L,2,0)</f>
        <v xml:space="preserve">KOM PC238USLC-11 (2)                                              </v>
      </c>
      <c r="D36" s="68" t="str">
        <f>VLOOKUP($B36,'[1]Products by Part Number'!$A:$L,3,0)</f>
        <v>PRIMARY AIR FILTER</v>
      </c>
      <c r="E36" s="69">
        <f>VLOOKUP($B36,'[1]Products by Part Number'!$A:$L,8,0)</f>
        <v>2</v>
      </c>
      <c r="F36" s="70">
        <f>VLOOKUP($B36,'[1]Products by Part Number'!$A:$L,4,0)</f>
        <v>94.52</v>
      </c>
      <c r="G36" s="71">
        <f t="shared" si="2"/>
        <v>189.04</v>
      </c>
      <c r="H36" s="71">
        <f>VLOOKUP($B36,'[1]Products by Part Number'!$A:$L,6,0)</f>
        <v>61.44</v>
      </c>
      <c r="I36" s="79">
        <f t="shared" si="0"/>
        <v>122.88</v>
      </c>
    </row>
    <row r="37" spans="2:9" x14ac:dyDescent="0.25">
      <c r="B37" s="78" t="s">
        <v>102</v>
      </c>
      <c r="C37" s="68" t="str">
        <f>VLOOKUP($B37,'[1]Products by Part Number'!$A:$L,2,0)</f>
        <v xml:space="preserve">KOM PC238USLC-11 (2)                                              </v>
      </c>
      <c r="D37" s="68" t="str">
        <f>VLOOKUP($B37,'[1]Products by Part Number'!$A:$L,3,0)</f>
        <v>SECONDARY AIR FILTER</v>
      </c>
      <c r="E37" s="69">
        <f>VLOOKUP($B37,'[1]Products by Part Number'!$A:$L,8,0)</f>
        <v>1</v>
      </c>
      <c r="F37" s="70">
        <f>VLOOKUP($B37,'[1]Products by Part Number'!$A:$L,4,0)</f>
        <v>60.42</v>
      </c>
      <c r="G37" s="71">
        <f t="shared" si="2"/>
        <v>60.42</v>
      </c>
      <c r="H37" s="71">
        <f>VLOOKUP($B37,'[1]Products by Part Number'!$A:$L,6,0)</f>
        <v>39.270000000000003</v>
      </c>
      <c r="I37" s="79">
        <f t="shared" si="0"/>
        <v>39.270000000000003</v>
      </c>
    </row>
    <row r="38" spans="2:9" x14ac:dyDescent="0.25">
      <c r="B38" s="78" t="s">
        <v>103</v>
      </c>
      <c r="C38" s="68" t="str">
        <f>VLOOKUP($B38,'[1]Products by Part Number'!$A:$L,2,0)</f>
        <v xml:space="preserve">KOM WA380-8 (1) KOM WA380-8 (2) KOM WA320-8 (867) KOM WA320PZ-6 (729) KOM PC290LC-11 (K73) KOM D61PX-24 (B60)                                    </v>
      </c>
      <c r="D38" s="68" t="str">
        <f>VLOOKUP($B38,'[1]Products by Part Number'!$A:$L,3,0)</f>
        <v>PRIMARY AIR FILTER</v>
      </c>
      <c r="E38" s="69">
        <f>VLOOKUP($B38,'[1]Products by Part Number'!$A:$L,8,0)</f>
        <v>12</v>
      </c>
      <c r="F38" s="70">
        <f>VLOOKUP($B38,'[1]Products by Part Number'!$A:$L,4,0)</f>
        <v>64.540000000000006</v>
      </c>
      <c r="G38" s="71">
        <f t="shared" si="2"/>
        <v>774.48</v>
      </c>
      <c r="H38" s="71">
        <f>VLOOKUP($B38,'[1]Products by Part Number'!$A:$L,6,0)</f>
        <v>41.95</v>
      </c>
      <c r="I38" s="79">
        <f t="shared" si="0"/>
        <v>503.4</v>
      </c>
    </row>
    <row r="39" spans="2:9" x14ac:dyDescent="0.25">
      <c r="B39" s="78" t="s">
        <v>104</v>
      </c>
      <c r="C39" s="68" t="str">
        <f>VLOOKUP($B39,'[1]Products by Part Number'!$A:$L,2,0)</f>
        <v xml:space="preserve">KOM WA380-8 (1) KOM WA380-8 (2) KOM WA320-8 (867) KOM WA320PZ-6 (729) KOM PC290LC-11 (K73) KOM D61PX-24 (B60)                                    </v>
      </c>
      <c r="D39" s="68" t="str">
        <f>VLOOKUP($B39,'[1]Products by Part Number'!$A:$L,3,0)</f>
        <v>SECONDARY AIR FILTER</v>
      </c>
      <c r="E39" s="69">
        <f>VLOOKUP($B39,'[1]Products by Part Number'!$A:$L,8,0)</f>
        <v>6</v>
      </c>
      <c r="F39" s="70">
        <f>VLOOKUP($B39,'[1]Products by Part Number'!$A:$L,4,0)</f>
        <v>59.85</v>
      </c>
      <c r="G39" s="71">
        <f t="shared" si="2"/>
        <v>359.1</v>
      </c>
      <c r="H39" s="71">
        <f>VLOOKUP($B39,'[1]Products by Part Number'!$A:$L,6,0)</f>
        <v>38.9</v>
      </c>
      <c r="I39" s="79">
        <f t="shared" si="0"/>
        <v>233.4</v>
      </c>
    </row>
    <row r="40" spans="2:9" x14ac:dyDescent="0.25">
      <c r="B40" s="78" t="s">
        <v>105</v>
      </c>
      <c r="C40" s="68" t="str">
        <f>VLOOKUP($B40,'[1]Products by Part Number'!$A:$L,2,0)</f>
        <v xml:space="preserve">KOM D71PX-24 (1) KOM D71PX-24 (2) KOM D71PX-24 (3) KOM D71PX-24 (4) KOM D71PX-24 (5) KOM D71PX-24 (6) KOM D71PX-24 (7)                                  </v>
      </c>
      <c r="D40" s="68" t="str">
        <f>VLOOKUP($B40,'[1]Products by Part Number'!$A:$L,3,0)</f>
        <v>AIR FILTER KIT</v>
      </c>
      <c r="E40" s="69">
        <f>VLOOKUP($B40,'[1]Products by Part Number'!$A:$L,8,0)</f>
        <v>7</v>
      </c>
      <c r="F40" s="70">
        <f>VLOOKUP($B40,'[1]Products by Part Number'!$A:$L,4,0)</f>
        <v>148.99859999999998</v>
      </c>
      <c r="G40" s="71">
        <f t="shared" si="2"/>
        <v>1042.9902</v>
      </c>
      <c r="H40" s="71">
        <f>VLOOKUP($B40,'[1]Products by Part Number'!$A:$L,6,0)</f>
        <v>96.85</v>
      </c>
      <c r="I40" s="79">
        <f t="shared" si="0"/>
        <v>677.95</v>
      </c>
    </row>
    <row r="41" spans="2:9" x14ac:dyDescent="0.25">
      <c r="B41" s="78" t="s">
        <v>106</v>
      </c>
      <c r="C41" s="68" t="str">
        <f>VLOOKUP($B41,'[1]Products by Part Number'!$A:$L,2,0)</f>
        <v xml:space="preserve">KOM PC360LC-11 (A37) KOM PC360LC-11 (A39) KOM PC360LC-11 (A39) (2) KOM WA475-10 (120)                                        </v>
      </c>
      <c r="D41" s="68" t="str">
        <f>VLOOKUP($B41,'[1]Products by Part Number'!$A:$L,3,0)</f>
        <v>PRIMARY AIR FILTER</v>
      </c>
      <c r="E41" s="69">
        <f>VLOOKUP($B41,'[1]Products by Part Number'!$A:$L,8,0)</f>
        <v>8</v>
      </c>
      <c r="F41" s="70">
        <f>VLOOKUP($B41,'[1]Products by Part Number'!$A:$L,4,0)</f>
        <v>95.67</v>
      </c>
      <c r="G41" s="71">
        <f t="shared" si="2"/>
        <v>765.36</v>
      </c>
      <c r="H41" s="71">
        <f>VLOOKUP($B41,'[1]Products by Part Number'!$A:$L,6,0)</f>
        <v>62.19</v>
      </c>
      <c r="I41" s="79">
        <f t="shared" si="0"/>
        <v>497.52</v>
      </c>
    </row>
    <row r="42" spans="2:9" x14ac:dyDescent="0.25">
      <c r="B42" s="78" t="s">
        <v>107</v>
      </c>
      <c r="C42" s="68" t="str">
        <f>VLOOKUP($B42,'[1]Products by Part Number'!$A:$L,2,0)</f>
        <v xml:space="preserve">KOM PC360LC-11 (A37) KOM PC360LC-11 (A39) KOM PC360LC-11 (A39) (2) KOM WA475-10 (120)                                        </v>
      </c>
      <c r="D42" s="68" t="str">
        <f>VLOOKUP($B42,'[1]Products by Part Number'!$A:$L,3,0)</f>
        <v>SECONDARY AIR FILTER</v>
      </c>
      <c r="E42" s="69">
        <f>VLOOKUP($B42,'[1]Products by Part Number'!$A:$L,8,0)</f>
        <v>4</v>
      </c>
      <c r="F42" s="70">
        <f>VLOOKUP($B42,'[1]Products by Part Number'!$A:$L,4,0)</f>
        <v>81.97</v>
      </c>
      <c r="G42" s="71">
        <f t="shared" si="2"/>
        <v>327.88</v>
      </c>
      <c r="H42" s="71">
        <f>VLOOKUP($B42,'[1]Products by Part Number'!$A:$L,6,0)</f>
        <v>53.28</v>
      </c>
      <c r="I42" s="79">
        <f t="shared" si="0"/>
        <v>213.12</v>
      </c>
    </row>
    <row r="43" spans="2:9" x14ac:dyDescent="0.25">
      <c r="B43" s="78" t="s">
        <v>108</v>
      </c>
      <c r="C43" s="68" t="str">
        <f>VLOOKUP($B43,'[1]Products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KOM PC490LC-11 (A42) KOM PC490LC-11 (A42) (2) KOM PC490LC-11 (A42) (3) KOM PC490LC-11 (A42) (4) KOM PC490LC-11 (A42) (5) KOM PC490LC-11 (A43) KOM PC490LC-11 (KMT) (1) KOM PC490LC-11 (KMT) (2) KOM PC490LC-11 (KMT) (3)  </v>
      </c>
      <c r="D43" s="68" t="str">
        <f>VLOOKUP($B43,'[1]Products by Part Number'!$A:$L,3,0)</f>
        <v>PRIMARY AIR FILTER</v>
      </c>
      <c r="E43" s="69">
        <f>VLOOKUP($B43,'[1]Products by Part Number'!$A:$L,8,0)</f>
        <v>32</v>
      </c>
      <c r="F43" s="70">
        <f>VLOOKUP($B43,'[1]Products by Part Number'!$A:$L,4,0)</f>
        <v>128.5</v>
      </c>
      <c r="G43" s="71">
        <f t="shared" si="2"/>
        <v>4112</v>
      </c>
      <c r="H43" s="71">
        <f>VLOOKUP($B43,'[1]Products by Part Number'!$A:$L,6,0)</f>
        <v>83.53</v>
      </c>
      <c r="I43" s="79">
        <f t="shared" si="0"/>
        <v>2672.96</v>
      </c>
    </row>
    <row r="44" spans="2:9" x14ac:dyDescent="0.25">
      <c r="B44" s="78" t="s">
        <v>109</v>
      </c>
      <c r="C44" s="68" t="str">
        <f>VLOOKUP($B44,'[1]Products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</c>
      <c r="D44" s="68" t="str">
        <f>VLOOKUP($B44,'[1]Products by Part Number'!$A:$L,3,0)</f>
        <v>SECONDARY AIR FILTER</v>
      </c>
      <c r="E44" s="69">
        <f>VLOOKUP($B44,'[1]Products by Part Number'!$A:$L,8,0)</f>
        <v>9</v>
      </c>
      <c r="F44" s="70">
        <f>VLOOKUP($B44,'[1]Products by Part Number'!$A:$L,4,0)</f>
        <v>90.19</v>
      </c>
      <c r="G44" s="71">
        <f t="shared" si="2"/>
        <v>811.71</v>
      </c>
      <c r="H44" s="71">
        <f>VLOOKUP($B44,'[1]Products by Part Number'!$A:$L,6,0)</f>
        <v>58.62</v>
      </c>
      <c r="I44" s="79">
        <f t="shared" si="0"/>
        <v>527.58000000000004</v>
      </c>
    </row>
    <row r="45" spans="2:9" x14ac:dyDescent="0.25">
      <c r="B45" s="78" t="s">
        <v>110</v>
      </c>
      <c r="C45" s="68" t="str">
        <f>VLOOKUP($B45,'[1]Products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45" s="68" t="str">
        <f>VLOOKUP($B45,'[1]Products by Part Number'!$A:$L,3,0)</f>
        <v>SECONDARY AIR FILTER</v>
      </c>
      <c r="E45" s="69">
        <f>VLOOKUP($B45,'[1]Products by Part Number'!$A:$L,8,0)</f>
        <v>14</v>
      </c>
      <c r="F45" s="70">
        <f>VLOOKUP($B45,'[1]Products by Part Number'!$A:$L,4,0)</f>
        <v>90.19</v>
      </c>
      <c r="G45" s="71">
        <f t="shared" si="2"/>
        <v>1262.6599999999999</v>
      </c>
      <c r="H45" s="71">
        <f>VLOOKUP($B45,'[1]Products by Part Number'!$A:$L,6,0)</f>
        <v>58.62</v>
      </c>
      <c r="I45" s="79">
        <f t="shared" si="0"/>
        <v>820.68</v>
      </c>
    </row>
    <row r="46" spans="2:9" x14ac:dyDescent="0.25">
      <c r="B46" s="78" t="s">
        <v>111</v>
      </c>
      <c r="C46" s="68" t="str">
        <f>VLOOKUP($B46,'[1]Products by Part Number'!$A:$L,2,0)</f>
        <v xml:space="preserve">CAT 329EL (ZCD)                                              </v>
      </c>
      <c r="D46" s="68" t="str">
        <f>VLOOKUP($B46,'[1]Products by Part Number'!$A:$L,3,0)</f>
        <v>PRIMARY AIR FILTER</v>
      </c>
      <c r="E46" s="69">
        <f>VLOOKUP($B46,'[1]Products by Part Number'!$A:$L,8,0)</f>
        <v>1</v>
      </c>
      <c r="F46" s="70">
        <f>VLOOKUP($B46,'[1]Products by Part Number'!$A:$L,4,0)</f>
        <v>160.11000000000001</v>
      </c>
      <c r="G46" s="71">
        <f t="shared" si="2"/>
        <v>160.11000000000001</v>
      </c>
      <c r="H46" s="71">
        <f>VLOOKUP($B46,'[1]Products by Part Number'!$A:$L,6,0)</f>
        <v>104.07</v>
      </c>
      <c r="I46" s="79">
        <f t="shared" si="0"/>
        <v>104.07</v>
      </c>
    </row>
    <row r="47" spans="2:9" x14ac:dyDescent="0.25">
      <c r="B47" s="78" t="s">
        <v>112</v>
      </c>
      <c r="C47" s="68" t="str">
        <f>VLOOKUP($B47,'[1]Products by Part Number'!$A:$L,2,0)</f>
        <v xml:space="preserve">CAT 329EL (ZCD)                                              </v>
      </c>
      <c r="D47" s="68" t="str">
        <f>VLOOKUP($B47,'[1]Products by Part Number'!$A:$L,3,0)</f>
        <v>SECONDARY AIR FILTER</v>
      </c>
      <c r="E47" s="69">
        <f>VLOOKUP($B47,'[1]Products by Part Number'!$A:$L,8,0)</f>
        <v>1</v>
      </c>
      <c r="F47" s="70">
        <f>VLOOKUP($B47,'[1]Products by Part Number'!$A:$L,4,0)</f>
        <v>113.26</v>
      </c>
      <c r="G47" s="71">
        <f t="shared" si="2"/>
        <v>113.26</v>
      </c>
      <c r="H47" s="71">
        <f>VLOOKUP($B47,'[1]Products by Part Number'!$A:$L,6,0)</f>
        <v>73.62</v>
      </c>
      <c r="I47" s="79">
        <f t="shared" si="0"/>
        <v>73.62</v>
      </c>
    </row>
    <row r="48" spans="2:9" x14ac:dyDescent="0.25">
      <c r="B48" s="78" t="s">
        <v>113</v>
      </c>
      <c r="C48" s="68" t="str">
        <f>VLOOKUP($B48,'[1]Products by Part Number'!$A:$L,2,0)</f>
        <v xml:space="preserve">JD 333G (1T0)                                              </v>
      </c>
      <c r="D48" s="68" t="str">
        <f>VLOOKUP($B48,'[1]Products by Part Number'!$A:$L,3,0)</f>
        <v>SECONDARY AIR FILTER</v>
      </c>
      <c r="E48" s="69">
        <f>VLOOKUP($B48,'[1]Products by Part Number'!$A:$L,8,0)</f>
        <v>1</v>
      </c>
      <c r="F48" s="70">
        <f>VLOOKUP($B48,'[1]Products by Part Number'!$A:$L,4,0)</f>
        <v>45.7746</v>
      </c>
      <c r="G48" s="71">
        <f t="shared" si="2"/>
        <v>45.7746</v>
      </c>
      <c r="H48" s="71">
        <f>VLOOKUP($B48,'[1]Products by Part Number'!$A:$L,6,0)</f>
        <v>29.75</v>
      </c>
      <c r="I48" s="79">
        <f t="shared" si="0"/>
        <v>29.75</v>
      </c>
    </row>
    <row r="49" spans="2:9" x14ac:dyDescent="0.25">
      <c r="B49" s="78" t="s">
        <v>114</v>
      </c>
      <c r="C49" s="68" t="str">
        <f>VLOOKUP($B49,'[1]Products by Part Number'!$A:$L,2,0)</f>
        <v xml:space="preserve">JD 624K (DW6) JD 764 (100)                                            </v>
      </c>
      <c r="D49" s="68" t="str">
        <f>VLOOKUP($B49,'[1]Products by Part Number'!$A:$L,3,0)</f>
        <v>CAB AIR FILTER</v>
      </c>
      <c r="E49" s="69">
        <f>VLOOKUP($B49,'[1]Products by Part Number'!$A:$L,8,0)</f>
        <v>3</v>
      </c>
      <c r="F49" s="70">
        <f>VLOOKUP($B49,'[1]Products by Part Number'!$A:$L,4,0)</f>
        <v>28.138200000000001</v>
      </c>
      <c r="G49" s="71">
        <f t="shared" si="2"/>
        <v>84.414600000000007</v>
      </c>
      <c r="H49" s="71">
        <f>VLOOKUP($B49,'[1]Products by Part Number'!$A:$L,6,0)</f>
        <v>18.29</v>
      </c>
      <c r="I49" s="79">
        <f t="shared" si="0"/>
        <v>54.87</v>
      </c>
    </row>
    <row r="50" spans="2:9" x14ac:dyDescent="0.25">
      <c r="B50" s="78" t="s">
        <v>115</v>
      </c>
      <c r="C50" s="68" t="str">
        <f>VLOOKUP($B50,'[1]Products by Part Number'!$A:$L,2,0)</f>
        <v xml:space="preserve">JD 624K (DW6) JD 764 (100)                                            </v>
      </c>
      <c r="D50" s="68" t="str">
        <f>VLOOKUP($B50,'[1]Products by Part Number'!$A:$L,3,0)</f>
        <v>PRIMARY AIR FILTER</v>
      </c>
      <c r="E50" s="69">
        <f>VLOOKUP($B50,'[1]Products by Part Number'!$A:$L,8,0)</f>
        <v>2</v>
      </c>
      <c r="F50" s="70">
        <f>VLOOKUP($B50,'[1]Products by Part Number'!$A:$L,4,0)</f>
        <v>111.3108</v>
      </c>
      <c r="G50" s="71">
        <f t="shared" si="2"/>
        <v>222.6216</v>
      </c>
      <c r="H50" s="71">
        <f>VLOOKUP($B50,'[1]Products by Part Number'!$A:$L,6,0)</f>
        <v>72.349999999999994</v>
      </c>
      <c r="I50" s="79">
        <f t="shared" si="0"/>
        <v>144.69999999999999</v>
      </c>
    </row>
    <row r="51" spans="2:9" x14ac:dyDescent="0.25">
      <c r="B51" s="78" t="s">
        <v>116</v>
      </c>
      <c r="C51" s="68" t="str">
        <f>VLOOKUP($B51,'[1]Products by Part Number'!$A:$L,2,0)</f>
        <v xml:space="preserve">JD 624K (DW6) JD 764 (100)                                            </v>
      </c>
      <c r="D51" s="68" t="str">
        <f>VLOOKUP($B51,'[1]Products by Part Number'!$A:$L,3,0)</f>
        <v>CAB AIR FILTER</v>
      </c>
      <c r="E51" s="69">
        <f>VLOOKUP($B51,'[1]Products by Part Number'!$A:$L,8,0)</f>
        <v>3</v>
      </c>
      <c r="F51" s="70">
        <f>VLOOKUP($B51,'[1]Products by Part Number'!$A:$L,4,0)</f>
        <v>22.300799999999999</v>
      </c>
      <c r="G51" s="71">
        <f t="shared" si="2"/>
        <v>66.9024</v>
      </c>
      <c r="H51" s="71">
        <f>VLOOKUP($B51,'[1]Products by Part Number'!$A:$L,6,0)</f>
        <v>14.5</v>
      </c>
      <c r="I51" s="79">
        <f t="shared" si="0"/>
        <v>43.5</v>
      </c>
    </row>
    <row r="52" spans="2:9" x14ac:dyDescent="0.25">
      <c r="B52" s="78" t="s">
        <v>117</v>
      </c>
      <c r="C52" s="68" t="str">
        <f>VLOOKUP($B52,'[1]Products by Part Number'!$A:$L,2,0)</f>
        <v xml:space="preserve">JD 470P (1FF)                                              </v>
      </c>
      <c r="D52" s="68" t="str">
        <f>VLOOKUP($B52,'[1]Products by Part Number'!$A:$L,3,0)</f>
        <v>PRIMARY AIR FILTER</v>
      </c>
      <c r="E52" s="69">
        <f>VLOOKUP($B52,'[1]Products by Part Number'!$A:$L,8,0)</f>
        <v>1</v>
      </c>
      <c r="F52" s="70">
        <f>VLOOKUP($B52,'[1]Products by Part Number'!$A:$L,4,0)</f>
        <v>221.559</v>
      </c>
      <c r="G52" s="71">
        <f t="shared" si="2"/>
        <v>221.559</v>
      </c>
      <c r="H52" s="71">
        <f>VLOOKUP($B52,'[1]Products by Part Number'!$A:$L,6,0)</f>
        <v>144.01</v>
      </c>
      <c r="I52" s="79">
        <f t="shared" si="0"/>
        <v>144.01</v>
      </c>
    </row>
    <row r="53" spans="2:9" x14ac:dyDescent="0.25">
      <c r="B53" s="78" t="s">
        <v>118</v>
      </c>
      <c r="C53" s="68" t="str">
        <f>VLOOKUP($B53,'[1]Products by Part Number'!$A:$L,2,0)</f>
        <v xml:space="preserve">JD 624K (DW6) JD 764 (100)                                            </v>
      </c>
      <c r="D53" s="68" t="str">
        <f>VLOOKUP($B53,'[1]Products by Part Number'!$A:$L,3,0)</f>
        <v>SECONDARY AIR FILTER</v>
      </c>
      <c r="E53" s="69">
        <f>VLOOKUP($B53,'[1]Products by Part Number'!$A:$L,8,0)</f>
        <v>2</v>
      </c>
      <c r="F53" s="70">
        <f>VLOOKUP($B53,'[1]Products by Part Number'!$A:$L,4,0)</f>
        <v>69.772800000000004</v>
      </c>
      <c r="G53" s="71">
        <f t="shared" si="2"/>
        <v>139.54560000000001</v>
      </c>
      <c r="H53" s="71">
        <f>VLOOKUP($B53,'[1]Products by Part Number'!$A:$L,6,0)</f>
        <v>45.35</v>
      </c>
      <c r="I53" s="79">
        <f t="shared" si="0"/>
        <v>90.7</v>
      </c>
    </row>
    <row r="54" spans="2:9" x14ac:dyDescent="0.25">
      <c r="B54" s="78" t="s">
        <v>119</v>
      </c>
      <c r="C54" s="68" t="str">
        <f>VLOOKUP($B54,'[1]Products by Part Number'!$A:$L,2,0)</f>
        <v xml:space="preserve">JD 333G (1T0)                                              </v>
      </c>
      <c r="D54" s="68" t="str">
        <f>VLOOKUP($B54,'[1]Products by Part Number'!$A:$L,3,0)</f>
        <v>CAB AIR FILTER</v>
      </c>
      <c r="E54" s="69">
        <f>VLOOKUP($B54,'[1]Products by Part Number'!$A:$L,8,0)</f>
        <v>2</v>
      </c>
      <c r="F54" s="70">
        <f>VLOOKUP($B54,'[1]Products by Part Number'!$A:$L,4,0)</f>
        <v>30.484200000000001</v>
      </c>
      <c r="G54" s="71">
        <f t="shared" si="2"/>
        <v>60.968400000000003</v>
      </c>
      <c r="H54" s="71">
        <f>VLOOKUP($B54,'[1]Products by Part Number'!$A:$L,6,0)</f>
        <v>19.809999999999999</v>
      </c>
      <c r="I54" s="79">
        <f t="shared" si="0"/>
        <v>39.619999999999997</v>
      </c>
    </row>
    <row r="55" spans="2:9" x14ac:dyDescent="0.25">
      <c r="B55" s="78" t="s">
        <v>120</v>
      </c>
      <c r="C55" s="68" t="str">
        <f>VLOOKUP($B55,'[1]Products by Part Number'!$A:$L,2,0)</f>
        <v xml:space="preserve">JD 333G (1T0)                                              </v>
      </c>
      <c r="D55" s="68" t="str">
        <f>VLOOKUP($B55,'[1]Products by Part Number'!$A:$L,3,0)</f>
        <v>CAB AIR FILTER</v>
      </c>
      <c r="E55" s="69">
        <f>VLOOKUP($B55,'[1]Products by Part Number'!$A:$L,8,0)</f>
        <v>2</v>
      </c>
      <c r="F55" s="70">
        <f>VLOOKUP($B55,'[1]Products by Part Number'!$A:$L,4,0)</f>
        <v>31.560599999999997</v>
      </c>
      <c r="G55" s="71">
        <f t="shared" si="2"/>
        <v>63.121199999999995</v>
      </c>
      <c r="H55" s="71">
        <f>VLOOKUP($B55,'[1]Products by Part Number'!$A:$L,6,0)</f>
        <v>20.51</v>
      </c>
      <c r="I55" s="79">
        <f t="shared" si="0"/>
        <v>41.02</v>
      </c>
    </row>
    <row r="56" spans="2:9" x14ac:dyDescent="0.25">
      <c r="B56" s="78" t="s">
        <v>121</v>
      </c>
      <c r="C56" s="68" t="str">
        <f>VLOOKUP($B56,'[1]Products by Part Number'!$A:$L,2,0)</f>
        <v xml:space="preserve">JD 470P (1FF)                                              </v>
      </c>
      <c r="D56" s="68" t="str">
        <f>VLOOKUP($B56,'[1]Products by Part Number'!$A:$L,3,0)</f>
        <v>CAB AIR FILTER</v>
      </c>
      <c r="E56" s="69">
        <f>VLOOKUP($B56,'[1]Products by Part Number'!$A:$L,8,0)</f>
        <v>1</v>
      </c>
      <c r="F56" s="70">
        <f>VLOOKUP($B56,'[1]Products by Part Number'!$A:$L,4,0)</f>
        <v>69.344999999999999</v>
      </c>
      <c r="G56" s="71">
        <f t="shared" si="2"/>
        <v>69.344999999999999</v>
      </c>
      <c r="H56" s="71">
        <f>VLOOKUP($B56,'[1]Products by Part Number'!$A:$L,6,0)</f>
        <v>45.07</v>
      </c>
      <c r="I56" s="79">
        <f t="shared" si="0"/>
        <v>45.07</v>
      </c>
    </row>
    <row r="57" spans="2:9" x14ac:dyDescent="0.25">
      <c r="B57" s="78" t="s">
        <v>122</v>
      </c>
      <c r="C57" s="68" t="str">
        <f>VLOOKUP($B57,'[1]Products by Part Number'!$A:$L,2,0)</f>
        <v xml:space="preserve">JD 333G (1T0)                                              </v>
      </c>
      <c r="D57" s="68" t="str">
        <f>VLOOKUP($B57,'[1]Products by Part Number'!$A:$L,3,0)</f>
        <v>PRIMARY AIR FILTER</v>
      </c>
      <c r="E57" s="69">
        <f>VLOOKUP($B57,'[1]Products by Part Number'!$A:$L,8,0)</f>
        <v>1</v>
      </c>
      <c r="F57" s="70">
        <f>VLOOKUP($B57,'[1]Products by Part Number'!$A:$L,4,0)</f>
        <v>82.703399999999988</v>
      </c>
      <c r="G57" s="71">
        <f t="shared" si="2"/>
        <v>82.703399999999988</v>
      </c>
      <c r="H57" s="71">
        <f>VLOOKUP($B57,'[1]Products by Part Number'!$A:$L,6,0)</f>
        <v>53.76</v>
      </c>
      <c r="I57" s="79">
        <f t="shared" si="0"/>
        <v>53.76</v>
      </c>
    </row>
    <row r="58" spans="2:9" x14ac:dyDescent="0.25">
      <c r="B58" s="78" t="s">
        <v>123</v>
      </c>
      <c r="C58" s="68" t="str">
        <f>VLOOKUP($B58,'[1]Products by Part Number'!$A:$L,2,0)</f>
        <v xml:space="preserve">KOM PC138USLC-11 KOM PC238USLC-11 (1)                                            </v>
      </c>
      <c r="D58" s="68" t="str">
        <f>VLOOKUP($B58,'[1]Products by Part Number'!$A:$L,3,0)</f>
        <v>CAB AIR FILTER</v>
      </c>
      <c r="E58" s="69">
        <f>VLOOKUP($B58,'[1]Products by Part Number'!$A:$L,8,0)</f>
        <v>2</v>
      </c>
      <c r="F58" s="70">
        <f>VLOOKUP($B58,'[1]Products by Part Number'!$A:$L,4,0)</f>
        <v>107.11</v>
      </c>
      <c r="G58" s="71">
        <f t="shared" si="2"/>
        <v>214.22</v>
      </c>
      <c r="H58" s="71">
        <f>VLOOKUP($B58,'[1]Products by Part Number'!$A:$L,6,0)</f>
        <v>69.62</v>
      </c>
      <c r="I58" s="79">
        <f t="shared" si="0"/>
        <v>139.24</v>
      </c>
    </row>
    <row r="59" spans="2:9" x14ac:dyDescent="0.25">
      <c r="B59" s="78" t="s">
        <v>124</v>
      </c>
      <c r="C59" s="68" t="str">
        <f>VLOOKUP($B59,'[1]Products by Part Number'!$A:$L,2,0)</f>
        <v xml:space="preserve">KOM PC238USLC-11 (2)                                              </v>
      </c>
      <c r="D59" s="68" t="str">
        <f>VLOOKUP($B59,'[1]Products by Part Number'!$A:$L,3,0)</f>
        <v>CAB AIR FILTER</v>
      </c>
      <c r="E59" s="69">
        <f>VLOOKUP($B59,'[1]Products by Part Number'!$A:$L,8,0)</f>
        <v>1</v>
      </c>
      <c r="F59" s="70">
        <f>VLOOKUP($B59,'[1]Products by Part Number'!$A:$L,4,0)</f>
        <v>107.11</v>
      </c>
      <c r="G59" s="71">
        <f t="shared" si="2"/>
        <v>107.11</v>
      </c>
      <c r="H59" s="71">
        <f>VLOOKUP($B59,'[1]Products by Part Number'!$A:$L,6,0)</f>
        <v>69.62</v>
      </c>
      <c r="I59" s="79">
        <f t="shared" si="0"/>
        <v>69.62</v>
      </c>
    </row>
    <row r="60" spans="2:9" x14ac:dyDescent="0.25">
      <c r="B60" s="78" t="s">
        <v>125</v>
      </c>
      <c r="C60" s="68" t="str">
        <f>VLOOKUP($B60,'[1]Products by Part Number'!$A:$L,2,0)</f>
        <v xml:space="preserve">JD 470P (1FF)                                              </v>
      </c>
      <c r="D60" s="68" t="str">
        <f>VLOOKUP($B60,'[1]Products by Part Number'!$A:$L,3,0)</f>
        <v>SECONDARY AIR FILTER</v>
      </c>
      <c r="E60" s="69">
        <f>VLOOKUP($B60,'[1]Products by Part Number'!$A:$L,8,0)</f>
        <v>1</v>
      </c>
      <c r="F60" s="70">
        <f>VLOOKUP($B60,'[1]Products by Part Number'!$A:$L,4,0)</f>
        <v>122.9028</v>
      </c>
      <c r="G60" s="71">
        <f t="shared" si="2"/>
        <v>122.9028</v>
      </c>
      <c r="H60" s="71">
        <f>VLOOKUP($B60,'[1]Products by Part Number'!$A:$L,6,0)</f>
        <v>79.89</v>
      </c>
      <c r="I60" s="79">
        <f t="shared" si="0"/>
        <v>79.89</v>
      </c>
    </row>
    <row r="61" spans="2:9" x14ac:dyDescent="0.25">
      <c r="B61" s="78">
        <v>4630525</v>
      </c>
      <c r="C61" s="68" t="str">
        <f>VLOOKUP($B61,'[1]Products by Part Number'!$A:$L,2,0)</f>
        <v xml:space="preserve">JD 470P (1FF)                                              </v>
      </c>
      <c r="D61" s="68" t="str">
        <f>VLOOKUP($B61,'[1]Products by Part Number'!$A:$L,3,0)</f>
        <v xml:space="preserve">HYDRAULIC FILTER PILOT </v>
      </c>
      <c r="E61" s="69">
        <f>VLOOKUP($B61,'[1]Products by Part Number'!$A:$L,8,0)</f>
        <v>1</v>
      </c>
      <c r="F61" s="70">
        <f>VLOOKUP($B61,'[1]Products by Part Number'!$A:$L,4,0)</f>
        <v>40.640999999999998</v>
      </c>
      <c r="G61" s="71">
        <f t="shared" si="2"/>
        <v>40.640999999999998</v>
      </c>
      <c r="H61" s="71">
        <f>VLOOKUP($B61,'[1]Products by Part Number'!$A:$L,6,0)</f>
        <v>20.32</v>
      </c>
      <c r="I61" s="79">
        <f t="shared" si="0"/>
        <v>20.32</v>
      </c>
    </row>
    <row r="62" spans="2:9" x14ac:dyDescent="0.25">
      <c r="B62" s="78" t="s">
        <v>126</v>
      </c>
      <c r="C62" s="68" t="str">
        <f>VLOOKUP($B62,'[1]Products by Part Number'!$A:$L,2,0)</f>
        <v xml:space="preserve">KOM PC360LC-11 (A37) KOM PC360LC-11 (A39) KOM PC360LC-11 (A39) (2)                                          </v>
      </c>
      <c r="D62" s="68" t="str">
        <f>VLOOKUP($B62,'[1]Products by Part Number'!$A:$L,3,0)</f>
        <v>HYDRAULIC FILTER</v>
      </c>
      <c r="E62" s="69">
        <f>VLOOKUP($B62,'[1]Products by Part Number'!$A:$L,8,0)</f>
        <v>3</v>
      </c>
      <c r="F62" s="70">
        <f>VLOOKUP($B62,'[1]Products by Part Number'!$A:$L,4,0)</f>
        <v>198.35</v>
      </c>
      <c r="G62" s="71">
        <f t="shared" si="2"/>
        <v>595.04999999999995</v>
      </c>
      <c r="H62" s="71">
        <f>VLOOKUP($B62,'[1]Products by Part Number'!$A:$L,6,0)</f>
        <v>99.18</v>
      </c>
      <c r="I62" s="79">
        <f t="shared" si="0"/>
        <v>297.54000000000002</v>
      </c>
    </row>
    <row r="63" spans="2:9" x14ac:dyDescent="0.25">
      <c r="B63" s="78" t="s">
        <v>127</v>
      </c>
      <c r="C63" s="68" t="str">
        <f>VLOOKUP($B63,'[1]Products by Part Number'!$A:$L,2,0)</f>
        <v xml:space="preserve">CAT 329EL (ZCD)                                              </v>
      </c>
      <c r="D63" s="68" t="str">
        <f>VLOOKUP($B63,'[1]Products by Part Number'!$A:$L,3,0)</f>
        <v>HYDRAULIC FILTER CASE DRAIN</v>
      </c>
      <c r="E63" s="69">
        <f>VLOOKUP($B63,'[1]Products by Part Number'!$A:$L,8,0)</f>
        <v>1</v>
      </c>
      <c r="F63" s="70">
        <f>VLOOKUP($B63,'[1]Products by Part Number'!$A:$L,4,0)</f>
        <v>98.57</v>
      </c>
      <c r="G63" s="71">
        <f t="shared" si="2"/>
        <v>98.57</v>
      </c>
      <c r="H63" s="71">
        <f>VLOOKUP($B63,'[1]Products by Part Number'!$A:$L,6,0)</f>
        <v>49.29</v>
      </c>
      <c r="I63" s="79">
        <f t="shared" si="0"/>
        <v>49.29</v>
      </c>
    </row>
    <row r="64" spans="2:9" x14ac:dyDescent="0.25">
      <c r="B64" s="78" t="s">
        <v>128</v>
      </c>
      <c r="C64" s="68" t="str">
        <f>VLOOKUP($B64,'[1]Products by Part Number'!$A:$L,2,0)</f>
        <v xml:space="preserve">KOM D61PX-24 (B60)                                              </v>
      </c>
      <c r="D64" s="68" t="str">
        <f>VLOOKUP($B64,'[1]Products by Part Number'!$A:$L,3,0)</f>
        <v>HYDRAULIC FILTER</v>
      </c>
      <c r="E64" s="69">
        <f>VLOOKUP($B64,'[1]Products by Part Number'!$A:$L,8,0)</f>
        <v>1</v>
      </c>
      <c r="F64" s="70">
        <f>VLOOKUP($B64,'[1]Products by Part Number'!$A:$L,4,0)</f>
        <v>370.6</v>
      </c>
      <c r="G64" s="71">
        <f t="shared" si="2"/>
        <v>370.6</v>
      </c>
      <c r="H64" s="71">
        <f>VLOOKUP($B64,'[1]Products by Part Number'!$A:$L,6,0)</f>
        <v>185.3</v>
      </c>
      <c r="I64" s="79">
        <f t="shared" si="0"/>
        <v>185.3</v>
      </c>
    </row>
    <row r="65" spans="2:9" x14ac:dyDescent="0.25">
      <c r="B65" s="78" t="s">
        <v>129</v>
      </c>
      <c r="C65" s="68" t="str">
        <f>VLOOKUP($B65,'[1]Products by Part Number'!$A:$L,2,0)</f>
        <v xml:space="preserve">CAT 329EL (ZCD)                                              </v>
      </c>
      <c r="D65" s="68" t="str">
        <f>VLOOKUP($B65,'[1]Products by Part Number'!$A:$L,3,0)</f>
        <v>HYDRAULIC FILTER RETURN</v>
      </c>
      <c r="E65" s="69">
        <f>VLOOKUP($B65,'[1]Products by Part Number'!$A:$L,8,0)</f>
        <v>1</v>
      </c>
      <c r="F65" s="70">
        <f>VLOOKUP($B65,'[1]Products by Part Number'!$A:$L,4,0)</f>
        <v>221.11</v>
      </c>
      <c r="G65" s="71">
        <f t="shared" si="2"/>
        <v>221.11</v>
      </c>
      <c r="H65" s="71">
        <f>VLOOKUP($B65,'[1]Products by Part Number'!$A:$L,6,0)</f>
        <v>110.56</v>
      </c>
      <c r="I65" s="79">
        <f t="shared" si="0"/>
        <v>110.56</v>
      </c>
    </row>
    <row r="66" spans="2:9" x14ac:dyDescent="0.25">
      <c r="B66" s="78" t="s">
        <v>130</v>
      </c>
      <c r="C66" s="68" t="str">
        <f>VLOOKUP($B66,'[1]Products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KOM PC238USLC-11 (2) KOM PC360LC-11 (A37) KOM PC360LC-11 (A39) KOM PC360LC-11 (A39) (2) KOM WA475-10 (120) KOM PC290LC-11 (K73)        </v>
      </c>
      <c r="D66" s="68" t="str">
        <f>VLOOKUP($B66,'[1]Products by Part Number'!$A:$L,3,0)</f>
        <v>HYDRAULIC FILTER TANK</v>
      </c>
      <c r="E66" s="69">
        <f>VLOOKUP($B66,'[1]Products by Part Number'!$A:$L,8,0)</f>
        <v>20</v>
      </c>
      <c r="F66" s="70">
        <f>VLOOKUP($B66,'[1]Products by Part Number'!$A:$L,4,0)</f>
        <v>188.98</v>
      </c>
      <c r="G66" s="71">
        <f t="shared" si="2"/>
        <v>3779.6</v>
      </c>
      <c r="H66" s="71">
        <f>VLOOKUP($B66,'[1]Products by Part Number'!$A:$L,6,0)</f>
        <v>94.49</v>
      </c>
      <c r="I66" s="79">
        <f t="shared" si="0"/>
        <v>1889.8</v>
      </c>
    </row>
    <row r="67" spans="2:9" x14ac:dyDescent="0.25">
      <c r="B67" s="78" t="s">
        <v>131</v>
      </c>
      <c r="C67" s="68" t="str">
        <f>VLOOKUP($B67,'[1]Products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KOM PC490LC-11 (A42) KOM PC490LC-11 (A42) (2) KOM PC490LC-11 (A42) (3) KOM PC490LC-11 (A42) (4) KOM PC490LC-11 (A42) (5) KOM PC490LC-11 (A43) KOM PC490LC-11 (KMT) (1) KOM PC490LC-11 (KMT) (2) KOM PC490LC-11 (KMT) (3)  </v>
      </c>
      <c r="D67" s="68" t="str">
        <f>VLOOKUP($B67,'[1]Products by Part Number'!$A:$L,3,0)</f>
        <v>HYDRAULIC FILTER ACCUMULATOR</v>
      </c>
      <c r="E67" s="69">
        <f>VLOOKUP($B67,'[1]Products by Part Number'!$A:$L,8,0)</f>
        <v>23</v>
      </c>
      <c r="F67" s="70">
        <f>VLOOKUP($B67,'[1]Products by Part Number'!$A:$L,4,0)</f>
        <v>259.43</v>
      </c>
      <c r="G67" s="71">
        <f t="shared" si="2"/>
        <v>5966.89</v>
      </c>
      <c r="H67" s="71">
        <f>VLOOKUP($B67,'[1]Products by Part Number'!$A:$L,6,0)</f>
        <v>129.72</v>
      </c>
      <c r="I67" s="79">
        <f t="shared" si="0"/>
        <v>2983.56</v>
      </c>
    </row>
    <row r="68" spans="2:9" x14ac:dyDescent="0.25">
      <c r="B68" s="78" t="s">
        <v>132</v>
      </c>
      <c r="C68" s="68" t="str">
        <f>VLOOKUP($B68,'[1]Products by Part Number'!$A:$L,2,0)</f>
        <v xml:space="preserve">KOM D61PX-24 (B60)                                              </v>
      </c>
      <c r="D68" s="68" t="str">
        <f>VLOOKUP($B68,'[1]Products by Part Number'!$A:$L,3,0)</f>
        <v>HYDRAULIC FILTER</v>
      </c>
      <c r="E68" s="69">
        <f>VLOOKUP($B68,'[1]Products by Part Number'!$A:$L,8,0)</f>
        <v>1</v>
      </c>
      <c r="F68" s="70">
        <f>VLOOKUP($B68,'[1]Products by Part Number'!$A:$L,4,0)</f>
        <v>220.88</v>
      </c>
      <c r="G68" s="71">
        <f t="shared" si="2"/>
        <v>220.88</v>
      </c>
      <c r="H68" s="71">
        <f>VLOOKUP($B68,'[1]Products by Part Number'!$A:$L,6,0)</f>
        <v>110.44</v>
      </c>
      <c r="I68" s="79">
        <f t="shared" si="0"/>
        <v>110.44</v>
      </c>
    </row>
    <row r="69" spans="2:9" x14ac:dyDescent="0.25">
      <c r="B69" s="78" t="s">
        <v>39</v>
      </c>
      <c r="C69" s="68" t="str">
        <f>VLOOKUP($B69,'[1]Products by Part Number'!$A:$L,2,0)</f>
        <v xml:space="preserve">CAT 14 (EN4)                                              </v>
      </c>
      <c r="D69" s="68" t="str">
        <f>VLOOKUP($B69,'[1]Products by Part Number'!$A:$L,3,0)</f>
        <v xml:space="preserve">HYDRAULIC FILTER </v>
      </c>
      <c r="E69" s="69">
        <f>VLOOKUP($B69,'[1]Products by Part Number'!$A:$L,8,0)</f>
        <v>1</v>
      </c>
      <c r="F69" s="70">
        <f>VLOOKUP($B69,'[1]Products by Part Number'!$A:$L,4,0)</f>
        <v>197.31</v>
      </c>
      <c r="G69" s="71">
        <f t="shared" si="2"/>
        <v>197.31</v>
      </c>
      <c r="H69" s="71">
        <f>VLOOKUP($B69,'[1]Products by Part Number'!$A:$L,6,0)</f>
        <v>98.66</v>
      </c>
      <c r="I69" s="79">
        <f t="shared" si="0"/>
        <v>98.66</v>
      </c>
    </row>
    <row r="70" spans="2:9" x14ac:dyDescent="0.25">
      <c r="B70" s="78" t="s">
        <v>133</v>
      </c>
      <c r="C70" s="68" t="str">
        <f>VLOOKUP($B70,'[1]Products by Part Number'!$A:$L,2,0)</f>
        <v xml:space="preserve">CAT 14 (EN4)                                              </v>
      </c>
      <c r="D70" s="68" t="str">
        <f>VLOOKUP($B70,'[1]Products by Part Number'!$A:$L,3,0)</f>
        <v>HYDRAULIC FILTER</v>
      </c>
      <c r="E70" s="69">
        <f>VLOOKUP($B70,'[1]Products by Part Number'!$A:$L,8,0)</f>
        <v>1</v>
      </c>
      <c r="F70" s="70">
        <f>VLOOKUP($B70,'[1]Products by Part Number'!$A:$L,4,0)</f>
        <v>103.37</v>
      </c>
      <c r="G70" s="71">
        <f t="shared" si="2"/>
        <v>103.37</v>
      </c>
      <c r="H70" s="71">
        <f>VLOOKUP($B70,'[1]Products by Part Number'!$A:$L,6,0)</f>
        <v>51.69</v>
      </c>
      <c r="I70" s="79">
        <f t="shared" si="0"/>
        <v>51.69</v>
      </c>
    </row>
    <row r="71" spans="2:9" x14ac:dyDescent="0.25">
      <c r="B71" s="78" t="s">
        <v>134</v>
      </c>
      <c r="C71" s="68" t="str">
        <f>VLOOKUP($B71,'[1]Products by Part Number'!$A:$L,2,0)</f>
        <v xml:space="preserve">KOM WA320-8 (867) KOM WA320PZ-6 (729)                                            </v>
      </c>
      <c r="D71" s="68" t="str">
        <f>VLOOKUP($B71,'[1]Products by Part Number'!$A:$L,3,0)</f>
        <v>HYDRAULIC FILTER</v>
      </c>
      <c r="E71" s="69">
        <f>VLOOKUP($B71,'[1]Products by Part Number'!$A:$L,8,0)</f>
        <v>2</v>
      </c>
      <c r="F71" s="70">
        <f>VLOOKUP($B71,'[1]Products by Part Number'!$A:$L,4,0)</f>
        <v>197.46</v>
      </c>
      <c r="G71" s="71">
        <f t="shared" si="2"/>
        <v>394.92</v>
      </c>
      <c r="H71" s="71">
        <f>VLOOKUP($B71,'[1]Products by Part Number'!$A:$L,6,0)</f>
        <v>98.73</v>
      </c>
      <c r="I71" s="79">
        <f t="shared" si="0"/>
        <v>197.46</v>
      </c>
    </row>
    <row r="72" spans="2:9" x14ac:dyDescent="0.25">
      <c r="B72" s="78" t="s">
        <v>135</v>
      </c>
      <c r="C72" s="68" t="str">
        <f>VLOOKUP($B72,'[1]Products by Part Number'!$A:$L,2,0)</f>
        <v xml:space="preserve">CAT 255 CAT 255 (2) CAT 255 (FL7)                                          </v>
      </c>
      <c r="D72" s="68" t="str">
        <f>VLOOKUP($B72,'[1]Products by Part Number'!$A:$L,3,0)</f>
        <v>HYDRAULIC FILTER</v>
      </c>
      <c r="E72" s="69">
        <f>VLOOKUP($B72,'[1]Products by Part Number'!$A:$L,8,0)</f>
        <v>3</v>
      </c>
      <c r="F72" s="70">
        <f>VLOOKUP($B72,'[1]Products by Part Number'!$A:$L,4,0)</f>
        <v>91.89</v>
      </c>
      <c r="G72" s="71">
        <f t="shared" si="2"/>
        <v>275.67</v>
      </c>
      <c r="H72" s="71">
        <f>VLOOKUP($B72,'[1]Products by Part Number'!$A:$L,6,0)</f>
        <v>45.95</v>
      </c>
      <c r="I72" s="79">
        <f t="shared" si="0"/>
        <v>137.85</v>
      </c>
    </row>
    <row r="73" spans="2:9" x14ac:dyDescent="0.25">
      <c r="B73" s="78" t="s">
        <v>136</v>
      </c>
      <c r="C73" s="68" t="str">
        <f>VLOOKUP($B73,'[1]Products by Part Number'!$A:$L,2,0)</f>
        <v xml:space="preserve">KOM D71PX-24 (1) KOM D71PX-24 (2) KOM D71PX-24 (3) KOM D71PX-24 (4) KOM D71PX-24 (5) KOM D71PX-24 (6) KOM D71PX-24 (7) KOM WA380-8 (1) KOM WA380-8 (2)                              </v>
      </c>
      <c r="D73" s="68" t="str">
        <f>VLOOKUP($B73,'[1]Products by Part Number'!$A:$L,3,0)</f>
        <v>HYDRAULIC FILTER TANK</v>
      </c>
      <c r="E73" s="69">
        <f>VLOOKUP($B73,'[1]Products by Part Number'!$A:$L,8,0)</f>
        <v>16</v>
      </c>
      <c r="F73" s="70">
        <f>VLOOKUP($B73,'[1]Products by Part Number'!$A:$L,4,0)</f>
        <v>161.15639999999999</v>
      </c>
      <c r="G73" s="71">
        <f t="shared" si="2"/>
        <v>2578.5023999999999</v>
      </c>
      <c r="H73" s="71">
        <f>VLOOKUP($B73,'[1]Products by Part Number'!$A:$L,6,0)</f>
        <v>80.58</v>
      </c>
      <c r="I73" s="79">
        <f t="shared" si="0"/>
        <v>1289.28</v>
      </c>
    </row>
    <row r="74" spans="2:9" x14ac:dyDescent="0.25">
      <c r="B74" s="78" t="s">
        <v>137</v>
      </c>
      <c r="C74" s="68" t="str">
        <f>VLOOKUP($B74,'[1]Products by Part Number'!$A:$L,2,0)</f>
        <v xml:space="preserve">KOM PC138USLC-11 KOM PC238USLC-11 (1)                                            </v>
      </c>
      <c r="D74" s="68" t="str">
        <f>VLOOKUP($B74,'[1]Products by Part Number'!$A:$L,3,0)</f>
        <v>HYDRAULIC FILTER</v>
      </c>
      <c r="E74" s="69">
        <f>VLOOKUP($B74,'[1]Products by Part Number'!$A:$L,8,0)</f>
        <v>2</v>
      </c>
      <c r="F74" s="70">
        <f>VLOOKUP($B74,'[1]Products by Part Number'!$A:$L,4,0)</f>
        <v>164.32</v>
      </c>
      <c r="G74" s="71">
        <f t="shared" si="2"/>
        <v>328.64</v>
      </c>
      <c r="H74" s="71">
        <f>VLOOKUP($B74,'[1]Products by Part Number'!$A:$L,6,0)</f>
        <v>82.16</v>
      </c>
      <c r="I74" s="79">
        <f t="shared" si="0"/>
        <v>164.32</v>
      </c>
    </row>
    <row r="75" spans="2:9" x14ac:dyDescent="0.25">
      <c r="B75" s="78" t="s">
        <v>138</v>
      </c>
      <c r="C75" s="68" t="str">
        <f>VLOOKUP($B75,'[1]Products by Part Number'!$A:$L,2,0)</f>
        <v xml:space="preserve">CAT 329EL (ZCD)                                              </v>
      </c>
      <c r="D75" s="68" t="str">
        <f>VLOOKUP($B75,'[1]Products by Part Number'!$A:$L,3,0)</f>
        <v>HYDRAULIC FILTER PILOT</v>
      </c>
      <c r="E75" s="69">
        <f>VLOOKUP($B75,'[1]Products by Part Number'!$A:$L,8,0)</f>
        <v>1</v>
      </c>
      <c r="F75" s="70">
        <f>VLOOKUP($B75,'[1]Products by Part Number'!$A:$L,4,0)</f>
        <v>102.89</v>
      </c>
      <c r="G75" s="71">
        <f t="shared" si="2"/>
        <v>102.89</v>
      </c>
      <c r="H75" s="71">
        <f>VLOOKUP($B75,'[1]Products by Part Number'!$A:$L,6,0)</f>
        <v>51.45</v>
      </c>
      <c r="I75" s="79">
        <f t="shared" si="0"/>
        <v>51.45</v>
      </c>
    </row>
    <row r="76" spans="2:9" x14ac:dyDescent="0.25">
      <c r="B76" s="78" t="s">
        <v>139</v>
      </c>
      <c r="C76" s="68" t="str">
        <f>VLOOKUP($B76,'[1]Products by Part Number'!$A:$L,2,0)</f>
        <v xml:space="preserve">JD 333G (1T0)                                              </v>
      </c>
      <c r="D76" s="68" t="str">
        <f>VLOOKUP($B76,'[1]Products by Part Number'!$A:$L,3,0)</f>
        <v>HYDRAULIC FILTER</v>
      </c>
      <c r="E76" s="69">
        <f>VLOOKUP($B76,'[1]Products by Part Number'!$A:$L,8,0)</f>
        <v>1</v>
      </c>
      <c r="F76" s="70">
        <f>VLOOKUP($B76,'[1]Products by Part Number'!$A:$L,4,0)</f>
        <v>131.1138</v>
      </c>
      <c r="G76" s="71">
        <f t="shared" si="2"/>
        <v>131.1138</v>
      </c>
      <c r="H76" s="71">
        <f>VLOOKUP($B76,'[1]Products by Part Number'!$A:$L,6,0)</f>
        <v>65.56</v>
      </c>
      <c r="I76" s="79">
        <f t="shared" si="0"/>
        <v>65.56</v>
      </c>
    </row>
    <row r="77" spans="2:9" x14ac:dyDescent="0.25">
      <c r="B77" s="78" t="s">
        <v>140</v>
      </c>
      <c r="C77" s="68" t="str">
        <f>VLOOKUP($B77,'[1]Products by Part Number'!$A:$L,2,0)</f>
        <v xml:space="preserve">JD 764 (100)                                              </v>
      </c>
      <c r="D77" s="68" t="str">
        <f>VLOOKUP($B77,'[1]Products by Part Number'!$A:$L,3,0)</f>
        <v>HYDRAULIC FILTER</v>
      </c>
      <c r="E77" s="69">
        <f>VLOOKUP($B77,'[1]Products by Part Number'!$A:$L,8,0)</f>
        <v>1</v>
      </c>
      <c r="F77" s="70">
        <f>VLOOKUP($B77,'[1]Products by Part Number'!$A:$L,4,0)</f>
        <v>178.50299999999999</v>
      </c>
      <c r="G77" s="71">
        <f t="shared" si="2"/>
        <v>178.50299999999999</v>
      </c>
      <c r="H77" s="71">
        <f>VLOOKUP($B77,'[1]Products by Part Number'!$A:$L,6,0)</f>
        <v>89.25</v>
      </c>
      <c r="I77" s="79">
        <f t="shared" si="0"/>
        <v>89.25</v>
      </c>
    </row>
    <row r="78" spans="2:9" x14ac:dyDescent="0.25">
      <c r="B78" s="78" t="s">
        <v>141</v>
      </c>
      <c r="C78" s="68" t="str">
        <f>VLOOKUP($B78,'[1]Products by Part Number'!$A:$L,2,0)</f>
        <v xml:space="preserve">JD 333G (1T0)                                              </v>
      </c>
      <c r="D78" s="68" t="str">
        <f>VLOOKUP($B78,'[1]Products by Part Number'!$A:$L,3,0)</f>
        <v>HYDRAULIC FILTER</v>
      </c>
      <c r="E78" s="69">
        <f>VLOOKUP($B78,'[1]Products by Part Number'!$A:$L,8,0)</f>
        <v>1</v>
      </c>
      <c r="F78" s="70">
        <f>VLOOKUP($B78,'[1]Products by Part Number'!$A:$L,4,0)</f>
        <v>168.56700000000001</v>
      </c>
      <c r="G78" s="71">
        <f t="shared" si="2"/>
        <v>168.56700000000001</v>
      </c>
      <c r="H78" s="71">
        <f>VLOOKUP($B78,'[1]Products by Part Number'!$A:$L,6,0)</f>
        <v>84.28</v>
      </c>
      <c r="I78" s="79">
        <f t="shared" si="0"/>
        <v>84.28</v>
      </c>
    </row>
    <row r="79" spans="2:9" x14ac:dyDescent="0.25">
      <c r="B79" s="78" t="s">
        <v>142</v>
      </c>
      <c r="C79" s="68" t="str">
        <f>VLOOKUP($B79,'[1]Products by Part Number'!$A:$L,2,0)</f>
        <v xml:space="preserve">JD 470P (1FF)                                              </v>
      </c>
      <c r="D79" s="68" t="str">
        <f>VLOOKUP($B79,'[1]Products by Part Number'!$A:$L,3,0)</f>
        <v>HYDRAULIC FILTER CASE DRAIN</v>
      </c>
      <c r="E79" s="69">
        <f>VLOOKUP($B79,'[1]Products by Part Number'!$A:$L,8,0)</f>
        <v>1</v>
      </c>
      <c r="F79" s="70">
        <f>VLOOKUP($B79,'[1]Products by Part Number'!$A:$L,4,0)</f>
        <v>49.252199999999995</v>
      </c>
      <c r="G79" s="71">
        <f t="shared" si="2"/>
        <v>49.252199999999995</v>
      </c>
      <c r="H79" s="71">
        <f>VLOOKUP($B79,'[1]Products by Part Number'!$A:$L,6,0)</f>
        <v>24.63</v>
      </c>
      <c r="I79" s="79">
        <f t="shared" ref="I79:I128" si="3">ROUND(E79*H79,2)</f>
        <v>24.63</v>
      </c>
    </row>
    <row r="80" spans="2:9" x14ac:dyDescent="0.25">
      <c r="B80" s="78" t="s">
        <v>143</v>
      </c>
      <c r="C80" s="68" t="str">
        <f>VLOOKUP($B80,'[1]Products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</c>
      <c r="D80" s="68" t="str">
        <f>VLOOKUP($B80,'[1]Products by Part Number'!$A:$L,3,0)</f>
        <v>FUEL FILTER</v>
      </c>
      <c r="E80" s="69">
        <f>VLOOKUP($B80,'[1]Products by Part Number'!$A:$L,8,0)</f>
        <v>18</v>
      </c>
      <c r="F80" s="70">
        <f>VLOOKUP($B80,'[1]Products by Part Number'!$A:$L,4,0)</f>
        <v>69.17</v>
      </c>
      <c r="G80" s="71">
        <f t="shared" si="2"/>
        <v>1245.06</v>
      </c>
      <c r="H80" s="71">
        <f>VLOOKUP($B80,'[1]Products by Part Number'!$A:$L,6,0)</f>
        <v>34.590000000000003</v>
      </c>
      <c r="I80" s="79">
        <f t="shared" si="3"/>
        <v>622.62</v>
      </c>
    </row>
    <row r="81" spans="2:9" x14ac:dyDescent="0.25">
      <c r="B81" s="78" t="s">
        <v>144</v>
      </c>
      <c r="C81" s="68" t="str">
        <f>VLOOKUP($B81,'[1]Products by Part Number'!$A:$L,2,0)</f>
        <v xml:space="preserve">KOM WA475-10 (120)                                              </v>
      </c>
      <c r="D81" s="68" t="str">
        <f>VLOOKUP($B81,'[1]Products by Part Number'!$A:$L,3,0)</f>
        <v>TRANSMISSION FILTER</v>
      </c>
      <c r="E81" s="69">
        <f>VLOOKUP($B81,'[1]Products by Part Number'!$A:$L,8,0)</f>
        <v>1</v>
      </c>
      <c r="F81" s="70">
        <f>VLOOKUP($B81,'[1]Products by Part Number'!$A:$L,4,0)</f>
        <v>200.94</v>
      </c>
      <c r="G81" s="71">
        <f t="shared" ref="G81:G122" si="4">E81*F81</f>
        <v>200.94</v>
      </c>
      <c r="H81" s="71">
        <f>VLOOKUP($B81,'[1]Products by Part Number'!$A:$L,6,0)</f>
        <v>100.47</v>
      </c>
      <c r="I81" s="79">
        <f t="shared" si="3"/>
        <v>100.47</v>
      </c>
    </row>
    <row r="82" spans="2:9" x14ac:dyDescent="0.25">
      <c r="B82" s="78" t="s">
        <v>145</v>
      </c>
      <c r="C82" s="68" t="str">
        <f>VLOOKUP($B82,'[1]Products by Part Number'!$A:$L,2,0)</f>
        <v xml:space="preserve">CAT 329EL (ZCD)                                              </v>
      </c>
      <c r="D82" s="68" t="str">
        <f>VLOOKUP($B82,'[1]Products by Part Number'!$A:$L,3,0)</f>
        <v>ENGINE OIL FILTER</v>
      </c>
      <c r="E82" s="69">
        <f>VLOOKUP($B82,'[1]Products by Part Number'!$A:$L,8,0)</f>
        <v>2</v>
      </c>
      <c r="F82" s="70">
        <f>VLOOKUP($B82,'[1]Products by Part Number'!$A:$L,4,0)</f>
        <v>42.63</v>
      </c>
      <c r="G82" s="71">
        <f t="shared" si="4"/>
        <v>85.26</v>
      </c>
      <c r="H82" s="71">
        <f>VLOOKUP($B82,'[1]Products by Part Number'!$A:$L,6,0)</f>
        <v>21.32</v>
      </c>
      <c r="I82" s="79">
        <f t="shared" si="3"/>
        <v>42.64</v>
      </c>
    </row>
    <row r="83" spans="2:9" x14ac:dyDescent="0.25">
      <c r="B83" s="78" t="s">
        <v>146</v>
      </c>
      <c r="C83" s="68" t="str">
        <f>VLOOKUP($B83,'[1]Products by Part Number'!$A:$L,2,0)</f>
        <v xml:space="preserve">CAT 329EL (ZCD) CAT TL1055C (KDE)                                            </v>
      </c>
      <c r="D83" s="68" t="str">
        <f>VLOOKUP($B83,'[1]Products by Part Number'!$A:$L,3,0)</f>
        <v>FUEL FILTER</v>
      </c>
      <c r="E83" s="69">
        <f>VLOOKUP($B83,'[1]Products by Part Number'!$A:$L,8,0)</f>
        <v>4</v>
      </c>
      <c r="F83" s="70">
        <f>VLOOKUP($B83,'[1]Products by Part Number'!$A:$L,4,0)</f>
        <v>50.09</v>
      </c>
      <c r="G83" s="71">
        <f t="shared" si="4"/>
        <v>200.36</v>
      </c>
      <c r="H83" s="71">
        <f>VLOOKUP($B83,'[1]Products by Part Number'!$A:$L,6,0)</f>
        <v>25.05</v>
      </c>
      <c r="I83" s="79">
        <f t="shared" si="3"/>
        <v>100.2</v>
      </c>
    </row>
    <row r="84" spans="2:9" x14ac:dyDescent="0.25">
      <c r="B84" s="78" t="s">
        <v>147</v>
      </c>
      <c r="C84" s="68" t="str">
        <f>VLOOKUP($B84,'[1]Products by Part Number'!$A:$L,2,0)</f>
        <v xml:space="preserve">KOM WA320-8 (867) KOM WA320PZ-6 (729)                                            </v>
      </c>
      <c r="D84" s="68" t="str">
        <f>VLOOKUP($B84,'[1]Products by Part Number'!$A:$L,3,0)</f>
        <v>TRANSMISSION FILTER</v>
      </c>
      <c r="E84" s="69">
        <f>VLOOKUP($B84,'[1]Products by Part Number'!$A:$L,8,0)</f>
        <v>2</v>
      </c>
      <c r="F84" s="70">
        <f>VLOOKUP($B84,'[1]Products by Part Number'!$A:$L,4,0)</f>
        <v>106.91</v>
      </c>
      <c r="G84" s="71">
        <f t="shared" si="4"/>
        <v>213.82</v>
      </c>
      <c r="H84" s="71">
        <f>VLOOKUP($B84,'[1]Products by Part Number'!$A:$L,6,0)</f>
        <v>53.46</v>
      </c>
      <c r="I84" s="79">
        <f t="shared" si="3"/>
        <v>106.92</v>
      </c>
    </row>
    <row r="85" spans="2:9" x14ac:dyDescent="0.25">
      <c r="B85" s="78" t="s">
        <v>148</v>
      </c>
      <c r="C85" s="68" t="str">
        <f>VLOOKUP($B85,'[1]Products by Part Number'!$A:$L,2,0)</f>
        <v xml:space="preserve">KOM WA320-8 (867) KOM WA320PZ-6 (729)                                            </v>
      </c>
      <c r="D85" s="68" t="str">
        <f>VLOOKUP($B85,'[1]Products by Part Number'!$A:$L,3,0)</f>
        <v>CAB FILTER</v>
      </c>
      <c r="E85" s="69">
        <f>VLOOKUP($B85,'[1]Products by Part Number'!$A:$L,8,0)</f>
        <v>2</v>
      </c>
      <c r="F85" s="70">
        <f>VLOOKUP($B85,'[1]Products by Part Number'!$A:$L,4,0)</f>
        <v>162.04</v>
      </c>
      <c r="G85" s="71">
        <f t="shared" si="4"/>
        <v>324.08</v>
      </c>
      <c r="H85" s="71">
        <f>VLOOKUP($B85,'[1]Products by Part Number'!$A:$L,6,0)</f>
        <v>105.33</v>
      </c>
      <c r="I85" s="79">
        <f t="shared" si="3"/>
        <v>210.66</v>
      </c>
    </row>
    <row r="86" spans="2:9" x14ac:dyDescent="0.25">
      <c r="B86" s="78" t="s">
        <v>149</v>
      </c>
      <c r="C86" s="68" t="str">
        <f>VLOOKUP($B86,'[1]Products by Part Number'!$A:$L,2,0)</f>
        <v xml:space="preserve">CAT 14 (EN4)                                              </v>
      </c>
      <c r="D86" s="68" t="str">
        <f>VLOOKUP($B86,'[1]Products by Part Number'!$A:$L,3,0)</f>
        <v>FUEL/WATER SEPERATOR</v>
      </c>
      <c r="E86" s="69">
        <f>VLOOKUP($B86,'[1]Products by Part Number'!$A:$L,8,0)</f>
        <v>2</v>
      </c>
      <c r="F86" s="70">
        <f>VLOOKUP($B86,'[1]Products by Part Number'!$A:$L,4,0)</f>
        <v>86.8</v>
      </c>
      <c r="G86" s="71">
        <f t="shared" si="4"/>
        <v>173.6</v>
      </c>
      <c r="H86" s="71">
        <f>VLOOKUP($B86,'[1]Products by Part Number'!$A:$L,6,0)</f>
        <v>43.4</v>
      </c>
      <c r="I86" s="79">
        <f t="shared" si="3"/>
        <v>86.8</v>
      </c>
    </row>
    <row r="87" spans="2:9" x14ac:dyDescent="0.25">
      <c r="B87" s="78" t="s">
        <v>150</v>
      </c>
      <c r="C87" s="68" t="str">
        <f>VLOOKUP($B87,'[1]Products by Part Number'!$A:$L,2,0)</f>
        <v xml:space="preserve">CAT TL1055C (KDE)                                              </v>
      </c>
      <c r="D87" s="68" t="str">
        <f>VLOOKUP($B87,'[1]Products by Part Number'!$A:$L,3,0)</f>
        <v>TRANSMISSION FILTER</v>
      </c>
      <c r="E87" s="69">
        <f>VLOOKUP($B87,'[1]Products by Part Number'!$A:$L,8,0)</f>
        <v>1</v>
      </c>
      <c r="F87" s="70">
        <f>VLOOKUP($B87,'[1]Products by Part Number'!$A:$L,4,0)</f>
        <v>54.46</v>
      </c>
      <c r="G87" s="71">
        <f t="shared" si="4"/>
        <v>54.46</v>
      </c>
      <c r="H87" s="71">
        <f>VLOOKUP($B87,'[1]Products by Part Number'!$A:$L,6,0)</f>
        <v>27.23</v>
      </c>
      <c r="I87" s="79">
        <f t="shared" si="3"/>
        <v>27.23</v>
      </c>
    </row>
    <row r="88" spans="2:9" x14ac:dyDescent="0.25">
      <c r="B88" s="78" t="s">
        <v>151</v>
      </c>
      <c r="C88" s="68" t="str">
        <f>VLOOKUP($B88,'[1]Products by Part Number'!$A:$L,2,0)</f>
        <v xml:space="preserve">CAT 329EL (ZCD)                                              </v>
      </c>
      <c r="D88" s="68" t="str">
        <f>VLOOKUP($B88,'[1]Products by Part Number'!$A:$L,3,0)</f>
        <v>FUEL/WATER SEPERATOR</v>
      </c>
      <c r="E88" s="69">
        <f>VLOOKUP($B88,'[1]Products by Part Number'!$A:$L,8,0)</f>
        <v>2</v>
      </c>
      <c r="F88" s="70">
        <f>VLOOKUP($B88,'[1]Products by Part Number'!$A:$L,4,0)</f>
        <v>76.150000000000006</v>
      </c>
      <c r="G88" s="71">
        <f t="shared" si="4"/>
        <v>152.30000000000001</v>
      </c>
      <c r="H88" s="71">
        <f>VLOOKUP($B88,'[1]Products by Part Number'!$A:$L,6,0)</f>
        <v>38.08</v>
      </c>
      <c r="I88" s="79">
        <f t="shared" si="3"/>
        <v>76.16</v>
      </c>
    </row>
    <row r="89" spans="2:9" x14ac:dyDescent="0.25">
      <c r="B89" s="78" t="s">
        <v>152</v>
      </c>
      <c r="C89" s="68" t="str">
        <f>VLOOKUP($B89,'[1]Products by Part Number'!$A:$L,2,0)</f>
        <v xml:space="preserve">CAT TL1055C (KDE)                                              </v>
      </c>
      <c r="D89" s="68" t="str">
        <f>VLOOKUP($B89,'[1]Products by Part Number'!$A:$L,3,0)</f>
        <v>FUEL/WATER SEPERATOR</v>
      </c>
      <c r="E89" s="69">
        <f>VLOOKUP($B89,'[1]Products by Part Number'!$A:$L,8,0)</f>
        <v>2</v>
      </c>
      <c r="F89" s="70">
        <f>VLOOKUP($B89,'[1]Products by Part Number'!$A:$L,4,0)</f>
        <v>72.33</v>
      </c>
      <c r="G89" s="71">
        <f t="shared" si="4"/>
        <v>144.66</v>
      </c>
      <c r="H89" s="71">
        <f>VLOOKUP($B89,'[1]Products by Part Number'!$A:$L,6,0)</f>
        <v>36.17</v>
      </c>
      <c r="I89" s="79">
        <f t="shared" si="3"/>
        <v>72.34</v>
      </c>
    </row>
    <row r="90" spans="2:9" x14ac:dyDescent="0.25">
      <c r="B90" s="78" t="s">
        <v>153</v>
      </c>
      <c r="C90" s="68" t="str">
        <f>VLOOKUP($B90,'[1]Products by Part Number'!$A:$L,2,0)</f>
        <v xml:space="preserve">CAT 14 (EN4)                                              </v>
      </c>
      <c r="D90" s="68" t="str">
        <f>VLOOKUP($B90,'[1]Products by Part Number'!$A:$L,3,0)</f>
        <v>FUEL FILTER</v>
      </c>
      <c r="E90" s="69">
        <f>VLOOKUP($B90,'[1]Products by Part Number'!$A:$L,8,0)</f>
        <v>4</v>
      </c>
      <c r="F90" s="70">
        <f>VLOOKUP($B90,'[1]Products by Part Number'!$A:$L,4,0)</f>
        <v>47.23</v>
      </c>
      <c r="G90" s="71">
        <f t="shared" si="4"/>
        <v>188.92</v>
      </c>
      <c r="H90" s="71">
        <f>VLOOKUP($B90,'[1]Products by Part Number'!$A:$L,6,0)</f>
        <v>23.62</v>
      </c>
      <c r="I90" s="79">
        <f t="shared" si="3"/>
        <v>94.48</v>
      </c>
    </row>
    <row r="91" spans="2:9" x14ac:dyDescent="0.25">
      <c r="B91" s="78" t="s">
        <v>154</v>
      </c>
      <c r="C91" s="68" t="str">
        <f>VLOOKUP($B91,'[1]Products by Part Number'!$A:$L,2,0)</f>
        <v xml:space="preserve">CAT 14 (EN4)                                              </v>
      </c>
      <c r="D91" s="68" t="str">
        <f>VLOOKUP($B91,'[1]Products by Part Number'!$A:$L,3,0)</f>
        <v>ENGINE OIL FILTER</v>
      </c>
      <c r="E91" s="69">
        <f>VLOOKUP($B91,'[1]Products by Part Number'!$A:$L,8,0)</f>
        <v>2</v>
      </c>
      <c r="F91" s="70">
        <f>VLOOKUP($B91,'[1]Products by Part Number'!$A:$L,4,0)</f>
        <v>75.31</v>
      </c>
      <c r="G91" s="71">
        <f t="shared" si="4"/>
        <v>150.62</v>
      </c>
      <c r="H91" s="71">
        <f>VLOOKUP($B91,'[1]Products by Part Number'!$A:$L,6,0)</f>
        <v>37.659999999999997</v>
      </c>
      <c r="I91" s="79">
        <f t="shared" si="3"/>
        <v>75.319999999999993</v>
      </c>
    </row>
    <row r="92" spans="2:9" x14ac:dyDescent="0.25">
      <c r="B92" s="78" t="s">
        <v>155</v>
      </c>
      <c r="C92" s="68" t="str">
        <f>VLOOKUP($B92,'[1]Products by Part Number'!$A:$L,2,0)</f>
        <v xml:space="preserve">CAT 255 CAT 255 (2) CAT 255 (FL7)                                          </v>
      </c>
      <c r="D92" s="68" t="str">
        <f>VLOOKUP($B92,'[1]Products by Part Number'!$A:$L,3,0)</f>
        <v>FUEL/WATER SEPERATOR</v>
      </c>
      <c r="E92" s="69">
        <f>VLOOKUP($B92,'[1]Products by Part Number'!$A:$L,8,0)</f>
        <v>6</v>
      </c>
      <c r="F92" s="70">
        <f>VLOOKUP($B92,'[1]Products by Part Number'!$A:$L,4,0)</f>
        <v>77.34</v>
      </c>
      <c r="G92" s="71">
        <f t="shared" si="4"/>
        <v>464.04</v>
      </c>
      <c r="H92" s="71">
        <f>VLOOKUP($B92,'[1]Products by Part Number'!$A:$L,6,0)</f>
        <v>38.67</v>
      </c>
      <c r="I92" s="79">
        <f t="shared" si="3"/>
        <v>232.02</v>
      </c>
    </row>
    <row r="93" spans="2:9" x14ac:dyDescent="0.25">
      <c r="B93" s="78" t="s">
        <v>156</v>
      </c>
      <c r="C93" s="68" t="str">
        <f>VLOOKUP($B93,'[1]Products by Part Number'!$A:$L,2,0)</f>
        <v xml:space="preserve">KOM WA380-8 (1) KOM WA380-8 (2)                                            </v>
      </c>
      <c r="D93" s="68" t="str">
        <f>VLOOKUP($B93,'[1]Products by Part Number'!$A:$L,3,0)</f>
        <v>TRANSMISSION FILTER</v>
      </c>
      <c r="E93" s="69">
        <f>VLOOKUP($B93,'[1]Products by Part Number'!$A:$L,8,0)</f>
        <v>2</v>
      </c>
      <c r="F93" s="70">
        <f>VLOOKUP($B93,'[1]Products by Part Number'!$A:$L,4,0)</f>
        <v>415.83</v>
      </c>
      <c r="G93" s="71">
        <f t="shared" si="4"/>
        <v>831.66</v>
      </c>
      <c r="H93" s="71">
        <f>VLOOKUP($B93,'[1]Products by Part Number'!$A:$L,6,0)</f>
        <v>207.92</v>
      </c>
      <c r="I93" s="79">
        <f t="shared" si="3"/>
        <v>415.84</v>
      </c>
    </row>
    <row r="94" spans="2:9" x14ac:dyDescent="0.25">
      <c r="B94" s="78" t="s">
        <v>157</v>
      </c>
      <c r="C94" s="68" t="str">
        <f>VLOOKUP($B94,'[1]Products by Part Number'!$A:$L,2,0)</f>
        <v xml:space="preserve">CAT 255 CAT 255 (2) CAT 255 (FL7)                                          </v>
      </c>
      <c r="D94" s="68" t="str">
        <f>VLOOKUP($B94,'[1]Products by Part Number'!$A:$L,3,0)</f>
        <v>ENGINE OIL FILTER</v>
      </c>
      <c r="E94" s="69">
        <f>VLOOKUP($B94,'[1]Products by Part Number'!$A:$L,8,0)</f>
        <v>6</v>
      </c>
      <c r="F94" s="70">
        <f>VLOOKUP($B94,'[1]Products by Part Number'!$A:$L,4,0)</f>
        <v>54.67</v>
      </c>
      <c r="G94" s="71">
        <f t="shared" si="4"/>
        <v>328.02</v>
      </c>
      <c r="H94" s="71">
        <f>VLOOKUP($B94,'[1]Products by Part Number'!$A:$L,6,0)</f>
        <v>27.34</v>
      </c>
      <c r="I94" s="79">
        <f t="shared" si="3"/>
        <v>164.04</v>
      </c>
    </row>
    <row r="95" spans="2:9" x14ac:dyDescent="0.25">
      <c r="B95" s="78" t="s">
        <v>158</v>
      </c>
      <c r="C95" s="68" t="str">
        <f>VLOOKUP($B95,'[1]Products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KOM WA475-10 (120)                            </v>
      </c>
      <c r="D95" s="68" t="str">
        <f>VLOOKUP($B95,'[1]Products by Part Number'!$A:$L,3,0)</f>
        <v>ENGINE OIL FILTER</v>
      </c>
      <c r="E95" s="69">
        <f>VLOOKUP($B95,'[1]Products by Part Number'!$A:$L,8,0)</f>
        <v>20</v>
      </c>
      <c r="F95" s="70">
        <f>VLOOKUP($B95,'[1]Products by Part Number'!$A:$L,4,0)</f>
        <v>161.84</v>
      </c>
      <c r="G95" s="71">
        <f t="shared" si="4"/>
        <v>3236.8</v>
      </c>
      <c r="H95" s="71">
        <f>VLOOKUP($B95,'[1]Products by Part Number'!$A:$L,6,0)</f>
        <v>80.92</v>
      </c>
      <c r="I95" s="79">
        <f t="shared" si="3"/>
        <v>1618.4</v>
      </c>
    </row>
    <row r="96" spans="2:9" x14ac:dyDescent="0.25">
      <c r="B96" s="78" t="s">
        <v>159</v>
      </c>
      <c r="C96" s="68" t="str">
        <f>VLOOKUP($B96,'[1]Products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96" s="68" t="str">
        <f>VLOOKUP($B96,'[1]Products by Part Number'!$A:$L,3,0)</f>
        <v>ENGINE OIL FILTER</v>
      </c>
      <c r="E96" s="69">
        <f>VLOOKUP($B96,'[1]Products by Part Number'!$A:$L,8,0)</f>
        <v>28</v>
      </c>
      <c r="F96" s="70">
        <f>VLOOKUP($B96,'[1]Products by Part Number'!$A:$L,4,0)</f>
        <v>161.84</v>
      </c>
      <c r="G96" s="71">
        <f t="shared" si="4"/>
        <v>4531.5200000000004</v>
      </c>
      <c r="H96" s="71">
        <f>VLOOKUP($B96,'[1]Products by Part Number'!$A:$L,6,0)</f>
        <v>80.92</v>
      </c>
      <c r="I96" s="79">
        <f t="shared" si="3"/>
        <v>2265.7600000000002</v>
      </c>
    </row>
    <row r="97" spans="2:9" x14ac:dyDescent="0.25">
      <c r="B97" s="78" t="s">
        <v>160</v>
      </c>
      <c r="C97" s="68" t="str">
        <f>VLOOKUP($B97,'[1]Products by Part Number'!$A:$L,2,0)</f>
        <v xml:space="preserve">KOM PC138USLC-11 KOM PC238USLC-11 (1)                                            </v>
      </c>
      <c r="D97" s="68" t="str">
        <f>VLOOKUP($B97,'[1]Products by Part Number'!$A:$L,3,0)</f>
        <v>ENGINE OIL FILTER</v>
      </c>
      <c r="E97" s="69">
        <f>VLOOKUP($B97,'[1]Products by Part Number'!$A:$L,8,0)</f>
        <v>4</v>
      </c>
      <c r="F97" s="70">
        <f>VLOOKUP($B97,'[1]Products by Part Number'!$A:$L,4,0)</f>
        <v>27.53</v>
      </c>
      <c r="G97" s="71">
        <f t="shared" si="4"/>
        <v>110.12</v>
      </c>
      <c r="H97" s="71">
        <f>VLOOKUP($B97,'[1]Products by Part Number'!$A:$L,6,0)</f>
        <v>13.77</v>
      </c>
      <c r="I97" s="79">
        <f t="shared" si="3"/>
        <v>55.08</v>
      </c>
    </row>
    <row r="98" spans="2:9" x14ac:dyDescent="0.25">
      <c r="B98" s="78" t="s">
        <v>161</v>
      </c>
      <c r="C98" s="68" t="str">
        <f>VLOOKUP($B98,'[1]Products by Part Number'!$A:$L,2,0)</f>
        <v xml:space="preserve">KOM D71PX-24 (1) KOM D71PX-24 (2) KOM D71PX-24 (3) KOM D71PX-24 (4) KOM D71PX-24 (5) KOM D71PX-24 (6) KOM D71PX-24 (7) KOM PC238USLC-11 (2) KOM WA380-8 (1) KOM WA380-8 (2) KOM WA320-8 (867) KOM WA320PZ-6 (729) KOM PC360LC-11 (A37) KOM PC360LC-11 (A39) KOM PC360LC-11 (A39) (2) KOM PC290LC-11 (K73) KOM D61PX-24 (B60)              </v>
      </c>
      <c r="D98" s="68" t="str">
        <f>VLOOKUP($B98,'[1]Products by Part Number'!$A:$L,3,0)</f>
        <v>FUEL FILTER</v>
      </c>
      <c r="E98" s="69">
        <f>VLOOKUP($B98,'[1]Products by Part Number'!$A:$L,8,0)</f>
        <v>34</v>
      </c>
      <c r="F98" s="70">
        <f>VLOOKUP($B98,'[1]Products by Part Number'!$A:$L,4,0)</f>
        <v>275.9862</v>
      </c>
      <c r="G98" s="71">
        <f t="shared" si="4"/>
        <v>9383.5308000000005</v>
      </c>
      <c r="H98" s="71">
        <f>VLOOKUP($B98,'[1]Products by Part Number'!$A:$L,6,0)</f>
        <v>137.99</v>
      </c>
      <c r="I98" s="79">
        <f t="shared" si="3"/>
        <v>4691.66</v>
      </c>
    </row>
    <row r="99" spans="2:9" x14ac:dyDescent="0.25">
      <c r="B99" s="78" t="s">
        <v>162</v>
      </c>
      <c r="C99" s="68" t="str">
        <f>VLOOKUP($B99,'[1]Products by Part Number'!$A:$L,2,0)</f>
        <v xml:space="preserve">KOM D71PX-24 (1) KOM D71PX-24 (2) KOM D71PX-24 (3) KOM D71PX-24 (4) KOM D71PX-24 (5) KOM D71PX-24 (6) KOM D71PX-24 (7) KOM PC238USLC-11 (2) KOM WA380-8 (1) KOM WA380-8 (2) KOM WA320-8 (867) KOM WA320PZ-6 (729) KOM PC360LC-11 (A37) KOM PC360LC-11 (A39) KOM PC360LC-11 (A39) (2) KOM PC290LC-11 (K73) KOM D61PX-24 (B60)              </v>
      </c>
      <c r="D99" s="68" t="str">
        <f>VLOOKUP($B99,'[1]Products by Part Number'!$A:$L,3,0)</f>
        <v>FUEL FILTER</v>
      </c>
      <c r="E99" s="69">
        <f>VLOOKUP($B99,'[1]Products by Part Number'!$A:$L,8,0)</f>
        <v>29</v>
      </c>
      <c r="F99" s="70">
        <f>VLOOKUP($B99,'[1]Products by Part Number'!$A:$L,4,0)</f>
        <v>61.975799999999992</v>
      </c>
      <c r="G99" s="71">
        <f t="shared" si="4"/>
        <v>1797.2981999999997</v>
      </c>
      <c r="H99" s="71">
        <f>VLOOKUP($B99,'[1]Products by Part Number'!$A:$L,6,0)</f>
        <v>30.99</v>
      </c>
      <c r="I99" s="79">
        <f t="shared" si="3"/>
        <v>898.71</v>
      </c>
    </row>
    <row r="100" spans="2:9" x14ac:dyDescent="0.25">
      <c r="B100" s="78" t="s">
        <v>163</v>
      </c>
      <c r="C100" s="68" t="str">
        <f>VLOOKUP($B100,'[1]Products by Part Number'!$A:$L,2,0)</f>
        <v>KOM HM400-5 (1) KOM HM400-5 (2) KOM HM400-5 (3) KOM HM400-5 (4) KOM HM400-5 (5) KOM HM400-5 (6) KOM HM400-5 (7) KOM HM400-5 (8) KOM HM400-5 (9) KOM HM400-5 (10) KOM HM400 (11) KOM HM400 (12) KOM HM400 (13) KOM HM400-5 (14) KOM PC490LC-11 (A42) KOM PC490LC-11 (A42) (2) KOM PC490LC-11 (A42) (3) KOM PC490LC-11 (A42) (4) KOM PC490LC-11 (A42) (5) KOM PC490LC-11 (A43) KOM PC490LC-11 (KMT) (1) KOM PC490LC-11 (KMT) (2) KOM PC490LC-11 (KMT) (3) KOM WA475-10 (120)</v>
      </c>
      <c r="D100" s="68" t="str">
        <f>VLOOKUP($B100,'[1]Products by Part Number'!$A:$L,3,0)</f>
        <v>FUEL FILTER</v>
      </c>
      <c r="E100" s="69">
        <f>VLOOKUP($B100,'[1]Products by Part Number'!$A:$L,8,0)</f>
        <v>39</v>
      </c>
      <c r="F100" s="70">
        <f>VLOOKUP($B100,'[1]Products by Part Number'!$A:$L,4,0)</f>
        <v>198.95</v>
      </c>
      <c r="G100" s="71">
        <f t="shared" si="4"/>
        <v>7759.0499999999993</v>
      </c>
      <c r="H100" s="71">
        <f>VLOOKUP($B100,'[1]Products by Part Number'!$A:$L,6,0)</f>
        <v>99.48</v>
      </c>
      <c r="I100" s="79">
        <f t="shared" si="3"/>
        <v>3879.72</v>
      </c>
    </row>
    <row r="101" spans="2:9" x14ac:dyDescent="0.25">
      <c r="B101" s="78" t="s">
        <v>164</v>
      </c>
      <c r="C101" s="68" t="str">
        <f>VLOOKUP($B101,'[1]Products by Part Number'!$A:$L,2,0)</f>
        <v xml:space="preserve">KOM PC138USLC-11 KOM PC238USLC-11 (1)                                            </v>
      </c>
      <c r="D101" s="68" t="str">
        <f>VLOOKUP($B101,'[1]Products by Part Number'!$A:$L,3,0)</f>
        <v>FUEL FILTER</v>
      </c>
      <c r="E101" s="69">
        <f>VLOOKUP($B101,'[1]Products by Part Number'!$A:$L,8,0)</f>
        <v>4</v>
      </c>
      <c r="F101" s="70">
        <f>VLOOKUP($B101,'[1]Products by Part Number'!$A:$L,4,0)</f>
        <v>78.06</v>
      </c>
      <c r="G101" s="71">
        <f t="shared" si="4"/>
        <v>312.24</v>
      </c>
      <c r="H101" s="71">
        <f>VLOOKUP($B101,'[1]Products by Part Number'!$A:$L,6,0)</f>
        <v>39.03</v>
      </c>
      <c r="I101" s="79">
        <f t="shared" si="3"/>
        <v>156.12</v>
      </c>
    </row>
    <row r="102" spans="2:9" x14ac:dyDescent="0.25">
      <c r="B102" s="78" t="s">
        <v>165</v>
      </c>
      <c r="C102" s="68" t="str">
        <f>VLOOKUP($B102,'[1]Products by Part Number'!$A:$L,2,0)</f>
        <v xml:space="preserve">KOM PC138USLC-11 KOM PC238USLC-11 (1)                                            </v>
      </c>
      <c r="D102" s="68" t="str">
        <f>VLOOKUP($B102,'[1]Products by Part Number'!$A:$L,3,0)</f>
        <v>FUEL FILTER</v>
      </c>
      <c r="E102" s="69">
        <f>VLOOKUP($B102,'[1]Products by Part Number'!$A:$L,8,0)</f>
        <v>4</v>
      </c>
      <c r="F102" s="70">
        <f>VLOOKUP($B102,'[1]Products by Part Number'!$A:$L,4,0)</f>
        <v>81.8</v>
      </c>
      <c r="G102" s="71">
        <f t="shared" si="4"/>
        <v>327.2</v>
      </c>
      <c r="H102" s="71">
        <f>VLOOKUP($B102,'[1]Products by Part Number'!$A:$L,6,0)</f>
        <v>40.9</v>
      </c>
      <c r="I102" s="79">
        <f t="shared" si="3"/>
        <v>163.6</v>
      </c>
    </row>
    <row r="103" spans="2:9" x14ac:dyDescent="0.25">
      <c r="B103" s="78" t="s">
        <v>166</v>
      </c>
      <c r="C103" s="68" t="str">
        <f>VLOOKUP($B103,'[1]Products by Part Number'!$A:$L,2,0)</f>
        <v xml:space="preserve">KOM WA475-10 (120)                                              </v>
      </c>
      <c r="D103" s="68" t="str">
        <f>VLOOKUP($B103,'[1]Products by Part Number'!$A:$L,3,0)</f>
        <v>FUEL FILTER</v>
      </c>
      <c r="E103" s="69">
        <f>VLOOKUP($B103,'[1]Products by Part Number'!$A:$L,8,0)</f>
        <v>2</v>
      </c>
      <c r="F103" s="70">
        <f>VLOOKUP($B103,'[1]Products by Part Number'!$A:$L,4,0)</f>
        <v>69.17</v>
      </c>
      <c r="G103" s="71">
        <f t="shared" si="4"/>
        <v>138.34</v>
      </c>
      <c r="H103" s="71">
        <f>VLOOKUP($B103,'[1]Products by Part Number'!$A:$L,6,0)</f>
        <v>34.590000000000003</v>
      </c>
      <c r="I103" s="79">
        <f t="shared" si="3"/>
        <v>69.180000000000007</v>
      </c>
    </row>
    <row r="104" spans="2:9" x14ac:dyDescent="0.25">
      <c r="B104" s="78" t="s">
        <v>167</v>
      </c>
      <c r="C104" s="68" t="str">
        <f>VLOOKUP($B104,'[1]Products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104" s="68" t="str">
        <f>VLOOKUP($B104,'[1]Products by Part Number'!$A:$L,3,0)</f>
        <v>FUEL FILTER</v>
      </c>
      <c r="E104" s="69">
        <f>VLOOKUP($B104,'[1]Products by Part Number'!$A:$L,8,0)</f>
        <v>28</v>
      </c>
      <c r="F104" s="70">
        <f>VLOOKUP($B104,'[1]Products by Part Number'!$A:$L,4,0)</f>
        <v>233.62</v>
      </c>
      <c r="G104" s="71">
        <f t="shared" si="4"/>
        <v>6541.3600000000006</v>
      </c>
      <c r="H104" s="71">
        <f>VLOOKUP($B104,'[1]Products by Part Number'!$A:$L,6,0)</f>
        <v>116.81</v>
      </c>
      <c r="I104" s="79">
        <f t="shared" si="3"/>
        <v>3270.68</v>
      </c>
    </row>
    <row r="105" spans="2:9" x14ac:dyDescent="0.25">
      <c r="B105" s="78" t="s">
        <v>168</v>
      </c>
      <c r="C105" s="68" t="str">
        <f>VLOOKUP($B105,'[1]Products by Part Number'!$A:$L,2,0)</f>
        <v xml:space="preserve">KOM PC238USLC-11 (2) KOM WA380-8 (1) KOM WA380-8 (2) KOM WA320-8 (867) KOM WA320PZ-6 (729) KOM PC290LC-11 (K73) KOM D61PX-24 (B60)                                  </v>
      </c>
      <c r="D105" s="68" t="str">
        <f>VLOOKUP($B105,'[1]Products by Part Number'!$A:$L,3,0)</f>
        <v>ENGINE OIL FILTER</v>
      </c>
      <c r="E105" s="69">
        <f>VLOOKUP($B105,'[1]Products by Part Number'!$A:$L,8,0)</f>
        <v>14</v>
      </c>
      <c r="F105" s="70">
        <f>VLOOKUP($B105,'[1]Products by Part Number'!$A:$L,4,0)</f>
        <v>38.229999999999997</v>
      </c>
      <c r="G105" s="71">
        <f t="shared" si="4"/>
        <v>535.21999999999991</v>
      </c>
      <c r="H105" s="71">
        <f>VLOOKUP($B105,'[1]Products by Part Number'!$A:$L,6,0)</f>
        <v>19.12</v>
      </c>
      <c r="I105" s="79">
        <f t="shared" si="3"/>
        <v>267.68</v>
      </c>
    </row>
    <row r="106" spans="2:9" x14ac:dyDescent="0.25">
      <c r="B106" s="78" t="s">
        <v>169</v>
      </c>
      <c r="C106" s="68" t="str">
        <f>VLOOKUP($B106,'[1]Products by Part Number'!$A:$L,2,0)</f>
        <v xml:space="preserve">KOM D71PX-24 (1) KOM D71PX-24 (2) KOM D71PX-24 (3) KOM D71PX-24 (4) KOM D71PX-24 (5) KOM D71PX-24 (6) KOM D71PX-24 (7) KOM PC360LC-11 (A37) KOM PC360LC-11 (A39) KOM PC360LC-11 (A39) (2)                            </v>
      </c>
      <c r="D106" s="68" t="str">
        <f>VLOOKUP($B106,'[1]Products by Part Number'!$A:$L,3,0)</f>
        <v>ENGINE OIL FILTER</v>
      </c>
      <c r="E106" s="69">
        <f>VLOOKUP($B106,'[1]Products by Part Number'!$A:$L,8,0)</f>
        <v>20</v>
      </c>
      <c r="F106" s="70">
        <f>VLOOKUP($B106,'[1]Products by Part Number'!$A:$L,4,0)</f>
        <v>179.262</v>
      </c>
      <c r="G106" s="71">
        <f t="shared" si="4"/>
        <v>3585.24</v>
      </c>
      <c r="H106" s="71">
        <f>VLOOKUP($B106,'[1]Products by Part Number'!$A:$L,6,0)</f>
        <v>89.63</v>
      </c>
      <c r="I106" s="79">
        <f t="shared" si="3"/>
        <v>1792.6</v>
      </c>
    </row>
    <row r="107" spans="2:9" x14ac:dyDescent="0.25">
      <c r="B107" s="78" t="s">
        <v>170</v>
      </c>
      <c r="C107" s="68" t="str">
        <f>VLOOKUP($B107,'[1]Products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KOM WA475-10 (120)                  </v>
      </c>
      <c r="D107" s="68" t="str">
        <f>VLOOKUP($B107,'[1]Products by Part Number'!$A:$L,3,0)</f>
        <v>TRANSMISSION FILTER</v>
      </c>
      <c r="E107" s="69">
        <f>VLOOKUP($B107,'[1]Products by Part Number'!$A:$L,8,0)</f>
        <v>15</v>
      </c>
      <c r="F107" s="70">
        <f>VLOOKUP($B107,'[1]Products by Part Number'!$A:$L,4,0)</f>
        <v>126.77</v>
      </c>
      <c r="G107" s="71">
        <f t="shared" si="4"/>
        <v>1901.55</v>
      </c>
      <c r="H107" s="71">
        <f>VLOOKUP($B107,'[1]Products by Part Number'!$A:$L,6,0)</f>
        <v>63.39</v>
      </c>
      <c r="I107" s="79">
        <f t="shared" si="3"/>
        <v>950.85</v>
      </c>
    </row>
    <row r="108" spans="2:9" x14ac:dyDescent="0.25">
      <c r="B108" s="78" t="s">
        <v>171</v>
      </c>
      <c r="C108" s="68" t="str">
        <f>VLOOKUP($B108,'[1]Products by Part Number'!$A:$L,2,0)</f>
        <v xml:space="preserve">CAT TL1055C (KDE)                                              </v>
      </c>
      <c r="D108" s="68" t="str">
        <f>VLOOKUP($B108,'[1]Products by Part Number'!$A:$L,3,0)</f>
        <v>ENGINE OIL FILTER</v>
      </c>
      <c r="E108" s="69">
        <f>VLOOKUP($B108,'[1]Products by Part Number'!$A:$L,8,0)</f>
        <v>2</v>
      </c>
      <c r="F108" s="70">
        <f>VLOOKUP($B108,'[1]Products by Part Number'!$A:$L,4,0)</f>
        <v>29.79</v>
      </c>
      <c r="G108" s="71">
        <f t="shared" si="4"/>
        <v>59.58</v>
      </c>
      <c r="H108" s="71">
        <f>VLOOKUP($B108,'[1]Products by Part Number'!$A:$L,6,0)</f>
        <v>14.9</v>
      </c>
      <c r="I108" s="79">
        <f t="shared" si="3"/>
        <v>29.8</v>
      </c>
    </row>
    <row r="109" spans="2:9" x14ac:dyDescent="0.25">
      <c r="B109" s="78" t="s">
        <v>172</v>
      </c>
      <c r="C109" s="68" t="str">
        <f>VLOOKUP($B109,'[1]Products by Part Number'!$A:$L,2,0)</f>
        <v xml:space="preserve">JD 624K (DW6)                                              </v>
      </c>
      <c r="D109" s="68" t="str">
        <f>VLOOKUP($B109,'[1]Products by Part Number'!$A:$L,3,0)</f>
        <v>INLINE FUEL FILTER</v>
      </c>
      <c r="E109" s="69">
        <f>VLOOKUP($B109,'[1]Products by Part Number'!$A:$L,8,0)</f>
        <v>2</v>
      </c>
      <c r="F109" s="70">
        <f>VLOOKUP($B109,'[1]Products by Part Number'!$A:$L,4,0)</f>
        <v>18.519599999999997</v>
      </c>
      <c r="G109" s="71">
        <f t="shared" si="4"/>
        <v>37.039199999999994</v>
      </c>
      <c r="H109" s="71">
        <f>VLOOKUP($B109,'[1]Products by Part Number'!$A:$L,6,0)</f>
        <v>9.26</v>
      </c>
      <c r="I109" s="79">
        <f t="shared" si="3"/>
        <v>18.52</v>
      </c>
    </row>
    <row r="110" spans="2:9" x14ac:dyDescent="0.25">
      <c r="B110" s="78" t="s">
        <v>173</v>
      </c>
      <c r="C110" s="68" t="str">
        <f>VLOOKUP($B110,'[1]Products by Part Number'!$A:$L,2,0)</f>
        <v xml:space="preserve">JD 470P (1FF)                                              </v>
      </c>
      <c r="D110" s="68" t="str">
        <f>VLOOKUP($B110,'[1]Products by Part Number'!$A:$L,3,0)</f>
        <v>FUEL FILTER</v>
      </c>
      <c r="E110" s="69">
        <f>VLOOKUP($B110,'[1]Products by Part Number'!$A:$L,8,0)</f>
        <v>2</v>
      </c>
      <c r="F110" s="70">
        <f>VLOOKUP($B110,'[1]Products by Part Number'!$A:$L,4,0)</f>
        <v>91.452600000000004</v>
      </c>
      <c r="G110" s="71">
        <f t="shared" si="4"/>
        <v>182.90520000000001</v>
      </c>
      <c r="H110" s="71">
        <f>VLOOKUP($B110,'[1]Products by Part Number'!$A:$L,6,0)</f>
        <v>45.73</v>
      </c>
      <c r="I110" s="79">
        <f t="shared" si="3"/>
        <v>91.46</v>
      </c>
    </row>
    <row r="111" spans="2:9" x14ac:dyDescent="0.25">
      <c r="B111" s="78" t="s">
        <v>174</v>
      </c>
      <c r="C111" s="68" t="str">
        <f>VLOOKUP($B111,'[1]Products by Part Number'!$A:$L,2,0)</f>
        <v xml:space="preserve">JD 624K (DW6)                                              </v>
      </c>
      <c r="D111" s="68" t="str">
        <f>VLOOKUP($B111,'[1]Products by Part Number'!$A:$L,3,0)</f>
        <v>FUEL/WATER SEPERATOR</v>
      </c>
      <c r="E111" s="69">
        <f>VLOOKUP($B111,'[1]Products by Part Number'!$A:$L,8,0)</f>
        <v>2</v>
      </c>
      <c r="F111" s="70">
        <f>VLOOKUP($B111,'[1]Products by Part Number'!$A:$L,4,0)</f>
        <v>72.049799999999991</v>
      </c>
      <c r="G111" s="71">
        <f t="shared" si="4"/>
        <v>144.09959999999998</v>
      </c>
      <c r="H111" s="71">
        <f>VLOOKUP($B111,'[1]Products by Part Number'!$A:$L,6,0)</f>
        <v>36.020000000000003</v>
      </c>
      <c r="I111" s="79">
        <f t="shared" si="3"/>
        <v>72.040000000000006</v>
      </c>
    </row>
    <row r="112" spans="2:9" x14ac:dyDescent="0.25">
      <c r="B112" s="78" t="s">
        <v>175</v>
      </c>
      <c r="C112" s="68" t="str">
        <f>VLOOKUP($B112,'[1]Products by Part Number'!$A:$L,2,0)</f>
        <v xml:space="preserve">JD 624K (DW6)                                              </v>
      </c>
      <c r="D112" s="68" t="str">
        <f>VLOOKUP($B112,'[1]Products by Part Number'!$A:$L,3,0)</f>
        <v>AXLE OIL FILTERS</v>
      </c>
      <c r="E112" s="69">
        <f>VLOOKUP($B112,'[1]Products by Part Number'!$A:$L,8,0)</f>
        <v>2</v>
      </c>
      <c r="F112" s="70">
        <f>VLOOKUP($B112,'[1]Products by Part Number'!$A:$L,4,0)</f>
        <v>176.19839999999999</v>
      </c>
      <c r="G112" s="71">
        <f t="shared" si="4"/>
        <v>352.39679999999998</v>
      </c>
      <c r="H112" s="71">
        <f>VLOOKUP($B112,'[1]Products by Part Number'!$A:$L,6,0)</f>
        <v>88.1</v>
      </c>
      <c r="I112" s="79">
        <f t="shared" si="3"/>
        <v>176.2</v>
      </c>
    </row>
    <row r="113" spans="2:9" x14ac:dyDescent="0.25">
      <c r="B113" s="78" t="s">
        <v>176</v>
      </c>
      <c r="C113" s="68" t="str">
        <f>VLOOKUP($B113,'[1]Products by Part Number'!$A:$L,2,0)</f>
        <v xml:space="preserve">JD 624K (DW6)                                              </v>
      </c>
      <c r="D113" s="68" t="str">
        <f>VLOOKUP($B113,'[1]Products by Part Number'!$A:$L,3,0)</f>
        <v>TRANSMISSION OIL FILTER</v>
      </c>
      <c r="E113" s="69">
        <f>VLOOKUP($B113,'[1]Products by Part Number'!$A:$L,8,0)</f>
        <v>1</v>
      </c>
      <c r="F113" s="70">
        <f>VLOOKUP($B113,'[1]Products by Part Number'!$A:$L,4,0)</f>
        <v>91.866599999999977</v>
      </c>
      <c r="G113" s="71">
        <f t="shared" si="4"/>
        <v>91.866599999999977</v>
      </c>
      <c r="H113" s="71">
        <f>VLOOKUP($B113,'[1]Products by Part Number'!$A:$L,6,0)</f>
        <v>45.93</v>
      </c>
      <c r="I113" s="79">
        <f t="shared" si="3"/>
        <v>45.93</v>
      </c>
    </row>
    <row r="114" spans="2:9" x14ac:dyDescent="0.25">
      <c r="B114" s="78" t="s">
        <v>177</v>
      </c>
      <c r="C114" s="68" t="str">
        <f>VLOOKUP($B114,'[1]Products by Part Number'!$A:$L,2,0)</f>
        <v xml:space="preserve">JD 470P (1FF)                                              </v>
      </c>
      <c r="D114" s="68" t="str">
        <f>VLOOKUP($B114,'[1]Products by Part Number'!$A:$L,3,0)</f>
        <v>FINAL FUEL FILTER</v>
      </c>
      <c r="E114" s="69">
        <f>VLOOKUP($B114,'[1]Products by Part Number'!$A:$L,8,0)</f>
        <v>2</v>
      </c>
      <c r="F114" s="70">
        <f>VLOOKUP($B114,'[1]Products by Part Number'!$A:$L,4,0)</f>
        <v>201.06599999999997</v>
      </c>
      <c r="G114" s="71">
        <f t="shared" si="4"/>
        <v>402.13199999999995</v>
      </c>
      <c r="H114" s="71">
        <f>VLOOKUP($B114,'[1]Products by Part Number'!$A:$L,6,0)</f>
        <v>100.53</v>
      </c>
      <c r="I114" s="79">
        <f t="shared" si="3"/>
        <v>201.06</v>
      </c>
    </row>
    <row r="115" spans="2:9" x14ac:dyDescent="0.25">
      <c r="B115" s="78" t="s">
        <v>178</v>
      </c>
      <c r="C115" s="68" t="str">
        <f>VLOOKUP($B115,'[1]Products by Part Number'!$A:$L,2,0)</f>
        <v xml:space="preserve">JD 470P (1FF)                                              </v>
      </c>
      <c r="D115" s="68" t="str">
        <f>VLOOKUP($B115,'[1]Products by Part Number'!$A:$L,3,0)</f>
        <v>PRIMARY FUEL FILTER</v>
      </c>
      <c r="E115" s="69">
        <f>VLOOKUP($B115,'[1]Products by Part Number'!$A:$L,8,0)</f>
        <v>2</v>
      </c>
      <c r="F115" s="70">
        <f>VLOOKUP($B115,'[1]Products by Part Number'!$A:$L,4,0)</f>
        <v>197.90579999999997</v>
      </c>
      <c r="G115" s="71">
        <f t="shared" si="4"/>
        <v>395.81159999999994</v>
      </c>
      <c r="H115" s="71">
        <f>VLOOKUP($B115,'[1]Products by Part Number'!$A:$L,6,0)</f>
        <v>98.95</v>
      </c>
      <c r="I115" s="79">
        <f t="shared" si="3"/>
        <v>197.9</v>
      </c>
    </row>
    <row r="116" spans="2:9" x14ac:dyDescent="0.25">
      <c r="B116" s="78" t="s">
        <v>179</v>
      </c>
      <c r="C116" s="68" t="str">
        <f>VLOOKUP($B116,'[1]Products by Part Number'!$A:$L,2,0)</f>
        <v xml:space="preserve">JD 333G (1T0)                                              </v>
      </c>
      <c r="D116" s="68" t="str">
        <f>VLOOKUP($B116,'[1]Products by Part Number'!$A:$L,3,0)</f>
        <v>ENGINE OIL FILTER</v>
      </c>
      <c r="E116" s="69">
        <f>VLOOKUP($B116,'[1]Products by Part Number'!$A:$L,8,0)</f>
        <v>2</v>
      </c>
      <c r="F116" s="70">
        <f>VLOOKUP($B116,'[1]Products by Part Number'!$A:$L,4,0)</f>
        <v>27.669</v>
      </c>
      <c r="G116" s="71">
        <f t="shared" si="4"/>
        <v>55.338000000000001</v>
      </c>
      <c r="H116" s="71">
        <f>VLOOKUP($B116,'[1]Products by Part Number'!$A:$L,6,0)</f>
        <v>13.83</v>
      </c>
      <c r="I116" s="79">
        <f t="shared" si="3"/>
        <v>27.66</v>
      </c>
    </row>
    <row r="117" spans="2:9" x14ac:dyDescent="0.25">
      <c r="B117" s="78" t="s">
        <v>180</v>
      </c>
      <c r="C117" s="68" t="str">
        <f>VLOOKUP($B117,'[1]Products by Part Number'!$A:$L,2,0)</f>
        <v xml:space="preserve">JD 333G (1T0)                                              </v>
      </c>
      <c r="D117" s="68" t="str">
        <f>VLOOKUP($B117,'[1]Products by Part Number'!$A:$L,3,0)</f>
        <v>PRIMARY FUEL FILTER</v>
      </c>
      <c r="E117" s="69">
        <f>VLOOKUP($B117,'[1]Products by Part Number'!$A:$L,8,0)</f>
        <v>2</v>
      </c>
      <c r="F117" s="70">
        <f>VLOOKUP($B117,'[1]Products by Part Number'!$A:$L,4,0)</f>
        <v>51.722399999999993</v>
      </c>
      <c r="G117" s="71">
        <f t="shared" si="4"/>
        <v>103.44479999999999</v>
      </c>
      <c r="H117" s="71">
        <f>VLOOKUP($B117,'[1]Products by Part Number'!$A:$L,6,0)</f>
        <v>25.86</v>
      </c>
      <c r="I117" s="79">
        <f t="shared" si="3"/>
        <v>51.72</v>
      </c>
    </row>
    <row r="118" spans="2:9" x14ac:dyDescent="0.25">
      <c r="B118" s="78" t="s">
        <v>181</v>
      </c>
      <c r="C118" s="68" t="str">
        <f>VLOOKUP($B118,'[1]Products by Part Number'!$A:$L,2,0)</f>
        <v xml:space="preserve">JD 333G (1T0)                                              </v>
      </c>
      <c r="D118" s="68" t="str">
        <f>VLOOKUP($B118,'[1]Products by Part Number'!$A:$L,3,0)</f>
        <v>FINAL FUEL FILTER</v>
      </c>
      <c r="E118" s="69">
        <f>VLOOKUP($B118,'[1]Products by Part Number'!$A:$L,8,0)</f>
        <v>2</v>
      </c>
      <c r="F118" s="70">
        <f>VLOOKUP($B118,'[1]Products by Part Number'!$A:$L,4,0)</f>
        <v>91.010999999999996</v>
      </c>
      <c r="G118" s="71">
        <f t="shared" si="4"/>
        <v>182.02199999999999</v>
      </c>
      <c r="H118" s="71">
        <f>VLOOKUP($B118,'[1]Products by Part Number'!$A:$L,6,0)</f>
        <v>45.51</v>
      </c>
      <c r="I118" s="79">
        <f t="shared" si="3"/>
        <v>91.02</v>
      </c>
    </row>
    <row r="119" spans="2:9" x14ac:dyDescent="0.25">
      <c r="B119" s="78" t="s">
        <v>182</v>
      </c>
      <c r="C119" s="68" t="str">
        <f>VLOOKUP($B119,'[1]Products by Part Number'!$A:$L,2,0)</f>
        <v xml:space="preserve">JD 624K (DW6) JD 764 (100)                                            </v>
      </c>
      <c r="D119" s="68" t="str">
        <f>VLOOKUP($B119,'[1]Products by Part Number'!$A:$L,3,0)</f>
        <v>ENGINE OIL FILTER</v>
      </c>
      <c r="E119" s="69">
        <f>VLOOKUP($B119,'[1]Products by Part Number'!$A:$L,8,0)</f>
        <v>4</v>
      </c>
      <c r="F119" s="70">
        <f>VLOOKUP($B119,'[1]Products by Part Number'!$A:$L,4,0)</f>
        <v>33.368399999999994</v>
      </c>
      <c r="G119" s="71">
        <f t="shared" si="4"/>
        <v>133.47359999999998</v>
      </c>
      <c r="H119" s="71">
        <f>VLOOKUP($B119,'[1]Products by Part Number'!$A:$L,6,0)</f>
        <v>16.68</v>
      </c>
      <c r="I119" s="79">
        <f t="shared" si="3"/>
        <v>66.72</v>
      </c>
    </row>
    <row r="120" spans="2:9" x14ac:dyDescent="0.25">
      <c r="B120" s="78" t="s">
        <v>183</v>
      </c>
      <c r="C120" s="68" t="str">
        <f>VLOOKUP($B120,'[1]Products by Part Number'!$A:$L,2,0)</f>
        <v xml:space="preserve">JD 624K (DW6) JD 764 (100)                                            </v>
      </c>
      <c r="D120" s="68" t="str">
        <f>VLOOKUP($B120,'[1]Products by Part Number'!$A:$L,3,0)</f>
        <v>FINAL FUEL FILTER</v>
      </c>
      <c r="E120" s="69">
        <f>VLOOKUP($B120,'[1]Products by Part Number'!$A:$L,8,0)</f>
        <v>4</v>
      </c>
      <c r="F120" s="70">
        <f>VLOOKUP($B120,'[1]Products by Part Number'!$A:$L,4,0)</f>
        <v>57.490799999999993</v>
      </c>
      <c r="G120" s="71">
        <f t="shared" si="4"/>
        <v>229.96319999999997</v>
      </c>
      <c r="H120" s="71">
        <f>VLOOKUP($B120,'[1]Products by Part Number'!$A:$L,6,0)</f>
        <v>28.75</v>
      </c>
      <c r="I120" s="79">
        <f t="shared" si="3"/>
        <v>115</v>
      </c>
    </row>
    <row r="121" spans="2:9" x14ac:dyDescent="0.25">
      <c r="B121" s="78" t="s">
        <v>184</v>
      </c>
      <c r="C121" s="68" t="str">
        <f>VLOOKUP($B121,'[1]Products by Part Number'!$A:$L,2,0)</f>
        <v xml:space="preserve">JD 624K (DW6) JD 764 (100)                                            </v>
      </c>
      <c r="D121" s="68" t="str">
        <f>VLOOKUP($B121,'[1]Products by Part Number'!$A:$L,3,0)</f>
        <v>PRIMARY FUEL FILTER</v>
      </c>
      <c r="E121" s="69">
        <f>VLOOKUP($B121,'[1]Products by Part Number'!$A:$L,8,0)</f>
        <v>4</v>
      </c>
      <c r="F121" s="70">
        <f>VLOOKUP($B121,'[1]Products by Part Number'!$A:$L,4,0)</f>
        <v>57.463199999999993</v>
      </c>
      <c r="G121" s="71">
        <f t="shared" si="4"/>
        <v>229.85279999999997</v>
      </c>
      <c r="H121" s="71">
        <f>VLOOKUP($B121,'[1]Products by Part Number'!$A:$L,6,0)</f>
        <v>28.73</v>
      </c>
      <c r="I121" s="79">
        <f t="shared" si="3"/>
        <v>114.92</v>
      </c>
    </row>
    <row r="122" spans="2:9" x14ac:dyDescent="0.25">
      <c r="B122" s="78" t="s">
        <v>185</v>
      </c>
      <c r="C122" s="68" t="str">
        <f>VLOOKUP($B122,'[1]Products by Part Number'!$A:$L,2,0)</f>
        <v xml:space="preserve">JD 470P (1FF)                                              </v>
      </c>
      <c r="D122" s="68" t="str">
        <f>VLOOKUP($B122,'[1]Products by Part Number'!$A:$L,3,0)</f>
        <v>ENGINE OIL FILTER</v>
      </c>
      <c r="E122" s="69">
        <f>VLOOKUP($B122,'[1]Products by Part Number'!$A:$L,8,0)</f>
        <v>2</v>
      </c>
      <c r="F122" s="70">
        <f>VLOOKUP($B122,'[1]Products by Part Number'!$A:$L,4,0)</f>
        <v>122.91659999999996</v>
      </c>
      <c r="G122" s="71">
        <f t="shared" si="4"/>
        <v>245.83319999999992</v>
      </c>
      <c r="H122" s="71">
        <f>VLOOKUP($B122,'[1]Products by Part Number'!$A:$L,6,0)</f>
        <v>61.46</v>
      </c>
      <c r="I122" s="79">
        <f t="shared" si="3"/>
        <v>122.92</v>
      </c>
    </row>
    <row r="123" spans="2:9" x14ac:dyDescent="0.25">
      <c r="B123" s="78"/>
      <c r="C123" s="68"/>
      <c r="D123" s="68"/>
      <c r="E123" s="69"/>
      <c r="F123" s="70"/>
      <c r="G123" s="71"/>
      <c r="H123" s="71"/>
      <c r="I123" s="79">
        <f t="shared" si="3"/>
        <v>0</v>
      </c>
    </row>
    <row r="124" spans="2:9" x14ac:dyDescent="0.25">
      <c r="B124" s="78"/>
      <c r="C124" s="68"/>
      <c r="D124" s="68"/>
      <c r="E124" s="69"/>
      <c r="F124" s="70"/>
      <c r="G124" s="71"/>
      <c r="H124" s="71"/>
      <c r="I124" s="79">
        <f t="shared" si="3"/>
        <v>0</v>
      </c>
    </row>
    <row r="125" spans="2:9" x14ac:dyDescent="0.25">
      <c r="B125" s="78"/>
      <c r="C125" s="68"/>
      <c r="D125" s="68"/>
      <c r="E125" s="69"/>
      <c r="F125" s="70"/>
      <c r="G125" s="71"/>
      <c r="H125" s="71"/>
      <c r="I125" s="79">
        <f t="shared" si="3"/>
        <v>0</v>
      </c>
    </row>
    <row r="126" spans="2:9" x14ac:dyDescent="0.25">
      <c r="B126" s="78"/>
      <c r="C126" s="68"/>
      <c r="D126" s="68"/>
      <c r="E126" s="69"/>
      <c r="F126" s="70"/>
      <c r="G126" s="71"/>
      <c r="H126" s="71"/>
      <c r="I126" s="79">
        <f t="shared" si="3"/>
        <v>0</v>
      </c>
    </row>
    <row r="127" spans="2:9" x14ac:dyDescent="0.25">
      <c r="B127" s="78"/>
      <c r="C127" s="68"/>
      <c r="D127" s="68"/>
      <c r="E127" s="69"/>
      <c r="F127" s="70"/>
      <c r="G127" s="71"/>
      <c r="H127" s="71"/>
      <c r="I127" s="79">
        <f t="shared" si="3"/>
        <v>0</v>
      </c>
    </row>
    <row r="128" spans="2:9" x14ac:dyDescent="0.25">
      <c r="B128" s="78"/>
      <c r="C128" s="68"/>
      <c r="D128" s="68"/>
      <c r="E128" s="69"/>
      <c r="F128" s="70"/>
      <c r="G128" s="71"/>
      <c r="H128" s="71"/>
      <c r="I128" s="79">
        <f t="shared" si="3"/>
        <v>0</v>
      </c>
    </row>
    <row r="129" spans="2:9" ht="15.75" thickBot="1" x14ac:dyDescent="0.3">
      <c r="B129" s="93"/>
      <c r="C129" s="85"/>
      <c r="D129" s="85"/>
      <c r="E129" s="86"/>
      <c r="F129" s="87"/>
      <c r="G129" s="88"/>
      <c r="H129" s="88"/>
      <c r="I129" s="118">
        <f t="shared" ref="I129" si="5">ROUND(E129*H129,2)</f>
        <v>0</v>
      </c>
    </row>
    <row r="130" spans="2:9" x14ac:dyDescent="0.25">
      <c r="B130" s="158"/>
      <c r="C130" s="159"/>
      <c r="D130" s="159"/>
      <c r="E130" s="159"/>
      <c r="F130" s="196"/>
      <c r="G130" s="119"/>
      <c r="H130" s="120" t="s">
        <v>17</v>
      </c>
      <c r="I130" s="110">
        <f>SUM(I15:I129)</f>
        <v>48015.479999999996</v>
      </c>
    </row>
    <row r="131" spans="2:9" x14ac:dyDescent="0.25">
      <c r="B131" s="107"/>
      <c r="C131" s="31"/>
      <c r="D131" s="32" t="s">
        <v>18</v>
      </c>
      <c r="E131" s="161">
        <f>SUM(G15:G129)</f>
        <v>88462.369399999981</v>
      </c>
      <c r="F131" s="197"/>
      <c r="G131" s="33"/>
      <c r="H131" s="28" t="s">
        <v>19</v>
      </c>
      <c r="I131" s="112">
        <v>0</v>
      </c>
    </row>
    <row r="132" spans="2:9" x14ac:dyDescent="0.25">
      <c r="B132" s="107"/>
      <c r="C132" s="31"/>
      <c r="D132" s="32" t="s">
        <v>20</v>
      </c>
      <c r="E132" s="161">
        <f>SUM(I15:I129)</f>
        <v>48015.479999999996</v>
      </c>
      <c r="F132" s="197"/>
      <c r="G132" s="33"/>
      <c r="H132" s="35" t="s">
        <v>21</v>
      </c>
      <c r="I132" s="112">
        <v>0</v>
      </c>
    </row>
    <row r="133" spans="2:9" x14ac:dyDescent="0.25">
      <c r="B133" s="107"/>
      <c r="C133" s="31"/>
      <c r="D133" s="32" t="s">
        <v>22</v>
      </c>
      <c r="E133" s="179">
        <f>E131-E132</f>
        <v>40446.889399999985</v>
      </c>
      <c r="F133" s="203"/>
      <c r="G133" s="36"/>
      <c r="H133" s="28" t="s">
        <v>23</v>
      </c>
      <c r="I133" s="114">
        <f>SUM(I130:I132)</f>
        <v>48015.479999999996</v>
      </c>
    </row>
    <row r="134" spans="2:9" x14ac:dyDescent="0.25">
      <c r="B134" s="107"/>
      <c r="C134" s="31"/>
      <c r="D134" s="32"/>
      <c r="E134" s="181"/>
      <c r="F134" s="204"/>
      <c r="G134" s="38"/>
      <c r="H134" s="28" t="s">
        <v>24</v>
      </c>
      <c r="I134" s="114">
        <f>I133*0.05</f>
        <v>2400.7739999999999</v>
      </c>
    </row>
    <row r="135" spans="2:9" x14ac:dyDescent="0.25">
      <c r="B135" s="107"/>
      <c r="C135" s="31"/>
      <c r="D135" s="39"/>
      <c r="E135" s="39"/>
      <c r="F135" s="40"/>
      <c r="G135" s="40"/>
      <c r="H135" s="28" t="s">
        <v>25</v>
      </c>
      <c r="I135" s="112"/>
    </row>
    <row r="136" spans="2:9" ht="16.5" thickBot="1" x14ac:dyDescent="0.3">
      <c r="B136" s="173" t="s">
        <v>26</v>
      </c>
      <c r="C136" s="174"/>
      <c r="D136" s="174"/>
      <c r="E136" s="174"/>
      <c r="F136" s="202"/>
      <c r="G136" s="121"/>
      <c r="H136" s="122" t="s">
        <v>27</v>
      </c>
      <c r="I136" s="116">
        <f>SUM(I133:I135)</f>
        <v>50416.253999999994</v>
      </c>
    </row>
  </sheetData>
  <mergeCells count="25">
    <mergeCell ref="C10:D10"/>
    <mergeCell ref="C11:D11"/>
    <mergeCell ref="C12:D12"/>
    <mergeCell ref="B136:F136"/>
    <mergeCell ref="E1:F5"/>
    <mergeCell ref="E133:F133"/>
    <mergeCell ref="E134:F134"/>
    <mergeCell ref="C8:D8"/>
    <mergeCell ref="C9:D9"/>
    <mergeCell ref="H1:I5"/>
    <mergeCell ref="F13:I13"/>
    <mergeCell ref="B130:F130"/>
    <mergeCell ref="E131:F131"/>
    <mergeCell ref="E132:F132"/>
    <mergeCell ref="E11:F11"/>
    <mergeCell ref="H11:I11"/>
    <mergeCell ref="E8:F8"/>
    <mergeCell ref="E12:F12"/>
    <mergeCell ref="H12:I12"/>
    <mergeCell ref="E10:F10"/>
    <mergeCell ref="H10:I10"/>
    <mergeCell ref="H8:I8"/>
    <mergeCell ref="E9:F9"/>
    <mergeCell ref="H9:I9"/>
    <mergeCell ref="C7:D7"/>
  </mergeCells>
  <phoneticPr fontId="1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6A2D-E1C5-4075-AEFF-1BFD683E0D53}">
  <dimension ref="B1:I136"/>
  <sheetViews>
    <sheetView topLeftCell="B107" workbookViewId="0">
      <selection activeCell="B130" sqref="B130:I136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205" t="s">
        <v>28</v>
      </c>
      <c r="F1" s="205"/>
      <c r="G1" s="44"/>
      <c r="H1" s="205" t="s">
        <v>35</v>
      </c>
      <c r="I1" s="206"/>
    </row>
    <row r="2" spans="2:9" ht="15" customHeight="1" x14ac:dyDescent="0.25">
      <c r="B2" s="4"/>
      <c r="E2" s="177"/>
      <c r="F2" s="177"/>
      <c r="G2" s="45"/>
      <c r="H2" s="177"/>
      <c r="I2" s="207"/>
    </row>
    <row r="3" spans="2:9" ht="15" customHeight="1" x14ac:dyDescent="0.25">
      <c r="B3" s="4"/>
      <c r="E3" s="177"/>
      <c r="F3" s="177"/>
      <c r="G3" s="45"/>
      <c r="H3" s="177"/>
      <c r="I3" s="207"/>
    </row>
    <row r="4" spans="2:9" ht="15" customHeight="1" x14ac:dyDescent="0.25">
      <c r="B4" s="4"/>
      <c r="E4" s="177"/>
      <c r="F4" s="177"/>
      <c r="G4" s="45"/>
      <c r="H4" s="177"/>
      <c r="I4" s="207"/>
    </row>
    <row r="5" spans="2:9" ht="15" customHeight="1" x14ac:dyDescent="0.25">
      <c r="B5" s="5"/>
      <c r="C5" s="1"/>
      <c r="D5" s="1"/>
      <c r="E5" s="178"/>
      <c r="F5" s="178"/>
      <c r="G5" s="46"/>
      <c r="H5" s="178"/>
      <c r="I5" s="208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9" t="s">
        <v>7</v>
      </c>
      <c r="C7" s="186" t="s">
        <v>290</v>
      </c>
      <c r="D7" s="187"/>
      <c r="E7" s="9" t="s">
        <v>8</v>
      </c>
      <c r="F7" s="10">
        <v>45870</v>
      </c>
      <c r="G7" s="10"/>
      <c r="H7" s="11" t="s">
        <v>9</v>
      </c>
      <c r="I7" s="12"/>
    </row>
    <row r="8" spans="2:9" x14ac:dyDescent="0.25">
      <c r="B8" s="50" t="s">
        <v>10</v>
      </c>
      <c r="C8" s="183">
        <v>0</v>
      </c>
      <c r="D8" s="183"/>
      <c r="E8" s="163" t="s">
        <v>11</v>
      </c>
      <c r="F8" s="163"/>
      <c r="G8" s="13"/>
      <c r="H8" s="200"/>
      <c r="I8" s="200"/>
    </row>
    <row r="9" spans="2:9" x14ac:dyDescent="0.25">
      <c r="B9" s="50" t="s">
        <v>12</v>
      </c>
      <c r="C9" s="183">
        <v>0</v>
      </c>
      <c r="D9" s="183"/>
      <c r="E9" s="163" t="s">
        <v>13</v>
      </c>
      <c r="F9" s="163"/>
      <c r="G9" s="13"/>
      <c r="H9" s="201"/>
      <c r="I9" s="201"/>
    </row>
    <row r="10" spans="2:9" x14ac:dyDescent="0.25">
      <c r="B10" s="50"/>
      <c r="C10" s="183">
        <v>0</v>
      </c>
      <c r="D10" s="183"/>
      <c r="E10" s="163" t="s">
        <v>14</v>
      </c>
      <c r="F10" s="163"/>
      <c r="G10" s="13"/>
      <c r="H10" s="198"/>
      <c r="I10" s="198"/>
    </row>
    <row r="11" spans="2:9" x14ac:dyDescent="0.25">
      <c r="B11" s="50"/>
      <c r="C11" s="183">
        <v>0</v>
      </c>
      <c r="D11" s="183"/>
      <c r="E11" s="163"/>
      <c r="F11" s="163"/>
      <c r="G11" s="13"/>
      <c r="H11" s="198"/>
      <c r="I11" s="198"/>
    </row>
    <row r="12" spans="2:9" x14ac:dyDescent="0.25">
      <c r="B12" s="51"/>
      <c r="C12" s="183">
        <v>0</v>
      </c>
      <c r="D12" s="183"/>
      <c r="E12" s="184"/>
      <c r="F12" s="184"/>
      <c r="G12" s="14"/>
      <c r="H12" s="199"/>
      <c r="I12" s="199"/>
    </row>
    <row r="13" spans="2:9" ht="15.75" thickBot="1" x14ac:dyDescent="0.3">
      <c r="B13" s="15"/>
      <c r="C13" s="16"/>
      <c r="D13" s="16"/>
      <c r="E13" s="16"/>
      <c r="F13" s="156" t="s">
        <v>3</v>
      </c>
      <c r="G13" s="156"/>
      <c r="H13" s="156"/>
      <c r="I13" s="156"/>
    </row>
    <row r="14" spans="2:9" ht="15.75" thickBot="1" x14ac:dyDescent="0.3">
      <c r="B14" s="57" t="s">
        <v>0</v>
      </c>
      <c r="C14" s="64" t="s">
        <v>15</v>
      </c>
      <c r="D14" s="65" t="s">
        <v>1</v>
      </c>
      <c r="E14" s="66" t="s">
        <v>2</v>
      </c>
      <c r="F14" s="66" t="s">
        <v>4</v>
      </c>
      <c r="G14" s="66"/>
      <c r="H14" s="66" t="s">
        <v>5</v>
      </c>
      <c r="I14" s="67" t="s">
        <v>16</v>
      </c>
    </row>
    <row r="15" spans="2:9" x14ac:dyDescent="0.25">
      <c r="B15" s="72" t="s">
        <v>80</v>
      </c>
      <c r="C15" s="73" t="str">
        <f>VLOOKUP($B15,'[1]Products by Part Number'!$A:$L,2,0)</f>
        <v xml:space="preserve">KOM D71PX-24 (1) KOM D71PX-24 (2) KOM D71PX-24 (3) KOM D71PX-24 (4) KOM D71PX-24 (5) KOM D71PX-24 (6) KOM D71PX-24 (7) KOM D61PX-24 (B60)                                </v>
      </c>
      <c r="D15" s="73" t="str">
        <f>VLOOKUP($B15,'[1]Products by Part Number'!$A:$L,3,0)</f>
        <v>CAB AIR FILTER</v>
      </c>
      <c r="E15" s="74">
        <f>VLOOKUP($B15,'[1]Products by Part Number'!$A:$L,9,0)</f>
        <v>8</v>
      </c>
      <c r="F15" s="75">
        <f>VLOOKUP($B15,'[1]Products by Part Number'!$A:$L,4,0)</f>
        <v>188.74260000000001</v>
      </c>
      <c r="G15" s="76">
        <f>E15*F15</f>
        <v>1509.9408000000001</v>
      </c>
      <c r="H15" s="76">
        <f>VLOOKUP($B15,'[1]Products by Part Number'!$A:$L,6,0)</f>
        <v>122.68</v>
      </c>
      <c r="I15" s="77">
        <f t="shared" ref="I15:I78" si="0">ROUND(E15*H15,2)</f>
        <v>981.44</v>
      </c>
    </row>
    <row r="16" spans="2:9" x14ac:dyDescent="0.25">
      <c r="B16" s="78" t="s">
        <v>81</v>
      </c>
      <c r="C16" s="68" t="str">
        <f>VLOOKUP($B16,'[1]Products by Part Number'!$A:$L,2,0)</f>
        <v xml:space="preserve">KOM D71PX-24 (1) KOM D71PX-24 (2) KOM D71PX-24 (3) KOM D71PX-24 (4) KOM D71PX-24 (5) KOM D71PX-24 (6) KOM D71PX-24 (7) KOM D61PX-24 (B60)                                </v>
      </c>
      <c r="D16" s="68" t="str">
        <f>VLOOKUP($B16,'[1]Products by Part Number'!$A:$L,3,0)</f>
        <v>CAB AIR FILTER</v>
      </c>
      <c r="E16" s="69">
        <f>VLOOKUP($B16,'[1]Products by Part Number'!$A:$L,9,0)</f>
        <v>8</v>
      </c>
      <c r="F16" s="70">
        <f>VLOOKUP($B16,'[1]Products by Part Number'!$A:$L,4,0)</f>
        <v>164.08199999999999</v>
      </c>
      <c r="G16" s="71">
        <f t="shared" ref="G16:G79" si="1">E16*F16</f>
        <v>1312.6559999999999</v>
      </c>
      <c r="H16" s="71">
        <f>VLOOKUP($B16,'[1]Products by Part Number'!$A:$L,6,0)</f>
        <v>106.65</v>
      </c>
      <c r="I16" s="79">
        <f t="shared" si="0"/>
        <v>853.2</v>
      </c>
    </row>
    <row r="17" spans="2:9" x14ac:dyDescent="0.25">
      <c r="B17" s="78" t="s">
        <v>82</v>
      </c>
      <c r="C17" s="68" t="str">
        <f>VLOOKUP($B17,'[1]Products by Part Number'!$A:$L,2,0)</f>
        <v xml:space="preserve">CAT 14 (EN4)                                              </v>
      </c>
      <c r="D17" s="68" t="str">
        <f>VLOOKUP($B17,'[1]Products by Part Number'!$A:$L,3,0)</f>
        <v>CAB AIR FILTER</v>
      </c>
      <c r="E17" s="69">
        <f>VLOOKUP($B17,'[1]Products by Part Number'!$A:$L,9,0)</f>
        <v>1</v>
      </c>
      <c r="F17" s="70">
        <f>VLOOKUP($B17,'[1]Products by Part Number'!$A:$L,4,0)</f>
        <v>93.03</v>
      </c>
      <c r="G17" s="71">
        <f t="shared" si="1"/>
        <v>93.03</v>
      </c>
      <c r="H17" s="71">
        <f>VLOOKUP(B17,'[1]Products by Part Number'!$A:$F,6,0)</f>
        <v>60.47</v>
      </c>
      <c r="I17" s="79">
        <f t="shared" si="0"/>
        <v>60.47</v>
      </c>
    </row>
    <row r="18" spans="2:9" x14ac:dyDescent="0.25">
      <c r="B18" s="78" t="s">
        <v>83</v>
      </c>
      <c r="C18" s="68" t="str">
        <f>VLOOKUP($B18,'[1]Products by Part Number'!$A:$L,2,0)</f>
        <v xml:space="preserve">KOM PC138USLC-11 KOM PC238USLC-11 (1) KOM PC490LC-11 (A42) KOM PC490LC-11 (A42) (2) KOM PC490LC-11 (A42) (3) KOM PC490LC-11 (A42) (4) KOM PC490LC-11 (A42) (5) KOM PC490LC-11 (A43) KOM PC490LC-11 (KMT) (1) KOM PC490LC-11 (KMT) (2) KOM PC490LC-11 (KMT) (3) KOM PC360LC-11 (A37) KOM PC360LC-11 (A39) KOM PC360LC-11 (A39) (2) KOM PC290LC-11 (K73)                  </v>
      </c>
      <c r="D18" s="68" t="str">
        <f>VLOOKUP($B18,'[1]Products by Part Number'!$A:$L,3,0)</f>
        <v>CAB AIR FILTER</v>
      </c>
      <c r="E18" s="69">
        <f>VLOOKUP($B18,'[1]Products by Part Number'!$A:$L,9,0)</f>
        <v>15</v>
      </c>
      <c r="F18" s="70">
        <f>VLOOKUP($B18,'[1]Products by Part Number'!$A:$L,4,0)</f>
        <v>67.87</v>
      </c>
      <c r="G18" s="71">
        <f t="shared" si="1"/>
        <v>1018.0500000000001</v>
      </c>
      <c r="H18" s="71">
        <f>VLOOKUP(B18,'[1]Products by Part Number'!$A:$F,6,0)</f>
        <v>44.12</v>
      </c>
      <c r="I18" s="79">
        <f t="shared" si="0"/>
        <v>661.8</v>
      </c>
    </row>
    <row r="19" spans="2:9" x14ac:dyDescent="0.25">
      <c r="B19" s="78" t="s">
        <v>84</v>
      </c>
      <c r="C19" s="68" t="str">
        <f>VLOOKUP($B19,'[1]Products by Part Number'!$A:$L,2,0)</f>
        <v xml:space="preserve">CAT 14 (EN4)                                              </v>
      </c>
      <c r="D19" s="68" t="str">
        <f>VLOOKUP($B19,'[1]Products by Part Number'!$A:$L,3,0)</f>
        <v>CAB AIR FILTER</v>
      </c>
      <c r="E19" s="69">
        <f>VLOOKUP($B19,'[1]Products by Part Number'!$A:$L,9,0)</f>
        <v>1</v>
      </c>
      <c r="F19" s="70">
        <f>VLOOKUP($B19,'[1]Products by Part Number'!$A:$L,4,0)</f>
        <v>74.81</v>
      </c>
      <c r="G19" s="71">
        <f t="shared" si="1"/>
        <v>74.81</v>
      </c>
      <c r="H19" s="71">
        <f>VLOOKUP(B19,'[1]Products by Part Number'!$A:$F,6,0)</f>
        <v>48.63</v>
      </c>
      <c r="I19" s="79">
        <f t="shared" si="0"/>
        <v>48.63</v>
      </c>
    </row>
    <row r="20" spans="2:9" x14ac:dyDescent="0.25">
      <c r="B20" s="78" t="s">
        <v>85</v>
      </c>
      <c r="C20" s="68" t="str">
        <f>VLOOKUP($B20,'[1]Products by Part Number'!$A:$L,2,0)</f>
        <v xml:space="preserve">CAT TL1055C (KDE)                                              </v>
      </c>
      <c r="D20" s="68" t="str">
        <f>VLOOKUP($B20,'[1]Products by Part Number'!$A:$L,3,0)</f>
        <v>PRIMARY AIR FILTER</v>
      </c>
      <c r="E20" s="69">
        <f>VLOOKUP($B20,'[1]Products by Part Number'!$A:$L,9,0)</f>
        <v>1</v>
      </c>
      <c r="F20" s="70">
        <f>VLOOKUP($B20,'[1]Products by Part Number'!$A:$L,4,0)</f>
        <v>100.67</v>
      </c>
      <c r="G20" s="71">
        <f t="shared" si="1"/>
        <v>100.67</v>
      </c>
      <c r="H20" s="71">
        <f>VLOOKUP(B20,'[1]Products by Part Number'!$A:$F,6,0)</f>
        <v>65.44</v>
      </c>
      <c r="I20" s="79">
        <f t="shared" si="0"/>
        <v>65.44</v>
      </c>
    </row>
    <row r="21" spans="2:9" x14ac:dyDescent="0.25">
      <c r="B21" s="78" t="s">
        <v>86</v>
      </c>
      <c r="C21" s="68" t="str">
        <f>VLOOKUP($B21,'[1]Products by Part Number'!$A:$L,2,0)</f>
        <v xml:space="preserve">CAT TL1055C (KDE)                                              </v>
      </c>
      <c r="D21" s="68" t="str">
        <f>VLOOKUP($B21,'[1]Products by Part Number'!$A:$L,3,0)</f>
        <v>SECONDARY AIR FILTER</v>
      </c>
      <c r="E21" s="69">
        <f>VLOOKUP($B21,'[1]Products by Part Number'!$A:$L,9,0)</f>
        <v>1</v>
      </c>
      <c r="F21" s="70">
        <f>VLOOKUP($B21,'[1]Products by Part Number'!$A:$L,4,0)</f>
        <v>80.09</v>
      </c>
      <c r="G21" s="71">
        <f t="shared" si="1"/>
        <v>80.09</v>
      </c>
      <c r="H21" s="71">
        <f>VLOOKUP(B21,'[1]Products by Part Number'!$A:$F,6,0)</f>
        <v>52.06</v>
      </c>
      <c r="I21" s="79">
        <f t="shared" si="0"/>
        <v>52.06</v>
      </c>
    </row>
    <row r="22" spans="2:9" x14ac:dyDescent="0.25">
      <c r="B22" s="78" t="s">
        <v>87</v>
      </c>
      <c r="C22" s="68" t="str">
        <f>VLOOKUP($B22,'[1]Products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KOM PC360LC-11 (A37) KOM PC360LC-11 (A39) KOM PC360LC-11 (A39) (2) KOM PC290LC-11 (K73)                      </v>
      </c>
      <c r="D22" s="68" t="str">
        <f>VLOOKUP($B22,'[1]Products by Part Number'!$A:$L,3,0)</f>
        <v>CAB AIR FILTER</v>
      </c>
      <c r="E22" s="69">
        <f>VLOOKUP($B22,'[1]Products by Part Number'!$A:$L,9,0)</f>
        <v>13</v>
      </c>
      <c r="F22" s="70">
        <f>VLOOKUP($B22,'[1]Products by Part Number'!$A:$L,4,0)</f>
        <v>68.78</v>
      </c>
      <c r="G22" s="71">
        <f t="shared" si="1"/>
        <v>894.14</v>
      </c>
      <c r="H22" s="71">
        <f>VLOOKUP(B22,'[1]Products by Part Number'!$A:$F,6,0)</f>
        <v>44.71</v>
      </c>
      <c r="I22" s="79">
        <f t="shared" si="0"/>
        <v>581.23</v>
      </c>
    </row>
    <row r="23" spans="2:9" x14ac:dyDescent="0.25">
      <c r="B23" s="78" t="s">
        <v>88</v>
      </c>
      <c r="C23" s="68" t="str">
        <f>VLOOKUP($B23,'[1]Products by Part Number'!$A:$L,2,0)</f>
        <v xml:space="preserve">CAT 329EL (ZCD)                                              </v>
      </c>
      <c r="D23" s="68" t="str">
        <f>VLOOKUP($B23,'[1]Products by Part Number'!$A:$L,3,0)</f>
        <v>CAB AIR FILTER</v>
      </c>
      <c r="E23" s="69">
        <f>VLOOKUP($B23,'[1]Products by Part Number'!$A:$L,9,0)</f>
        <v>1</v>
      </c>
      <c r="F23" s="70">
        <f>VLOOKUP($B23,'[1]Products by Part Number'!$A:$L,4,0)</f>
        <v>82.09</v>
      </c>
      <c r="G23" s="71">
        <f t="shared" si="1"/>
        <v>82.09</v>
      </c>
      <c r="H23" s="71">
        <f>VLOOKUP(B23,'[1]Products by Part Number'!$A:$F,6,0)</f>
        <v>53.36</v>
      </c>
      <c r="I23" s="79">
        <f t="shared" si="0"/>
        <v>53.36</v>
      </c>
    </row>
    <row r="24" spans="2:9" x14ac:dyDescent="0.25">
      <c r="B24" s="78" t="s">
        <v>89</v>
      </c>
      <c r="C24" s="68" t="str">
        <f>VLOOKUP($B24,'[1]Products by Part Number'!$A:$L,2,0)</f>
        <v xml:space="preserve">CAT 14 (EN4)                                              </v>
      </c>
      <c r="D24" s="68" t="str">
        <f>VLOOKUP($B24,'[1]Products by Part Number'!$A:$L,3,0)</f>
        <v>SECONDARY AIR FILTER</v>
      </c>
      <c r="E24" s="69">
        <f>VLOOKUP($B24,'[1]Products by Part Number'!$A:$L,9,0)</f>
        <v>1</v>
      </c>
      <c r="F24" s="70">
        <f>VLOOKUP($B24,'[1]Products by Part Number'!$A:$L,4,0)</f>
        <v>105.26</v>
      </c>
      <c r="G24" s="71">
        <f t="shared" si="1"/>
        <v>105.26</v>
      </c>
      <c r="H24" s="71">
        <f>VLOOKUP(B24,'[1]Products by Part Number'!$A:$F,6,0)</f>
        <v>68.42</v>
      </c>
      <c r="I24" s="79">
        <f t="shared" si="0"/>
        <v>68.42</v>
      </c>
    </row>
    <row r="25" spans="2:9" x14ac:dyDescent="0.25">
      <c r="B25" s="78" t="s">
        <v>90</v>
      </c>
      <c r="C25" s="68" t="str">
        <f>VLOOKUP($B25,'[1]Products by Part Number'!$A:$L,2,0)</f>
        <v xml:space="preserve">KOM WA475-10 (120)                                              </v>
      </c>
      <c r="D25" s="68" t="str">
        <f>VLOOKUP($B25,'[1]Products by Part Number'!$A:$L,3,0)</f>
        <v>CAB AIR FILTER</v>
      </c>
      <c r="E25" s="69">
        <f>VLOOKUP($B25,'[1]Products by Part Number'!$A:$L,9,0)</f>
        <v>1</v>
      </c>
      <c r="F25" s="70">
        <f>VLOOKUP($B25,'[1]Products by Part Number'!$A:$L,4,0)</f>
        <v>134.66999999999999</v>
      </c>
      <c r="G25" s="71">
        <f t="shared" si="1"/>
        <v>134.66999999999999</v>
      </c>
      <c r="H25" s="71">
        <f>VLOOKUP(B25,'[1]Products by Part Number'!$A:$F,6,0)</f>
        <v>87.54</v>
      </c>
      <c r="I25" s="79">
        <f t="shared" si="0"/>
        <v>87.54</v>
      </c>
    </row>
    <row r="26" spans="2:9" x14ac:dyDescent="0.25">
      <c r="B26" s="78" t="s">
        <v>91</v>
      </c>
      <c r="C26" s="68" t="str">
        <f>VLOOKUP($B26,'[1]Products by Part Number'!$A:$L,2,0)</f>
        <v xml:space="preserve">KOM WA380-8 (1) KOM WA380-8 (2) KOM WA320-8 (867) KOM WA320PZ-6 (729)                                        </v>
      </c>
      <c r="D26" s="68" t="str">
        <f>VLOOKUP($B26,'[1]Products by Part Number'!$A:$L,3,0)</f>
        <v>CAB AIR FILTER</v>
      </c>
      <c r="E26" s="69">
        <f>VLOOKUP($B26,'[1]Products by Part Number'!$A:$L,9,0)</f>
        <v>6</v>
      </c>
      <c r="F26" s="70">
        <f>VLOOKUP($B26,'[1]Products by Part Number'!$A:$L,4,0)</f>
        <v>152.87</v>
      </c>
      <c r="G26" s="71">
        <f t="shared" si="1"/>
        <v>917.22</v>
      </c>
      <c r="H26" s="71">
        <f>VLOOKUP(B26,'[1]Products by Part Number'!$A:$F,6,0)</f>
        <v>99.37</v>
      </c>
      <c r="I26" s="79">
        <f t="shared" si="0"/>
        <v>596.22</v>
      </c>
    </row>
    <row r="27" spans="2:9" x14ac:dyDescent="0.25">
      <c r="B27" s="78" t="s">
        <v>92</v>
      </c>
      <c r="C27" s="68" t="str">
        <f>VLOOKUP($B27,'[1]Products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27" s="68" t="str">
        <f>VLOOKUP($B27,'[1]Products by Part Number'!$A:$L,3,0)</f>
        <v>CAB AIR FILTER</v>
      </c>
      <c r="E27" s="69">
        <f>VLOOKUP($B27,'[1]Products by Part Number'!$A:$L,9,0)</f>
        <v>14</v>
      </c>
      <c r="F27" s="70">
        <f>VLOOKUP($B27,'[1]Products by Part Number'!$A:$L,4,0)</f>
        <v>131.29</v>
      </c>
      <c r="G27" s="71">
        <f t="shared" si="1"/>
        <v>1838.06</v>
      </c>
      <c r="H27" s="71">
        <f>VLOOKUP(B27,'[1]Products by Part Number'!$A:$F,6,0)</f>
        <v>85.34</v>
      </c>
      <c r="I27" s="79">
        <f t="shared" si="0"/>
        <v>1194.76</v>
      </c>
    </row>
    <row r="28" spans="2:9" x14ac:dyDescent="0.25">
      <c r="B28" s="78" t="s">
        <v>93</v>
      </c>
      <c r="C28" s="68" t="str">
        <f>VLOOKUP($B28,'[1]Products by Part Number'!$A:$L,2,0)</f>
        <v xml:space="preserve">JD 470P (1FF)                                              </v>
      </c>
      <c r="D28" s="68" t="str">
        <f>VLOOKUP($B28,'[1]Products by Part Number'!$A:$L,3,0)</f>
        <v>CAB AIR FILTER</v>
      </c>
      <c r="E28" s="69">
        <f>VLOOKUP($B28,'[1]Products by Part Number'!$A:$L,9,0)</f>
        <v>0</v>
      </c>
      <c r="F28" s="70">
        <f>VLOOKUP($B28,'[1]Products by Part Number'!$A:$L,4,0)</f>
        <v>103.0722</v>
      </c>
      <c r="G28" s="71">
        <f t="shared" si="1"/>
        <v>0</v>
      </c>
      <c r="H28" s="71">
        <f>VLOOKUP(B28,'[1]Products by Part Number'!$A:$F,6,0)</f>
        <v>67</v>
      </c>
      <c r="I28" s="79">
        <f t="shared" si="0"/>
        <v>0</v>
      </c>
    </row>
    <row r="29" spans="2:9" x14ac:dyDescent="0.25">
      <c r="B29" s="78" t="s">
        <v>94</v>
      </c>
      <c r="C29" s="68" t="str">
        <f>VLOOKUP($B29,'[1]Products by Part Number'!$A:$L,2,0)</f>
        <v xml:space="preserve">CAT 255 CAT 255 (2) CAT 255 (FL7)                                          </v>
      </c>
      <c r="D29" s="68" t="str">
        <f>VLOOKUP($B29,'[1]Products by Part Number'!$A:$L,3,0)</f>
        <v>PRIMARY AIR FILTER</v>
      </c>
      <c r="E29" s="69">
        <f>VLOOKUP($B29,'[1]Products by Part Number'!$A:$L,9,0)</f>
        <v>3</v>
      </c>
      <c r="F29" s="70">
        <f>VLOOKUP($B29,'[1]Products by Part Number'!$A:$L,4,0)</f>
        <v>95.35</v>
      </c>
      <c r="G29" s="71">
        <f t="shared" si="1"/>
        <v>286.04999999999995</v>
      </c>
      <c r="H29" s="71">
        <f>VLOOKUP(B29,'[1]Products by Part Number'!$A:$F,6,0)</f>
        <v>61.98</v>
      </c>
      <c r="I29" s="79">
        <f t="shared" si="0"/>
        <v>185.94</v>
      </c>
    </row>
    <row r="30" spans="2:9" x14ac:dyDescent="0.25">
      <c r="B30" s="78" t="s">
        <v>95</v>
      </c>
      <c r="C30" s="68" t="str">
        <f>VLOOKUP($B30,'[1]Products by Part Number'!$A:$L,2,0)</f>
        <v xml:space="preserve">CAT 255 CAT 255 (2) CAT 255 (FL7)                                          </v>
      </c>
      <c r="D30" s="68" t="str">
        <f>VLOOKUP($B30,'[1]Products by Part Number'!$A:$L,3,0)</f>
        <v>SECONDARY AIR FILTER</v>
      </c>
      <c r="E30" s="69">
        <f>VLOOKUP($B30,'[1]Products by Part Number'!$A:$L,9,0)</f>
        <v>3</v>
      </c>
      <c r="F30" s="70">
        <f>VLOOKUP($B30,'[1]Products by Part Number'!$A:$L,4,0)</f>
        <v>71.010000000000005</v>
      </c>
      <c r="G30" s="71">
        <f t="shared" si="1"/>
        <v>213.03000000000003</v>
      </c>
      <c r="H30" s="71">
        <f>VLOOKUP(B30,'[1]Products by Part Number'!$A:$F,6,0)</f>
        <v>46.16</v>
      </c>
      <c r="I30" s="79">
        <f t="shared" si="0"/>
        <v>138.47999999999999</v>
      </c>
    </row>
    <row r="31" spans="2:9" x14ac:dyDescent="0.25">
      <c r="B31" s="78" t="s">
        <v>96</v>
      </c>
      <c r="C31" s="68" t="str">
        <f>VLOOKUP($B31,'[1]Products by Part Number'!$A:$L,2,0)</f>
        <v xml:space="preserve">CAT 14 (EN4)                                              </v>
      </c>
      <c r="D31" s="68" t="str">
        <f>VLOOKUP($B31,'[1]Products by Part Number'!$A:$L,3,0)</f>
        <v>PRIMARY AIR FILTER</v>
      </c>
      <c r="E31" s="69">
        <f>VLOOKUP($B31,'[1]Products by Part Number'!$A:$L,9,0)</f>
        <v>1</v>
      </c>
      <c r="F31" s="70">
        <f>VLOOKUP($B31,'[1]Products by Part Number'!$A:$L,4,0)</f>
        <v>250.86</v>
      </c>
      <c r="G31" s="71">
        <f t="shared" si="1"/>
        <v>250.86</v>
      </c>
      <c r="H31" s="71">
        <f>VLOOKUP(B31,'[1]Products by Part Number'!$A:$F,6,0)</f>
        <v>163.06</v>
      </c>
      <c r="I31" s="79">
        <f t="shared" si="0"/>
        <v>163.06</v>
      </c>
    </row>
    <row r="32" spans="2:9" x14ac:dyDescent="0.25">
      <c r="B32" s="78" t="s">
        <v>97</v>
      </c>
      <c r="C32" s="68" t="str">
        <f>VLOOKUP($B32,'[1]Products by Part Number'!$A:$L,2,0)</f>
        <v xml:space="preserve">CAT 255 CAT 255 (2) CAT 255 (FL7)                                          </v>
      </c>
      <c r="D32" s="68" t="str">
        <f>VLOOKUP($B32,'[1]Products by Part Number'!$A:$L,3,0)</f>
        <v>CAB AIR FILTER</v>
      </c>
      <c r="E32" s="69">
        <f>VLOOKUP($B32,'[1]Products by Part Number'!$A:$L,9,0)</f>
        <v>3</v>
      </c>
      <c r="F32" s="70">
        <f>VLOOKUP($B32,'[1]Products by Part Number'!$A:$L,4,0)</f>
        <v>79.63</v>
      </c>
      <c r="G32" s="71">
        <f t="shared" si="1"/>
        <v>238.89</v>
      </c>
      <c r="H32" s="71">
        <f>VLOOKUP(B32,'[1]Products by Part Number'!$A:$F,6,0)</f>
        <v>51.76</v>
      </c>
      <c r="I32" s="79">
        <f t="shared" si="0"/>
        <v>155.28</v>
      </c>
    </row>
    <row r="33" spans="2:9" x14ac:dyDescent="0.25">
      <c r="B33" s="78" t="s">
        <v>98</v>
      </c>
      <c r="C33" s="68" t="str">
        <f>VLOOKUP($B33,'[1]Products by Part Number'!$A:$L,2,0)</f>
        <v xml:space="preserve">CAT 255 CAT 255 (2) CAT 255 (FL7)                                          </v>
      </c>
      <c r="D33" s="68" t="str">
        <f>VLOOKUP($B33,'[1]Products by Part Number'!$A:$L,3,0)</f>
        <v>CAB AIR FILTER</v>
      </c>
      <c r="E33" s="69">
        <f>VLOOKUP($B33,'[1]Products by Part Number'!$A:$L,9,0)</f>
        <v>3</v>
      </c>
      <c r="F33" s="70">
        <f>VLOOKUP($B33,'[1]Products by Part Number'!$A:$L,4,0)</f>
        <v>87.75</v>
      </c>
      <c r="G33" s="71">
        <f t="shared" si="1"/>
        <v>263.25</v>
      </c>
      <c r="H33" s="71">
        <f>VLOOKUP(B33,'[1]Products by Part Number'!$A:$F,6,0)</f>
        <v>57.04</v>
      </c>
      <c r="I33" s="79">
        <f t="shared" si="0"/>
        <v>171.12</v>
      </c>
    </row>
    <row r="34" spans="2:9" x14ac:dyDescent="0.25">
      <c r="B34" s="78" t="s">
        <v>99</v>
      </c>
      <c r="C34" s="68" t="str">
        <f>VLOOKUP($B34,'[1]Products by Part Number'!$A:$L,2,0)</f>
        <v xml:space="preserve">KOM PC138USLC-11 KOM PC238USLC-11 (1)                                            </v>
      </c>
      <c r="D34" s="68" t="str">
        <f>VLOOKUP($B34,'[1]Products by Part Number'!$A:$L,3,0)</f>
        <v>PRIMARY AIR FILTER</v>
      </c>
      <c r="E34" s="69">
        <f>VLOOKUP($B34,'[1]Products by Part Number'!$A:$L,9,0)</f>
        <v>2</v>
      </c>
      <c r="F34" s="70">
        <f>VLOOKUP($B34,'[1]Products by Part Number'!$A:$L,4,0)</f>
        <v>70.44</v>
      </c>
      <c r="G34" s="71">
        <f t="shared" si="1"/>
        <v>140.88</v>
      </c>
      <c r="H34" s="71">
        <f>VLOOKUP(B34,'[1]Products by Part Number'!$A:$F,6,0)</f>
        <v>45.79</v>
      </c>
      <c r="I34" s="79">
        <f t="shared" si="0"/>
        <v>91.58</v>
      </c>
    </row>
    <row r="35" spans="2:9" x14ac:dyDescent="0.25">
      <c r="B35" s="78" t="s">
        <v>100</v>
      </c>
      <c r="C35" s="68" t="str">
        <f>VLOOKUP($B35,'[1]Products by Part Number'!$A:$L,2,0)</f>
        <v xml:space="preserve">KOM PC138USLC-11 KOM PC238USLC-11 (1)                                            </v>
      </c>
      <c r="D35" s="68" t="str">
        <f>VLOOKUP($B35,'[1]Products by Part Number'!$A:$L,3,0)</f>
        <v>SECONDARY AIR FILTER</v>
      </c>
      <c r="E35" s="69">
        <f>VLOOKUP($B35,'[1]Products by Part Number'!$A:$L,9,0)</f>
        <v>2</v>
      </c>
      <c r="F35" s="70">
        <f>VLOOKUP($B35,'[1]Products by Part Number'!$A:$L,4,0)</f>
        <v>51.65</v>
      </c>
      <c r="G35" s="71">
        <f t="shared" si="1"/>
        <v>103.3</v>
      </c>
      <c r="H35" s="71">
        <f>VLOOKUP(B35,'[1]Products by Part Number'!$A:$F,6,0)</f>
        <v>33.57</v>
      </c>
      <c r="I35" s="79">
        <f t="shared" si="0"/>
        <v>67.14</v>
      </c>
    </row>
    <row r="36" spans="2:9" x14ac:dyDescent="0.25">
      <c r="B36" s="78" t="s">
        <v>101</v>
      </c>
      <c r="C36" s="68" t="str">
        <f>VLOOKUP($B36,'[1]Products by Part Number'!$A:$L,2,0)</f>
        <v xml:space="preserve">KOM PC238USLC-11 (2)                                              </v>
      </c>
      <c r="D36" s="68" t="str">
        <f>VLOOKUP($B36,'[1]Products by Part Number'!$A:$L,3,0)</f>
        <v>PRIMARY AIR FILTER</v>
      </c>
      <c r="E36" s="69">
        <f>VLOOKUP($B36,'[1]Products by Part Number'!$A:$L,9,0)</f>
        <v>1</v>
      </c>
      <c r="F36" s="70">
        <f>VLOOKUP($B36,'[1]Products by Part Number'!$A:$L,4,0)</f>
        <v>94.52</v>
      </c>
      <c r="G36" s="71">
        <f t="shared" si="1"/>
        <v>94.52</v>
      </c>
      <c r="H36" s="71">
        <f>VLOOKUP(B36,'[1]Products by Part Number'!$A:$F,6,0)</f>
        <v>61.44</v>
      </c>
      <c r="I36" s="79">
        <f t="shared" si="0"/>
        <v>61.44</v>
      </c>
    </row>
    <row r="37" spans="2:9" x14ac:dyDescent="0.25">
      <c r="B37" s="78" t="s">
        <v>102</v>
      </c>
      <c r="C37" s="68" t="str">
        <f>VLOOKUP($B37,'[1]Products by Part Number'!$A:$L,2,0)</f>
        <v xml:space="preserve">KOM PC238USLC-11 (2)                                              </v>
      </c>
      <c r="D37" s="68" t="str">
        <f>VLOOKUP($B37,'[1]Products by Part Number'!$A:$L,3,0)</f>
        <v>SECONDARY AIR FILTER</v>
      </c>
      <c r="E37" s="69">
        <f>VLOOKUP($B37,'[1]Products by Part Number'!$A:$L,9,0)</f>
        <v>1</v>
      </c>
      <c r="F37" s="70">
        <f>VLOOKUP($B37,'[1]Products by Part Number'!$A:$L,4,0)</f>
        <v>60.42</v>
      </c>
      <c r="G37" s="71">
        <f t="shared" si="1"/>
        <v>60.42</v>
      </c>
      <c r="H37" s="71">
        <f>VLOOKUP(B37,'[1]Products by Part Number'!$A:$F,6,0)</f>
        <v>39.270000000000003</v>
      </c>
      <c r="I37" s="79">
        <f t="shared" si="0"/>
        <v>39.270000000000003</v>
      </c>
    </row>
    <row r="38" spans="2:9" x14ac:dyDescent="0.25">
      <c r="B38" s="78" t="s">
        <v>103</v>
      </c>
      <c r="C38" s="68" t="str">
        <f>VLOOKUP($B38,'[1]Products by Part Number'!$A:$L,2,0)</f>
        <v xml:space="preserve">KOM WA380-8 (1) KOM WA380-8 (2) KOM WA320-8 (867) KOM WA320PZ-6 (729) KOM PC290LC-11 (K73) KOM D61PX-24 (B60)                                    </v>
      </c>
      <c r="D38" s="68" t="str">
        <f>VLOOKUP($B38,'[1]Products by Part Number'!$A:$L,3,0)</f>
        <v>PRIMARY AIR FILTER</v>
      </c>
      <c r="E38" s="69">
        <f>VLOOKUP($B38,'[1]Products by Part Number'!$A:$L,9,0)</f>
        <v>6</v>
      </c>
      <c r="F38" s="70">
        <f>VLOOKUP($B38,'[1]Products by Part Number'!$A:$L,4,0)</f>
        <v>64.540000000000006</v>
      </c>
      <c r="G38" s="71">
        <f t="shared" si="1"/>
        <v>387.24</v>
      </c>
      <c r="H38" s="71">
        <f>VLOOKUP(B38,'[1]Products by Part Number'!$A:$F,6,0)</f>
        <v>41.95</v>
      </c>
      <c r="I38" s="79">
        <f t="shared" si="0"/>
        <v>251.7</v>
      </c>
    </row>
    <row r="39" spans="2:9" x14ac:dyDescent="0.25">
      <c r="B39" s="78" t="s">
        <v>104</v>
      </c>
      <c r="C39" s="68" t="str">
        <f>VLOOKUP($B39,'[1]Products by Part Number'!$A:$L,2,0)</f>
        <v xml:space="preserve">KOM WA380-8 (1) KOM WA380-8 (2) KOM WA320-8 (867) KOM WA320PZ-6 (729) KOM PC290LC-11 (K73) KOM D61PX-24 (B60)                                    </v>
      </c>
      <c r="D39" s="68" t="str">
        <f>VLOOKUP($B39,'[1]Products by Part Number'!$A:$L,3,0)</f>
        <v>SECONDARY AIR FILTER</v>
      </c>
      <c r="E39" s="69">
        <f>VLOOKUP($B39,'[1]Products by Part Number'!$A:$L,9,0)</f>
        <v>6</v>
      </c>
      <c r="F39" s="70">
        <f>VLOOKUP($B39,'[1]Products by Part Number'!$A:$L,4,0)</f>
        <v>59.85</v>
      </c>
      <c r="G39" s="71">
        <f t="shared" si="1"/>
        <v>359.1</v>
      </c>
      <c r="H39" s="71">
        <f>VLOOKUP(B39,'[1]Products by Part Number'!$A:$F,6,0)</f>
        <v>38.9</v>
      </c>
      <c r="I39" s="79">
        <f t="shared" si="0"/>
        <v>233.4</v>
      </c>
    </row>
    <row r="40" spans="2:9" x14ac:dyDescent="0.25">
      <c r="B40" s="78" t="s">
        <v>105</v>
      </c>
      <c r="C40" s="68" t="str">
        <f>VLOOKUP($B40,'[1]Products by Part Number'!$A:$L,2,0)</f>
        <v xml:space="preserve">KOM D71PX-24 (1) KOM D71PX-24 (2) KOM D71PX-24 (3) KOM D71PX-24 (4) KOM D71PX-24 (5) KOM D71PX-24 (6) KOM D71PX-24 (7)                                  </v>
      </c>
      <c r="D40" s="68" t="str">
        <f>VLOOKUP($B40,'[1]Products by Part Number'!$A:$L,3,0)</f>
        <v>AIR FILTER KIT</v>
      </c>
      <c r="E40" s="69">
        <f>VLOOKUP($B40,'[1]Products by Part Number'!$A:$L,9,0)</f>
        <v>7</v>
      </c>
      <c r="F40" s="70">
        <f>VLOOKUP($B40,'[1]Products by Part Number'!$A:$L,4,0)</f>
        <v>148.99859999999998</v>
      </c>
      <c r="G40" s="71">
        <f t="shared" si="1"/>
        <v>1042.9902</v>
      </c>
      <c r="H40" s="71">
        <f>VLOOKUP(B40,'[1]Products by Part Number'!$A:$F,6,0)</f>
        <v>96.85</v>
      </c>
      <c r="I40" s="79">
        <f t="shared" si="0"/>
        <v>677.95</v>
      </c>
    </row>
    <row r="41" spans="2:9" x14ac:dyDescent="0.25">
      <c r="B41" s="78" t="s">
        <v>106</v>
      </c>
      <c r="C41" s="68" t="str">
        <f>VLOOKUP($B41,'[1]Products by Part Number'!$A:$L,2,0)</f>
        <v xml:space="preserve">KOM PC360LC-11 (A37) KOM PC360LC-11 (A39) KOM PC360LC-11 (A39) (2) KOM WA475-10 (120)                                        </v>
      </c>
      <c r="D41" s="68" t="str">
        <f>VLOOKUP($B41,'[1]Products by Part Number'!$A:$L,3,0)</f>
        <v>PRIMARY AIR FILTER</v>
      </c>
      <c r="E41" s="69">
        <f>VLOOKUP($B41,'[1]Products by Part Number'!$A:$L,9,0)</f>
        <v>4</v>
      </c>
      <c r="F41" s="70">
        <f>VLOOKUP($B41,'[1]Products by Part Number'!$A:$L,4,0)</f>
        <v>95.67</v>
      </c>
      <c r="G41" s="71">
        <f t="shared" si="1"/>
        <v>382.68</v>
      </c>
      <c r="H41" s="71">
        <f>VLOOKUP(B41,'[1]Products by Part Number'!$A:$F,6,0)</f>
        <v>62.19</v>
      </c>
      <c r="I41" s="79">
        <f t="shared" si="0"/>
        <v>248.76</v>
      </c>
    </row>
    <row r="42" spans="2:9" x14ac:dyDescent="0.25">
      <c r="B42" s="78" t="s">
        <v>107</v>
      </c>
      <c r="C42" s="68" t="str">
        <f>VLOOKUP($B42,'[1]Products by Part Number'!$A:$L,2,0)</f>
        <v xml:space="preserve">KOM PC360LC-11 (A37) KOM PC360LC-11 (A39) KOM PC360LC-11 (A39) (2) KOM WA475-10 (120)                                        </v>
      </c>
      <c r="D42" s="68" t="str">
        <f>VLOOKUP($B42,'[1]Products by Part Number'!$A:$L,3,0)</f>
        <v>SECONDARY AIR FILTER</v>
      </c>
      <c r="E42" s="69">
        <f>VLOOKUP($B42,'[1]Products by Part Number'!$A:$L,9,0)</f>
        <v>4</v>
      </c>
      <c r="F42" s="70">
        <f>VLOOKUP($B42,'[1]Products by Part Number'!$A:$L,4,0)</f>
        <v>81.97</v>
      </c>
      <c r="G42" s="71">
        <f t="shared" si="1"/>
        <v>327.88</v>
      </c>
      <c r="H42" s="71">
        <f>VLOOKUP(B42,'[1]Products by Part Number'!$A:$F,6,0)</f>
        <v>53.28</v>
      </c>
      <c r="I42" s="79">
        <f t="shared" si="0"/>
        <v>213.12</v>
      </c>
    </row>
    <row r="43" spans="2:9" x14ac:dyDescent="0.25">
      <c r="B43" s="78" t="s">
        <v>108</v>
      </c>
      <c r="C43" s="68" t="str">
        <f>VLOOKUP($B43,'[1]Products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KOM PC490LC-11 (A42) KOM PC490LC-11 (A42) (2) KOM PC490LC-11 (A42) (3) KOM PC490LC-11 (A42) (4) KOM PC490LC-11 (A42) (5) KOM PC490LC-11 (A43) KOM PC490LC-11 (KMT) (1) KOM PC490LC-11 (KMT) (2) KOM PC490LC-11 (KMT) (3)  </v>
      </c>
      <c r="D43" s="68" t="str">
        <f>VLOOKUP($B43,'[1]Products by Part Number'!$A:$L,3,0)</f>
        <v>PRIMARY AIR FILTER</v>
      </c>
      <c r="E43" s="69">
        <f>VLOOKUP($B43,'[1]Products by Part Number'!$A:$L,9,0)</f>
        <v>23</v>
      </c>
      <c r="F43" s="70">
        <f>VLOOKUP($B43,'[1]Products by Part Number'!$A:$L,4,0)</f>
        <v>128.5</v>
      </c>
      <c r="G43" s="71">
        <f t="shared" si="1"/>
        <v>2955.5</v>
      </c>
      <c r="H43" s="71">
        <f>VLOOKUP(B43,'[1]Products by Part Number'!$A:$F,6,0)</f>
        <v>83.53</v>
      </c>
      <c r="I43" s="79">
        <f t="shared" si="0"/>
        <v>1921.19</v>
      </c>
    </row>
    <row r="44" spans="2:9" x14ac:dyDescent="0.25">
      <c r="B44" s="78" t="s">
        <v>109</v>
      </c>
      <c r="C44" s="68" t="str">
        <f>VLOOKUP($B44,'[1]Products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</c>
      <c r="D44" s="68" t="str">
        <f>VLOOKUP($B44,'[1]Products by Part Number'!$A:$L,3,0)</f>
        <v>SECONDARY AIR FILTER</v>
      </c>
      <c r="E44" s="69">
        <f>VLOOKUP($B44,'[1]Products by Part Number'!$A:$L,9,0)</f>
        <v>9</v>
      </c>
      <c r="F44" s="70">
        <f>VLOOKUP($B44,'[1]Products by Part Number'!$A:$L,4,0)</f>
        <v>90.19</v>
      </c>
      <c r="G44" s="71">
        <f t="shared" si="1"/>
        <v>811.71</v>
      </c>
      <c r="H44" s="71">
        <f>VLOOKUP(B44,'[1]Products by Part Number'!$A:$F,6,0)</f>
        <v>58.62</v>
      </c>
      <c r="I44" s="79">
        <f t="shared" si="0"/>
        <v>527.58000000000004</v>
      </c>
    </row>
    <row r="45" spans="2:9" x14ac:dyDescent="0.25">
      <c r="B45" s="78" t="s">
        <v>110</v>
      </c>
      <c r="C45" s="68" t="str">
        <f>VLOOKUP($B45,'[1]Products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45" s="68" t="str">
        <f>VLOOKUP($B45,'[1]Products by Part Number'!$A:$L,3,0)</f>
        <v>SECONDARY AIR FILTER</v>
      </c>
      <c r="E45" s="69">
        <f>VLOOKUP($B45,'[1]Products by Part Number'!$A:$L,9,0)</f>
        <v>14</v>
      </c>
      <c r="F45" s="70">
        <f>VLOOKUP($B45,'[1]Products by Part Number'!$A:$L,4,0)</f>
        <v>90.19</v>
      </c>
      <c r="G45" s="71">
        <f t="shared" si="1"/>
        <v>1262.6599999999999</v>
      </c>
      <c r="H45" s="71">
        <f>VLOOKUP(B45,'[1]Products by Part Number'!$A:$F,6,0)</f>
        <v>58.62</v>
      </c>
      <c r="I45" s="79">
        <f t="shared" si="0"/>
        <v>820.68</v>
      </c>
    </row>
    <row r="46" spans="2:9" x14ac:dyDescent="0.25">
      <c r="B46" s="78" t="s">
        <v>111</v>
      </c>
      <c r="C46" s="68" t="str">
        <f>VLOOKUP($B46,'[1]Products by Part Number'!$A:$L,2,0)</f>
        <v xml:space="preserve">CAT 329EL (ZCD)                                              </v>
      </c>
      <c r="D46" s="68" t="str">
        <f>VLOOKUP($B46,'[1]Products by Part Number'!$A:$L,3,0)</f>
        <v>PRIMARY AIR FILTER</v>
      </c>
      <c r="E46" s="69">
        <f>VLOOKUP($B46,'[1]Products by Part Number'!$A:$L,9,0)</f>
        <v>1</v>
      </c>
      <c r="F46" s="70">
        <f>VLOOKUP($B46,'[1]Products by Part Number'!$A:$L,4,0)</f>
        <v>160.11000000000001</v>
      </c>
      <c r="G46" s="71">
        <f t="shared" si="1"/>
        <v>160.11000000000001</v>
      </c>
      <c r="H46" s="71">
        <f>VLOOKUP(B46,'[1]Products by Part Number'!$A:$F,6,0)</f>
        <v>104.07</v>
      </c>
      <c r="I46" s="79">
        <f t="shared" si="0"/>
        <v>104.07</v>
      </c>
    </row>
    <row r="47" spans="2:9" x14ac:dyDescent="0.25">
      <c r="B47" s="78" t="s">
        <v>112</v>
      </c>
      <c r="C47" s="68" t="str">
        <f>VLOOKUP($B47,'[1]Products by Part Number'!$A:$L,2,0)</f>
        <v xml:space="preserve">CAT 329EL (ZCD)                                              </v>
      </c>
      <c r="D47" s="68" t="str">
        <f>VLOOKUP($B47,'[1]Products by Part Number'!$A:$L,3,0)</f>
        <v>SECONDARY AIR FILTER</v>
      </c>
      <c r="E47" s="69">
        <f>VLOOKUP($B47,'[1]Products by Part Number'!$A:$L,9,0)</f>
        <v>1</v>
      </c>
      <c r="F47" s="70">
        <f>VLOOKUP($B47,'[1]Products by Part Number'!$A:$L,4,0)</f>
        <v>113.26</v>
      </c>
      <c r="G47" s="71">
        <f t="shared" si="1"/>
        <v>113.26</v>
      </c>
      <c r="H47" s="71">
        <f>VLOOKUP(B47,'[1]Products by Part Number'!$A:$F,6,0)</f>
        <v>73.62</v>
      </c>
      <c r="I47" s="79">
        <f t="shared" si="0"/>
        <v>73.62</v>
      </c>
    </row>
    <row r="48" spans="2:9" x14ac:dyDescent="0.25">
      <c r="B48" s="78" t="s">
        <v>113</v>
      </c>
      <c r="C48" s="68" t="str">
        <f>VLOOKUP($B48,'[1]Products by Part Number'!$A:$L,2,0)</f>
        <v xml:space="preserve">JD 333G (1T0)                                              </v>
      </c>
      <c r="D48" s="68" t="str">
        <f>VLOOKUP($B48,'[1]Products by Part Number'!$A:$L,3,0)</f>
        <v>SECONDARY AIR FILTER</v>
      </c>
      <c r="E48" s="69">
        <f>VLOOKUP($B48,'[1]Products by Part Number'!$A:$L,9,0)</f>
        <v>1</v>
      </c>
      <c r="F48" s="70">
        <f>VLOOKUP($B48,'[1]Products by Part Number'!$A:$L,4,0)</f>
        <v>45.7746</v>
      </c>
      <c r="G48" s="71">
        <f t="shared" si="1"/>
        <v>45.7746</v>
      </c>
      <c r="H48" s="71">
        <f>VLOOKUP(B48,'[1]Products by Part Number'!$A:$F,6,0)</f>
        <v>29.75</v>
      </c>
      <c r="I48" s="79">
        <f t="shared" si="0"/>
        <v>29.75</v>
      </c>
    </row>
    <row r="49" spans="2:9" x14ac:dyDescent="0.25">
      <c r="B49" s="78" t="s">
        <v>114</v>
      </c>
      <c r="C49" s="68" t="str">
        <f>VLOOKUP($B49,'[1]Products by Part Number'!$A:$L,2,0)</f>
        <v xml:space="preserve">JD 624K (DW6) JD 764 (100)                                            </v>
      </c>
      <c r="D49" s="68" t="str">
        <f>VLOOKUP($B49,'[1]Products by Part Number'!$A:$L,3,0)</f>
        <v>CAB AIR FILTER</v>
      </c>
      <c r="E49" s="69">
        <f>VLOOKUP($B49,'[1]Products by Part Number'!$A:$L,9,0)</f>
        <v>1</v>
      </c>
      <c r="F49" s="70">
        <f>VLOOKUP($B49,'[1]Products by Part Number'!$A:$L,4,0)</f>
        <v>28.138200000000001</v>
      </c>
      <c r="G49" s="71">
        <f t="shared" si="1"/>
        <v>28.138200000000001</v>
      </c>
      <c r="H49" s="71">
        <f>VLOOKUP(B49,'[1]Products by Part Number'!$A:$F,6,0)</f>
        <v>18.29</v>
      </c>
      <c r="I49" s="79">
        <f t="shared" si="0"/>
        <v>18.29</v>
      </c>
    </row>
    <row r="50" spans="2:9" x14ac:dyDescent="0.25">
      <c r="B50" s="78" t="s">
        <v>115</v>
      </c>
      <c r="C50" s="68" t="str">
        <f>VLOOKUP($B50,'[1]Products by Part Number'!$A:$L,2,0)</f>
        <v xml:space="preserve">JD 624K (DW6) JD 764 (100)                                            </v>
      </c>
      <c r="D50" s="68" t="str">
        <f>VLOOKUP($B50,'[1]Products by Part Number'!$A:$L,3,0)</f>
        <v>PRIMARY AIR FILTER</v>
      </c>
      <c r="E50" s="69">
        <f>VLOOKUP($B50,'[1]Products by Part Number'!$A:$L,9,0)</f>
        <v>2</v>
      </c>
      <c r="F50" s="70">
        <f>VLOOKUP($B50,'[1]Products by Part Number'!$A:$L,4,0)</f>
        <v>111.3108</v>
      </c>
      <c r="G50" s="71">
        <f t="shared" si="1"/>
        <v>222.6216</v>
      </c>
      <c r="H50" s="71">
        <f>VLOOKUP(B50,'[1]Products by Part Number'!$A:$F,6,0)</f>
        <v>72.349999999999994</v>
      </c>
      <c r="I50" s="79">
        <f t="shared" si="0"/>
        <v>144.69999999999999</v>
      </c>
    </row>
    <row r="51" spans="2:9" x14ac:dyDescent="0.25">
      <c r="B51" s="78" t="s">
        <v>116</v>
      </c>
      <c r="C51" s="68" t="str">
        <f>VLOOKUP($B51,'[1]Products by Part Number'!$A:$L,2,0)</f>
        <v xml:space="preserve">JD 624K (DW6) JD 764 (100)                                            </v>
      </c>
      <c r="D51" s="68" t="str">
        <f>VLOOKUP($B51,'[1]Products by Part Number'!$A:$L,3,0)</f>
        <v>CAB AIR FILTER</v>
      </c>
      <c r="E51" s="69">
        <f>VLOOKUP($B51,'[1]Products by Part Number'!$A:$L,9,0)</f>
        <v>1</v>
      </c>
      <c r="F51" s="70">
        <f>VLOOKUP($B51,'[1]Products by Part Number'!$A:$L,4,0)</f>
        <v>22.300799999999999</v>
      </c>
      <c r="G51" s="71">
        <f t="shared" si="1"/>
        <v>22.300799999999999</v>
      </c>
      <c r="H51" s="71">
        <f>VLOOKUP(B51,'[1]Products by Part Number'!$A:$F,6,0)</f>
        <v>14.5</v>
      </c>
      <c r="I51" s="79">
        <f t="shared" si="0"/>
        <v>14.5</v>
      </c>
    </row>
    <row r="52" spans="2:9" x14ac:dyDescent="0.25">
      <c r="B52" s="78" t="s">
        <v>117</v>
      </c>
      <c r="C52" s="68" t="str">
        <f>VLOOKUP($B52,'[1]Products by Part Number'!$A:$L,2,0)</f>
        <v xml:space="preserve">JD 470P (1FF)                                              </v>
      </c>
      <c r="D52" s="68" t="str">
        <f>VLOOKUP($B52,'[1]Products by Part Number'!$A:$L,3,0)</f>
        <v>PRIMARY AIR FILTER</v>
      </c>
      <c r="E52" s="69">
        <f>VLOOKUP($B52,'[1]Products by Part Number'!$A:$L,9,0)</f>
        <v>1</v>
      </c>
      <c r="F52" s="70">
        <f>VLOOKUP($B52,'[1]Products by Part Number'!$A:$L,4,0)</f>
        <v>221.559</v>
      </c>
      <c r="G52" s="71">
        <f t="shared" si="1"/>
        <v>221.559</v>
      </c>
      <c r="H52" s="71">
        <f>VLOOKUP(B52,'[1]Products by Part Number'!$A:$F,6,0)</f>
        <v>144.01</v>
      </c>
      <c r="I52" s="79">
        <f t="shared" si="0"/>
        <v>144.01</v>
      </c>
    </row>
    <row r="53" spans="2:9" x14ac:dyDescent="0.25">
      <c r="B53" s="78" t="s">
        <v>118</v>
      </c>
      <c r="C53" s="68" t="str">
        <f>VLOOKUP($B53,'[1]Products by Part Number'!$A:$L,2,0)</f>
        <v xml:space="preserve">JD 624K (DW6) JD 764 (100)                                            </v>
      </c>
      <c r="D53" s="68" t="str">
        <f>VLOOKUP($B53,'[1]Products by Part Number'!$A:$L,3,0)</f>
        <v>SECONDARY AIR FILTER</v>
      </c>
      <c r="E53" s="69">
        <f>VLOOKUP($B53,'[1]Products by Part Number'!$A:$L,9,0)</f>
        <v>2</v>
      </c>
      <c r="F53" s="70">
        <f>VLOOKUP($B53,'[1]Products by Part Number'!$A:$L,4,0)</f>
        <v>69.772800000000004</v>
      </c>
      <c r="G53" s="71">
        <f t="shared" si="1"/>
        <v>139.54560000000001</v>
      </c>
      <c r="H53" s="71">
        <f>VLOOKUP(B53,'[1]Products by Part Number'!$A:$F,6,0)</f>
        <v>45.35</v>
      </c>
      <c r="I53" s="79">
        <f t="shared" si="0"/>
        <v>90.7</v>
      </c>
    </row>
    <row r="54" spans="2:9" x14ac:dyDescent="0.25">
      <c r="B54" s="78" t="s">
        <v>119</v>
      </c>
      <c r="C54" s="68" t="str">
        <f>VLOOKUP($B54,'[1]Products by Part Number'!$A:$L,2,0)</f>
        <v xml:space="preserve">JD 333G (1T0)                                              </v>
      </c>
      <c r="D54" s="68" t="str">
        <f>VLOOKUP($B54,'[1]Products by Part Number'!$A:$L,3,0)</f>
        <v>CAB AIR FILTER</v>
      </c>
      <c r="E54" s="69">
        <f>VLOOKUP($B54,'[1]Products by Part Number'!$A:$L,9,0)</f>
        <v>1</v>
      </c>
      <c r="F54" s="70">
        <f>VLOOKUP($B54,'[1]Products by Part Number'!$A:$L,4,0)</f>
        <v>30.484200000000001</v>
      </c>
      <c r="G54" s="71">
        <f t="shared" si="1"/>
        <v>30.484200000000001</v>
      </c>
      <c r="H54" s="71">
        <f>VLOOKUP(B54,'[1]Products by Part Number'!$A:$F,6,0)</f>
        <v>19.809999999999999</v>
      </c>
      <c r="I54" s="79">
        <f t="shared" si="0"/>
        <v>19.809999999999999</v>
      </c>
    </row>
    <row r="55" spans="2:9" x14ac:dyDescent="0.25">
      <c r="B55" s="78" t="s">
        <v>120</v>
      </c>
      <c r="C55" s="68" t="str">
        <f>VLOOKUP($B55,'[1]Products by Part Number'!$A:$L,2,0)</f>
        <v xml:space="preserve">JD 333G (1T0)                                              </v>
      </c>
      <c r="D55" s="68" t="str">
        <f>VLOOKUP($B55,'[1]Products by Part Number'!$A:$L,3,0)</f>
        <v>CAB AIR FILTER</v>
      </c>
      <c r="E55" s="69">
        <f>VLOOKUP($B55,'[1]Products by Part Number'!$A:$L,9,0)</f>
        <v>1</v>
      </c>
      <c r="F55" s="70">
        <f>VLOOKUP($B55,'[1]Products by Part Number'!$A:$L,4,0)</f>
        <v>31.560599999999997</v>
      </c>
      <c r="G55" s="71">
        <f t="shared" si="1"/>
        <v>31.560599999999997</v>
      </c>
      <c r="H55" s="71">
        <f>VLOOKUP(B55,'[1]Products by Part Number'!$A:$F,6,0)</f>
        <v>20.51</v>
      </c>
      <c r="I55" s="79">
        <f t="shared" si="0"/>
        <v>20.51</v>
      </c>
    </row>
    <row r="56" spans="2:9" x14ac:dyDescent="0.25">
      <c r="B56" s="78" t="s">
        <v>121</v>
      </c>
      <c r="C56" s="68" t="str">
        <f>VLOOKUP($B56,'[1]Products by Part Number'!$A:$L,2,0)</f>
        <v xml:space="preserve">JD 470P (1FF)                                              </v>
      </c>
      <c r="D56" s="68" t="str">
        <f>VLOOKUP($B56,'[1]Products by Part Number'!$A:$L,3,0)</f>
        <v>CAB AIR FILTER</v>
      </c>
      <c r="E56" s="69">
        <f>VLOOKUP($B56,'[1]Products by Part Number'!$A:$L,9,0)</f>
        <v>0</v>
      </c>
      <c r="F56" s="70">
        <f>VLOOKUP($B56,'[1]Products by Part Number'!$A:$L,4,0)</f>
        <v>69.344999999999999</v>
      </c>
      <c r="G56" s="71">
        <f t="shared" si="1"/>
        <v>0</v>
      </c>
      <c r="H56" s="71">
        <f>VLOOKUP(B56,'[1]Products by Part Number'!$A:$F,6,0)</f>
        <v>45.07</v>
      </c>
      <c r="I56" s="79">
        <f t="shared" si="0"/>
        <v>0</v>
      </c>
    </row>
    <row r="57" spans="2:9" x14ac:dyDescent="0.25">
      <c r="B57" s="78" t="s">
        <v>122</v>
      </c>
      <c r="C57" s="68" t="str">
        <f>VLOOKUP($B57,'[1]Products by Part Number'!$A:$L,2,0)</f>
        <v xml:space="preserve">JD 333G (1T0)                                              </v>
      </c>
      <c r="D57" s="68" t="str">
        <f>VLOOKUP($B57,'[1]Products by Part Number'!$A:$L,3,0)</f>
        <v>PRIMARY AIR FILTER</v>
      </c>
      <c r="E57" s="69">
        <f>VLOOKUP($B57,'[1]Products by Part Number'!$A:$L,9,0)</f>
        <v>1</v>
      </c>
      <c r="F57" s="70">
        <f>VLOOKUP($B57,'[1]Products by Part Number'!$A:$L,4,0)</f>
        <v>82.703399999999988</v>
      </c>
      <c r="G57" s="71">
        <f t="shared" si="1"/>
        <v>82.703399999999988</v>
      </c>
      <c r="H57" s="71">
        <f>VLOOKUP(B57,'[1]Products by Part Number'!$A:$F,6,0)</f>
        <v>53.76</v>
      </c>
      <c r="I57" s="79">
        <f t="shared" si="0"/>
        <v>53.76</v>
      </c>
    </row>
    <row r="58" spans="2:9" x14ac:dyDescent="0.25">
      <c r="B58" s="78" t="s">
        <v>123</v>
      </c>
      <c r="C58" s="68" t="str">
        <f>VLOOKUP($B58,'[1]Products by Part Number'!$A:$L,2,0)</f>
        <v xml:space="preserve">KOM PC138USLC-11 KOM PC238USLC-11 (1)                                            </v>
      </c>
      <c r="D58" s="68" t="str">
        <f>VLOOKUP($B58,'[1]Products by Part Number'!$A:$L,3,0)</f>
        <v>CAB AIR FILTER</v>
      </c>
      <c r="E58" s="69">
        <f>VLOOKUP($B58,'[1]Products by Part Number'!$A:$L,9,0)</f>
        <v>2</v>
      </c>
      <c r="F58" s="70">
        <f>VLOOKUP($B58,'[1]Products by Part Number'!$A:$L,4,0)</f>
        <v>107.11</v>
      </c>
      <c r="G58" s="71">
        <f t="shared" si="1"/>
        <v>214.22</v>
      </c>
      <c r="H58" s="71">
        <f>VLOOKUP(B58,'[1]Products by Part Number'!$A:$F,6,0)</f>
        <v>69.62</v>
      </c>
      <c r="I58" s="79">
        <f t="shared" si="0"/>
        <v>139.24</v>
      </c>
    </row>
    <row r="59" spans="2:9" x14ac:dyDescent="0.25">
      <c r="B59" s="78" t="s">
        <v>124</v>
      </c>
      <c r="C59" s="68" t="str">
        <f>VLOOKUP($B59,'[1]Products by Part Number'!$A:$L,2,0)</f>
        <v xml:space="preserve">KOM PC238USLC-11 (2)                                              </v>
      </c>
      <c r="D59" s="68" t="str">
        <f>VLOOKUP($B59,'[1]Products by Part Number'!$A:$L,3,0)</f>
        <v>CAB AIR FILTER</v>
      </c>
      <c r="E59" s="69">
        <f>VLOOKUP($B59,'[1]Products by Part Number'!$A:$L,9,0)</f>
        <v>1</v>
      </c>
      <c r="F59" s="70">
        <f>VLOOKUP($B59,'[1]Products by Part Number'!$A:$L,4,0)</f>
        <v>107.11</v>
      </c>
      <c r="G59" s="71">
        <f t="shared" si="1"/>
        <v>107.11</v>
      </c>
      <c r="H59" s="71">
        <f>VLOOKUP(B59,'[1]Products by Part Number'!$A:$F,6,0)</f>
        <v>69.62</v>
      </c>
      <c r="I59" s="79">
        <f t="shared" si="0"/>
        <v>69.62</v>
      </c>
    </row>
    <row r="60" spans="2:9" x14ac:dyDescent="0.25">
      <c r="B60" s="78" t="s">
        <v>125</v>
      </c>
      <c r="C60" s="68" t="str">
        <f>VLOOKUP($B60,'[1]Products by Part Number'!$A:$L,2,0)</f>
        <v xml:space="preserve">JD 470P (1FF)                                              </v>
      </c>
      <c r="D60" s="68" t="str">
        <f>VLOOKUP($B60,'[1]Products by Part Number'!$A:$L,3,0)</f>
        <v>SECONDARY AIR FILTER</v>
      </c>
      <c r="E60" s="69">
        <f>VLOOKUP($B60,'[1]Products by Part Number'!$A:$L,9,0)</f>
        <v>1</v>
      </c>
      <c r="F60" s="70">
        <f>VLOOKUP($B60,'[1]Products by Part Number'!$A:$L,4,0)</f>
        <v>122.9028</v>
      </c>
      <c r="G60" s="71">
        <f t="shared" si="1"/>
        <v>122.9028</v>
      </c>
      <c r="H60" s="71">
        <f>VLOOKUP(B60,'[1]Products by Part Number'!$A:$F,6,0)</f>
        <v>79.89</v>
      </c>
      <c r="I60" s="79">
        <f t="shared" si="0"/>
        <v>79.89</v>
      </c>
    </row>
    <row r="61" spans="2:9" x14ac:dyDescent="0.25">
      <c r="B61" s="78">
        <v>4630525</v>
      </c>
      <c r="C61" s="68" t="str">
        <f>VLOOKUP($B61,'[1]Products by Part Number'!$A:$L,2,0)</f>
        <v xml:space="preserve">JD 470P (1FF)                                              </v>
      </c>
      <c r="D61" s="68" t="str">
        <f>VLOOKUP($B61,'[1]Products by Part Number'!$A:$L,3,0)</f>
        <v xml:space="preserve">HYDRAULIC FILTER PILOT </v>
      </c>
      <c r="E61" s="69">
        <f>VLOOKUP($B61,'[1]Products by Part Number'!$A:$L,9,0)</f>
        <v>1</v>
      </c>
      <c r="F61" s="70">
        <f>VLOOKUP($B61,'[1]Products by Part Number'!$A:$L,4,0)</f>
        <v>40.640999999999998</v>
      </c>
      <c r="G61" s="71">
        <f t="shared" si="1"/>
        <v>40.640999999999998</v>
      </c>
      <c r="H61" s="71">
        <f>VLOOKUP(B61,'[1]Products by Part Number'!$A:$F,6,0)</f>
        <v>20.32</v>
      </c>
      <c r="I61" s="79">
        <f t="shared" si="0"/>
        <v>20.32</v>
      </c>
    </row>
    <row r="62" spans="2:9" x14ac:dyDescent="0.25">
      <c r="B62" s="78" t="s">
        <v>126</v>
      </c>
      <c r="C62" s="68" t="str">
        <f>VLOOKUP($B62,'[1]Products by Part Number'!$A:$L,2,0)</f>
        <v xml:space="preserve">KOM PC360LC-11 (A37) KOM PC360LC-11 (A39) KOM PC360LC-11 (A39) (2)                                          </v>
      </c>
      <c r="D62" s="68" t="str">
        <f>VLOOKUP($B62,'[1]Products by Part Number'!$A:$L,3,0)</f>
        <v>HYDRAULIC FILTER</v>
      </c>
      <c r="E62" s="69">
        <f>VLOOKUP($B62,'[1]Products by Part Number'!$A:$L,9,0)</f>
        <v>3</v>
      </c>
      <c r="F62" s="70">
        <f>VLOOKUP($B62,'[1]Products by Part Number'!$A:$L,4,0)</f>
        <v>198.35</v>
      </c>
      <c r="G62" s="71">
        <f t="shared" si="1"/>
        <v>595.04999999999995</v>
      </c>
      <c r="H62" s="71">
        <f>VLOOKUP(B62,'[1]Products by Part Number'!$A:$F,6,0)</f>
        <v>99.18</v>
      </c>
      <c r="I62" s="79">
        <f t="shared" si="0"/>
        <v>297.54000000000002</v>
      </c>
    </row>
    <row r="63" spans="2:9" x14ac:dyDescent="0.25">
      <c r="B63" s="78" t="s">
        <v>127</v>
      </c>
      <c r="C63" s="68" t="str">
        <f>VLOOKUP($B63,'[1]Products by Part Number'!$A:$L,2,0)</f>
        <v xml:space="preserve">CAT 329EL (ZCD)                                              </v>
      </c>
      <c r="D63" s="68" t="str">
        <f>VLOOKUP($B63,'[1]Products by Part Number'!$A:$L,3,0)</f>
        <v>HYDRAULIC FILTER CASE DRAIN</v>
      </c>
      <c r="E63" s="69">
        <f>VLOOKUP($B63,'[1]Products by Part Number'!$A:$L,9,0)</f>
        <v>1</v>
      </c>
      <c r="F63" s="70">
        <f>VLOOKUP($B63,'[1]Products by Part Number'!$A:$L,4,0)</f>
        <v>98.57</v>
      </c>
      <c r="G63" s="71">
        <f t="shared" si="1"/>
        <v>98.57</v>
      </c>
      <c r="H63" s="71">
        <f>VLOOKUP(B63,'[1]Products by Part Number'!$A:$F,6,0)</f>
        <v>49.29</v>
      </c>
      <c r="I63" s="79">
        <f t="shared" si="0"/>
        <v>49.29</v>
      </c>
    </row>
    <row r="64" spans="2:9" x14ac:dyDescent="0.25">
      <c r="B64" s="78" t="s">
        <v>128</v>
      </c>
      <c r="C64" s="68" t="str">
        <f>VLOOKUP($B64,'[1]Products by Part Number'!$A:$L,2,0)</f>
        <v xml:space="preserve">KOM D61PX-24 (B60)                                              </v>
      </c>
      <c r="D64" s="68" t="str">
        <f>VLOOKUP($B64,'[1]Products by Part Number'!$A:$L,3,0)</f>
        <v>HYDRAULIC FILTER</v>
      </c>
      <c r="E64" s="69">
        <f>VLOOKUP($B64,'[1]Products by Part Number'!$A:$L,9,0)</f>
        <v>0</v>
      </c>
      <c r="F64" s="70">
        <f>VLOOKUP($B64,'[1]Products by Part Number'!$A:$L,4,0)</f>
        <v>370.6</v>
      </c>
      <c r="G64" s="71">
        <f t="shared" si="1"/>
        <v>0</v>
      </c>
      <c r="H64" s="71">
        <f>VLOOKUP(B64,'[1]Products by Part Number'!$A:$F,6,0)</f>
        <v>185.3</v>
      </c>
      <c r="I64" s="79">
        <f t="shared" si="0"/>
        <v>0</v>
      </c>
    </row>
    <row r="65" spans="2:9" x14ac:dyDescent="0.25">
      <c r="B65" s="78" t="s">
        <v>129</v>
      </c>
      <c r="C65" s="68" t="str">
        <f>VLOOKUP($B65,'[1]Products by Part Number'!$A:$L,2,0)</f>
        <v xml:space="preserve">CAT 329EL (ZCD)                                              </v>
      </c>
      <c r="D65" s="68" t="str">
        <f>VLOOKUP($B65,'[1]Products by Part Number'!$A:$L,3,0)</f>
        <v>HYDRAULIC FILTER RETURN</v>
      </c>
      <c r="E65" s="69">
        <f>VLOOKUP($B65,'[1]Products by Part Number'!$A:$L,9,0)</f>
        <v>0</v>
      </c>
      <c r="F65" s="70">
        <f>VLOOKUP($B65,'[1]Products by Part Number'!$A:$L,4,0)</f>
        <v>221.11</v>
      </c>
      <c r="G65" s="71">
        <f t="shared" si="1"/>
        <v>0</v>
      </c>
      <c r="H65" s="71">
        <f>VLOOKUP(B65,'[1]Products by Part Number'!$A:$F,6,0)</f>
        <v>110.56</v>
      </c>
      <c r="I65" s="79">
        <f t="shared" si="0"/>
        <v>0</v>
      </c>
    </row>
    <row r="66" spans="2:9" x14ac:dyDescent="0.25">
      <c r="B66" s="78" t="s">
        <v>130</v>
      </c>
      <c r="C66" s="68" t="str">
        <f>VLOOKUP($B66,'[1]Products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KOM PC238USLC-11 (2) KOM PC360LC-11 (A37) KOM PC360LC-11 (A39) KOM PC360LC-11 (A39) (2) KOM WA475-10 (120) KOM PC290LC-11 (K73)        </v>
      </c>
      <c r="D66" s="68" t="str">
        <f>VLOOKUP($B66,'[1]Products by Part Number'!$A:$L,3,0)</f>
        <v>HYDRAULIC FILTER TANK</v>
      </c>
      <c r="E66" s="69">
        <f>VLOOKUP($B66,'[1]Products by Part Number'!$A:$L,9,0)</f>
        <v>20</v>
      </c>
      <c r="F66" s="70">
        <f>VLOOKUP($B66,'[1]Products by Part Number'!$A:$L,4,0)</f>
        <v>188.98</v>
      </c>
      <c r="G66" s="71">
        <f t="shared" si="1"/>
        <v>3779.6</v>
      </c>
      <c r="H66" s="71">
        <f>VLOOKUP(B66,'[1]Products by Part Number'!$A:$F,6,0)</f>
        <v>94.49</v>
      </c>
      <c r="I66" s="79">
        <f t="shared" si="0"/>
        <v>1889.8</v>
      </c>
    </row>
    <row r="67" spans="2:9" x14ac:dyDescent="0.25">
      <c r="B67" s="78" t="s">
        <v>131</v>
      </c>
      <c r="C67" s="68" t="str">
        <f>VLOOKUP($B67,'[1]Products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KOM PC490LC-11 (A42) KOM PC490LC-11 (A42) (2) KOM PC490LC-11 (A42) (3) KOM PC490LC-11 (A42) (4) KOM PC490LC-11 (A42) (5) KOM PC490LC-11 (A43) KOM PC490LC-11 (KMT) (1) KOM PC490LC-11 (KMT) (2) KOM PC490LC-11 (KMT) (3)  </v>
      </c>
      <c r="D67" s="68" t="str">
        <f>VLOOKUP($B67,'[1]Products by Part Number'!$A:$L,3,0)</f>
        <v>HYDRAULIC FILTER ACCUMULATOR</v>
      </c>
      <c r="E67" s="69">
        <f>VLOOKUP($B67,'[1]Products by Part Number'!$A:$L,9,0)</f>
        <v>23</v>
      </c>
      <c r="F67" s="70">
        <f>VLOOKUP($B67,'[1]Products by Part Number'!$A:$L,4,0)</f>
        <v>259.43</v>
      </c>
      <c r="G67" s="71">
        <f t="shared" si="1"/>
        <v>5966.89</v>
      </c>
      <c r="H67" s="71">
        <f>VLOOKUP(B67,'[1]Products by Part Number'!$A:$F,6,0)</f>
        <v>129.72</v>
      </c>
      <c r="I67" s="79">
        <f t="shared" si="0"/>
        <v>2983.56</v>
      </c>
    </row>
    <row r="68" spans="2:9" x14ac:dyDescent="0.25">
      <c r="B68" s="78" t="s">
        <v>132</v>
      </c>
      <c r="C68" s="68" t="str">
        <f>VLOOKUP($B68,'[1]Products by Part Number'!$A:$L,2,0)</f>
        <v xml:space="preserve">KOM D61PX-24 (B60)                                              </v>
      </c>
      <c r="D68" s="68" t="str">
        <f>VLOOKUP($B68,'[1]Products by Part Number'!$A:$L,3,0)</f>
        <v>HYDRAULIC FILTER</v>
      </c>
      <c r="E68" s="69">
        <f>VLOOKUP($B68,'[1]Products by Part Number'!$A:$L,9,0)</f>
        <v>0</v>
      </c>
      <c r="F68" s="70">
        <f>VLOOKUP($B68,'[1]Products by Part Number'!$A:$L,4,0)</f>
        <v>220.88</v>
      </c>
      <c r="G68" s="71">
        <f t="shared" si="1"/>
        <v>0</v>
      </c>
      <c r="H68" s="71">
        <f>VLOOKUP(B68,'[1]Products by Part Number'!$A:$F,6,0)</f>
        <v>110.44</v>
      </c>
      <c r="I68" s="79">
        <f t="shared" si="0"/>
        <v>0</v>
      </c>
    </row>
    <row r="69" spans="2:9" x14ac:dyDescent="0.25">
      <c r="B69" s="78" t="s">
        <v>39</v>
      </c>
      <c r="C69" s="68" t="str">
        <f>VLOOKUP($B69,'[1]Products by Part Number'!$A:$L,2,0)</f>
        <v xml:space="preserve">CAT 14 (EN4)                                              </v>
      </c>
      <c r="D69" s="68" t="str">
        <f>VLOOKUP($B69,'[1]Products by Part Number'!$A:$L,3,0)</f>
        <v xml:space="preserve">HYDRAULIC FILTER </v>
      </c>
      <c r="E69" s="69">
        <f>VLOOKUP($B69,'[1]Products by Part Number'!$A:$L,9,0)</f>
        <v>1</v>
      </c>
      <c r="F69" s="70">
        <f>VLOOKUP($B69,'[1]Products by Part Number'!$A:$L,4,0)</f>
        <v>197.31</v>
      </c>
      <c r="G69" s="71">
        <f t="shared" si="1"/>
        <v>197.31</v>
      </c>
      <c r="H69" s="71">
        <f>VLOOKUP(B69,'[1]Products by Part Number'!$A:$F,6,0)</f>
        <v>98.66</v>
      </c>
      <c r="I69" s="79">
        <f t="shared" si="0"/>
        <v>98.66</v>
      </c>
    </row>
    <row r="70" spans="2:9" x14ac:dyDescent="0.25">
      <c r="B70" s="78" t="s">
        <v>133</v>
      </c>
      <c r="C70" s="68" t="str">
        <f>VLOOKUP($B70,'[1]Products by Part Number'!$A:$L,2,0)</f>
        <v xml:space="preserve">CAT 14 (EN4)                                              </v>
      </c>
      <c r="D70" s="68" t="str">
        <f>VLOOKUP($B70,'[1]Products by Part Number'!$A:$L,3,0)</f>
        <v>HYDRAULIC FILTER</v>
      </c>
      <c r="E70" s="69">
        <f>VLOOKUP($B70,'[1]Products by Part Number'!$A:$L,9,0)</f>
        <v>1</v>
      </c>
      <c r="F70" s="70">
        <f>VLOOKUP($B70,'[1]Products by Part Number'!$A:$L,4,0)</f>
        <v>103.37</v>
      </c>
      <c r="G70" s="71">
        <f t="shared" si="1"/>
        <v>103.37</v>
      </c>
      <c r="H70" s="71">
        <f>VLOOKUP(B70,'[1]Products by Part Number'!$A:$F,6,0)</f>
        <v>51.69</v>
      </c>
      <c r="I70" s="79">
        <f t="shared" si="0"/>
        <v>51.69</v>
      </c>
    </row>
    <row r="71" spans="2:9" x14ac:dyDescent="0.25">
      <c r="B71" s="78" t="s">
        <v>134</v>
      </c>
      <c r="C71" s="68" t="str">
        <f>VLOOKUP($B71,'[1]Products by Part Number'!$A:$L,2,0)</f>
        <v xml:space="preserve">KOM WA320-8 (867) KOM WA320PZ-6 (729)                                            </v>
      </c>
      <c r="D71" s="68" t="str">
        <f>VLOOKUP($B71,'[1]Products by Part Number'!$A:$L,3,0)</f>
        <v>HYDRAULIC FILTER</v>
      </c>
      <c r="E71" s="69">
        <f>VLOOKUP($B71,'[1]Products by Part Number'!$A:$L,9,0)</f>
        <v>2</v>
      </c>
      <c r="F71" s="70">
        <f>VLOOKUP($B71,'[1]Products by Part Number'!$A:$L,4,0)</f>
        <v>197.46</v>
      </c>
      <c r="G71" s="71">
        <f t="shared" si="1"/>
        <v>394.92</v>
      </c>
      <c r="H71" s="71">
        <f>VLOOKUP(B71,'[1]Products by Part Number'!$A:$F,6,0)</f>
        <v>98.73</v>
      </c>
      <c r="I71" s="79">
        <f t="shared" si="0"/>
        <v>197.46</v>
      </c>
    </row>
    <row r="72" spans="2:9" x14ac:dyDescent="0.25">
      <c r="B72" s="78" t="s">
        <v>135</v>
      </c>
      <c r="C72" s="68" t="str">
        <f>VLOOKUP($B72,'[1]Products by Part Number'!$A:$L,2,0)</f>
        <v xml:space="preserve">CAT 255 CAT 255 (2) CAT 255 (FL7)                                          </v>
      </c>
      <c r="D72" s="68" t="str">
        <f>VLOOKUP($B72,'[1]Products by Part Number'!$A:$L,3,0)</f>
        <v>HYDRAULIC FILTER</v>
      </c>
      <c r="E72" s="69">
        <f>VLOOKUP($B72,'[1]Products by Part Number'!$A:$L,9,0)</f>
        <v>3</v>
      </c>
      <c r="F72" s="70">
        <f>VLOOKUP($B72,'[1]Products by Part Number'!$A:$L,4,0)</f>
        <v>91.89</v>
      </c>
      <c r="G72" s="71">
        <f t="shared" si="1"/>
        <v>275.67</v>
      </c>
      <c r="H72" s="71">
        <f>VLOOKUP(B72,'[1]Products by Part Number'!$A:$F,6,0)</f>
        <v>45.95</v>
      </c>
      <c r="I72" s="79">
        <f t="shared" si="0"/>
        <v>137.85</v>
      </c>
    </row>
    <row r="73" spans="2:9" x14ac:dyDescent="0.25">
      <c r="B73" s="78" t="s">
        <v>136</v>
      </c>
      <c r="C73" s="68" t="str">
        <f>VLOOKUP($B73,'[1]Products by Part Number'!$A:$L,2,0)</f>
        <v xml:space="preserve">KOM D71PX-24 (1) KOM D71PX-24 (2) KOM D71PX-24 (3) KOM D71PX-24 (4) KOM D71PX-24 (5) KOM D71PX-24 (6) KOM D71PX-24 (7) KOM WA380-8 (1) KOM WA380-8 (2)                              </v>
      </c>
      <c r="D73" s="68" t="str">
        <f>VLOOKUP($B73,'[1]Products by Part Number'!$A:$L,3,0)</f>
        <v>HYDRAULIC FILTER TANK</v>
      </c>
      <c r="E73" s="69">
        <f>VLOOKUP($B73,'[1]Products by Part Number'!$A:$L,9,0)</f>
        <v>9</v>
      </c>
      <c r="F73" s="70">
        <f>VLOOKUP($B73,'[1]Products by Part Number'!$A:$L,4,0)</f>
        <v>161.15639999999999</v>
      </c>
      <c r="G73" s="71">
        <f t="shared" si="1"/>
        <v>1450.4076</v>
      </c>
      <c r="H73" s="71">
        <f>VLOOKUP(B73,'[1]Products by Part Number'!$A:$F,6,0)</f>
        <v>80.58</v>
      </c>
      <c r="I73" s="79">
        <f t="shared" si="0"/>
        <v>725.22</v>
      </c>
    </row>
    <row r="74" spans="2:9" x14ac:dyDescent="0.25">
      <c r="B74" s="78" t="s">
        <v>137</v>
      </c>
      <c r="C74" s="68" t="str">
        <f>VLOOKUP($B74,'[1]Products by Part Number'!$A:$L,2,0)</f>
        <v xml:space="preserve">KOM PC138USLC-11 KOM PC238USLC-11 (1)                                            </v>
      </c>
      <c r="D74" s="68" t="str">
        <f>VLOOKUP($B74,'[1]Products by Part Number'!$A:$L,3,0)</f>
        <v>HYDRAULIC FILTER</v>
      </c>
      <c r="E74" s="69">
        <f>VLOOKUP($B74,'[1]Products by Part Number'!$A:$L,9,0)</f>
        <v>2</v>
      </c>
      <c r="F74" s="70">
        <f>VLOOKUP($B74,'[1]Products by Part Number'!$A:$L,4,0)</f>
        <v>164.32</v>
      </c>
      <c r="G74" s="71">
        <f t="shared" si="1"/>
        <v>328.64</v>
      </c>
      <c r="H74" s="71">
        <f>VLOOKUP(B74,'[1]Products by Part Number'!$A:$F,6,0)</f>
        <v>82.16</v>
      </c>
      <c r="I74" s="79">
        <f t="shared" si="0"/>
        <v>164.32</v>
      </c>
    </row>
    <row r="75" spans="2:9" x14ac:dyDescent="0.25">
      <c r="B75" s="78" t="s">
        <v>138</v>
      </c>
      <c r="C75" s="68" t="str">
        <f>VLOOKUP($B75,'[1]Products by Part Number'!$A:$L,2,0)</f>
        <v xml:space="preserve">CAT 329EL (ZCD)                                              </v>
      </c>
      <c r="D75" s="68" t="str">
        <f>VLOOKUP($B75,'[1]Products by Part Number'!$A:$L,3,0)</f>
        <v>HYDRAULIC FILTER PILOT</v>
      </c>
      <c r="E75" s="69">
        <f>VLOOKUP($B75,'[1]Products by Part Number'!$A:$L,9,0)</f>
        <v>1</v>
      </c>
      <c r="F75" s="70">
        <f>VLOOKUP($B75,'[1]Products by Part Number'!$A:$L,4,0)</f>
        <v>102.89</v>
      </c>
      <c r="G75" s="71">
        <f t="shared" si="1"/>
        <v>102.89</v>
      </c>
      <c r="H75" s="71">
        <f>VLOOKUP(B75,'[1]Products by Part Number'!$A:$F,6,0)</f>
        <v>51.45</v>
      </c>
      <c r="I75" s="79">
        <f t="shared" si="0"/>
        <v>51.45</v>
      </c>
    </row>
    <row r="76" spans="2:9" x14ac:dyDescent="0.25">
      <c r="B76" s="78" t="s">
        <v>139</v>
      </c>
      <c r="C76" s="68" t="str">
        <f>VLOOKUP($B76,'[1]Products by Part Number'!$A:$L,2,0)</f>
        <v xml:space="preserve">JD 333G (1T0)                                              </v>
      </c>
      <c r="D76" s="68" t="str">
        <f>VLOOKUP($B76,'[1]Products by Part Number'!$A:$L,3,0)</f>
        <v>HYDRAULIC FILTER</v>
      </c>
      <c r="E76" s="69">
        <f>VLOOKUP($B76,'[1]Products by Part Number'!$A:$L,9,0)</f>
        <v>1</v>
      </c>
      <c r="F76" s="70">
        <f>VLOOKUP($B76,'[1]Products by Part Number'!$A:$L,4,0)</f>
        <v>131.1138</v>
      </c>
      <c r="G76" s="71">
        <f t="shared" si="1"/>
        <v>131.1138</v>
      </c>
      <c r="H76" s="71">
        <f>VLOOKUP(B76,'[1]Products by Part Number'!$A:$F,6,0)</f>
        <v>65.56</v>
      </c>
      <c r="I76" s="79">
        <f t="shared" si="0"/>
        <v>65.56</v>
      </c>
    </row>
    <row r="77" spans="2:9" x14ac:dyDescent="0.25">
      <c r="B77" s="78" t="s">
        <v>140</v>
      </c>
      <c r="C77" s="68" t="str">
        <f>VLOOKUP($B77,'[1]Products by Part Number'!$A:$L,2,0)</f>
        <v xml:space="preserve">JD 764 (100)                                              </v>
      </c>
      <c r="D77" s="68" t="str">
        <f>VLOOKUP($B77,'[1]Products by Part Number'!$A:$L,3,0)</f>
        <v>HYDRAULIC FILTER</v>
      </c>
      <c r="E77" s="69">
        <f>VLOOKUP($B77,'[1]Products by Part Number'!$A:$L,9,0)</f>
        <v>0</v>
      </c>
      <c r="F77" s="70">
        <f>VLOOKUP($B77,'[1]Products by Part Number'!$A:$L,4,0)</f>
        <v>178.50299999999999</v>
      </c>
      <c r="G77" s="71">
        <f t="shared" si="1"/>
        <v>0</v>
      </c>
      <c r="H77" s="71">
        <f>VLOOKUP(B77,'[1]Products by Part Number'!$A:$F,6,0)</f>
        <v>89.25</v>
      </c>
      <c r="I77" s="79">
        <f t="shared" si="0"/>
        <v>0</v>
      </c>
    </row>
    <row r="78" spans="2:9" x14ac:dyDescent="0.25">
      <c r="B78" s="78" t="s">
        <v>141</v>
      </c>
      <c r="C78" s="68" t="str">
        <f>VLOOKUP($B78,'[1]Products by Part Number'!$A:$L,2,0)</f>
        <v xml:space="preserve">JD 333G (1T0)                                              </v>
      </c>
      <c r="D78" s="68" t="str">
        <f>VLOOKUP($B78,'[1]Products by Part Number'!$A:$L,3,0)</f>
        <v>HYDRAULIC FILTER</v>
      </c>
      <c r="E78" s="69">
        <f>VLOOKUP($B78,'[1]Products by Part Number'!$A:$L,9,0)</f>
        <v>1</v>
      </c>
      <c r="F78" s="70">
        <f>VLOOKUP($B78,'[1]Products by Part Number'!$A:$L,4,0)</f>
        <v>168.56700000000001</v>
      </c>
      <c r="G78" s="71">
        <f t="shared" si="1"/>
        <v>168.56700000000001</v>
      </c>
      <c r="H78" s="71">
        <f>VLOOKUP(B78,'[1]Products by Part Number'!$A:$F,6,0)</f>
        <v>84.28</v>
      </c>
      <c r="I78" s="79">
        <f t="shared" si="0"/>
        <v>84.28</v>
      </c>
    </row>
    <row r="79" spans="2:9" x14ac:dyDescent="0.25">
      <c r="B79" s="78" t="s">
        <v>142</v>
      </c>
      <c r="C79" s="68" t="str">
        <f>VLOOKUP($B79,'[1]Products by Part Number'!$A:$L,2,0)</f>
        <v xml:space="preserve">JD 470P (1FF)                                              </v>
      </c>
      <c r="D79" s="68" t="str">
        <f>VLOOKUP($B79,'[1]Products by Part Number'!$A:$L,3,0)</f>
        <v>HYDRAULIC FILTER CASE DRAIN</v>
      </c>
      <c r="E79" s="69">
        <f>VLOOKUP($B79,'[1]Products by Part Number'!$A:$L,9,0)</f>
        <v>1</v>
      </c>
      <c r="F79" s="70">
        <f>VLOOKUP($B79,'[1]Products by Part Number'!$A:$L,4,0)</f>
        <v>49.252199999999995</v>
      </c>
      <c r="G79" s="71">
        <f t="shared" si="1"/>
        <v>49.252199999999995</v>
      </c>
      <c r="H79" s="71">
        <f>VLOOKUP(B79,'[1]Products by Part Number'!$A:$F,6,0)</f>
        <v>24.63</v>
      </c>
      <c r="I79" s="79">
        <f t="shared" ref="I79:I127" si="2">ROUND(E79*H79,2)</f>
        <v>24.63</v>
      </c>
    </row>
    <row r="80" spans="2:9" x14ac:dyDescent="0.25">
      <c r="B80" s="78" t="s">
        <v>143</v>
      </c>
      <c r="C80" s="68" t="str">
        <f>VLOOKUP($B80,'[1]Products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</c>
      <c r="D80" s="68" t="str">
        <f>VLOOKUP($B80,'[1]Products by Part Number'!$A:$L,3,0)</f>
        <v>FUEL FILTER</v>
      </c>
      <c r="E80" s="69">
        <f>VLOOKUP($B80,'[1]Products by Part Number'!$A:$L,9,0)</f>
        <v>9</v>
      </c>
      <c r="F80" s="70">
        <f>VLOOKUP($B80,'[1]Products by Part Number'!$A:$L,4,0)</f>
        <v>69.17</v>
      </c>
      <c r="G80" s="71">
        <f t="shared" ref="G80:G122" si="3">E80*F80</f>
        <v>622.53</v>
      </c>
      <c r="H80" s="71">
        <f>VLOOKUP(B80,'[1]Products by Part Number'!$A:$F,6,0)</f>
        <v>34.590000000000003</v>
      </c>
      <c r="I80" s="79">
        <f t="shared" si="2"/>
        <v>311.31</v>
      </c>
    </row>
    <row r="81" spans="2:9" x14ac:dyDescent="0.25">
      <c r="B81" s="78" t="s">
        <v>144</v>
      </c>
      <c r="C81" s="68" t="str">
        <f>VLOOKUP($B81,'[1]Products by Part Number'!$A:$L,2,0)</f>
        <v xml:space="preserve">KOM WA475-10 (120)                                              </v>
      </c>
      <c r="D81" s="68" t="str">
        <f>VLOOKUP($B81,'[1]Products by Part Number'!$A:$L,3,0)</f>
        <v>TRANSMISSION FILTER</v>
      </c>
      <c r="E81" s="69">
        <f>VLOOKUP($B81,'[1]Products by Part Number'!$A:$L,9,0)</f>
        <v>1</v>
      </c>
      <c r="F81" s="70">
        <f>VLOOKUP($B81,'[1]Products by Part Number'!$A:$L,4,0)</f>
        <v>200.94</v>
      </c>
      <c r="G81" s="71">
        <f t="shared" si="3"/>
        <v>200.94</v>
      </c>
      <c r="H81" s="71">
        <f>VLOOKUP(B81,'[1]Products by Part Number'!$A:$F,6,0)</f>
        <v>100.47</v>
      </c>
      <c r="I81" s="79">
        <f t="shared" si="2"/>
        <v>100.47</v>
      </c>
    </row>
    <row r="82" spans="2:9" x14ac:dyDescent="0.25">
      <c r="B82" s="78" t="s">
        <v>145</v>
      </c>
      <c r="C82" s="68" t="str">
        <f>VLOOKUP($B82,'[1]Products by Part Number'!$A:$L,2,0)</f>
        <v xml:space="preserve">CAT 329EL (ZCD)                                              </v>
      </c>
      <c r="D82" s="68" t="str">
        <f>VLOOKUP($B82,'[1]Products by Part Number'!$A:$L,3,0)</f>
        <v>ENGINE OIL FILTER</v>
      </c>
      <c r="E82" s="69">
        <f>VLOOKUP($B82,'[1]Products by Part Number'!$A:$L,9,0)</f>
        <v>1</v>
      </c>
      <c r="F82" s="70">
        <f>VLOOKUP($B82,'[1]Products by Part Number'!$A:$L,4,0)</f>
        <v>42.63</v>
      </c>
      <c r="G82" s="71">
        <f t="shared" si="3"/>
        <v>42.63</v>
      </c>
      <c r="H82" s="71">
        <f>VLOOKUP(B82,'[1]Products by Part Number'!$A:$F,6,0)</f>
        <v>21.32</v>
      </c>
      <c r="I82" s="79">
        <f t="shared" si="2"/>
        <v>21.32</v>
      </c>
    </row>
    <row r="83" spans="2:9" x14ac:dyDescent="0.25">
      <c r="B83" s="78" t="s">
        <v>146</v>
      </c>
      <c r="C83" s="68" t="str">
        <f>VLOOKUP($B83,'[1]Products by Part Number'!$A:$L,2,0)</f>
        <v xml:space="preserve">CAT 329EL (ZCD) CAT TL1055C (KDE)                                            </v>
      </c>
      <c r="D83" s="68" t="str">
        <f>VLOOKUP($B83,'[1]Products by Part Number'!$A:$L,3,0)</f>
        <v>FUEL FILTER</v>
      </c>
      <c r="E83" s="69">
        <f>VLOOKUP($B83,'[1]Products by Part Number'!$A:$L,9,0)</f>
        <v>2</v>
      </c>
      <c r="F83" s="70">
        <f>VLOOKUP($B83,'[1]Products by Part Number'!$A:$L,4,0)</f>
        <v>50.09</v>
      </c>
      <c r="G83" s="71">
        <f t="shared" si="3"/>
        <v>100.18</v>
      </c>
      <c r="H83" s="71">
        <f>VLOOKUP(B83,'[1]Products by Part Number'!$A:$F,6,0)</f>
        <v>25.05</v>
      </c>
      <c r="I83" s="79">
        <f t="shared" si="2"/>
        <v>50.1</v>
      </c>
    </row>
    <row r="84" spans="2:9" x14ac:dyDescent="0.25">
      <c r="B84" s="78" t="s">
        <v>147</v>
      </c>
      <c r="C84" s="68" t="str">
        <f>VLOOKUP($B84,'[1]Products by Part Number'!$A:$L,2,0)</f>
        <v xml:space="preserve">KOM WA320-8 (867) KOM WA320PZ-6 (729)                                            </v>
      </c>
      <c r="D84" s="68" t="str">
        <f>VLOOKUP($B84,'[1]Products by Part Number'!$A:$L,3,0)</f>
        <v>TRANSMISSION FILTER</v>
      </c>
      <c r="E84" s="69">
        <f>VLOOKUP($B84,'[1]Products by Part Number'!$A:$L,9,0)</f>
        <v>2</v>
      </c>
      <c r="F84" s="70">
        <f>VLOOKUP($B84,'[1]Products by Part Number'!$A:$L,4,0)</f>
        <v>106.91</v>
      </c>
      <c r="G84" s="71">
        <f t="shared" si="3"/>
        <v>213.82</v>
      </c>
      <c r="H84" s="71">
        <f>VLOOKUP(B84,'[1]Products by Part Number'!$A:$F,6,0)</f>
        <v>53.46</v>
      </c>
      <c r="I84" s="79">
        <f t="shared" si="2"/>
        <v>106.92</v>
      </c>
    </row>
    <row r="85" spans="2:9" x14ac:dyDescent="0.25">
      <c r="B85" s="78" t="s">
        <v>148</v>
      </c>
      <c r="C85" s="68" t="str">
        <f>VLOOKUP($B85,'[1]Products by Part Number'!$A:$L,2,0)</f>
        <v xml:space="preserve">KOM WA320-8 (867) KOM WA320PZ-6 (729)                                            </v>
      </c>
      <c r="D85" s="68" t="str">
        <f>VLOOKUP($B85,'[1]Products by Part Number'!$A:$L,3,0)</f>
        <v>CAB FILTER</v>
      </c>
      <c r="E85" s="69">
        <f>VLOOKUP($B85,'[1]Products by Part Number'!$A:$L,9,0)</f>
        <v>2</v>
      </c>
      <c r="F85" s="70">
        <f>VLOOKUP($B85,'[1]Products by Part Number'!$A:$L,4,0)</f>
        <v>162.04</v>
      </c>
      <c r="G85" s="71">
        <f t="shared" si="3"/>
        <v>324.08</v>
      </c>
      <c r="H85" s="71">
        <f>VLOOKUP(B85,'[1]Products by Part Number'!$A:$F,6,0)</f>
        <v>105.33</v>
      </c>
      <c r="I85" s="79">
        <f t="shared" si="2"/>
        <v>210.66</v>
      </c>
    </row>
    <row r="86" spans="2:9" x14ac:dyDescent="0.25">
      <c r="B86" s="78" t="s">
        <v>149</v>
      </c>
      <c r="C86" s="68" t="str">
        <f>VLOOKUP($B86,'[1]Products by Part Number'!$A:$L,2,0)</f>
        <v xml:space="preserve">CAT 14 (EN4)                                              </v>
      </c>
      <c r="D86" s="68" t="str">
        <f>VLOOKUP($B86,'[1]Products by Part Number'!$A:$L,3,0)</f>
        <v>FUEL/WATER SEPERATOR</v>
      </c>
      <c r="E86" s="69">
        <f>VLOOKUP($B86,'[1]Products by Part Number'!$A:$L,9,0)</f>
        <v>1</v>
      </c>
      <c r="F86" s="70">
        <f>VLOOKUP($B86,'[1]Products by Part Number'!$A:$L,4,0)</f>
        <v>86.8</v>
      </c>
      <c r="G86" s="71">
        <f t="shared" si="3"/>
        <v>86.8</v>
      </c>
      <c r="H86" s="71">
        <f>VLOOKUP(B86,'[1]Products by Part Number'!$A:$F,6,0)</f>
        <v>43.4</v>
      </c>
      <c r="I86" s="79">
        <f t="shared" si="2"/>
        <v>43.4</v>
      </c>
    </row>
    <row r="87" spans="2:9" x14ac:dyDescent="0.25">
      <c r="B87" s="78" t="s">
        <v>150</v>
      </c>
      <c r="C87" s="68" t="str">
        <f>VLOOKUP($B87,'[1]Products by Part Number'!$A:$L,2,0)</f>
        <v xml:space="preserve">CAT TL1055C (KDE)                                              </v>
      </c>
      <c r="D87" s="68" t="str">
        <f>VLOOKUP($B87,'[1]Products by Part Number'!$A:$L,3,0)</f>
        <v>TRANSMISSION FILTER</v>
      </c>
      <c r="E87" s="69">
        <f>VLOOKUP($B87,'[1]Products by Part Number'!$A:$L,9,0)</f>
        <v>0</v>
      </c>
      <c r="F87" s="70">
        <f>VLOOKUP($B87,'[1]Products by Part Number'!$A:$L,4,0)</f>
        <v>54.46</v>
      </c>
      <c r="G87" s="71">
        <f t="shared" si="3"/>
        <v>0</v>
      </c>
      <c r="H87" s="71">
        <f>VLOOKUP(B87,'[1]Products by Part Number'!$A:$F,6,0)</f>
        <v>27.23</v>
      </c>
      <c r="I87" s="79">
        <f t="shared" si="2"/>
        <v>0</v>
      </c>
    </row>
    <row r="88" spans="2:9" x14ac:dyDescent="0.25">
      <c r="B88" s="78" t="s">
        <v>151</v>
      </c>
      <c r="C88" s="68" t="str">
        <f>VLOOKUP($B88,'[1]Products by Part Number'!$A:$L,2,0)</f>
        <v xml:space="preserve">CAT 329EL (ZCD)                                              </v>
      </c>
      <c r="D88" s="68" t="str">
        <f>VLOOKUP($B88,'[1]Products by Part Number'!$A:$L,3,0)</f>
        <v>FUEL/WATER SEPERATOR</v>
      </c>
      <c r="E88" s="69">
        <f>VLOOKUP($B88,'[1]Products by Part Number'!$A:$L,9,0)</f>
        <v>1</v>
      </c>
      <c r="F88" s="70">
        <f>VLOOKUP($B88,'[1]Products by Part Number'!$A:$L,4,0)</f>
        <v>76.150000000000006</v>
      </c>
      <c r="G88" s="71">
        <f t="shared" si="3"/>
        <v>76.150000000000006</v>
      </c>
      <c r="H88" s="71">
        <f>VLOOKUP(B88,'[1]Products by Part Number'!$A:$F,6,0)</f>
        <v>38.08</v>
      </c>
      <c r="I88" s="79">
        <f t="shared" si="2"/>
        <v>38.08</v>
      </c>
    </row>
    <row r="89" spans="2:9" x14ac:dyDescent="0.25">
      <c r="B89" s="78" t="s">
        <v>152</v>
      </c>
      <c r="C89" s="68" t="str">
        <f>VLOOKUP($B89,'[1]Products by Part Number'!$A:$L,2,0)</f>
        <v xml:space="preserve">CAT TL1055C (KDE)                                              </v>
      </c>
      <c r="D89" s="68" t="str">
        <f>VLOOKUP($B89,'[1]Products by Part Number'!$A:$L,3,0)</f>
        <v>FUEL/WATER SEPERATOR</v>
      </c>
      <c r="E89" s="69">
        <f>VLOOKUP($B89,'[1]Products by Part Number'!$A:$L,9,0)</f>
        <v>1</v>
      </c>
      <c r="F89" s="70">
        <f>VLOOKUP($B89,'[1]Products by Part Number'!$A:$L,4,0)</f>
        <v>72.33</v>
      </c>
      <c r="G89" s="71">
        <f t="shared" si="3"/>
        <v>72.33</v>
      </c>
      <c r="H89" s="71">
        <f>VLOOKUP(B89,'[1]Products by Part Number'!$A:$F,6,0)</f>
        <v>36.17</v>
      </c>
      <c r="I89" s="79">
        <f t="shared" si="2"/>
        <v>36.17</v>
      </c>
    </row>
    <row r="90" spans="2:9" x14ac:dyDescent="0.25">
      <c r="B90" s="78" t="s">
        <v>153</v>
      </c>
      <c r="C90" s="68" t="str">
        <f>VLOOKUP($B90,'[1]Products by Part Number'!$A:$L,2,0)</f>
        <v xml:space="preserve">CAT 14 (EN4)                                              </v>
      </c>
      <c r="D90" s="68" t="str">
        <f>VLOOKUP($B90,'[1]Products by Part Number'!$A:$L,3,0)</f>
        <v>FUEL FILTER</v>
      </c>
      <c r="E90" s="69">
        <f>VLOOKUP($B90,'[1]Products by Part Number'!$A:$L,9,0)</f>
        <v>2</v>
      </c>
      <c r="F90" s="70">
        <f>VLOOKUP($B90,'[1]Products by Part Number'!$A:$L,4,0)</f>
        <v>47.23</v>
      </c>
      <c r="G90" s="71">
        <f t="shared" si="3"/>
        <v>94.46</v>
      </c>
      <c r="H90" s="71">
        <f>VLOOKUP(B90,'[1]Products by Part Number'!$A:$F,6,0)</f>
        <v>23.62</v>
      </c>
      <c r="I90" s="79">
        <f t="shared" si="2"/>
        <v>47.24</v>
      </c>
    </row>
    <row r="91" spans="2:9" x14ac:dyDescent="0.25">
      <c r="B91" s="78" t="s">
        <v>154</v>
      </c>
      <c r="C91" s="68" t="str">
        <f>VLOOKUP($B91,'[1]Products by Part Number'!$A:$L,2,0)</f>
        <v xml:space="preserve">CAT 14 (EN4)                                              </v>
      </c>
      <c r="D91" s="68" t="str">
        <f>VLOOKUP($B91,'[1]Products by Part Number'!$A:$L,3,0)</f>
        <v>ENGINE OIL FILTER</v>
      </c>
      <c r="E91" s="69">
        <f>VLOOKUP($B91,'[1]Products by Part Number'!$A:$L,9,0)</f>
        <v>1</v>
      </c>
      <c r="F91" s="70">
        <f>VLOOKUP($B91,'[1]Products by Part Number'!$A:$L,4,0)</f>
        <v>75.31</v>
      </c>
      <c r="G91" s="71">
        <f t="shared" si="3"/>
        <v>75.31</v>
      </c>
      <c r="H91" s="71">
        <f>VLOOKUP(B91,'[1]Products by Part Number'!$A:$F,6,0)</f>
        <v>37.659999999999997</v>
      </c>
      <c r="I91" s="79">
        <f t="shared" si="2"/>
        <v>37.659999999999997</v>
      </c>
    </row>
    <row r="92" spans="2:9" x14ac:dyDescent="0.25">
      <c r="B92" s="78" t="s">
        <v>155</v>
      </c>
      <c r="C92" s="68" t="str">
        <f>VLOOKUP($B92,'[1]Products by Part Number'!$A:$L,2,0)</f>
        <v xml:space="preserve">CAT 255 CAT 255 (2) CAT 255 (FL7)                                          </v>
      </c>
      <c r="D92" s="68" t="str">
        <f>VLOOKUP($B92,'[1]Products by Part Number'!$A:$L,3,0)</f>
        <v>FUEL/WATER SEPERATOR</v>
      </c>
      <c r="E92" s="69">
        <f>VLOOKUP($B92,'[1]Products by Part Number'!$A:$L,9,0)</f>
        <v>3</v>
      </c>
      <c r="F92" s="70">
        <f>VLOOKUP($B92,'[1]Products by Part Number'!$A:$L,4,0)</f>
        <v>77.34</v>
      </c>
      <c r="G92" s="71">
        <f t="shared" si="3"/>
        <v>232.02</v>
      </c>
      <c r="H92" s="71">
        <f>VLOOKUP(B92,'[1]Products by Part Number'!$A:$F,6,0)</f>
        <v>38.67</v>
      </c>
      <c r="I92" s="79">
        <f t="shared" si="2"/>
        <v>116.01</v>
      </c>
    </row>
    <row r="93" spans="2:9" x14ac:dyDescent="0.25">
      <c r="B93" s="78" t="s">
        <v>156</v>
      </c>
      <c r="C93" s="68" t="str">
        <f>VLOOKUP($B93,'[1]Products by Part Number'!$A:$L,2,0)</f>
        <v xml:space="preserve">KOM WA380-8 (1) KOM WA380-8 (2)                                            </v>
      </c>
      <c r="D93" s="68" t="str">
        <f>VLOOKUP($B93,'[1]Products by Part Number'!$A:$L,3,0)</f>
        <v>TRANSMISSION FILTER</v>
      </c>
      <c r="E93" s="69">
        <f>VLOOKUP($B93,'[1]Products by Part Number'!$A:$L,9,0)</f>
        <v>2</v>
      </c>
      <c r="F93" s="70">
        <f>VLOOKUP($B93,'[1]Products by Part Number'!$A:$L,4,0)</f>
        <v>415.83</v>
      </c>
      <c r="G93" s="71">
        <f t="shared" si="3"/>
        <v>831.66</v>
      </c>
      <c r="H93" s="71">
        <f>VLOOKUP(B93,'[1]Products by Part Number'!$A:$F,6,0)</f>
        <v>207.92</v>
      </c>
      <c r="I93" s="79">
        <f t="shared" si="2"/>
        <v>415.84</v>
      </c>
    </row>
    <row r="94" spans="2:9" x14ac:dyDescent="0.25">
      <c r="B94" s="78" t="s">
        <v>157</v>
      </c>
      <c r="C94" s="68" t="str">
        <f>VLOOKUP($B94,'[1]Products by Part Number'!$A:$L,2,0)</f>
        <v xml:space="preserve">CAT 255 CAT 255 (2) CAT 255 (FL7)                                          </v>
      </c>
      <c r="D94" s="68" t="str">
        <f>VLOOKUP($B94,'[1]Products by Part Number'!$A:$L,3,0)</f>
        <v>ENGINE OIL FILTER</v>
      </c>
      <c r="E94" s="69">
        <f>VLOOKUP($B94,'[1]Products by Part Number'!$A:$L,9,0)</f>
        <v>3</v>
      </c>
      <c r="F94" s="70">
        <f>VLOOKUP($B94,'[1]Products by Part Number'!$A:$L,4,0)</f>
        <v>54.67</v>
      </c>
      <c r="G94" s="71">
        <f t="shared" si="3"/>
        <v>164.01</v>
      </c>
      <c r="H94" s="71">
        <f>VLOOKUP(B94,'[1]Products by Part Number'!$A:$F,6,0)</f>
        <v>27.34</v>
      </c>
      <c r="I94" s="79">
        <f t="shared" si="2"/>
        <v>82.02</v>
      </c>
    </row>
    <row r="95" spans="2:9" x14ac:dyDescent="0.25">
      <c r="B95" s="78" t="s">
        <v>158</v>
      </c>
      <c r="C95" s="68" t="str">
        <f>VLOOKUP($B95,'[1]Products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KOM WA475-10 (120)                            </v>
      </c>
      <c r="D95" s="68" t="str">
        <f>VLOOKUP($B95,'[1]Products by Part Number'!$A:$L,3,0)</f>
        <v>ENGINE OIL FILTER</v>
      </c>
      <c r="E95" s="69">
        <f>VLOOKUP($B95,'[1]Products by Part Number'!$A:$L,9,0)</f>
        <v>10</v>
      </c>
      <c r="F95" s="70">
        <f>VLOOKUP($B95,'[1]Products by Part Number'!$A:$L,4,0)</f>
        <v>161.84</v>
      </c>
      <c r="G95" s="71">
        <f t="shared" si="3"/>
        <v>1618.4</v>
      </c>
      <c r="H95" s="71">
        <f>VLOOKUP(B95,'[1]Products by Part Number'!$A:$F,6,0)</f>
        <v>80.92</v>
      </c>
      <c r="I95" s="79">
        <f t="shared" si="2"/>
        <v>809.2</v>
      </c>
    </row>
    <row r="96" spans="2:9" x14ac:dyDescent="0.25">
      <c r="B96" s="78" t="s">
        <v>159</v>
      </c>
      <c r="C96" s="68" t="str">
        <f>VLOOKUP($B96,'[1]Products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96" s="68" t="str">
        <f>VLOOKUP($B96,'[1]Products by Part Number'!$A:$L,3,0)</f>
        <v>ENGINE OIL FILTER</v>
      </c>
      <c r="E96" s="69">
        <f>VLOOKUP($B96,'[1]Products by Part Number'!$A:$L,9,0)</f>
        <v>14</v>
      </c>
      <c r="F96" s="70">
        <f>VLOOKUP($B96,'[1]Products by Part Number'!$A:$L,4,0)</f>
        <v>161.84</v>
      </c>
      <c r="G96" s="71">
        <f t="shared" si="3"/>
        <v>2265.7600000000002</v>
      </c>
      <c r="H96" s="71">
        <f>VLOOKUP(B96,'[1]Products by Part Number'!$A:$F,6,0)</f>
        <v>80.92</v>
      </c>
      <c r="I96" s="79">
        <f t="shared" si="2"/>
        <v>1132.8800000000001</v>
      </c>
    </row>
    <row r="97" spans="2:9" x14ac:dyDescent="0.25">
      <c r="B97" s="78" t="s">
        <v>160</v>
      </c>
      <c r="C97" s="68" t="str">
        <f>VLOOKUP($B97,'[1]Products by Part Number'!$A:$L,2,0)</f>
        <v xml:space="preserve">KOM PC138USLC-11 KOM PC238USLC-11 (1)                                            </v>
      </c>
      <c r="D97" s="68" t="str">
        <f>VLOOKUP($B97,'[1]Products by Part Number'!$A:$L,3,0)</f>
        <v>ENGINE OIL FILTER</v>
      </c>
      <c r="E97" s="69">
        <f>VLOOKUP($B97,'[1]Products by Part Number'!$A:$L,9,0)</f>
        <v>2</v>
      </c>
      <c r="F97" s="70">
        <f>VLOOKUP($B97,'[1]Products by Part Number'!$A:$L,4,0)</f>
        <v>27.53</v>
      </c>
      <c r="G97" s="71">
        <f t="shared" si="3"/>
        <v>55.06</v>
      </c>
      <c r="H97" s="71">
        <f>VLOOKUP(B97,'[1]Products by Part Number'!$A:$F,6,0)</f>
        <v>13.77</v>
      </c>
      <c r="I97" s="79">
        <f t="shared" si="2"/>
        <v>27.54</v>
      </c>
    </row>
    <row r="98" spans="2:9" x14ac:dyDescent="0.25">
      <c r="B98" s="78" t="s">
        <v>161</v>
      </c>
      <c r="C98" s="68" t="str">
        <f>VLOOKUP($B98,'[1]Products by Part Number'!$A:$L,2,0)</f>
        <v xml:space="preserve">KOM D71PX-24 (1) KOM D71PX-24 (2) KOM D71PX-24 (3) KOM D71PX-24 (4) KOM D71PX-24 (5) KOM D71PX-24 (6) KOM D71PX-24 (7) KOM PC238USLC-11 (2) KOM WA380-8 (1) KOM WA380-8 (2) KOM WA320-8 (867) KOM WA320PZ-6 (729) KOM PC360LC-11 (A37) KOM PC360LC-11 (A39) KOM PC360LC-11 (A39) (2) KOM PC290LC-11 (K73) KOM D61PX-24 (B60)              </v>
      </c>
      <c r="D98" s="68" t="str">
        <f>VLOOKUP($B98,'[1]Products by Part Number'!$A:$L,3,0)</f>
        <v>FUEL FILTER</v>
      </c>
      <c r="E98" s="69">
        <f>VLOOKUP($B98,'[1]Products by Part Number'!$A:$L,9,0)</f>
        <v>17</v>
      </c>
      <c r="F98" s="70">
        <f>VLOOKUP($B98,'[1]Products by Part Number'!$A:$L,4,0)</f>
        <v>275.9862</v>
      </c>
      <c r="G98" s="71">
        <f t="shared" si="3"/>
        <v>4691.7654000000002</v>
      </c>
      <c r="H98" s="71">
        <f>VLOOKUP(B98,'[1]Products by Part Number'!$A:$F,6,0)</f>
        <v>137.99</v>
      </c>
      <c r="I98" s="79">
        <f t="shared" si="2"/>
        <v>2345.83</v>
      </c>
    </row>
    <row r="99" spans="2:9" x14ac:dyDescent="0.25">
      <c r="B99" s="78" t="s">
        <v>162</v>
      </c>
      <c r="C99" s="68" t="str">
        <f>VLOOKUP($B99,'[1]Products by Part Number'!$A:$L,2,0)</f>
        <v xml:space="preserve">KOM D71PX-24 (1) KOM D71PX-24 (2) KOM D71PX-24 (3) KOM D71PX-24 (4) KOM D71PX-24 (5) KOM D71PX-24 (6) KOM D71PX-24 (7) KOM PC238USLC-11 (2) KOM WA380-8 (1) KOM WA380-8 (2) KOM WA320-8 (867) KOM WA320PZ-6 (729) KOM PC360LC-11 (A37) KOM PC360LC-11 (A39) KOM PC360LC-11 (A39) (2) KOM PC290LC-11 (K73) KOM D61PX-24 (B60)              </v>
      </c>
      <c r="D99" s="68" t="str">
        <f>VLOOKUP($B99,'[1]Products by Part Number'!$A:$L,3,0)</f>
        <v>FUEL FILTER</v>
      </c>
      <c r="E99" s="69">
        <f>VLOOKUP($B99,'[1]Products by Part Number'!$A:$L,9,0)</f>
        <v>17</v>
      </c>
      <c r="F99" s="70">
        <f>VLOOKUP($B99,'[1]Products by Part Number'!$A:$L,4,0)</f>
        <v>61.975799999999992</v>
      </c>
      <c r="G99" s="71">
        <f t="shared" si="3"/>
        <v>1053.5885999999998</v>
      </c>
      <c r="H99" s="71">
        <f>VLOOKUP(B99,'[1]Products by Part Number'!$A:$F,6,0)</f>
        <v>30.99</v>
      </c>
      <c r="I99" s="79">
        <f t="shared" si="2"/>
        <v>526.83000000000004</v>
      </c>
    </row>
    <row r="100" spans="2:9" x14ac:dyDescent="0.25">
      <c r="B100" s="78" t="s">
        <v>163</v>
      </c>
      <c r="C100" s="68" t="str">
        <f>VLOOKUP($B100,'[1]Products by Part Number'!$A:$L,2,0)</f>
        <v>KOM HM400-5 (1) KOM HM400-5 (2) KOM HM400-5 (3) KOM HM400-5 (4) KOM HM400-5 (5) KOM HM400-5 (6) KOM HM400-5 (7) KOM HM400-5 (8) KOM HM400-5 (9) KOM HM400-5 (10) KOM HM400 (11) KOM HM400 (12) KOM HM400 (13) KOM HM400-5 (14) KOM PC490LC-11 (A42) KOM PC490LC-11 (A42) (2) KOM PC490LC-11 (A42) (3) KOM PC490LC-11 (A42) (4) KOM PC490LC-11 (A42) (5) KOM PC490LC-11 (A43) KOM PC490LC-11 (KMT) (1) KOM PC490LC-11 (KMT) (2) KOM PC490LC-11 (KMT) (3) KOM WA475-10 (120)</v>
      </c>
      <c r="D100" s="68" t="str">
        <f>VLOOKUP($B100,'[1]Products by Part Number'!$A:$L,3,0)</f>
        <v>FUEL FILTER</v>
      </c>
      <c r="E100" s="69">
        <f>VLOOKUP($B100,'[1]Products by Part Number'!$A:$L,9,0)</f>
        <v>24</v>
      </c>
      <c r="F100" s="70">
        <f>VLOOKUP($B100,'[1]Products by Part Number'!$A:$L,4,0)</f>
        <v>198.95</v>
      </c>
      <c r="G100" s="71">
        <f t="shared" si="3"/>
        <v>4774.7999999999993</v>
      </c>
      <c r="H100" s="71">
        <f>VLOOKUP(B100,'[1]Products by Part Number'!$A:$F,6,0)</f>
        <v>99.48</v>
      </c>
      <c r="I100" s="79">
        <f t="shared" si="2"/>
        <v>2387.52</v>
      </c>
    </row>
    <row r="101" spans="2:9" x14ac:dyDescent="0.25">
      <c r="B101" s="78" t="s">
        <v>164</v>
      </c>
      <c r="C101" s="68" t="str">
        <f>VLOOKUP($B101,'[1]Products by Part Number'!$A:$L,2,0)</f>
        <v xml:space="preserve">KOM PC138USLC-11 KOM PC238USLC-11 (1)                                            </v>
      </c>
      <c r="D101" s="68" t="str">
        <f>VLOOKUP($B101,'[1]Products by Part Number'!$A:$L,3,0)</f>
        <v>FUEL FILTER</v>
      </c>
      <c r="E101" s="69">
        <f>VLOOKUP($B101,'[1]Products by Part Number'!$A:$L,9,0)</f>
        <v>2</v>
      </c>
      <c r="F101" s="70">
        <f>VLOOKUP($B101,'[1]Products by Part Number'!$A:$L,4,0)</f>
        <v>78.06</v>
      </c>
      <c r="G101" s="71">
        <f t="shared" si="3"/>
        <v>156.12</v>
      </c>
      <c r="H101" s="71">
        <f>VLOOKUP(B101,'[1]Products by Part Number'!$A:$F,6,0)</f>
        <v>39.03</v>
      </c>
      <c r="I101" s="79">
        <f t="shared" si="2"/>
        <v>78.06</v>
      </c>
    </row>
    <row r="102" spans="2:9" x14ac:dyDescent="0.25">
      <c r="B102" s="78" t="s">
        <v>165</v>
      </c>
      <c r="C102" s="68" t="str">
        <f>VLOOKUP($B102,'[1]Products by Part Number'!$A:$L,2,0)</f>
        <v xml:space="preserve">KOM PC138USLC-11 KOM PC238USLC-11 (1)                                            </v>
      </c>
      <c r="D102" s="68" t="str">
        <f>VLOOKUP($B102,'[1]Products by Part Number'!$A:$L,3,0)</f>
        <v>FUEL FILTER</v>
      </c>
      <c r="E102" s="69">
        <f>VLOOKUP($B102,'[1]Products by Part Number'!$A:$L,9,0)</f>
        <v>2</v>
      </c>
      <c r="F102" s="70">
        <f>VLOOKUP($B102,'[1]Products by Part Number'!$A:$L,4,0)</f>
        <v>81.8</v>
      </c>
      <c r="G102" s="71">
        <f t="shared" si="3"/>
        <v>163.6</v>
      </c>
      <c r="H102" s="71">
        <f>VLOOKUP(B102,'[1]Products by Part Number'!$A:$F,6,0)</f>
        <v>40.9</v>
      </c>
      <c r="I102" s="79">
        <f t="shared" si="2"/>
        <v>81.8</v>
      </c>
    </row>
    <row r="103" spans="2:9" x14ac:dyDescent="0.25">
      <c r="B103" s="78" t="s">
        <v>166</v>
      </c>
      <c r="C103" s="68" t="str">
        <f>VLOOKUP($B103,'[1]Products by Part Number'!$A:$L,2,0)</f>
        <v xml:space="preserve">KOM WA475-10 (120)                                              </v>
      </c>
      <c r="D103" s="68" t="str">
        <f>VLOOKUP($B103,'[1]Products by Part Number'!$A:$L,3,0)</f>
        <v>FUEL FILTER</v>
      </c>
      <c r="E103" s="69">
        <f>VLOOKUP($B103,'[1]Products by Part Number'!$A:$L,9,0)</f>
        <v>1</v>
      </c>
      <c r="F103" s="70">
        <f>VLOOKUP($B103,'[1]Products by Part Number'!$A:$L,4,0)</f>
        <v>69.17</v>
      </c>
      <c r="G103" s="71">
        <f t="shared" si="3"/>
        <v>69.17</v>
      </c>
      <c r="H103" s="71">
        <f>VLOOKUP(B103,'[1]Products by Part Number'!$A:$F,6,0)</f>
        <v>34.590000000000003</v>
      </c>
      <c r="I103" s="79">
        <f t="shared" si="2"/>
        <v>34.590000000000003</v>
      </c>
    </row>
    <row r="104" spans="2:9" x14ac:dyDescent="0.25">
      <c r="B104" s="78" t="s">
        <v>167</v>
      </c>
      <c r="C104" s="68" t="str">
        <f>VLOOKUP($B104,'[1]Products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104" s="68" t="str">
        <f>VLOOKUP($B104,'[1]Products by Part Number'!$A:$L,3,0)</f>
        <v>FUEL FILTER</v>
      </c>
      <c r="E104" s="69">
        <f>VLOOKUP($B104,'[1]Products by Part Number'!$A:$L,9,0)</f>
        <v>14</v>
      </c>
      <c r="F104" s="70">
        <f>VLOOKUP($B104,'[1]Products by Part Number'!$A:$L,4,0)</f>
        <v>233.62</v>
      </c>
      <c r="G104" s="71">
        <f t="shared" si="3"/>
        <v>3270.6800000000003</v>
      </c>
      <c r="H104" s="71">
        <f>VLOOKUP(B104,'[1]Products by Part Number'!$A:$F,6,0)</f>
        <v>116.81</v>
      </c>
      <c r="I104" s="79">
        <f t="shared" si="2"/>
        <v>1635.34</v>
      </c>
    </row>
    <row r="105" spans="2:9" x14ac:dyDescent="0.25">
      <c r="B105" s="78" t="s">
        <v>168</v>
      </c>
      <c r="C105" s="68" t="str">
        <f>VLOOKUP($B105,'[1]Products by Part Number'!$A:$L,2,0)</f>
        <v xml:space="preserve">KOM PC238USLC-11 (2) KOM WA380-8 (1) KOM WA380-8 (2) KOM WA320-8 (867) KOM WA320PZ-6 (729) KOM PC290LC-11 (K73) KOM D61PX-24 (B60)                                  </v>
      </c>
      <c r="D105" s="68" t="str">
        <f>VLOOKUP($B105,'[1]Products by Part Number'!$A:$L,3,0)</f>
        <v>ENGINE OIL FILTER</v>
      </c>
      <c r="E105" s="69">
        <f>VLOOKUP($B105,'[1]Products by Part Number'!$A:$L,9,0)</f>
        <v>7</v>
      </c>
      <c r="F105" s="70">
        <f>VLOOKUP($B105,'[1]Products by Part Number'!$A:$L,4,0)</f>
        <v>38.229999999999997</v>
      </c>
      <c r="G105" s="71">
        <f t="shared" si="3"/>
        <v>267.60999999999996</v>
      </c>
      <c r="H105" s="71">
        <f>VLOOKUP(B105,'[1]Products by Part Number'!$A:$F,6,0)</f>
        <v>19.12</v>
      </c>
      <c r="I105" s="79">
        <f t="shared" si="2"/>
        <v>133.84</v>
      </c>
    </row>
    <row r="106" spans="2:9" x14ac:dyDescent="0.25">
      <c r="B106" s="78" t="s">
        <v>169</v>
      </c>
      <c r="C106" s="68" t="str">
        <f>VLOOKUP($B106,'[1]Products by Part Number'!$A:$L,2,0)</f>
        <v xml:space="preserve">KOM D71PX-24 (1) KOM D71PX-24 (2) KOM D71PX-24 (3) KOM D71PX-24 (4) KOM D71PX-24 (5) KOM D71PX-24 (6) KOM D71PX-24 (7) KOM PC360LC-11 (A37) KOM PC360LC-11 (A39) KOM PC360LC-11 (A39) (2)                            </v>
      </c>
      <c r="D106" s="68" t="str">
        <f>VLOOKUP($B106,'[1]Products by Part Number'!$A:$L,3,0)</f>
        <v>ENGINE OIL FILTER</v>
      </c>
      <c r="E106" s="69">
        <f>VLOOKUP($B106,'[1]Products by Part Number'!$A:$L,9,0)</f>
        <v>10</v>
      </c>
      <c r="F106" s="70">
        <f>VLOOKUP($B106,'[1]Products by Part Number'!$A:$L,4,0)</f>
        <v>179.262</v>
      </c>
      <c r="G106" s="71">
        <f t="shared" si="3"/>
        <v>1792.62</v>
      </c>
      <c r="H106" s="71">
        <f>VLOOKUP(B106,'[1]Products by Part Number'!$A:$F,6,0)</f>
        <v>89.63</v>
      </c>
      <c r="I106" s="79">
        <f t="shared" si="2"/>
        <v>896.3</v>
      </c>
    </row>
    <row r="107" spans="2:9" x14ac:dyDescent="0.25">
      <c r="B107" s="78" t="s">
        <v>170</v>
      </c>
      <c r="C107" s="68" t="str">
        <f>VLOOKUP($B107,'[1]Products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KOM WA475-10 (120)                  </v>
      </c>
      <c r="D107" s="68" t="str">
        <f>VLOOKUP($B107,'[1]Products by Part Number'!$A:$L,3,0)</f>
        <v>TRANSMISSION FILTER</v>
      </c>
      <c r="E107" s="69">
        <f>VLOOKUP($B107,'[1]Products by Part Number'!$A:$L,9,0)</f>
        <v>1</v>
      </c>
      <c r="F107" s="70">
        <f>VLOOKUP($B107,'[1]Products by Part Number'!$A:$L,4,0)</f>
        <v>126.77</v>
      </c>
      <c r="G107" s="71">
        <f t="shared" si="3"/>
        <v>126.77</v>
      </c>
      <c r="H107" s="71">
        <f>VLOOKUP(B107,'[1]Products by Part Number'!$A:$F,6,0)</f>
        <v>63.39</v>
      </c>
      <c r="I107" s="79">
        <f t="shared" si="2"/>
        <v>63.39</v>
      </c>
    </row>
    <row r="108" spans="2:9" x14ac:dyDescent="0.25">
      <c r="B108" s="78" t="s">
        <v>171</v>
      </c>
      <c r="C108" s="68" t="str">
        <f>VLOOKUP($B108,'[1]Products by Part Number'!$A:$L,2,0)</f>
        <v xml:space="preserve">CAT TL1055C (KDE)                                              </v>
      </c>
      <c r="D108" s="68" t="str">
        <f>VLOOKUP($B108,'[1]Products by Part Number'!$A:$L,3,0)</f>
        <v>ENGINE OIL FILTER</v>
      </c>
      <c r="E108" s="69">
        <f>VLOOKUP($B108,'[1]Products by Part Number'!$A:$L,9,0)</f>
        <v>1</v>
      </c>
      <c r="F108" s="70">
        <f>VLOOKUP($B108,'[1]Products by Part Number'!$A:$L,4,0)</f>
        <v>29.79</v>
      </c>
      <c r="G108" s="71">
        <f t="shared" si="3"/>
        <v>29.79</v>
      </c>
      <c r="H108" s="71">
        <f>VLOOKUP(B108,'[1]Products by Part Number'!$A:$F,6,0)</f>
        <v>14.9</v>
      </c>
      <c r="I108" s="79">
        <f t="shared" si="2"/>
        <v>14.9</v>
      </c>
    </row>
    <row r="109" spans="2:9" x14ac:dyDescent="0.25">
      <c r="B109" s="78" t="s">
        <v>172</v>
      </c>
      <c r="C109" s="68" t="str">
        <f>VLOOKUP($B109,'[1]Products by Part Number'!$A:$L,2,0)</f>
        <v xml:space="preserve">JD 624K (DW6)                                              </v>
      </c>
      <c r="D109" s="68" t="str">
        <f>VLOOKUP($B109,'[1]Products by Part Number'!$A:$L,3,0)</f>
        <v>INLINE FUEL FILTER</v>
      </c>
      <c r="E109" s="69">
        <f>VLOOKUP($B109,'[1]Products by Part Number'!$A:$L,9,0)</f>
        <v>1</v>
      </c>
      <c r="F109" s="70">
        <f>VLOOKUP($B109,'[1]Products by Part Number'!$A:$L,4,0)</f>
        <v>18.519599999999997</v>
      </c>
      <c r="G109" s="71">
        <f t="shared" si="3"/>
        <v>18.519599999999997</v>
      </c>
      <c r="H109" s="71">
        <f>VLOOKUP(B109,'[1]Products by Part Number'!$A:$F,6,0)</f>
        <v>9.26</v>
      </c>
      <c r="I109" s="79">
        <f t="shared" si="2"/>
        <v>9.26</v>
      </c>
    </row>
    <row r="110" spans="2:9" x14ac:dyDescent="0.25">
      <c r="B110" s="78" t="s">
        <v>173</v>
      </c>
      <c r="C110" s="68" t="str">
        <f>VLOOKUP($B110,'[1]Products by Part Number'!$A:$L,2,0)</f>
        <v xml:space="preserve">JD 470P (1FF)                                              </v>
      </c>
      <c r="D110" s="68" t="str">
        <f>VLOOKUP($B110,'[1]Products by Part Number'!$A:$L,3,0)</f>
        <v>FUEL FILTER</v>
      </c>
      <c r="E110" s="69">
        <f>VLOOKUP($B110,'[1]Products by Part Number'!$A:$L,9,0)</f>
        <v>1</v>
      </c>
      <c r="F110" s="70">
        <f>VLOOKUP($B110,'[1]Products by Part Number'!$A:$L,4,0)</f>
        <v>91.452600000000004</v>
      </c>
      <c r="G110" s="71">
        <f t="shared" si="3"/>
        <v>91.452600000000004</v>
      </c>
      <c r="H110" s="71">
        <f>VLOOKUP(B110,'[1]Products by Part Number'!$A:$F,6,0)</f>
        <v>45.73</v>
      </c>
      <c r="I110" s="79">
        <f t="shared" si="2"/>
        <v>45.73</v>
      </c>
    </row>
    <row r="111" spans="2:9" x14ac:dyDescent="0.25">
      <c r="B111" s="78" t="s">
        <v>174</v>
      </c>
      <c r="C111" s="68" t="str">
        <f>VLOOKUP($B111,'[1]Products by Part Number'!$A:$L,2,0)</f>
        <v xml:space="preserve">JD 624K (DW6)                                              </v>
      </c>
      <c r="D111" s="68" t="str">
        <f>VLOOKUP($B111,'[1]Products by Part Number'!$A:$L,3,0)</f>
        <v>FUEL/WATER SEPERATOR</v>
      </c>
      <c r="E111" s="69">
        <f>VLOOKUP($B111,'[1]Products by Part Number'!$A:$L,9,0)</f>
        <v>1</v>
      </c>
      <c r="F111" s="70">
        <f>VLOOKUP($B111,'[1]Products by Part Number'!$A:$L,4,0)</f>
        <v>72.049799999999991</v>
      </c>
      <c r="G111" s="71">
        <f t="shared" si="3"/>
        <v>72.049799999999991</v>
      </c>
      <c r="H111" s="71">
        <f>VLOOKUP(B111,'[1]Products by Part Number'!$A:$F,6,0)</f>
        <v>36.020000000000003</v>
      </c>
      <c r="I111" s="79">
        <f t="shared" si="2"/>
        <v>36.020000000000003</v>
      </c>
    </row>
    <row r="112" spans="2:9" x14ac:dyDescent="0.25">
      <c r="B112" s="78" t="s">
        <v>175</v>
      </c>
      <c r="C112" s="68" t="str">
        <f>VLOOKUP($B112,'[1]Products by Part Number'!$A:$L,2,0)</f>
        <v xml:space="preserve">JD 624K (DW6)                                              </v>
      </c>
      <c r="D112" s="68" t="str">
        <f>VLOOKUP($B112,'[1]Products by Part Number'!$A:$L,3,0)</f>
        <v>AXLE OIL FILTERS</v>
      </c>
      <c r="E112" s="69">
        <f>VLOOKUP($B112,'[1]Products by Part Number'!$A:$L,9,0)</f>
        <v>2</v>
      </c>
      <c r="F112" s="70">
        <f>VLOOKUP($B112,'[1]Products by Part Number'!$A:$L,4,0)</f>
        <v>176.19839999999999</v>
      </c>
      <c r="G112" s="71">
        <f t="shared" si="3"/>
        <v>352.39679999999998</v>
      </c>
      <c r="H112" s="71">
        <f>VLOOKUP(B112,'[1]Products by Part Number'!$A:$F,6,0)</f>
        <v>88.1</v>
      </c>
      <c r="I112" s="79">
        <f t="shared" si="2"/>
        <v>176.2</v>
      </c>
    </row>
    <row r="113" spans="2:9" x14ac:dyDescent="0.25">
      <c r="B113" s="78" t="s">
        <v>176</v>
      </c>
      <c r="C113" s="68" t="str">
        <f>VLOOKUP($B113,'[1]Products by Part Number'!$A:$L,2,0)</f>
        <v xml:space="preserve">JD 624K (DW6)                                              </v>
      </c>
      <c r="D113" s="68" t="str">
        <f>VLOOKUP($B113,'[1]Products by Part Number'!$A:$L,3,0)</f>
        <v>TRANSMISSION OIL FILTER</v>
      </c>
      <c r="E113" s="69">
        <f>VLOOKUP($B113,'[1]Products by Part Number'!$A:$L,9,0)</f>
        <v>0</v>
      </c>
      <c r="F113" s="70">
        <f>VLOOKUP($B113,'[1]Products by Part Number'!$A:$L,4,0)</f>
        <v>91.866599999999977</v>
      </c>
      <c r="G113" s="71">
        <f t="shared" si="3"/>
        <v>0</v>
      </c>
      <c r="H113" s="71">
        <f>VLOOKUP(B113,'[1]Products by Part Number'!$A:$F,6,0)</f>
        <v>45.93</v>
      </c>
      <c r="I113" s="79">
        <f t="shared" si="2"/>
        <v>0</v>
      </c>
    </row>
    <row r="114" spans="2:9" x14ac:dyDescent="0.25">
      <c r="B114" s="78" t="s">
        <v>177</v>
      </c>
      <c r="C114" s="68" t="str">
        <f>VLOOKUP($B114,'[1]Products by Part Number'!$A:$L,2,0)</f>
        <v xml:space="preserve">JD 470P (1FF)                                              </v>
      </c>
      <c r="D114" s="68" t="str">
        <f>VLOOKUP($B114,'[1]Products by Part Number'!$A:$L,3,0)</f>
        <v>FINAL FUEL FILTER</v>
      </c>
      <c r="E114" s="69">
        <f>VLOOKUP($B114,'[1]Products by Part Number'!$A:$L,9,0)</f>
        <v>1</v>
      </c>
      <c r="F114" s="70">
        <f>VLOOKUP($B114,'[1]Products by Part Number'!$A:$L,4,0)</f>
        <v>201.06599999999997</v>
      </c>
      <c r="G114" s="71">
        <f t="shared" si="3"/>
        <v>201.06599999999997</v>
      </c>
      <c r="H114" s="71">
        <f>VLOOKUP(B114,'[1]Products by Part Number'!$A:$F,6,0)</f>
        <v>100.53</v>
      </c>
      <c r="I114" s="79">
        <f t="shared" si="2"/>
        <v>100.53</v>
      </c>
    </row>
    <row r="115" spans="2:9" x14ac:dyDescent="0.25">
      <c r="B115" s="78" t="s">
        <v>178</v>
      </c>
      <c r="C115" s="68" t="str">
        <f>VLOOKUP($B115,'[1]Products by Part Number'!$A:$L,2,0)</f>
        <v xml:space="preserve">JD 470P (1FF)                                              </v>
      </c>
      <c r="D115" s="68" t="str">
        <f>VLOOKUP($B115,'[1]Products by Part Number'!$A:$L,3,0)</f>
        <v>PRIMARY FUEL FILTER</v>
      </c>
      <c r="E115" s="69">
        <f>VLOOKUP($B115,'[1]Products by Part Number'!$A:$L,9,0)</f>
        <v>1</v>
      </c>
      <c r="F115" s="70">
        <f>VLOOKUP($B115,'[1]Products by Part Number'!$A:$L,4,0)</f>
        <v>197.90579999999997</v>
      </c>
      <c r="G115" s="71">
        <f t="shared" si="3"/>
        <v>197.90579999999997</v>
      </c>
      <c r="H115" s="71">
        <f>VLOOKUP(B115,'[1]Products by Part Number'!$A:$F,6,0)</f>
        <v>98.95</v>
      </c>
      <c r="I115" s="79">
        <f t="shared" si="2"/>
        <v>98.95</v>
      </c>
    </row>
    <row r="116" spans="2:9" x14ac:dyDescent="0.25">
      <c r="B116" s="78" t="s">
        <v>179</v>
      </c>
      <c r="C116" s="68" t="str">
        <f>VLOOKUP($B116,'[1]Products by Part Number'!$A:$L,2,0)</f>
        <v xml:space="preserve">JD 333G (1T0)                                              </v>
      </c>
      <c r="D116" s="68" t="str">
        <f>VLOOKUP($B116,'[1]Products by Part Number'!$A:$L,3,0)</f>
        <v>ENGINE OIL FILTER</v>
      </c>
      <c r="E116" s="69">
        <f>VLOOKUP($B116,'[1]Products by Part Number'!$A:$L,9,0)</f>
        <v>1</v>
      </c>
      <c r="F116" s="70">
        <f>VLOOKUP($B116,'[1]Products by Part Number'!$A:$L,4,0)</f>
        <v>27.669</v>
      </c>
      <c r="G116" s="71">
        <f t="shared" si="3"/>
        <v>27.669</v>
      </c>
      <c r="H116" s="71">
        <f>VLOOKUP(B116,'[1]Products by Part Number'!$A:$F,6,0)</f>
        <v>13.83</v>
      </c>
      <c r="I116" s="79">
        <f t="shared" si="2"/>
        <v>13.83</v>
      </c>
    </row>
    <row r="117" spans="2:9" x14ac:dyDescent="0.25">
      <c r="B117" s="78" t="s">
        <v>180</v>
      </c>
      <c r="C117" s="68" t="str">
        <f>VLOOKUP($B117,'[1]Products by Part Number'!$A:$L,2,0)</f>
        <v xml:space="preserve">JD 333G (1T0)                                              </v>
      </c>
      <c r="D117" s="68" t="str">
        <f>VLOOKUP($B117,'[1]Products by Part Number'!$A:$L,3,0)</f>
        <v>PRIMARY FUEL FILTER</v>
      </c>
      <c r="E117" s="69">
        <f>VLOOKUP($B117,'[1]Products by Part Number'!$A:$L,9,0)</f>
        <v>1</v>
      </c>
      <c r="F117" s="70">
        <f>VLOOKUP($B117,'[1]Products by Part Number'!$A:$L,4,0)</f>
        <v>51.722399999999993</v>
      </c>
      <c r="G117" s="71">
        <f t="shared" si="3"/>
        <v>51.722399999999993</v>
      </c>
      <c r="H117" s="71">
        <f>VLOOKUP(B117,'[1]Products by Part Number'!$A:$F,6,0)</f>
        <v>25.86</v>
      </c>
      <c r="I117" s="79">
        <f t="shared" si="2"/>
        <v>25.86</v>
      </c>
    </row>
    <row r="118" spans="2:9" x14ac:dyDescent="0.25">
      <c r="B118" s="78" t="s">
        <v>181</v>
      </c>
      <c r="C118" s="68" t="str">
        <f>VLOOKUP($B118,'[1]Products by Part Number'!$A:$L,2,0)</f>
        <v xml:space="preserve">JD 333G (1T0)                                              </v>
      </c>
      <c r="D118" s="68" t="str">
        <f>VLOOKUP($B118,'[1]Products by Part Number'!$A:$L,3,0)</f>
        <v>FINAL FUEL FILTER</v>
      </c>
      <c r="E118" s="69">
        <f>VLOOKUP($B118,'[1]Products by Part Number'!$A:$L,9,0)</f>
        <v>1</v>
      </c>
      <c r="F118" s="70">
        <f>VLOOKUP($B118,'[1]Products by Part Number'!$A:$L,4,0)</f>
        <v>91.010999999999996</v>
      </c>
      <c r="G118" s="71">
        <f t="shared" si="3"/>
        <v>91.010999999999996</v>
      </c>
      <c r="H118" s="71">
        <f>VLOOKUP(B118,'[1]Products by Part Number'!$A:$F,6,0)</f>
        <v>45.51</v>
      </c>
      <c r="I118" s="79">
        <f t="shared" si="2"/>
        <v>45.51</v>
      </c>
    </row>
    <row r="119" spans="2:9" x14ac:dyDescent="0.25">
      <c r="B119" s="78" t="s">
        <v>182</v>
      </c>
      <c r="C119" s="68" t="str">
        <f>VLOOKUP($B119,'[1]Products by Part Number'!$A:$L,2,0)</f>
        <v xml:space="preserve">JD 624K (DW6) JD 764 (100)                                            </v>
      </c>
      <c r="D119" s="68" t="str">
        <f>VLOOKUP($B119,'[1]Products by Part Number'!$A:$L,3,0)</f>
        <v>ENGINE OIL FILTER</v>
      </c>
      <c r="E119" s="69">
        <f>VLOOKUP($B119,'[1]Products by Part Number'!$A:$L,9,0)</f>
        <v>2</v>
      </c>
      <c r="F119" s="70">
        <f>VLOOKUP($B119,'[1]Products by Part Number'!$A:$L,4,0)</f>
        <v>33.368399999999994</v>
      </c>
      <c r="G119" s="71">
        <f t="shared" si="3"/>
        <v>66.736799999999988</v>
      </c>
      <c r="H119" s="71">
        <f>VLOOKUP(B119,'[1]Products by Part Number'!$A:$F,6,0)</f>
        <v>16.68</v>
      </c>
      <c r="I119" s="79">
        <f t="shared" si="2"/>
        <v>33.36</v>
      </c>
    </row>
    <row r="120" spans="2:9" x14ac:dyDescent="0.25">
      <c r="B120" s="78" t="s">
        <v>183</v>
      </c>
      <c r="C120" s="68" t="str">
        <f>VLOOKUP($B120,'[1]Products by Part Number'!$A:$L,2,0)</f>
        <v xml:space="preserve">JD 624K (DW6) JD 764 (100)                                            </v>
      </c>
      <c r="D120" s="68" t="str">
        <f>VLOOKUP($B120,'[1]Products by Part Number'!$A:$L,3,0)</f>
        <v>FINAL FUEL FILTER</v>
      </c>
      <c r="E120" s="69">
        <f>VLOOKUP($B120,'[1]Products by Part Number'!$A:$L,9,0)</f>
        <v>2</v>
      </c>
      <c r="F120" s="70">
        <f>VLOOKUP($B120,'[1]Products by Part Number'!$A:$L,4,0)</f>
        <v>57.490799999999993</v>
      </c>
      <c r="G120" s="71">
        <f t="shared" si="3"/>
        <v>114.98159999999999</v>
      </c>
      <c r="H120" s="71">
        <f>VLOOKUP(B120,'[1]Products by Part Number'!$A:$F,6,0)</f>
        <v>28.75</v>
      </c>
      <c r="I120" s="79">
        <f t="shared" si="2"/>
        <v>57.5</v>
      </c>
    </row>
    <row r="121" spans="2:9" x14ac:dyDescent="0.25">
      <c r="B121" s="78" t="s">
        <v>184</v>
      </c>
      <c r="C121" s="68" t="str">
        <f>VLOOKUP($B121,'[1]Products by Part Number'!$A:$L,2,0)</f>
        <v xml:space="preserve">JD 624K (DW6) JD 764 (100)                                            </v>
      </c>
      <c r="D121" s="68" t="str">
        <f>VLOOKUP($B121,'[1]Products by Part Number'!$A:$L,3,0)</f>
        <v>PRIMARY FUEL FILTER</v>
      </c>
      <c r="E121" s="69">
        <f>VLOOKUP($B121,'[1]Products by Part Number'!$A:$L,9,0)</f>
        <v>2</v>
      </c>
      <c r="F121" s="70">
        <f>VLOOKUP($B121,'[1]Products by Part Number'!$A:$L,4,0)</f>
        <v>57.463199999999993</v>
      </c>
      <c r="G121" s="71">
        <f t="shared" si="3"/>
        <v>114.92639999999999</v>
      </c>
      <c r="H121" s="71">
        <f>VLOOKUP(B121,'[1]Products by Part Number'!$A:$F,6,0)</f>
        <v>28.73</v>
      </c>
      <c r="I121" s="79">
        <f t="shared" si="2"/>
        <v>57.46</v>
      </c>
    </row>
    <row r="122" spans="2:9" x14ac:dyDescent="0.25">
      <c r="B122" s="78" t="s">
        <v>185</v>
      </c>
      <c r="C122" s="68" t="str">
        <f>VLOOKUP($B122,'[1]Products by Part Number'!$A:$L,2,0)</f>
        <v xml:space="preserve">JD 470P (1FF)                                              </v>
      </c>
      <c r="D122" s="68" t="str">
        <f>VLOOKUP($B122,'[1]Products by Part Number'!$A:$L,3,0)</f>
        <v>ENGINE OIL FILTER</v>
      </c>
      <c r="E122" s="69">
        <f>VLOOKUP($B122,'[1]Products by Part Number'!$A:$L,9,0)</f>
        <v>1</v>
      </c>
      <c r="F122" s="70">
        <f>VLOOKUP($B122,'[1]Products by Part Number'!$A:$L,4,0)</f>
        <v>122.91659999999996</v>
      </c>
      <c r="G122" s="71">
        <f t="shared" si="3"/>
        <v>122.91659999999996</v>
      </c>
      <c r="H122" s="71">
        <f>VLOOKUP(B122,'[1]Products by Part Number'!$A:$F,6,0)</f>
        <v>61.46</v>
      </c>
      <c r="I122" s="79">
        <f t="shared" si="2"/>
        <v>61.46</v>
      </c>
    </row>
    <row r="123" spans="2:9" x14ac:dyDescent="0.25">
      <c r="B123" s="78"/>
      <c r="C123" s="68"/>
      <c r="D123" s="68"/>
      <c r="E123" s="69"/>
      <c r="F123" s="70"/>
      <c r="G123" s="71"/>
      <c r="H123" s="71"/>
      <c r="I123" s="79">
        <f t="shared" si="2"/>
        <v>0</v>
      </c>
    </row>
    <row r="124" spans="2:9" x14ac:dyDescent="0.25">
      <c r="B124" s="78"/>
      <c r="C124" s="68"/>
      <c r="D124" s="68"/>
      <c r="E124" s="69"/>
      <c r="F124" s="70"/>
      <c r="G124" s="71"/>
      <c r="H124" s="71"/>
      <c r="I124" s="79">
        <f t="shared" si="2"/>
        <v>0</v>
      </c>
    </row>
    <row r="125" spans="2:9" x14ac:dyDescent="0.25">
      <c r="B125" s="78"/>
      <c r="C125" s="68"/>
      <c r="D125" s="68"/>
      <c r="E125" s="69"/>
      <c r="F125" s="70"/>
      <c r="G125" s="71"/>
      <c r="H125" s="71"/>
      <c r="I125" s="79">
        <f t="shared" si="2"/>
        <v>0</v>
      </c>
    </row>
    <row r="126" spans="2:9" x14ac:dyDescent="0.25">
      <c r="B126" s="78"/>
      <c r="C126" s="68"/>
      <c r="D126" s="68"/>
      <c r="E126" s="69"/>
      <c r="F126" s="70"/>
      <c r="G126" s="71"/>
      <c r="H126" s="71"/>
      <c r="I126" s="79">
        <f t="shared" si="2"/>
        <v>0</v>
      </c>
    </row>
    <row r="127" spans="2:9" x14ac:dyDescent="0.25">
      <c r="B127" s="78"/>
      <c r="C127" s="68"/>
      <c r="D127" s="68"/>
      <c r="E127" s="69"/>
      <c r="F127" s="70"/>
      <c r="G127" s="71"/>
      <c r="H127" s="71"/>
      <c r="I127" s="79">
        <f t="shared" si="2"/>
        <v>0</v>
      </c>
    </row>
    <row r="128" spans="2:9" x14ac:dyDescent="0.25">
      <c r="B128" s="78"/>
      <c r="C128" s="68"/>
      <c r="D128" s="68"/>
      <c r="E128" s="69"/>
      <c r="F128" s="70"/>
      <c r="G128" s="71"/>
      <c r="H128" s="71"/>
      <c r="I128" s="79">
        <f t="shared" ref="I128:I129" si="4">ROUND(E128*H128,2)</f>
        <v>0</v>
      </c>
    </row>
    <row r="129" spans="2:9" ht="15.75" thickBot="1" x14ac:dyDescent="0.3">
      <c r="B129" s="93"/>
      <c r="C129" s="85"/>
      <c r="D129" s="85"/>
      <c r="E129" s="86"/>
      <c r="F129" s="87"/>
      <c r="G129" s="88"/>
      <c r="H129" s="88"/>
      <c r="I129" s="118">
        <f t="shared" si="4"/>
        <v>0</v>
      </c>
    </row>
    <row r="130" spans="2:9" x14ac:dyDescent="0.25">
      <c r="B130" s="158"/>
      <c r="C130" s="159"/>
      <c r="D130" s="159"/>
      <c r="E130" s="159"/>
      <c r="F130" s="196"/>
      <c r="G130" s="119"/>
      <c r="H130" s="120" t="s">
        <v>17</v>
      </c>
      <c r="I130" s="110">
        <f>SUM(I15:I129)</f>
        <v>31663.250000000011</v>
      </c>
    </row>
    <row r="131" spans="2:9" x14ac:dyDescent="0.25">
      <c r="B131" s="107"/>
      <c r="C131" s="31"/>
      <c r="D131" s="32" t="s">
        <v>18</v>
      </c>
      <c r="E131" s="161">
        <f>SUM(G15:G129)</f>
        <v>57562.837800000001</v>
      </c>
      <c r="F131" s="197"/>
      <c r="G131" s="33"/>
      <c r="H131" s="28" t="s">
        <v>19</v>
      </c>
      <c r="I131" s="112">
        <v>0</v>
      </c>
    </row>
    <row r="132" spans="2:9" x14ac:dyDescent="0.25">
      <c r="B132" s="107"/>
      <c r="C132" s="31"/>
      <c r="D132" s="32" t="s">
        <v>20</v>
      </c>
      <c r="E132" s="161">
        <f>SUM(I15:I129)</f>
        <v>31663.250000000011</v>
      </c>
      <c r="F132" s="197"/>
      <c r="G132" s="33"/>
      <c r="H132" s="35" t="s">
        <v>21</v>
      </c>
      <c r="I132" s="112">
        <v>0</v>
      </c>
    </row>
    <row r="133" spans="2:9" x14ac:dyDescent="0.25">
      <c r="B133" s="107"/>
      <c r="C133" s="31"/>
      <c r="D133" s="32" t="s">
        <v>22</v>
      </c>
      <c r="E133" s="179">
        <f>E131-E132</f>
        <v>25899.58779999999</v>
      </c>
      <c r="F133" s="203"/>
      <c r="G133" s="36"/>
      <c r="H133" s="28" t="s">
        <v>23</v>
      </c>
      <c r="I133" s="114">
        <f>SUM(I130:I132)</f>
        <v>31663.250000000011</v>
      </c>
    </row>
    <row r="134" spans="2:9" x14ac:dyDescent="0.25">
      <c r="B134" s="107"/>
      <c r="C134" s="31"/>
      <c r="D134" s="32"/>
      <c r="E134" s="181"/>
      <c r="F134" s="204"/>
      <c r="G134" s="38"/>
      <c r="H134" s="28" t="s">
        <v>24</v>
      </c>
      <c r="I134" s="114">
        <f>I133*0.05</f>
        <v>1583.1625000000006</v>
      </c>
    </row>
    <row r="135" spans="2:9" x14ac:dyDescent="0.25">
      <c r="B135" s="107"/>
      <c r="C135" s="31"/>
      <c r="D135" s="39"/>
      <c r="E135" s="39"/>
      <c r="F135" s="40"/>
      <c r="G135" s="40"/>
      <c r="H135" s="28" t="s">
        <v>25</v>
      </c>
      <c r="I135" s="112"/>
    </row>
    <row r="136" spans="2:9" ht="16.5" thickBot="1" x14ac:dyDescent="0.3">
      <c r="B136" s="173" t="s">
        <v>26</v>
      </c>
      <c r="C136" s="174"/>
      <c r="D136" s="174"/>
      <c r="E136" s="174"/>
      <c r="F136" s="202"/>
      <c r="G136" s="121"/>
      <c r="H136" s="122" t="s">
        <v>27</v>
      </c>
      <c r="I136" s="116">
        <f>SUM(I133:I135)</f>
        <v>33246.412500000013</v>
      </c>
    </row>
  </sheetData>
  <mergeCells count="25">
    <mergeCell ref="E1:F5"/>
    <mergeCell ref="H1:I5"/>
    <mergeCell ref="C7:D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B136:F136"/>
    <mergeCell ref="F13:I13"/>
    <mergeCell ref="B130:F130"/>
    <mergeCell ref="E131:F131"/>
    <mergeCell ref="E132:F132"/>
    <mergeCell ref="E133:F133"/>
    <mergeCell ref="E134:F13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1F03-DA1F-4E92-A8D6-8CC44CA17ADF}">
  <dimension ref="B1:I136"/>
  <sheetViews>
    <sheetView topLeftCell="A119" workbookViewId="0">
      <selection activeCell="B130" sqref="B130:I136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205" t="s">
        <v>28</v>
      </c>
      <c r="F1" s="205"/>
      <c r="G1" s="44"/>
      <c r="H1" s="205" t="s">
        <v>34</v>
      </c>
      <c r="I1" s="206"/>
    </row>
    <row r="2" spans="2:9" ht="15" customHeight="1" x14ac:dyDescent="0.25">
      <c r="B2" s="4"/>
      <c r="E2" s="177"/>
      <c r="F2" s="177"/>
      <c r="G2" s="45"/>
      <c r="H2" s="177"/>
      <c r="I2" s="207"/>
    </row>
    <row r="3" spans="2:9" ht="15" customHeight="1" x14ac:dyDescent="0.25">
      <c r="B3" s="4"/>
      <c r="E3" s="177"/>
      <c r="F3" s="177"/>
      <c r="G3" s="45"/>
      <c r="H3" s="177"/>
      <c r="I3" s="207"/>
    </row>
    <row r="4" spans="2:9" ht="15" customHeight="1" x14ac:dyDescent="0.25">
      <c r="B4" s="4"/>
      <c r="E4" s="177"/>
      <c r="F4" s="177"/>
      <c r="G4" s="45"/>
      <c r="H4" s="177"/>
      <c r="I4" s="207"/>
    </row>
    <row r="5" spans="2:9" ht="15" customHeight="1" x14ac:dyDescent="0.25">
      <c r="B5" s="5"/>
      <c r="C5" s="1"/>
      <c r="D5" s="1"/>
      <c r="E5" s="178"/>
      <c r="F5" s="178"/>
      <c r="G5" s="46"/>
      <c r="H5" s="178"/>
      <c r="I5" s="208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9" t="s">
        <v>7</v>
      </c>
      <c r="C7" s="186" t="s">
        <v>290</v>
      </c>
      <c r="D7" s="187"/>
      <c r="E7" s="9" t="s">
        <v>8</v>
      </c>
      <c r="F7" s="10">
        <v>45870</v>
      </c>
      <c r="G7" s="10"/>
      <c r="H7" s="11" t="s">
        <v>9</v>
      </c>
      <c r="I7" s="12"/>
    </row>
    <row r="8" spans="2:9" x14ac:dyDescent="0.25">
      <c r="B8" s="50" t="s">
        <v>10</v>
      </c>
      <c r="C8" s="183">
        <v>0</v>
      </c>
      <c r="D8" s="183"/>
      <c r="E8" s="163" t="s">
        <v>11</v>
      </c>
      <c r="F8" s="163"/>
      <c r="G8" s="13"/>
      <c r="H8" s="200"/>
      <c r="I8" s="200"/>
    </row>
    <row r="9" spans="2:9" x14ac:dyDescent="0.25">
      <c r="B9" s="50" t="s">
        <v>12</v>
      </c>
      <c r="C9" s="183">
        <v>0</v>
      </c>
      <c r="D9" s="183"/>
      <c r="E9" s="163" t="s">
        <v>13</v>
      </c>
      <c r="F9" s="163"/>
      <c r="G9" s="13"/>
      <c r="H9" s="201"/>
      <c r="I9" s="201"/>
    </row>
    <row r="10" spans="2:9" x14ac:dyDescent="0.25">
      <c r="B10" s="50"/>
      <c r="C10" s="183">
        <v>0</v>
      </c>
      <c r="D10" s="183"/>
      <c r="E10" s="163" t="s">
        <v>14</v>
      </c>
      <c r="F10" s="163"/>
      <c r="G10" s="13"/>
      <c r="H10" s="198"/>
      <c r="I10" s="198"/>
    </row>
    <row r="11" spans="2:9" x14ac:dyDescent="0.25">
      <c r="B11" s="50"/>
      <c r="C11" s="183">
        <v>0</v>
      </c>
      <c r="D11" s="183"/>
      <c r="E11" s="163"/>
      <c r="F11" s="163"/>
      <c r="G11" s="13"/>
      <c r="H11" s="198"/>
      <c r="I11" s="198"/>
    </row>
    <row r="12" spans="2:9" x14ac:dyDescent="0.25">
      <c r="B12" s="51"/>
      <c r="C12" s="183">
        <v>0</v>
      </c>
      <c r="D12" s="183"/>
      <c r="E12" s="184"/>
      <c r="F12" s="184"/>
      <c r="G12" s="14"/>
      <c r="H12" s="199"/>
      <c r="I12" s="199"/>
    </row>
    <row r="13" spans="2:9" ht="15.75" thickBot="1" x14ac:dyDescent="0.3">
      <c r="B13" s="15"/>
      <c r="C13" s="16"/>
      <c r="D13" s="16"/>
      <c r="E13" s="16"/>
      <c r="F13" s="156" t="s">
        <v>3</v>
      </c>
      <c r="G13" s="156"/>
      <c r="H13" s="156"/>
      <c r="I13" s="156"/>
    </row>
    <row r="14" spans="2:9" ht="15.75" thickBot="1" x14ac:dyDescent="0.3">
      <c r="B14" s="57" t="s">
        <v>0</v>
      </c>
      <c r="C14" s="64" t="s">
        <v>15</v>
      </c>
      <c r="D14" s="65" t="s">
        <v>1</v>
      </c>
      <c r="E14" s="66" t="s">
        <v>2</v>
      </c>
      <c r="F14" s="66" t="s">
        <v>4</v>
      </c>
      <c r="G14" s="66"/>
      <c r="H14" s="66" t="s">
        <v>5</v>
      </c>
      <c r="I14" s="67" t="s">
        <v>16</v>
      </c>
    </row>
    <row r="15" spans="2:9" x14ac:dyDescent="0.25">
      <c r="B15" s="72" t="s">
        <v>80</v>
      </c>
      <c r="C15" s="73" t="str">
        <f>VLOOKUP($B15,'[1]Products by Part Number'!$A:$L,2,0)</f>
        <v xml:space="preserve">KOM D71PX-24 (1) KOM D71PX-24 (2) KOM D71PX-24 (3) KOM D71PX-24 (4) KOM D71PX-24 (5) KOM D71PX-24 (6) KOM D71PX-24 (7) KOM D61PX-24 (B60)                                </v>
      </c>
      <c r="D15" s="73" t="str">
        <f>VLOOKUP($B15,'[1]Products by Part Number'!$A:$L,3,0)</f>
        <v>CAB AIR FILTER</v>
      </c>
      <c r="E15" s="74">
        <f>VLOOKUP($B15,'[1]Products by Part Number'!$A:$L,10,0)</f>
        <v>9</v>
      </c>
      <c r="F15" s="75">
        <f>VLOOKUP($B15,'[1]Products by Part Number'!$A:$L,4,0)</f>
        <v>188.74260000000001</v>
      </c>
      <c r="G15" s="76">
        <f>E15*F15</f>
        <v>1698.6834000000001</v>
      </c>
      <c r="H15" s="76">
        <f>VLOOKUP($B15,'[1]Products by Part Number'!$A:$L,6,0)</f>
        <v>122.68</v>
      </c>
      <c r="I15" s="77">
        <f t="shared" ref="I15:I78" si="0">ROUND(E15*H15,2)</f>
        <v>1104.1199999999999</v>
      </c>
    </row>
    <row r="16" spans="2:9" x14ac:dyDescent="0.25">
      <c r="B16" s="78" t="s">
        <v>81</v>
      </c>
      <c r="C16" s="68" t="str">
        <f>VLOOKUP($B16,'[1]Products by Part Number'!$A:$L,2,0)</f>
        <v xml:space="preserve">KOM D71PX-24 (1) KOM D71PX-24 (2) KOM D71PX-24 (3) KOM D71PX-24 (4) KOM D71PX-24 (5) KOM D71PX-24 (6) KOM D71PX-24 (7) KOM D61PX-24 (B60)                                </v>
      </c>
      <c r="D16" s="68" t="str">
        <f>VLOOKUP($B16,'[1]Products by Part Number'!$A:$L,3,0)</f>
        <v>CAB AIR FILTER</v>
      </c>
      <c r="E16" s="69">
        <f>VLOOKUP($B16,'[1]Products by Part Number'!$A:$L,10,0)</f>
        <v>9</v>
      </c>
      <c r="F16" s="70">
        <f>VLOOKUP($B16,'[1]Products by Part Number'!$A:$L,4,0)</f>
        <v>164.08199999999999</v>
      </c>
      <c r="G16" s="71">
        <f t="shared" ref="G16:G79" si="1">E16*F16</f>
        <v>1476.7379999999998</v>
      </c>
      <c r="H16" s="71">
        <f>VLOOKUP($B16,'[1]Products by Part Number'!$A:$L,6,0)</f>
        <v>106.65</v>
      </c>
      <c r="I16" s="79">
        <f t="shared" si="0"/>
        <v>959.85</v>
      </c>
    </row>
    <row r="17" spans="2:9" x14ac:dyDescent="0.25">
      <c r="B17" s="78" t="s">
        <v>82</v>
      </c>
      <c r="C17" s="68" t="str">
        <f>VLOOKUP(B17,'[1]Products by Part Number'!$A:$B,2,0)</f>
        <v xml:space="preserve">CAT 14 (EN4)                                              </v>
      </c>
      <c r="D17" s="68" t="str">
        <f>VLOOKUP(B17,'[1]Products by Part Number'!$A:$C,3,0)</f>
        <v>CAB AIR FILTER</v>
      </c>
      <c r="E17" s="69">
        <f>VLOOKUP($B17,'[1]Products by Part Number'!$A:$L,10,0)</f>
        <v>2</v>
      </c>
      <c r="F17" s="70">
        <f>VLOOKUP(B17,'[1]Products by Part Number'!$A:$D,4,0)</f>
        <v>93.03</v>
      </c>
      <c r="G17" s="71">
        <f t="shared" si="1"/>
        <v>186.06</v>
      </c>
      <c r="H17" s="71">
        <f>VLOOKUP(B17,'[1]Products by Part Number'!$A:$F,6,0)</f>
        <v>60.47</v>
      </c>
      <c r="I17" s="79">
        <f t="shared" si="0"/>
        <v>120.94</v>
      </c>
    </row>
    <row r="18" spans="2:9" x14ac:dyDescent="0.25">
      <c r="B18" s="78" t="s">
        <v>83</v>
      </c>
      <c r="C18" s="68" t="str">
        <f>VLOOKUP(B18,'[1]Products by Part Number'!$A:$B,2,0)</f>
        <v xml:space="preserve">KOM PC138USLC-11 KOM PC238USLC-11 (1) KOM PC490LC-11 (A42) KOM PC490LC-11 (A42) (2) KOM PC490LC-11 (A42) (3) KOM PC490LC-11 (A42) (4) KOM PC490LC-11 (A42) (5) KOM PC490LC-11 (A43) KOM PC490LC-11 (KMT) (1) KOM PC490LC-11 (KMT) (2) KOM PC490LC-11 (KMT) (3) KOM PC360LC-11 (A37) KOM PC360LC-11 (A39) KOM PC360LC-11 (A39) (2) KOM PC290LC-11 (K73)                  </v>
      </c>
      <c r="D18" s="68" t="str">
        <f>VLOOKUP(B18,'[1]Products by Part Number'!$A:$C,3,0)</f>
        <v>CAB AIR FILTER</v>
      </c>
      <c r="E18" s="69">
        <f>VLOOKUP($B18,'[1]Products by Part Number'!$A:$L,10,0)</f>
        <v>30</v>
      </c>
      <c r="F18" s="70">
        <f>VLOOKUP(B18,'[1]Products by Part Number'!$A:$D,4,0)</f>
        <v>67.87</v>
      </c>
      <c r="G18" s="71">
        <f t="shared" si="1"/>
        <v>2036.1000000000001</v>
      </c>
      <c r="H18" s="71">
        <f>VLOOKUP(B18,'[1]Products by Part Number'!$A:$F,6,0)</f>
        <v>44.12</v>
      </c>
      <c r="I18" s="79">
        <f t="shared" si="0"/>
        <v>1323.6</v>
      </c>
    </row>
    <row r="19" spans="2:9" x14ac:dyDescent="0.25">
      <c r="B19" s="78" t="s">
        <v>84</v>
      </c>
      <c r="C19" s="68" t="str">
        <f>VLOOKUP(B19,'[1]Products by Part Number'!$A:$B,2,0)</f>
        <v xml:space="preserve">CAT 14 (EN4)                                              </v>
      </c>
      <c r="D19" s="68" t="str">
        <f>VLOOKUP(B19,'[1]Products by Part Number'!$A:$C,3,0)</f>
        <v>CAB AIR FILTER</v>
      </c>
      <c r="E19" s="69">
        <f>VLOOKUP($B19,'[1]Products by Part Number'!$A:$L,10,0)</f>
        <v>2</v>
      </c>
      <c r="F19" s="70">
        <f>VLOOKUP(B19,'[1]Products by Part Number'!$A:$D,4,0)</f>
        <v>74.81</v>
      </c>
      <c r="G19" s="71">
        <f t="shared" si="1"/>
        <v>149.62</v>
      </c>
      <c r="H19" s="71">
        <f>VLOOKUP(B19,'[1]Products by Part Number'!$A:$F,6,0)</f>
        <v>48.63</v>
      </c>
      <c r="I19" s="79">
        <f t="shared" si="0"/>
        <v>97.26</v>
      </c>
    </row>
    <row r="20" spans="2:9" x14ac:dyDescent="0.25">
      <c r="B20" s="78" t="s">
        <v>85</v>
      </c>
      <c r="C20" s="68" t="str">
        <f>VLOOKUP(B20,'[1]Products by Part Number'!$A:$B,2,0)</f>
        <v xml:space="preserve">CAT TL1055C (KDE)                                              </v>
      </c>
      <c r="D20" s="68" t="str">
        <f>VLOOKUP(B20,'[1]Products by Part Number'!$A:$C,3,0)</f>
        <v>PRIMARY AIR FILTER</v>
      </c>
      <c r="E20" s="69">
        <f>VLOOKUP($B20,'[1]Products by Part Number'!$A:$L,10,0)</f>
        <v>1</v>
      </c>
      <c r="F20" s="70">
        <f>VLOOKUP(B20,'[1]Products by Part Number'!$A:$D,4,0)</f>
        <v>100.67</v>
      </c>
      <c r="G20" s="71">
        <f t="shared" si="1"/>
        <v>100.67</v>
      </c>
      <c r="H20" s="71">
        <f>VLOOKUP(B20,'[1]Products by Part Number'!$A:$F,6,0)</f>
        <v>65.44</v>
      </c>
      <c r="I20" s="79">
        <f t="shared" si="0"/>
        <v>65.44</v>
      </c>
    </row>
    <row r="21" spans="2:9" x14ac:dyDescent="0.25">
      <c r="B21" s="78" t="s">
        <v>86</v>
      </c>
      <c r="C21" s="68" t="str">
        <f>VLOOKUP(B21,'[1]Products by Part Number'!$A:$B,2,0)</f>
        <v xml:space="preserve">CAT TL1055C (KDE)                                              </v>
      </c>
      <c r="D21" s="68" t="str">
        <f>VLOOKUP(B21,'[1]Products by Part Number'!$A:$C,3,0)</f>
        <v>SECONDARY AIR FILTER</v>
      </c>
      <c r="E21" s="69">
        <f>VLOOKUP($B21,'[1]Products by Part Number'!$A:$L,10,0)</f>
        <v>1</v>
      </c>
      <c r="F21" s="70">
        <f>VLOOKUP(B21,'[1]Products by Part Number'!$A:$D,4,0)</f>
        <v>80.09</v>
      </c>
      <c r="G21" s="71">
        <f t="shared" si="1"/>
        <v>80.09</v>
      </c>
      <c r="H21" s="71">
        <f>VLOOKUP(B21,'[1]Products by Part Number'!$A:$F,6,0)</f>
        <v>52.06</v>
      </c>
      <c r="I21" s="79">
        <f t="shared" si="0"/>
        <v>52.06</v>
      </c>
    </row>
    <row r="22" spans="2:9" x14ac:dyDescent="0.25">
      <c r="B22" s="78" t="s">
        <v>87</v>
      </c>
      <c r="C22" s="68" t="str">
        <f>VLOOKUP(B22,'[1]Products by Part Number'!$A:$B,2,0)</f>
        <v xml:space="preserve">KOM PC490LC-11 (A42) KOM PC490LC-11 (A42) (2) KOM PC490LC-11 (A42) (3) KOM PC490LC-11 (A42) (4) KOM PC490LC-11 (A42) (5) KOM PC490LC-11 (A43) KOM PC490LC-11 (KMT) (1) KOM PC490LC-11 (KMT) (2) KOM PC490LC-11 (KMT) (3) KOM PC360LC-11 (A37) KOM PC360LC-11 (A39) KOM PC360LC-11 (A39) (2) KOM PC290LC-11 (K73)                      </v>
      </c>
      <c r="D22" s="68" t="str">
        <f>VLOOKUP(B22,'[1]Products by Part Number'!$A:$C,3,0)</f>
        <v>CAB AIR FILTER</v>
      </c>
      <c r="E22" s="69">
        <f>VLOOKUP($B22,'[1]Products by Part Number'!$A:$L,10,0)</f>
        <v>26</v>
      </c>
      <c r="F22" s="70">
        <f>VLOOKUP(B22,'[1]Products by Part Number'!$A:$D,4,0)</f>
        <v>68.78</v>
      </c>
      <c r="G22" s="71">
        <f t="shared" si="1"/>
        <v>1788.28</v>
      </c>
      <c r="H22" s="71">
        <f>VLOOKUP(B22,'[1]Products by Part Number'!$A:$F,6,0)</f>
        <v>44.71</v>
      </c>
      <c r="I22" s="79">
        <f t="shared" si="0"/>
        <v>1162.46</v>
      </c>
    </row>
    <row r="23" spans="2:9" x14ac:dyDescent="0.25">
      <c r="B23" s="78" t="s">
        <v>88</v>
      </c>
      <c r="C23" s="68" t="str">
        <f>VLOOKUP(B23,'[1]Products by Part Number'!$A:$B,2,0)</f>
        <v xml:space="preserve">CAT 329EL (ZCD)                                              </v>
      </c>
      <c r="D23" s="68" t="str">
        <f>VLOOKUP(B23,'[1]Products by Part Number'!$A:$C,3,0)</f>
        <v>CAB AIR FILTER</v>
      </c>
      <c r="E23" s="69">
        <f>VLOOKUP($B23,'[1]Products by Part Number'!$A:$L,10,0)</f>
        <v>2</v>
      </c>
      <c r="F23" s="70">
        <f>VLOOKUP(B23,'[1]Products by Part Number'!$A:$D,4,0)</f>
        <v>82.09</v>
      </c>
      <c r="G23" s="71">
        <f t="shared" si="1"/>
        <v>164.18</v>
      </c>
      <c r="H23" s="71">
        <f>VLOOKUP(B23,'[1]Products by Part Number'!$A:$F,6,0)</f>
        <v>53.36</v>
      </c>
      <c r="I23" s="79">
        <f t="shared" si="0"/>
        <v>106.72</v>
      </c>
    </row>
    <row r="24" spans="2:9" x14ac:dyDescent="0.25">
      <c r="B24" s="78" t="s">
        <v>89</v>
      </c>
      <c r="C24" s="68" t="str">
        <f>VLOOKUP(B24,'[1]Products by Part Number'!$A:$B,2,0)</f>
        <v xml:space="preserve">CAT 14 (EN4)                                              </v>
      </c>
      <c r="D24" s="68" t="str">
        <f>VLOOKUP(B24,'[1]Products by Part Number'!$A:$C,3,0)</f>
        <v>SECONDARY AIR FILTER</v>
      </c>
      <c r="E24" s="69">
        <f>VLOOKUP($B24,'[1]Products by Part Number'!$A:$L,10,0)</f>
        <v>1</v>
      </c>
      <c r="F24" s="70">
        <f>VLOOKUP(B24,'[1]Products by Part Number'!$A:$D,4,0)</f>
        <v>105.26</v>
      </c>
      <c r="G24" s="71">
        <f t="shared" si="1"/>
        <v>105.26</v>
      </c>
      <c r="H24" s="71">
        <f>VLOOKUP(B24,'[1]Products by Part Number'!$A:$F,6,0)</f>
        <v>68.42</v>
      </c>
      <c r="I24" s="79">
        <f t="shared" si="0"/>
        <v>68.42</v>
      </c>
    </row>
    <row r="25" spans="2:9" x14ac:dyDescent="0.25">
      <c r="B25" s="78" t="s">
        <v>90</v>
      </c>
      <c r="C25" s="68" t="str">
        <f>VLOOKUP(B25,'[1]Products by Part Number'!$A:$B,2,0)</f>
        <v xml:space="preserve">KOM WA475-10 (120)                                              </v>
      </c>
      <c r="D25" s="68" t="str">
        <f>VLOOKUP(B25,'[1]Products by Part Number'!$A:$C,3,0)</f>
        <v>CAB AIR FILTER</v>
      </c>
      <c r="E25" s="69">
        <f>VLOOKUP($B25,'[1]Products by Part Number'!$A:$L,10,0)</f>
        <v>1</v>
      </c>
      <c r="F25" s="70">
        <f>VLOOKUP(B25,'[1]Products by Part Number'!$A:$D,4,0)</f>
        <v>134.66999999999999</v>
      </c>
      <c r="G25" s="71">
        <f t="shared" si="1"/>
        <v>134.66999999999999</v>
      </c>
      <c r="H25" s="71">
        <f>VLOOKUP(B25,'[1]Products by Part Number'!$A:$F,6,0)</f>
        <v>87.54</v>
      </c>
      <c r="I25" s="79">
        <f t="shared" si="0"/>
        <v>87.54</v>
      </c>
    </row>
    <row r="26" spans="2:9" x14ac:dyDescent="0.25">
      <c r="B26" s="78" t="s">
        <v>91</v>
      </c>
      <c r="C26" s="68" t="str">
        <f>VLOOKUP(B26,'[1]Products by Part Number'!$A:$B,2,0)</f>
        <v xml:space="preserve">KOM WA380-8 (1) KOM WA380-8 (2) KOM WA320-8 (867) KOM WA320PZ-6 (729)                                        </v>
      </c>
      <c r="D26" s="68" t="str">
        <f>VLOOKUP(B26,'[1]Products by Part Number'!$A:$C,3,0)</f>
        <v>CAB AIR FILTER</v>
      </c>
      <c r="E26" s="69">
        <f>VLOOKUP($B26,'[1]Products by Part Number'!$A:$L,10,0)</f>
        <v>6</v>
      </c>
      <c r="F26" s="70">
        <f>VLOOKUP(B26,'[1]Products by Part Number'!$A:$D,4,0)</f>
        <v>152.87</v>
      </c>
      <c r="G26" s="71">
        <f t="shared" si="1"/>
        <v>917.22</v>
      </c>
      <c r="H26" s="71">
        <f>VLOOKUP(B26,'[1]Products by Part Number'!$A:$F,6,0)</f>
        <v>99.37</v>
      </c>
      <c r="I26" s="79">
        <f t="shared" si="0"/>
        <v>596.22</v>
      </c>
    </row>
    <row r="27" spans="2:9" x14ac:dyDescent="0.25">
      <c r="B27" s="78" t="s">
        <v>92</v>
      </c>
      <c r="C27" s="68" t="str">
        <f>VLOOKUP(B27,'[1]Products by Part Number'!$A:$B,2,0)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27" s="68" t="str">
        <f>VLOOKUP(B27,'[1]Products by Part Number'!$A:$C,3,0)</f>
        <v>CAB AIR FILTER</v>
      </c>
      <c r="E27" s="69">
        <f>VLOOKUP($B27,'[1]Products by Part Number'!$A:$L,10,0)</f>
        <v>14</v>
      </c>
      <c r="F27" s="70">
        <f>VLOOKUP(B27,'[1]Products by Part Number'!$A:$D,4,0)</f>
        <v>131.29</v>
      </c>
      <c r="G27" s="71">
        <f t="shared" si="1"/>
        <v>1838.06</v>
      </c>
      <c r="H27" s="71">
        <f>VLOOKUP(B27,'[1]Products by Part Number'!$A:$F,6,0)</f>
        <v>85.34</v>
      </c>
      <c r="I27" s="79">
        <f t="shared" si="0"/>
        <v>1194.76</v>
      </c>
    </row>
    <row r="28" spans="2:9" x14ac:dyDescent="0.25">
      <c r="B28" s="78" t="s">
        <v>93</v>
      </c>
      <c r="C28" s="68" t="str">
        <f>VLOOKUP(B28,'[1]Products by Part Number'!$A:$B,2,0)</f>
        <v xml:space="preserve">JD 470P (1FF)                                              </v>
      </c>
      <c r="D28" s="68" t="str">
        <f>VLOOKUP(B28,'[1]Products by Part Number'!$A:$C,3,0)</f>
        <v>CAB AIR FILTER</v>
      </c>
      <c r="E28" s="69">
        <f>VLOOKUP($B28,'[1]Products by Part Number'!$A:$L,10,0)</f>
        <v>0</v>
      </c>
      <c r="F28" s="70">
        <f>VLOOKUP(B28,'[1]Products by Part Number'!$A:$D,4,0)</f>
        <v>103.0722</v>
      </c>
      <c r="G28" s="71">
        <f t="shared" si="1"/>
        <v>0</v>
      </c>
      <c r="H28" s="71">
        <f>VLOOKUP(B28,'[1]Products by Part Number'!$A:$F,6,0)</f>
        <v>67</v>
      </c>
      <c r="I28" s="79">
        <f t="shared" si="0"/>
        <v>0</v>
      </c>
    </row>
    <row r="29" spans="2:9" x14ac:dyDescent="0.25">
      <c r="B29" s="78" t="s">
        <v>94</v>
      </c>
      <c r="C29" s="68" t="str">
        <f>VLOOKUP(B29,'[1]Products by Part Number'!$A:$B,2,0)</f>
        <v xml:space="preserve">CAT 255 CAT 255 (2) CAT 255 (FL7)                                          </v>
      </c>
      <c r="D29" s="68" t="str">
        <f>VLOOKUP(B29,'[1]Products by Part Number'!$A:$C,3,0)</f>
        <v>PRIMARY AIR FILTER</v>
      </c>
      <c r="E29" s="69">
        <f>VLOOKUP($B29,'[1]Products by Part Number'!$A:$L,10,0)</f>
        <v>6</v>
      </c>
      <c r="F29" s="70">
        <f>VLOOKUP(B29,'[1]Products by Part Number'!$A:$D,4,0)</f>
        <v>95.35</v>
      </c>
      <c r="G29" s="71">
        <f t="shared" si="1"/>
        <v>572.09999999999991</v>
      </c>
      <c r="H29" s="71">
        <f>VLOOKUP(B29,'[1]Products by Part Number'!$A:$F,6,0)</f>
        <v>61.98</v>
      </c>
      <c r="I29" s="79">
        <f t="shared" si="0"/>
        <v>371.88</v>
      </c>
    </row>
    <row r="30" spans="2:9" x14ac:dyDescent="0.25">
      <c r="B30" s="78" t="s">
        <v>95</v>
      </c>
      <c r="C30" s="68" t="str">
        <f>VLOOKUP(B30,'[1]Products by Part Number'!$A:$B,2,0)</f>
        <v xml:space="preserve">CAT 255 CAT 255 (2) CAT 255 (FL7)                                          </v>
      </c>
      <c r="D30" s="68" t="str">
        <f>VLOOKUP(B30,'[1]Products by Part Number'!$A:$C,3,0)</f>
        <v>SECONDARY AIR FILTER</v>
      </c>
      <c r="E30" s="69">
        <f>VLOOKUP($B30,'[1]Products by Part Number'!$A:$L,10,0)</f>
        <v>6</v>
      </c>
      <c r="F30" s="70">
        <f>VLOOKUP(B30,'[1]Products by Part Number'!$A:$D,4,0)</f>
        <v>71.010000000000005</v>
      </c>
      <c r="G30" s="71">
        <f t="shared" si="1"/>
        <v>426.06000000000006</v>
      </c>
      <c r="H30" s="71">
        <f>VLOOKUP(B30,'[1]Products by Part Number'!$A:$F,6,0)</f>
        <v>46.16</v>
      </c>
      <c r="I30" s="79">
        <f t="shared" si="0"/>
        <v>276.95999999999998</v>
      </c>
    </row>
    <row r="31" spans="2:9" x14ac:dyDescent="0.25">
      <c r="B31" s="78" t="s">
        <v>96</v>
      </c>
      <c r="C31" s="68" t="str">
        <f>VLOOKUP(B31,'[1]Products by Part Number'!$A:$B,2,0)</f>
        <v xml:space="preserve">CAT 14 (EN4)                                              </v>
      </c>
      <c r="D31" s="68" t="str">
        <f>VLOOKUP(B31,'[1]Products by Part Number'!$A:$C,3,0)</f>
        <v>PRIMARY AIR FILTER</v>
      </c>
      <c r="E31" s="69">
        <f>VLOOKUP($B31,'[1]Products by Part Number'!$A:$L,10,0)</f>
        <v>1</v>
      </c>
      <c r="F31" s="70">
        <f>VLOOKUP(B31,'[1]Products by Part Number'!$A:$D,4,0)</f>
        <v>250.86</v>
      </c>
      <c r="G31" s="71">
        <f t="shared" si="1"/>
        <v>250.86</v>
      </c>
      <c r="H31" s="71">
        <f>VLOOKUP(B31,'[1]Products by Part Number'!$A:$F,6,0)</f>
        <v>163.06</v>
      </c>
      <c r="I31" s="79">
        <f t="shared" si="0"/>
        <v>163.06</v>
      </c>
    </row>
    <row r="32" spans="2:9" x14ac:dyDescent="0.25">
      <c r="B32" s="78" t="s">
        <v>97</v>
      </c>
      <c r="C32" s="68" t="str">
        <f>VLOOKUP(B32,'[1]Products by Part Number'!$A:$B,2,0)</f>
        <v xml:space="preserve">CAT 255 CAT 255 (2) CAT 255 (FL7)                                          </v>
      </c>
      <c r="D32" s="68" t="str">
        <f>VLOOKUP(B32,'[1]Products by Part Number'!$A:$C,3,0)</f>
        <v>CAB AIR FILTER</v>
      </c>
      <c r="E32" s="69">
        <f>VLOOKUP($B32,'[1]Products by Part Number'!$A:$L,10,0)</f>
        <v>6</v>
      </c>
      <c r="F32" s="70">
        <f>VLOOKUP(B32,'[1]Products by Part Number'!$A:$D,4,0)</f>
        <v>79.63</v>
      </c>
      <c r="G32" s="71">
        <f t="shared" si="1"/>
        <v>477.78</v>
      </c>
      <c r="H32" s="71">
        <f>VLOOKUP(B32,'[1]Products by Part Number'!$A:$F,6,0)</f>
        <v>51.76</v>
      </c>
      <c r="I32" s="79">
        <f t="shared" si="0"/>
        <v>310.56</v>
      </c>
    </row>
    <row r="33" spans="2:9" x14ac:dyDescent="0.25">
      <c r="B33" s="78" t="s">
        <v>98</v>
      </c>
      <c r="C33" s="68" t="str">
        <f>VLOOKUP(B33,'[1]Products by Part Number'!$A:$B,2,0)</f>
        <v xml:space="preserve">CAT 255 CAT 255 (2) CAT 255 (FL7)                                          </v>
      </c>
      <c r="D33" s="68" t="str">
        <f>VLOOKUP(B33,'[1]Products by Part Number'!$A:$C,3,0)</f>
        <v>CAB AIR FILTER</v>
      </c>
      <c r="E33" s="69">
        <f>VLOOKUP($B33,'[1]Products by Part Number'!$A:$L,10,0)</f>
        <v>6</v>
      </c>
      <c r="F33" s="70">
        <f>VLOOKUP(B33,'[1]Products by Part Number'!$A:$D,4,0)</f>
        <v>87.75</v>
      </c>
      <c r="G33" s="71">
        <f t="shared" si="1"/>
        <v>526.5</v>
      </c>
      <c r="H33" s="71">
        <f>VLOOKUP(B33,'[1]Products by Part Number'!$A:$F,6,0)</f>
        <v>57.04</v>
      </c>
      <c r="I33" s="79">
        <f t="shared" si="0"/>
        <v>342.24</v>
      </c>
    </row>
    <row r="34" spans="2:9" x14ac:dyDescent="0.25">
      <c r="B34" s="78" t="s">
        <v>99</v>
      </c>
      <c r="C34" s="68" t="str">
        <f>VLOOKUP(B34,'[1]Products by Part Number'!$A:$B,2,0)</f>
        <v xml:space="preserve">KOM PC138USLC-11 KOM PC238USLC-11 (1)                                            </v>
      </c>
      <c r="D34" s="68" t="str">
        <f>VLOOKUP(B34,'[1]Products by Part Number'!$A:$C,3,0)</f>
        <v>PRIMARY AIR FILTER</v>
      </c>
      <c r="E34" s="69">
        <f>VLOOKUP($B34,'[1]Products by Part Number'!$A:$L,10,0)</f>
        <v>4</v>
      </c>
      <c r="F34" s="70">
        <f>VLOOKUP(B34,'[1]Products by Part Number'!$A:$D,4,0)</f>
        <v>70.44</v>
      </c>
      <c r="G34" s="71">
        <f t="shared" si="1"/>
        <v>281.76</v>
      </c>
      <c r="H34" s="71">
        <f>VLOOKUP(B34,'[1]Products by Part Number'!$A:$F,6,0)</f>
        <v>45.79</v>
      </c>
      <c r="I34" s="79">
        <f t="shared" si="0"/>
        <v>183.16</v>
      </c>
    </row>
    <row r="35" spans="2:9" x14ac:dyDescent="0.25">
      <c r="B35" s="78" t="s">
        <v>100</v>
      </c>
      <c r="C35" s="68" t="str">
        <f>VLOOKUP(B35,'[1]Products by Part Number'!$A:$B,2,0)</f>
        <v xml:space="preserve">KOM PC138USLC-11 KOM PC238USLC-11 (1)                                            </v>
      </c>
      <c r="D35" s="68" t="str">
        <f>VLOOKUP(B35,'[1]Products by Part Number'!$A:$C,3,0)</f>
        <v>SECONDARY AIR FILTER</v>
      </c>
      <c r="E35" s="69">
        <f>VLOOKUP($B35,'[1]Products by Part Number'!$A:$L,10,0)</f>
        <v>2</v>
      </c>
      <c r="F35" s="70">
        <f>VLOOKUP(B35,'[1]Products by Part Number'!$A:$D,4,0)</f>
        <v>51.65</v>
      </c>
      <c r="G35" s="71">
        <f t="shared" si="1"/>
        <v>103.3</v>
      </c>
      <c r="H35" s="71">
        <f>VLOOKUP(B35,'[1]Products by Part Number'!$A:$F,6,0)</f>
        <v>33.57</v>
      </c>
      <c r="I35" s="79">
        <f t="shared" si="0"/>
        <v>67.14</v>
      </c>
    </row>
    <row r="36" spans="2:9" x14ac:dyDescent="0.25">
      <c r="B36" s="78" t="s">
        <v>101</v>
      </c>
      <c r="C36" s="68" t="str">
        <f>VLOOKUP(B36,'[1]Products by Part Number'!$A:$B,2,0)</f>
        <v xml:space="preserve">KOM PC238USLC-11 (2)                                              </v>
      </c>
      <c r="D36" s="68" t="str">
        <f>VLOOKUP(B36,'[1]Products by Part Number'!$A:$C,3,0)</f>
        <v>PRIMARY AIR FILTER</v>
      </c>
      <c r="E36" s="69">
        <f>VLOOKUP($B36,'[1]Products by Part Number'!$A:$L,10,0)</f>
        <v>2</v>
      </c>
      <c r="F36" s="70">
        <f>VLOOKUP(B36,'[1]Products by Part Number'!$A:$D,4,0)</f>
        <v>94.52</v>
      </c>
      <c r="G36" s="71">
        <f t="shared" si="1"/>
        <v>189.04</v>
      </c>
      <c r="H36" s="71">
        <f>VLOOKUP(B36,'[1]Products by Part Number'!$A:$F,6,0)</f>
        <v>61.44</v>
      </c>
      <c r="I36" s="79">
        <f t="shared" si="0"/>
        <v>122.88</v>
      </c>
    </row>
    <row r="37" spans="2:9" x14ac:dyDescent="0.25">
      <c r="B37" s="78" t="s">
        <v>102</v>
      </c>
      <c r="C37" s="68" t="str">
        <f>VLOOKUP(B37,'[1]Products by Part Number'!$A:$B,2,0)</f>
        <v xml:space="preserve">KOM PC238USLC-11 (2)                                              </v>
      </c>
      <c r="D37" s="68" t="str">
        <f>VLOOKUP(B37,'[1]Products by Part Number'!$A:$C,3,0)</f>
        <v>SECONDARY AIR FILTER</v>
      </c>
      <c r="E37" s="69">
        <f>VLOOKUP($B37,'[1]Products by Part Number'!$A:$L,10,0)</f>
        <v>1</v>
      </c>
      <c r="F37" s="70">
        <f>VLOOKUP(B37,'[1]Products by Part Number'!$A:$D,4,0)</f>
        <v>60.42</v>
      </c>
      <c r="G37" s="71">
        <f t="shared" si="1"/>
        <v>60.42</v>
      </c>
      <c r="H37" s="71">
        <f>VLOOKUP(B37,'[1]Products by Part Number'!$A:$F,6,0)</f>
        <v>39.270000000000003</v>
      </c>
      <c r="I37" s="79">
        <f t="shared" si="0"/>
        <v>39.270000000000003</v>
      </c>
    </row>
    <row r="38" spans="2:9" x14ac:dyDescent="0.25">
      <c r="B38" s="78" t="s">
        <v>103</v>
      </c>
      <c r="C38" s="68" t="str">
        <f>VLOOKUP(B38,'[1]Products by Part Number'!$A:$B,2,0)</f>
        <v xml:space="preserve">KOM WA380-8 (1) KOM WA380-8 (2) KOM WA320-8 (867) KOM WA320PZ-6 (729) KOM PC290LC-11 (K73) KOM D61PX-24 (B60)                                    </v>
      </c>
      <c r="D38" s="68" t="str">
        <f>VLOOKUP(B38,'[1]Products by Part Number'!$A:$C,3,0)</f>
        <v>PRIMARY AIR FILTER</v>
      </c>
      <c r="E38" s="69">
        <f>VLOOKUP($B38,'[1]Products by Part Number'!$A:$L,10,0)</f>
        <v>12</v>
      </c>
      <c r="F38" s="70">
        <f>VLOOKUP(B38,'[1]Products by Part Number'!$A:$D,4,0)</f>
        <v>64.540000000000006</v>
      </c>
      <c r="G38" s="71">
        <f t="shared" si="1"/>
        <v>774.48</v>
      </c>
      <c r="H38" s="71">
        <f>VLOOKUP(B38,'[1]Products by Part Number'!$A:$F,6,0)</f>
        <v>41.95</v>
      </c>
      <c r="I38" s="79">
        <f t="shared" si="0"/>
        <v>503.4</v>
      </c>
    </row>
    <row r="39" spans="2:9" x14ac:dyDescent="0.25">
      <c r="B39" s="78" t="s">
        <v>104</v>
      </c>
      <c r="C39" s="68" t="str">
        <f>VLOOKUP(B39,'[1]Products by Part Number'!$A:$B,2,0)</f>
        <v xml:space="preserve">KOM WA380-8 (1) KOM WA380-8 (2) KOM WA320-8 (867) KOM WA320PZ-6 (729) KOM PC290LC-11 (K73) KOM D61PX-24 (B60)                                    </v>
      </c>
      <c r="D39" s="68" t="str">
        <f>VLOOKUP(B39,'[1]Products by Part Number'!$A:$C,3,0)</f>
        <v>SECONDARY AIR FILTER</v>
      </c>
      <c r="E39" s="69">
        <f>VLOOKUP($B39,'[1]Products by Part Number'!$A:$L,10,0)</f>
        <v>6</v>
      </c>
      <c r="F39" s="70">
        <f>VLOOKUP(B39,'[1]Products by Part Number'!$A:$D,4,0)</f>
        <v>59.85</v>
      </c>
      <c r="G39" s="71">
        <f t="shared" si="1"/>
        <v>359.1</v>
      </c>
      <c r="H39" s="71">
        <f>VLOOKUP(B39,'[1]Products by Part Number'!$A:$F,6,0)</f>
        <v>38.9</v>
      </c>
      <c r="I39" s="79">
        <f t="shared" si="0"/>
        <v>233.4</v>
      </c>
    </row>
    <row r="40" spans="2:9" x14ac:dyDescent="0.25">
      <c r="B40" s="78" t="s">
        <v>105</v>
      </c>
      <c r="C40" s="68" t="str">
        <f>VLOOKUP(B40,'[1]Products by Part Number'!$A:$B,2,0)</f>
        <v xml:space="preserve">KOM D71PX-24 (1) KOM D71PX-24 (2) KOM D71PX-24 (3) KOM D71PX-24 (4) KOM D71PX-24 (5) KOM D71PX-24 (6) KOM D71PX-24 (7)                                  </v>
      </c>
      <c r="D40" s="68" t="str">
        <f>VLOOKUP(B40,'[1]Products by Part Number'!$A:$C,3,0)</f>
        <v>AIR FILTER KIT</v>
      </c>
      <c r="E40" s="69">
        <f>VLOOKUP($B40,'[1]Products by Part Number'!$A:$L,10,0)</f>
        <v>7</v>
      </c>
      <c r="F40" s="70">
        <f>VLOOKUP(B40,'[1]Products by Part Number'!$A:$D,4,0)</f>
        <v>148.99859999999998</v>
      </c>
      <c r="G40" s="71">
        <f t="shared" si="1"/>
        <v>1042.9902</v>
      </c>
      <c r="H40" s="71">
        <f>VLOOKUP(B40,'[1]Products by Part Number'!$A:$F,6,0)</f>
        <v>96.85</v>
      </c>
      <c r="I40" s="79">
        <f t="shared" si="0"/>
        <v>677.95</v>
      </c>
    </row>
    <row r="41" spans="2:9" x14ac:dyDescent="0.25">
      <c r="B41" s="78" t="s">
        <v>106</v>
      </c>
      <c r="C41" s="68" t="str">
        <f>VLOOKUP(B41,'[1]Products by Part Number'!$A:$B,2,0)</f>
        <v xml:space="preserve">KOM PC360LC-11 (A37) KOM PC360LC-11 (A39) KOM PC360LC-11 (A39) (2) KOM WA475-10 (120)                                        </v>
      </c>
      <c r="D41" s="68" t="str">
        <f>VLOOKUP(B41,'[1]Products by Part Number'!$A:$C,3,0)</f>
        <v>PRIMARY AIR FILTER</v>
      </c>
      <c r="E41" s="69">
        <f>VLOOKUP($B41,'[1]Products by Part Number'!$A:$L,10,0)</f>
        <v>8</v>
      </c>
      <c r="F41" s="70">
        <f>VLOOKUP(B41,'[1]Products by Part Number'!$A:$D,4,0)</f>
        <v>95.67</v>
      </c>
      <c r="G41" s="71">
        <f t="shared" si="1"/>
        <v>765.36</v>
      </c>
      <c r="H41" s="71">
        <f>VLOOKUP(B41,'[1]Products by Part Number'!$A:$F,6,0)</f>
        <v>62.19</v>
      </c>
      <c r="I41" s="79">
        <f t="shared" si="0"/>
        <v>497.52</v>
      </c>
    </row>
    <row r="42" spans="2:9" x14ac:dyDescent="0.25">
      <c r="B42" s="78" t="s">
        <v>107</v>
      </c>
      <c r="C42" s="68" t="str">
        <f>VLOOKUP(B42,'[1]Products by Part Number'!$A:$B,2,0)</f>
        <v xml:space="preserve">KOM PC360LC-11 (A37) KOM PC360LC-11 (A39) KOM PC360LC-11 (A39) (2) KOM WA475-10 (120)                                        </v>
      </c>
      <c r="D42" s="68" t="str">
        <f>VLOOKUP(B42,'[1]Products by Part Number'!$A:$C,3,0)</f>
        <v>SECONDARY AIR FILTER</v>
      </c>
      <c r="E42" s="69">
        <f>VLOOKUP($B42,'[1]Products by Part Number'!$A:$L,10,0)</f>
        <v>4</v>
      </c>
      <c r="F42" s="70">
        <f>VLOOKUP(B42,'[1]Products by Part Number'!$A:$D,4,0)</f>
        <v>81.97</v>
      </c>
      <c r="G42" s="71">
        <f t="shared" si="1"/>
        <v>327.88</v>
      </c>
      <c r="H42" s="71">
        <f>VLOOKUP(B42,'[1]Products by Part Number'!$A:$F,6,0)</f>
        <v>53.28</v>
      </c>
      <c r="I42" s="79">
        <f t="shared" si="0"/>
        <v>213.12</v>
      </c>
    </row>
    <row r="43" spans="2:9" x14ac:dyDescent="0.25">
      <c r="B43" s="78" t="s">
        <v>108</v>
      </c>
      <c r="C43" s="68" t="str">
        <f>VLOOKUP(B43,'[1]Products by Part Number'!$A:$B,2,0)</f>
        <v xml:space="preserve">KOM HM400-5 (1) KOM HM400-5 (2) KOM HM400-5 (3) KOM HM400-5 (4) KOM HM400-5 (5) KOM HM400-5 (6) KOM HM400-5 (7) KOM HM400-5 (8) KOM HM400-5 (9) KOM HM400-5 (10) KOM HM400 (11) KOM HM400 (12) KOM HM400 (13) KOM HM400-5 (14) KOM PC490LC-11 (A42) KOM PC490LC-11 (A42) (2) KOM PC490LC-11 (A42) (3) KOM PC490LC-11 (A42) (4) KOM PC490LC-11 (A42) (5) KOM PC490LC-11 (A43) KOM PC490LC-11 (KMT) (1) KOM PC490LC-11 (KMT) (2) KOM PC490LC-11 (KMT) (3)  </v>
      </c>
      <c r="D43" s="68" t="str">
        <f>VLOOKUP(B43,'[1]Products by Part Number'!$A:$C,3,0)</f>
        <v>PRIMARY AIR FILTER</v>
      </c>
      <c r="E43" s="69">
        <f>VLOOKUP($B43,'[1]Products by Part Number'!$A:$L,10,0)</f>
        <v>32</v>
      </c>
      <c r="F43" s="70">
        <f>VLOOKUP(B43,'[1]Products by Part Number'!$A:$D,4,0)</f>
        <v>128.5</v>
      </c>
      <c r="G43" s="71">
        <f t="shared" si="1"/>
        <v>4112</v>
      </c>
      <c r="H43" s="71">
        <f>VLOOKUP(B43,'[1]Products by Part Number'!$A:$F,6,0)</f>
        <v>83.53</v>
      </c>
      <c r="I43" s="79">
        <f t="shared" si="0"/>
        <v>2672.96</v>
      </c>
    </row>
    <row r="44" spans="2:9" x14ac:dyDescent="0.25">
      <c r="B44" s="78" t="s">
        <v>109</v>
      </c>
      <c r="C44" s="68" t="str">
        <f>VLOOKUP(B44,'[1]Products by Part Number'!$A:$B,2,0)</f>
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</c>
      <c r="D44" s="68" t="str">
        <f>VLOOKUP(B44,'[1]Products by Part Number'!$A:$C,3,0)</f>
        <v>SECONDARY AIR FILTER</v>
      </c>
      <c r="E44" s="69">
        <f>VLOOKUP($B44,'[1]Products by Part Number'!$A:$L,10,0)</f>
        <v>9</v>
      </c>
      <c r="F44" s="70">
        <f>VLOOKUP(B44,'[1]Products by Part Number'!$A:$D,4,0)</f>
        <v>90.19</v>
      </c>
      <c r="G44" s="71">
        <f t="shared" si="1"/>
        <v>811.71</v>
      </c>
      <c r="H44" s="71">
        <f>VLOOKUP(B44,'[1]Products by Part Number'!$A:$F,6,0)</f>
        <v>58.62</v>
      </c>
      <c r="I44" s="79">
        <f t="shared" si="0"/>
        <v>527.58000000000004</v>
      </c>
    </row>
    <row r="45" spans="2:9" x14ac:dyDescent="0.25">
      <c r="B45" s="78" t="s">
        <v>110</v>
      </c>
      <c r="C45" s="68" t="str">
        <f>VLOOKUP(B45,'[1]Products by Part Number'!$A:$B,2,0)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45" s="68" t="str">
        <f>VLOOKUP(B45,'[1]Products by Part Number'!$A:$C,3,0)</f>
        <v>SECONDARY AIR FILTER</v>
      </c>
      <c r="E45" s="69">
        <f>VLOOKUP($B45,'[1]Products by Part Number'!$A:$L,10,0)</f>
        <v>14</v>
      </c>
      <c r="F45" s="70">
        <f>VLOOKUP(B45,'[1]Products by Part Number'!$A:$D,4,0)</f>
        <v>90.19</v>
      </c>
      <c r="G45" s="71">
        <f t="shared" si="1"/>
        <v>1262.6599999999999</v>
      </c>
      <c r="H45" s="71">
        <f>VLOOKUP(B45,'[1]Products by Part Number'!$A:$F,6,0)</f>
        <v>58.62</v>
      </c>
      <c r="I45" s="79">
        <f t="shared" si="0"/>
        <v>820.68</v>
      </c>
    </row>
    <row r="46" spans="2:9" x14ac:dyDescent="0.25">
      <c r="B46" s="78" t="s">
        <v>111</v>
      </c>
      <c r="C46" s="68" t="str">
        <f>VLOOKUP(B46,'[1]Products by Part Number'!$A:$B,2,0)</f>
        <v xml:space="preserve">CAT 329EL (ZCD)                                              </v>
      </c>
      <c r="D46" s="68" t="str">
        <f>VLOOKUP(B46,'[1]Products by Part Number'!$A:$C,3,0)</f>
        <v>PRIMARY AIR FILTER</v>
      </c>
      <c r="E46" s="69">
        <f>VLOOKUP($B46,'[1]Products by Part Number'!$A:$L,10,0)</f>
        <v>1</v>
      </c>
      <c r="F46" s="70">
        <f>VLOOKUP(B46,'[1]Products by Part Number'!$A:$D,4,0)</f>
        <v>160.11000000000001</v>
      </c>
      <c r="G46" s="71">
        <f t="shared" si="1"/>
        <v>160.11000000000001</v>
      </c>
      <c r="H46" s="71">
        <f>VLOOKUP(B46,'[1]Products by Part Number'!$A:$F,6,0)</f>
        <v>104.07</v>
      </c>
      <c r="I46" s="79">
        <f t="shared" si="0"/>
        <v>104.07</v>
      </c>
    </row>
    <row r="47" spans="2:9" x14ac:dyDescent="0.25">
      <c r="B47" s="78" t="s">
        <v>112</v>
      </c>
      <c r="C47" s="68" t="str">
        <f>VLOOKUP(B47,'[1]Products by Part Number'!$A:$B,2,0)</f>
        <v xml:space="preserve">CAT 329EL (ZCD)                                              </v>
      </c>
      <c r="D47" s="68" t="str">
        <f>VLOOKUP(B47,'[1]Products by Part Number'!$A:$C,3,0)</f>
        <v>SECONDARY AIR FILTER</v>
      </c>
      <c r="E47" s="69">
        <f>VLOOKUP($B47,'[1]Products by Part Number'!$A:$L,10,0)</f>
        <v>1</v>
      </c>
      <c r="F47" s="70">
        <f>VLOOKUP(B47,'[1]Products by Part Number'!$A:$D,4,0)</f>
        <v>113.26</v>
      </c>
      <c r="G47" s="71">
        <f t="shared" si="1"/>
        <v>113.26</v>
      </c>
      <c r="H47" s="71">
        <f>VLOOKUP(B47,'[1]Products by Part Number'!$A:$F,6,0)</f>
        <v>73.62</v>
      </c>
      <c r="I47" s="79">
        <f t="shared" si="0"/>
        <v>73.62</v>
      </c>
    </row>
    <row r="48" spans="2:9" x14ac:dyDescent="0.25">
      <c r="B48" s="78" t="s">
        <v>113</v>
      </c>
      <c r="C48" s="68" t="str">
        <f>VLOOKUP(B48,'[1]Products by Part Number'!$A:$B,2,0)</f>
        <v xml:space="preserve">JD 333G (1T0)                                              </v>
      </c>
      <c r="D48" s="68" t="str">
        <f>VLOOKUP(B48,'[1]Products by Part Number'!$A:$C,3,0)</f>
        <v>SECONDARY AIR FILTER</v>
      </c>
      <c r="E48" s="69">
        <f>VLOOKUP($B48,'[1]Products by Part Number'!$A:$L,10,0)</f>
        <v>1</v>
      </c>
      <c r="F48" s="70">
        <f>VLOOKUP(B48,'[1]Products by Part Number'!$A:$D,4,0)</f>
        <v>45.7746</v>
      </c>
      <c r="G48" s="71">
        <f t="shared" si="1"/>
        <v>45.7746</v>
      </c>
      <c r="H48" s="71">
        <f>VLOOKUP(B48,'[1]Products by Part Number'!$A:$F,6,0)</f>
        <v>29.75</v>
      </c>
      <c r="I48" s="79">
        <f t="shared" si="0"/>
        <v>29.75</v>
      </c>
    </row>
    <row r="49" spans="2:9" x14ac:dyDescent="0.25">
      <c r="B49" s="78" t="s">
        <v>114</v>
      </c>
      <c r="C49" s="68" t="str">
        <f>VLOOKUP(B49,'[1]Products by Part Number'!$A:$B,2,0)</f>
        <v xml:space="preserve">JD 624K (DW6) JD 764 (100)                                            </v>
      </c>
      <c r="D49" s="68" t="str">
        <f>VLOOKUP(B49,'[1]Products by Part Number'!$A:$C,3,0)</f>
        <v>CAB AIR FILTER</v>
      </c>
      <c r="E49" s="69">
        <f>VLOOKUP($B49,'[1]Products by Part Number'!$A:$L,10,0)</f>
        <v>2</v>
      </c>
      <c r="F49" s="70">
        <f>VLOOKUP(B49,'[1]Products by Part Number'!$A:$D,4,0)</f>
        <v>28.138200000000001</v>
      </c>
      <c r="G49" s="71">
        <f t="shared" si="1"/>
        <v>56.276400000000002</v>
      </c>
      <c r="H49" s="71">
        <f>VLOOKUP(B49,'[1]Products by Part Number'!$A:$F,6,0)</f>
        <v>18.29</v>
      </c>
      <c r="I49" s="79">
        <f t="shared" si="0"/>
        <v>36.58</v>
      </c>
    </row>
    <row r="50" spans="2:9" x14ac:dyDescent="0.25">
      <c r="B50" s="78" t="s">
        <v>115</v>
      </c>
      <c r="C50" s="68" t="str">
        <f>VLOOKUP(B50,'[1]Products by Part Number'!$A:$B,2,0)</f>
        <v xml:space="preserve">JD 624K (DW6) JD 764 (100)                                            </v>
      </c>
      <c r="D50" s="68" t="str">
        <f>VLOOKUP(B50,'[1]Products by Part Number'!$A:$C,3,0)</f>
        <v>PRIMARY AIR FILTER</v>
      </c>
      <c r="E50" s="69">
        <f>VLOOKUP($B50,'[1]Products by Part Number'!$A:$L,10,0)</f>
        <v>2</v>
      </c>
      <c r="F50" s="70">
        <f>VLOOKUP(B50,'[1]Products by Part Number'!$A:$D,4,0)</f>
        <v>111.3108</v>
      </c>
      <c r="G50" s="71">
        <f t="shared" si="1"/>
        <v>222.6216</v>
      </c>
      <c r="H50" s="71">
        <f>VLOOKUP(B50,'[1]Products by Part Number'!$A:$F,6,0)</f>
        <v>72.349999999999994</v>
      </c>
      <c r="I50" s="79">
        <f t="shared" si="0"/>
        <v>144.69999999999999</v>
      </c>
    </row>
    <row r="51" spans="2:9" x14ac:dyDescent="0.25">
      <c r="B51" s="78" t="s">
        <v>116</v>
      </c>
      <c r="C51" s="68" t="str">
        <f>VLOOKUP(B51,'[1]Products by Part Number'!$A:$B,2,0)</f>
        <v xml:space="preserve">JD 624K (DW6) JD 764 (100)                                            </v>
      </c>
      <c r="D51" s="68" t="str">
        <f>VLOOKUP(B51,'[1]Products by Part Number'!$A:$C,3,0)</f>
        <v>CAB AIR FILTER</v>
      </c>
      <c r="E51" s="69">
        <f>VLOOKUP($B51,'[1]Products by Part Number'!$A:$L,10,0)</f>
        <v>2</v>
      </c>
      <c r="F51" s="70">
        <f>VLOOKUP(B51,'[1]Products by Part Number'!$A:$D,4,0)</f>
        <v>22.300799999999999</v>
      </c>
      <c r="G51" s="71">
        <f t="shared" si="1"/>
        <v>44.601599999999998</v>
      </c>
      <c r="H51" s="71">
        <f>VLOOKUP(B51,'[1]Products by Part Number'!$A:$F,6,0)</f>
        <v>14.5</v>
      </c>
      <c r="I51" s="79">
        <f t="shared" si="0"/>
        <v>29</v>
      </c>
    </row>
    <row r="52" spans="2:9" x14ac:dyDescent="0.25">
      <c r="B52" s="78" t="s">
        <v>117</v>
      </c>
      <c r="C52" s="68" t="str">
        <f>VLOOKUP(B52,'[1]Products by Part Number'!$A:$B,2,0)</f>
        <v xml:space="preserve">JD 470P (1FF)                                              </v>
      </c>
      <c r="D52" s="68" t="str">
        <f>VLOOKUP(B52,'[1]Products by Part Number'!$A:$C,3,0)</f>
        <v>PRIMARY AIR FILTER</v>
      </c>
      <c r="E52" s="69">
        <f>VLOOKUP($B52,'[1]Products by Part Number'!$A:$L,10,0)</f>
        <v>1</v>
      </c>
      <c r="F52" s="70">
        <f>VLOOKUP(B52,'[1]Products by Part Number'!$A:$D,4,0)</f>
        <v>221.559</v>
      </c>
      <c r="G52" s="71">
        <f t="shared" si="1"/>
        <v>221.559</v>
      </c>
      <c r="H52" s="71">
        <f>VLOOKUP(B52,'[1]Products by Part Number'!$A:$F,6,0)</f>
        <v>144.01</v>
      </c>
      <c r="I52" s="79">
        <f t="shared" si="0"/>
        <v>144.01</v>
      </c>
    </row>
    <row r="53" spans="2:9" x14ac:dyDescent="0.25">
      <c r="B53" s="78" t="s">
        <v>118</v>
      </c>
      <c r="C53" s="68" t="str">
        <f>VLOOKUP(B53,'[1]Products by Part Number'!$A:$B,2,0)</f>
        <v xml:space="preserve">JD 624K (DW6) JD 764 (100)                                            </v>
      </c>
      <c r="D53" s="68" t="str">
        <f>VLOOKUP(B53,'[1]Products by Part Number'!$A:$C,3,0)</f>
        <v>SECONDARY AIR FILTER</v>
      </c>
      <c r="E53" s="69">
        <f>VLOOKUP($B53,'[1]Products by Part Number'!$A:$L,10,0)</f>
        <v>2</v>
      </c>
      <c r="F53" s="70">
        <f>VLOOKUP(B53,'[1]Products by Part Number'!$A:$D,4,0)</f>
        <v>69.772800000000004</v>
      </c>
      <c r="G53" s="71">
        <f t="shared" si="1"/>
        <v>139.54560000000001</v>
      </c>
      <c r="H53" s="71">
        <f>VLOOKUP(B53,'[1]Products by Part Number'!$A:$F,6,0)</f>
        <v>45.35</v>
      </c>
      <c r="I53" s="79">
        <f t="shared" si="0"/>
        <v>90.7</v>
      </c>
    </row>
    <row r="54" spans="2:9" x14ac:dyDescent="0.25">
      <c r="B54" s="78" t="s">
        <v>119</v>
      </c>
      <c r="C54" s="68" t="str">
        <f>VLOOKUP(B54,'[1]Products by Part Number'!$A:$B,2,0)</f>
        <v xml:space="preserve">JD 333G (1T0)                                              </v>
      </c>
      <c r="D54" s="68" t="str">
        <f>VLOOKUP(B54,'[1]Products by Part Number'!$A:$C,3,0)</f>
        <v>CAB AIR FILTER</v>
      </c>
      <c r="E54" s="69">
        <f>VLOOKUP($B54,'[1]Products by Part Number'!$A:$L,10,0)</f>
        <v>2</v>
      </c>
      <c r="F54" s="70">
        <f>VLOOKUP(B54,'[1]Products by Part Number'!$A:$D,4,0)</f>
        <v>30.484200000000001</v>
      </c>
      <c r="G54" s="71">
        <f t="shared" si="1"/>
        <v>60.968400000000003</v>
      </c>
      <c r="H54" s="71">
        <f>VLOOKUP(B54,'[1]Products by Part Number'!$A:$F,6,0)</f>
        <v>19.809999999999999</v>
      </c>
      <c r="I54" s="79">
        <f t="shared" si="0"/>
        <v>39.619999999999997</v>
      </c>
    </row>
    <row r="55" spans="2:9" x14ac:dyDescent="0.25">
      <c r="B55" s="78" t="s">
        <v>120</v>
      </c>
      <c r="C55" s="68" t="str">
        <f>VLOOKUP(B55,'[1]Products by Part Number'!$A:$B,2,0)</f>
        <v xml:space="preserve">JD 333G (1T0)                                              </v>
      </c>
      <c r="D55" s="68" t="str">
        <f>VLOOKUP(B55,'[1]Products by Part Number'!$A:$C,3,0)</f>
        <v>CAB AIR FILTER</v>
      </c>
      <c r="E55" s="69">
        <f>VLOOKUP($B55,'[1]Products by Part Number'!$A:$L,10,0)</f>
        <v>2</v>
      </c>
      <c r="F55" s="70">
        <f>VLOOKUP(B55,'[1]Products by Part Number'!$A:$D,4,0)</f>
        <v>31.560599999999997</v>
      </c>
      <c r="G55" s="71">
        <f t="shared" si="1"/>
        <v>63.121199999999995</v>
      </c>
      <c r="H55" s="71">
        <f>VLOOKUP(B55,'[1]Products by Part Number'!$A:$F,6,0)</f>
        <v>20.51</v>
      </c>
      <c r="I55" s="79">
        <f t="shared" si="0"/>
        <v>41.02</v>
      </c>
    </row>
    <row r="56" spans="2:9" x14ac:dyDescent="0.25">
      <c r="B56" s="78" t="s">
        <v>121</v>
      </c>
      <c r="C56" s="68" t="str">
        <f>VLOOKUP(B56,'[1]Products by Part Number'!$A:$B,2,0)</f>
        <v xml:space="preserve">JD 470P (1FF)                                              </v>
      </c>
      <c r="D56" s="68" t="str">
        <f>VLOOKUP(B56,'[1]Products by Part Number'!$A:$C,3,0)</f>
        <v>CAB AIR FILTER</v>
      </c>
      <c r="E56" s="69">
        <f>VLOOKUP($B56,'[1]Products by Part Number'!$A:$L,10,0)</f>
        <v>0</v>
      </c>
      <c r="F56" s="70">
        <f>VLOOKUP(B56,'[1]Products by Part Number'!$A:$D,4,0)</f>
        <v>69.344999999999999</v>
      </c>
      <c r="G56" s="71">
        <f t="shared" si="1"/>
        <v>0</v>
      </c>
      <c r="H56" s="71">
        <f>VLOOKUP(B56,'[1]Products by Part Number'!$A:$F,6,0)</f>
        <v>45.07</v>
      </c>
      <c r="I56" s="79">
        <f t="shared" si="0"/>
        <v>0</v>
      </c>
    </row>
    <row r="57" spans="2:9" x14ac:dyDescent="0.25">
      <c r="B57" s="78" t="s">
        <v>122</v>
      </c>
      <c r="C57" s="68" t="str">
        <f>VLOOKUP(B57,'[1]Products by Part Number'!$A:$B,2,0)</f>
        <v xml:space="preserve">JD 333G (1T0)                                              </v>
      </c>
      <c r="D57" s="68" t="str">
        <f>VLOOKUP(B57,'[1]Products by Part Number'!$A:$C,3,0)</f>
        <v>PRIMARY AIR FILTER</v>
      </c>
      <c r="E57" s="69">
        <f>VLOOKUP($B57,'[1]Products by Part Number'!$A:$L,10,0)</f>
        <v>1</v>
      </c>
      <c r="F57" s="70">
        <f>VLOOKUP(B57,'[1]Products by Part Number'!$A:$D,4,0)</f>
        <v>82.703399999999988</v>
      </c>
      <c r="G57" s="71">
        <f t="shared" si="1"/>
        <v>82.703399999999988</v>
      </c>
      <c r="H57" s="71">
        <f>VLOOKUP(B57,'[1]Products by Part Number'!$A:$F,6,0)</f>
        <v>53.76</v>
      </c>
      <c r="I57" s="79">
        <f t="shared" si="0"/>
        <v>53.76</v>
      </c>
    </row>
    <row r="58" spans="2:9" x14ac:dyDescent="0.25">
      <c r="B58" s="78" t="s">
        <v>123</v>
      </c>
      <c r="C58" s="68" t="str">
        <f>VLOOKUP(B58,'[1]Products by Part Number'!$A:$B,2,0)</f>
        <v xml:space="preserve">KOM PC138USLC-11 KOM PC238USLC-11 (1)                                            </v>
      </c>
      <c r="D58" s="68" t="str">
        <f>VLOOKUP(B58,'[1]Products by Part Number'!$A:$C,3,0)</f>
        <v>CAB AIR FILTER</v>
      </c>
      <c r="E58" s="69">
        <f>VLOOKUP($B58,'[1]Products by Part Number'!$A:$L,10,0)</f>
        <v>2</v>
      </c>
      <c r="F58" s="70">
        <f>VLOOKUP(B58,'[1]Products by Part Number'!$A:$D,4,0)</f>
        <v>107.11</v>
      </c>
      <c r="G58" s="71">
        <f t="shared" si="1"/>
        <v>214.22</v>
      </c>
      <c r="H58" s="71">
        <f>VLOOKUP(B58,'[1]Products by Part Number'!$A:$F,6,0)</f>
        <v>69.62</v>
      </c>
      <c r="I58" s="79">
        <f t="shared" si="0"/>
        <v>139.24</v>
      </c>
    </row>
    <row r="59" spans="2:9" x14ac:dyDescent="0.25">
      <c r="B59" s="78" t="s">
        <v>124</v>
      </c>
      <c r="C59" s="68" t="str">
        <f>VLOOKUP(B59,'[1]Products by Part Number'!$A:$B,2,0)</f>
        <v xml:space="preserve">KOM PC238USLC-11 (2)                                              </v>
      </c>
      <c r="D59" s="68" t="str">
        <f>VLOOKUP(B59,'[1]Products by Part Number'!$A:$C,3,0)</f>
        <v>CAB AIR FILTER</v>
      </c>
      <c r="E59" s="69">
        <f>VLOOKUP($B59,'[1]Products by Part Number'!$A:$L,10,0)</f>
        <v>1</v>
      </c>
      <c r="F59" s="70">
        <f>VLOOKUP(B59,'[1]Products by Part Number'!$A:$D,4,0)</f>
        <v>107.11</v>
      </c>
      <c r="G59" s="71">
        <f t="shared" si="1"/>
        <v>107.11</v>
      </c>
      <c r="H59" s="71">
        <f>VLOOKUP(B59,'[1]Products by Part Number'!$A:$F,6,0)</f>
        <v>69.62</v>
      </c>
      <c r="I59" s="79">
        <f t="shared" si="0"/>
        <v>69.62</v>
      </c>
    </row>
    <row r="60" spans="2:9" x14ac:dyDescent="0.25">
      <c r="B60" s="78" t="s">
        <v>125</v>
      </c>
      <c r="C60" s="68" t="str">
        <f>VLOOKUP(B60,'[1]Products by Part Number'!$A:$B,2,0)</f>
        <v xml:space="preserve">JD 470P (1FF)                                              </v>
      </c>
      <c r="D60" s="68" t="str">
        <f>VLOOKUP(B60,'[1]Products by Part Number'!$A:$C,3,0)</f>
        <v>SECONDARY AIR FILTER</v>
      </c>
      <c r="E60" s="69">
        <f>VLOOKUP($B60,'[1]Products by Part Number'!$A:$L,10,0)</f>
        <v>1</v>
      </c>
      <c r="F60" s="70">
        <f>VLOOKUP(B60,'[1]Products by Part Number'!$A:$D,4,0)</f>
        <v>122.9028</v>
      </c>
      <c r="G60" s="71">
        <f t="shared" si="1"/>
        <v>122.9028</v>
      </c>
      <c r="H60" s="71">
        <f>VLOOKUP(B60,'[1]Products by Part Number'!$A:$F,6,0)</f>
        <v>79.89</v>
      </c>
      <c r="I60" s="79">
        <f t="shared" si="0"/>
        <v>79.89</v>
      </c>
    </row>
    <row r="61" spans="2:9" x14ac:dyDescent="0.25">
      <c r="B61" s="78">
        <v>4630525</v>
      </c>
      <c r="C61" s="68" t="str">
        <f>VLOOKUP(B61,'[1]Products by Part Number'!$A:$B,2,0)</f>
        <v xml:space="preserve">JD 470P (1FF)                                              </v>
      </c>
      <c r="D61" s="68" t="str">
        <f>VLOOKUP(B61,'[1]Products by Part Number'!$A:$C,3,0)</f>
        <v xml:space="preserve">HYDRAULIC FILTER PILOT </v>
      </c>
      <c r="E61" s="69">
        <f>VLOOKUP($B61,'[1]Products by Part Number'!$A:$L,10,0)</f>
        <v>1</v>
      </c>
      <c r="F61" s="70">
        <f>VLOOKUP(B61,'[1]Products by Part Number'!$A:$D,4,0)</f>
        <v>40.640999999999998</v>
      </c>
      <c r="G61" s="71">
        <f t="shared" si="1"/>
        <v>40.640999999999998</v>
      </c>
      <c r="H61" s="71">
        <f>VLOOKUP(B61,'[1]Products by Part Number'!$A:$F,6,0)</f>
        <v>20.32</v>
      </c>
      <c r="I61" s="79">
        <f t="shared" si="0"/>
        <v>20.32</v>
      </c>
    </row>
    <row r="62" spans="2:9" x14ac:dyDescent="0.25">
      <c r="B62" s="78" t="s">
        <v>126</v>
      </c>
      <c r="C62" s="68" t="str">
        <f>VLOOKUP(B62,'[1]Products by Part Number'!$A:$B,2,0)</f>
        <v xml:space="preserve">KOM PC360LC-11 (A37) KOM PC360LC-11 (A39) KOM PC360LC-11 (A39) (2)                                          </v>
      </c>
      <c r="D62" s="68" t="str">
        <f>VLOOKUP(B62,'[1]Products by Part Number'!$A:$C,3,0)</f>
        <v>HYDRAULIC FILTER</v>
      </c>
      <c r="E62" s="69">
        <f>VLOOKUP($B62,'[1]Products by Part Number'!$A:$L,10,0)</f>
        <v>3</v>
      </c>
      <c r="F62" s="70">
        <f>VLOOKUP(B62,'[1]Products by Part Number'!$A:$D,4,0)</f>
        <v>198.35</v>
      </c>
      <c r="G62" s="71">
        <f t="shared" si="1"/>
        <v>595.04999999999995</v>
      </c>
      <c r="H62" s="71">
        <f>VLOOKUP(B62,'[1]Products by Part Number'!$A:$F,6,0)</f>
        <v>99.18</v>
      </c>
      <c r="I62" s="79">
        <f t="shared" si="0"/>
        <v>297.54000000000002</v>
      </c>
    </row>
    <row r="63" spans="2:9" x14ac:dyDescent="0.25">
      <c r="B63" s="78" t="s">
        <v>127</v>
      </c>
      <c r="C63" s="68" t="str">
        <f>VLOOKUP(B63,'[1]Products by Part Number'!$A:$B,2,0)</f>
        <v xml:space="preserve">CAT 329EL (ZCD)                                              </v>
      </c>
      <c r="D63" s="68" t="str">
        <f>VLOOKUP(B63,'[1]Products by Part Number'!$A:$C,3,0)</f>
        <v>HYDRAULIC FILTER CASE DRAIN</v>
      </c>
      <c r="E63" s="69">
        <f>VLOOKUP($B63,'[1]Products by Part Number'!$A:$L,10,0)</f>
        <v>1</v>
      </c>
      <c r="F63" s="70">
        <f>VLOOKUP(B63,'[1]Products by Part Number'!$A:$D,4,0)</f>
        <v>98.57</v>
      </c>
      <c r="G63" s="71">
        <f t="shared" si="1"/>
        <v>98.57</v>
      </c>
      <c r="H63" s="71">
        <f>VLOOKUP(B63,'[1]Products by Part Number'!$A:$F,6,0)</f>
        <v>49.29</v>
      </c>
      <c r="I63" s="79">
        <f t="shared" si="0"/>
        <v>49.29</v>
      </c>
    </row>
    <row r="64" spans="2:9" x14ac:dyDescent="0.25">
      <c r="B64" s="78" t="s">
        <v>128</v>
      </c>
      <c r="C64" s="68" t="str">
        <f>VLOOKUP(B64,'[1]Products by Part Number'!$A:$B,2,0)</f>
        <v xml:space="preserve">KOM D61PX-24 (B60)                                              </v>
      </c>
      <c r="D64" s="68" t="str">
        <f>VLOOKUP(B64,'[1]Products by Part Number'!$A:$C,3,0)</f>
        <v>HYDRAULIC FILTER</v>
      </c>
      <c r="E64" s="69">
        <f>VLOOKUP($B64,'[1]Products by Part Number'!$A:$L,10,0)</f>
        <v>1</v>
      </c>
      <c r="F64" s="70">
        <f>VLOOKUP(B64,'[1]Products by Part Number'!$A:$D,4,0)</f>
        <v>370.6</v>
      </c>
      <c r="G64" s="71">
        <f t="shared" si="1"/>
        <v>370.6</v>
      </c>
      <c r="H64" s="71">
        <f>VLOOKUP(B64,'[1]Products by Part Number'!$A:$F,6,0)</f>
        <v>185.3</v>
      </c>
      <c r="I64" s="79">
        <f t="shared" si="0"/>
        <v>185.3</v>
      </c>
    </row>
    <row r="65" spans="2:9" x14ac:dyDescent="0.25">
      <c r="B65" s="78" t="s">
        <v>129</v>
      </c>
      <c r="C65" s="68" t="str">
        <f>VLOOKUP(B65,'[1]Products by Part Number'!$A:$B,2,0)</f>
        <v xml:space="preserve">CAT 329EL (ZCD)                                              </v>
      </c>
      <c r="D65" s="68" t="str">
        <f>VLOOKUP(B65,'[1]Products by Part Number'!$A:$C,3,0)</f>
        <v>HYDRAULIC FILTER RETURN</v>
      </c>
      <c r="E65" s="69">
        <f>VLOOKUP($B65,'[1]Products by Part Number'!$A:$L,10,0)</f>
        <v>1</v>
      </c>
      <c r="F65" s="70">
        <f>VLOOKUP(B65,'[1]Products by Part Number'!$A:$D,4,0)</f>
        <v>221.11</v>
      </c>
      <c r="G65" s="71">
        <f t="shared" si="1"/>
        <v>221.11</v>
      </c>
      <c r="H65" s="71">
        <f>VLOOKUP(B65,'[1]Products by Part Number'!$A:$F,6,0)</f>
        <v>110.56</v>
      </c>
      <c r="I65" s="79">
        <f t="shared" si="0"/>
        <v>110.56</v>
      </c>
    </row>
    <row r="66" spans="2:9" x14ac:dyDescent="0.25">
      <c r="B66" s="78" t="s">
        <v>130</v>
      </c>
      <c r="C66" s="68" t="str">
        <f>VLOOKUP(B66,'[1]Products by Part Number'!$A:$B,2,0)</f>
        <v xml:space="preserve">KOM HM400-5 (1) KOM HM400-5 (2) KOM HM400-5 (3) KOM HM400-5 (4) KOM HM400-5 (5) KOM HM400-5 (6) KOM HM400-5 (7) KOM HM400-5 (8) KOM HM400-5 (9) KOM HM400-5 (10) KOM HM400 (11) KOM HM400 (12) KOM HM400 (13) KOM HM400-5 (14) KOM PC238USLC-11 (2) KOM PC360LC-11 (A37) KOM PC360LC-11 (A39) KOM PC360LC-11 (A39) (2) KOM WA475-10 (120) KOM PC290LC-11 (K73)        </v>
      </c>
      <c r="D66" s="68" t="str">
        <f>VLOOKUP(B66,'[1]Products by Part Number'!$A:$C,3,0)</f>
        <v>HYDRAULIC FILTER TANK</v>
      </c>
      <c r="E66" s="69">
        <f>VLOOKUP($B66,'[1]Products by Part Number'!$A:$L,10,0)</f>
        <v>20</v>
      </c>
      <c r="F66" s="70">
        <f>VLOOKUP(B66,'[1]Products by Part Number'!$A:$D,4,0)</f>
        <v>188.98</v>
      </c>
      <c r="G66" s="71">
        <f t="shared" si="1"/>
        <v>3779.6</v>
      </c>
      <c r="H66" s="71">
        <f>VLOOKUP(B66,'[1]Products by Part Number'!$A:$F,6,0)</f>
        <v>94.49</v>
      </c>
      <c r="I66" s="79">
        <f t="shared" si="0"/>
        <v>1889.8</v>
      </c>
    </row>
    <row r="67" spans="2:9" x14ac:dyDescent="0.25">
      <c r="B67" s="78" t="s">
        <v>131</v>
      </c>
      <c r="C67" s="68" t="str">
        <f>VLOOKUP(B67,'[1]Products by Part Number'!$A:$B,2,0)</f>
        <v xml:space="preserve">KOM HM400-5 (1) KOM HM400-5 (2) KOM HM400-5 (3) KOM HM400-5 (4) KOM HM400-5 (5) KOM HM400-5 (6) KOM HM400-5 (7) KOM HM400-5 (8) KOM HM400-5 (9) KOM HM400-5 (10) KOM HM400 (11) KOM HM400 (12) KOM HM400 (13) KOM HM400-5 (14) KOM PC490LC-11 (A42) KOM PC490LC-11 (A42) (2) KOM PC490LC-11 (A42) (3) KOM PC490LC-11 (A42) (4) KOM PC490LC-11 (A42) (5) KOM PC490LC-11 (A43) KOM PC490LC-11 (KMT) (1) KOM PC490LC-11 (KMT) (2) KOM PC490LC-11 (KMT) (3)  </v>
      </c>
      <c r="D67" s="68" t="str">
        <f>VLOOKUP(B67,'[1]Products by Part Number'!$A:$C,3,0)</f>
        <v>HYDRAULIC FILTER ACCUMULATOR</v>
      </c>
      <c r="E67" s="69">
        <f>VLOOKUP($B67,'[1]Products by Part Number'!$A:$L,10,0)</f>
        <v>23</v>
      </c>
      <c r="F67" s="70">
        <f>VLOOKUP(B67,'[1]Products by Part Number'!$A:$D,4,0)</f>
        <v>259.43</v>
      </c>
      <c r="G67" s="71">
        <f t="shared" si="1"/>
        <v>5966.89</v>
      </c>
      <c r="H67" s="71">
        <f>VLOOKUP(B67,'[1]Products by Part Number'!$A:$F,6,0)</f>
        <v>129.72</v>
      </c>
      <c r="I67" s="79">
        <f t="shared" si="0"/>
        <v>2983.56</v>
      </c>
    </row>
    <row r="68" spans="2:9" x14ac:dyDescent="0.25">
      <c r="B68" s="78" t="s">
        <v>132</v>
      </c>
      <c r="C68" s="68" t="str">
        <f>VLOOKUP(B68,'[1]Products by Part Number'!$A:$B,2,0)</f>
        <v xml:space="preserve">KOM D61PX-24 (B60)                                              </v>
      </c>
      <c r="D68" s="68" t="str">
        <f>VLOOKUP(B68,'[1]Products by Part Number'!$A:$C,3,0)</f>
        <v>HYDRAULIC FILTER</v>
      </c>
      <c r="E68" s="69">
        <f>VLOOKUP($B68,'[1]Products by Part Number'!$A:$L,10,0)</f>
        <v>1</v>
      </c>
      <c r="F68" s="70">
        <f>VLOOKUP(B68,'[1]Products by Part Number'!$A:$D,4,0)</f>
        <v>220.88</v>
      </c>
      <c r="G68" s="71">
        <f t="shared" si="1"/>
        <v>220.88</v>
      </c>
      <c r="H68" s="71">
        <f>VLOOKUP(B68,'[1]Products by Part Number'!$A:$F,6,0)</f>
        <v>110.44</v>
      </c>
      <c r="I68" s="79">
        <f t="shared" si="0"/>
        <v>110.44</v>
      </c>
    </row>
    <row r="69" spans="2:9" x14ac:dyDescent="0.25">
      <c r="B69" s="78" t="s">
        <v>39</v>
      </c>
      <c r="C69" s="68" t="str">
        <f>VLOOKUP(B69,'[1]Products by Part Number'!$A:$B,2,0)</f>
        <v xml:space="preserve">CAT 14 (EN4)                                              </v>
      </c>
      <c r="D69" s="68" t="str">
        <f>VLOOKUP(B69,'[1]Products by Part Number'!$A:$C,3,0)</f>
        <v xml:space="preserve">HYDRAULIC FILTER </v>
      </c>
      <c r="E69" s="69">
        <f>VLOOKUP($B69,'[1]Products by Part Number'!$A:$L,10,0)</f>
        <v>1</v>
      </c>
      <c r="F69" s="70">
        <f>VLOOKUP(B69,'[1]Products by Part Number'!$A:$D,4,0)</f>
        <v>197.31</v>
      </c>
      <c r="G69" s="71">
        <f t="shared" si="1"/>
        <v>197.31</v>
      </c>
      <c r="H69" s="71">
        <f>VLOOKUP(B69,'[1]Products by Part Number'!$A:$F,6,0)</f>
        <v>98.66</v>
      </c>
      <c r="I69" s="79">
        <f t="shared" si="0"/>
        <v>98.66</v>
      </c>
    </row>
    <row r="70" spans="2:9" x14ac:dyDescent="0.25">
      <c r="B70" s="78" t="s">
        <v>133</v>
      </c>
      <c r="C70" s="68" t="str">
        <f>VLOOKUP(B70,'[1]Products by Part Number'!$A:$B,2,0)</f>
        <v xml:space="preserve">CAT 14 (EN4)                                              </v>
      </c>
      <c r="D70" s="68" t="str">
        <f>VLOOKUP(B70,'[1]Products by Part Number'!$A:$C,3,0)</f>
        <v>HYDRAULIC FILTER</v>
      </c>
      <c r="E70" s="69">
        <f>VLOOKUP($B70,'[1]Products by Part Number'!$A:$L,10,0)</f>
        <v>1</v>
      </c>
      <c r="F70" s="70">
        <f>VLOOKUP(B70,'[1]Products by Part Number'!$A:$D,4,0)</f>
        <v>103.37</v>
      </c>
      <c r="G70" s="71">
        <f t="shared" si="1"/>
        <v>103.37</v>
      </c>
      <c r="H70" s="71">
        <f>VLOOKUP(B70,'[1]Products by Part Number'!$A:$F,6,0)</f>
        <v>51.69</v>
      </c>
      <c r="I70" s="79">
        <f t="shared" si="0"/>
        <v>51.69</v>
      </c>
    </row>
    <row r="71" spans="2:9" x14ac:dyDescent="0.25">
      <c r="B71" s="78" t="s">
        <v>134</v>
      </c>
      <c r="C71" s="68" t="str">
        <f>VLOOKUP(B71,'[1]Products by Part Number'!$A:$B,2,0)</f>
        <v xml:space="preserve">KOM WA320-8 (867) KOM WA320PZ-6 (729)                                            </v>
      </c>
      <c r="D71" s="68" t="str">
        <f>VLOOKUP(B71,'[1]Products by Part Number'!$A:$C,3,0)</f>
        <v>HYDRAULIC FILTER</v>
      </c>
      <c r="E71" s="69">
        <f>VLOOKUP($B71,'[1]Products by Part Number'!$A:$L,10,0)</f>
        <v>2</v>
      </c>
      <c r="F71" s="70">
        <f>VLOOKUP(B71,'[1]Products by Part Number'!$A:$D,4,0)</f>
        <v>197.46</v>
      </c>
      <c r="G71" s="71">
        <f t="shared" si="1"/>
        <v>394.92</v>
      </c>
      <c r="H71" s="71">
        <f>VLOOKUP(B71,'[1]Products by Part Number'!$A:$F,6,0)</f>
        <v>98.73</v>
      </c>
      <c r="I71" s="79">
        <f t="shared" si="0"/>
        <v>197.46</v>
      </c>
    </row>
    <row r="72" spans="2:9" x14ac:dyDescent="0.25">
      <c r="B72" s="78" t="s">
        <v>135</v>
      </c>
      <c r="C72" s="68" t="str">
        <f>VLOOKUP(B72,'[1]Products by Part Number'!$A:$B,2,0)</f>
        <v xml:space="preserve">CAT 255 CAT 255 (2) CAT 255 (FL7)                                          </v>
      </c>
      <c r="D72" s="68" t="str">
        <f>VLOOKUP(B72,'[1]Products by Part Number'!$A:$C,3,0)</f>
        <v>HYDRAULIC FILTER</v>
      </c>
      <c r="E72" s="69">
        <f>VLOOKUP($B72,'[1]Products by Part Number'!$A:$L,10,0)</f>
        <v>3</v>
      </c>
      <c r="F72" s="70">
        <f>VLOOKUP(B72,'[1]Products by Part Number'!$A:$D,4,0)</f>
        <v>91.89</v>
      </c>
      <c r="G72" s="71">
        <f t="shared" si="1"/>
        <v>275.67</v>
      </c>
      <c r="H72" s="71">
        <f>VLOOKUP(B72,'[1]Products by Part Number'!$A:$F,6,0)</f>
        <v>45.95</v>
      </c>
      <c r="I72" s="79">
        <f t="shared" si="0"/>
        <v>137.85</v>
      </c>
    </row>
    <row r="73" spans="2:9" x14ac:dyDescent="0.25">
      <c r="B73" s="78" t="s">
        <v>136</v>
      </c>
      <c r="C73" s="68" t="str">
        <f>VLOOKUP(B73,'[1]Products by Part Number'!$A:$B,2,0)</f>
        <v xml:space="preserve">KOM D71PX-24 (1) KOM D71PX-24 (2) KOM D71PX-24 (3) KOM D71PX-24 (4) KOM D71PX-24 (5) KOM D71PX-24 (6) KOM D71PX-24 (7) KOM WA380-8 (1) KOM WA380-8 (2)                              </v>
      </c>
      <c r="D73" s="68" t="str">
        <f>VLOOKUP(B73,'[1]Products by Part Number'!$A:$C,3,0)</f>
        <v>HYDRAULIC FILTER TANK</v>
      </c>
      <c r="E73" s="69">
        <f>VLOOKUP($B73,'[1]Products by Part Number'!$A:$L,10,0)</f>
        <v>16</v>
      </c>
      <c r="F73" s="70">
        <f>VLOOKUP(B73,'[1]Products by Part Number'!$A:$D,4,0)</f>
        <v>161.15639999999999</v>
      </c>
      <c r="G73" s="71">
        <f t="shared" si="1"/>
        <v>2578.5023999999999</v>
      </c>
      <c r="H73" s="71">
        <f>VLOOKUP(B73,'[1]Products by Part Number'!$A:$F,6,0)</f>
        <v>80.58</v>
      </c>
      <c r="I73" s="79">
        <f t="shared" si="0"/>
        <v>1289.28</v>
      </c>
    </row>
    <row r="74" spans="2:9" x14ac:dyDescent="0.25">
      <c r="B74" s="78" t="s">
        <v>137</v>
      </c>
      <c r="C74" s="68" t="str">
        <f>VLOOKUP(B74,'[1]Products by Part Number'!$A:$B,2,0)</f>
        <v xml:space="preserve">KOM PC138USLC-11 KOM PC238USLC-11 (1)                                            </v>
      </c>
      <c r="D74" s="68" t="str">
        <f>VLOOKUP(B74,'[1]Products by Part Number'!$A:$C,3,0)</f>
        <v>HYDRAULIC FILTER</v>
      </c>
      <c r="E74" s="69">
        <f>VLOOKUP($B74,'[1]Products by Part Number'!$A:$L,10,0)</f>
        <v>2</v>
      </c>
      <c r="F74" s="70">
        <f>VLOOKUP(B74,'[1]Products by Part Number'!$A:$D,4,0)</f>
        <v>164.32</v>
      </c>
      <c r="G74" s="71">
        <f t="shared" si="1"/>
        <v>328.64</v>
      </c>
      <c r="H74" s="71">
        <f>VLOOKUP(B74,'[1]Products by Part Number'!$A:$F,6,0)</f>
        <v>82.16</v>
      </c>
      <c r="I74" s="79">
        <f t="shared" si="0"/>
        <v>164.32</v>
      </c>
    </row>
    <row r="75" spans="2:9" x14ac:dyDescent="0.25">
      <c r="B75" s="78" t="s">
        <v>138</v>
      </c>
      <c r="C75" s="68" t="str">
        <f>VLOOKUP(B75,'[1]Products by Part Number'!$A:$B,2,0)</f>
        <v xml:space="preserve">CAT 329EL (ZCD)                                              </v>
      </c>
      <c r="D75" s="68" t="str">
        <f>VLOOKUP(B75,'[1]Products by Part Number'!$A:$C,3,0)</f>
        <v>HYDRAULIC FILTER PILOT</v>
      </c>
      <c r="E75" s="69">
        <f>VLOOKUP($B75,'[1]Products by Part Number'!$A:$L,10,0)</f>
        <v>1</v>
      </c>
      <c r="F75" s="70">
        <f>VLOOKUP(B75,'[1]Products by Part Number'!$A:$D,4,0)</f>
        <v>102.89</v>
      </c>
      <c r="G75" s="71">
        <f t="shared" si="1"/>
        <v>102.89</v>
      </c>
      <c r="H75" s="71">
        <f>VLOOKUP(B75,'[1]Products by Part Number'!$A:$F,6,0)</f>
        <v>51.45</v>
      </c>
      <c r="I75" s="79">
        <f t="shared" si="0"/>
        <v>51.45</v>
      </c>
    </row>
    <row r="76" spans="2:9" x14ac:dyDescent="0.25">
      <c r="B76" s="78" t="s">
        <v>139</v>
      </c>
      <c r="C76" s="68" t="str">
        <f>VLOOKUP(B76,'[1]Products by Part Number'!$A:$B,2,0)</f>
        <v xml:space="preserve">JD 333G (1T0)                                              </v>
      </c>
      <c r="D76" s="68" t="str">
        <f>VLOOKUP(B76,'[1]Products by Part Number'!$A:$C,3,0)</f>
        <v>HYDRAULIC FILTER</v>
      </c>
      <c r="E76" s="69">
        <f>VLOOKUP($B76,'[1]Products by Part Number'!$A:$L,10,0)</f>
        <v>1</v>
      </c>
      <c r="F76" s="70">
        <f>VLOOKUP(B76,'[1]Products by Part Number'!$A:$D,4,0)</f>
        <v>131.1138</v>
      </c>
      <c r="G76" s="71">
        <f t="shared" si="1"/>
        <v>131.1138</v>
      </c>
      <c r="H76" s="71">
        <f>VLOOKUP(B76,'[1]Products by Part Number'!$A:$F,6,0)</f>
        <v>65.56</v>
      </c>
      <c r="I76" s="79">
        <f t="shared" si="0"/>
        <v>65.56</v>
      </c>
    </row>
    <row r="77" spans="2:9" x14ac:dyDescent="0.25">
      <c r="B77" s="78" t="s">
        <v>140</v>
      </c>
      <c r="C77" s="68" t="str">
        <f>VLOOKUP(B77,'[1]Products by Part Number'!$A:$B,2,0)</f>
        <v xml:space="preserve">JD 764 (100)                                              </v>
      </c>
      <c r="D77" s="68" t="str">
        <f>VLOOKUP(B77,'[1]Products by Part Number'!$A:$C,3,0)</f>
        <v>HYDRAULIC FILTER</v>
      </c>
      <c r="E77" s="69">
        <f>VLOOKUP($B77,'[1]Products by Part Number'!$A:$L,10,0)</f>
        <v>1</v>
      </c>
      <c r="F77" s="70">
        <f>VLOOKUP(B77,'[1]Products by Part Number'!$A:$D,4,0)</f>
        <v>178.50299999999999</v>
      </c>
      <c r="G77" s="71">
        <f t="shared" si="1"/>
        <v>178.50299999999999</v>
      </c>
      <c r="H77" s="71">
        <f>VLOOKUP(B77,'[1]Products by Part Number'!$A:$F,6,0)</f>
        <v>89.25</v>
      </c>
      <c r="I77" s="79">
        <f t="shared" si="0"/>
        <v>89.25</v>
      </c>
    </row>
    <row r="78" spans="2:9" x14ac:dyDescent="0.25">
      <c r="B78" s="78" t="s">
        <v>141</v>
      </c>
      <c r="C78" s="68" t="str">
        <f>VLOOKUP(B78,'[1]Products by Part Number'!$A:$B,2,0)</f>
        <v xml:space="preserve">JD 333G (1T0)                                              </v>
      </c>
      <c r="D78" s="68" t="str">
        <f>VLOOKUP(B78,'[1]Products by Part Number'!$A:$C,3,0)</f>
        <v>HYDRAULIC FILTER</v>
      </c>
      <c r="E78" s="69">
        <f>VLOOKUP($B78,'[1]Products by Part Number'!$A:$L,10,0)</f>
        <v>1</v>
      </c>
      <c r="F78" s="70">
        <f>VLOOKUP(B78,'[1]Products by Part Number'!$A:$D,4,0)</f>
        <v>168.56700000000001</v>
      </c>
      <c r="G78" s="71">
        <f t="shared" si="1"/>
        <v>168.56700000000001</v>
      </c>
      <c r="H78" s="71">
        <f>VLOOKUP(B78,'[1]Products by Part Number'!$A:$F,6,0)</f>
        <v>84.28</v>
      </c>
      <c r="I78" s="79">
        <f t="shared" si="0"/>
        <v>84.28</v>
      </c>
    </row>
    <row r="79" spans="2:9" x14ac:dyDescent="0.25">
      <c r="B79" s="78" t="s">
        <v>142</v>
      </c>
      <c r="C79" s="68" t="str">
        <f>VLOOKUP(B79,'[1]Products by Part Number'!$A:$B,2,0)</f>
        <v xml:space="preserve">JD 470P (1FF)                                              </v>
      </c>
      <c r="D79" s="68" t="str">
        <f>VLOOKUP(B79,'[1]Products by Part Number'!$A:$C,3,0)</f>
        <v>HYDRAULIC FILTER CASE DRAIN</v>
      </c>
      <c r="E79" s="69">
        <f>VLOOKUP($B79,'[1]Products by Part Number'!$A:$L,10,0)</f>
        <v>1</v>
      </c>
      <c r="F79" s="70">
        <f>VLOOKUP(B79,'[1]Products by Part Number'!$A:$D,4,0)</f>
        <v>49.252199999999995</v>
      </c>
      <c r="G79" s="71">
        <f t="shared" si="1"/>
        <v>49.252199999999995</v>
      </c>
      <c r="H79" s="71">
        <f>VLOOKUP(B79,'[1]Products by Part Number'!$A:$F,6,0)</f>
        <v>24.63</v>
      </c>
      <c r="I79" s="79">
        <f t="shared" ref="I79:I129" si="2">ROUND(E79*H79,2)</f>
        <v>24.63</v>
      </c>
    </row>
    <row r="80" spans="2:9" x14ac:dyDescent="0.25">
      <c r="B80" s="78" t="s">
        <v>143</v>
      </c>
      <c r="C80" s="68" t="str">
        <f>VLOOKUP(B80,'[1]Products by Part Number'!$A:$B,2,0)</f>
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</c>
      <c r="D80" s="68" t="str">
        <f>VLOOKUP(B80,'[1]Products by Part Number'!$A:$C,3,0)</f>
        <v>FUEL FILTER</v>
      </c>
      <c r="E80" s="69">
        <f>VLOOKUP($B80,'[1]Products by Part Number'!$A:$L,10,0)</f>
        <v>18</v>
      </c>
      <c r="F80" s="70">
        <f>VLOOKUP(B80,'[1]Products by Part Number'!$A:$D,4,0)</f>
        <v>69.17</v>
      </c>
      <c r="G80" s="71">
        <f t="shared" ref="G80:G122" si="3">E80*F80</f>
        <v>1245.06</v>
      </c>
      <c r="H80" s="71">
        <f>VLOOKUP(B80,'[1]Products by Part Number'!$A:$F,6,0)</f>
        <v>34.590000000000003</v>
      </c>
      <c r="I80" s="79">
        <f t="shared" si="2"/>
        <v>622.62</v>
      </c>
    </row>
    <row r="81" spans="2:9" x14ac:dyDescent="0.25">
      <c r="B81" s="78" t="s">
        <v>144</v>
      </c>
      <c r="C81" s="68" t="str">
        <f>VLOOKUP(B81,'[1]Products by Part Number'!$A:$B,2,0)</f>
        <v xml:space="preserve">KOM WA475-10 (120)                                              </v>
      </c>
      <c r="D81" s="68" t="str">
        <f>VLOOKUP(B81,'[1]Products by Part Number'!$A:$C,3,0)</f>
        <v>TRANSMISSION FILTER</v>
      </c>
      <c r="E81" s="69">
        <f>VLOOKUP($B81,'[1]Products by Part Number'!$A:$L,10,0)</f>
        <v>1</v>
      </c>
      <c r="F81" s="70">
        <f>VLOOKUP(B81,'[1]Products by Part Number'!$A:$D,4,0)</f>
        <v>200.94</v>
      </c>
      <c r="G81" s="71">
        <f t="shared" si="3"/>
        <v>200.94</v>
      </c>
      <c r="H81" s="71">
        <f>VLOOKUP(B81,'[1]Products by Part Number'!$A:$F,6,0)</f>
        <v>100.47</v>
      </c>
      <c r="I81" s="79">
        <f t="shared" si="2"/>
        <v>100.47</v>
      </c>
    </row>
    <row r="82" spans="2:9" x14ac:dyDescent="0.25">
      <c r="B82" s="78" t="s">
        <v>145</v>
      </c>
      <c r="C82" s="68" t="str">
        <f>VLOOKUP(B82,'[1]Products by Part Number'!$A:$B,2,0)</f>
        <v xml:space="preserve">CAT 329EL (ZCD)                                              </v>
      </c>
      <c r="D82" s="68" t="str">
        <f>VLOOKUP(B82,'[1]Products by Part Number'!$A:$C,3,0)</f>
        <v>ENGINE OIL FILTER</v>
      </c>
      <c r="E82" s="69">
        <f>VLOOKUP($B82,'[1]Products by Part Number'!$A:$L,10,0)</f>
        <v>2</v>
      </c>
      <c r="F82" s="70">
        <f>VLOOKUP(B82,'[1]Products by Part Number'!$A:$D,4,0)</f>
        <v>42.63</v>
      </c>
      <c r="G82" s="71">
        <f t="shared" si="3"/>
        <v>85.26</v>
      </c>
      <c r="H82" s="71">
        <f>VLOOKUP(B82,'[1]Products by Part Number'!$A:$F,6,0)</f>
        <v>21.32</v>
      </c>
      <c r="I82" s="79">
        <f t="shared" si="2"/>
        <v>42.64</v>
      </c>
    </row>
    <row r="83" spans="2:9" x14ac:dyDescent="0.25">
      <c r="B83" s="78" t="s">
        <v>146</v>
      </c>
      <c r="C83" s="68" t="str">
        <f>VLOOKUP(B83,'[1]Products by Part Number'!$A:$B,2,0)</f>
        <v xml:space="preserve">CAT 329EL (ZCD) CAT TL1055C (KDE)                                            </v>
      </c>
      <c r="D83" s="68" t="str">
        <f>VLOOKUP(B83,'[1]Products by Part Number'!$A:$C,3,0)</f>
        <v>FUEL FILTER</v>
      </c>
      <c r="E83" s="69">
        <f>VLOOKUP($B83,'[1]Products by Part Number'!$A:$L,10,0)</f>
        <v>4</v>
      </c>
      <c r="F83" s="70">
        <f>VLOOKUP(B83,'[1]Products by Part Number'!$A:$D,4,0)</f>
        <v>50.09</v>
      </c>
      <c r="G83" s="71">
        <f t="shared" si="3"/>
        <v>200.36</v>
      </c>
      <c r="H83" s="71">
        <f>VLOOKUP(B83,'[1]Products by Part Number'!$A:$F,6,0)</f>
        <v>25.05</v>
      </c>
      <c r="I83" s="79">
        <f t="shared" si="2"/>
        <v>100.2</v>
      </c>
    </row>
    <row r="84" spans="2:9" x14ac:dyDescent="0.25">
      <c r="B84" s="78" t="s">
        <v>147</v>
      </c>
      <c r="C84" s="68" t="str">
        <f>VLOOKUP(B84,'[1]Products by Part Number'!$A:$B,2,0)</f>
        <v xml:space="preserve">KOM WA320-8 (867) KOM WA320PZ-6 (729)                                            </v>
      </c>
      <c r="D84" s="68" t="str">
        <f>VLOOKUP(B84,'[1]Products by Part Number'!$A:$C,3,0)</f>
        <v>TRANSMISSION FILTER</v>
      </c>
      <c r="E84" s="69">
        <f>VLOOKUP($B84,'[1]Products by Part Number'!$A:$L,10,0)</f>
        <v>2</v>
      </c>
      <c r="F84" s="70">
        <f>VLOOKUP(B84,'[1]Products by Part Number'!$A:$D,4,0)</f>
        <v>106.91</v>
      </c>
      <c r="G84" s="71">
        <f t="shared" si="3"/>
        <v>213.82</v>
      </c>
      <c r="H84" s="71">
        <f>VLOOKUP(B84,'[1]Products by Part Number'!$A:$F,6,0)</f>
        <v>53.46</v>
      </c>
      <c r="I84" s="79">
        <f t="shared" si="2"/>
        <v>106.92</v>
      </c>
    </row>
    <row r="85" spans="2:9" x14ac:dyDescent="0.25">
      <c r="B85" s="78" t="s">
        <v>148</v>
      </c>
      <c r="C85" s="68" t="str">
        <f>VLOOKUP(B85,'[1]Products by Part Number'!$A:$B,2,0)</f>
        <v xml:space="preserve">KOM WA320-8 (867) KOM WA320PZ-6 (729)                                            </v>
      </c>
      <c r="D85" s="68" t="str">
        <f>VLOOKUP(B85,'[1]Products by Part Number'!$A:$C,3,0)</f>
        <v>CAB FILTER</v>
      </c>
      <c r="E85" s="69">
        <f>VLOOKUP($B85,'[1]Products by Part Number'!$A:$L,10,0)</f>
        <v>2</v>
      </c>
      <c r="F85" s="70">
        <f>VLOOKUP(B85,'[1]Products by Part Number'!$A:$D,4,0)</f>
        <v>162.04</v>
      </c>
      <c r="G85" s="71">
        <f t="shared" si="3"/>
        <v>324.08</v>
      </c>
      <c r="H85" s="71">
        <f>VLOOKUP(B85,'[1]Products by Part Number'!$A:$F,6,0)</f>
        <v>105.33</v>
      </c>
      <c r="I85" s="79">
        <f t="shared" si="2"/>
        <v>210.66</v>
      </c>
    </row>
    <row r="86" spans="2:9" x14ac:dyDescent="0.25">
      <c r="B86" s="78" t="s">
        <v>149</v>
      </c>
      <c r="C86" s="68" t="str">
        <f>VLOOKUP(B86,'[1]Products by Part Number'!$A:$B,2,0)</f>
        <v xml:space="preserve">CAT 14 (EN4)                                              </v>
      </c>
      <c r="D86" s="68" t="str">
        <f>VLOOKUP(B86,'[1]Products by Part Number'!$A:$C,3,0)</f>
        <v>FUEL/WATER SEPERATOR</v>
      </c>
      <c r="E86" s="69">
        <f>VLOOKUP($B86,'[1]Products by Part Number'!$A:$L,10,0)</f>
        <v>2</v>
      </c>
      <c r="F86" s="70">
        <f>VLOOKUP(B86,'[1]Products by Part Number'!$A:$D,4,0)</f>
        <v>86.8</v>
      </c>
      <c r="G86" s="71">
        <f t="shared" si="3"/>
        <v>173.6</v>
      </c>
      <c r="H86" s="71">
        <f>VLOOKUP(B86,'[1]Products by Part Number'!$A:$F,6,0)</f>
        <v>43.4</v>
      </c>
      <c r="I86" s="79">
        <f t="shared" si="2"/>
        <v>86.8</v>
      </c>
    </row>
    <row r="87" spans="2:9" x14ac:dyDescent="0.25">
      <c r="B87" s="78" t="s">
        <v>150</v>
      </c>
      <c r="C87" s="68" t="str">
        <f>VLOOKUP(B87,'[1]Products by Part Number'!$A:$B,2,0)</f>
        <v xml:space="preserve">CAT TL1055C (KDE)                                              </v>
      </c>
      <c r="D87" s="68" t="str">
        <f>VLOOKUP(B87,'[1]Products by Part Number'!$A:$C,3,0)</f>
        <v>TRANSMISSION FILTER</v>
      </c>
      <c r="E87" s="69">
        <f>VLOOKUP($B87,'[1]Products by Part Number'!$A:$L,10,0)</f>
        <v>1</v>
      </c>
      <c r="F87" s="70">
        <f>VLOOKUP(B87,'[1]Products by Part Number'!$A:$D,4,0)</f>
        <v>54.46</v>
      </c>
      <c r="G87" s="71">
        <f t="shared" si="3"/>
        <v>54.46</v>
      </c>
      <c r="H87" s="71">
        <f>VLOOKUP(B87,'[1]Products by Part Number'!$A:$F,6,0)</f>
        <v>27.23</v>
      </c>
      <c r="I87" s="79">
        <f t="shared" si="2"/>
        <v>27.23</v>
      </c>
    </row>
    <row r="88" spans="2:9" x14ac:dyDescent="0.25">
      <c r="B88" s="78" t="s">
        <v>151</v>
      </c>
      <c r="C88" s="68" t="str">
        <f>VLOOKUP(B88,'[1]Products by Part Number'!$A:$B,2,0)</f>
        <v xml:space="preserve">CAT 329EL (ZCD)                                              </v>
      </c>
      <c r="D88" s="68" t="str">
        <f>VLOOKUP(B88,'[1]Products by Part Number'!$A:$C,3,0)</f>
        <v>FUEL/WATER SEPERATOR</v>
      </c>
      <c r="E88" s="69">
        <f>VLOOKUP($B88,'[1]Products by Part Number'!$A:$L,10,0)</f>
        <v>2</v>
      </c>
      <c r="F88" s="70">
        <f>VLOOKUP(B88,'[1]Products by Part Number'!$A:$D,4,0)</f>
        <v>76.150000000000006</v>
      </c>
      <c r="G88" s="71">
        <f t="shared" si="3"/>
        <v>152.30000000000001</v>
      </c>
      <c r="H88" s="71">
        <f>VLOOKUP(B88,'[1]Products by Part Number'!$A:$F,6,0)</f>
        <v>38.08</v>
      </c>
      <c r="I88" s="79">
        <f t="shared" si="2"/>
        <v>76.16</v>
      </c>
    </row>
    <row r="89" spans="2:9" x14ac:dyDescent="0.25">
      <c r="B89" s="78" t="s">
        <v>152</v>
      </c>
      <c r="C89" s="68" t="str">
        <f>VLOOKUP(B89,'[1]Products by Part Number'!$A:$B,2,0)</f>
        <v xml:space="preserve">CAT TL1055C (KDE)                                              </v>
      </c>
      <c r="D89" s="68" t="str">
        <f>VLOOKUP(B89,'[1]Products by Part Number'!$A:$C,3,0)</f>
        <v>FUEL/WATER SEPERATOR</v>
      </c>
      <c r="E89" s="69">
        <f>VLOOKUP($B89,'[1]Products by Part Number'!$A:$L,10,0)</f>
        <v>2</v>
      </c>
      <c r="F89" s="70">
        <f>VLOOKUP(B89,'[1]Products by Part Number'!$A:$D,4,0)</f>
        <v>72.33</v>
      </c>
      <c r="G89" s="71">
        <f t="shared" si="3"/>
        <v>144.66</v>
      </c>
      <c r="H89" s="71">
        <f>VLOOKUP(B89,'[1]Products by Part Number'!$A:$F,6,0)</f>
        <v>36.17</v>
      </c>
      <c r="I89" s="79">
        <f t="shared" si="2"/>
        <v>72.34</v>
      </c>
    </row>
    <row r="90" spans="2:9" x14ac:dyDescent="0.25">
      <c r="B90" s="78" t="s">
        <v>153</v>
      </c>
      <c r="C90" s="68" t="str">
        <f>VLOOKUP(B90,'[1]Products by Part Number'!$A:$B,2,0)</f>
        <v xml:space="preserve">CAT 14 (EN4)                                              </v>
      </c>
      <c r="D90" s="68" t="str">
        <f>VLOOKUP(B90,'[1]Products by Part Number'!$A:$C,3,0)</f>
        <v>FUEL FILTER</v>
      </c>
      <c r="E90" s="69">
        <f>VLOOKUP($B90,'[1]Products by Part Number'!$A:$L,10,0)</f>
        <v>4</v>
      </c>
      <c r="F90" s="70">
        <f>VLOOKUP(B90,'[1]Products by Part Number'!$A:$D,4,0)</f>
        <v>47.23</v>
      </c>
      <c r="G90" s="71">
        <f t="shared" si="3"/>
        <v>188.92</v>
      </c>
      <c r="H90" s="71">
        <f>VLOOKUP(B90,'[1]Products by Part Number'!$A:$F,6,0)</f>
        <v>23.62</v>
      </c>
      <c r="I90" s="79">
        <f t="shared" si="2"/>
        <v>94.48</v>
      </c>
    </row>
    <row r="91" spans="2:9" x14ac:dyDescent="0.25">
      <c r="B91" s="78" t="s">
        <v>154</v>
      </c>
      <c r="C91" s="68" t="str">
        <f>VLOOKUP(B91,'[1]Products by Part Number'!$A:$B,2,0)</f>
        <v xml:space="preserve">CAT 14 (EN4)                                              </v>
      </c>
      <c r="D91" s="68" t="str">
        <f>VLOOKUP(B91,'[1]Products by Part Number'!$A:$C,3,0)</f>
        <v>ENGINE OIL FILTER</v>
      </c>
      <c r="E91" s="69">
        <f>VLOOKUP($B91,'[1]Products by Part Number'!$A:$L,10,0)</f>
        <v>2</v>
      </c>
      <c r="F91" s="70">
        <f>VLOOKUP(B91,'[1]Products by Part Number'!$A:$D,4,0)</f>
        <v>75.31</v>
      </c>
      <c r="G91" s="71">
        <f t="shared" si="3"/>
        <v>150.62</v>
      </c>
      <c r="H91" s="71">
        <f>VLOOKUP(B91,'[1]Products by Part Number'!$A:$F,6,0)</f>
        <v>37.659999999999997</v>
      </c>
      <c r="I91" s="79">
        <f t="shared" si="2"/>
        <v>75.319999999999993</v>
      </c>
    </row>
    <row r="92" spans="2:9" x14ac:dyDescent="0.25">
      <c r="B92" s="78" t="s">
        <v>155</v>
      </c>
      <c r="C92" s="68" t="str">
        <f>VLOOKUP(B92,'[1]Products by Part Number'!$A:$B,2,0)</f>
        <v xml:space="preserve">CAT 255 CAT 255 (2) CAT 255 (FL7)                                          </v>
      </c>
      <c r="D92" s="68" t="str">
        <f>VLOOKUP(B92,'[1]Products by Part Number'!$A:$C,3,0)</f>
        <v>FUEL/WATER SEPERATOR</v>
      </c>
      <c r="E92" s="69">
        <f>VLOOKUP($B92,'[1]Products by Part Number'!$A:$L,10,0)</f>
        <v>6</v>
      </c>
      <c r="F92" s="70">
        <f>VLOOKUP(B92,'[1]Products by Part Number'!$A:$D,4,0)</f>
        <v>77.34</v>
      </c>
      <c r="G92" s="71">
        <f t="shared" si="3"/>
        <v>464.04</v>
      </c>
      <c r="H92" s="71">
        <f>VLOOKUP(B92,'[1]Products by Part Number'!$A:$F,6,0)</f>
        <v>38.67</v>
      </c>
      <c r="I92" s="79">
        <f t="shared" si="2"/>
        <v>232.02</v>
      </c>
    </row>
    <row r="93" spans="2:9" x14ac:dyDescent="0.25">
      <c r="B93" s="78" t="s">
        <v>156</v>
      </c>
      <c r="C93" s="68" t="str">
        <f>VLOOKUP(B93,'[1]Products by Part Number'!$A:$B,2,0)</f>
        <v xml:space="preserve">KOM WA380-8 (1) KOM WA380-8 (2)                                            </v>
      </c>
      <c r="D93" s="68" t="str">
        <f>VLOOKUP(B93,'[1]Products by Part Number'!$A:$C,3,0)</f>
        <v>TRANSMISSION FILTER</v>
      </c>
      <c r="E93" s="69">
        <f>VLOOKUP($B93,'[1]Products by Part Number'!$A:$L,10,0)</f>
        <v>2</v>
      </c>
      <c r="F93" s="70">
        <f>VLOOKUP(B93,'[1]Products by Part Number'!$A:$D,4,0)</f>
        <v>415.83</v>
      </c>
      <c r="G93" s="71">
        <f t="shared" si="3"/>
        <v>831.66</v>
      </c>
      <c r="H93" s="71">
        <f>VLOOKUP(B93,'[1]Products by Part Number'!$A:$F,6,0)</f>
        <v>207.92</v>
      </c>
      <c r="I93" s="79">
        <f t="shared" si="2"/>
        <v>415.84</v>
      </c>
    </row>
    <row r="94" spans="2:9" x14ac:dyDescent="0.25">
      <c r="B94" s="78" t="s">
        <v>157</v>
      </c>
      <c r="C94" s="68" t="str">
        <f>VLOOKUP(B94,'[1]Products by Part Number'!$A:$B,2,0)</f>
        <v xml:space="preserve">CAT 255 CAT 255 (2) CAT 255 (FL7)                                          </v>
      </c>
      <c r="D94" s="68" t="str">
        <f>VLOOKUP(B94,'[1]Products by Part Number'!$A:$C,3,0)</f>
        <v>ENGINE OIL FILTER</v>
      </c>
      <c r="E94" s="69">
        <f>VLOOKUP($B94,'[1]Products by Part Number'!$A:$L,10,0)</f>
        <v>6</v>
      </c>
      <c r="F94" s="70">
        <f>VLOOKUP(B94,'[1]Products by Part Number'!$A:$D,4,0)</f>
        <v>54.67</v>
      </c>
      <c r="G94" s="71">
        <f t="shared" si="3"/>
        <v>328.02</v>
      </c>
      <c r="H94" s="71">
        <f>VLOOKUP(B94,'[1]Products by Part Number'!$A:$F,6,0)</f>
        <v>27.34</v>
      </c>
      <c r="I94" s="79">
        <f t="shared" si="2"/>
        <v>164.04</v>
      </c>
    </row>
    <row r="95" spans="2:9" x14ac:dyDescent="0.25">
      <c r="B95" s="78" t="s">
        <v>158</v>
      </c>
      <c r="C95" s="68" t="str">
        <f>VLOOKUP(B95,'[1]Products by Part Number'!$A:$B,2,0)</f>
        <v xml:space="preserve">KOM PC490LC-11 (A42) KOM PC490LC-11 (A42) (2) KOM PC490LC-11 (A42) (3) KOM PC490LC-11 (A42) (4) KOM PC490LC-11 (A42) (5) KOM PC490LC-11 (A43) KOM PC490LC-11 (KMT) (1) KOM PC490LC-11 (KMT) (2) KOM PC490LC-11 (KMT) (3) KOM WA475-10 (120)                            </v>
      </c>
      <c r="D95" s="68" t="str">
        <f>VLOOKUP(B95,'[1]Products by Part Number'!$A:$C,3,0)</f>
        <v>ENGINE OIL FILTER</v>
      </c>
      <c r="E95" s="69">
        <f>VLOOKUP($B95,'[1]Products by Part Number'!$A:$L,10,0)</f>
        <v>20</v>
      </c>
      <c r="F95" s="70">
        <f>VLOOKUP(B95,'[1]Products by Part Number'!$A:$D,4,0)</f>
        <v>161.84</v>
      </c>
      <c r="G95" s="71">
        <f t="shared" si="3"/>
        <v>3236.8</v>
      </c>
      <c r="H95" s="71">
        <f>VLOOKUP(B95,'[1]Products by Part Number'!$A:$F,6,0)</f>
        <v>80.92</v>
      </c>
      <c r="I95" s="79">
        <f t="shared" si="2"/>
        <v>1618.4</v>
      </c>
    </row>
    <row r="96" spans="2:9" x14ac:dyDescent="0.25">
      <c r="B96" s="78" t="s">
        <v>159</v>
      </c>
      <c r="C96" s="68" t="str">
        <f>VLOOKUP(B96,'[1]Products by Part Number'!$A:$B,2,0)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96" s="68" t="str">
        <f>VLOOKUP(B96,'[1]Products by Part Number'!$A:$C,3,0)</f>
        <v>ENGINE OIL FILTER</v>
      </c>
      <c r="E96" s="69">
        <f>VLOOKUP($B96,'[1]Products by Part Number'!$A:$L,10,0)</f>
        <v>28</v>
      </c>
      <c r="F96" s="70">
        <f>VLOOKUP(B96,'[1]Products by Part Number'!$A:$D,4,0)</f>
        <v>161.84</v>
      </c>
      <c r="G96" s="71">
        <f t="shared" si="3"/>
        <v>4531.5200000000004</v>
      </c>
      <c r="H96" s="71">
        <f>VLOOKUP(B96,'[1]Products by Part Number'!$A:$F,6,0)</f>
        <v>80.92</v>
      </c>
      <c r="I96" s="79">
        <f t="shared" si="2"/>
        <v>2265.7600000000002</v>
      </c>
    </row>
    <row r="97" spans="2:9" x14ac:dyDescent="0.25">
      <c r="B97" s="78" t="s">
        <v>160</v>
      </c>
      <c r="C97" s="68" t="str">
        <f>VLOOKUP(B97,'[1]Products by Part Number'!$A:$B,2,0)</f>
        <v xml:space="preserve">KOM PC138USLC-11 KOM PC238USLC-11 (1)                                            </v>
      </c>
      <c r="D97" s="68" t="str">
        <f>VLOOKUP(B97,'[1]Products by Part Number'!$A:$C,3,0)</f>
        <v>ENGINE OIL FILTER</v>
      </c>
      <c r="E97" s="69">
        <f>VLOOKUP($B97,'[1]Products by Part Number'!$A:$L,10,0)</f>
        <v>4</v>
      </c>
      <c r="F97" s="70">
        <f>VLOOKUP(B97,'[1]Products by Part Number'!$A:$D,4,0)</f>
        <v>27.53</v>
      </c>
      <c r="G97" s="71">
        <f t="shared" si="3"/>
        <v>110.12</v>
      </c>
      <c r="H97" s="71">
        <f>VLOOKUP(B97,'[1]Products by Part Number'!$A:$F,6,0)</f>
        <v>13.77</v>
      </c>
      <c r="I97" s="79">
        <f t="shared" si="2"/>
        <v>55.08</v>
      </c>
    </row>
    <row r="98" spans="2:9" x14ac:dyDescent="0.25">
      <c r="B98" s="78" t="s">
        <v>161</v>
      </c>
      <c r="C98" s="68" t="str">
        <f>VLOOKUP(B98,'[1]Products by Part Number'!$A:$B,2,0)</f>
        <v xml:space="preserve">KOM D71PX-24 (1) KOM D71PX-24 (2) KOM D71PX-24 (3) KOM D71PX-24 (4) KOM D71PX-24 (5) KOM D71PX-24 (6) KOM D71PX-24 (7) KOM PC238USLC-11 (2) KOM WA380-8 (1) KOM WA380-8 (2) KOM WA320-8 (867) KOM WA320PZ-6 (729) KOM PC360LC-11 (A37) KOM PC360LC-11 (A39) KOM PC360LC-11 (A39) (2) KOM PC290LC-11 (K73) KOM D61PX-24 (B60)              </v>
      </c>
      <c r="D98" s="68" t="str">
        <f>VLOOKUP(B98,'[1]Products by Part Number'!$A:$C,3,0)</f>
        <v>FUEL FILTER</v>
      </c>
      <c r="E98" s="69">
        <f>VLOOKUP($B98,'[1]Products by Part Number'!$A:$L,10,0)</f>
        <v>34</v>
      </c>
      <c r="F98" s="70">
        <f>VLOOKUP(B98,'[1]Products by Part Number'!$A:$D,4,0)</f>
        <v>275.9862</v>
      </c>
      <c r="G98" s="71">
        <f t="shared" si="3"/>
        <v>9383.5308000000005</v>
      </c>
      <c r="H98" s="71">
        <f>VLOOKUP(B98,'[1]Products by Part Number'!$A:$F,6,0)</f>
        <v>137.99</v>
      </c>
      <c r="I98" s="79">
        <f t="shared" si="2"/>
        <v>4691.66</v>
      </c>
    </row>
    <row r="99" spans="2:9" x14ac:dyDescent="0.25">
      <c r="B99" s="78" t="s">
        <v>162</v>
      </c>
      <c r="C99" s="68" t="str">
        <f>VLOOKUP(B99,'[1]Products by Part Number'!$A:$B,2,0)</f>
        <v xml:space="preserve">KOM D71PX-24 (1) KOM D71PX-24 (2) KOM D71PX-24 (3) KOM D71PX-24 (4) KOM D71PX-24 (5) KOM D71PX-24 (6) KOM D71PX-24 (7) KOM PC238USLC-11 (2) KOM WA380-8 (1) KOM WA380-8 (2) KOM WA320-8 (867) KOM WA320PZ-6 (729) KOM PC360LC-11 (A37) KOM PC360LC-11 (A39) KOM PC360LC-11 (A39) (2) KOM PC290LC-11 (K73) KOM D61PX-24 (B60)              </v>
      </c>
      <c r="D99" s="68" t="str">
        <f>VLOOKUP(B99,'[1]Products by Part Number'!$A:$C,3,0)</f>
        <v>FUEL FILTER</v>
      </c>
      <c r="E99" s="69">
        <f>VLOOKUP($B99,'[1]Products by Part Number'!$A:$L,10,0)</f>
        <v>29</v>
      </c>
      <c r="F99" s="70">
        <f>VLOOKUP(B99,'[1]Products by Part Number'!$A:$D,4,0)</f>
        <v>61.975799999999992</v>
      </c>
      <c r="G99" s="71">
        <f t="shared" si="3"/>
        <v>1797.2981999999997</v>
      </c>
      <c r="H99" s="71">
        <f>VLOOKUP(B99,'[1]Products by Part Number'!$A:$F,6,0)</f>
        <v>30.99</v>
      </c>
      <c r="I99" s="79">
        <f t="shared" si="2"/>
        <v>898.71</v>
      </c>
    </row>
    <row r="100" spans="2:9" x14ac:dyDescent="0.25">
      <c r="B100" s="78" t="s">
        <v>163</v>
      </c>
      <c r="C100" s="68" t="str">
        <f>VLOOKUP(B100,'[1]Products by Part Number'!$A:$B,2,0)</f>
        <v>KOM HM400-5 (1) KOM HM400-5 (2) KOM HM400-5 (3) KOM HM400-5 (4) KOM HM400-5 (5) KOM HM400-5 (6) KOM HM400-5 (7) KOM HM400-5 (8) KOM HM400-5 (9) KOM HM400-5 (10) KOM HM400 (11) KOM HM400 (12) KOM HM400 (13) KOM HM400-5 (14) KOM PC490LC-11 (A42) KOM PC490LC-11 (A42) (2) KOM PC490LC-11 (A42) (3) KOM PC490LC-11 (A42) (4) KOM PC490LC-11 (A42) (5) KOM PC490LC-11 (A43) KOM PC490LC-11 (KMT) (1) KOM PC490LC-11 (KMT) (2) KOM PC490LC-11 (KMT) (3) KOM WA475-10 (120)</v>
      </c>
      <c r="D100" s="68" t="str">
        <f>VLOOKUP(B100,'[1]Products by Part Number'!$A:$C,3,0)</f>
        <v>FUEL FILTER</v>
      </c>
      <c r="E100" s="69">
        <f>VLOOKUP($B100,'[1]Products by Part Number'!$A:$L,10,0)</f>
        <v>39</v>
      </c>
      <c r="F100" s="70">
        <f>VLOOKUP(B100,'[1]Products by Part Number'!$A:$D,4,0)</f>
        <v>198.95</v>
      </c>
      <c r="G100" s="71">
        <f t="shared" si="3"/>
        <v>7759.0499999999993</v>
      </c>
      <c r="H100" s="71">
        <f>VLOOKUP(B100,'[1]Products by Part Number'!$A:$F,6,0)</f>
        <v>99.48</v>
      </c>
      <c r="I100" s="79">
        <f t="shared" si="2"/>
        <v>3879.72</v>
      </c>
    </row>
    <row r="101" spans="2:9" x14ac:dyDescent="0.25">
      <c r="B101" s="78" t="s">
        <v>164</v>
      </c>
      <c r="C101" s="68" t="str">
        <f>VLOOKUP(B101,'[1]Products by Part Number'!$A:$B,2,0)</f>
        <v xml:space="preserve">KOM PC138USLC-11 KOM PC238USLC-11 (1)                                            </v>
      </c>
      <c r="D101" s="68" t="str">
        <f>VLOOKUP(B101,'[1]Products by Part Number'!$A:$C,3,0)</f>
        <v>FUEL FILTER</v>
      </c>
      <c r="E101" s="69">
        <f>VLOOKUP($B101,'[1]Products by Part Number'!$A:$L,10,0)</f>
        <v>4</v>
      </c>
      <c r="F101" s="70">
        <f>VLOOKUP(B101,'[1]Products by Part Number'!$A:$D,4,0)</f>
        <v>78.06</v>
      </c>
      <c r="G101" s="71">
        <f t="shared" si="3"/>
        <v>312.24</v>
      </c>
      <c r="H101" s="71">
        <f>VLOOKUP(B101,'[1]Products by Part Number'!$A:$F,6,0)</f>
        <v>39.03</v>
      </c>
      <c r="I101" s="79">
        <f t="shared" si="2"/>
        <v>156.12</v>
      </c>
    </row>
    <row r="102" spans="2:9" x14ac:dyDescent="0.25">
      <c r="B102" s="78" t="s">
        <v>165</v>
      </c>
      <c r="C102" s="68" t="str">
        <f>VLOOKUP(B102,'[1]Products by Part Number'!$A:$B,2,0)</f>
        <v xml:space="preserve">KOM PC138USLC-11 KOM PC238USLC-11 (1)                                            </v>
      </c>
      <c r="D102" s="68" t="str">
        <f>VLOOKUP(B102,'[1]Products by Part Number'!$A:$C,3,0)</f>
        <v>FUEL FILTER</v>
      </c>
      <c r="E102" s="69">
        <f>VLOOKUP($B102,'[1]Products by Part Number'!$A:$L,10,0)</f>
        <v>4</v>
      </c>
      <c r="F102" s="70">
        <f>VLOOKUP(B102,'[1]Products by Part Number'!$A:$D,4,0)</f>
        <v>81.8</v>
      </c>
      <c r="G102" s="71">
        <f t="shared" si="3"/>
        <v>327.2</v>
      </c>
      <c r="H102" s="71">
        <f>VLOOKUP(B102,'[1]Products by Part Number'!$A:$F,6,0)</f>
        <v>40.9</v>
      </c>
      <c r="I102" s="79">
        <f t="shared" si="2"/>
        <v>163.6</v>
      </c>
    </row>
    <row r="103" spans="2:9" x14ac:dyDescent="0.25">
      <c r="B103" s="78" t="s">
        <v>166</v>
      </c>
      <c r="C103" s="68" t="str">
        <f>VLOOKUP(B103,'[1]Products by Part Number'!$A:$B,2,0)</f>
        <v xml:space="preserve">KOM WA475-10 (120)                                              </v>
      </c>
      <c r="D103" s="68" t="str">
        <f>VLOOKUP(B103,'[1]Products by Part Number'!$A:$C,3,0)</f>
        <v>FUEL FILTER</v>
      </c>
      <c r="E103" s="69">
        <f>VLOOKUP($B103,'[1]Products by Part Number'!$A:$L,10,0)</f>
        <v>2</v>
      </c>
      <c r="F103" s="70">
        <f>VLOOKUP(B103,'[1]Products by Part Number'!$A:$D,4,0)</f>
        <v>69.17</v>
      </c>
      <c r="G103" s="71">
        <f t="shared" si="3"/>
        <v>138.34</v>
      </c>
      <c r="H103" s="71">
        <f>VLOOKUP(B103,'[1]Products by Part Number'!$A:$F,6,0)</f>
        <v>34.590000000000003</v>
      </c>
      <c r="I103" s="79">
        <f t="shared" si="2"/>
        <v>69.180000000000007</v>
      </c>
    </row>
    <row r="104" spans="2:9" x14ac:dyDescent="0.25">
      <c r="B104" s="78" t="s">
        <v>167</v>
      </c>
      <c r="C104" s="68" t="str">
        <f>VLOOKUP(B104,'[1]Products by Part Number'!$A:$B,2,0)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104" s="68" t="str">
        <f>VLOOKUP(B104,'[1]Products by Part Number'!$A:$C,3,0)</f>
        <v>FUEL FILTER</v>
      </c>
      <c r="E104" s="69">
        <f>VLOOKUP($B104,'[1]Products by Part Number'!$A:$L,10,0)</f>
        <v>28</v>
      </c>
      <c r="F104" s="70">
        <f>VLOOKUP(B104,'[1]Products by Part Number'!$A:$D,4,0)</f>
        <v>233.62</v>
      </c>
      <c r="G104" s="71">
        <f t="shared" si="3"/>
        <v>6541.3600000000006</v>
      </c>
      <c r="H104" s="71">
        <f>VLOOKUP(B104,'[1]Products by Part Number'!$A:$F,6,0)</f>
        <v>116.81</v>
      </c>
      <c r="I104" s="79">
        <f t="shared" si="2"/>
        <v>3270.68</v>
      </c>
    </row>
    <row r="105" spans="2:9" x14ac:dyDescent="0.25">
      <c r="B105" s="78" t="s">
        <v>168</v>
      </c>
      <c r="C105" s="68" t="str">
        <f>VLOOKUP(B105,'[1]Products by Part Number'!$A:$B,2,0)</f>
        <v xml:space="preserve">KOM PC238USLC-11 (2) KOM WA380-8 (1) KOM WA380-8 (2) KOM WA320-8 (867) KOM WA320PZ-6 (729) KOM PC290LC-11 (K73) KOM D61PX-24 (B60)                                  </v>
      </c>
      <c r="D105" s="68" t="str">
        <f>VLOOKUP(B105,'[1]Products by Part Number'!$A:$C,3,0)</f>
        <v>ENGINE OIL FILTER</v>
      </c>
      <c r="E105" s="69">
        <f>VLOOKUP($B105,'[1]Products by Part Number'!$A:$L,10,0)</f>
        <v>14</v>
      </c>
      <c r="F105" s="70">
        <f>VLOOKUP(B105,'[1]Products by Part Number'!$A:$D,4,0)</f>
        <v>38.229999999999997</v>
      </c>
      <c r="G105" s="71">
        <f t="shared" si="3"/>
        <v>535.21999999999991</v>
      </c>
      <c r="H105" s="71">
        <f>VLOOKUP(B105,'[1]Products by Part Number'!$A:$F,6,0)</f>
        <v>19.12</v>
      </c>
      <c r="I105" s="79">
        <f t="shared" si="2"/>
        <v>267.68</v>
      </c>
    </row>
    <row r="106" spans="2:9" x14ac:dyDescent="0.25">
      <c r="B106" s="78" t="s">
        <v>169</v>
      </c>
      <c r="C106" s="68" t="str">
        <f>VLOOKUP(B106,'[1]Products by Part Number'!$A:$B,2,0)</f>
        <v xml:space="preserve">KOM D71PX-24 (1) KOM D71PX-24 (2) KOM D71PX-24 (3) KOM D71PX-24 (4) KOM D71PX-24 (5) KOM D71PX-24 (6) KOM D71PX-24 (7) KOM PC360LC-11 (A37) KOM PC360LC-11 (A39) KOM PC360LC-11 (A39) (2)                            </v>
      </c>
      <c r="D106" s="68" t="str">
        <f>VLOOKUP(B106,'[1]Products by Part Number'!$A:$C,3,0)</f>
        <v>ENGINE OIL FILTER</v>
      </c>
      <c r="E106" s="69">
        <f>VLOOKUP($B106,'[1]Products by Part Number'!$A:$L,10,0)</f>
        <v>20</v>
      </c>
      <c r="F106" s="70">
        <f>VLOOKUP(B106,'[1]Products by Part Number'!$A:$D,4,0)</f>
        <v>179.262</v>
      </c>
      <c r="G106" s="71">
        <f t="shared" si="3"/>
        <v>3585.24</v>
      </c>
      <c r="H106" s="71">
        <f>VLOOKUP(B106,'[1]Products by Part Number'!$A:$F,6,0)</f>
        <v>89.63</v>
      </c>
      <c r="I106" s="79">
        <f t="shared" si="2"/>
        <v>1792.6</v>
      </c>
    </row>
    <row r="107" spans="2:9" x14ac:dyDescent="0.25">
      <c r="B107" s="78" t="s">
        <v>170</v>
      </c>
      <c r="C107" s="68" t="str">
        <f>VLOOKUP(B107,'[1]Products by Part Number'!$A:$B,2,0)</f>
        <v xml:space="preserve">KOM HM400-5 (1) KOM HM400-5 (2) KOM HM400-5 (3) KOM HM400-5 (4) KOM HM400-5 (5) KOM HM400-5 (6) KOM HM400-5 (7) KOM HM400-5 (8) KOM HM400-5 (9) KOM HM400-5 (10) KOM HM400 (11) KOM HM400 (12) KOM HM400 (13) KOM HM400-5 (14) KOM WA475-10 (120)                  </v>
      </c>
      <c r="D107" s="68" t="str">
        <f>VLOOKUP(B107,'[1]Products by Part Number'!$A:$C,3,0)</f>
        <v>TRANSMISSION FILTER</v>
      </c>
      <c r="E107" s="69">
        <f>VLOOKUP($B107,'[1]Products by Part Number'!$A:$L,10,0)</f>
        <v>15</v>
      </c>
      <c r="F107" s="70">
        <f>VLOOKUP(B107,'[1]Products by Part Number'!$A:$D,4,0)</f>
        <v>126.77</v>
      </c>
      <c r="G107" s="71">
        <f t="shared" si="3"/>
        <v>1901.55</v>
      </c>
      <c r="H107" s="71">
        <f>VLOOKUP(B107,'[1]Products by Part Number'!$A:$F,6,0)</f>
        <v>63.39</v>
      </c>
      <c r="I107" s="79">
        <f t="shared" si="2"/>
        <v>950.85</v>
      </c>
    </row>
    <row r="108" spans="2:9" x14ac:dyDescent="0.25">
      <c r="B108" s="78" t="s">
        <v>171</v>
      </c>
      <c r="C108" s="68" t="str">
        <f>VLOOKUP(B108,'[1]Products by Part Number'!$A:$B,2,0)</f>
        <v xml:space="preserve">CAT TL1055C (KDE)                                              </v>
      </c>
      <c r="D108" s="68" t="str">
        <f>VLOOKUP(B108,'[1]Products by Part Number'!$A:$C,3,0)</f>
        <v>ENGINE OIL FILTER</v>
      </c>
      <c r="E108" s="69">
        <f>VLOOKUP($B108,'[1]Products by Part Number'!$A:$L,10,0)</f>
        <v>2</v>
      </c>
      <c r="F108" s="70">
        <f>VLOOKUP(B108,'[1]Products by Part Number'!$A:$D,4,0)</f>
        <v>29.79</v>
      </c>
      <c r="G108" s="71">
        <f t="shared" si="3"/>
        <v>59.58</v>
      </c>
      <c r="H108" s="71">
        <f>VLOOKUP(B108,'[1]Products by Part Number'!$A:$F,6,0)</f>
        <v>14.9</v>
      </c>
      <c r="I108" s="79">
        <f t="shared" si="2"/>
        <v>29.8</v>
      </c>
    </row>
    <row r="109" spans="2:9" x14ac:dyDescent="0.25">
      <c r="B109" s="78" t="s">
        <v>172</v>
      </c>
      <c r="C109" s="68" t="str">
        <f>VLOOKUP(B109,'[1]Products by Part Number'!$A:$B,2,0)</f>
        <v xml:space="preserve">JD 624K (DW6)                                              </v>
      </c>
      <c r="D109" s="68" t="str">
        <f>VLOOKUP(B109,'[1]Products by Part Number'!$A:$C,3,0)</f>
        <v>INLINE FUEL FILTER</v>
      </c>
      <c r="E109" s="69">
        <f>VLOOKUP($B109,'[1]Products by Part Number'!$A:$L,10,0)</f>
        <v>2</v>
      </c>
      <c r="F109" s="70">
        <f>VLOOKUP(B109,'[1]Products by Part Number'!$A:$D,4,0)</f>
        <v>18.519599999999997</v>
      </c>
      <c r="G109" s="71">
        <f t="shared" si="3"/>
        <v>37.039199999999994</v>
      </c>
      <c r="H109" s="71">
        <f>VLOOKUP(B109,'[1]Products by Part Number'!$A:$F,6,0)</f>
        <v>9.26</v>
      </c>
      <c r="I109" s="79">
        <f t="shared" si="2"/>
        <v>18.52</v>
      </c>
    </row>
    <row r="110" spans="2:9" x14ac:dyDescent="0.25">
      <c r="B110" s="78" t="s">
        <v>173</v>
      </c>
      <c r="C110" s="68" t="str">
        <f>VLOOKUP(B110,'[1]Products by Part Number'!$A:$B,2,0)</f>
        <v xml:space="preserve">JD 470P (1FF)                                              </v>
      </c>
      <c r="D110" s="68" t="str">
        <f>VLOOKUP(B110,'[1]Products by Part Number'!$A:$C,3,0)</f>
        <v>FUEL FILTER</v>
      </c>
      <c r="E110" s="69">
        <f>VLOOKUP($B110,'[1]Products by Part Number'!$A:$L,10,0)</f>
        <v>2</v>
      </c>
      <c r="F110" s="70">
        <f>VLOOKUP(B110,'[1]Products by Part Number'!$A:$D,4,0)</f>
        <v>91.452600000000004</v>
      </c>
      <c r="G110" s="71">
        <f t="shared" si="3"/>
        <v>182.90520000000001</v>
      </c>
      <c r="H110" s="71">
        <f>VLOOKUP(B110,'[1]Products by Part Number'!$A:$F,6,0)</f>
        <v>45.73</v>
      </c>
      <c r="I110" s="79">
        <f t="shared" si="2"/>
        <v>91.46</v>
      </c>
    </row>
    <row r="111" spans="2:9" x14ac:dyDescent="0.25">
      <c r="B111" s="78" t="s">
        <v>174</v>
      </c>
      <c r="C111" s="68" t="str">
        <f>VLOOKUP(B111,'[1]Products by Part Number'!$A:$B,2,0)</f>
        <v xml:space="preserve">JD 624K (DW6)                                              </v>
      </c>
      <c r="D111" s="68" t="str">
        <f>VLOOKUP(B111,'[1]Products by Part Number'!$A:$C,3,0)</f>
        <v>FUEL/WATER SEPERATOR</v>
      </c>
      <c r="E111" s="69">
        <f>VLOOKUP($B111,'[1]Products by Part Number'!$A:$L,10,0)</f>
        <v>2</v>
      </c>
      <c r="F111" s="70">
        <f>VLOOKUP(B111,'[1]Products by Part Number'!$A:$D,4,0)</f>
        <v>72.049799999999991</v>
      </c>
      <c r="G111" s="71">
        <f t="shared" si="3"/>
        <v>144.09959999999998</v>
      </c>
      <c r="H111" s="71">
        <f>VLOOKUP(B111,'[1]Products by Part Number'!$A:$F,6,0)</f>
        <v>36.020000000000003</v>
      </c>
      <c r="I111" s="79">
        <f t="shared" si="2"/>
        <v>72.040000000000006</v>
      </c>
    </row>
    <row r="112" spans="2:9" x14ac:dyDescent="0.25">
      <c r="B112" s="78" t="s">
        <v>175</v>
      </c>
      <c r="C112" s="68" t="str">
        <f>VLOOKUP(B112,'[1]Products by Part Number'!$A:$B,2,0)</f>
        <v xml:space="preserve">JD 624K (DW6)                                              </v>
      </c>
      <c r="D112" s="68" t="str">
        <f>VLOOKUP(B112,'[1]Products by Part Number'!$A:$C,3,0)</f>
        <v>AXLE OIL FILTERS</v>
      </c>
      <c r="E112" s="69">
        <f>VLOOKUP($B112,'[1]Products by Part Number'!$A:$L,10,0)</f>
        <v>2</v>
      </c>
      <c r="F112" s="70">
        <f>VLOOKUP(B112,'[1]Products by Part Number'!$A:$D,4,0)</f>
        <v>176.19839999999999</v>
      </c>
      <c r="G112" s="71">
        <f t="shared" si="3"/>
        <v>352.39679999999998</v>
      </c>
      <c r="H112" s="71">
        <f>VLOOKUP(B112,'[1]Products by Part Number'!$A:$F,6,0)</f>
        <v>88.1</v>
      </c>
      <c r="I112" s="79">
        <f t="shared" si="2"/>
        <v>176.2</v>
      </c>
    </row>
    <row r="113" spans="2:9" x14ac:dyDescent="0.25">
      <c r="B113" s="78" t="s">
        <v>176</v>
      </c>
      <c r="C113" s="68" t="str">
        <f>VLOOKUP(B113,'[1]Products by Part Number'!$A:$B,2,0)</f>
        <v xml:space="preserve">JD 624K (DW6)                                              </v>
      </c>
      <c r="D113" s="68" t="str">
        <f>VLOOKUP(B113,'[1]Products by Part Number'!$A:$C,3,0)</f>
        <v>TRANSMISSION OIL FILTER</v>
      </c>
      <c r="E113" s="69">
        <f>VLOOKUP($B113,'[1]Products by Part Number'!$A:$L,10,0)</f>
        <v>1</v>
      </c>
      <c r="F113" s="70">
        <f>VLOOKUP(B113,'[1]Products by Part Number'!$A:$D,4,0)</f>
        <v>91.866599999999977</v>
      </c>
      <c r="G113" s="71">
        <f t="shared" si="3"/>
        <v>91.866599999999977</v>
      </c>
      <c r="H113" s="71">
        <f>VLOOKUP(B113,'[1]Products by Part Number'!$A:$F,6,0)</f>
        <v>45.93</v>
      </c>
      <c r="I113" s="79">
        <f t="shared" si="2"/>
        <v>45.93</v>
      </c>
    </row>
    <row r="114" spans="2:9" x14ac:dyDescent="0.25">
      <c r="B114" s="78" t="s">
        <v>177</v>
      </c>
      <c r="C114" s="68" t="str">
        <f>VLOOKUP(B114,'[1]Products by Part Number'!$A:$B,2,0)</f>
        <v xml:space="preserve">JD 470P (1FF)                                              </v>
      </c>
      <c r="D114" s="68" t="str">
        <f>VLOOKUP(B114,'[1]Products by Part Number'!$A:$C,3,0)</f>
        <v>FINAL FUEL FILTER</v>
      </c>
      <c r="E114" s="69">
        <f>VLOOKUP($B114,'[1]Products by Part Number'!$A:$L,10,0)</f>
        <v>2</v>
      </c>
      <c r="F114" s="70">
        <f>VLOOKUP(B114,'[1]Products by Part Number'!$A:$D,4,0)</f>
        <v>201.06599999999997</v>
      </c>
      <c r="G114" s="71">
        <f t="shared" si="3"/>
        <v>402.13199999999995</v>
      </c>
      <c r="H114" s="71">
        <f>VLOOKUP(B114,'[1]Products by Part Number'!$A:$F,6,0)</f>
        <v>100.53</v>
      </c>
      <c r="I114" s="79">
        <f t="shared" si="2"/>
        <v>201.06</v>
      </c>
    </row>
    <row r="115" spans="2:9" x14ac:dyDescent="0.25">
      <c r="B115" s="78" t="s">
        <v>178</v>
      </c>
      <c r="C115" s="68" t="str">
        <f>VLOOKUP(B115,'[1]Products by Part Number'!$A:$B,2,0)</f>
        <v xml:space="preserve">JD 470P (1FF)                                              </v>
      </c>
      <c r="D115" s="68" t="str">
        <f>VLOOKUP(B115,'[1]Products by Part Number'!$A:$C,3,0)</f>
        <v>PRIMARY FUEL FILTER</v>
      </c>
      <c r="E115" s="69">
        <f>VLOOKUP($B115,'[1]Products by Part Number'!$A:$L,10,0)</f>
        <v>2</v>
      </c>
      <c r="F115" s="70">
        <f>VLOOKUP(B115,'[1]Products by Part Number'!$A:$D,4,0)</f>
        <v>197.90579999999997</v>
      </c>
      <c r="G115" s="71">
        <f t="shared" si="3"/>
        <v>395.81159999999994</v>
      </c>
      <c r="H115" s="71">
        <f>VLOOKUP(B115,'[1]Products by Part Number'!$A:$F,6,0)</f>
        <v>98.95</v>
      </c>
      <c r="I115" s="79">
        <f t="shared" si="2"/>
        <v>197.9</v>
      </c>
    </row>
    <row r="116" spans="2:9" x14ac:dyDescent="0.25">
      <c r="B116" s="78" t="s">
        <v>179</v>
      </c>
      <c r="C116" s="68" t="str">
        <f>VLOOKUP(B116,'[1]Products by Part Number'!$A:$B,2,0)</f>
        <v xml:space="preserve">JD 333G (1T0)                                              </v>
      </c>
      <c r="D116" s="68" t="str">
        <f>VLOOKUP(B116,'[1]Products by Part Number'!$A:$C,3,0)</f>
        <v>ENGINE OIL FILTER</v>
      </c>
      <c r="E116" s="69">
        <f>VLOOKUP($B116,'[1]Products by Part Number'!$A:$L,10,0)</f>
        <v>2</v>
      </c>
      <c r="F116" s="70">
        <f>VLOOKUP(B116,'[1]Products by Part Number'!$A:$D,4,0)</f>
        <v>27.669</v>
      </c>
      <c r="G116" s="71">
        <f t="shared" si="3"/>
        <v>55.338000000000001</v>
      </c>
      <c r="H116" s="71">
        <f>VLOOKUP(B116,'[1]Products by Part Number'!$A:$F,6,0)</f>
        <v>13.83</v>
      </c>
      <c r="I116" s="79">
        <f t="shared" si="2"/>
        <v>27.66</v>
      </c>
    </row>
    <row r="117" spans="2:9" x14ac:dyDescent="0.25">
      <c r="B117" s="78" t="s">
        <v>180</v>
      </c>
      <c r="C117" s="68" t="str">
        <f>VLOOKUP(B117,'[1]Products by Part Number'!$A:$B,2,0)</f>
        <v xml:space="preserve">JD 333G (1T0)                                              </v>
      </c>
      <c r="D117" s="68" t="str">
        <f>VLOOKUP(B117,'[1]Products by Part Number'!$A:$C,3,0)</f>
        <v>PRIMARY FUEL FILTER</v>
      </c>
      <c r="E117" s="69">
        <f>VLOOKUP($B117,'[1]Products by Part Number'!$A:$L,10,0)</f>
        <v>2</v>
      </c>
      <c r="F117" s="70">
        <f>VLOOKUP(B117,'[1]Products by Part Number'!$A:$D,4,0)</f>
        <v>51.722399999999993</v>
      </c>
      <c r="G117" s="71">
        <f t="shared" si="3"/>
        <v>103.44479999999999</v>
      </c>
      <c r="H117" s="71">
        <f>VLOOKUP(B117,'[1]Products by Part Number'!$A:$F,6,0)</f>
        <v>25.86</v>
      </c>
      <c r="I117" s="79">
        <f t="shared" si="2"/>
        <v>51.72</v>
      </c>
    </row>
    <row r="118" spans="2:9" x14ac:dyDescent="0.25">
      <c r="B118" s="78" t="s">
        <v>181</v>
      </c>
      <c r="C118" s="68" t="str">
        <f>VLOOKUP(B118,'[1]Products by Part Number'!$A:$B,2,0)</f>
        <v xml:space="preserve">JD 333G (1T0)                                              </v>
      </c>
      <c r="D118" s="68" t="str">
        <f>VLOOKUP(B118,'[1]Products by Part Number'!$A:$C,3,0)</f>
        <v>FINAL FUEL FILTER</v>
      </c>
      <c r="E118" s="69">
        <f>VLOOKUP($B118,'[1]Products by Part Number'!$A:$L,10,0)</f>
        <v>2</v>
      </c>
      <c r="F118" s="70">
        <f>VLOOKUP(B118,'[1]Products by Part Number'!$A:$D,4,0)</f>
        <v>91.010999999999996</v>
      </c>
      <c r="G118" s="71">
        <f t="shared" si="3"/>
        <v>182.02199999999999</v>
      </c>
      <c r="H118" s="71">
        <f>VLOOKUP(B118,'[1]Products by Part Number'!$A:$F,6,0)</f>
        <v>45.51</v>
      </c>
      <c r="I118" s="79">
        <f t="shared" si="2"/>
        <v>91.02</v>
      </c>
    </row>
    <row r="119" spans="2:9" x14ac:dyDescent="0.25">
      <c r="B119" s="78" t="s">
        <v>182</v>
      </c>
      <c r="C119" s="68" t="str">
        <f>VLOOKUP(B119,'[1]Products by Part Number'!$A:$B,2,0)</f>
        <v xml:space="preserve">JD 624K (DW6) JD 764 (100)                                            </v>
      </c>
      <c r="D119" s="68" t="str">
        <f>VLOOKUP(B119,'[1]Products by Part Number'!$A:$C,3,0)</f>
        <v>ENGINE OIL FILTER</v>
      </c>
      <c r="E119" s="69">
        <f>VLOOKUP($B119,'[1]Products by Part Number'!$A:$L,10,0)</f>
        <v>4</v>
      </c>
      <c r="F119" s="70">
        <f>VLOOKUP(B119,'[1]Products by Part Number'!$A:$D,4,0)</f>
        <v>33.368399999999994</v>
      </c>
      <c r="G119" s="71">
        <f t="shared" si="3"/>
        <v>133.47359999999998</v>
      </c>
      <c r="H119" s="71">
        <f>VLOOKUP(B119,'[1]Products by Part Number'!$A:$F,6,0)</f>
        <v>16.68</v>
      </c>
      <c r="I119" s="79">
        <f t="shared" si="2"/>
        <v>66.72</v>
      </c>
    </row>
    <row r="120" spans="2:9" x14ac:dyDescent="0.25">
      <c r="B120" s="78" t="s">
        <v>183</v>
      </c>
      <c r="C120" s="68" t="str">
        <f>VLOOKUP(B120,'[1]Products by Part Number'!$A:$B,2,0)</f>
        <v xml:space="preserve">JD 624K (DW6) JD 764 (100)                                            </v>
      </c>
      <c r="D120" s="68" t="str">
        <f>VLOOKUP(B120,'[1]Products by Part Number'!$A:$C,3,0)</f>
        <v>FINAL FUEL FILTER</v>
      </c>
      <c r="E120" s="69">
        <f>VLOOKUP($B120,'[1]Products by Part Number'!$A:$L,10,0)</f>
        <v>4</v>
      </c>
      <c r="F120" s="70">
        <f>VLOOKUP(B120,'[1]Products by Part Number'!$A:$D,4,0)</f>
        <v>57.490799999999993</v>
      </c>
      <c r="G120" s="71">
        <f t="shared" si="3"/>
        <v>229.96319999999997</v>
      </c>
      <c r="H120" s="71">
        <f>VLOOKUP(B120,'[1]Products by Part Number'!$A:$F,6,0)</f>
        <v>28.75</v>
      </c>
      <c r="I120" s="79">
        <f t="shared" si="2"/>
        <v>115</v>
      </c>
    </row>
    <row r="121" spans="2:9" x14ac:dyDescent="0.25">
      <c r="B121" s="78" t="s">
        <v>184</v>
      </c>
      <c r="C121" s="68" t="str">
        <f>VLOOKUP(B121,'[1]Products by Part Number'!$A:$B,2,0)</f>
        <v xml:space="preserve">JD 624K (DW6) JD 764 (100)                                            </v>
      </c>
      <c r="D121" s="68" t="str">
        <f>VLOOKUP(B121,'[1]Products by Part Number'!$A:$C,3,0)</f>
        <v>PRIMARY FUEL FILTER</v>
      </c>
      <c r="E121" s="69">
        <f>VLOOKUP($B121,'[1]Products by Part Number'!$A:$L,10,0)</f>
        <v>4</v>
      </c>
      <c r="F121" s="70">
        <f>VLOOKUP(B121,'[1]Products by Part Number'!$A:$D,4,0)</f>
        <v>57.463199999999993</v>
      </c>
      <c r="G121" s="71">
        <f t="shared" si="3"/>
        <v>229.85279999999997</v>
      </c>
      <c r="H121" s="71">
        <f>VLOOKUP(B121,'[1]Products by Part Number'!$A:$F,6,0)</f>
        <v>28.73</v>
      </c>
      <c r="I121" s="79">
        <f t="shared" si="2"/>
        <v>114.92</v>
      </c>
    </row>
    <row r="122" spans="2:9" x14ac:dyDescent="0.25">
      <c r="B122" s="78" t="s">
        <v>185</v>
      </c>
      <c r="C122" s="68" t="str">
        <f>VLOOKUP(B122,'[1]Products by Part Number'!$A:$B,2,0)</f>
        <v xml:space="preserve">JD 470P (1FF)                                              </v>
      </c>
      <c r="D122" s="68" t="str">
        <f>VLOOKUP(B122,'[1]Products by Part Number'!$A:$C,3,0)</f>
        <v>ENGINE OIL FILTER</v>
      </c>
      <c r="E122" s="69">
        <f>VLOOKUP($B122,'[1]Products by Part Number'!$A:$L,10,0)</f>
        <v>2</v>
      </c>
      <c r="F122" s="70">
        <f>VLOOKUP(B122,'[1]Products by Part Number'!$A:$D,4,0)</f>
        <v>122.91659999999996</v>
      </c>
      <c r="G122" s="71">
        <f t="shared" si="3"/>
        <v>245.83319999999992</v>
      </c>
      <c r="H122" s="71">
        <f>VLOOKUP(B122,'[1]Products by Part Number'!$A:$F,6,0)</f>
        <v>61.46</v>
      </c>
      <c r="I122" s="79">
        <f t="shared" si="2"/>
        <v>122.92</v>
      </c>
    </row>
    <row r="123" spans="2:9" x14ac:dyDescent="0.25">
      <c r="B123" s="78"/>
      <c r="C123" s="68"/>
      <c r="D123" s="68"/>
      <c r="E123" s="69"/>
      <c r="F123" s="70"/>
      <c r="G123" s="71"/>
      <c r="H123" s="71"/>
      <c r="I123" s="79">
        <f t="shared" si="2"/>
        <v>0</v>
      </c>
    </row>
    <row r="124" spans="2:9" x14ac:dyDescent="0.25">
      <c r="B124" s="78"/>
      <c r="C124" s="68"/>
      <c r="D124" s="68"/>
      <c r="E124" s="69"/>
      <c r="F124" s="70"/>
      <c r="G124" s="71"/>
      <c r="H124" s="71"/>
      <c r="I124" s="79">
        <f t="shared" si="2"/>
        <v>0</v>
      </c>
    </row>
    <row r="125" spans="2:9" x14ac:dyDescent="0.25">
      <c r="B125" s="78"/>
      <c r="C125" s="68"/>
      <c r="D125" s="68"/>
      <c r="E125" s="69"/>
      <c r="F125" s="70"/>
      <c r="G125" s="71"/>
      <c r="H125" s="71"/>
      <c r="I125" s="79">
        <f t="shared" si="2"/>
        <v>0</v>
      </c>
    </row>
    <row r="126" spans="2:9" x14ac:dyDescent="0.25">
      <c r="B126" s="78"/>
      <c r="C126" s="68"/>
      <c r="D126" s="68"/>
      <c r="E126" s="69"/>
      <c r="F126" s="70"/>
      <c r="G126" s="71"/>
      <c r="H126" s="71"/>
      <c r="I126" s="79">
        <f t="shared" si="2"/>
        <v>0</v>
      </c>
    </row>
    <row r="127" spans="2:9" x14ac:dyDescent="0.25">
      <c r="B127" s="78"/>
      <c r="C127" s="68"/>
      <c r="D127" s="68"/>
      <c r="E127" s="69"/>
      <c r="F127" s="70"/>
      <c r="G127" s="71"/>
      <c r="H127" s="71"/>
      <c r="I127" s="79">
        <f t="shared" si="2"/>
        <v>0</v>
      </c>
    </row>
    <row r="128" spans="2:9" x14ac:dyDescent="0.25">
      <c r="B128" s="78"/>
      <c r="C128" s="68"/>
      <c r="D128" s="68"/>
      <c r="E128" s="69"/>
      <c r="F128" s="70"/>
      <c r="G128" s="71"/>
      <c r="H128" s="71"/>
      <c r="I128" s="79">
        <f t="shared" si="2"/>
        <v>0</v>
      </c>
    </row>
    <row r="129" spans="2:9" ht="15.75" thickBot="1" x14ac:dyDescent="0.3">
      <c r="B129" s="93"/>
      <c r="C129" s="85"/>
      <c r="D129" s="85"/>
      <c r="E129" s="86"/>
      <c r="F129" s="87"/>
      <c r="G129" s="88"/>
      <c r="H129" s="88"/>
      <c r="I129" s="118">
        <f t="shared" si="2"/>
        <v>0</v>
      </c>
    </row>
    <row r="130" spans="2:9" x14ac:dyDescent="0.25">
      <c r="B130" s="158"/>
      <c r="C130" s="159"/>
      <c r="D130" s="159"/>
      <c r="E130" s="159"/>
      <c r="F130" s="196"/>
      <c r="G130" s="119"/>
      <c r="H130" s="120" t="s">
        <v>17</v>
      </c>
      <c r="I130" s="110">
        <f>SUM(I15:I129)</f>
        <v>47870.619999999995</v>
      </c>
    </row>
    <row r="131" spans="2:9" x14ac:dyDescent="0.25">
      <c r="B131" s="107"/>
      <c r="C131" s="31"/>
      <c r="D131" s="32" t="s">
        <v>18</v>
      </c>
      <c r="E131" s="161">
        <f>SUM(G15:G129)</f>
        <v>88239.513199999987</v>
      </c>
      <c r="F131" s="197"/>
      <c r="G131" s="33"/>
      <c r="H131" s="28" t="s">
        <v>19</v>
      </c>
      <c r="I131" s="112">
        <v>0</v>
      </c>
    </row>
    <row r="132" spans="2:9" x14ac:dyDescent="0.25">
      <c r="B132" s="107"/>
      <c r="C132" s="31"/>
      <c r="D132" s="32" t="s">
        <v>20</v>
      </c>
      <c r="E132" s="161">
        <f>SUM(I15:I129)</f>
        <v>47870.619999999995</v>
      </c>
      <c r="F132" s="197"/>
      <c r="G132" s="33"/>
      <c r="H132" s="35" t="s">
        <v>21</v>
      </c>
      <c r="I132" s="112">
        <v>0</v>
      </c>
    </row>
    <row r="133" spans="2:9" x14ac:dyDescent="0.25">
      <c r="B133" s="107"/>
      <c r="C133" s="31"/>
      <c r="D133" s="32" t="s">
        <v>22</v>
      </c>
      <c r="E133" s="179">
        <f>E131-E132</f>
        <v>40368.893199999991</v>
      </c>
      <c r="F133" s="203"/>
      <c r="G133" s="36"/>
      <c r="H133" s="28" t="s">
        <v>23</v>
      </c>
      <c r="I133" s="114">
        <f>SUM(I130:I132)</f>
        <v>47870.619999999995</v>
      </c>
    </row>
    <row r="134" spans="2:9" x14ac:dyDescent="0.25">
      <c r="B134" s="107"/>
      <c r="C134" s="31"/>
      <c r="D134" s="32"/>
      <c r="E134" s="181"/>
      <c r="F134" s="204"/>
      <c r="G134" s="38"/>
      <c r="H134" s="28" t="s">
        <v>24</v>
      </c>
      <c r="I134" s="114">
        <f>I133*0.05</f>
        <v>2393.5309999999999</v>
      </c>
    </row>
    <row r="135" spans="2:9" x14ac:dyDescent="0.25">
      <c r="B135" s="107"/>
      <c r="C135" s="31"/>
      <c r="D135" s="39"/>
      <c r="E135" s="39"/>
      <c r="F135" s="40"/>
      <c r="G135" s="40"/>
      <c r="H135" s="28" t="s">
        <v>25</v>
      </c>
      <c r="I135" s="112"/>
    </row>
    <row r="136" spans="2:9" ht="16.5" thickBot="1" x14ac:dyDescent="0.3">
      <c r="B136" s="173" t="s">
        <v>26</v>
      </c>
      <c r="C136" s="174"/>
      <c r="D136" s="174"/>
      <c r="E136" s="174"/>
      <c r="F136" s="202"/>
      <c r="G136" s="121"/>
      <c r="H136" s="122" t="s">
        <v>27</v>
      </c>
      <c r="I136" s="116">
        <f>SUM(I133:I135)</f>
        <v>50264.150999999998</v>
      </c>
    </row>
  </sheetData>
  <mergeCells count="25">
    <mergeCell ref="E1:F5"/>
    <mergeCell ref="H1:I5"/>
    <mergeCell ref="C7:D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B136:F136"/>
    <mergeCell ref="F13:I13"/>
    <mergeCell ref="B130:F130"/>
    <mergeCell ref="E131:F131"/>
    <mergeCell ref="E132:F132"/>
    <mergeCell ref="E133:F133"/>
    <mergeCell ref="E134:F13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6EBB-8560-4C47-85DC-6FE4098453AA}">
  <dimension ref="B1:I136"/>
  <sheetViews>
    <sheetView topLeftCell="A112" workbookViewId="0">
      <selection activeCell="F142" sqref="F142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205" t="s">
        <v>28</v>
      </c>
      <c r="F1" s="205"/>
      <c r="G1" s="44"/>
      <c r="H1" s="205" t="s">
        <v>37</v>
      </c>
      <c r="I1" s="206"/>
    </row>
    <row r="2" spans="2:9" ht="15" customHeight="1" x14ac:dyDescent="0.25">
      <c r="B2" s="4"/>
      <c r="E2" s="177"/>
      <c r="F2" s="177"/>
      <c r="G2" s="45"/>
      <c r="H2" s="177"/>
      <c r="I2" s="207"/>
    </row>
    <row r="3" spans="2:9" ht="15" customHeight="1" x14ac:dyDescent="0.25">
      <c r="B3" s="4"/>
      <c r="E3" s="177"/>
      <c r="F3" s="177"/>
      <c r="G3" s="45"/>
      <c r="H3" s="177"/>
      <c r="I3" s="207"/>
    </row>
    <row r="4" spans="2:9" ht="15" customHeight="1" x14ac:dyDescent="0.25">
      <c r="B4" s="4"/>
      <c r="E4" s="177"/>
      <c r="F4" s="177"/>
      <c r="G4" s="45"/>
      <c r="H4" s="177"/>
      <c r="I4" s="207"/>
    </row>
    <row r="5" spans="2:9" ht="15" customHeight="1" x14ac:dyDescent="0.25">
      <c r="B5" s="5"/>
      <c r="C5" s="1"/>
      <c r="D5" s="1"/>
      <c r="E5" s="178"/>
      <c r="F5" s="178"/>
      <c r="G5" s="46"/>
      <c r="H5" s="178"/>
      <c r="I5" s="208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9" t="s">
        <v>7</v>
      </c>
      <c r="C7" s="186" t="s">
        <v>290</v>
      </c>
      <c r="D7" s="187"/>
      <c r="E7" s="9" t="s">
        <v>8</v>
      </c>
      <c r="F7" s="10">
        <v>45870</v>
      </c>
      <c r="G7" s="10"/>
      <c r="H7" s="11" t="s">
        <v>9</v>
      </c>
      <c r="I7" s="12"/>
    </row>
    <row r="8" spans="2:9" x14ac:dyDescent="0.25">
      <c r="B8" s="50" t="s">
        <v>10</v>
      </c>
      <c r="C8" s="183">
        <v>0</v>
      </c>
      <c r="D8" s="183"/>
      <c r="E8" s="163" t="s">
        <v>11</v>
      </c>
      <c r="F8" s="163"/>
      <c r="G8" s="13"/>
      <c r="H8" s="200"/>
      <c r="I8" s="200"/>
    </row>
    <row r="9" spans="2:9" x14ac:dyDescent="0.25">
      <c r="B9" s="50" t="s">
        <v>12</v>
      </c>
      <c r="C9" s="183">
        <v>0</v>
      </c>
      <c r="D9" s="183"/>
      <c r="E9" s="163" t="s">
        <v>13</v>
      </c>
      <c r="F9" s="163"/>
      <c r="G9" s="13"/>
      <c r="H9" s="201"/>
      <c r="I9" s="201"/>
    </row>
    <row r="10" spans="2:9" x14ac:dyDescent="0.25">
      <c r="B10" s="50"/>
      <c r="C10" s="183">
        <v>0</v>
      </c>
      <c r="D10" s="183"/>
      <c r="E10" s="163" t="s">
        <v>14</v>
      </c>
      <c r="F10" s="163"/>
      <c r="G10" s="13"/>
      <c r="H10" s="198"/>
      <c r="I10" s="198"/>
    </row>
    <row r="11" spans="2:9" x14ac:dyDescent="0.25">
      <c r="B11" s="50"/>
      <c r="C11" s="183">
        <v>0</v>
      </c>
      <c r="D11" s="183"/>
      <c r="E11" s="163"/>
      <c r="F11" s="163"/>
      <c r="G11" s="13"/>
      <c r="H11" s="198"/>
      <c r="I11" s="198"/>
    </row>
    <row r="12" spans="2:9" x14ac:dyDescent="0.25">
      <c r="B12" s="51"/>
      <c r="C12" s="183">
        <v>0</v>
      </c>
      <c r="D12" s="183"/>
      <c r="E12" s="184"/>
      <c r="F12" s="184"/>
      <c r="G12" s="14"/>
      <c r="H12" s="199"/>
      <c r="I12" s="199"/>
    </row>
    <row r="13" spans="2:9" ht="15.75" thickBot="1" x14ac:dyDescent="0.3">
      <c r="B13" s="15"/>
      <c r="C13" s="16"/>
      <c r="D13" s="16"/>
      <c r="E13" s="16"/>
      <c r="F13" s="156" t="s">
        <v>3</v>
      </c>
      <c r="G13" s="156"/>
      <c r="H13" s="156"/>
      <c r="I13" s="156"/>
    </row>
    <row r="14" spans="2:9" ht="15.75" thickBot="1" x14ac:dyDescent="0.3">
      <c r="B14" s="57" t="s">
        <v>0</v>
      </c>
      <c r="C14" s="64" t="s">
        <v>15</v>
      </c>
      <c r="D14" s="65" t="s">
        <v>1</v>
      </c>
      <c r="E14" s="66" t="s">
        <v>2</v>
      </c>
      <c r="F14" s="66" t="s">
        <v>4</v>
      </c>
      <c r="G14" s="66"/>
      <c r="H14" s="66" t="s">
        <v>5</v>
      </c>
      <c r="I14" s="67" t="s">
        <v>16</v>
      </c>
    </row>
    <row r="15" spans="2:9" x14ac:dyDescent="0.25">
      <c r="B15" s="72" t="s">
        <v>80</v>
      </c>
      <c r="C15" s="73" t="str">
        <f>VLOOKUP($B15,'[1]Products by Part Number'!$A:$L,2,0)</f>
        <v xml:space="preserve">KOM D71PX-24 (1) KOM D71PX-24 (2) KOM D71PX-24 (3) KOM D71PX-24 (4) KOM D71PX-24 (5) KOM D71PX-24 (6) KOM D71PX-24 (7) KOM D61PX-24 (B60)                                </v>
      </c>
      <c r="D15" s="73" t="str">
        <f>VLOOKUP($B15,'[1]Products by Part Number'!$A:$L,3,0)</f>
        <v>CAB AIR FILTER</v>
      </c>
      <c r="E15" s="74">
        <f>VLOOKUP($B15,'[1]Products by Part Number'!$A:$L,11,0)</f>
        <v>1</v>
      </c>
      <c r="F15" s="75">
        <f>VLOOKUP($B15,'[1]Products by Part Number'!$A:$L,4,0)</f>
        <v>188.74260000000001</v>
      </c>
      <c r="G15" s="76">
        <f>E15*F15</f>
        <v>188.74260000000001</v>
      </c>
      <c r="H15" s="76">
        <f>VLOOKUP($B15,'[1]Products by Part Number'!$A:$L,6,0)</f>
        <v>122.68</v>
      </c>
      <c r="I15" s="77">
        <f t="shared" ref="I15:I78" si="0">ROUND(E15*H15,2)</f>
        <v>122.68</v>
      </c>
    </row>
    <row r="16" spans="2:9" x14ac:dyDescent="0.25">
      <c r="B16" s="78" t="s">
        <v>81</v>
      </c>
      <c r="C16" s="68" t="str">
        <f>VLOOKUP($B16,'[1]Products by Part Number'!$A:$L,2,0)</f>
        <v xml:space="preserve">KOM D71PX-24 (1) KOM D71PX-24 (2) KOM D71PX-24 (3) KOM D71PX-24 (4) KOM D71PX-24 (5) KOM D71PX-24 (6) KOM D71PX-24 (7) KOM D61PX-24 (B60)                                </v>
      </c>
      <c r="D16" s="68" t="str">
        <f>VLOOKUP($B16,'[1]Products by Part Number'!$A:$L,3,0)</f>
        <v>CAB AIR FILTER</v>
      </c>
      <c r="E16" s="69">
        <f>VLOOKUP($B16,'[1]Products by Part Number'!$A:$L,11,0)</f>
        <v>1</v>
      </c>
      <c r="F16" s="70">
        <f>VLOOKUP($B16,'[1]Products by Part Number'!$A:$L,4,0)</f>
        <v>164.08199999999999</v>
      </c>
      <c r="G16" s="71">
        <f t="shared" ref="G16:G79" si="1">E16*F16</f>
        <v>164.08199999999999</v>
      </c>
      <c r="H16" s="71">
        <f>VLOOKUP($B16,'[1]Products by Part Number'!$A:$L,6,0)</f>
        <v>106.65</v>
      </c>
      <c r="I16" s="79">
        <f t="shared" si="0"/>
        <v>106.65</v>
      </c>
    </row>
    <row r="17" spans="2:9" x14ac:dyDescent="0.25">
      <c r="B17" s="78" t="s">
        <v>82</v>
      </c>
      <c r="C17" s="68" t="str">
        <f>VLOOKUP(B17,'[1]Products by Part Number'!$A:$B,2,0)</f>
        <v xml:space="preserve">CAT 14 (EN4)                                              </v>
      </c>
      <c r="D17" s="68" t="str">
        <f>VLOOKUP(B17,'[1]Products by Part Number'!$A:$C,3,0)</f>
        <v>CAB AIR FILTER</v>
      </c>
      <c r="E17" s="69">
        <f>VLOOKUP($B17,'[1]Products by Part Number'!$A:$L,11,0)</f>
        <v>1</v>
      </c>
      <c r="F17" s="70">
        <f>VLOOKUP(B17,'[1]Products by Part Number'!$A:$D,4,0)</f>
        <v>93.03</v>
      </c>
      <c r="G17" s="71">
        <f t="shared" si="1"/>
        <v>93.03</v>
      </c>
      <c r="H17" s="71">
        <f>VLOOKUP(B17,'[1]Products by Part Number'!$A:$F,6,0)</f>
        <v>60.47</v>
      </c>
      <c r="I17" s="79">
        <f t="shared" si="0"/>
        <v>60.47</v>
      </c>
    </row>
    <row r="18" spans="2:9" x14ac:dyDescent="0.25">
      <c r="B18" s="78" t="s">
        <v>83</v>
      </c>
      <c r="C18" s="68" t="str">
        <f>VLOOKUP(B18,'[1]Products by Part Number'!$A:$B,2,0)</f>
        <v xml:space="preserve">KOM PC138USLC-11 KOM PC238USLC-11 (1) KOM PC490LC-11 (A42) KOM PC490LC-11 (A42) (2) KOM PC490LC-11 (A42) (3) KOM PC490LC-11 (A42) (4) KOM PC490LC-11 (A42) (5) KOM PC490LC-11 (A43) KOM PC490LC-11 (KMT) (1) KOM PC490LC-11 (KMT) (2) KOM PC490LC-11 (KMT) (3) KOM PC360LC-11 (A37) KOM PC360LC-11 (A39) KOM PC360LC-11 (A39) (2) KOM PC290LC-11 (K73)                  </v>
      </c>
      <c r="D18" s="68" t="str">
        <f>VLOOKUP(B18,'[1]Products by Part Number'!$A:$C,3,0)</f>
        <v>CAB AIR FILTER</v>
      </c>
      <c r="E18" s="69">
        <f>VLOOKUP($B18,'[1]Products by Part Number'!$A:$L,11,0)</f>
        <v>15</v>
      </c>
      <c r="F18" s="70">
        <f>VLOOKUP(B18,'[1]Products by Part Number'!$A:$D,4,0)</f>
        <v>67.87</v>
      </c>
      <c r="G18" s="71">
        <f t="shared" si="1"/>
        <v>1018.0500000000001</v>
      </c>
      <c r="H18" s="71">
        <f>VLOOKUP(B18,'[1]Products by Part Number'!$A:$F,6,0)</f>
        <v>44.12</v>
      </c>
      <c r="I18" s="79">
        <f t="shared" si="0"/>
        <v>661.8</v>
      </c>
    </row>
    <row r="19" spans="2:9" x14ac:dyDescent="0.25">
      <c r="B19" s="78" t="s">
        <v>84</v>
      </c>
      <c r="C19" s="68" t="str">
        <f>VLOOKUP(B19,'[1]Products by Part Number'!$A:$B,2,0)</f>
        <v xml:space="preserve">CAT 14 (EN4)                                              </v>
      </c>
      <c r="D19" s="68" t="str">
        <f>VLOOKUP(B19,'[1]Products by Part Number'!$A:$C,3,0)</f>
        <v>CAB AIR FILTER</v>
      </c>
      <c r="E19" s="69">
        <f>VLOOKUP($B19,'[1]Products by Part Number'!$A:$L,11,0)</f>
        <v>1</v>
      </c>
      <c r="F19" s="70">
        <f>VLOOKUP(B19,'[1]Products by Part Number'!$A:$D,4,0)</f>
        <v>74.81</v>
      </c>
      <c r="G19" s="71">
        <f t="shared" si="1"/>
        <v>74.81</v>
      </c>
      <c r="H19" s="71">
        <f>VLOOKUP(B19,'[1]Products by Part Number'!$A:$F,6,0)</f>
        <v>48.63</v>
      </c>
      <c r="I19" s="79">
        <f t="shared" si="0"/>
        <v>48.63</v>
      </c>
    </row>
    <row r="20" spans="2:9" x14ac:dyDescent="0.25">
      <c r="B20" s="78" t="s">
        <v>85</v>
      </c>
      <c r="C20" s="68" t="str">
        <f>VLOOKUP(B20,'[1]Products by Part Number'!$A:$B,2,0)</f>
        <v xml:space="preserve">CAT TL1055C (KDE)                                              </v>
      </c>
      <c r="D20" s="68" t="str">
        <f>VLOOKUP(B20,'[1]Products by Part Number'!$A:$C,3,0)</f>
        <v>PRIMARY AIR FILTER</v>
      </c>
      <c r="E20" s="69">
        <f>VLOOKUP($B20,'[1]Products by Part Number'!$A:$L,11,0)</f>
        <v>0</v>
      </c>
      <c r="F20" s="70">
        <f>VLOOKUP(B20,'[1]Products by Part Number'!$A:$D,4,0)</f>
        <v>100.67</v>
      </c>
      <c r="G20" s="71">
        <f t="shared" si="1"/>
        <v>0</v>
      </c>
      <c r="H20" s="71">
        <f>VLOOKUP(B20,'[1]Products by Part Number'!$A:$F,6,0)</f>
        <v>65.44</v>
      </c>
      <c r="I20" s="79">
        <f t="shared" si="0"/>
        <v>0</v>
      </c>
    </row>
    <row r="21" spans="2:9" x14ac:dyDescent="0.25">
      <c r="B21" s="78" t="s">
        <v>86</v>
      </c>
      <c r="C21" s="68" t="str">
        <f>VLOOKUP(B21,'[1]Products by Part Number'!$A:$B,2,0)</f>
        <v xml:space="preserve">CAT TL1055C (KDE)                                              </v>
      </c>
      <c r="D21" s="68" t="str">
        <f>VLOOKUP(B21,'[1]Products by Part Number'!$A:$C,3,0)</f>
        <v>SECONDARY AIR FILTER</v>
      </c>
      <c r="E21" s="69">
        <f>VLOOKUP($B21,'[1]Products by Part Number'!$A:$L,11,0)</f>
        <v>0</v>
      </c>
      <c r="F21" s="70">
        <f>VLOOKUP(B21,'[1]Products by Part Number'!$A:$D,4,0)</f>
        <v>80.09</v>
      </c>
      <c r="G21" s="71">
        <f t="shared" si="1"/>
        <v>0</v>
      </c>
      <c r="H21" s="71">
        <f>VLOOKUP(B21,'[1]Products by Part Number'!$A:$F,6,0)</f>
        <v>52.06</v>
      </c>
      <c r="I21" s="79">
        <f t="shared" si="0"/>
        <v>0</v>
      </c>
    </row>
    <row r="22" spans="2:9" x14ac:dyDescent="0.25">
      <c r="B22" s="78" t="s">
        <v>87</v>
      </c>
      <c r="C22" s="68" t="str">
        <f>VLOOKUP(B22,'[1]Products by Part Number'!$A:$B,2,0)</f>
        <v xml:space="preserve">KOM PC490LC-11 (A42) KOM PC490LC-11 (A42) (2) KOM PC490LC-11 (A42) (3) KOM PC490LC-11 (A42) (4) KOM PC490LC-11 (A42) (5) KOM PC490LC-11 (A43) KOM PC490LC-11 (KMT) (1) KOM PC490LC-11 (KMT) (2) KOM PC490LC-11 (KMT) (3) KOM PC360LC-11 (A37) KOM PC360LC-11 (A39) KOM PC360LC-11 (A39) (2) KOM PC290LC-11 (K73)                      </v>
      </c>
      <c r="D22" s="68" t="str">
        <f>VLOOKUP(B22,'[1]Products by Part Number'!$A:$C,3,0)</f>
        <v>CAB AIR FILTER</v>
      </c>
      <c r="E22" s="69">
        <f>VLOOKUP($B22,'[1]Products by Part Number'!$A:$L,11,0)</f>
        <v>13</v>
      </c>
      <c r="F22" s="70">
        <f>VLOOKUP(B22,'[1]Products by Part Number'!$A:$D,4,0)</f>
        <v>68.78</v>
      </c>
      <c r="G22" s="71">
        <f t="shared" si="1"/>
        <v>894.14</v>
      </c>
      <c r="H22" s="71">
        <f>VLOOKUP(B22,'[1]Products by Part Number'!$A:$F,6,0)</f>
        <v>44.71</v>
      </c>
      <c r="I22" s="79">
        <f t="shared" si="0"/>
        <v>581.23</v>
      </c>
    </row>
    <row r="23" spans="2:9" x14ac:dyDescent="0.25">
      <c r="B23" s="78" t="s">
        <v>88</v>
      </c>
      <c r="C23" s="68" t="str">
        <f>VLOOKUP(B23,'[1]Products by Part Number'!$A:$B,2,0)</f>
        <v xml:space="preserve">CAT 329EL (ZCD)                                              </v>
      </c>
      <c r="D23" s="68" t="str">
        <f>VLOOKUP(B23,'[1]Products by Part Number'!$A:$C,3,0)</f>
        <v>CAB AIR FILTER</v>
      </c>
      <c r="E23" s="69">
        <f>VLOOKUP($B23,'[1]Products by Part Number'!$A:$L,11,0)</f>
        <v>1</v>
      </c>
      <c r="F23" s="70">
        <f>VLOOKUP(B23,'[1]Products by Part Number'!$A:$D,4,0)</f>
        <v>82.09</v>
      </c>
      <c r="G23" s="71">
        <f t="shared" si="1"/>
        <v>82.09</v>
      </c>
      <c r="H23" s="71">
        <f>VLOOKUP(B23,'[1]Products by Part Number'!$A:$F,6,0)</f>
        <v>53.36</v>
      </c>
      <c r="I23" s="79">
        <f t="shared" si="0"/>
        <v>53.36</v>
      </c>
    </row>
    <row r="24" spans="2:9" x14ac:dyDescent="0.25">
      <c r="B24" s="78" t="s">
        <v>89</v>
      </c>
      <c r="C24" s="68" t="str">
        <f>VLOOKUP(B24,'[1]Products by Part Number'!$A:$B,2,0)</f>
        <v xml:space="preserve">CAT 14 (EN4)                                              </v>
      </c>
      <c r="D24" s="68" t="str">
        <f>VLOOKUP(B24,'[1]Products by Part Number'!$A:$C,3,0)</f>
        <v>SECONDARY AIR FILTER</v>
      </c>
      <c r="E24" s="69">
        <f>VLOOKUP($B24,'[1]Products by Part Number'!$A:$L,11,0)</f>
        <v>0</v>
      </c>
      <c r="F24" s="70">
        <f>VLOOKUP(B24,'[1]Products by Part Number'!$A:$D,4,0)</f>
        <v>105.26</v>
      </c>
      <c r="G24" s="71">
        <f t="shared" si="1"/>
        <v>0</v>
      </c>
      <c r="H24" s="71">
        <f>VLOOKUP(B24,'[1]Products by Part Number'!$A:$F,6,0)</f>
        <v>68.42</v>
      </c>
      <c r="I24" s="79">
        <f t="shared" si="0"/>
        <v>0</v>
      </c>
    </row>
    <row r="25" spans="2:9" x14ac:dyDescent="0.25">
      <c r="B25" s="78" t="s">
        <v>90</v>
      </c>
      <c r="C25" s="68" t="str">
        <f>VLOOKUP(B25,'[1]Products by Part Number'!$A:$B,2,0)</f>
        <v xml:space="preserve">KOM WA475-10 (120)                                              </v>
      </c>
      <c r="D25" s="68" t="str">
        <f>VLOOKUP(B25,'[1]Products by Part Number'!$A:$C,3,0)</f>
        <v>CAB AIR FILTER</v>
      </c>
      <c r="E25" s="69">
        <f>VLOOKUP($B25,'[1]Products by Part Number'!$A:$L,11,0)</f>
        <v>0</v>
      </c>
      <c r="F25" s="70">
        <f>VLOOKUP(B25,'[1]Products by Part Number'!$A:$D,4,0)</f>
        <v>134.66999999999999</v>
      </c>
      <c r="G25" s="71">
        <f t="shared" si="1"/>
        <v>0</v>
      </c>
      <c r="H25" s="71">
        <f>VLOOKUP(B25,'[1]Products by Part Number'!$A:$F,6,0)</f>
        <v>87.54</v>
      </c>
      <c r="I25" s="79">
        <f t="shared" si="0"/>
        <v>0</v>
      </c>
    </row>
    <row r="26" spans="2:9" x14ac:dyDescent="0.25">
      <c r="B26" s="78" t="s">
        <v>91</v>
      </c>
      <c r="C26" s="68" t="str">
        <f>VLOOKUP(B26,'[1]Products by Part Number'!$A:$B,2,0)</f>
        <v xml:space="preserve">KOM WA380-8 (1) KOM WA380-8 (2) KOM WA320-8 (867) KOM WA320PZ-6 (729)                                        </v>
      </c>
      <c r="D26" s="68" t="str">
        <f>VLOOKUP(B26,'[1]Products by Part Number'!$A:$C,3,0)</f>
        <v>CAB AIR FILTER</v>
      </c>
      <c r="E26" s="69">
        <f>VLOOKUP($B26,'[1]Products by Part Number'!$A:$L,11,0)</f>
        <v>0</v>
      </c>
      <c r="F26" s="70">
        <f>VLOOKUP(B26,'[1]Products by Part Number'!$A:$D,4,0)</f>
        <v>152.87</v>
      </c>
      <c r="G26" s="71">
        <f t="shared" si="1"/>
        <v>0</v>
      </c>
      <c r="H26" s="71">
        <f>VLOOKUP(B26,'[1]Products by Part Number'!$A:$F,6,0)</f>
        <v>99.37</v>
      </c>
      <c r="I26" s="79">
        <f t="shared" si="0"/>
        <v>0</v>
      </c>
    </row>
    <row r="27" spans="2:9" x14ac:dyDescent="0.25">
      <c r="B27" s="78" t="s">
        <v>92</v>
      </c>
      <c r="C27" s="68" t="str">
        <f>VLOOKUP(B27,'[1]Products by Part Number'!$A:$B,2,0)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27" s="68" t="str">
        <f>VLOOKUP(B27,'[1]Products by Part Number'!$A:$C,3,0)</f>
        <v>CAB AIR FILTER</v>
      </c>
      <c r="E27" s="69">
        <f>VLOOKUP($B27,'[1]Products by Part Number'!$A:$L,11,0)</f>
        <v>0</v>
      </c>
      <c r="F27" s="70">
        <f>VLOOKUP(B27,'[1]Products by Part Number'!$A:$D,4,0)</f>
        <v>131.29</v>
      </c>
      <c r="G27" s="71">
        <f t="shared" si="1"/>
        <v>0</v>
      </c>
      <c r="H27" s="71">
        <f>VLOOKUP(B27,'[1]Products by Part Number'!$A:$F,6,0)</f>
        <v>85.34</v>
      </c>
      <c r="I27" s="79">
        <f t="shared" si="0"/>
        <v>0</v>
      </c>
    </row>
    <row r="28" spans="2:9" x14ac:dyDescent="0.25">
      <c r="B28" s="78" t="s">
        <v>93</v>
      </c>
      <c r="C28" s="68" t="str">
        <f>VLOOKUP(B28,'[1]Products by Part Number'!$A:$B,2,0)</f>
        <v xml:space="preserve">JD 470P (1FF)                                              </v>
      </c>
      <c r="D28" s="68" t="str">
        <f>VLOOKUP(B28,'[1]Products by Part Number'!$A:$C,3,0)</f>
        <v>CAB AIR FILTER</v>
      </c>
      <c r="E28" s="69">
        <f>VLOOKUP($B28,'[1]Products by Part Number'!$A:$L,11,0)</f>
        <v>0</v>
      </c>
      <c r="F28" s="70">
        <f>VLOOKUP(B28,'[1]Products by Part Number'!$A:$D,4,0)</f>
        <v>103.0722</v>
      </c>
      <c r="G28" s="71">
        <f t="shared" si="1"/>
        <v>0</v>
      </c>
      <c r="H28" s="71">
        <f>VLOOKUP(B28,'[1]Products by Part Number'!$A:$F,6,0)</f>
        <v>67</v>
      </c>
      <c r="I28" s="79">
        <f t="shared" si="0"/>
        <v>0</v>
      </c>
    </row>
    <row r="29" spans="2:9" x14ac:dyDescent="0.25">
      <c r="B29" s="78" t="s">
        <v>94</v>
      </c>
      <c r="C29" s="68" t="str">
        <f>VLOOKUP(B29,'[1]Products by Part Number'!$A:$B,2,0)</f>
        <v xml:space="preserve">CAT 255 CAT 255 (2) CAT 255 (FL7)                                          </v>
      </c>
      <c r="D29" s="68" t="str">
        <f>VLOOKUP(B29,'[1]Products by Part Number'!$A:$C,3,0)</f>
        <v>PRIMARY AIR FILTER</v>
      </c>
      <c r="E29" s="69">
        <f>VLOOKUP($B29,'[1]Products by Part Number'!$A:$L,11,0)</f>
        <v>3</v>
      </c>
      <c r="F29" s="70">
        <f>VLOOKUP(B29,'[1]Products by Part Number'!$A:$D,4,0)</f>
        <v>95.35</v>
      </c>
      <c r="G29" s="71">
        <f t="shared" si="1"/>
        <v>286.04999999999995</v>
      </c>
      <c r="H29" s="71">
        <f>VLOOKUP(B29,'[1]Products by Part Number'!$A:$F,6,0)</f>
        <v>61.98</v>
      </c>
      <c r="I29" s="79">
        <f t="shared" si="0"/>
        <v>185.94</v>
      </c>
    </row>
    <row r="30" spans="2:9" x14ac:dyDescent="0.25">
      <c r="B30" s="78" t="s">
        <v>95</v>
      </c>
      <c r="C30" s="68" t="str">
        <f>VLOOKUP(B30,'[1]Products by Part Number'!$A:$B,2,0)</f>
        <v xml:space="preserve">CAT 255 CAT 255 (2) CAT 255 (FL7)                                          </v>
      </c>
      <c r="D30" s="68" t="str">
        <f>VLOOKUP(B30,'[1]Products by Part Number'!$A:$C,3,0)</f>
        <v>SECONDARY AIR FILTER</v>
      </c>
      <c r="E30" s="69">
        <f>VLOOKUP($B30,'[1]Products by Part Number'!$A:$L,11,0)</f>
        <v>3</v>
      </c>
      <c r="F30" s="70">
        <f>VLOOKUP(B30,'[1]Products by Part Number'!$A:$D,4,0)</f>
        <v>71.010000000000005</v>
      </c>
      <c r="G30" s="71">
        <f t="shared" si="1"/>
        <v>213.03000000000003</v>
      </c>
      <c r="H30" s="71">
        <f>VLOOKUP(B30,'[1]Products by Part Number'!$A:$F,6,0)</f>
        <v>46.16</v>
      </c>
      <c r="I30" s="79">
        <f t="shared" si="0"/>
        <v>138.47999999999999</v>
      </c>
    </row>
    <row r="31" spans="2:9" x14ac:dyDescent="0.25">
      <c r="B31" s="78" t="s">
        <v>96</v>
      </c>
      <c r="C31" s="68" t="str">
        <f>VLOOKUP(B31,'[1]Products by Part Number'!$A:$B,2,0)</f>
        <v xml:space="preserve">CAT 14 (EN4)                                              </v>
      </c>
      <c r="D31" s="68" t="str">
        <f>VLOOKUP(B31,'[1]Products by Part Number'!$A:$C,3,0)</f>
        <v>PRIMARY AIR FILTER</v>
      </c>
      <c r="E31" s="69">
        <f>VLOOKUP($B31,'[1]Products by Part Number'!$A:$L,11,0)</f>
        <v>0</v>
      </c>
      <c r="F31" s="70">
        <f>VLOOKUP(B31,'[1]Products by Part Number'!$A:$D,4,0)</f>
        <v>250.86</v>
      </c>
      <c r="G31" s="71">
        <f t="shared" si="1"/>
        <v>0</v>
      </c>
      <c r="H31" s="71">
        <f>VLOOKUP(B31,'[1]Products by Part Number'!$A:$F,6,0)</f>
        <v>163.06</v>
      </c>
      <c r="I31" s="79">
        <f t="shared" si="0"/>
        <v>0</v>
      </c>
    </row>
    <row r="32" spans="2:9" x14ac:dyDescent="0.25">
      <c r="B32" s="78" t="s">
        <v>97</v>
      </c>
      <c r="C32" s="68" t="str">
        <f>VLOOKUP(B32,'[1]Products by Part Number'!$A:$B,2,0)</f>
        <v xml:space="preserve">CAT 255 CAT 255 (2) CAT 255 (FL7)                                          </v>
      </c>
      <c r="D32" s="68" t="str">
        <f>VLOOKUP(B32,'[1]Products by Part Number'!$A:$C,3,0)</f>
        <v>CAB AIR FILTER</v>
      </c>
      <c r="E32" s="69">
        <f>VLOOKUP($B32,'[1]Products by Part Number'!$A:$L,11,0)</f>
        <v>3</v>
      </c>
      <c r="F32" s="70">
        <f>VLOOKUP(B32,'[1]Products by Part Number'!$A:$D,4,0)</f>
        <v>79.63</v>
      </c>
      <c r="G32" s="71">
        <f t="shared" si="1"/>
        <v>238.89</v>
      </c>
      <c r="H32" s="71">
        <f>VLOOKUP(B32,'[1]Products by Part Number'!$A:$F,6,0)</f>
        <v>51.76</v>
      </c>
      <c r="I32" s="79">
        <f t="shared" si="0"/>
        <v>155.28</v>
      </c>
    </row>
    <row r="33" spans="2:9" x14ac:dyDescent="0.25">
      <c r="B33" s="78" t="s">
        <v>98</v>
      </c>
      <c r="C33" s="68" t="str">
        <f>VLOOKUP(B33,'[1]Products by Part Number'!$A:$B,2,0)</f>
        <v xml:space="preserve">CAT 255 CAT 255 (2) CAT 255 (FL7)                                          </v>
      </c>
      <c r="D33" s="68" t="str">
        <f>VLOOKUP(B33,'[1]Products by Part Number'!$A:$C,3,0)</f>
        <v>CAB AIR FILTER</v>
      </c>
      <c r="E33" s="69">
        <f>VLOOKUP($B33,'[1]Products by Part Number'!$A:$L,11,0)</f>
        <v>3</v>
      </c>
      <c r="F33" s="70">
        <f>VLOOKUP(B33,'[1]Products by Part Number'!$A:$D,4,0)</f>
        <v>87.75</v>
      </c>
      <c r="G33" s="71">
        <f t="shared" si="1"/>
        <v>263.25</v>
      </c>
      <c r="H33" s="71">
        <f>VLOOKUP(B33,'[1]Products by Part Number'!$A:$F,6,0)</f>
        <v>57.04</v>
      </c>
      <c r="I33" s="79">
        <f t="shared" si="0"/>
        <v>171.12</v>
      </c>
    </row>
    <row r="34" spans="2:9" x14ac:dyDescent="0.25">
      <c r="B34" s="78" t="s">
        <v>99</v>
      </c>
      <c r="C34" s="68" t="str">
        <f>VLOOKUP(B34,'[1]Products by Part Number'!$A:$B,2,0)</f>
        <v xml:space="preserve">KOM PC138USLC-11 KOM PC238USLC-11 (1)                                            </v>
      </c>
      <c r="D34" s="68" t="str">
        <f>VLOOKUP(B34,'[1]Products by Part Number'!$A:$C,3,0)</f>
        <v>PRIMARY AIR FILTER</v>
      </c>
      <c r="E34" s="69">
        <f>VLOOKUP($B34,'[1]Products by Part Number'!$A:$L,11,0)</f>
        <v>2</v>
      </c>
      <c r="F34" s="70">
        <f>VLOOKUP(B34,'[1]Products by Part Number'!$A:$D,4,0)</f>
        <v>70.44</v>
      </c>
      <c r="G34" s="71">
        <f t="shared" si="1"/>
        <v>140.88</v>
      </c>
      <c r="H34" s="71">
        <f>VLOOKUP(B34,'[1]Products by Part Number'!$A:$F,6,0)</f>
        <v>45.79</v>
      </c>
      <c r="I34" s="79">
        <f t="shared" si="0"/>
        <v>91.58</v>
      </c>
    </row>
    <row r="35" spans="2:9" x14ac:dyDescent="0.25">
      <c r="B35" s="78" t="s">
        <v>100</v>
      </c>
      <c r="C35" s="68" t="str">
        <f>VLOOKUP(B35,'[1]Products by Part Number'!$A:$B,2,0)</f>
        <v xml:space="preserve">KOM PC138USLC-11 KOM PC238USLC-11 (1)                                            </v>
      </c>
      <c r="D35" s="68" t="str">
        <f>VLOOKUP(B35,'[1]Products by Part Number'!$A:$C,3,0)</f>
        <v>SECONDARY AIR FILTER</v>
      </c>
      <c r="E35" s="69">
        <f>VLOOKUP($B35,'[1]Products by Part Number'!$A:$L,11,0)</f>
        <v>0</v>
      </c>
      <c r="F35" s="70">
        <f>VLOOKUP(B35,'[1]Products by Part Number'!$A:$D,4,0)</f>
        <v>51.65</v>
      </c>
      <c r="G35" s="71">
        <f t="shared" si="1"/>
        <v>0</v>
      </c>
      <c r="H35" s="71">
        <f>VLOOKUP(B35,'[1]Products by Part Number'!$A:$F,6,0)</f>
        <v>33.57</v>
      </c>
      <c r="I35" s="79">
        <f t="shared" si="0"/>
        <v>0</v>
      </c>
    </row>
    <row r="36" spans="2:9" x14ac:dyDescent="0.25">
      <c r="B36" s="78" t="s">
        <v>101</v>
      </c>
      <c r="C36" s="68" t="str">
        <f>VLOOKUP(B36,'[1]Products by Part Number'!$A:$B,2,0)</f>
        <v xml:space="preserve">KOM PC238USLC-11 (2)                                              </v>
      </c>
      <c r="D36" s="68" t="str">
        <f>VLOOKUP(B36,'[1]Products by Part Number'!$A:$C,3,0)</f>
        <v>PRIMARY AIR FILTER</v>
      </c>
      <c r="E36" s="69">
        <f>VLOOKUP($B36,'[1]Products by Part Number'!$A:$L,11,0)</f>
        <v>1</v>
      </c>
      <c r="F36" s="70">
        <f>VLOOKUP(B36,'[1]Products by Part Number'!$A:$D,4,0)</f>
        <v>94.52</v>
      </c>
      <c r="G36" s="71">
        <f t="shared" si="1"/>
        <v>94.52</v>
      </c>
      <c r="H36" s="71">
        <f>VLOOKUP(B36,'[1]Products by Part Number'!$A:$F,6,0)</f>
        <v>61.44</v>
      </c>
      <c r="I36" s="79">
        <f t="shared" si="0"/>
        <v>61.44</v>
      </c>
    </row>
    <row r="37" spans="2:9" x14ac:dyDescent="0.25">
      <c r="B37" s="78" t="s">
        <v>102</v>
      </c>
      <c r="C37" s="68" t="str">
        <f>VLOOKUP(B37,'[1]Products by Part Number'!$A:$B,2,0)</f>
        <v xml:space="preserve">KOM PC238USLC-11 (2)                                              </v>
      </c>
      <c r="D37" s="68" t="str">
        <f>VLOOKUP(B37,'[1]Products by Part Number'!$A:$C,3,0)</f>
        <v>SECONDARY AIR FILTER</v>
      </c>
      <c r="E37" s="69">
        <f>VLOOKUP($B37,'[1]Products by Part Number'!$A:$L,11,0)</f>
        <v>0</v>
      </c>
      <c r="F37" s="70">
        <f>VLOOKUP(B37,'[1]Products by Part Number'!$A:$D,4,0)</f>
        <v>60.42</v>
      </c>
      <c r="G37" s="71">
        <f t="shared" si="1"/>
        <v>0</v>
      </c>
      <c r="H37" s="71">
        <f>VLOOKUP(B37,'[1]Products by Part Number'!$A:$F,6,0)</f>
        <v>39.270000000000003</v>
      </c>
      <c r="I37" s="79">
        <f t="shared" si="0"/>
        <v>0</v>
      </c>
    </row>
    <row r="38" spans="2:9" x14ac:dyDescent="0.25">
      <c r="B38" s="78" t="s">
        <v>103</v>
      </c>
      <c r="C38" s="68" t="str">
        <f>VLOOKUP(B38,'[1]Products by Part Number'!$A:$B,2,0)</f>
        <v xml:space="preserve">KOM WA380-8 (1) KOM WA380-8 (2) KOM WA320-8 (867) KOM WA320PZ-6 (729) KOM PC290LC-11 (K73) KOM D61PX-24 (B60)                                    </v>
      </c>
      <c r="D38" s="68" t="str">
        <f>VLOOKUP(B38,'[1]Products by Part Number'!$A:$C,3,0)</f>
        <v>PRIMARY AIR FILTER</v>
      </c>
      <c r="E38" s="69">
        <f>VLOOKUP($B38,'[1]Products by Part Number'!$A:$L,11,0)</f>
        <v>6</v>
      </c>
      <c r="F38" s="70">
        <f>VLOOKUP(B38,'[1]Products by Part Number'!$A:$D,4,0)</f>
        <v>64.540000000000006</v>
      </c>
      <c r="G38" s="71">
        <f t="shared" si="1"/>
        <v>387.24</v>
      </c>
      <c r="H38" s="71">
        <f>VLOOKUP(B38,'[1]Products by Part Number'!$A:$F,6,0)</f>
        <v>41.95</v>
      </c>
      <c r="I38" s="79">
        <f t="shared" si="0"/>
        <v>251.7</v>
      </c>
    </row>
    <row r="39" spans="2:9" x14ac:dyDescent="0.25">
      <c r="B39" s="78" t="s">
        <v>104</v>
      </c>
      <c r="C39" s="68" t="str">
        <f>VLOOKUP(B39,'[1]Products by Part Number'!$A:$B,2,0)</f>
        <v xml:space="preserve">KOM WA380-8 (1) KOM WA380-8 (2) KOM WA320-8 (867) KOM WA320PZ-6 (729) KOM PC290LC-11 (K73) KOM D61PX-24 (B60)                                    </v>
      </c>
      <c r="D39" s="68" t="str">
        <f>VLOOKUP(B39,'[1]Products by Part Number'!$A:$C,3,0)</f>
        <v>SECONDARY AIR FILTER</v>
      </c>
      <c r="E39" s="69">
        <f>VLOOKUP($B39,'[1]Products by Part Number'!$A:$L,11,0)</f>
        <v>0</v>
      </c>
      <c r="F39" s="70">
        <f>VLOOKUP(B39,'[1]Products by Part Number'!$A:$D,4,0)</f>
        <v>59.85</v>
      </c>
      <c r="G39" s="71">
        <f t="shared" si="1"/>
        <v>0</v>
      </c>
      <c r="H39" s="71">
        <f>VLOOKUP(B39,'[1]Products by Part Number'!$A:$F,6,0)</f>
        <v>38.9</v>
      </c>
      <c r="I39" s="79">
        <f t="shared" si="0"/>
        <v>0</v>
      </c>
    </row>
    <row r="40" spans="2:9" x14ac:dyDescent="0.25">
      <c r="B40" s="78" t="s">
        <v>105</v>
      </c>
      <c r="C40" s="68" t="str">
        <f>VLOOKUP(B40,'[1]Products by Part Number'!$A:$B,2,0)</f>
        <v xml:space="preserve">KOM D71PX-24 (1) KOM D71PX-24 (2) KOM D71PX-24 (3) KOM D71PX-24 (4) KOM D71PX-24 (5) KOM D71PX-24 (6) KOM D71PX-24 (7)                                  </v>
      </c>
      <c r="D40" s="68" t="str">
        <f>VLOOKUP(B40,'[1]Products by Part Number'!$A:$C,3,0)</f>
        <v>AIR FILTER KIT</v>
      </c>
      <c r="E40" s="69">
        <f>VLOOKUP($B40,'[1]Products by Part Number'!$A:$L,11,0)</f>
        <v>0</v>
      </c>
      <c r="F40" s="70">
        <f>VLOOKUP(B40,'[1]Products by Part Number'!$A:$D,4,0)</f>
        <v>148.99859999999998</v>
      </c>
      <c r="G40" s="71">
        <f t="shared" si="1"/>
        <v>0</v>
      </c>
      <c r="H40" s="71">
        <f>VLOOKUP(B40,'[1]Products by Part Number'!$A:$F,6,0)</f>
        <v>96.85</v>
      </c>
      <c r="I40" s="79">
        <f t="shared" si="0"/>
        <v>0</v>
      </c>
    </row>
    <row r="41" spans="2:9" x14ac:dyDescent="0.25">
      <c r="B41" s="78" t="s">
        <v>106</v>
      </c>
      <c r="C41" s="68" t="str">
        <f>VLOOKUP(B41,'[1]Products by Part Number'!$A:$B,2,0)</f>
        <v xml:space="preserve">KOM PC360LC-11 (A37) KOM PC360LC-11 (A39) KOM PC360LC-11 (A39) (2) KOM WA475-10 (120)                                        </v>
      </c>
      <c r="D41" s="68" t="str">
        <f>VLOOKUP(B41,'[1]Products by Part Number'!$A:$C,3,0)</f>
        <v>PRIMARY AIR FILTER</v>
      </c>
      <c r="E41" s="69">
        <f>VLOOKUP($B41,'[1]Products by Part Number'!$A:$L,11,0)</f>
        <v>4</v>
      </c>
      <c r="F41" s="70">
        <f>VLOOKUP(B41,'[1]Products by Part Number'!$A:$D,4,0)</f>
        <v>95.67</v>
      </c>
      <c r="G41" s="71">
        <f t="shared" si="1"/>
        <v>382.68</v>
      </c>
      <c r="H41" s="71">
        <f>VLOOKUP(B41,'[1]Products by Part Number'!$A:$F,6,0)</f>
        <v>62.19</v>
      </c>
      <c r="I41" s="79">
        <f t="shared" si="0"/>
        <v>248.76</v>
      </c>
    </row>
    <row r="42" spans="2:9" x14ac:dyDescent="0.25">
      <c r="B42" s="78" t="s">
        <v>107</v>
      </c>
      <c r="C42" s="68" t="str">
        <f>VLOOKUP(B42,'[1]Products by Part Number'!$A:$B,2,0)</f>
        <v xml:space="preserve">KOM PC360LC-11 (A37) KOM PC360LC-11 (A39) KOM PC360LC-11 (A39) (2) KOM WA475-10 (120)                                        </v>
      </c>
      <c r="D42" s="68" t="str">
        <f>VLOOKUP(B42,'[1]Products by Part Number'!$A:$C,3,0)</f>
        <v>SECONDARY AIR FILTER</v>
      </c>
      <c r="E42" s="69">
        <f>VLOOKUP($B42,'[1]Products by Part Number'!$A:$L,11,0)</f>
        <v>0</v>
      </c>
      <c r="F42" s="70">
        <f>VLOOKUP(B42,'[1]Products by Part Number'!$A:$D,4,0)</f>
        <v>81.97</v>
      </c>
      <c r="G42" s="71">
        <f t="shared" si="1"/>
        <v>0</v>
      </c>
      <c r="H42" s="71">
        <f>VLOOKUP(B42,'[1]Products by Part Number'!$A:$F,6,0)</f>
        <v>53.28</v>
      </c>
      <c r="I42" s="79">
        <f t="shared" si="0"/>
        <v>0</v>
      </c>
    </row>
    <row r="43" spans="2:9" x14ac:dyDescent="0.25">
      <c r="B43" s="78" t="s">
        <v>108</v>
      </c>
      <c r="C43" s="68" t="str">
        <f>VLOOKUP(B43,'[1]Products by Part Number'!$A:$B,2,0)</f>
        <v xml:space="preserve">KOM HM400-5 (1) KOM HM400-5 (2) KOM HM400-5 (3) KOM HM400-5 (4) KOM HM400-5 (5) KOM HM400-5 (6) KOM HM400-5 (7) KOM HM400-5 (8) KOM HM400-5 (9) KOM HM400-5 (10) KOM HM400 (11) KOM HM400 (12) KOM HM400 (13) KOM HM400-5 (14) KOM PC490LC-11 (A42) KOM PC490LC-11 (A42) (2) KOM PC490LC-11 (A42) (3) KOM PC490LC-11 (A42) (4) KOM PC490LC-11 (A42) (5) KOM PC490LC-11 (A43) KOM PC490LC-11 (KMT) (1) KOM PC490LC-11 (KMT) (2) KOM PC490LC-11 (KMT) (3)  </v>
      </c>
      <c r="D43" s="68" t="str">
        <f>VLOOKUP(B43,'[1]Products by Part Number'!$A:$C,3,0)</f>
        <v>PRIMARY AIR FILTER</v>
      </c>
      <c r="E43" s="69">
        <f>VLOOKUP($B43,'[1]Products by Part Number'!$A:$L,11,0)</f>
        <v>9</v>
      </c>
      <c r="F43" s="70">
        <f>VLOOKUP(B43,'[1]Products by Part Number'!$A:$D,4,0)</f>
        <v>128.5</v>
      </c>
      <c r="G43" s="71">
        <f t="shared" si="1"/>
        <v>1156.5</v>
      </c>
      <c r="H43" s="71">
        <f>VLOOKUP(B43,'[1]Products by Part Number'!$A:$F,6,0)</f>
        <v>83.53</v>
      </c>
      <c r="I43" s="79">
        <f t="shared" si="0"/>
        <v>751.77</v>
      </c>
    </row>
    <row r="44" spans="2:9" x14ac:dyDescent="0.25">
      <c r="B44" s="78" t="s">
        <v>109</v>
      </c>
      <c r="C44" s="68" t="str">
        <f>VLOOKUP(B44,'[1]Products by Part Number'!$A:$B,2,0)</f>
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</c>
      <c r="D44" s="68" t="str">
        <f>VLOOKUP(B44,'[1]Products by Part Number'!$A:$C,3,0)</f>
        <v>SECONDARY AIR FILTER</v>
      </c>
      <c r="E44" s="69">
        <f>VLOOKUP($B44,'[1]Products by Part Number'!$A:$L,11,0)</f>
        <v>0</v>
      </c>
      <c r="F44" s="70">
        <f>VLOOKUP(B44,'[1]Products by Part Number'!$A:$D,4,0)</f>
        <v>90.19</v>
      </c>
      <c r="G44" s="71">
        <f t="shared" si="1"/>
        <v>0</v>
      </c>
      <c r="H44" s="71">
        <f>VLOOKUP(B44,'[1]Products by Part Number'!$A:$F,6,0)</f>
        <v>58.62</v>
      </c>
      <c r="I44" s="79">
        <f t="shared" si="0"/>
        <v>0</v>
      </c>
    </row>
    <row r="45" spans="2:9" x14ac:dyDescent="0.25">
      <c r="B45" s="78" t="s">
        <v>110</v>
      </c>
      <c r="C45" s="68" t="str">
        <f>VLOOKUP(B45,'[1]Products by Part Number'!$A:$B,2,0)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45" s="68" t="str">
        <f>VLOOKUP(B45,'[1]Products by Part Number'!$A:$C,3,0)</f>
        <v>SECONDARY AIR FILTER</v>
      </c>
      <c r="E45" s="69">
        <f>VLOOKUP($B45,'[1]Products by Part Number'!$A:$L,11,0)</f>
        <v>0</v>
      </c>
      <c r="F45" s="70">
        <f>VLOOKUP(B45,'[1]Products by Part Number'!$A:$D,4,0)</f>
        <v>90.19</v>
      </c>
      <c r="G45" s="71">
        <f t="shared" si="1"/>
        <v>0</v>
      </c>
      <c r="H45" s="71">
        <f>VLOOKUP(B45,'[1]Products by Part Number'!$A:$F,6,0)</f>
        <v>58.62</v>
      </c>
      <c r="I45" s="79">
        <f t="shared" si="0"/>
        <v>0</v>
      </c>
    </row>
    <row r="46" spans="2:9" x14ac:dyDescent="0.25">
      <c r="B46" s="78" t="s">
        <v>111</v>
      </c>
      <c r="C46" s="68" t="str">
        <f>VLOOKUP(B46,'[1]Products by Part Number'!$A:$B,2,0)</f>
        <v xml:space="preserve">CAT 329EL (ZCD)                                              </v>
      </c>
      <c r="D46" s="68" t="str">
        <f>VLOOKUP(B46,'[1]Products by Part Number'!$A:$C,3,0)</f>
        <v>PRIMARY AIR FILTER</v>
      </c>
      <c r="E46" s="69">
        <f>VLOOKUP($B46,'[1]Products by Part Number'!$A:$L,11,0)</f>
        <v>0</v>
      </c>
      <c r="F46" s="70">
        <f>VLOOKUP(B46,'[1]Products by Part Number'!$A:$D,4,0)</f>
        <v>160.11000000000001</v>
      </c>
      <c r="G46" s="71">
        <f t="shared" si="1"/>
        <v>0</v>
      </c>
      <c r="H46" s="71">
        <f>VLOOKUP(B46,'[1]Products by Part Number'!$A:$F,6,0)</f>
        <v>104.07</v>
      </c>
      <c r="I46" s="79">
        <f t="shared" si="0"/>
        <v>0</v>
      </c>
    </row>
    <row r="47" spans="2:9" x14ac:dyDescent="0.25">
      <c r="B47" s="78" t="s">
        <v>112</v>
      </c>
      <c r="C47" s="68" t="str">
        <f>VLOOKUP(B47,'[1]Products by Part Number'!$A:$B,2,0)</f>
        <v xml:space="preserve">CAT 329EL (ZCD)                                              </v>
      </c>
      <c r="D47" s="68" t="str">
        <f>VLOOKUP(B47,'[1]Products by Part Number'!$A:$C,3,0)</f>
        <v>SECONDARY AIR FILTER</v>
      </c>
      <c r="E47" s="69">
        <f>VLOOKUP($B47,'[1]Products by Part Number'!$A:$L,11,0)</f>
        <v>0</v>
      </c>
      <c r="F47" s="70">
        <f>VLOOKUP(B47,'[1]Products by Part Number'!$A:$D,4,0)</f>
        <v>113.26</v>
      </c>
      <c r="G47" s="71">
        <f t="shared" si="1"/>
        <v>0</v>
      </c>
      <c r="H47" s="71">
        <f>VLOOKUP(B47,'[1]Products by Part Number'!$A:$F,6,0)</f>
        <v>73.62</v>
      </c>
      <c r="I47" s="79">
        <f t="shared" si="0"/>
        <v>0</v>
      </c>
    </row>
    <row r="48" spans="2:9" x14ac:dyDescent="0.25">
      <c r="B48" s="78" t="s">
        <v>113</v>
      </c>
      <c r="C48" s="68" t="str">
        <f>VLOOKUP(B48,'[1]Products by Part Number'!$A:$B,2,0)</f>
        <v xml:space="preserve">JD 333G (1T0)                                              </v>
      </c>
      <c r="D48" s="68" t="str">
        <f>VLOOKUP(B48,'[1]Products by Part Number'!$A:$C,3,0)</f>
        <v>SECONDARY AIR FILTER</v>
      </c>
      <c r="E48" s="69">
        <f>VLOOKUP($B48,'[1]Products by Part Number'!$A:$L,11,0)</f>
        <v>0</v>
      </c>
      <c r="F48" s="70">
        <f>VLOOKUP(B48,'[1]Products by Part Number'!$A:$D,4,0)</f>
        <v>45.7746</v>
      </c>
      <c r="G48" s="71">
        <f t="shared" si="1"/>
        <v>0</v>
      </c>
      <c r="H48" s="71">
        <f>VLOOKUP(B48,'[1]Products by Part Number'!$A:$F,6,0)</f>
        <v>29.75</v>
      </c>
      <c r="I48" s="79">
        <f t="shared" si="0"/>
        <v>0</v>
      </c>
    </row>
    <row r="49" spans="2:9" x14ac:dyDescent="0.25">
      <c r="B49" s="78" t="s">
        <v>114</v>
      </c>
      <c r="C49" s="68" t="str">
        <f>VLOOKUP(B49,'[1]Products by Part Number'!$A:$B,2,0)</f>
        <v xml:space="preserve">JD 624K (DW6) JD 764 (100)                                            </v>
      </c>
      <c r="D49" s="68" t="str">
        <f>VLOOKUP(B49,'[1]Products by Part Number'!$A:$C,3,0)</f>
        <v>CAB AIR FILTER</v>
      </c>
      <c r="E49" s="69">
        <f>VLOOKUP($B49,'[1]Products by Part Number'!$A:$L,11,0)</f>
        <v>1</v>
      </c>
      <c r="F49" s="70">
        <f>VLOOKUP(B49,'[1]Products by Part Number'!$A:$D,4,0)</f>
        <v>28.138200000000001</v>
      </c>
      <c r="G49" s="71">
        <f t="shared" si="1"/>
        <v>28.138200000000001</v>
      </c>
      <c r="H49" s="71">
        <f>VLOOKUP(B49,'[1]Products by Part Number'!$A:$F,6,0)</f>
        <v>18.29</v>
      </c>
      <c r="I49" s="79">
        <f t="shared" si="0"/>
        <v>18.29</v>
      </c>
    </row>
    <row r="50" spans="2:9" x14ac:dyDescent="0.25">
      <c r="B50" s="78" t="s">
        <v>115</v>
      </c>
      <c r="C50" s="68" t="str">
        <f>VLOOKUP(B50,'[1]Products by Part Number'!$A:$B,2,0)</f>
        <v xml:space="preserve">JD 624K (DW6) JD 764 (100)                                            </v>
      </c>
      <c r="D50" s="68" t="str">
        <f>VLOOKUP(B50,'[1]Products by Part Number'!$A:$C,3,0)</f>
        <v>PRIMARY AIR FILTER</v>
      </c>
      <c r="E50" s="69">
        <f>VLOOKUP($B50,'[1]Products by Part Number'!$A:$L,11,0)</f>
        <v>0</v>
      </c>
      <c r="F50" s="70">
        <f>VLOOKUP(B50,'[1]Products by Part Number'!$A:$D,4,0)</f>
        <v>111.3108</v>
      </c>
      <c r="G50" s="71">
        <f t="shared" si="1"/>
        <v>0</v>
      </c>
      <c r="H50" s="71">
        <f>VLOOKUP(B50,'[1]Products by Part Number'!$A:$F,6,0)</f>
        <v>72.349999999999994</v>
      </c>
      <c r="I50" s="79">
        <f t="shared" si="0"/>
        <v>0</v>
      </c>
    </row>
    <row r="51" spans="2:9" x14ac:dyDescent="0.25">
      <c r="B51" s="78" t="s">
        <v>116</v>
      </c>
      <c r="C51" s="68" t="str">
        <f>VLOOKUP(B51,'[1]Products by Part Number'!$A:$B,2,0)</f>
        <v xml:space="preserve">JD 624K (DW6) JD 764 (100)                                            </v>
      </c>
      <c r="D51" s="68" t="str">
        <f>VLOOKUP(B51,'[1]Products by Part Number'!$A:$C,3,0)</f>
        <v>CAB AIR FILTER</v>
      </c>
      <c r="E51" s="69">
        <f>VLOOKUP($B51,'[1]Products by Part Number'!$A:$L,11,0)</f>
        <v>1</v>
      </c>
      <c r="F51" s="70">
        <f>VLOOKUP(B51,'[1]Products by Part Number'!$A:$D,4,0)</f>
        <v>22.300799999999999</v>
      </c>
      <c r="G51" s="71">
        <f t="shared" si="1"/>
        <v>22.300799999999999</v>
      </c>
      <c r="H51" s="71">
        <f>VLOOKUP(B51,'[1]Products by Part Number'!$A:$F,6,0)</f>
        <v>14.5</v>
      </c>
      <c r="I51" s="79">
        <f t="shared" si="0"/>
        <v>14.5</v>
      </c>
    </row>
    <row r="52" spans="2:9" x14ac:dyDescent="0.25">
      <c r="B52" s="78" t="s">
        <v>117</v>
      </c>
      <c r="C52" s="68" t="str">
        <f>VLOOKUP(B52,'[1]Products by Part Number'!$A:$B,2,0)</f>
        <v xml:space="preserve">JD 470P (1FF)                                              </v>
      </c>
      <c r="D52" s="68" t="str">
        <f>VLOOKUP(B52,'[1]Products by Part Number'!$A:$C,3,0)</f>
        <v>PRIMARY AIR FILTER</v>
      </c>
      <c r="E52" s="69">
        <f>VLOOKUP($B52,'[1]Products by Part Number'!$A:$L,11,0)</f>
        <v>0</v>
      </c>
      <c r="F52" s="70">
        <f>VLOOKUP(B52,'[1]Products by Part Number'!$A:$D,4,0)</f>
        <v>221.559</v>
      </c>
      <c r="G52" s="71">
        <f t="shared" si="1"/>
        <v>0</v>
      </c>
      <c r="H52" s="71">
        <f>VLOOKUP(B52,'[1]Products by Part Number'!$A:$F,6,0)</f>
        <v>144.01</v>
      </c>
      <c r="I52" s="79">
        <f t="shared" si="0"/>
        <v>0</v>
      </c>
    </row>
    <row r="53" spans="2:9" x14ac:dyDescent="0.25">
      <c r="B53" s="78" t="s">
        <v>118</v>
      </c>
      <c r="C53" s="68" t="str">
        <f>VLOOKUP(B53,'[1]Products by Part Number'!$A:$B,2,0)</f>
        <v xml:space="preserve">JD 624K (DW6) JD 764 (100)                                            </v>
      </c>
      <c r="D53" s="68" t="str">
        <f>VLOOKUP(B53,'[1]Products by Part Number'!$A:$C,3,0)</f>
        <v>SECONDARY AIR FILTER</v>
      </c>
      <c r="E53" s="69">
        <f>VLOOKUP($B53,'[1]Products by Part Number'!$A:$L,11,0)</f>
        <v>0</v>
      </c>
      <c r="F53" s="70">
        <f>VLOOKUP(B53,'[1]Products by Part Number'!$A:$D,4,0)</f>
        <v>69.772800000000004</v>
      </c>
      <c r="G53" s="71">
        <f t="shared" si="1"/>
        <v>0</v>
      </c>
      <c r="H53" s="71">
        <f>VLOOKUP(B53,'[1]Products by Part Number'!$A:$F,6,0)</f>
        <v>45.35</v>
      </c>
      <c r="I53" s="79">
        <f t="shared" si="0"/>
        <v>0</v>
      </c>
    </row>
    <row r="54" spans="2:9" x14ac:dyDescent="0.25">
      <c r="B54" s="78" t="s">
        <v>119</v>
      </c>
      <c r="C54" s="68" t="str">
        <f>VLOOKUP(B54,'[1]Products by Part Number'!$A:$B,2,0)</f>
        <v xml:space="preserve">JD 333G (1T0)                                              </v>
      </c>
      <c r="D54" s="68" t="str">
        <f>VLOOKUP(B54,'[1]Products by Part Number'!$A:$C,3,0)</f>
        <v>CAB AIR FILTER</v>
      </c>
      <c r="E54" s="69">
        <f>VLOOKUP($B54,'[1]Products by Part Number'!$A:$L,11,0)</f>
        <v>1</v>
      </c>
      <c r="F54" s="70">
        <f>VLOOKUP(B54,'[1]Products by Part Number'!$A:$D,4,0)</f>
        <v>30.484200000000001</v>
      </c>
      <c r="G54" s="71">
        <f t="shared" si="1"/>
        <v>30.484200000000001</v>
      </c>
      <c r="H54" s="71">
        <f>VLOOKUP(B54,'[1]Products by Part Number'!$A:$F,6,0)</f>
        <v>19.809999999999999</v>
      </c>
      <c r="I54" s="79">
        <f t="shared" si="0"/>
        <v>19.809999999999999</v>
      </c>
    </row>
    <row r="55" spans="2:9" x14ac:dyDescent="0.25">
      <c r="B55" s="78" t="s">
        <v>120</v>
      </c>
      <c r="C55" s="68" t="str">
        <f>VLOOKUP(B55,'[1]Products by Part Number'!$A:$B,2,0)</f>
        <v xml:space="preserve">JD 333G (1T0)                                              </v>
      </c>
      <c r="D55" s="68" t="str">
        <f>VLOOKUP(B55,'[1]Products by Part Number'!$A:$C,3,0)</f>
        <v>CAB AIR FILTER</v>
      </c>
      <c r="E55" s="69">
        <f>VLOOKUP($B55,'[1]Products by Part Number'!$A:$L,11,0)</f>
        <v>1</v>
      </c>
      <c r="F55" s="70">
        <f>VLOOKUP(B55,'[1]Products by Part Number'!$A:$D,4,0)</f>
        <v>31.560599999999997</v>
      </c>
      <c r="G55" s="71">
        <f t="shared" si="1"/>
        <v>31.560599999999997</v>
      </c>
      <c r="H55" s="71">
        <f>VLOOKUP(B55,'[1]Products by Part Number'!$A:$F,6,0)</f>
        <v>20.51</v>
      </c>
      <c r="I55" s="79">
        <f t="shared" si="0"/>
        <v>20.51</v>
      </c>
    </row>
    <row r="56" spans="2:9" x14ac:dyDescent="0.25">
      <c r="B56" s="78" t="s">
        <v>121</v>
      </c>
      <c r="C56" s="68" t="str">
        <f>VLOOKUP(B56,'[1]Products by Part Number'!$A:$B,2,0)</f>
        <v xml:space="preserve">JD 470P (1FF)                                              </v>
      </c>
      <c r="D56" s="68" t="str">
        <f>VLOOKUP(B56,'[1]Products by Part Number'!$A:$C,3,0)</f>
        <v>CAB AIR FILTER</v>
      </c>
      <c r="E56" s="69">
        <f>VLOOKUP($B56,'[1]Products by Part Number'!$A:$L,11,0)</f>
        <v>0</v>
      </c>
      <c r="F56" s="70">
        <f>VLOOKUP(B56,'[1]Products by Part Number'!$A:$D,4,0)</f>
        <v>69.344999999999999</v>
      </c>
      <c r="G56" s="71">
        <f t="shared" si="1"/>
        <v>0</v>
      </c>
      <c r="H56" s="71">
        <f>VLOOKUP(B56,'[1]Products by Part Number'!$A:$F,6,0)</f>
        <v>45.07</v>
      </c>
      <c r="I56" s="79">
        <f t="shared" si="0"/>
        <v>0</v>
      </c>
    </row>
    <row r="57" spans="2:9" x14ac:dyDescent="0.25">
      <c r="B57" s="78" t="s">
        <v>122</v>
      </c>
      <c r="C57" s="68" t="str">
        <f>VLOOKUP(B57,'[1]Products by Part Number'!$A:$B,2,0)</f>
        <v xml:space="preserve">JD 333G (1T0)                                              </v>
      </c>
      <c r="D57" s="68" t="str">
        <f>VLOOKUP(B57,'[1]Products by Part Number'!$A:$C,3,0)</f>
        <v>PRIMARY AIR FILTER</v>
      </c>
      <c r="E57" s="69">
        <f>VLOOKUP($B57,'[1]Products by Part Number'!$A:$L,11,0)</f>
        <v>0</v>
      </c>
      <c r="F57" s="70">
        <f>VLOOKUP(B57,'[1]Products by Part Number'!$A:$D,4,0)</f>
        <v>82.703399999999988</v>
      </c>
      <c r="G57" s="71">
        <f t="shared" si="1"/>
        <v>0</v>
      </c>
      <c r="H57" s="71">
        <f>VLOOKUP(B57,'[1]Products by Part Number'!$A:$F,6,0)</f>
        <v>53.76</v>
      </c>
      <c r="I57" s="79">
        <f t="shared" si="0"/>
        <v>0</v>
      </c>
    </row>
    <row r="58" spans="2:9" x14ac:dyDescent="0.25">
      <c r="B58" s="78" t="s">
        <v>123</v>
      </c>
      <c r="C58" s="68" t="str">
        <f>VLOOKUP(B58,'[1]Products by Part Number'!$A:$B,2,0)</f>
        <v xml:space="preserve">KOM PC138USLC-11 KOM PC238USLC-11 (1)                                            </v>
      </c>
      <c r="D58" s="68" t="str">
        <f>VLOOKUP(B58,'[1]Products by Part Number'!$A:$C,3,0)</f>
        <v>CAB AIR FILTER</v>
      </c>
      <c r="E58" s="69">
        <f>VLOOKUP($B58,'[1]Products by Part Number'!$A:$L,11,0)</f>
        <v>0</v>
      </c>
      <c r="F58" s="70">
        <f>VLOOKUP(B58,'[1]Products by Part Number'!$A:$D,4,0)</f>
        <v>107.11</v>
      </c>
      <c r="G58" s="71">
        <f t="shared" si="1"/>
        <v>0</v>
      </c>
      <c r="H58" s="71">
        <f>VLOOKUP(B58,'[1]Products by Part Number'!$A:$F,6,0)</f>
        <v>69.62</v>
      </c>
      <c r="I58" s="79">
        <f t="shared" si="0"/>
        <v>0</v>
      </c>
    </row>
    <row r="59" spans="2:9" x14ac:dyDescent="0.25">
      <c r="B59" s="78" t="s">
        <v>124</v>
      </c>
      <c r="C59" s="68" t="str">
        <f>VLOOKUP(B59,'[1]Products by Part Number'!$A:$B,2,0)</f>
        <v xml:space="preserve">KOM PC238USLC-11 (2)                                              </v>
      </c>
      <c r="D59" s="68" t="str">
        <f>VLOOKUP(B59,'[1]Products by Part Number'!$A:$C,3,0)</f>
        <v>CAB AIR FILTER</v>
      </c>
      <c r="E59" s="69">
        <f>VLOOKUP($B59,'[1]Products by Part Number'!$A:$L,11,0)</f>
        <v>0</v>
      </c>
      <c r="F59" s="70">
        <f>VLOOKUP(B59,'[1]Products by Part Number'!$A:$D,4,0)</f>
        <v>107.11</v>
      </c>
      <c r="G59" s="71">
        <f t="shared" si="1"/>
        <v>0</v>
      </c>
      <c r="H59" s="71">
        <f>VLOOKUP(B59,'[1]Products by Part Number'!$A:$F,6,0)</f>
        <v>69.62</v>
      </c>
      <c r="I59" s="79">
        <f t="shared" si="0"/>
        <v>0</v>
      </c>
    </row>
    <row r="60" spans="2:9" x14ac:dyDescent="0.25">
      <c r="B60" s="78" t="s">
        <v>125</v>
      </c>
      <c r="C60" s="68" t="str">
        <f>VLOOKUP(B60,'[1]Products by Part Number'!$A:$B,2,0)</f>
        <v xml:space="preserve">JD 470P (1FF)                                              </v>
      </c>
      <c r="D60" s="68" t="str">
        <f>VLOOKUP(B60,'[1]Products by Part Number'!$A:$C,3,0)</f>
        <v>SECONDARY AIR FILTER</v>
      </c>
      <c r="E60" s="69">
        <f>VLOOKUP($B60,'[1]Products by Part Number'!$A:$L,11,0)</f>
        <v>0</v>
      </c>
      <c r="F60" s="70">
        <f>VLOOKUP(B60,'[1]Products by Part Number'!$A:$D,4,0)</f>
        <v>122.9028</v>
      </c>
      <c r="G60" s="71">
        <f t="shared" si="1"/>
        <v>0</v>
      </c>
      <c r="H60" s="71">
        <f>VLOOKUP(B60,'[1]Products by Part Number'!$A:$F,6,0)</f>
        <v>79.89</v>
      </c>
      <c r="I60" s="79">
        <f t="shared" si="0"/>
        <v>0</v>
      </c>
    </row>
    <row r="61" spans="2:9" x14ac:dyDescent="0.25">
      <c r="B61" s="78">
        <v>4630525</v>
      </c>
      <c r="C61" s="68" t="str">
        <f>VLOOKUP(B61,'[1]Products by Part Number'!$A:$B,2,0)</f>
        <v xml:space="preserve">JD 470P (1FF)                                              </v>
      </c>
      <c r="D61" s="68" t="str">
        <f>VLOOKUP(B61,'[1]Products by Part Number'!$A:$C,3,0)</f>
        <v xml:space="preserve">HYDRAULIC FILTER PILOT </v>
      </c>
      <c r="E61" s="69">
        <f>VLOOKUP($B61,'[1]Products by Part Number'!$A:$L,11,0)</f>
        <v>0</v>
      </c>
      <c r="F61" s="70">
        <f>VLOOKUP(B61,'[1]Products by Part Number'!$A:$D,4,0)</f>
        <v>40.640999999999998</v>
      </c>
      <c r="G61" s="71">
        <f t="shared" si="1"/>
        <v>0</v>
      </c>
      <c r="H61" s="71">
        <f>VLOOKUP(B61,'[1]Products by Part Number'!$A:$F,6,0)</f>
        <v>20.32</v>
      </c>
      <c r="I61" s="79">
        <f t="shared" si="0"/>
        <v>0</v>
      </c>
    </row>
    <row r="62" spans="2:9" x14ac:dyDescent="0.25">
      <c r="B62" s="78" t="s">
        <v>126</v>
      </c>
      <c r="C62" s="68" t="str">
        <f>VLOOKUP(B62,'[1]Products by Part Number'!$A:$B,2,0)</f>
        <v xml:space="preserve">KOM PC360LC-11 (A37) KOM PC360LC-11 (A39) KOM PC360LC-11 (A39) (2)                                          </v>
      </c>
      <c r="D62" s="68" t="str">
        <f>VLOOKUP(B62,'[1]Products by Part Number'!$A:$C,3,0)</f>
        <v>HYDRAULIC FILTER</v>
      </c>
      <c r="E62" s="69">
        <f>VLOOKUP($B62,'[1]Products by Part Number'!$A:$L,11,0)</f>
        <v>0</v>
      </c>
      <c r="F62" s="70">
        <f>VLOOKUP(B62,'[1]Products by Part Number'!$A:$D,4,0)</f>
        <v>198.35</v>
      </c>
      <c r="G62" s="71">
        <f t="shared" si="1"/>
        <v>0</v>
      </c>
      <c r="H62" s="71">
        <f>VLOOKUP(B62,'[1]Products by Part Number'!$A:$F,6,0)</f>
        <v>99.18</v>
      </c>
      <c r="I62" s="79">
        <f t="shared" si="0"/>
        <v>0</v>
      </c>
    </row>
    <row r="63" spans="2:9" x14ac:dyDescent="0.25">
      <c r="B63" s="78" t="s">
        <v>127</v>
      </c>
      <c r="C63" s="68" t="str">
        <f>VLOOKUP(B63,'[1]Products by Part Number'!$A:$B,2,0)</f>
        <v xml:space="preserve">CAT 329EL (ZCD)                                              </v>
      </c>
      <c r="D63" s="68" t="str">
        <f>VLOOKUP(B63,'[1]Products by Part Number'!$A:$C,3,0)</f>
        <v>HYDRAULIC FILTER CASE DRAIN</v>
      </c>
      <c r="E63" s="69">
        <f>VLOOKUP($B63,'[1]Products by Part Number'!$A:$L,11,0)</f>
        <v>0</v>
      </c>
      <c r="F63" s="70">
        <f>VLOOKUP(B63,'[1]Products by Part Number'!$A:$D,4,0)</f>
        <v>98.57</v>
      </c>
      <c r="G63" s="71">
        <f t="shared" si="1"/>
        <v>0</v>
      </c>
      <c r="H63" s="71">
        <f>VLOOKUP(B63,'[1]Products by Part Number'!$A:$F,6,0)</f>
        <v>49.29</v>
      </c>
      <c r="I63" s="79">
        <f t="shared" si="0"/>
        <v>0</v>
      </c>
    </row>
    <row r="64" spans="2:9" x14ac:dyDescent="0.25">
      <c r="B64" s="78" t="s">
        <v>128</v>
      </c>
      <c r="C64" s="68" t="str">
        <f>VLOOKUP(B64,'[1]Products by Part Number'!$A:$B,2,0)</f>
        <v xml:space="preserve">KOM D61PX-24 (B60)                                              </v>
      </c>
      <c r="D64" s="68" t="str">
        <f>VLOOKUP(B64,'[1]Products by Part Number'!$A:$C,3,0)</f>
        <v>HYDRAULIC FILTER</v>
      </c>
      <c r="E64" s="69">
        <f>VLOOKUP($B64,'[1]Products by Part Number'!$A:$L,11,0)</f>
        <v>0</v>
      </c>
      <c r="F64" s="70">
        <f>VLOOKUP(B64,'[1]Products by Part Number'!$A:$D,4,0)</f>
        <v>370.6</v>
      </c>
      <c r="G64" s="71">
        <f t="shared" si="1"/>
        <v>0</v>
      </c>
      <c r="H64" s="71">
        <f>VLOOKUP(B64,'[1]Products by Part Number'!$A:$F,6,0)</f>
        <v>185.3</v>
      </c>
      <c r="I64" s="79">
        <f t="shared" si="0"/>
        <v>0</v>
      </c>
    </row>
    <row r="65" spans="2:9" x14ac:dyDescent="0.25">
      <c r="B65" s="78" t="s">
        <v>129</v>
      </c>
      <c r="C65" s="68" t="str">
        <f>VLOOKUP(B65,'[1]Products by Part Number'!$A:$B,2,0)</f>
        <v xml:space="preserve">CAT 329EL (ZCD)                                              </v>
      </c>
      <c r="D65" s="68" t="str">
        <f>VLOOKUP(B65,'[1]Products by Part Number'!$A:$C,3,0)</f>
        <v>HYDRAULIC FILTER RETURN</v>
      </c>
      <c r="E65" s="69">
        <f>VLOOKUP($B65,'[1]Products by Part Number'!$A:$L,11,0)</f>
        <v>0</v>
      </c>
      <c r="F65" s="70">
        <f>VLOOKUP(B65,'[1]Products by Part Number'!$A:$D,4,0)</f>
        <v>221.11</v>
      </c>
      <c r="G65" s="71">
        <f t="shared" si="1"/>
        <v>0</v>
      </c>
      <c r="H65" s="71">
        <f>VLOOKUP(B65,'[1]Products by Part Number'!$A:$F,6,0)</f>
        <v>110.56</v>
      </c>
      <c r="I65" s="79">
        <f t="shared" si="0"/>
        <v>0</v>
      </c>
    </row>
    <row r="66" spans="2:9" x14ac:dyDescent="0.25">
      <c r="B66" s="78" t="s">
        <v>130</v>
      </c>
      <c r="C66" s="68" t="str">
        <f>VLOOKUP(B66,'[1]Products by Part Number'!$A:$B,2,0)</f>
        <v xml:space="preserve">KOM HM400-5 (1) KOM HM400-5 (2) KOM HM400-5 (3) KOM HM400-5 (4) KOM HM400-5 (5) KOM HM400-5 (6) KOM HM400-5 (7) KOM HM400-5 (8) KOM HM400-5 (9) KOM HM400-5 (10) KOM HM400 (11) KOM HM400 (12) KOM HM400 (13) KOM HM400-5 (14) KOM PC238USLC-11 (2) KOM PC360LC-11 (A37) KOM PC360LC-11 (A39) KOM PC360LC-11 (A39) (2) KOM WA475-10 (120) KOM PC290LC-11 (K73)        </v>
      </c>
      <c r="D66" s="68" t="str">
        <f>VLOOKUP(B66,'[1]Products by Part Number'!$A:$C,3,0)</f>
        <v>HYDRAULIC FILTER TANK</v>
      </c>
      <c r="E66" s="69">
        <f>VLOOKUP($B66,'[1]Products by Part Number'!$A:$L,11,0)</f>
        <v>0</v>
      </c>
      <c r="F66" s="70">
        <f>VLOOKUP(B66,'[1]Products by Part Number'!$A:$D,4,0)</f>
        <v>188.98</v>
      </c>
      <c r="G66" s="71">
        <f t="shared" si="1"/>
        <v>0</v>
      </c>
      <c r="H66" s="71">
        <f>VLOOKUP(B66,'[1]Products by Part Number'!$A:$F,6,0)</f>
        <v>94.49</v>
      </c>
      <c r="I66" s="79">
        <f t="shared" si="0"/>
        <v>0</v>
      </c>
    </row>
    <row r="67" spans="2:9" x14ac:dyDescent="0.25">
      <c r="B67" s="78" t="s">
        <v>131</v>
      </c>
      <c r="C67" s="68" t="str">
        <f>VLOOKUP(B67,'[1]Products by Part Number'!$A:$B,2,0)</f>
        <v xml:space="preserve">KOM HM400-5 (1) KOM HM400-5 (2) KOM HM400-5 (3) KOM HM400-5 (4) KOM HM400-5 (5) KOM HM400-5 (6) KOM HM400-5 (7) KOM HM400-5 (8) KOM HM400-5 (9) KOM HM400-5 (10) KOM HM400 (11) KOM HM400 (12) KOM HM400 (13) KOM HM400-5 (14) KOM PC490LC-11 (A42) KOM PC490LC-11 (A42) (2) KOM PC490LC-11 (A42) (3) KOM PC490LC-11 (A42) (4) KOM PC490LC-11 (A42) (5) KOM PC490LC-11 (A43) KOM PC490LC-11 (KMT) (1) KOM PC490LC-11 (KMT) (2) KOM PC490LC-11 (KMT) (3)  </v>
      </c>
      <c r="D67" s="68" t="str">
        <f>VLOOKUP(B67,'[1]Products by Part Number'!$A:$C,3,0)</f>
        <v>HYDRAULIC FILTER ACCUMULATOR</v>
      </c>
      <c r="E67" s="69">
        <f>VLOOKUP($B67,'[1]Products by Part Number'!$A:$L,11,0)</f>
        <v>0</v>
      </c>
      <c r="F67" s="70">
        <f>VLOOKUP(B67,'[1]Products by Part Number'!$A:$D,4,0)</f>
        <v>259.43</v>
      </c>
      <c r="G67" s="71">
        <f t="shared" si="1"/>
        <v>0</v>
      </c>
      <c r="H67" s="71">
        <f>VLOOKUP(B67,'[1]Products by Part Number'!$A:$F,6,0)</f>
        <v>129.72</v>
      </c>
      <c r="I67" s="79">
        <f t="shared" si="0"/>
        <v>0</v>
      </c>
    </row>
    <row r="68" spans="2:9" x14ac:dyDescent="0.25">
      <c r="B68" s="78" t="s">
        <v>132</v>
      </c>
      <c r="C68" s="68" t="str">
        <f>VLOOKUP(B68,'[1]Products by Part Number'!$A:$B,2,0)</f>
        <v xml:space="preserve">KOM D61PX-24 (B60)                                              </v>
      </c>
      <c r="D68" s="68" t="str">
        <f>VLOOKUP(B68,'[1]Products by Part Number'!$A:$C,3,0)</f>
        <v>HYDRAULIC FILTER</v>
      </c>
      <c r="E68" s="69">
        <f>VLOOKUP($B68,'[1]Products by Part Number'!$A:$L,11,0)</f>
        <v>0</v>
      </c>
      <c r="F68" s="70">
        <f>VLOOKUP(B68,'[1]Products by Part Number'!$A:$D,4,0)</f>
        <v>220.88</v>
      </c>
      <c r="G68" s="71">
        <f t="shared" si="1"/>
        <v>0</v>
      </c>
      <c r="H68" s="71">
        <f>VLOOKUP(B68,'[1]Products by Part Number'!$A:$F,6,0)</f>
        <v>110.44</v>
      </c>
      <c r="I68" s="79">
        <f t="shared" si="0"/>
        <v>0</v>
      </c>
    </row>
    <row r="69" spans="2:9" x14ac:dyDescent="0.25">
      <c r="B69" s="78" t="s">
        <v>39</v>
      </c>
      <c r="C69" s="68" t="str">
        <f>VLOOKUP(B69,'[1]Products by Part Number'!$A:$B,2,0)</f>
        <v xml:space="preserve">CAT 14 (EN4)                                              </v>
      </c>
      <c r="D69" s="68" t="str">
        <f>VLOOKUP(B69,'[1]Products by Part Number'!$A:$C,3,0)</f>
        <v xml:space="preserve">HYDRAULIC FILTER </v>
      </c>
      <c r="E69" s="69">
        <f>VLOOKUP($B69,'[1]Products by Part Number'!$A:$L,11,0)</f>
        <v>0</v>
      </c>
      <c r="F69" s="70">
        <f>VLOOKUP(B69,'[1]Products by Part Number'!$A:$D,4,0)</f>
        <v>197.31</v>
      </c>
      <c r="G69" s="71">
        <f t="shared" si="1"/>
        <v>0</v>
      </c>
      <c r="H69" s="71">
        <f>VLOOKUP(B69,'[1]Products by Part Number'!$A:$F,6,0)</f>
        <v>98.66</v>
      </c>
      <c r="I69" s="79">
        <f t="shared" si="0"/>
        <v>0</v>
      </c>
    </row>
    <row r="70" spans="2:9" x14ac:dyDescent="0.25">
      <c r="B70" s="78" t="s">
        <v>133</v>
      </c>
      <c r="C70" s="68" t="str">
        <f>VLOOKUP(B70,'[1]Products by Part Number'!$A:$B,2,0)</f>
        <v xml:space="preserve">CAT 14 (EN4)                                              </v>
      </c>
      <c r="D70" s="68" t="str">
        <f>VLOOKUP(B70,'[1]Products by Part Number'!$A:$C,3,0)</f>
        <v>HYDRAULIC FILTER</v>
      </c>
      <c r="E70" s="69">
        <f>VLOOKUP($B70,'[1]Products by Part Number'!$A:$L,11,0)</f>
        <v>0</v>
      </c>
      <c r="F70" s="70">
        <f>VLOOKUP(B70,'[1]Products by Part Number'!$A:$D,4,0)</f>
        <v>103.37</v>
      </c>
      <c r="G70" s="71">
        <f t="shared" si="1"/>
        <v>0</v>
      </c>
      <c r="H70" s="71">
        <f>VLOOKUP(B70,'[1]Products by Part Number'!$A:$F,6,0)</f>
        <v>51.69</v>
      </c>
      <c r="I70" s="79">
        <f t="shared" si="0"/>
        <v>0</v>
      </c>
    </row>
    <row r="71" spans="2:9" x14ac:dyDescent="0.25">
      <c r="B71" s="78" t="s">
        <v>134</v>
      </c>
      <c r="C71" s="68" t="str">
        <f>VLOOKUP(B71,'[1]Products by Part Number'!$A:$B,2,0)</f>
        <v xml:space="preserve">KOM WA320-8 (867) KOM WA320PZ-6 (729)                                            </v>
      </c>
      <c r="D71" s="68" t="str">
        <f>VLOOKUP(B71,'[1]Products by Part Number'!$A:$C,3,0)</f>
        <v>HYDRAULIC FILTER</v>
      </c>
      <c r="E71" s="69">
        <f>VLOOKUP($B71,'[1]Products by Part Number'!$A:$L,11,0)</f>
        <v>0</v>
      </c>
      <c r="F71" s="70">
        <f>VLOOKUP(B71,'[1]Products by Part Number'!$A:$D,4,0)</f>
        <v>197.46</v>
      </c>
      <c r="G71" s="71">
        <f t="shared" si="1"/>
        <v>0</v>
      </c>
      <c r="H71" s="71">
        <f>VLOOKUP(B71,'[1]Products by Part Number'!$A:$F,6,0)</f>
        <v>98.73</v>
      </c>
      <c r="I71" s="79">
        <f t="shared" si="0"/>
        <v>0</v>
      </c>
    </row>
    <row r="72" spans="2:9" x14ac:dyDescent="0.25">
      <c r="B72" s="78" t="s">
        <v>135</v>
      </c>
      <c r="C72" s="68" t="str">
        <f>VLOOKUP(B72,'[1]Products by Part Number'!$A:$B,2,0)</f>
        <v xml:space="preserve">CAT 255 CAT 255 (2) CAT 255 (FL7)                                          </v>
      </c>
      <c r="D72" s="68" t="str">
        <f>VLOOKUP(B72,'[1]Products by Part Number'!$A:$C,3,0)</f>
        <v>HYDRAULIC FILTER</v>
      </c>
      <c r="E72" s="69">
        <f>VLOOKUP($B72,'[1]Products by Part Number'!$A:$L,11,0)</f>
        <v>0</v>
      </c>
      <c r="F72" s="70">
        <f>VLOOKUP(B72,'[1]Products by Part Number'!$A:$D,4,0)</f>
        <v>91.89</v>
      </c>
      <c r="G72" s="71">
        <f t="shared" si="1"/>
        <v>0</v>
      </c>
      <c r="H72" s="71">
        <f>VLOOKUP(B72,'[1]Products by Part Number'!$A:$F,6,0)</f>
        <v>45.95</v>
      </c>
      <c r="I72" s="79">
        <f t="shared" si="0"/>
        <v>0</v>
      </c>
    </row>
    <row r="73" spans="2:9" x14ac:dyDescent="0.25">
      <c r="B73" s="78" t="s">
        <v>136</v>
      </c>
      <c r="C73" s="68" t="str">
        <f>VLOOKUP(B73,'[1]Products by Part Number'!$A:$B,2,0)</f>
        <v xml:space="preserve">KOM D71PX-24 (1) KOM D71PX-24 (2) KOM D71PX-24 (3) KOM D71PX-24 (4) KOM D71PX-24 (5) KOM D71PX-24 (6) KOM D71PX-24 (7) KOM WA380-8 (1) KOM WA380-8 (2)                              </v>
      </c>
      <c r="D73" s="68" t="str">
        <f>VLOOKUP(B73,'[1]Products by Part Number'!$A:$C,3,0)</f>
        <v>HYDRAULIC FILTER TANK</v>
      </c>
      <c r="E73" s="69">
        <f>VLOOKUP($B73,'[1]Products by Part Number'!$A:$L,11,0)</f>
        <v>7</v>
      </c>
      <c r="F73" s="70">
        <f>VLOOKUP(B73,'[1]Products by Part Number'!$A:$D,4,0)</f>
        <v>161.15639999999999</v>
      </c>
      <c r="G73" s="71">
        <f t="shared" si="1"/>
        <v>1128.0947999999999</v>
      </c>
      <c r="H73" s="71">
        <f>VLOOKUP(B73,'[1]Products by Part Number'!$A:$F,6,0)</f>
        <v>80.58</v>
      </c>
      <c r="I73" s="79">
        <f t="shared" si="0"/>
        <v>564.05999999999995</v>
      </c>
    </row>
    <row r="74" spans="2:9" x14ac:dyDescent="0.25">
      <c r="B74" s="78" t="s">
        <v>137</v>
      </c>
      <c r="C74" s="68" t="str">
        <f>VLOOKUP(B74,'[1]Products by Part Number'!$A:$B,2,0)</f>
        <v xml:space="preserve">KOM PC138USLC-11 KOM PC238USLC-11 (1)                                            </v>
      </c>
      <c r="D74" s="68" t="str">
        <f>VLOOKUP(B74,'[1]Products by Part Number'!$A:$C,3,0)</f>
        <v>HYDRAULIC FILTER</v>
      </c>
      <c r="E74" s="69">
        <f>VLOOKUP($B74,'[1]Products by Part Number'!$A:$L,11,0)</f>
        <v>0</v>
      </c>
      <c r="F74" s="70">
        <f>VLOOKUP(B74,'[1]Products by Part Number'!$A:$D,4,0)</f>
        <v>164.32</v>
      </c>
      <c r="G74" s="71">
        <f t="shared" si="1"/>
        <v>0</v>
      </c>
      <c r="H74" s="71">
        <f>VLOOKUP(B74,'[1]Products by Part Number'!$A:$F,6,0)</f>
        <v>82.16</v>
      </c>
      <c r="I74" s="79">
        <f t="shared" si="0"/>
        <v>0</v>
      </c>
    </row>
    <row r="75" spans="2:9" x14ac:dyDescent="0.25">
      <c r="B75" s="78" t="s">
        <v>138</v>
      </c>
      <c r="C75" s="68" t="str">
        <f>VLOOKUP(B75,'[1]Products by Part Number'!$A:$B,2,0)</f>
        <v xml:space="preserve">CAT 329EL (ZCD)                                              </v>
      </c>
      <c r="D75" s="68" t="str">
        <f>VLOOKUP(B75,'[1]Products by Part Number'!$A:$C,3,0)</f>
        <v>HYDRAULIC FILTER PILOT</v>
      </c>
      <c r="E75" s="69">
        <f>VLOOKUP($B75,'[1]Products by Part Number'!$A:$L,11,0)</f>
        <v>0</v>
      </c>
      <c r="F75" s="70">
        <f>VLOOKUP(B75,'[1]Products by Part Number'!$A:$D,4,0)</f>
        <v>102.89</v>
      </c>
      <c r="G75" s="71">
        <f t="shared" si="1"/>
        <v>0</v>
      </c>
      <c r="H75" s="71">
        <f>VLOOKUP(B75,'[1]Products by Part Number'!$A:$F,6,0)</f>
        <v>51.45</v>
      </c>
      <c r="I75" s="79">
        <f t="shared" si="0"/>
        <v>0</v>
      </c>
    </row>
    <row r="76" spans="2:9" x14ac:dyDescent="0.25">
      <c r="B76" s="78" t="s">
        <v>139</v>
      </c>
      <c r="C76" s="68" t="str">
        <f>VLOOKUP(B76,'[1]Products by Part Number'!$A:$B,2,0)</f>
        <v xml:space="preserve">JD 333G (1T0)                                              </v>
      </c>
      <c r="D76" s="68" t="str">
        <f>VLOOKUP(B76,'[1]Products by Part Number'!$A:$C,3,0)</f>
        <v>HYDRAULIC FILTER</v>
      </c>
      <c r="E76" s="69">
        <f>VLOOKUP($B76,'[1]Products by Part Number'!$A:$L,11,0)</f>
        <v>0</v>
      </c>
      <c r="F76" s="70">
        <f>VLOOKUP(B76,'[1]Products by Part Number'!$A:$D,4,0)</f>
        <v>131.1138</v>
      </c>
      <c r="G76" s="71">
        <f t="shared" si="1"/>
        <v>0</v>
      </c>
      <c r="H76" s="71">
        <f>VLOOKUP(B76,'[1]Products by Part Number'!$A:$F,6,0)</f>
        <v>65.56</v>
      </c>
      <c r="I76" s="79">
        <f t="shared" si="0"/>
        <v>0</v>
      </c>
    </row>
    <row r="77" spans="2:9" x14ac:dyDescent="0.25">
      <c r="B77" s="78" t="s">
        <v>140</v>
      </c>
      <c r="C77" s="68" t="str">
        <f>VLOOKUP(B77,'[1]Products by Part Number'!$A:$B,2,0)</f>
        <v xml:space="preserve">JD 764 (100)                                              </v>
      </c>
      <c r="D77" s="68" t="str">
        <f>VLOOKUP(B77,'[1]Products by Part Number'!$A:$C,3,0)</f>
        <v>HYDRAULIC FILTER</v>
      </c>
      <c r="E77" s="69">
        <f>VLOOKUP($B77,'[1]Products by Part Number'!$A:$L,11,0)</f>
        <v>0</v>
      </c>
      <c r="F77" s="70">
        <f>VLOOKUP(B77,'[1]Products by Part Number'!$A:$D,4,0)</f>
        <v>178.50299999999999</v>
      </c>
      <c r="G77" s="71">
        <f t="shared" si="1"/>
        <v>0</v>
      </c>
      <c r="H77" s="71">
        <f>VLOOKUP(B77,'[1]Products by Part Number'!$A:$F,6,0)</f>
        <v>89.25</v>
      </c>
      <c r="I77" s="79">
        <f t="shared" si="0"/>
        <v>0</v>
      </c>
    </row>
    <row r="78" spans="2:9" x14ac:dyDescent="0.25">
      <c r="B78" s="78" t="s">
        <v>141</v>
      </c>
      <c r="C78" s="68" t="str">
        <f>VLOOKUP(B78,'[1]Products by Part Number'!$A:$B,2,0)</f>
        <v xml:space="preserve">JD 333G (1T0)                                              </v>
      </c>
      <c r="D78" s="68" t="str">
        <f>VLOOKUP(B78,'[1]Products by Part Number'!$A:$C,3,0)</f>
        <v>HYDRAULIC FILTER</v>
      </c>
      <c r="E78" s="69">
        <f>VLOOKUP($B78,'[1]Products by Part Number'!$A:$L,11,0)</f>
        <v>0</v>
      </c>
      <c r="F78" s="70">
        <f>VLOOKUP(B78,'[1]Products by Part Number'!$A:$D,4,0)</f>
        <v>168.56700000000001</v>
      </c>
      <c r="G78" s="71">
        <f t="shared" si="1"/>
        <v>0</v>
      </c>
      <c r="H78" s="71">
        <f>VLOOKUP(B78,'[1]Products by Part Number'!$A:$F,6,0)</f>
        <v>84.28</v>
      </c>
      <c r="I78" s="79">
        <f t="shared" si="0"/>
        <v>0</v>
      </c>
    </row>
    <row r="79" spans="2:9" x14ac:dyDescent="0.25">
      <c r="B79" s="78" t="s">
        <v>142</v>
      </c>
      <c r="C79" s="68" t="str">
        <f>VLOOKUP(B79,'[1]Products by Part Number'!$A:$B,2,0)</f>
        <v xml:space="preserve">JD 470P (1FF)                                              </v>
      </c>
      <c r="D79" s="68" t="str">
        <f>VLOOKUP(B79,'[1]Products by Part Number'!$A:$C,3,0)</f>
        <v>HYDRAULIC FILTER CASE DRAIN</v>
      </c>
      <c r="E79" s="69">
        <f>VLOOKUP($B79,'[1]Products by Part Number'!$A:$L,11,0)</f>
        <v>0</v>
      </c>
      <c r="F79" s="70">
        <f>VLOOKUP(B79,'[1]Products by Part Number'!$A:$D,4,0)</f>
        <v>49.252199999999995</v>
      </c>
      <c r="G79" s="71">
        <f t="shared" si="1"/>
        <v>0</v>
      </c>
      <c r="H79" s="71">
        <f>VLOOKUP(B79,'[1]Products by Part Number'!$A:$F,6,0)</f>
        <v>24.63</v>
      </c>
      <c r="I79" s="79">
        <f t="shared" ref="I79:I129" si="2">ROUND(E79*H79,2)</f>
        <v>0</v>
      </c>
    </row>
    <row r="80" spans="2:9" x14ac:dyDescent="0.25">
      <c r="B80" s="78" t="s">
        <v>143</v>
      </c>
      <c r="C80" s="68" t="str">
        <f>VLOOKUP(B80,'[1]Products by Part Number'!$A:$B,2,0)</f>
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</c>
      <c r="D80" s="68" t="str">
        <f>VLOOKUP(B80,'[1]Products by Part Number'!$A:$C,3,0)</f>
        <v>FUEL FILTER</v>
      </c>
      <c r="E80" s="69">
        <f>VLOOKUP($B80,'[1]Products by Part Number'!$A:$L,11,0)</f>
        <v>9</v>
      </c>
      <c r="F80" s="70">
        <f>VLOOKUP(B80,'[1]Products by Part Number'!$A:$D,4,0)</f>
        <v>69.17</v>
      </c>
      <c r="G80" s="71">
        <f t="shared" ref="G80:G122" si="3">E80*F80</f>
        <v>622.53</v>
      </c>
      <c r="H80" s="71">
        <f>VLOOKUP(B80,'[1]Products by Part Number'!$A:$F,6,0)</f>
        <v>34.590000000000003</v>
      </c>
      <c r="I80" s="79">
        <f t="shared" si="2"/>
        <v>311.31</v>
      </c>
    </row>
    <row r="81" spans="2:9" x14ac:dyDescent="0.25">
      <c r="B81" s="78" t="s">
        <v>144</v>
      </c>
      <c r="C81" s="68" t="str">
        <f>VLOOKUP(B81,'[1]Products by Part Number'!$A:$B,2,0)</f>
        <v xml:space="preserve">KOM WA475-10 (120)                                              </v>
      </c>
      <c r="D81" s="68" t="str">
        <f>VLOOKUP(B81,'[1]Products by Part Number'!$A:$C,3,0)</f>
        <v>TRANSMISSION FILTER</v>
      </c>
      <c r="E81" s="69">
        <f>VLOOKUP($B81,'[1]Products by Part Number'!$A:$L,11,0)</f>
        <v>0</v>
      </c>
      <c r="F81" s="70">
        <f>VLOOKUP(B81,'[1]Products by Part Number'!$A:$D,4,0)</f>
        <v>200.94</v>
      </c>
      <c r="G81" s="71">
        <f t="shared" si="3"/>
        <v>0</v>
      </c>
      <c r="H81" s="71">
        <f>VLOOKUP(B81,'[1]Products by Part Number'!$A:$F,6,0)</f>
        <v>100.47</v>
      </c>
      <c r="I81" s="79">
        <f t="shared" si="2"/>
        <v>0</v>
      </c>
    </row>
    <row r="82" spans="2:9" x14ac:dyDescent="0.25">
      <c r="B82" s="78" t="s">
        <v>145</v>
      </c>
      <c r="C82" s="68" t="str">
        <f>VLOOKUP(B82,'[1]Products by Part Number'!$A:$B,2,0)</f>
        <v xml:space="preserve">CAT 329EL (ZCD)                                              </v>
      </c>
      <c r="D82" s="68" t="str">
        <f>VLOOKUP(B82,'[1]Products by Part Number'!$A:$C,3,0)</f>
        <v>ENGINE OIL FILTER</v>
      </c>
      <c r="E82" s="69">
        <f>VLOOKUP($B82,'[1]Products by Part Number'!$A:$L,11,0)</f>
        <v>1</v>
      </c>
      <c r="F82" s="70">
        <f>VLOOKUP(B82,'[1]Products by Part Number'!$A:$D,4,0)</f>
        <v>42.63</v>
      </c>
      <c r="G82" s="71">
        <f t="shared" si="3"/>
        <v>42.63</v>
      </c>
      <c r="H82" s="71">
        <f>VLOOKUP(B82,'[1]Products by Part Number'!$A:$F,6,0)</f>
        <v>21.32</v>
      </c>
      <c r="I82" s="79">
        <f t="shared" si="2"/>
        <v>21.32</v>
      </c>
    </row>
    <row r="83" spans="2:9" x14ac:dyDescent="0.25">
      <c r="B83" s="78" t="s">
        <v>146</v>
      </c>
      <c r="C83" s="68" t="str">
        <f>VLOOKUP(B83,'[1]Products by Part Number'!$A:$B,2,0)</f>
        <v xml:space="preserve">CAT 329EL (ZCD) CAT TL1055C (KDE)                                            </v>
      </c>
      <c r="D83" s="68" t="str">
        <f>VLOOKUP(B83,'[1]Products by Part Number'!$A:$C,3,0)</f>
        <v>FUEL FILTER</v>
      </c>
      <c r="E83" s="69">
        <f>VLOOKUP($B83,'[1]Products by Part Number'!$A:$L,11,0)</f>
        <v>2</v>
      </c>
      <c r="F83" s="70">
        <f>VLOOKUP(B83,'[1]Products by Part Number'!$A:$D,4,0)</f>
        <v>50.09</v>
      </c>
      <c r="G83" s="71">
        <f t="shared" si="3"/>
        <v>100.18</v>
      </c>
      <c r="H83" s="71">
        <f>VLOOKUP(B83,'[1]Products by Part Number'!$A:$F,6,0)</f>
        <v>25.05</v>
      </c>
      <c r="I83" s="79">
        <f t="shared" si="2"/>
        <v>50.1</v>
      </c>
    </row>
    <row r="84" spans="2:9" x14ac:dyDescent="0.25">
      <c r="B84" s="78" t="s">
        <v>147</v>
      </c>
      <c r="C84" s="68" t="str">
        <f>VLOOKUP(B84,'[1]Products by Part Number'!$A:$B,2,0)</f>
        <v xml:space="preserve">KOM WA320-8 (867) KOM WA320PZ-6 (729)                                            </v>
      </c>
      <c r="D84" s="68" t="str">
        <f>VLOOKUP(B84,'[1]Products by Part Number'!$A:$C,3,0)</f>
        <v>TRANSMISSION FILTER</v>
      </c>
      <c r="E84" s="69">
        <f>VLOOKUP($B84,'[1]Products by Part Number'!$A:$L,11,0)</f>
        <v>0</v>
      </c>
      <c r="F84" s="70">
        <f>VLOOKUP(B84,'[1]Products by Part Number'!$A:$D,4,0)</f>
        <v>106.91</v>
      </c>
      <c r="G84" s="71">
        <f t="shared" si="3"/>
        <v>0</v>
      </c>
      <c r="H84" s="71">
        <f>VLOOKUP(B84,'[1]Products by Part Number'!$A:$F,6,0)</f>
        <v>53.46</v>
      </c>
      <c r="I84" s="79">
        <f t="shared" si="2"/>
        <v>0</v>
      </c>
    </row>
    <row r="85" spans="2:9" x14ac:dyDescent="0.25">
      <c r="B85" s="78" t="s">
        <v>148</v>
      </c>
      <c r="C85" s="68" t="str">
        <f>VLOOKUP(B85,'[1]Products by Part Number'!$A:$B,2,0)</f>
        <v xml:space="preserve">KOM WA320-8 (867) KOM WA320PZ-6 (729)                                            </v>
      </c>
      <c r="D85" s="68" t="str">
        <f>VLOOKUP(B85,'[1]Products by Part Number'!$A:$C,3,0)</f>
        <v>CAB FILTER</v>
      </c>
      <c r="E85" s="69">
        <f>VLOOKUP($B85,'[1]Products by Part Number'!$A:$L,11,0)</f>
        <v>0</v>
      </c>
      <c r="F85" s="70">
        <f>VLOOKUP(B85,'[1]Products by Part Number'!$A:$D,4,0)</f>
        <v>162.04</v>
      </c>
      <c r="G85" s="71">
        <f t="shared" si="3"/>
        <v>0</v>
      </c>
      <c r="H85" s="71">
        <f>VLOOKUP(B85,'[1]Products by Part Number'!$A:$F,6,0)</f>
        <v>105.33</v>
      </c>
      <c r="I85" s="79">
        <f t="shared" si="2"/>
        <v>0</v>
      </c>
    </row>
    <row r="86" spans="2:9" x14ac:dyDescent="0.25">
      <c r="B86" s="78" t="s">
        <v>149</v>
      </c>
      <c r="C86" s="68" t="str">
        <f>VLOOKUP(B86,'[1]Products by Part Number'!$A:$B,2,0)</f>
        <v xml:space="preserve">CAT 14 (EN4)                                              </v>
      </c>
      <c r="D86" s="68" t="str">
        <f>VLOOKUP(B86,'[1]Products by Part Number'!$A:$C,3,0)</f>
        <v>FUEL/WATER SEPERATOR</v>
      </c>
      <c r="E86" s="69">
        <f>VLOOKUP($B86,'[1]Products by Part Number'!$A:$L,11,0)</f>
        <v>1</v>
      </c>
      <c r="F86" s="70">
        <f>VLOOKUP(B86,'[1]Products by Part Number'!$A:$D,4,0)</f>
        <v>86.8</v>
      </c>
      <c r="G86" s="71">
        <f t="shared" si="3"/>
        <v>86.8</v>
      </c>
      <c r="H86" s="71">
        <f>VLOOKUP(B86,'[1]Products by Part Number'!$A:$F,6,0)</f>
        <v>43.4</v>
      </c>
      <c r="I86" s="79">
        <f t="shared" si="2"/>
        <v>43.4</v>
      </c>
    </row>
    <row r="87" spans="2:9" x14ac:dyDescent="0.25">
      <c r="B87" s="78" t="s">
        <v>150</v>
      </c>
      <c r="C87" s="68" t="str">
        <f>VLOOKUP(B87,'[1]Products by Part Number'!$A:$B,2,0)</f>
        <v xml:space="preserve">CAT TL1055C (KDE)                                              </v>
      </c>
      <c r="D87" s="68" t="str">
        <f>VLOOKUP(B87,'[1]Products by Part Number'!$A:$C,3,0)</f>
        <v>TRANSMISSION FILTER</v>
      </c>
      <c r="E87" s="69">
        <f>VLOOKUP($B87,'[1]Products by Part Number'!$A:$L,11,0)</f>
        <v>0</v>
      </c>
      <c r="F87" s="70">
        <f>VLOOKUP(B87,'[1]Products by Part Number'!$A:$D,4,0)</f>
        <v>54.46</v>
      </c>
      <c r="G87" s="71">
        <f t="shared" si="3"/>
        <v>0</v>
      </c>
      <c r="H87" s="71">
        <f>VLOOKUP(B87,'[1]Products by Part Number'!$A:$F,6,0)</f>
        <v>27.23</v>
      </c>
      <c r="I87" s="79">
        <f t="shared" si="2"/>
        <v>0</v>
      </c>
    </row>
    <row r="88" spans="2:9" x14ac:dyDescent="0.25">
      <c r="B88" s="78" t="s">
        <v>151</v>
      </c>
      <c r="C88" s="68" t="str">
        <f>VLOOKUP(B88,'[1]Products by Part Number'!$A:$B,2,0)</f>
        <v xml:space="preserve">CAT 329EL (ZCD)                                              </v>
      </c>
      <c r="D88" s="68" t="str">
        <f>VLOOKUP(B88,'[1]Products by Part Number'!$A:$C,3,0)</f>
        <v>FUEL/WATER SEPERATOR</v>
      </c>
      <c r="E88" s="69">
        <f>VLOOKUP($B88,'[1]Products by Part Number'!$A:$L,11,0)</f>
        <v>1</v>
      </c>
      <c r="F88" s="70">
        <f>VLOOKUP(B88,'[1]Products by Part Number'!$A:$D,4,0)</f>
        <v>76.150000000000006</v>
      </c>
      <c r="G88" s="71">
        <f t="shared" si="3"/>
        <v>76.150000000000006</v>
      </c>
      <c r="H88" s="71">
        <f>VLOOKUP(B88,'[1]Products by Part Number'!$A:$F,6,0)</f>
        <v>38.08</v>
      </c>
      <c r="I88" s="79">
        <f t="shared" si="2"/>
        <v>38.08</v>
      </c>
    </row>
    <row r="89" spans="2:9" x14ac:dyDescent="0.25">
      <c r="B89" s="78" t="s">
        <v>152</v>
      </c>
      <c r="C89" s="68" t="str">
        <f>VLOOKUP(B89,'[1]Products by Part Number'!$A:$B,2,0)</f>
        <v xml:space="preserve">CAT TL1055C (KDE)                                              </v>
      </c>
      <c r="D89" s="68" t="str">
        <f>VLOOKUP(B89,'[1]Products by Part Number'!$A:$C,3,0)</f>
        <v>FUEL/WATER SEPERATOR</v>
      </c>
      <c r="E89" s="69">
        <f>VLOOKUP($B89,'[1]Products by Part Number'!$A:$L,11,0)</f>
        <v>1</v>
      </c>
      <c r="F89" s="70">
        <f>VLOOKUP(B89,'[1]Products by Part Number'!$A:$D,4,0)</f>
        <v>72.33</v>
      </c>
      <c r="G89" s="71">
        <f t="shared" si="3"/>
        <v>72.33</v>
      </c>
      <c r="H89" s="71">
        <f>VLOOKUP(B89,'[1]Products by Part Number'!$A:$F,6,0)</f>
        <v>36.17</v>
      </c>
      <c r="I89" s="79">
        <f t="shared" si="2"/>
        <v>36.17</v>
      </c>
    </row>
    <row r="90" spans="2:9" x14ac:dyDescent="0.25">
      <c r="B90" s="78" t="s">
        <v>153</v>
      </c>
      <c r="C90" s="68" t="str">
        <f>VLOOKUP(B90,'[1]Products by Part Number'!$A:$B,2,0)</f>
        <v xml:space="preserve">CAT 14 (EN4)                                              </v>
      </c>
      <c r="D90" s="68" t="str">
        <f>VLOOKUP(B90,'[1]Products by Part Number'!$A:$C,3,0)</f>
        <v>FUEL FILTER</v>
      </c>
      <c r="E90" s="69">
        <f>VLOOKUP($B90,'[1]Products by Part Number'!$A:$L,11,0)</f>
        <v>2</v>
      </c>
      <c r="F90" s="70">
        <f>VLOOKUP(B90,'[1]Products by Part Number'!$A:$D,4,0)</f>
        <v>47.23</v>
      </c>
      <c r="G90" s="71">
        <f t="shared" si="3"/>
        <v>94.46</v>
      </c>
      <c r="H90" s="71">
        <f>VLOOKUP(B90,'[1]Products by Part Number'!$A:$F,6,0)</f>
        <v>23.62</v>
      </c>
      <c r="I90" s="79">
        <f t="shared" si="2"/>
        <v>47.24</v>
      </c>
    </row>
    <row r="91" spans="2:9" x14ac:dyDescent="0.25">
      <c r="B91" s="78" t="s">
        <v>154</v>
      </c>
      <c r="C91" s="68" t="str">
        <f>VLOOKUP(B91,'[1]Products by Part Number'!$A:$B,2,0)</f>
        <v xml:space="preserve">CAT 14 (EN4)                                              </v>
      </c>
      <c r="D91" s="68" t="str">
        <f>VLOOKUP(B91,'[1]Products by Part Number'!$A:$C,3,0)</f>
        <v>ENGINE OIL FILTER</v>
      </c>
      <c r="E91" s="69">
        <f>VLOOKUP($B91,'[1]Products by Part Number'!$A:$L,11,0)</f>
        <v>1</v>
      </c>
      <c r="F91" s="70">
        <f>VLOOKUP(B91,'[1]Products by Part Number'!$A:$D,4,0)</f>
        <v>75.31</v>
      </c>
      <c r="G91" s="71">
        <f t="shared" si="3"/>
        <v>75.31</v>
      </c>
      <c r="H91" s="71">
        <f>VLOOKUP(B91,'[1]Products by Part Number'!$A:$F,6,0)</f>
        <v>37.659999999999997</v>
      </c>
      <c r="I91" s="79">
        <f t="shared" si="2"/>
        <v>37.659999999999997</v>
      </c>
    </row>
    <row r="92" spans="2:9" x14ac:dyDescent="0.25">
      <c r="B92" s="78" t="s">
        <v>155</v>
      </c>
      <c r="C92" s="68" t="str">
        <f>VLOOKUP(B92,'[1]Products by Part Number'!$A:$B,2,0)</f>
        <v xml:space="preserve">CAT 255 CAT 255 (2) CAT 255 (FL7)                                          </v>
      </c>
      <c r="D92" s="68" t="str">
        <f>VLOOKUP(B92,'[1]Products by Part Number'!$A:$C,3,0)</f>
        <v>FUEL/WATER SEPERATOR</v>
      </c>
      <c r="E92" s="69">
        <f>VLOOKUP($B92,'[1]Products by Part Number'!$A:$L,11,0)</f>
        <v>3</v>
      </c>
      <c r="F92" s="70">
        <f>VLOOKUP(B92,'[1]Products by Part Number'!$A:$D,4,0)</f>
        <v>77.34</v>
      </c>
      <c r="G92" s="71">
        <f t="shared" si="3"/>
        <v>232.02</v>
      </c>
      <c r="H92" s="71">
        <f>VLOOKUP(B92,'[1]Products by Part Number'!$A:$F,6,0)</f>
        <v>38.67</v>
      </c>
      <c r="I92" s="79">
        <f t="shared" si="2"/>
        <v>116.01</v>
      </c>
    </row>
    <row r="93" spans="2:9" x14ac:dyDescent="0.25">
      <c r="B93" s="78" t="s">
        <v>156</v>
      </c>
      <c r="C93" s="68" t="str">
        <f>VLOOKUP(B93,'[1]Products by Part Number'!$A:$B,2,0)</f>
        <v xml:space="preserve">KOM WA380-8 (1) KOM WA380-8 (2)                                            </v>
      </c>
      <c r="D93" s="68" t="str">
        <f>VLOOKUP(B93,'[1]Products by Part Number'!$A:$C,3,0)</f>
        <v>TRANSMISSION FILTER</v>
      </c>
      <c r="E93" s="69">
        <f>VLOOKUP($B93,'[1]Products by Part Number'!$A:$L,11,0)</f>
        <v>0</v>
      </c>
      <c r="F93" s="70">
        <f>VLOOKUP(B93,'[1]Products by Part Number'!$A:$D,4,0)</f>
        <v>415.83</v>
      </c>
      <c r="G93" s="71">
        <f t="shared" si="3"/>
        <v>0</v>
      </c>
      <c r="H93" s="71">
        <f>VLOOKUP(B93,'[1]Products by Part Number'!$A:$F,6,0)</f>
        <v>207.92</v>
      </c>
      <c r="I93" s="79">
        <f t="shared" si="2"/>
        <v>0</v>
      </c>
    </row>
    <row r="94" spans="2:9" x14ac:dyDescent="0.25">
      <c r="B94" s="78" t="s">
        <v>157</v>
      </c>
      <c r="C94" s="68" t="str">
        <f>VLOOKUP(B94,'[1]Products by Part Number'!$A:$B,2,0)</f>
        <v xml:space="preserve">CAT 255 CAT 255 (2) CAT 255 (FL7)                                          </v>
      </c>
      <c r="D94" s="68" t="str">
        <f>VLOOKUP(B94,'[1]Products by Part Number'!$A:$C,3,0)</f>
        <v>ENGINE OIL FILTER</v>
      </c>
      <c r="E94" s="69">
        <f>VLOOKUP($B94,'[1]Products by Part Number'!$A:$L,11,0)</f>
        <v>3</v>
      </c>
      <c r="F94" s="70">
        <f>VLOOKUP(B94,'[1]Products by Part Number'!$A:$D,4,0)</f>
        <v>54.67</v>
      </c>
      <c r="G94" s="71">
        <f t="shared" si="3"/>
        <v>164.01</v>
      </c>
      <c r="H94" s="71">
        <f>VLOOKUP(B94,'[1]Products by Part Number'!$A:$F,6,0)</f>
        <v>27.34</v>
      </c>
      <c r="I94" s="79">
        <f t="shared" si="2"/>
        <v>82.02</v>
      </c>
    </row>
    <row r="95" spans="2:9" x14ac:dyDescent="0.25">
      <c r="B95" s="78" t="s">
        <v>158</v>
      </c>
      <c r="C95" s="68" t="str">
        <f>VLOOKUP(B95,'[1]Products by Part Number'!$A:$B,2,0)</f>
        <v xml:space="preserve">KOM PC490LC-11 (A42) KOM PC490LC-11 (A42) (2) KOM PC490LC-11 (A42) (3) KOM PC490LC-11 (A42) (4) KOM PC490LC-11 (A42) (5) KOM PC490LC-11 (A43) KOM PC490LC-11 (KMT) (1) KOM PC490LC-11 (KMT) (2) KOM PC490LC-11 (KMT) (3) KOM WA475-10 (120)                            </v>
      </c>
      <c r="D95" s="68" t="str">
        <f>VLOOKUP(B95,'[1]Products by Part Number'!$A:$C,3,0)</f>
        <v>ENGINE OIL FILTER</v>
      </c>
      <c r="E95" s="69">
        <f>VLOOKUP($B95,'[1]Products by Part Number'!$A:$L,11,0)</f>
        <v>10</v>
      </c>
      <c r="F95" s="70">
        <f>VLOOKUP(B95,'[1]Products by Part Number'!$A:$D,4,0)</f>
        <v>161.84</v>
      </c>
      <c r="G95" s="71">
        <f t="shared" si="3"/>
        <v>1618.4</v>
      </c>
      <c r="H95" s="71">
        <f>VLOOKUP(B95,'[1]Products by Part Number'!$A:$F,6,0)</f>
        <v>80.92</v>
      </c>
      <c r="I95" s="79">
        <f t="shared" si="2"/>
        <v>809.2</v>
      </c>
    </row>
    <row r="96" spans="2:9" x14ac:dyDescent="0.25">
      <c r="B96" s="78" t="s">
        <v>159</v>
      </c>
      <c r="C96" s="68" t="str">
        <f>VLOOKUP(B96,'[1]Products by Part Number'!$A:$B,2,0)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96" s="68" t="str">
        <f>VLOOKUP(B96,'[1]Products by Part Number'!$A:$C,3,0)</f>
        <v>ENGINE OIL FILTER</v>
      </c>
      <c r="E96" s="69">
        <f>VLOOKUP($B96,'[1]Products by Part Number'!$A:$L,11,0)</f>
        <v>14</v>
      </c>
      <c r="F96" s="70">
        <f>VLOOKUP(B96,'[1]Products by Part Number'!$A:$D,4,0)</f>
        <v>161.84</v>
      </c>
      <c r="G96" s="71">
        <f t="shared" si="3"/>
        <v>2265.7600000000002</v>
      </c>
      <c r="H96" s="71">
        <f>VLOOKUP(B96,'[1]Products by Part Number'!$A:$F,6,0)</f>
        <v>80.92</v>
      </c>
      <c r="I96" s="79">
        <f t="shared" si="2"/>
        <v>1132.8800000000001</v>
      </c>
    </row>
    <row r="97" spans="2:9" x14ac:dyDescent="0.25">
      <c r="B97" s="78" t="s">
        <v>160</v>
      </c>
      <c r="C97" s="68" t="str">
        <f>VLOOKUP(B97,'[1]Products by Part Number'!$A:$B,2,0)</f>
        <v xml:space="preserve">KOM PC138USLC-11 KOM PC238USLC-11 (1)                                            </v>
      </c>
      <c r="D97" s="68" t="str">
        <f>VLOOKUP(B97,'[1]Products by Part Number'!$A:$C,3,0)</f>
        <v>ENGINE OIL FILTER</v>
      </c>
      <c r="E97" s="69">
        <f>VLOOKUP($B97,'[1]Products by Part Number'!$A:$L,11,0)</f>
        <v>2</v>
      </c>
      <c r="F97" s="70">
        <f>VLOOKUP(B97,'[1]Products by Part Number'!$A:$D,4,0)</f>
        <v>27.53</v>
      </c>
      <c r="G97" s="71">
        <f t="shared" si="3"/>
        <v>55.06</v>
      </c>
      <c r="H97" s="71">
        <f>VLOOKUP(B97,'[1]Products by Part Number'!$A:$F,6,0)</f>
        <v>13.77</v>
      </c>
      <c r="I97" s="79">
        <f t="shared" si="2"/>
        <v>27.54</v>
      </c>
    </row>
    <row r="98" spans="2:9" x14ac:dyDescent="0.25">
      <c r="B98" s="78" t="s">
        <v>161</v>
      </c>
      <c r="C98" s="68" t="str">
        <f>VLOOKUP(B98,'[1]Products by Part Number'!$A:$B,2,0)</f>
        <v xml:space="preserve">KOM D71PX-24 (1) KOM D71PX-24 (2) KOM D71PX-24 (3) KOM D71PX-24 (4) KOM D71PX-24 (5) KOM D71PX-24 (6) KOM D71PX-24 (7) KOM PC238USLC-11 (2) KOM WA380-8 (1) KOM WA380-8 (2) KOM WA320-8 (867) KOM WA320PZ-6 (729) KOM PC360LC-11 (A37) KOM PC360LC-11 (A39) KOM PC360LC-11 (A39) (2) KOM PC290LC-11 (K73) KOM D61PX-24 (B60)              </v>
      </c>
      <c r="D98" s="68" t="str">
        <f>VLOOKUP(B98,'[1]Products by Part Number'!$A:$C,3,0)</f>
        <v>FUEL FILTER</v>
      </c>
      <c r="E98" s="69">
        <f>VLOOKUP($B98,'[1]Products by Part Number'!$A:$L,11,0)</f>
        <v>17</v>
      </c>
      <c r="F98" s="70">
        <f>VLOOKUP(B98,'[1]Products by Part Number'!$A:$D,4,0)</f>
        <v>275.9862</v>
      </c>
      <c r="G98" s="71">
        <f t="shared" si="3"/>
        <v>4691.7654000000002</v>
      </c>
      <c r="H98" s="71">
        <f>VLOOKUP(B98,'[1]Products by Part Number'!$A:$F,6,0)</f>
        <v>137.99</v>
      </c>
      <c r="I98" s="79">
        <f t="shared" si="2"/>
        <v>2345.83</v>
      </c>
    </row>
    <row r="99" spans="2:9" x14ac:dyDescent="0.25">
      <c r="B99" s="78" t="s">
        <v>162</v>
      </c>
      <c r="C99" s="68" t="str">
        <f>VLOOKUP(B99,'[1]Products by Part Number'!$A:$B,2,0)</f>
        <v xml:space="preserve">KOM D71PX-24 (1) KOM D71PX-24 (2) KOM D71PX-24 (3) KOM D71PX-24 (4) KOM D71PX-24 (5) KOM D71PX-24 (6) KOM D71PX-24 (7) KOM PC238USLC-11 (2) KOM WA380-8 (1) KOM WA380-8 (2) KOM WA320-8 (867) KOM WA320PZ-6 (729) KOM PC360LC-11 (A37) KOM PC360LC-11 (A39) KOM PC360LC-11 (A39) (2) KOM PC290LC-11 (K73) KOM D61PX-24 (B60)              </v>
      </c>
      <c r="D99" s="68" t="str">
        <f>VLOOKUP(B99,'[1]Products by Part Number'!$A:$C,3,0)</f>
        <v>FUEL FILTER</v>
      </c>
      <c r="E99" s="69">
        <f>VLOOKUP($B99,'[1]Products by Part Number'!$A:$L,11,0)</f>
        <v>12</v>
      </c>
      <c r="F99" s="70">
        <f>VLOOKUP(B99,'[1]Products by Part Number'!$A:$D,4,0)</f>
        <v>61.975799999999992</v>
      </c>
      <c r="G99" s="71">
        <f t="shared" si="3"/>
        <v>743.70959999999991</v>
      </c>
      <c r="H99" s="71">
        <f>VLOOKUP(B99,'[1]Products by Part Number'!$A:$F,6,0)</f>
        <v>30.99</v>
      </c>
      <c r="I99" s="79">
        <f t="shared" si="2"/>
        <v>371.88</v>
      </c>
    </row>
    <row r="100" spans="2:9" x14ac:dyDescent="0.25">
      <c r="B100" s="78" t="s">
        <v>163</v>
      </c>
      <c r="C100" s="68" t="str">
        <f>VLOOKUP(B100,'[1]Products by Part Number'!$A:$B,2,0)</f>
        <v>KOM HM400-5 (1) KOM HM400-5 (2) KOM HM400-5 (3) KOM HM400-5 (4) KOM HM400-5 (5) KOM HM400-5 (6) KOM HM400-5 (7) KOM HM400-5 (8) KOM HM400-5 (9) KOM HM400-5 (10) KOM HM400 (11) KOM HM400 (12) KOM HM400 (13) KOM HM400-5 (14) KOM PC490LC-11 (A42) KOM PC490LC-11 (A42) (2) KOM PC490LC-11 (A42) (3) KOM PC490LC-11 (A42) (4) KOM PC490LC-11 (A42) (5) KOM PC490LC-11 (A43) KOM PC490LC-11 (KMT) (1) KOM PC490LC-11 (KMT) (2) KOM PC490LC-11 (KMT) (3) KOM WA475-10 (120)</v>
      </c>
      <c r="D100" s="68" t="str">
        <f>VLOOKUP(B100,'[1]Products by Part Number'!$A:$C,3,0)</f>
        <v>FUEL FILTER</v>
      </c>
      <c r="E100" s="69">
        <f>VLOOKUP($B100,'[1]Products by Part Number'!$A:$L,11,0)</f>
        <v>15</v>
      </c>
      <c r="F100" s="70">
        <f>VLOOKUP(B100,'[1]Products by Part Number'!$A:$D,4,0)</f>
        <v>198.95</v>
      </c>
      <c r="G100" s="71">
        <f t="shared" si="3"/>
        <v>2984.25</v>
      </c>
      <c r="H100" s="71">
        <f>VLOOKUP(B100,'[1]Products by Part Number'!$A:$F,6,0)</f>
        <v>99.48</v>
      </c>
      <c r="I100" s="79">
        <f t="shared" si="2"/>
        <v>1492.2</v>
      </c>
    </row>
    <row r="101" spans="2:9" x14ac:dyDescent="0.25">
      <c r="B101" s="78" t="s">
        <v>164</v>
      </c>
      <c r="C101" s="68" t="str">
        <f>VLOOKUP(B101,'[1]Products by Part Number'!$A:$B,2,0)</f>
        <v xml:space="preserve">KOM PC138USLC-11 KOM PC238USLC-11 (1)                                            </v>
      </c>
      <c r="D101" s="68" t="str">
        <f>VLOOKUP(B101,'[1]Products by Part Number'!$A:$C,3,0)</f>
        <v>FUEL FILTER</v>
      </c>
      <c r="E101" s="69">
        <f>VLOOKUP($B101,'[1]Products by Part Number'!$A:$L,11,0)</f>
        <v>2</v>
      </c>
      <c r="F101" s="70">
        <f>VLOOKUP(B101,'[1]Products by Part Number'!$A:$D,4,0)</f>
        <v>78.06</v>
      </c>
      <c r="G101" s="71">
        <f t="shared" si="3"/>
        <v>156.12</v>
      </c>
      <c r="H101" s="71">
        <f>VLOOKUP(B101,'[1]Products by Part Number'!$A:$F,6,0)</f>
        <v>39.03</v>
      </c>
      <c r="I101" s="79">
        <f t="shared" si="2"/>
        <v>78.06</v>
      </c>
    </row>
    <row r="102" spans="2:9" x14ac:dyDescent="0.25">
      <c r="B102" s="78" t="s">
        <v>165</v>
      </c>
      <c r="C102" s="68" t="str">
        <f>VLOOKUP(B102,'[1]Products by Part Number'!$A:$B,2,0)</f>
        <v xml:space="preserve">KOM PC138USLC-11 KOM PC238USLC-11 (1)                                            </v>
      </c>
      <c r="D102" s="68" t="str">
        <f>VLOOKUP(B102,'[1]Products by Part Number'!$A:$C,3,0)</f>
        <v>FUEL FILTER</v>
      </c>
      <c r="E102" s="69">
        <f>VLOOKUP($B102,'[1]Products by Part Number'!$A:$L,11,0)</f>
        <v>2</v>
      </c>
      <c r="F102" s="70">
        <f>VLOOKUP(B102,'[1]Products by Part Number'!$A:$D,4,0)</f>
        <v>81.8</v>
      </c>
      <c r="G102" s="71">
        <f t="shared" si="3"/>
        <v>163.6</v>
      </c>
      <c r="H102" s="71">
        <f>VLOOKUP(B102,'[1]Products by Part Number'!$A:$F,6,0)</f>
        <v>40.9</v>
      </c>
      <c r="I102" s="79">
        <f t="shared" si="2"/>
        <v>81.8</v>
      </c>
    </row>
    <row r="103" spans="2:9" x14ac:dyDescent="0.25">
      <c r="B103" s="78" t="s">
        <v>166</v>
      </c>
      <c r="C103" s="68" t="str">
        <f>VLOOKUP(B103,'[1]Products by Part Number'!$A:$B,2,0)</f>
        <v xml:space="preserve">KOM WA475-10 (120)                                              </v>
      </c>
      <c r="D103" s="68" t="str">
        <f>VLOOKUP(B103,'[1]Products by Part Number'!$A:$C,3,0)</f>
        <v>FUEL FILTER</v>
      </c>
      <c r="E103" s="69">
        <f>VLOOKUP($B103,'[1]Products by Part Number'!$A:$L,11,0)</f>
        <v>1</v>
      </c>
      <c r="F103" s="70">
        <f>VLOOKUP(B103,'[1]Products by Part Number'!$A:$D,4,0)</f>
        <v>69.17</v>
      </c>
      <c r="G103" s="71">
        <f t="shared" si="3"/>
        <v>69.17</v>
      </c>
      <c r="H103" s="71">
        <f>VLOOKUP(B103,'[1]Products by Part Number'!$A:$F,6,0)</f>
        <v>34.590000000000003</v>
      </c>
      <c r="I103" s="79">
        <f t="shared" si="2"/>
        <v>34.590000000000003</v>
      </c>
    </row>
    <row r="104" spans="2:9" x14ac:dyDescent="0.25">
      <c r="B104" s="78" t="s">
        <v>167</v>
      </c>
      <c r="C104" s="68" t="str">
        <f>VLOOKUP(B104,'[1]Products by Part Number'!$A:$B,2,0)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104" s="68" t="str">
        <f>VLOOKUP(B104,'[1]Products by Part Number'!$A:$C,3,0)</f>
        <v>FUEL FILTER</v>
      </c>
      <c r="E104" s="69">
        <f>VLOOKUP($B104,'[1]Products by Part Number'!$A:$L,11,0)</f>
        <v>14</v>
      </c>
      <c r="F104" s="70">
        <f>VLOOKUP(B104,'[1]Products by Part Number'!$A:$D,4,0)</f>
        <v>233.62</v>
      </c>
      <c r="G104" s="71">
        <f t="shared" si="3"/>
        <v>3270.6800000000003</v>
      </c>
      <c r="H104" s="71">
        <f>VLOOKUP(B104,'[1]Products by Part Number'!$A:$F,6,0)</f>
        <v>116.81</v>
      </c>
      <c r="I104" s="79">
        <f t="shared" si="2"/>
        <v>1635.34</v>
      </c>
    </row>
    <row r="105" spans="2:9" x14ac:dyDescent="0.25">
      <c r="B105" s="78" t="s">
        <v>168</v>
      </c>
      <c r="C105" s="68" t="str">
        <f>VLOOKUP(B105,'[1]Products by Part Number'!$A:$B,2,0)</f>
        <v xml:space="preserve">KOM PC238USLC-11 (2) KOM WA380-8 (1) KOM WA380-8 (2) KOM WA320-8 (867) KOM WA320PZ-6 (729) KOM PC290LC-11 (K73) KOM D61PX-24 (B60)                                  </v>
      </c>
      <c r="D105" s="68" t="str">
        <f>VLOOKUP(B105,'[1]Products by Part Number'!$A:$C,3,0)</f>
        <v>ENGINE OIL FILTER</v>
      </c>
      <c r="E105" s="69">
        <f>VLOOKUP($B105,'[1]Products by Part Number'!$A:$L,11,0)</f>
        <v>7</v>
      </c>
      <c r="F105" s="70">
        <f>VLOOKUP(B105,'[1]Products by Part Number'!$A:$D,4,0)</f>
        <v>38.229999999999997</v>
      </c>
      <c r="G105" s="71">
        <f t="shared" si="3"/>
        <v>267.60999999999996</v>
      </c>
      <c r="H105" s="71">
        <f>VLOOKUP(B105,'[1]Products by Part Number'!$A:$F,6,0)</f>
        <v>19.12</v>
      </c>
      <c r="I105" s="79">
        <f t="shared" si="2"/>
        <v>133.84</v>
      </c>
    </row>
    <row r="106" spans="2:9" x14ac:dyDescent="0.25">
      <c r="B106" s="78" t="s">
        <v>169</v>
      </c>
      <c r="C106" s="68" t="str">
        <f>VLOOKUP(B106,'[1]Products by Part Number'!$A:$B,2,0)</f>
        <v xml:space="preserve">KOM D71PX-24 (1) KOM D71PX-24 (2) KOM D71PX-24 (3) KOM D71PX-24 (4) KOM D71PX-24 (5) KOM D71PX-24 (6) KOM D71PX-24 (7) KOM PC360LC-11 (A37) KOM PC360LC-11 (A39) KOM PC360LC-11 (A39) (2)                            </v>
      </c>
      <c r="D106" s="68" t="str">
        <f>VLOOKUP(B106,'[1]Products by Part Number'!$A:$C,3,0)</f>
        <v>ENGINE OIL FILTER</v>
      </c>
      <c r="E106" s="69">
        <f>VLOOKUP($B106,'[1]Products by Part Number'!$A:$L,11,0)</f>
        <v>10</v>
      </c>
      <c r="F106" s="70">
        <f>VLOOKUP(B106,'[1]Products by Part Number'!$A:$D,4,0)</f>
        <v>179.262</v>
      </c>
      <c r="G106" s="71">
        <f t="shared" si="3"/>
        <v>1792.62</v>
      </c>
      <c r="H106" s="71">
        <f>VLOOKUP(B106,'[1]Products by Part Number'!$A:$F,6,0)</f>
        <v>89.63</v>
      </c>
      <c r="I106" s="79">
        <f t="shared" si="2"/>
        <v>896.3</v>
      </c>
    </row>
    <row r="107" spans="2:9" x14ac:dyDescent="0.25">
      <c r="B107" s="78" t="s">
        <v>170</v>
      </c>
      <c r="C107" s="68" t="str">
        <f>VLOOKUP(B107,'[1]Products by Part Number'!$A:$B,2,0)</f>
        <v xml:space="preserve">KOM HM400-5 (1) KOM HM400-5 (2) KOM HM400-5 (3) KOM HM400-5 (4) KOM HM400-5 (5) KOM HM400-5 (6) KOM HM400-5 (7) KOM HM400-5 (8) KOM HM400-5 (9) KOM HM400-5 (10) KOM HM400 (11) KOM HM400 (12) KOM HM400 (13) KOM HM400-5 (14) KOM WA475-10 (120)                  </v>
      </c>
      <c r="D107" s="68" t="str">
        <f>VLOOKUP(B107,'[1]Products by Part Number'!$A:$C,3,0)</f>
        <v>TRANSMISSION FILTER</v>
      </c>
      <c r="E107" s="69">
        <f>VLOOKUP($B107,'[1]Products by Part Number'!$A:$L,11,0)</f>
        <v>0</v>
      </c>
      <c r="F107" s="70">
        <f>VLOOKUP(B107,'[1]Products by Part Number'!$A:$D,4,0)</f>
        <v>126.77</v>
      </c>
      <c r="G107" s="71">
        <f t="shared" si="3"/>
        <v>0</v>
      </c>
      <c r="H107" s="71">
        <f>VLOOKUP(B107,'[1]Products by Part Number'!$A:$F,6,0)</f>
        <v>63.39</v>
      </c>
      <c r="I107" s="79">
        <f t="shared" si="2"/>
        <v>0</v>
      </c>
    </row>
    <row r="108" spans="2:9" x14ac:dyDescent="0.25">
      <c r="B108" s="78" t="s">
        <v>171</v>
      </c>
      <c r="C108" s="68" t="str">
        <f>VLOOKUP(B108,'[1]Products by Part Number'!$A:$B,2,0)</f>
        <v xml:space="preserve">CAT TL1055C (KDE)                                              </v>
      </c>
      <c r="D108" s="68" t="str">
        <f>VLOOKUP(B108,'[1]Products by Part Number'!$A:$C,3,0)</f>
        <v>ENGINE OIL FILTER</v>
      </c>
      <c r="E108" s="69">
        <f>VLOOKUP($B108,'[1]Products by Part Number'!$A:$L,11,0)</f>
        <v>1</v>
      </c>
      <c r="F108" s="70">
        <f>VLOOKUP(B108,'[1]Products by Part Number'!$A:$D,4,0)</f>
        <v>29.79</v>
      </c>
      <c r="G108" s="71">
        <f t="shared" si="3"/>
        <v>29.79</v>
      </c>
      <c r="H108" s="71">
        <f>VLOOKUP(B108,'[1]Products by Part Number'!$A:$F,6,0)</f>
        <v>14.9</v>
      </c>
      <c r="I108" s="79">
        <f t="shared" si="2"/>
        <v>14.9</v>
      </c>
    </row>
    <row r="109" spans="2:9" x14ac:dyDescent="0.25">
      <c r="B109" s="78" t="s">
        <v>172</v>
      </c>
      <c r="C109" s="68" t="str">
        <f>VLOOKUP(B109,'[1]Products by Part Number'!$A:$B,2,0)</f>
        <v xml:space="preserve">JD 624K (DW6)                                              </v>
      </c>
      <c r="D109" s="68" t="str">
        <f>VLOOKUP(B109,'[1]Products by Part Number'!$A:$C,3,0)</f>
        <v>INLINE FUEL FILTER</v>
      </c>
      <c r="E109" s="69">
        <f>VLOOKUP($B109,'[1]Products by Part Number'!$A:$L,11,0)</f>
        <v>1</v>
      </c>
      <c r="F109" s="70">
        <f>VLOOKUP(B109,'[1]Products by Part Number'!$A:$D,4,0)</f>
        <v>18.519599999999997</v>
      </c>
      <c r="G109" s="71">
        <f t="shared" si="3"/>
        <v>18.519599999999997</v>
      </c>
      <c r="H109" s="71">
        <f>VLOOKUP(B109,'[1]Products by Part Number'!$A:$F,6,0)</f>
        <v>9.26</v>
      </c>
      <c r="I109" s="79">
        <f t="shared" si="2"/>
        <v>9.26</v>
      </c>
    </row>
    <row r="110" spans="2:9" x14ac:dyDescent="0.25">
      <c r="B110" s="78" t="s">
        <v>173</v>
      </c>
      <c r="C110" s="68" t="str">
        <f>VLOOKUP(B110,'[1]Products by Part Number'!$A:$B,2,0)</f>
        <v xml:space="preserve">JD 470P (1FF)                                              </v>
      </c>
      <c r="D110" s="68" t="str">
        <f>VLOOKUP(B110,'[1]Products by Part Number'!$A:$C,3,0)</f>
        <v>FUEL FILTER</v>
      </c>
      <c r="E110" s="69">
        <f>VLOOKUP($B110,'[1]Products by Part Number'!$A:$L,11,0)</f>
        <v>1</v>
      </c>
      <c r="F110" s="70">
        <f>VLOOKUP(B110,'[1]Products by Part Number'!$A:$D,4,0)</f>
        <v>91.452600000000004</v>
      </c>
      <c r="G110" s="71">
        <f t="shared" si="3"/>
        <v>91.452600000000004</v>
      </c>
      <c r="H110" s="71">
        <f>VLOOKUP(B110,'[1]Products by Part Number'!$A:$F,6,0)</f>
        <v>45.73</v>
      </c>
      <c r="I110" s="79">
        <f t="shared" si="2"/>
        <v>45.73</v>
      </c>
    </row>
    <row r="111" spans="2:9" x14ac:dyDescent="0.25">
      <c r="B111" s="78" t="s">
        <v>174</v>
      </c>
      <c r="C111" s="68" t="str">
        <f>VLOOKUP(B111,'[1]Products by Part Number'!$A:$B,2,0)</f>
        <v xml:space="preserve">JD 624K (DW6)                                              </v>
      </c>
      <c r="D111" s="68" t="str">
        <f>VLOOKUP(B111,'[1]Products by Part Number'!$A:$C,3,0)</f>
        <v>FUEL/WATER SEPERATOR</v>
      </c>
      <c r="E111" s="69">
        <f>VLOOKUP($B111,'[1]Products by Part Number'!$A:$L,11,0)</f>
        <v>1</v>
      </c>
      <c r="F111" s="70">
        <f>VLOOKUP(B111,'[1]Products by Part Number'!$A:$D,4,0)</f>
        <v>72.049799999999991</v>
      </c>
      <c r="G111" s="71">
        <f t="shared" si="3"/>
        <v>72.049799999999991</v>
      </c>
      <c r="H111" s="71">
        <f>VLOOKUP(B111,'[1]Products by Part Number'!$A:$F,6,0)</f>
        <v>36.020000000000003</v>
      </c>
      <c r="I111" s="79">
        <f t="shared" si="2"/>
        <v>36.020000000000003</v>
      </c>
    </row>
    <row r="112" spans="2:9" x14ac:dyDescent="0.25">
      <c r="B112" s="78" t="s">
        <v>175</v>
      </c>
      <c r="C112" s="68" t="str">
        <f>VLOOKUP(B112,'[1]Products by Part Number'!$A:$B,2,0)</f>
        <v xml:space="preserve">JD 624K (DW6)                                              </v>
      </c>
      <c r="D112" s="68" t="str">
        <f>VLOOKUP(B112,'[1]Products by Part Number'!$A:$C,3,0)</f>
        <v>AXLE OIL FILTERS</v>
      </c>
      <c r="E112" s="69">
        <f>VLOOKUP($B112,'[1]Products by Part Number'!$A:$L,11,0)</f>
        <v>0</v>
      </c>
      <c r="F112" s="70">
        <f>VLOOKUP(B112,'[1]Products by Part Number'!$A:$D,4,0)</f>
        <v>176.19839999999999</v>
      </c>
      <c r="G112" s="71">
        <f t="shared" si="3"/>
        <v>0</v>
      </c>
      <c r="H112" s="71">
        <f>VLOOKUP(B112,'[1]Products by Part Number'!$A:$F,6,0)</f>
        <v>88.1</v>
      </c>
      <c r="I112" s="79">
        <f t="shared" si="2"/>
        <v>0</v>
      </c>
    </row>
    <row r="113" spans="2:9" x14ac:dyDescent="0.25">
      <c r="B113" s="78" t="s">
        <v>176</v>
      </c>
      <c r="C113" s="68" t="str">
        <f>VLOOKUP(B113,'[1]Products by Part Number'!$A:$B,2,0)</f>
        <v xml:space="preserve">JD 624K (DW6)                                              </v>
      </c>
      <c r="D113" s="68" t="str">
        <f>VLOOKUP(B113,'[1]Products by Part Number'!$A:$C,3,0)</f>
        <v>TRANSMISSION OIL FILTER</v>
      </c>
      <c r="E113" s="69">
        <f>VLOOKUP($B113,'[1]Products by Part Number'!$A:$L,11,0)</f>
        <v>0</v>
      </c>
      <c r="F113" s="70">
        <f>VLOOKUP(B113,'[1]Products by Part Number'!$A:$D,4,0)</f>
        <v>91.866599999999977</v>
      </c>
      <c r="G113" s="71">
        <f t="shared" si="3"/>
        <v>0</v>
      </c>
      <c r="H113" s="71">
        <f>VLOOKUP(B113,'[1]Products by Part Number'!$A:$F,6,0)</f>
        <v>45.93</v>
      </c>
      <c r="I113" s="79">
        <f t="shared" si="2"/>
        <v>0</v>
      </c>
    </row>
    <row r="114" spans="2:9" x14ac:dyDescent="0.25">
      <c r="B114" s="78" t="s">
        <v>177</v>
      </c>
      <c r="C114" s="68" t="str">
        <f>VLOOKUP(B114,'[1]Products by Part Number'!$A:$B,2,0)</f>
        <v xml:space="preserve">JD 470P (1FF)                                              </v>
      </c>
      <c r="D114" s="68" t="str">
        <f>VLOOKUP(B114,'[1]Products by Part Number'!$A:$C,3,0)</f>
        <v>FINAL FUEL FILTER</v>
      </c>
      <c r="E114" s="69">
        <f>VLOOKUP($B114,'[1]Products by Part Number'!$A:$L,11,0)</f>
        <v>1</v>
      </c>
      <c r="F114" s="70">
        <f>VLOOKUP(B114,'[1]Products by Part Number'!$A:$D,4,0)</f>
        <v>201.06599999999997</v>
      </c>
      <c r="G114" s="71">
        <f t="shared" si="3"/>
        <v>201.06599999999997</v>
      </c>
      <c r="H114" s="71">
        <f>VLOOKUP(B114,'[1]Products by Part Number'!$A:$F,6,0)</f>
        <v>100.53</v>
      </c>
      <c r="I114" s="79">
        <f t="shared" si="2"/>
        <v>100.53</v>
      </c>
    </row>
    <row r="115" spans="2:9" x14ac:dyDescent="0.25">
      <c r="B115" s="78" t="s">
        <v>178</v>
      </c>
      <c r="C115" s="68" t="str">
        <f>VLOOKUP(B115,'[1]Products by Part Number'!$A:$B,2,0)</f>
        <v xml:space="preserve">JD 470P (1FF)                                              </v>
      </c>
      <c r="D115" s="68" t="str">
        <f>VLOOKUP(B115,'[1]Products by Part Number'!$A:$C,3,0)</f>
        <v>PRIMARY FUEL FILTER</v>
      </c>
      <c r="E115" s="69">
        <f>VLOOKUP($B115,'[1]Products by Part Number'!$A:$L,11,0)</f>
        <v>1</v>
      </c>
      <c r="F115" s="70">
        <f>VLOOKUP(B115,'[1]Products by Part Number'!$A:$D,4,0)</f>
        <v>197.90579999999997</v>
      </c>
      <c r="G115" s="71">
        <f t="shared" si="3"/>
        <v>197.90579999999997</v>
      </c>
      <c r="H115" s="71">
        <f>VLOOKUP(B115,'[1]Products by Part Number'!$A:$F,6,0)</f>
        <v>98.95</v>
      </c>
      <c r="I115" s="79">
        <f t="shared" si="2"/>
        <v>98.95</v>
      </c>
    </row>
    <row r="116" spans="2:9" x14ac:dyDescent="0.25">
      <c r="B116" s="78" t="s">
        <v>179</v>
      </c>
      <c r="C116" s="68" t="str">
        <f>VLOOKUP(B116,'[1]Products by Part Number'!$A:$B,2,0)</f>
        <v xml:space="preserve">JD 333G (1T0)                                              </v>
      </c>
      <c r="D116" s="68" t="str">
        <f>VLOOKUP(B116,'[1]Products by Part Number'!$A:$C,3,0)</f>
        <v>ENGINE OIL FILTER</v>
      </c>
      <c r="E116" s="69">
        <f>VLOOKUP($B116,'[1]Products by Part Number'!$A:$L,11,0)</f>
        <v>1</v>
      </c>
      <c r="F116" s="70">
        <f>VLOOKUP(B116,'[1]Products by Part Number'!$A:$D,4,0)</f>
        <v>27.669</v>
      </c>
      <c r="G116" s="71">
        <f t="shared" si="3"/>
        <v>27.669</v>
      </c>
      <c r="H116" s="71">
        <f>VLOOKUP(B116,'[1]Products by Part Number'!$A:$F,6,0)</f>
        <v>13.83</v>
      </c>
      <c r="I116" s="79">
        <f t="shared" si="2"/>
        <v>13.83</v>
      </c>
    </row>
    <row r="117" spans="2:9" x14ac:dyDescent="0.25">
      <c r="B117" s="78" t="s">
        <v>180</v>
      </c>
      <c r="C117" s="68" t="str">
        <f>VLOOKUP(B117,'[1]Products by Part Number'!$A:$B,2,0)</f>
        <v xml:space="preserve">JD 333G (1T0)                                              </v>
      </c>
      <c r="D117" s="68" t="str">
        <f>VLOOKUP(B117,'[1]Products by Part Number'!$A:$C,3,0)</f>
        <v>PRIMARY FUEL FILTER</v>
      </c>
      <c r="E117" s="69">
        <f>VLOOKUP($B117,'[1]Products by Part Number'!$A:$L,11,0)</f>
        <v>1</v>
      </c>
      <c r="F117" s="70">
        <f>VLOOKUP(B117,'[1]Products by Part Number'!$A:$D,4,0)</f>
        <v>51.722399999999993</v>
      </c>
      <c r="G117" s="71">
        <f t="shared" si="3"/>
        <v>51.722399999999993</v>
      </c>
      <c r="H117" s="71">
        <f>VLOOKUP(B117,'[1]Products by Part Number'!$A:$F,6,0)</f>
        <v>25.86</v>
      </c>
      <c r="I117" s="79">
        <f t="shared" si="2"/>
        <v>25.86</v>
      </c>
    </row>
    <row r="118" spans="2:9" x14ac:dyDescent="0.25">
      <c r="B118" s="78" t="s">
        <v>181</v>
      </c>
      <c r="C118" s="68" t="str">
        <f>VLOOKUP(B118,'[1]Products by Part Number'!$A:$B,2,0)</f>
        <v xml:space="preserve">JD 333G (1T0)                                              </v>
      </c>
      <c r="D118" s="68" t="str">
        <f>VLOOKUP(B118,'[1]Products by Part Number'!$A:$C,3,0)</f>
        <v>FINAL FUEL FILTER</v>
      </c>
      <c r="E118" s="69">
        <f>VLOOKUP($B118,'[1]Products by Part Number'!$A:$L,11,0)</f>
        <v>1</v>
      </c>
      <c r="F118" s="70">
        <f>VLOOKUP(B118,'[1]Products by Part Number'!$A:$D,4,0)</f>
        <v>91.010999999999996</v>
      </c>
      <c r="G118" s="71">
        <f t="shared" si="3"/>
        <v>91.010999999999996</v>
      </c>
      <c r="H118" s="71">
        <f>VLOOKUP(B118,'[1]Products by Part Number'!$A:$F,6,0)</f>
        <v>45.51</v>
      </c>
      <c r="I118" s="79">
        <f t="shared" si="2"/>
        <v>45.51</v>
      </c>
    </row>
    <row r="119" spans="2:9" x14ac:dyDescent="0.25">
      <c r="B119" s="78" t="s">
        <v>182</v>
      </c>
      <c r="C119" s="68" t="str">
        <f>VLOOKUP(B119,'[1]Products by Part Number'!$A:$B,2,0)</f>
        <v xml:space="preserve">JD 624K (DW6) JD 764 (100)                                            </v>
      </c>
      <c r="D119" s="68" t="str">
        <f>VLOOKUP(B119,'[1]Products by Part Number'!$A:$C,3,0)</f>
        <v>ENGINE OIL FILTER</v>
      </c>
      <c r="E119" s="69">
        <f>VLOOKUP($B119,'[1]Products by Part Number'!$A:$L,11,0)</f>
        <v>2</v>
      </c>
      <c r="F119" s="70">
        <f>VLOOKUP(B119,'[1]Products by Part Number'!$A:$D,4,0)</f>
        <v>33.368399999999994</v>
      </c>
      <c r="G119" s="71">
        <f t="shared" si="3"/>
        <v>66.736799999999988</v>
      </c>
      <c r="H119" s="71">
        <f>VLOOKUP(B119,'[1]Products by Part Number'!$A:$F,6,0)</f>
        <v>16.68</v>
      </c>
      <c r="I119" s="79">
        <f t="shared" si="2"/>
        <v>33.36</v>
      </c>
    </row>
    <row r="120" spans="2:9" x14ac:dyDescent="0.25">
      <c r="B120" s="78" t="s">
        <v>183</v>
      </c>
      <c r="C120" s="68" t="str">
        <f>VLOOKUP(B120,'[1]Products by Part Number'!$A:$B,2,0)</f>
        <v xml:space="preserve">JD 624K (DW6) JD 764 (100)                                            </v>
      </c>
      <c r="D120" s="68" t="str">
        <f>VLOOKUP(B120,'[1]Products by Part Number'!$A:$C,3,0)</f>
        <v>FINAL FUEL FILTER</v>
      </c>
      <c r="E120" s="69">
        <f>VLOOKUP($B120,'[1]Products by Part Number'!$A:$L,11,0)</f>
        <v>2</v>
      </c>
      <c r="F120" s="70">
        <f>VLOOKUP(B120,'[1]Products by Part Number'!$A:$D,4,0)</f>
        <v>57.490799999999993</v>
      </c>
      <c r="G120" s="71">
        <f t="shared" si="3"/>
        <v>114.98159999999999</v>
      </c>
      <c r="H120" s="71">
        <f>VLOOKUP(B120,'[1]Products by Part Number'!$A:$F,6,0)</f>
        <v>28.75</v>
      </c>
      <c r="I120" s="79">
        <f t="shared" si="2"/>
        <v>57.5</v>
      </c>
    </row>
    <row r="121" spans="2:9" x14ac:dyDescent="0.25">
      <c r="B121" s="78" t="s">
        <v>184</v>
      </c>
      <c r="C121" s="68" t="str">
        <f>VLOOKUP(B121,'[1]Products by Part Number'!$A:$B,2,0)</f>
        <v xml:space="preserve">JD 624K (DW6) JD 764 (100)                                            </v>
      </c>
      <c r="D121" s="68" t="str">
        <f>VLOOKUP(B121,'[1]Products by Part Number'!$A:$C,3,0)</f>
        <v>PRIMARY FUEL FILTER</v>
      </c>
      <c r="E121" s="69">
        <f>VLOOKUP($B121,'[1]Products by Part Number'!$A:$L,11,0)</f>
        <v>2</v>
      </c>
      <c r="F121" s="70">
        <f>VLOOKUP(B121,'[1]Products by Part Number'!$A:$D,4,0)</f>
        <v>57.463199999999993</v>
      </c>
      <c r="G121" s="71">
        <f t="shared" si="3"/>
        <v>114.92639999999999</v>
      </c>
      <c r="H121" s="71">
        <f>VLOOKUP(B121,'[1]Products by Part Number'!$A:$F,6,0)</f>
        <v>28.73</v>
      </c>
      <c r="I121" s="79">
        <f t="shared" si="2"/>
        <v>57.46</v>
      </c>
    </row>
    <row r="122" spans="2:9" x14ac:dyDescent="0.25">
      <c r="B122" s="78" t="s">
        <v>185</v>
      </c>
      <c r="C122" s="68" t="str">
        <f>VLOOKUP(B122,'[1]Products by Part Number'!$A:$B,2,0)</f>
        <v xml:space="preserve">JD 470P (1FF)                                              </v>
      </c>
      <c r="D122" s="68" t="str">
        <f>VLOOKUP(B122,'[1]Products by Part Number'!$A:$C,3,0)</f>
        <v>ENGINE OIL FILTER</v>
      </c>
      <c r="E122" s="69">
        <f>VLOOKUP($B122,'[1]Products by Part Number'!$A:$L,11,0)</f>
        <v>1</v>
      </c>
      <c r="F122" s="70">
        <f>VLOOKUP(B122,'[1]Products by Part Number'!$A:$D,4,0)</f>
        <v>122.91659999999996</v>
      </c>
      <c r="G122" s="71">
        <f t="shared" si="3"/>
        <v>122.91659999999996</v>
      </c>
      <c r="H122" s="71">
        <f>VLOOKUP(B122,'[1]Products by Part Number'!$A:$F,6,0)</f>
        <v>61.46</v>
      </c>
      <c r="I122" s="79">
        <f t="shared" si="2"/>
        <v>61.46</v>
      </c>
    </row>
    <row r="123" spans="2:9" x14ac:dyDescent="0.25">
      <c r="B123" s="78"/>
      <c r="C123" s="68"/>
      <c r="D123" s="68"/>
      <c r="E123" s="69"/>
      <c r="F123" s="70"/>
      <c r="G123" s="71"/>
      <c r="H123" s="71"/>
      <c r="I123" s="79">
        <f t="shared" si="2"/>
        <v>0</v>
      </c>
    </row>
    <row r="124" spans="2:9" x14ac:dyDescent="0.25">
      <c r="B124" s="78"/>
      <c r="C124" s="68"/>
      <c r="D124" s="68"/>
      <c r="E124" s="69"/>
      <c r="F124" s="70"/>
      <c r="G124" s="71"/>
      <c r="H124" s="71"/>
      <c r="I124" s="79">
        <f t="shared" si="2"/>
        <v>0</v>
      </c>
    </row>
    <row r="125" spans="2:9" x14ac:dyDescent="0.25">
      <c r="B125" s="78"/>
      <c r="C125" s="68"/>
      <c r="D125" s="68"/>
      <c r="E125" s="69"/>
      <c r="F125" s="70"/>
      <c r="G125" s="71"/>
      <c r="H125" s="71"/>
      <c r="I125" s="79">
        <f t="shared" si="2"/>
        <v>0</v>
      </c>
    </row>
    <row r="126" spans="2:9" x14ac:dyDescent="0.25">
      <c r="B126" s="78"/>
      <c r="C126" s="68"/>
      <c r="D126" s="68"/>
      <c r="E126" s="69"/>
      <c r="F126" s="70"/>
      <c r="G126" s="71"/>
      <c r="H126" s="71"/>
      <c r="I126" s="79">
        <f t="shared" si="2"/>
        <v>0</v>
      </c>
    </row>
    <row r="127" spans="2:9" x14ac:dyDescent="0.25">
      <c r="B127" s="78"/>
      <c r="C127" s="68"/>
      <c r="D127" s="68"/>
      <c r="E127" s="69"/>
      <c r="F127" s="70"/>
      <c r="G127" s="71"/>
      <c r="H127" s="71"/>
      <c r="I127" s="79">
        <f t="shared" si="2"/>
        <v>0</v>
      </c>
    </row>
    <row r="128" spans="2:9" x14ac:dyDescent="0.25">
      <c r="B128" s="78"/>
      <c r="C128" s="68"/>
      <c r="D128" s="68"/>
      <c r="E128" s="69"/>
      <c r="F128" s="70"/>
      <c r="G128" s="71"/>
      <c r="H128" s="71"/>
      <c r="I128" s="79">
        <f t="shared" si="2"/>
        <v>0</v>
      </c>
    </row>
    <row r="129" spans="2:9" ht="15.75" thickBot="1" x14ac:dyDescent="0.3">
      <c r="B129" s="93"/>
      <c r="C129" s="85"/>
      <c r="D129" s="85"/>
      <c r="E129" s="86"/>
      <c r="F129" s="87"/>
      <c r="G129" s="88"/>
      <c r="H129" s="88"/>
      <c r="I129" s="118">
        <f t="shared" si="2"/>
        <v>0</v>
      </c>
    </row>
    <row r="130" spans="2:9" x14ac:dyDescent="0.25">
      <c r="B130" s="158"/>
      <c r="C130" s="159"/>
      <c r="D130" s="159"/>
      <c r="E130" s="159"/>
      <c r="F130" s="196"/>
      <c r="G130" s="119"/>
      <c r="H130" s="120" t="s">
        <v>17</v>
      </c>
      <c r="I130" s="110">
        <f>SUM(I15:I129)</f>
        <v>14751.199999999999</v>
      </c>
    </row>
    <row r="131" spans="2:9" x14ac:dyDescent="0.25">
      <c r="B131" s="107"/>
      <c r="C131" s="31"/>
      <c r="D131" s="32" t="s">
        <v>18</v>
      </c>
      <c r="E131" s="161">
        <f>SUM(G15:G129)</f>
        <v>27764.475799999993</v>
      </c>
      <c r="F131" s="197"/>
      <c r="G131" s="33"/>
      <c r="H131" s="28" t="s">
        <v>19</v>
      </c>
      <c r="I131" s="112">
        <v>0</v>
      </c>
    </row>
    <row r="132" spans="2:9" x14ac:dyDescent="0.25">
      <c r="B132" s="107"/>
      <c r="C132" s="31"/>
      <c r="D132" s="32" t="s">
        <v>20</v>
      </c>
      <c r="E132" s="161">
        <f>SUM(I15:I129)</f>
        <v>14751.199999999999</v>
      </c>
      <c r="F132" s="197"/>
      <c r="G132" s="33"/>
      <c r="H132" s="35" t="s">
        <v>21</v>
      </c>
      <c r="I132" s="112">
        <v>0</v>
      </c>
    </row>
    <row r="133" spans="2:9" x14ac:dyDescent="0.25">
      <c r="B133" s="107"/>
      <c r="C133" s="31"/>
      <c r="D133" s="32" t="s">
        <v>22</v>
      </c>
      <c r="E133" s="179">
        <f>E131-E132</f>
        <v>13013.275799999994</v>
      </c>
      <c r="F133" s="203"/>
      <c r="G133" s="36"/>
      <c r="H133" s="28" t="s">
        <v>23</v>
      </c>
      <c r="I133" s="114">
        <f>SUM(I130:I132)</f>
        <v>14751.199999999999</v>
      </c>
    </row>
    <row r="134" spans="2:9" x14ac:dyDescent="0.25">
      <c r="B134" s="107"/>
      <c r="C134" s="31"/>
      <c r="D134" s="32"/>
      <c r="E134" s="181"/>
      <c r="F134" s="204"/>
      <c r="G134" s="38"/>
      <c r="H134" s="28" t="s">
        <v>24</v>
      </c>
      <c r="I134" s="114">
        <f>I133*0.05</f>
        <v>737.56</v>
      </c>
    </row>
    <row r="135" spans="2:9" x14ac:dyDescent="0.25">
      <c r="B135" s="107"/>
      <c r="C135" s="31"/>
      <c r="D135" s="39"/>
      <c r="E135" s="39"/>
      <c r="F135" s="40"/>
      <c r="G135" s="40"/>
      <c r="H135" s="28" t="s">
        <v>25</v>
      </c>
      <c r="I135" s="112"/>
    </row>
    <row r="136" spans="2:9" ht="16.5" thickBot="1" x14ac:dyDescent="0.3">
      <c r="B136" s="173" t="s">
        <v>26</v>
      </c>
      <c r="C136" s="174"/>
      <c r="D136" s="174"/>
      <c r="E136" s="174"/>
      <c r="F136" s="202"/>
      <c r="G136" s="121"/>
      <c r="H136" s="122" t="s">
        <v>27</v>
      </c>
      <c r="I136" s="116">
        <f>SUM(I133:I135)</f>
        <v>15488.759999999998</v>
      </c>
    </row>
  </sheetData>
  <mergeCells count="25">
    <mergeCell ref="E1:F5"/>
    <mergeCell ref="H1:I5"/>
    <mergeCell ref="C7:D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B136:F136"/>
    <mergeCell ref="F13:I13"/>
    <mergeCell ref="B130:F130"/>
    <mergeCell ref="E131:F131"/>
    <mergeCell ref="E132:F132"/>
    <mergeCell ref="E133:F133"/>
    <mergeCell ref="E134:F13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09AD-CBD1-49C5-8697-8046BC37241B}">
  <dimension ref="B1:I83"/>
  <sheetViews>
    <sheetView topLeftCell="A68" workbookViewId="0">
      <selection activeCell="H85" sqref="H85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205" t="s">
        <v>28</v>
      </c>
      <c r="F1" s="205"/>
      <c r="G1" s="44"/>
      <c r="H1" s="205" t="s">
        <v>288</v>
      </c>
      <c r="I1" s="206"/>
    </row>
    <row r="2" spans="2:9" ht="15" customHeight="1" x14ac:dyDescent="0.25">
      <c r="B2" s="4"/>
      <c r="E2" s="177"/>
      <c r="F2" s="177"/>
      <c r="G2" s="45"/>
      <c r="H2" s="177"/>
      <c r="I2" s="207"/>
    </row>
    <row r="3" spans="2:9" ht="15" customHeight="1" x14ac:dyDescent="0.25">
      <c r="B3" s="4"/>
      <c r="E3" s="177"/>
      <c r="F3" s="177"/>
      <c r="G3" s="45"/>
      <c r="H3" s="177"/>
      <c r="I3" s="207"/>
    </row>
    <row r="4" spans="2:9" ht="15" customHeight="1" x14ac:dyDescent="0.25">
      <c r="B4" s="4"/>
      <c r="E4" s="177"/>
      <c r="F4" s="177"/>
      <c r="G4" s="45"/>
      <c r="H4" s="177"/>
      <c r="I4" s="207"/>
    </row>
    <row r="5" spans="2:9" ht="15" customHeight="1" x14ac:dyDescent="0.25">
      <c r="B5" s="5"/>
      <c r="C5" s="1"/>
      <c r="D5" s="1"/>
      <c r="E5" s="178"/>
      <c r="F5" s="178"/>
      <c r="G5" s="46"/>
      <c r="H5" s="178"/>
      <c r="I5" s="208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9" t="s">
        <v>7</v>
      </c>
      <c r="C7" s="186" t="s">
        <v>290</v>
      </c>
      <c r="D7" s="187"/>
      <c r="E7" s="9" t="s">
        <v>8</v>
      </c>
      <c r="F7" s="10">
        <v>45870</v>
      </c>
      <c r="G7" s="10"/>
      <c r="H7" s="11" t="s">
        <v>9</v>
      </c>
      <c r="I7" s="12"/>
    </row>
    <row r="8" spans="2:9" x14ac:dyDescent="0.25">
      <c r="B8" s="50" t="s">
        <v>10</v>
      </c>
      <c r="C8" s="183">
        <v>0</v>
      </c>
      <c r="D8" s="183"/>
      <c r="E8" s="163" t="s">
        <v>11</v>
      </c>
      <c r="F8" s="163"/>
      <c r="G8" s="13"/>
      <c r="H8" s="200"/>
      <c r="I8" s="200"/>
    </row>
    <row r="9" spans="2:9" x14ac:dyDescent="0.25">
      <c r="B9" s="50" t="s">
        <v>12</v>
      </c>
      <c r="C9" s="183">
        <v>0</v>
      </c>
      <c r="D9" s="183"/>
      <c r="E9" s="163" t="s">
        <v>13</v>
      </c>
      <c r="F9" s="163"/>
      <c r="G9" s="13"/>
      <c r="H9" s="201"/>
      <c r="I9" s="201"/>
    </row>
    <row r="10" spans="2:9" x14ac:dyDescent="0.25">
      <c r="B10" s="50"/>
      <c r="C10" s="183">
        <v>0</v>
      </c>
      <c r="D10" s="183"/>
      <c r="E10" s="163" t="s">
        <v>14</v>
      </c>
      <c r="F10" s="163"/>
      <c r="G10" s="13"/>
      <c r="H10" s="198"/>
      <c r="I10" s="198"/>
    </row>
    <row r="11" spans="2:9" x14ac:dyDescent="0.25">
      <c r="B11" s="50"/>
      <c r="C11" s="183">
        <v>0</v>
      </c>
      <c r="D11" s="183"/>
      <c r="E11" s="163"/>
      <c r="F11" s="163"/>
      <c r="G11" s="13"/>
      <c r="H11" s="198"/>
      <c r="I11" s="198"/>
    </row>
    <row r="12" spans="2:9" x14ac:dyDescent="0.25">
      <c r="B12" s="51"/>
      <c r="C12" s="183">
        <v>0</v>
      </c>
      <c r="D12" s="183"/>
      <c r="E12" s="184"/>
      <c r="F12" s="184"/>
      <c r="G12" s="14"/>
      <c r="H12" s="199"/>
      <c r="I12" s="199"/>
    </row>
    <row r="13" spans="2:9" ht="15.75" thickBot="1" x14ac:dyDescent="0.3">
      <c r="B13" s="15"/>
      <c r="C13" s="16"/>
      <c r="D13" s="16"/>
      <c r="E13" s="16"/>
      <c r="F13" s="156" t="s">
        <v>3</v>
      </c>
      <c r="G13" s="156"/>
      <c r="H13" s="156"/>
      <c r="I13" s="156"/>
    </row>
    <row r="14" spans="2:9" ht="15.75" thickBot="1" x14ac:dyDescent="0.3">
      <c r="B14" s="57" t="s">
        <v>0</v>
      </c>
      <c r="C14" s="64" t="s">
        <v>15</v>
      </c>
      <c r="D14" s="65" t="s">
        <v>1</v>
      </c>
      <c r="E14" s="66" t="s">
        <v>2</v>
      </c>
      <c r="F14" s="66" t="s">
        <v>4</v>
      </c>
      <c r="G14" s="66"/>
      <c r="H14" s="66" t="s">
        <v>5</v>
      </c>
      <c r="I14" s="67" t="s">
        <v>16</v>
      </c>
    </row>
    <row r="15" spans="2:9" x14ac:dyDescent="0.25">
      <c r="B15" s="72" t="s">
        <v>186</v>
      </c>
      <c r="C15" s="73" t="str">
        <f>VLOOKUP($B15,'[1]Products by Part Number'!$A:$L,2,0)</f>
        <v xml:space="preserve">KOM WA320-8 (867) KOM WA320PZ-6 (729)                                            </v>
      </c>
      <c r="D15" s="73" t="str">
        <f>VLOOKUP($B15,'[1]Products by Part Number'!$A:$L,3,0)</f>
        <v>WASHER CUTTING EDGE</v>
      </c>
      <c r="E15" s="74">
        <f>VLOOKUP($B15,'[1]Products by Part Number'!$A:$L,12,0)</f>
        <v>32</v>
      </c>
      <c r="F15" s="75">
        <f>VLOOKUP($B15,'[1]Products by Part Number'!$A:$L,4,0)</f>
        <v>8.27</v>
      </c>
      <c r="G15" s="76">
        <f>E15*F15</f>
        <v>264.64</v>
      </c>
      <c r="H15" s="76">
        <f>VLOOKUP($B15,'[1]Products by Part Number'!$A:$L,6,0)</f>
        <v>4.55</v>
      </c>
      <c r="I15" s="77">
        <f t="shared" ref="I15:I76" si="0">ROUND(E15*H15,2)</f>
        <v>145.6</v>
      </c>
    </row>
    <row r="16" spans="2:9" x14ac:dyDescent="0.25">
      <c r="B16" s="78" t="s">
        <v>187</v>
      </c>
      <c r="C16" s="68" t="str">
        <f>VLOOKUP($B16,'[1]Products by Part Number'!$A:$L,2,0)</f>
        <v xml:space="preserve">KOM WA380-8 (1) KOM WA380-8 (2) KOM WA475-10 (120)                                          </v>
      </c>
      <c r="D16" s="68" t="str">
        <f>VLOOKUP($B16,'[1]Products by Part Number'!$A:$L,3,0)</f>
        <v>WASHER CUTTING EDGE</v>
      </c>
      <c r="E16" s="69">
        <f>VLOOKUP($B16,'[1]Products by Part Number'!$A:$L,12,0)</f>
        <v>92</v>
      </c>
      <c r="F16" s="70">
        <f>VLOOKUP($B16,'[1]Products by Part Number'!$A:$L,4,0)</f>
        <v>5.84</v>
      </c>
      <c r="G16" s="71">
        <f t="shared" ref="G16" si="1">E16*F16</f>
        <v>537.28</v>
      </c>
      <c r="H16" s="71">
        <f>VLOOKUP($B16,'[1]Products by Part Number'!$A:$L,6,0)</f>
        <v>3.21</v>
      </c>
      <c r="I16" s="79">
        <f t="shared" si="0"/>
        <v>295.32</v>
      </c>
    </row>
    <row r="17" spans="2:9" x14ac:dyDescent="0.25">
      <c r="B17" s="78" t="s">
        <v>188</v>
      </c>
      <c r="C17" s="68" t="str">
        <f>VLOOKUP($B17,'[1]Products by Part Number'!$A:$L,2,0)</f>
        <v xml:space="preserve">KOM D61PX-24 (B60)                                              </v>
      </c>
      <c r="D17" s="68" t="str">
        <f>VLOOKUP($B17,'[1]Products by Part Number'!$A:$L,3,0)</f>
        <v>BOLT CUTTING EDGE</v>
      </c>
      <c r="E17" s="69">
        <f>VLOOKUP($B17,'[1]Products by Part Number'!$A:$L,12,0)</f>
        <v>130</v>
      </c>
      <c r="F17" s="70">
        <f>VLOOKUP($B17,'[1]Products by Part Number'!$A:$L,4,0)</f>
        <v>4.37</v>
      </c>
      <c r="G17" s="71">
        <f t="shared" ref="G17:G69" si="2">E17*F17</f>
        <v>568.1</v>
      </c>
      <c r="H17" s="71">
        <f>VLOOKUP($B17,'[1]Products by Part Number'!$A:$L,6,0)</f>
        <v>2.4</v>
      </c>
      <c r="I17" s="79">
        <f t="shared" si="0"/>
        <v>312</v>
      </c>
    </row>
    <row r="18" spans="2:9" x14ac:dyDescent="0.25">
      <c r="B18" s="78" t="s">
        <v>189</v>
      </c>
      <c r="C18" s="68" t="str">
        <f>VLOOKUP($B18,'[1]Products by Part Number'!$A:$L,2,0)</f>
        <v xml:space="preserve">KOM D71PX-24 (1) KOM D71PX-24 (2) KOM D71PX-24 (3) KOM D71PX-24 (4) KOM D71PX-24 (5) KOM D71PX-24 (6) KOM D71PX-24 (7)                                  </v>
      </c>
      <c r="D18" s="68" t="str">
        <f>VLOOKUP($B18,'[1]Products by Part Number'!$A:$L,3,0)</f>
        <v>BOLT BIT END</v>
      </c>
      <c r="E18" s="69">
        <f>VLOOKUP($B18,'[1]Products by Part Number'!$A:$L,12,0)</f>
        <v>1155</v>
      </c>
      <c r="F18" s="70">
        <f>VLOOKUP($B18,'[1]Products by Part Number'!$A:$L,4,0)</f>
        <v>1.87</v>
      </c>
      <c r="G18" s="71">
        <f t="shared" si="2"/>
        <v>2159.85</v>
      </c>
      <c r="H18" s="71">
        <f>VLOOKUP($B18,'[1]Products by Part Number'!$A:$L,6,0)</f>
        <v>1.03</v>
      </c>
      <c r="I18" s="79">
        <f t="shared" si="0"/>
        <v>1189.6500000000001</v>
      </c>
    </row>
    <row r="19" spans="2:9" x14ac:dyDescent="0.25">
      <c r="B19" s="78" t="s">
        <v>190</v>
      </c>
      <c r="C19" s="68" t="str">
        <f>VLOOKUP($B19,'[1]Products by Part Number'!$A:$L,2,0)</f>
        <v xml:space="preserve">KOM WA380-8 (1) KOM WA380-8 (2) KOM WA475-10 (120)                                          </v>
      </c>
      <c r="D19" s="68" t="str">
        <f>VLOOKUP($B19,'[1]Products by Part Number'!$A:$L,3,0)</f>
        <v>BOLT CUTTING EDGE</v>
      </c>
      <c r="E19" s="69">
        <f>VLOOKUP($B19,'[1]Products by Part Number'!$A:$L,12,0)</f>
        <v>92</v>
      </c>
      <c r="F19" s="70">
        <f>VLOOKUP($B19,'[1]Products by Part Number'!$A:$L,4,0)</f>
        <v>6.1</v>
      </c>
      <c r="G19" s="71">
        <f t="shared" si="2"/>
        <v>561.19999999999993</v>
      </c>
      <c r="H19" s="71">
        <f>VLOOKUP($B19,'[1]Products by Part Number'!$A:$L,6,0)</f>
        <v>3.36</v>
      </c>
      <c r="I19" s="79">
        <f t="shared" si="0"/>
        <v>309.12</v>
      </c>
    </row>
    <row r="20" spans="2:9" x14ac:dyDescent="0.25">
      <c r="B20" s="78" t="s">
        <v>191</v>
      </c>
      <c r="C20" s="68" t="str">
        <f>VLOOKUP($B20,'[1]Products by Part Number'!$A:$L,2,0)</f>
        <v xml:space="preserve">KOM WA320-8 (867) KOM WA320PZ-6 (729)                                            </v>
      </c>
      <c r="D20" s="68" t="str">
        <f>VLOOKUP($B20,'[1]Products by Part Number'!$A:$L,3,0)</f>
        <v>BOLT CUTTING EDGE</v>
      </c>
      <c r="E20" s="69">
        <f>VLOOKUP($B20,'[1]Products by Part Number'!$A:$L,12,0)</f>
        <v>32</v>
      </c>
      <c r="F20" s="70">
        <f>VLOOKUP($B20,'[1]Products by Part Number'!$A:$L,4,0)</f>
        <v>8.81</v>
      </c>
      <c r="G20" s="71">
        <f t="shared" si="2"/>
        <v>281.92</v>
      </c>
      <c r="H20" s="71">
        <f>VLOOKUP($B20,'[1]Products by Part Number'!$A:$L,6,0)</f>
        <v>4.8499999999999996</v>
      </c>
      <c r="I20" s="79">
        <f t="shared" si="0"/>
        <v>155.19999999999999</v>
      </c>
    </row>
    <row r="21" spans="2:9" x14ac:dyDescent="0.25">
      <c r="B21" s="78" t="s">
        <v>192</v>
      </c>
      <c r="C21" s="68" t="str">
        <f>VLOOKUP($B21,'[1]Products by Part Number'!$A:$L,2,0)</f>
        <v xml:space="preserve">KOM D71PX-24 (1) KOM D71PX-24 (2) KOM D71PX-24 (3) KOM D71PX-24 (4) KOM D71PX-24 (5) KOM D71PX-24 (6) KOM D71PX-24 (7)                                  </v>
      </c>
      <c r="D21" s="68" t="str">
        <f>VLOOKUP($B21,'[1]Products by Part Number'!$A:$L,3,0)</f>
        <v>NUT CUTTING EDGE/BIT END</v>
      </c>
      <c r="E21" s="69">
        <f>VLOOKUP($B21,'[1]Products by Part Number'!$A:$L,12,0)</f>
        <v>1155</v>
      </c>
      <c r="F21" s="70">
        <f>VLOOKUP($B21,'[1]Products by Part Number'!$A:$L,4,0)</f>
        <v>0.56999999999999995</v>
      </c>
      <c r="G21" s="71">
        <f t="shared" si="2"/>
        <v>658.34999999999991</v>
      </c>
      <c r="H21" s="71">
        <f>VLOOKUP($B21,'[1]Products by Part Number'!$A:$L,6,0)</f>
        <v>0.31</v>
      </c>
      <c r="I21" s="79">
        <f t="shared" si="0"/>
        <v>358.05</v>
      </c>
    </row>
    <row r="22" spans="2:9" x14ac:dyDescent="0.25">
      <c r="B22" s="78" t="s">
        <v>193</v>
      </c>
      <c r="C22" s="68" t="str">
        <f>VLOOKUP($B22,'[1]Products by Part Number'!$A:$L,2,0)</f>
        <v xml:space="preserve">KOM D71PX-24 (1) KOM D71PX-24 (2) KOM D71PX-24 (3) KOM D71PX-24 (4) KOM D71PX-24 (5) KOM D71PX-24 (6) KOM D71PX-24 (7)                                  </v>
      </c>
      <c r="D22" s="68" t="str">
        <f>VLOOKUP($B22,'[1]Products by Part Number'!$A:$L,3,0)</f>
        <v>TOOTH PIN</v>
      </c>
      <c r="E22" s="69">
        <f>VLOOKUP($B22,'[1]Products by Part Number'!$A:$L,12,0)</f>
        <v>105</v>
      </c>
      <c r="F22" s="70">
        <f>VLOOKUP($B22,'[1]Products by Part Number'!$A:$L,4,0)</f>
        <v>32.15</v>
      </c>
      <c r="G22" s="71">
        <f t="shared" si="2"/>
        <v>3375.75</v>
      </c>
      <c r="H22" s="71">
        <f>VLOOKUP($B22,'[1]Products by Part Number'!$A:$L,6,0)</f>
        <v>17.68</v>
      </c>
      <c r="I22" s="79">
        <f t="shared" si="0"/>
        <v>1856.4</v>
      </c>
    </row>
    <row r="23" spans="2:9" x14ac:dyDescent="0.25">
      <c r="B23" s="78" t="s">
        <v>194</v>
      </c>
      <c r="C23" s="68" t="str">
        <f>VLOOKUP($B23,'[1]Products by Part Number'!$A:$L,2,0)</f>
        <v xml:space="preserve">JD 333G (1T0)                                              </v>
      </c>
      <c r="D23" s="68" t="str">
        <f>VLOOKUP($B23,'[1]Products by Part Number'!$A:$L,3,0)</f>
        <v>BOLT CUTTING EDGE</v>
      </c>
      <c r="E23" s="69">
        <f>VLOOKUP($B23,'[1]Products by Part Number'!$A:$L,12,0)</f>
        <v>14</v>
      </c>
      <c r="F23" s="70">
        <f>VLOOKUP($B23,'[1]Products by Part Number'!$A:$L,4,0)</f>
        <v>6.8585999999999991</v>
      </c>
      <c r="G23" s="71">
        <f t="shared" si="2"/>
        <v>96.020399999999995</v>
      </c>
      <c r="H23" s="71">
        <f>VLOOKUP($B23,'[1]Products by Part Number'!$A:$L,6,0)</f>
        <v>3.77</v>
      </c>
      <c r="I23" s="79">
        <f t="shared" si="0"/>
        <v>52.78</v>
      </c>
    </row>
    <row r="24" spans="2:9" x14ac:dyDescent="0.25">
      <c r="B24" s="78" t="s">
        <v>195</v>
      </c>
      <c r="C24" s="68" t="str">
        <f>VLOOKUP($B24,'[1]Products by Part Number'!$A:$L,2,0)</f>
        <v xml:space="preserve">CAT 255 CAT 255 (2) CAT 255 (FL7)                                          </v>
      </c>
      <c r="D24" s="68" t="str">
        <f>VLOOKUP($B24,'[1]Products by Part Number'!$A:$L,3,0)</f>
        <v>CUTTING EDGE</v>
      </c>
      <c r="E24" s="69">
        <f>VLOOKUP($B24,'[1]Products by Part Number'!$A:$L,12,0)</f>
        <v>6</v>
      </c>
      <c r="F24" s="70">
        <f>VLOOKUP($B24,'[1]Products by Part Number'!$A:$L,4,0)</f>
        <v>308.64</v>
      </c>
      <c r="G24" s="71">
        <f t="shared" si="2"/>
        <v>1851.84</v>
      </c>
      <c r="H24" s="71">
        <f>VLOOKUP($B24,'[1]Products by Part Number'!$A:$L,6,0)</f>
        <v>169.75</v>
      </c>
      <c r="I24" s="79">
        <f t="shared" si="0"/>
        <v>1018.5</v>
      </c>
    </row>
    <row r="25" spans="2:9" x14ac:dyDescent="0.25">
      <c r="B25" s="78" t="s">
        <v>196</v>
      </c>
      <c r="C25" s="68" t="str">
        <f>VLOOKUP($B25,'[1]Products by Part Number'!$A:$L,2,0)</f>
        <v xml:space="preserve">KOM D61PX-24 (B60)                                              </v>
      </c>
      <c r="D25" s="68" t="str">
        <f>VLOOKUP($B25,'[1]Products by Part Number'!$A:$L,3,0)</f>
        <v>CUTTING EDGE</v>
      </c>
      <c r="E25" s="69">
        <f>VLOOKUP($B25,'[1]Products by Part Number'!$A:$L,12,0)</f>
        <v>5</v>
      </c>
      <c r="F25" s="70">
        <f>VLOOKUP($B25,'[1]Products by Part Number'!$A:$L,4,0)</f>
        <v>344.77</v>
      </c>
      <c r="G25" s="71">
        <f t="shared" si="2"/>
        <v>1723.85</v>
      </c>
      <c r="H25" s="71">
        <f>VLOOKUP($B25,'[1]Products by Part Number'!$A:$L,6,0)</f>
        <v>189.62</v>
      </c>
      <c r="I25" s="79">
        <f t="shared" si="0"/>
        <v>948.1</v>
      </c>
    </row>
    <row r="26" spans="2:9" x14ac:dyDescent="0.25">
      <c r="B26" s="78" t="s">
        <v>197</v>
      </c>
      <c r="C26" s="68" t="str">
        <f>VLOOKUP($B26,'[1]Products by Part Number'!$A:$L,2,0)</f>
        <v xml:space="preserve">KOM D71PX-24 (1) KOM D71PX-24 (2) KOM D71PX-24 (3) KOM D71PX-24 (4) KOM D71PX-24 (5) KOM D71PX-24 (6) KOM D71PX-24 (7)                                  </v>
      </c>
      <c r="D26" s="68" t="str">
        <f>VLOOKUP($B26,'[1]Products by Part Number'!$A:$L,3,0)</f>
        <v>CUTTING EDGE</v>
      </c>
      <c r="E26" s="69">
        <f>VLOOKUP($B26,'[1]Products by Part Number'!$A:$L,12,0)</f>
        <v>70</v>
      </c>
      <c r="F26" s="70">
        <f>VLOOKUP($B26,'[1]Products by Part Number'!$A:$L,4,0)</f>
        <v>234.92</v>
      </c>
      <c r="G26" s="71">
        <f t="shared" si="2"/>
        <v>16444.399999999998</v>
      </c>
      <c r="H26" s="71">
        <f>VLOOKUP($B26,'[1]Products by Part Number'!$A:$L,6,0)</f>
        <v>129.21</v>
      </c>
      <c r="I26" s="79">
        <f t="shared" si="0"/>
        <v>9044.7000000000007</v>
      </c>
    </row>
    <row r="27" spans="2:9" x14ac:dyDescent="0.25">
      <c r="B27" s="78" t="s">
        <v>198</v>
      </c>
      <c r="C27" s="68" t="str">
        <f>VLOOKUP($B27,'[1]Products by Part Number'!$A:$L,2,0)</f>
        <v xml:space="preserve">KOM D61PX-24 (B60)                                              </v>
      </c>
      <c r="D27" s="68" t="str">
        <f>VLOOKUP($B27,'[1]Products by Part Number'!$A:$L,3,0)</f>
        <v>CUTTING EDGE</v>
      </c>
      <c r="E27" s="69">
        <f>VLOOKUP($B27,'[1]Products by Part Number'!$A:$L,12,0)</f>
        <v>10</v>
      </c>
      <c r="F27" s="70">
        <f>VLOOKUP($B27,'[1]Products by Part Number'!$A:$L,4,0)</f>
        <v>270.64</v>
      </c>
      <c r="G27" s="71">
        <f t="shared" si="2"/>
        <v>2706.3999999999996</v>
      </c>
      <c r="H27" s="71">
        <f>VLOOKUP($B27,'[1]Products by Part Number'!$A:$L,6,0)</f>
        <v>148.85</v>
      </c>
      <c r="I27" s="79">
        <f t="shared" si="0"/>
        <v>1488.5</v>
      </c>
    </row>
    <row r="28" spans="2:9" x14ac:dyDescent="0.25">
      <c r="B28" s="78" t="s">
        <v>199</v>
      </c>
      <c r="C28" s="68" t="str">
        <f>VLOOKUP($B28,'[1]Products by Part Number'!$A:$L,2,0)</f>
        <v xml:space="preserve">KOM D71PX-24 (1) KOM D71PX-24 (2) KOM D71PX-24 (3) KOM D71PX-24 (4) KOM D71PX-24 (5) KOM D71PX-24 (6) KOM D71PX-24 (7)                                  </v>
      </c>
      <c r="D28" s="68" t="str">
        <f>VLOOKUP($B28,'[1]Products by Part Number'!$A:$L,3,0)</f>
        <v>TOOTH RIPPER</v>
      </c>
      <c r="E28" s="69">
        <f>VLOOKUP($B28,'[1]Products by Part Number'!$A:$L,12,0)</f>
        <v>168</v>
      </c>
      <c r="F28" s="70">
        <f>VLOOKUP($B28,'[1]Products by Part Number'!$A:$L,4,0)</f>
        <v>129.46</v>
      </c>
      <c r="G28" s="71">
        <f t="shared" si="2"/>
        <v>21749.280000000002</v>
      </c>
      <c r="H28" s="71">
        <f>VLOOKUP($B28,'[1]Products by Part Number'!$A:$L,6,0)</f>
        <v>71.2</v>
      </c>
      <c r="I28" s="79">
        <f t="shared" si="0"/>
        <v>11961.6</v>
      </c>
    </row>
    <row r="29" spans="2:9" x14ac:dyDescent="0.25">
      <c r="B29" s="78" t="s">
        <v>200</v>
      </c>
      <c r="C29" s="68" t="str">
        <f>VLOOKUP($B29,'[1]Products by Part Number'!$A:$L,2,0)</f>
        <v xml:space="preserve">KOM D71PX-24 (1) KOM D71PX-24 (2) KOM D71PX-24 (3) KOM D71PX-24 (4) KOM D71PX-24 (5) KOM D71PX-24 (6) KOM D71PX-24 (7)                                  </v>
      </c>
      <c r="D29" s="68" t="str">
        <f>VLOOKUP($B29,'[1]Products by Part Number'!$A:$L,3,0)</f>
        <v>RIPPER SHANK</v>
      </c>
      <c r="E29" s="69">
        <f>VLOOKUP($B29,'[1]Products by Part Number'!$A:$L,12,0)</f>
        <v>21</v>
      </c>
      <c r="F29" s="70">
        <f>VLOOKUP($B29,'[1]Products by Part Number'!$A:$L,4,0)</f>
        <v>2046.93</v>
      </c>
      <c r="G29" s="71">
        <f t="shared" si="2"/>
        <v>42985.53</v>
      </c>
      <c r="H29" s="71">
        <f>VLOOKUP($B29,'[1]Products by Part Number'!$A:$L,6,0)</f>
        <v>1125.81</v>
      </c>
      <c r="I29" s="79">
        <f t="shared" si="0"/>
        <v>23642.01</v>
      </c>
    </row>
    <row r="30" spans="2:9" x14ac:dyDescent="0.25">
      <c r="B30" s="78" t="s">
        <v>201</v>
      </c>
      <c r="C30" s="68" t="str">
        <f>VLOOKUP($B30,'[1]Products by Part Number'!$A:$L,2,0)</f>
        <v xml:space="preserve">JD 624K (DW6) JD 764 (100)                                            </v>
      </c>
      <c r="D30" s="68" t="str">
        <f>VLOOKUP($B30,'[1]Products by Part Number'!$A:$L,3,0)</f>
        <v>NUT CUTTING EDGE</v>
      </c>
      <c r="E30" s="69">
        <f>VLOOKUP($B30,'[1]Products by Part Number'!$A:$L,12,0)</f>
        <v>129</v>
      </c>
      <c r="F30" s="70">
        <f>VLOOKUP($B30,'[1]Products by Part Number'!$A:$L,4,0)</f>
        <v>4.4849999999999994</v>
      </c>
      <c r="G30" s="71">
        <f t="shared" si="2"/>
        <v>578.56499999999994</v>
      </c>
      <c r="H30" s="71">
        <f>VLOOKUP($B30,'[1]Products by Part Number'!$A:$L,6,0)</f>
        <v>2.4700000000000002</v>
      </c>
      <c r="I30" s="79">
        <f t="shared" si="0"/>
        <v>318.63</v>
      </c>
    </row>
    <row r="31" spans="2:9" x14ac:dyDescent="0.25">
      <c r="B31" s="78" t="s">
        <v>202</v>
      </c>
      <c r="C31" s="68" t="str">
        <f>VLOOKUP($B31,'[1]Products by Part Number'!$A:$L,2,0)</f>
        <v xml:space="preserve">JD 333G (1T0)                                              </v>
      </c>
      <c r="D31" s="68" t="str">
        <f>VLOOKUP($B31,'[1]Products by Part Number'!$A:$L,3,0)</f>
        <v>NUT CUTTING EDGE</v>
      </c>
      <c r="E31" s="69">
        <f>VLOOKUP($B31,'[1]Products by Part Number'!$A:$L,12,0)</f>
        <v>14</v>
      </c>
      <c r="F31" s="70">
        <f>VLOOKUP($B31,'[1]Products by Part Number'!$A:$L,4,0)</f>
        <v>4.0434000000000001</v>
      </c>
      <c r="G31" s="71">
        <f t="shared" si="2"/>
        <v>56.607600000000005</v>
      </c>
      <c r="H31" s="71">
        <f>VLOOKUP($B31,'[1]Products by Part Number'!$A:$L,6,0)</f>
        <v>2.2200000000000002</v>
      </c>
      <c r="I31" s="79">
        <f t="shared" si="0"/>
        <v>31.08</v>
      </c>
    </row>
    <row r="32" spans="2:9" x14ac:dyDescent="0.25">
      <c r="B32" s="78" t="s">
        <v>203</v>
      </c>
      <c r="C32" s="68" t="str">
        <f>VLOOKUP($B32,'[1]Products by Part Number'!$A:$L,2,0)</f>
        <v xml:space="preserve">KOM D71PX-24 (1) KOM D71PX-24 (2) KOM D71PX-24 (3) KOM D71PX-24 (4) KOM D71PX-24 (5) KOM D71PX-24 (6) KOM D71PX-24 (7)                                  </v>
      </c>
      <c r="D32" s="68" t="str">
        <f>VLOOKUP($B32,'[1]Products by Part Number'!$A:$L,3,0)</f>
        <v>CUTTING EDGE</v>
      </c>
      <c r="E32" s="69">
        <f>VLOOKUP($B32,'[1]Products by Part Number'!$A:$L,12,0)</f>
        <v>35</v>
      </c>
      <c r="F32" s="70">
        <f>VLOOKUP($B32,'[1]Products by Part Number'!$A:$L,4,0)</f>
        <v>325.91000000000003</v>
      </c>
      <c r="G32" s="71">
        <f t="shared" si="2"/>
        <v>11406.85</v>
      </c>
      <c r="H32" s="71">
        <f>VLOOKUP($B32,'[1]Products by Part Number'!$A:$L,6,0)</f>
        <v>179.25</v>
      </c>
      <c r="I32" s="79">
        <f t="shared" si="0"/>
        <v>6273.75</v>
      </c>
    </row>
    <row r="33" spans="2:9" x14ac:dyDescent="0.25">
      <c r="B33" s="78" t="s">
        <v>204</v>
      </c>
      <c r="C33" s="68" t="str">
        <f>VLOOKUP($B33,'[1]Products by Part Number'!$A:$L,2,0)</f>
        <v xml:space="preserve">KOM D71PX-24 (1) KOM D71PX-24 (2) KOM D71PX-24 (3) KOM D71PX-24 (4) KOM D71PX-24 (5) KOM D71PX-24 (6) KOM D71PX-24 (7)                                  </v>
      </c>
      <c r="D33" s="68" t="str">
        <f>VLOOKUP($B33,'[1]Products by Part Number'!$A:$L,3,0)</f>
        <v>BIT END LH</v>
      </c>
      <c r="E33" s="69">
        <f>VLOOKUP($B33,'[1]Products by Part Number'!$A:$L,12,0)</f>
        <v>35</v>
      </c>
      <c r="F33" s="70">
        <f>VLOOKUP($B33,'[1]Products by Part Number'!$A:$L,4,0)</f>
        <v>185.79</v>
      </c>
      <c r="G33" s="71">
        <f t="shared" si="2"/>
        <v>6502.65</v>
      </c>
      <c r="H33" s="71">
        <f>VLOOKUP($B33,'[1]Products by Part Number'!$A:$L,6,0)</f>
        <v>102.18</v>
      </c>
      <c r="I33" s="79">
        <f t="shared" si="0"/>
        <v>3576.3</v>
      </c>
    </row>
    <row r="34" spans="2:9" x14ac:dyDescent="0.25">
      <c r="B34" s="78" t="s">
        <v>205</v>
      </c>
      <c r="C34" s="68" t="str">
        <f>VLOOKUP($B34,'[1]Products by Part Number'!$A:$L,2,0)</f>
        <v xml:space="preserve">KOM D71PX-24 (1) KOM D71PX-24 (2) KOM D71PX-24 (3) KOM D71PX-24 (4) KOM D71PX-24 (5) KOM D71PX-24 (6) KOM D71PX-24 (7)                                  </v>
      </c>
      <c r="D34" s="68" t="str">
        <f>VLOOKUP($B34,'[1]Products by Part Number'!$A:$L,3,0)</f>
        <v>BIT END RH</v>
      </c>
      <c r="E34" s="69">
        <f>VLOOKUP($B34,'[1]Products by Part Number'!$A:$L,12,0)</f>
        <v>35</v>
      </c>
      <c r="F34" s="70">
        <f>VLOOKUP($B34,'[1]Products by Part Number'!$A:$L,4,0)</f>
        <v>196.94</v>
      </c>
      <c r="G34" s="71">
        <f t="shared" si="2"/>
        <v>6892.9</v>
      </c>
      <c r="H34" s="71">
        <f>VLOOKUP($B34,'[1]Products by Part Number'!$A:$L,6,0)</f>
        <v>108.32</v>
      </c>
      <c r="I34" s="79">
        <f t="shared" si="0"/>
        <v>3791.2</v>
      </c>
    </row>
    <row r="35" spans="2:9" x14ac:dyDescent="0.25">
      <c r="B35" s="78" t="s">
        <v>206</v>
      </c>
      <c r="C35" s="68" t="str">
        <f>VLOOKUP($B35,'[1]Products by Part Number'!$A:$L,2,0)</f>
        <v xml:space="preserve">CAT 255 CAT 255 (2) CAT 255 (FL7)                                          </v>
      </c>
      <c r="D35" s="68" t="str">
        <f>VLOOKUP($B35,'[1]Products by Part Number'!$A:$L,3,0)</f>
        <v>BOLT CUTTING EDGE</v>
      </c>
      <c r="E35" s="69">
        <f>VLOOKUP($B35,'[1]Products by Part Number'!$A:$L,12,0)</f>
        <v>48</v>
      </c>
      <c r="F35" s="70">
        <f>VLOOKUP($B35,'[1]Products by Part Number'!$A:$L,4,0)</f>
        <v>4.6500000000000004</v>
      </c>
      <c r="G35" s="71">
        <f t="shared" si="2"/>
        <v>223.20000000000002</v>
      </c>
      <c r="H35" s="71">
        <f>VLOOKUP($B35,'[1]Products by Part Number'!$A:$L,6,0)</f>
        <v>2.56</v>
      </c>
      <c r="I35" s="79">
        <f t="shared" si="0"/>
        <v>122.88</v>
      </c>
    </row>
    <row r="36" spans="2:9" x14ac:dyDescent="0.25">
      <c r="B36" s="78" t="s">
        <v>40</v>
      </c>
      <c r="C36" s="68" t="str">
        <f>VLOOKUP($B36,'[1]Products by Part Number'!$A:$L,2,0)</f>
        <v xml:space="preserve">CAT 14 (EN4)                                              </v>
      </c>
      <c r="D36" s="68" t="str">
        <f>VLOOKUP($B36,'[1]Products by Part Number'!$A:$L,3,0)</f>
        <v>NUTS CUTTING EDGE/BIT END</v>
      </c>
      <c r="E36" s="69">
        <f>VLOOKUP($B36,'[1]Products by Part Number'!$A:$L,12,0)</f>
        <v>660</v>
      </c>
      <c r="F36" s="70">
        <f>VLOOKUP($B36,'[1]Products by Part Number'!$A:$L,4,0)</f>
        <v>3.53</v>
      </c>
      <c r="G36" s="71">
        <f t="shared" si="2"/>
        <v>2329.7999999999997</v>
      </c>
      <c r="H36" s="71">
        <f>VLOOKUP($B36,'[1]Products by Part Number'!$A:$L,6,0)</f>
        <v>1.94</v>
      </c>
      <c r="I36" s="79">
        <f t="shared" si="0"/>
        <v>1280.4000000000001</v>
      </c>
    </row>
    <row r="37" spans="2:9" x14ac:dyDescent="0.25">
      <c r="B37" s="78" t="s">
        <v>207</v>
      </c>
      <c r="C37" s="68" t="str">
        <f>VLOOKUP($B37,'[1]Products by Part Number'!$A:$L,2,0)</f>
        <v xml:space="preserve">CAT 329EL (ZCD)                                              </v>
      </c>
      <c r="D37" s="68" t="str">
        <f>VLOOKUP($B37,'[1]Products by Part Number'!$A:$L,3,0)</f>
        <v>NUT CUTTING EDGE</v>
      </c>
      <c r="E37" s="69">
        <f>VLOOKUP($B37,'[1]Products by Part Number'!$A:$L,12,0)</f>
        <v>48</v>
      </c>
      <c r="F37" s="70">
        <f>VLOOKUP($B37,'[1]Products by Part Number'!$A:$L,4,0)</f>
        <v>7.97</v>
      </c>
      <c r="G37" s="71">
        <f t="shared" si="2"/>
        <v>382.56</v>
      </c>
      <c r="H37" s="71">
        <f>VLOOKUP($B37,'[1]Products by Part Number'!$A:$L,6,0)</f>
        <v>4.38</v>
      </c>
      <c r="I37" s="79">
        <f t="shared" si="0"/>
        <v>210.24</v>
      </c>
    </row>
    <row r="38" spans="2:9" x14ac:dyDescent="0.25">
      <c r="B38" s="78" t="s">
        <v>208</v>
      </c>
      <c r="C38" s="68" t="str">
        <f>VLOOKUP($B38,'[1]Products by Part Number'!$A:$L,2,0)</f>
        <v xml:space="preserve">KOM WA320-8 (867) KOM WA320PZ-6 (729)                                            </v>
      </c>
      <c r="D38" s="68" t="str">
        <f>VLOOKUP($B38,'[1]Products by Part Number'!$A:$L,3,0)</f>
        <v>CUTTING EDGE</v>
      </c>
      <c r="E38" s="69">
        <f>VLOOKUP($B38,'[1]Products by Part Number'!$A:$L,12,0)</f>
        <v>4</v>
      </c>
      <c r="F38" s="70">
        <f>VLOOKUP($B38,'[1]Products by Part Number'!$A:$L,4,0)</f>
        <v>1105.51</v>
      </c>
      <c r="G38" s="71">
        <f t="shared" si="2"/>
        <v>4422.04</v>
      </c>
      <c r="H38" s="71">
        <f>VLOOKUP($B38,'[1]Products by Part Number'!$A:$L,6,0)</f>
        <v>608.03</v>
      </c>
      <c r="I38" s="79">
        <f t="shared" si="0"/>
        <v>2432.12</v>
      </c>
    </row>
    <row r="39" spans="2:9" x14ac:dyDescent="0.25">
      <c r="B39" s="78" t="s">
        <v>209</v>
      </c>
      <c r="C39" s="68" t="str">
        <f>VLOOKUP($B39,'[1]Products by Part Number'!$A:$L,2,0)</f>
        <v xml:space="preserve">KOM WA320-8 (867) KOM WA320PZ-6 (729)                                            </v>
      </c>
      <c r="D39" s="68" t="str">
        <f>VLOOKUP($B39,'[1]Products by Part Number'!$A:$L,3,0)</f>
        <v>CUTTING EDGE</v>
      </c>
      <c r="E39" s="69">
        <f>VLOOKUP($B39,'[1]Products by Part Number'!$A:$L,12,0)</f>
        <v>8</v>
      </c>
      <c r="F39" s="70">
        <f>VLOOKUP($B39,'[1]Products by Part Number'!$A:$L,4,0)</f>
        <v>414.98</v>
      </c>
      <c r="G39" s="71">
        <f t="shared" si="2"/>
        <v>3319.84</v>
      </c>
      <c r="H39" s="71">
        <f>VLOOKUP($B39,'[1]Products by Part Number'!$A:$L,6,0)</f>
        <v>228.24</v>
      </c>
      <c r="I39" s="79">
        <f t="shared" si="0"/>
        <v>1825.92</v>
      </c>
    </row>
    <row r="40" spans="2:9" x14ac:dyDescent="0.25">
      <c r="B40" s="78" t="s">
        <v>210</v>
      </c>
      <c r="C40" s="68" t="str">
        <f>VLOOKUP($B40,'[1]Products by Part Number'!$A:$L,2,0)</f>
        <v xml:space="preserve">KOM WA475-10 (120)                                              </v>
      </c>
      <c r="D40" s="68" t="str">
        <f>VLOOKUP($B40,'[1]Products by Part Number'!$A:$L,3,0)</f>
        <v>CUTTING EDGE</v>
      </c>
      <c r="E40" s="69">
        <f>VLOOKUP($B40,'[1]Products by Part Number'!$A:$L,12,0)</f>
        <v>4</v>
      </c>
      <c r="F40" s="70">
        <f>VLOOKUP($B40,'[1]Products by Part Number'!$A:$L,4,0)</f>
        <v>1014.34</v>
      </c>
      <c r="G40" s="71">
        <f t="shared" si="2"/>
        <v>4057.36</v>
      </c>
      <c r="H40" s="71">
        <f>VLOOKUP($B40,'[1]Products by Part Number'!$A:$L,6,0)</f>
        <v>557.89</v>
      </c>
      <c r="I40" s="79">
        <f t="shared" si="0"/>
        <v>2231.56</v>
      </c>
    </row>
    <row r="41" spans="2:9" x14ac:dyDescent="0.25">
      <c r="B41" s="78" t="s">
        <v>211</v>
      </c>
      <c r="C41" s="68" t="str">
        <f>VLOOKUP($B41,'[1]Products by Part Number'!$A:$L,2,0)</f>
        <v xml:space="preserve">KOM WA475-10 (120)                                              </v>
      </c>
      <c r="D41" s="68" t="str">
        <f>VLOOKUP($B41,'[1]Products by Part Number'!$A:$L,3,0)</f>
        <v>CUTING EDGE</v>
      </c>
      <c r="E41" s="69">
        <f>VLOOKUP($B41,'[1]Products by Part Number'!$A:$L,12,0)</f>
        <v>4</v>
      </c>
      <c r="F41" s="70">
        <f>VLOOKUP($B41,'[1]Products by Part Number'!$A:$L,4,0)</f>
        <v>400.54</v>
      </c>
      <c r="G41" s="71">
        <f t="shared" si="2"/>
        <v>1602.16</v>
      </c>
      <c r="H41" s="71">
        <f>VLOOKUP($B41,'[1]Products by Part Number'!$A:$L,6,0)</f>
        <v>220.3</v>
      </c>
      <c r="I41" s="79">
        <f t="shared" si="0"/>
        <v>881.2</v>
      </c>
    </row>
    <row r="42" spans="2:9" x14ac:dyDescent="0.25">
      <c r="B42" s="78" t="s">
        <v>212</v>
      </c>
      <c r="C42" s="68" t="str">
        <f>VLOOKUP($B42,'[1]Products by Part Number'!$A:$L,2,0)</f>
        <v xml:space="preserve">KOM WA380-8 (1) KOM WA380-8 (2)                                            </v>
      </c>
      <c r="D42" s="68" t="str">
        <f>VLOOKUP($B42,'[1]Products by Part Number'!$A:$L,3,0)</f>
        <v>CUTTING EDGE</v>
      </c>
      <c r="E42" s="69">
        <f>VLOOKUP($B42,'[1]Products by Part Number'!$A:$L,12,0)</f>
        <v>8</v>
      </c>
      <c r="F42" s="70">
        <f>VLOOKUP($B42,'[1]Products by Part Number'!$A:$L,4,0)</f>
        <v>396.35</v>
      </c>
      <c r="G42" s="71">
        <f t="shared" si="2"/>
        <v>3170.8</v>
      </c>
      <c r="H42" s="71">
        <f>VLOOKUP($B42,'[1]Products by Part Number'!$A:$L,6,0)</f>
        <v>217.99</v>
      </c>
      <c r="I42" s="79">
        <f t="shared" si="0"/>
        <v>1743.92</v>
      </c>
    </row>
    <row r="43" spans="2:9" x14ac:dyDescent="0.25">
      <c r="B43" s="78" t="s">
        <v>213</v>
      </c>
      <c r="C43" s="68" t="str">
        <f>VLOOKUP($B43,'[1]Products by Part Number'!$A:$L,2,0)</f>
        <v xml:space="preserve">KOM WA380-8 (1) KOM WA380-8 (2)                                            </v>
      </c>
      <c r="D43" s="68" t="str">
        <f>VLOOKUP($B43,'[1]Products by Part Number'!$A:$L,3,0)</f>
        <v>CUTTING EDGE</v>
      </c>
      <c r="E43" s="69">
        <f>VLOOKUP($B43,'[1]Products by Part Number'!$A:$L,12,0)</f>
        <v>4</v>
      </c>
      <c r="F43" s="70">
        <f>VLOOKUP($B43,'[1]Products by Part Number'!$A:$L,4,0)</f>
        <v>1133.8699999999999</v>
      </c>
      <c r="G43" s="71">
        <f t="shared" si="2"/>
        <v>4535.4799999999996</v>
      </c>
      <c r="H43" s="71">
        <f>VLOOKUP($B43,'[1]Products by Part Number'!$A:$L,6,0)</f>
        <v>623.63</v>
      </c>
      <c r="I43" s="79">
        <f t="shared" si="0"/>
        <v>2494.52</v>
      </c>
    </row>
    <row r="44" spans="2:9" x14ac:dyDescent="0.25">
      <c r="B44" s="78" t="s">
        <v>214</v>
      </c>
      <c r="C44" s="68" t="str">
        <f>VLOOKUP($B44,'[1]Products by Part Number'!$A:$L,2,0)</f>
        <v xml:space="preserve">CAT 329EL (ZCD)                                              </v>
      </c>
      <c r="D44" s="68" t="str">
        <f>VLOOKUP($B44,'[1]Products by Part Number'!$A:$L,3,0)</f>
        <v>CUTTING EDGE BUCKET</v>
      </c>
      <c r="E44" s="69">
        <f>VLOOKUP($B44,'[1]Products by Part Number'!$A:$L,12,0)</f>
        <v>12</v>
      </c>
      <c r="F44" s="70">
        <f>VLOOKUP($B44,'[1]Products by Part Number'!$A:$L,4,0)</f>
        <v>242.74</v>
      </c>
      <c r="G44" s="71">
        <f t="shared" si="2"/>
        <v>2912.88</v>
      </c>
      <c r="H44" s="71">
        <f>VLOOKUP($B44,'[1]Products by Part Number'!$A:$L,6,0)</f>
        <v>133.51</v>
      </c>
      <c r="I44" s="79">
        <f t="shared" si="0"/>
        <v>1602.12</v>
      </c>
    </row>
    <row r="45" spans="2:9" x14ac:dyDescent="0.25">
      <c r="B45" s="78" t="s">
        <v>215</v>
      </c>
      <c r="C45" s="68" t="str">
        <f>VLOOKUP($B45,'[1]Products by Part Number'!$A:$L,2,0)</f>
        <v xml:space="preserve">CAT 329EL (ZCD)                                              </v>
      </c>
      <c r="D45" s="68" t="str">
        <f>VLOOKUP($B45,'[1]Products by Part Number'!$A:$L,3,0)</f>
        <v>BOLT CUTTING EDGE</v>
      </c>
      <c r="E45" s="69">
        <f>VLOOKUP($B45,'[1]Products by Part Number'!$A:$L,12,0)</f>
        <v>48</v>
      </c>
      <c r="F45" s="70">
        <f>VLOOKUP($B45,'[1]Products by Part Number'!$A:$L,4,0)</f>
        <v>10.41</v>
      </c>
      <c r="G45" s="71">
        <f t="shared" si="2"/>
        <v>499.68</v>
      </c>
      <c r="H45" s="71">
        <f>VLOOKUP($B45,'[1]Products by Part Number'!$A:$L,6,0)</f>
        <v>5.73</v>
      </c>
      <c r="I45" s="79">
        <f t="shared" si="0"/>
        <v>275.04000000000002</v>
      </c>
    </row>
    <row r="46" spans="2:9" x14ac:dyDescent="0.25">
      <c r="B46" s="78" t="s">
        <v>216</v>
      </c>
      <c r="C46" s="68" t="str">
        <f>VLOOKUP($B46,'[1]Products by Part Number'!$A:$L,2,0)</f>
        <v xml:space="preserve">CAT 14 (EN4)                                              </v>
      </c>
      <c r="D46" s="68" t="str">
        <f>VLOOKUP($B46,'[1]Products by Part Number'!$A:$L,3,0)</f>
        <v>CUTTING EDGE</v>
      </c>
      <c r="E46" s="69">
        <f>VLOOKUP($B46,'[1]Products by Part Number'!$A:$L,12,0)</f>
        <v>4</v>
      </c>
      <c r="F46" s="70">
        <f>VLOOKUP($B46,'[1]Products by Part Number'!$A:$L,4,0)</f>
        <v>492.82</v>
      </c>
      <c r="G46" s="71">
        <f t="shared" si="2"/>
        <v>1971.28</v>
      </c>
      <c r="H46" s="71">
        <f>VLOOKUP($B46,'[1]Products by Part Number'!$A:$L,6,0)</f>
        <v>271.05</v>
      </c>
      <c r="I46" s="79">
        <f t="shared" si="0"/>
        <v>1084.2</v>
      </c>
    </row>
    <row r="47" spans="2:9" x14ac:dyDescent="0.25">
      <c r="B47" s="78" t="s">
        <v>42</v>
      </c>
      <c r="C47" s="68" t="str">
        <f>VLOOKUP($B47,'[1]Products by Part Number'!$A:$L,2,0)</f>
        <v xml:space="preserve">CAT 14 (EN4)                                              </v>
      </c>
      <c r="D47" s="68" t="str">
        <f>VLOOKUP($B47,'[1]Products by Part Number'!$A:$L,3,0)</f>
        <v>BOLTS CUTTING EDGE/BIT END</v>
      </c>
      <c r="E47" s="69">
        <f>VLOOKUP($B47,'[1]Products by Part Number'!$A:$L,12,0)</f>
        <v>660</v>
      </c>
      <c r="F47" s="70">
        <f>VLOOKUP($B47,'[1]Products by Part Number'!$A:$L,4,0)</f>
        <v>4.3600000000000003</v>
      </c>
      <c r="G47" s="71">
        <f t="shared" si="2"/>
        <v>2877.6000000000004</v>
      </c>
      <c r="H47" s="71">
        <f>VLOOKUP($B47,'[1]Products by Part Number'!$A:$L,6,0)</f>
        <v>2.4</v>
      </c>
      <c r="I47" s="79">
        <f t="shared" si="0"/>
        <v>1584</v>
      </c>
    </row>
    <row r="48" spans="2:9" x14ac:dyDescent="0.25">
      <c r="B48" s="78" t="s">
        <v>217</v>
      </c>
      <c r="C48" s="68" t="str">
        <f>VLOOKUP($B48,'[1]Products by Part Number'!$A:$L,2,0)</f>
        <v xml:space="preserve">CAT 329EL (ZCD)                                              </v>
      </c>
      <c r="D48" s="68" t="str">
        <f>VLOOKUP($B48,'[1]Products by Part Number'!$A:$L,3,0)</f>
        <v>WASHER CUTTING EDGE</v>
      </c>
      <c r="E48" s="69">
        <f>VLOOKUP($B48,'[1]Products by Part Number'!$A:$L,12,0)</f>
        <v>48</v>
      </c>
      <c r="F48" s="70">
        <f>VLOOKUP($B48,'[1]Products by Part Number'!$A:$L,4,0)</f>
        <v>7.38</v>
      </c>
      <c r="G48" s="71">
        <f t="shared" si="2"/>
        <v>354.24</v>
      </c>
      <c r="H48" s="71">
        <f>VLOOKUP($B48,'[1]Products by Part Number'!$A:$L,6,0)</f>
        <v>4.0599999999999996</v>
      </c>
      <c r="I48" s="79">
        <f t="shared" si="0"/>
        <v>194.88</v>
      </c>
    </row>
    <row r="49" spans="2:9" x14ac:dyDescent="0.25">
      <c r="B49" s="78" t="s">
        <v>218</v>
      </c>
      <c r="C49" s="68" t="str">
        <f>VLOOKUP($B49,'[1]Products by Part Number'!$A:$L,2,0)</f>
        <v xml:space="preserve">CAT 14 (EN4)                                              </v>
      </c>
      <c r="D49" s="68" t="str">
        <f>VLOOKUP($B49,'[1]Products by Part Number'!$A:$L,3,0)</f>
        <v>BIT END</v>
      </c>
      <c r="E49" s="69">
        <f>VLOOKUP($B49,'[1]Products by Part Number'!$A:$L,12,0)</f>
        <v>2</v>
      </c>
      <c r="F49" s="70">
        <f>VLOOKUP($B49,'[1]Products by Part Number'!$A:$L,4,0)</f>
        <v>221.04</v>
      </c>
      <c r="G49" s="71">
        <f t="shared" si="2"/>
        <v>442.08</v>
      </c>
      <c r="H49" s="71">
        <f>VLOOKUP($B49,'[1]Products by Part Number'!$A:$L,6,0)</f>
        <v>121.57</v>
      </c>
      <c r="I49" s="79">
        <f t="shared" si="0"/>
        <v>243.14</v>
      </c>
    </row>
    <row r="50" spans="2:9" x14ac:dyDescent="0.25">
      <c r="B50" s="78" t="s">
        <v>219</v>
      </c>
      <c r="C50" s="68" t="str">
        <f>VLOOKUP($B50,'[1]Products by Part Number'!$A:$L,2,0)</f>
        <v xml:space="preserve">CAT 255 CAT 255 (2) CAT 255 (FL7)                                          </v>
      </c>
      <c r="D50" s="68" t="str">
        <f>VLOOKUP($B50,'[1]Products by Part Number'!$A:$L,3,0)</f>
        <v>NUT CUTTING EDGE</v>
      </c>
      <c r="E50" s="69">
        <f>VLOOKUP($B50,'[1]Products by Part Number'!$A:$L,12,0)</f>
        <v>48</v>
      </c>
      <c r="F50" s="70">
        <f>VLOOKUP($B50,'[1]Products by Part Number'!$A:$L,4,0)</f>
        <v>8.8699999999999992</v>
      </c>
      <c r="G50" s="71">
        <f t="shared" si="2"/>
        <v>425.76</v>
      </c>
      <c r="H50" s="71">
        <f>VLOOKUP($B50,'[1]Products by Part Number'!$A:$L,6,0)</f>
        <v>4.88</v>
      </c>
      <c r="I50" s="79">
        <f t="shared" si="0"/>
        <v>234.24</v>
      </c>
    </row>
    <row r="51" spans="2:9" x14ac:dyDescent="0.25">
      <c r="B51" s="78" t="s">
        <v>220</v>
      </c>
      <c r="C51" s="68" t="str">
        <f>VLOOKUP($B51,'[1]Products by Part Number'!$A:$L,2,0)</f>
        <v xml:space="preserve">KOM PC138USLC-11 KOM PC238USLC-11 (1)                                            </v>
      </c>
      <c r="D51" s="68" t="str">
        <f>VLOOKUP($B51,'[1]Products by Part Number'!$A:$L,3,0)</f>
        <v>TOOTH BUCKET</v>
      </c>
      <c r="E51" s="69">
        <f>VLOOKUP($B51,'[1]Products by Part Number'!$A:$L,12,0)</f>
        <v>48</v>
      </c>
      <c r="F51" s="70">
        <f>VLOOKUP($B51,'[1]Products by Part Number'!$A:$L,4,0)</f>
        <v>141.79</v>
      </c>
      <c r="G51" s="71">
        <f t="shared" si="2"/>
        <v>6805.92</v>
      </c>
      <c r="H51" s="71">
        <f>VLOOKUP($B51,'[1]Products by Part Number'!$A:$L,6,0)</f>
        <v>77.98</v>
      </c>
      <c r="I51" s="79">
        <f t="shared" si="0"/>
        <v>3743.04</v>
      </c>
    </row>
    <row r="52" spans="2:9" x14ac:dyDescent="0.25">
      <c r="B52" s="78" t="s">
        <v>221</v>
      </c>
      <c r="C52" s="68" t="str">
        <f>VLOOKUP($B52,'[1]Products by Part Number'!$A:$L,2,0)</f>
        <v xml:space="preserve">KOM PC360LC-11 (A37) KOM PC360LC-11 (A39) KOM PC360LC-11 (A39) (2) KOM PC290LC-11 (K73)                                        </v>
      </c>
      <c r="D52" s="68" t="str">
        <f>VLOOKUP($B52,'[1]Products by Part Number'!$A:$L,3,0)</f>
        <v>TOOTH BUCKET</v>
      </c>
      <c r="E52" s="69">
        <f>VLOOKUP($B52,'[1]Products by Part Number'!$A:$L,12,0)</f>
        <v>96</v>
      </c>
      <c r="F52" s="70">
        <f>VLOOKUP($B52,'[1]Products by Part Number'!$A:$L,4,0)</f>
        <v>338.5</v>
      </c>
      <c r="G52" s="71">
        <f t="shared" si="2"/>
        <v>32496</v>
      </c>
      <c r="H52" s="71">
        <f>VLOOKUP($B52,'[1]Products by Part Number'!$A:$L,6,0)</f>
        <v>186.18</v>
      </c>
      <c r="I52" s="79">
        <f t="shared" si="0"/>
        <v>17873.28</v>
      </c>
    </row>
    <row r="53" spans="2:9" x14ac:dyDescent="0.25">
      <c r="B53" s="78" t="s">
        <v>222</v>
      </c>
      <c r="C53" s="68" t="str">
        <f>VLOOKUP($B53,'[1]Products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</c>
      <c r="D53" s="68" t="str">
        <f>VLOOKUP($B53,'[1]Products by Part Number'!$A:$L,3,0)</f>
        <v>TOOTH BUCKET</v>
      </c>
      <c r="E53" s="69">
        <f>VLOOKUP($B53,'[1]Products by Part Number'!$A:$L,12,0)</f>
        <v>216</v>
      </c>
      <c r="F53" s="70">
        <f>VLOOKUP($B53,'[1]Products by Part Number'!$A:$L,4,0)</f>
        <v>378.83</v>
      </c>
      <c r="G53" s="71">
        <f t="shared" si="2"/>
        <v>81827.28</v>
      </c>
      <c r="H53" s="71">
        <f>VLOOKUP($B53,'[1]Products by Part Number'!$A:$L,6,0)</f>
        <v>208.36</v>
      </c>
      <c r="I53" s="79">
        <f t="shared" si="0"/>
        <v>45005.760000000002</v>
      </c>
    </row>
    <row r="54" spans="2:9" x14ac:dyDescent="0.25">
      <c r="B54" s="78" t="s">
        <v>223</v>
      </c>
      <c r="C54" s="68" t="str">
        <f>VLOOKUP($B54,'[1]Products by Part Number'!$A:$L,2,0)</f>
        <v xml:space="preserve">KOM PC138USLC-11 KOM PC238USLC-11 (1)                                            </v>
      </c>
      <c r="D54" s="68" t="str">
        <f>VLOOKUP($B54,'[1]Products by Part Number'!$A:$L,3,0)</f>
        <v>PIN TOOTH</v>
      </c>
      <c r="E54" s="69">
        <f>VLOOKUP($B54,'[1]Products by Part Number'!$A:$L,12,0)</f>
        <v>48</v>
      </c>
      <c r="F54" s="70">
        <f>VLOOKUP($B54,'[1]Products by Part Number'!$A:$L,4,0)</f>
        <v>62.19</v>
      </c>
      <c r="G54" s="71">
        <f t="shared" si="2"/>
        <v>2985.12</v>
      </c>
      <c r="H54" s="71">
        <f>VLOOKUP($B54,'[1]Products by Part Number'!$A:$L,6,0)</f>
        <v>34.200000000000003</v>
      </c>
      <c r="I54" s="79">
        <f t="shared" si="0"/>
        <v>1641.6</v>
      </c>
    </row>
    <row r="55" spans="2:9" x14ac:dyDescent="0.25">
      <c r="B55" s="78" t="s">
        <v>224</v>
      </c>
      <c r="C55" s="68" t="str">
        <f>VLOOKUP($B55,'[1]Products by Part Number'!$A:$L,2,0)</f>
        <v xml:space="preserve">KOM PC360LC-11 (A37) KOM PC360LC-11 (A39) KOM PC360LC-11 (A39) (2) KOM PC290LC-11 (K73)                                        </v>
      </c>
      <c r="D55" s="68" t="str">
        <f>VLOOKUP($B55,'[1]Products by Part Number'!$A:$L,3,0)</f>
        <v>PTI TOOTH</v>
      </c>
      <c r="E55" s="69">
        <f>VLOOKUP($B55,'[1]Products by Part Number'!$A:$L,12,0)</f>
        <v>96</v>
      </c>
      <c r="F55" s="70">
        <f>VLOOKUP($B55,'[1]Products by Part Number'!$A:$L,4,0)</f>
        <v>124.34</v>
      </c>
      <c r="G55" s="71">
        <f t="shared" si="2"/>
        <v>11936.64</v>
      </c>
      <c r="H55" s="71">
        <f>VLOOKUP($B55,'[1]Products by Part Number'!$A:$L,6,0)</f>
        <v>68.39</v>
      </c>
      <c r="I55" s="79">
        <f t="shared" si="0"/>
        <v>6565.44</v>
      </c>
    </row>
    <row r="56" spans="2:9" x14ac:dyDescent="0.25">
      <c r="B56" s="78" t="s">
        <v>225</v>
      </c>
      <c r="C56" s="68" t="str">
        <f>VLOOKUP($B56,'[1]Products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</c>
      <c r="D56" s="68" t="str">
        <f>VLOOKUP($B56,'[1]Products by Part Number'!$A:$L,3,0)</f>
        <v>PIN TOOTH</v>
      </c>
      <c r="E56" s="69">
        <f>VLOOKUP($B56,'[1]Products by Part Number'!$A:$L,12,0)</f>
        <v>216</v>
      </c>
      <c r="F56" s="70">
        <f>VLOOKUP($B56,'[1]Products by Part Number'!$A:$L,4,0)</f>
        <v>149.11000000000001</v>
      </c>
      <c r="G56" s="71">
        <f t="shared" si="2"/>
        <v>32207.760000000002</v>
      </c>
      <c r="H56" s="71">
        <f>VLOOKUP($B56,'[1]Products by Part Number'!$A:$L,6,0)</f>
        <v>82.01</v>
      </c>
      <c r="I56" s="79">
        <f t="shared" si="0"/>
        <v>17714.16</v>
      </c>
    </row>
    <row r="57" spans="2:9" x14ac:dyDescent="0.25">
      <c r="B57" s="78" t="s">
        <v>226</v>
      </c>
      <c r="C57" s="68" t="str">
        <f>VLOOKUP($B57,'[1]Products by Part Number'!$A:$L,2,0)</f>
        <v xml:space="preserve">KOM WA320-8 (867) KOM WA320PZ-6 (729)                                            </v>
      </c>
      <c r="D57" s="68" t="str">
        <f>VLOOKUP($B57,'[1]Products by Part Number'!$A:$L,3,0)</f>
        <v>NUT CUTTING EDGE</v>
      </c>
      <c r="E57" s="69">
        <f>VLOOKUP($B57,'[1]Products by Part Number'!$A:$L,12,0)</f>
        <v>32</v>
      </c>
      <c r="F57" s="70">
        <f>VLOOKUP($B57,'[1]Products by Part Number'!$A:$L,4,0)</f>
        <v>1.39</v>
      </c>
      <c r="G57" s="71">
        <f t="shared" si="2"/>
        <v>44.48</v>
      </c>
      <c r="H57" s="71">
        <f>VLOOKUP($B57,'[1]Products by Part Number'!$A:$L,6,0)</f>
        <v>0.76</v>
      </c>
      <c r="I57" s="79">
        <f t="shared" si="0"/>
        <v>24.32</v>
      </c>
    </row>
    <row r="58" spans="2:9" x14ac:dyDescent="0.25">
      <c r="B58" s="78" t="s">
        <v>227</v>
      </c>
      <c r="C58" s="68" t="str">
        <f>VLOOKUP($B58,'[1]Products by Part Number'!$A:$L,2,0)</f>
        <v xml:space="preserve">KOM D61PX-24 (B60)                                              </v>
      </c>
      <c r="D58" s="68" t="str">
        <f>VLOOKUP($B58,'[1]Products by Part Number'!$A:$L,3,0)</f>
        <v>NUT CUTTING EDGE</v>
      </c>
      <c r="E58" s="69">
        <f>VLOOKUP($B58,'[1]Products by Part Number'!$A:$L,12,0)</f>
        <v>130</v>
      </c>
      <c r="F58" s="70">
        <f>VLOOKUP($B58,'[1]Products by Part Number'!$A:$L,4,0)</f>
        <v>0.56999999999999995</v>
      </c>
      <c r="G58" s="71">
        <f t="shared" si="2"/>
        <v>74.099999999999994</v>
      </c>
      <c r="H58" s="71">
        <f>VLOOKUP($B58,'[1]Products by Part Number'!$A:$L,6,0)</f>
        <v>0.31</v>
      </c>
      <c r="I58" s="79">
        <f t="shared" si="0"/>
        <v>40.299999999999997</v>
      </c>
    </row>
    <row r="59" spans="2:9" x14ac:dyDescent="0.25">
      <c r="B59" s="78" t="s">
        <v>228</v>
      </c>
      <c r="C59" s="68" t="str">
        <f>VLOOKUP($B59,'[1]Products by Part Number'!$A:$L,2,0)</f>
        <v xml:space="preserve">KOM WA380-8 (1) KOM WA380-8 (2) KOM WA475-10 (120)                                          </v>
      </c>
      <c r="D59" s="68" t="str">
        <f>VLOOKUP($B59,'[1]Products by Part Number'!$A:$L,3,0)</f>
        <v>NUT CUTTING EDGE</v>
      </c>
      <c r="E59" s="69">
        <f>VLOOKUP($B59,'[1]Products by Part Number'!$A:$L,12,0)</f>
        <v>92</v>
      </c>
      <c r="F59" s="70">
        <f>VLOOKUP($B59,'[1]Products by Part Number'!$A:$L,4,0)</f>
        <v>0.9</v>
      </c>
      <c r="G59" s="71">
        <f t="shared" si="2"/>
        <v>82.8</v>
      </c>
      <c r="H59" s="71">
        <f>VLOOKUP($B59,'[1]Products by Part Number'!$A:$L,6,0)</f>
        <v>0.5</v>
      </c>
      <c r="I59" s="79">
        <f t="shared" si="0"/>
        <v>46</v>
      </c>
    </row>
    <row r="60" spans="2:9" x14ac:dyDescent="0.25">
      <c r="B60" s="78" t="s">
        <v>229</v>
      </c>
      <c r="C60" s="68" t="str">
        <f>VLOOKUP($B60,'[1]Products by Part Number'!$A:$L,2,0)</f>
        <v xml:space="preserve">JD 764 (100)                                              </v>
      </c>
      <c r="D60" s="68" t="str">
        <f>VLOOKUP($B60,'[1]Products by Part Number'!$A:$L,3,0)</f>
        <v>WASHER CUTTING EDGE</v>
      </c>
      <c r="E60" s="69">
        <f>VLOOKUP($B60,'[1]Products by Part Number'!$A:$L,12,0)</f>
        <v>105</v>
      </c>
      <c r="F60" s="70">
        <f>VLOOKUP($B60,'[1]Products by Part Number'!$A:$L,4,0)</f>
        <v>2.2631999999999999</v>
      </c>
      <c r="G60" s="71">
        <f t="shared" si="2"/>
        <v>237.636</v>
      </c>
      <c r="H60" s="71">
        <f>VLOOKUP($B60,'[1]Products by Part Number'!$A:$L,6,0)</f>
        <v>1.24</v>
      </c>
      <c r="I60" s="79">
        <f t="shared" si="0"/>
        <v>130.19999999999999</v>
      </c>
    </row>
    <row r="61" spans="2:9" x14ac:dyDescent="0.25">
      <c r="B61" s="78" t="s">
        <v>230</v>
      </c>
      <c r="C61" s="68" t="str">
        <f>VLOOKUP($B61,'[1]Products by Part Number'!$A:$L,2,0)</f>
        <v xml:space="preserve">JD 624K (DW6)                                              </v>
      </c>
      <c r="D61" s="68" t="str">
        <f>VLOOKUP($B61,'[1]Products by Part Number'!$A:$L,3,0)</f>
        <v>CUTTING EDGE ENDS</v>
      </c>
      <c r="E61" s="69">
        <f>VLOOKUP($B61,'[1]Products by Part Number'!$A:$L,12,0)</f>
        <v>4</v>
      </c>
      <c r="F61" s="70">
        <f>VLOOKUP($B61,'[1]Products by Part Number'!$A:$L,4,0)</f>
        <v>134.6</v>
      </c>
      <c r="G61" s="71">
        <f t="shared" si="2"/>
        <v>538.4</v>
      </c>
      <c r="H61" s="71">
        <f>VLOOKUP($B61,'[1]Products by Part Number'!$A:$L,6,0)</f>
        <v>74.03</v>
      </c>
      <c r="I61" s="79">
        <f t="shared" si="0"/>
        <v>296.12</v>
      </c>
    </row>
    <row r="62" spans="2:9" x14ac:dyDescent="0.25">
      <c r="B62" s="78" t="s">
        <v>231</v>
      </c>
      <c r="C62" s="68" t="str">
        <f>VLOOKUP($B62,'[1]Products by Part Number'!$A:$L,2,0)</f>
        <v xml:space="preserve">JD 624K (DW6)                                              </v>
      </c>
      <c r="D62" s="68" t="str">
        <f>VLOOKUP($B62,'[1]Products by Part Number'!$A:$L,3,0)</f>
        <v>BOLT CUTTING EDGE</v>
      </c>
      <c r="E62" s="69">
        <f>VLOOKUP($B62,'[1]Products by Part Number'!$A:$L,12,0)</f>
        <v>24</v>
      </c>
      <c r="F62" s="70">
        <f>VLOOKUP($B62,'[1]Products by Part Number'!$A:$L,4,0)</f>
        <v>13.399800000000001</v>
      </c>
      <c r="G62" s="71">
        <f t="shared" si="2"/>
        <v>321.59520000000003</v>
      </c>
      <c r="H62" s="71">
        <f>VLOOKUP($B62,'[1]Products by Part Number'!$A:$L,6,0)</f>
        <v>7.37</v>
      </c>
      <c r="I62" s="79">
        <f t="shared" si="0"/>
        <v>176.88</v>
      </c>
    </row>
    <row r="63" spans="2:9" x14ac:dyDescent="0.25">
      <c r="B63" s="78" t="s">
        <v>232</v>
      </c>
      <c r="C63" s="68" t="str">
        <f>VLOOKUP($B63,'[1]Products by Part Number'!$A:$L,2,0)</f>
        <v xml:space="preserve">JD 624K (DW6)                                              </v>
      </c>
      <c r="D63" s="68" t="str">
        <f>VLOOKUP($B63,'[1]Products by Part Number'!$A:$L,3,0)</f>
        <v>CUTTING EDGE</v>
      </c>
      <c r="E63" s="69">
        <f>VLOOKUP($B63,'[1]Products by Part Number'!$A:$L,12,0)</f>
        <v>4</v>
      </c>
      <c r="F63" s="70">
        <f>VLOOKUP($B63,'[1]Products by Part Number'!$A:$L,4,0)</f>
        <v>517.32000000000005</v>
      </c>
      <c r="G63" s="71">
        <f t="shared" si="2"/>
        <v>2069.2800000000002</v>
      </c>
      <c r="H63" s="71">
        <f>VLOOKUP($B63,'[1]Products by Part Number'!$A:$L,6,0)</f>
        <v>284.52999999999997</v>
      </c>
      <c r="I63" s="79">
        <f t="shared" si="0"/>
        <v>1138.1199999999999</v>
      </c>
    </row>
    <row r="64" spans="2:9" x14ac:dyDescent="0.25">
      <c r="B64" s="78" t="s">
        <v>233</v>
      </c>
      <c r="C64" s="68" t="str">
        <f>VLOOKUP($B64,'[1]Products by Part Number'!$A:$L,2,0)</f>
        <v xml:space="preserve">JD 764 (100)                                              </v>
      </c>
      <c r="D64" s="68" t="str">
        <f>VLOOKUP($B64,'[1]Products by Part Number'!$A:$L,3,0)</f>
        <v>BIT END RH</v>
      </c>
      <c r="E64" s="69">
        <f>VLOOKUP($B64,'[1]Products by Part Number'!$A:$L,12,0)</f>
        <v>5</v>
      </c>
      <c r="F64" s="70">
        <f>VLOOKUP($B64,'[1]Products by Part Number'!$A:$L,4,0)</f>
        <v>133.34</v>
      </c>
      <c r="G64" s="71">
        <f t="shared" si="2"/>
        <v>666.7</v>
      </c>
      <c r="H64" s="71">
        <f>VLOOKUP($B64,'[1]Products by Part Number'!$A:$L,6,0)</f>
        <v>73.34</v>
      </c>
      <c r="I64" s="79">
        <f t="shared" si="0"/>
        <v>366.7</v>
      </c>
    </row>
    <row r="65" spans="2:9" x14ac:dyDescent="0.25">
      <c r="B65" s="78" t="s">
        <v>234</v>
      </c>
      <c r="C65" s="68" t="str">
        <f>VLOOKUP($B65,'[1]Products by Part Number'!$A:$L,2,0)</f>
        <v xml:space="preserve">JD 764 (100)                                              </v>
      </c>
      <c r="D65" s="68" t="str">
        <f>VLOOKUP($B65,'[1]Products by Part Number'!$A:$L,3,0)</f>
        <v>BIT END LH</v>
      </c>
      <c r="E65" s="69">
        <f>VLOOKUP($B65,'[1]Products by Part Number'!$A:$L,12,0)</f>
        <v>5</v>
      </c>
      <c r="F65" s="70">
        <f>VLOOKUP($B65,'[1]Products by Part Number'!$A:$L,4,0)</f>
        <v>125.8</v>
      </c>
      <c r="G65" s="71">
        <f t="shared" si="2"/>
        <v>629</v>
      </c>
      <c r="H65" s="71">
        <f>VLOOKUP($B65,'[1]Products by Part Number'!$A:$L,6,0)</f>
        <v>69.19</v>
      </c>
      <c r="I65" s="79">
        <f t="shared" si="0"/>
        <v>345.95</v>
      </c>
    </row>
    <row r="66" spans="2:9" x14ac:dyDescent="0.25">
      <c r="B66" s="78" t="s">
        <v>235</v>
      </c>
      <c r="C66" s="68" t="str">
        <f>VLOOKUP($B66,'[1]Products by Part Number'!$A:$L,2,0)</f>
        <v xml:space="preserve">JD 764 (100)                                              </v>
      </c>
      <c r="D66" s="68" t="str">
        <f>VLOOKUP($B66,'[1]Products by Part Number'!$A:$L,3,0)</f>
        <v>CUTTING EDGE</v>
      </c>
      <c r="E66" s="69">
        <f>VLOOKUP($B66,'[1]Products by Part Number'!$A:$L,12,0)</f>
        <v>5</v>
      </c>
      <c r="F66" s="70">
        <f>VLOOKUP($B66,'[1]Products by Part Number'!$A:$L,4,0)</f>
        <v>607.69679999999994</v>
      </c>
      <c r="G66" s="71">
        <f t="shared" si="2"/>
        <v>3038.4839999999995</v>
      </c>
      <c r="H66" s="71">
        <f>VLOOKUP($B66,'[1]Products by Part Number'!$A:$L,6,0)</f>
        <v>334.23</v>
      </c>
      <c r="I66" s="79">
        <f t="shared" si="0"/>
        <v>1671.15</v>
      </c>
    </row>
    <row r="67" spans="2:9" x14ac:dyDescent="0.25">
      <c r="B67" s="78" t="s">
        <v>236</v>
      </c>
      <c r="C67" s="68" t="str">
        <f>VLOOKUP($B67,'[1]Products by Part Number'!$A:$L,2,0)</f>
        <v xml:space="preserve">JD 333G (1T0)                                              </v>
      </c>
      <c r="D67" s="68" t="str">
        <f>VLOOKUP($B67,'[1]Products by Part Number'!$A:$L,3,0)</f>
        <v>CUTTING EDGE</v>
      </c>
      <c r="E67" s="69">
        <f>VLOOKUP($B67,'[1]Products by Part Number'!$A:$L,12,0)</f>
        <v>2</v>
      </c>
      <c r="F67" s="70">
        <f>VLOOKUP($B67,'[1]Products by Part Number'!$A:$L,4,0)</f>
        <v>249.35220000000001</v>
      </c>
      <c r="G67" s="71">
        <f t="shared" si="2"/>
        <v>498.70440000000002</v>
      </c>
      <c r="H67" s="71">
        <f>VLOOKUP($B67,'[1]Products by Part Number'!$A:$L,6,0)</f>
        <v>137.13999999999999</v>
      </c>
      <c r="I67" s="79">
        <f t="shared" si="0"/>
        <v>274.27999999999997</v>
      </c>
    </row>
    <row r="68" spans="2:9" x14ac:dyDescent="0.25">
      <c r="B68" s="78" t="s">
        <v>237</v>
      </c>
      <c r="C68" s="68" t="str">
        <f>VLOOKUP($B68,'[1]Products by Part Number'!$A:$L,2,0)</f>
        <v xml:space="preserve">JD 764 (100)                                              </v>
      </c>
      <c r="D68" s="68" t="str">
        <f>VLOOKUP($B68,'[1]Products by Part Number'!$A:$L,3,0)</f>
        <v>BOLT CUTTING EDGE</v>
      </c>
      <c r="E68" s="69">
        <f>VLOOKUP($B68,'[1]Products by Part Number'!$A:$L,12,0)</f>
        <v>105</v>
      </c>
      <c r="F68" s="70">
        <f>VLOOKUP($B68,'[1]Products by Part Number'!$A:$L,4,0)</f>
        <v>8.5559999999999992</v>
      </c>
      <c r="G68" s="71">
        <f t="shared" si="2"/>
        <v>898.37999999999988</v>
      </c>
      <c r="H68" s="71">
        <f>VLOOKUP($B68,'[1]Products by Part Number'!$A:$L,6,0)</f>
        <v>4.71</v>
      </c>
      <c r="I68" s="79">
        <f t="shared" si="0"/>
        <v>494.55</v>
      </c>
    </row>
    <row r="69" spans="2:9" x14ac:dyDescent="0.25">
      <c r="B69" s="78" t="s">
        <v>238</v>
      </c>
      <c r="C69" s="68" t="str">
        <f>VLOOKUP($B69,'[1]Products by Part Number'!$A:$L,2,0)</f>
        <v xml:space="preserve">JD 470P (1FF)                                              </v>
      </c>
      <c r="D69" s="68" t="str">
        <f>VLOOKUP($B69,'[1]Products by Part Number'!$A:$L,3,0)</f>
        <v>BUCKET TOOTH</v>
      </c>
      <c r="E69" s="69">
        <f>VLOOKUP($B69,'[1]Products by Part Number'!$A:$L,12,0)</f>
        <v>32</v>
      </c>
      <c r="F69" s="70">
        <f>VLOOKUP($B69,'[1]Products by Part Number'!$A:$L,4,0)</f>
        <v>275.91000000000003</v>
      </c>
      <c r="G69" s="71">
        <f t="shared" si="2"/>
        <v>8829.1200000000008</v>
      </c>
      <c r="H69" s="71">
        <f>VLOOKUP($B69,'[1]Products by Part Number'!$A:$L,6,0)</f>
        <v>151.75</v>
      </c>
      <c r="I69" s="79">
        <f t="shared" si="0"/>
        <v>4856</v>
      </c>
    </row>
    <row r="70" spans="2:9" x14ac:dyDescent="0.25">
      <c r="B70" s="78"/>
      <c r="C70" s="68"/>
      <c r="D70" s="68"/>
      <c r="E70" s="69"/>
      <c r="F70" s="70"/>
      <c r="G70" s="71"/>
      <c r="H70" s="71"/>
      <c r="I70" s="79">
        <f t="shared" si="0"/>
        <v>0</v>
      </c>
    </row>
    <row r="71" spans="2:9" x14ac:dyDescent="0.25">
      <c r="B71" s="78"/>
      <c r="C71" s="68"/>
      <c r="D71" s="68"/>
      <c r="E71" s="69"/>
      <c r="F71" s="70"/>
      <c r="G71" s="71"/>
      <c r="H71" s="71"/>
      <c r="I71" s="79">
        <f t="shared" si="0"/>
        <v>0</v>
      </c>
    </row>
    <row r="72" spans="2:9" x14ac:dyDescent="0.25">
      <c r="B72" s="78"/>
      <c r="C72" s="68"/>
      <c r="D72" s="68"/>
      <c r="E72" s="69"/>
      <c r="F72" s="70"/>
      <c r="G72" s="71"/>
      <c r="H72" s="71"/>
      <c r="I72" s="79">
        <f t="shared" si="0"/>
        <v>0</v>
      </c>
    </row>
    <row r="73" spans="2:9" x14ac:dyDescent="0.25">
      <c r="B73" s="78"/>
      <c r="C73" s="68"/>
      <c r="D73" s="68"/>
      <c r="E73" s="69"/>
      <c r="F73" s="70"/>
      <c r="G73" s="71"/>
      <c r="H73" s="71"/>
      <c r="I73" s="79">
        <f t="shared" si="0"/>
        <v>0</v>
      </c>
    </row>
    <row r="74" spans="2:9" x14ac:dyDescent="0.25">
      <c r="B74" s="78"/>
      <c r="C74" s="68"/>
      <c r="D74" s="68"/>
      <c r="E74" s="69"/>
      <c r="F74" s="70"/>
      <c r="G74" s="71"/>
      <c r="H74" s="71"/>
      <c r="I74" s="79">
        <f t="shared" si="0"/>
        <v>0</v>
      </c>
    </row>
    <row r="75" spans="2:9" x14ac:dyDescent="0.25">
      <c r="B75" s="78"/>
      <c r="C75" s="68"/>
      <c r="D75" s="68"/>
      <c r="E75" s="69"/>
      <c r="F75" s="70"/>
      <c r="G75" s="71"/>
      <c r="H75" s="71"/>
      <c r="I75" s="79">
        <f t="shared" si="0"/>
        <v>0</v>
      </c>
    </row>
    <row r="76" spans="2:9" ht="15.75" thickBot="1" x14ac:dyDescent="0.3">
      <c r="B76" s="93"/>
      <c r="C76" s="85"/>
      <c r="D76" s="85"/>
      <c r="E76" s="86"/>
      <c r="F76" s="87"/>
      <c r="G76" s="88"/>
      <c r="H76" s="88"/>
      <c r="I76" s="118">
        <f t="shared" si="0"/>
        <v>0</v>
      </c>
    </row>
    <row r="77" spans="2:9" x14ac:dyDescent="0.25">
      <c r="B77" s="158"/>
      <c r="C77" s="159"/>
      <c r="D77" s="159"/>
      <c r="E77" s="159"/>
      <c r="F77" s="196"/>
      <c r="G77" s="119"/>
      <c r="H77" s="120" t="s">
        <v>17</v>
      </c>
      <c r="I77" s="110">
        <f>SUM(I15:I76)</f>
        <v>187612.72</v>
      </c>
    </row>
    <row r="78" spans="2:9" x14ac:dyDescent="0.25">
      <c r="B78" s="107"/>
      <c r="C78" s="31"/>
      <c r="D78" s="32" t="s">
        <v>18</v>
      </c>
      <c r="E78" s="161">
        <f>SUM(G15:G76)</f>
        <v>341116.14259999996</v>
      </c>
      <c r="F78" s="197"/>
      <c r="G78" s="33"/>
      <c r="H78" s="28" t="s">
        <v>19</v>
      </c>
      <c r="I78" s="112">
        <v>0</v>
      </c>
    </row>
    <row r="79" spans="2:9" x14ac:dyDescent="0.25">
      <c r="B79" s="107"/>
      <c r="C79" s="31"/>
      <c r="D79" s="32" t="s">
        <v>20</v>
      </c>
      <c r="E79" s="161">
        <f>SUM(I15:I76)</f>
        <v>187612.72</v>
      </c>
      <c r="F79" s="197"/>
      <c r="G79" s="33"/>
      <c r="H79" s="35" t="s">
        <v>21</v>
      </c>
      <c r="I79" s="112">
        <v>0</v>
      </c>
    </row>
    <row r="80" spans="2:9" x14ac:dyDescent="0.25">
      <c r="B80" s="107"/>
      <c r="C80" s="31"/>
      <c r="D80" s="32" t="s">
        <v>22</v>
      </c>
      <c r="E80" s="179">
        <f>E78-E79</f>
        <v>153503.42259999996</v>
      </c>
      <c r="F80" s="203"/>
      <c r="G80" s="36"/>
      <c r="H80" s="28" t="s">
        <v>23</v>
      </c>
      <c r="I80" s="114">
        <f>SUM(I77:I79)</f>
        <v>187612.72</v>
      </c>
    </row>
    <row r="81" spans="2:9" x14ac:dyDescent="0.25">
      <c r="B81" s="107"/>
      <c r="C81" s="31"/>
      <c r="D81" s="32"/>
      <c r="E81" s="181"/>
      <c r="F81" s="204"/>
      <c r="G81" s="38"/>
      <c r="H81" s="28" t="s">
        <v>24</v>
      </c>
      <c r="I81" s="114">
        <f>I80*0.05</f>
        <v>9380.6360000000004</v>
      </c>
    </row>
    <row r="82" spans="2:9" x14ac:dyDescent="0.25">
      <c r="B82" s="107"/>
      <c r="C82" s="31"/>
      <c r="D82" s="39"/>
      <c r="E82" s="39"/>
      <c r="F82" s="40"/>
      <c r="G82" s="40"/>
      <c r="H82" s="28" t="s">
        <v>25</v>
      </c>
      <c r="I82" s="112"/>
    </row>
    <row r="83" spans="2:9" ht="16.5" thickBot="1" x14ac:dyDescent="0.3">
      <c r="B83" s="173" t="s">
        <v>26</v>
      </c>
      <c r="C83" s="174"/>
      <c r="D83" s="174"/>
      <c r="E83" s="174"/>
      <c r="F83" s="202"/>
      <c r="G83" s="121"/>
      <c r="H83" s="122" t="s">
        <v>27</v>
      </c>
      <c r="I83" s="116">
        <f>SUM(I80:I82)</f>
        <v>196993.356</v>
      </c>
    </row>
  </sheetData>
  <mergeCells count="25">
    <mergeCell ref="E1:F5"/>
    <mergeCell ref="H1:I5"/>
    <mergeCell ref="C7:D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B83:F83"/>
    <mergeCell ref="F13:I13"/>
    <mergeCell ref="B77:F77"/>
    <mergeCell ref="E78:F78"/>
    <mergeCell ref="E79:F79"/>
    <mergeCell ref="E80:F80"/>
    <mergeCell ref="E81:F8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775C-C777-482C-B3DD-888A06E506C2}">
  <sheetPr filterMode="1"/>
  <dimension ref="B1:I73"/>
  <sheetViews>
    <sheetView topLeftCell="A8" workbookViewId="0">
      <selection activeCell="B67" sqref="B67:I73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205" t="s">
        <v>28</v>
      </c>
      <c r="F1" s="205"/>
      <c r="G1" s="44"/>
      <c r="H1" s="205" t="s">
        <v>29</v>
      </c>
      <c r="I1" s="206"/>
    </row>
    <row r="2" spans="2:9" ht="15" customHeight="1" x14ac:dyDescent="0.25">
      <c r="B2" s="4"/>
      <c r="E2" s="177"/>
      <c r="F2" s="177"/>
      <c r="G2" s="45"/>
      <c r="H2" s="177"/>
      <c r="I2" s="207"/>
    </row>
    <row r="3" spans="2:9" ht="15" customHeight="1" x14ac:dyDescent="0.25">
      <c r="B3" s="4"/>
      <c r="E3" s="177"/>
      <c r="F3" s="177"/>
      <c r="G3" s="45"/>
      <c r="H3" s="177"/>
      <c r="I3" s="207"/>
    </row>
    <row r="4" spans="2:9" ht="15" customHeight="1" x14ac:dyDescent="0.25">
      <c r="B4" s="4"/>
      <c r="E4" s="177"/>
      <c r="F4" s="177"/>
      <c r="G4" s="45"/>
      <c r="H4" s="177"/>
      <c r="I4" s="207"/>
    </row>
    <row r="5" spans="2:9" ht="15" customHeight="1" x14ac:dyDescent="0.25">
      <c r="B5" s="5"/>
      <c r="C5" s="1"/>
      <c r="D5" s="1"/>
      <c r="E5" s="178"/>
      <c r="F5" s="178"/>
      <c r="G5" s="46"/>
      <c r="H5" s="178"/>
      <c r="I5" s="208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9" t="s">
        <v>7</v>
      </c>
      <c r="C7" s="186" t="s">
        <v>290</v>
      </c>
      <c r="D7" s="187"/>
      <c r="E7" s="9" t="s">
        <v>8</v>
      </c>
      <c r="F7" s="10">
        <v>45870</v>
      </c>
      <c r="G7" s="10"/>
      <c r="H7" s="11" t="s">
        <v>9</v>
      </c>
      <c r="I7" s="12"/>
    </row>
    <row r="8" spans="2:9" x14ac:dyDescent="0.25">
      <c r="B8" s="50" t="s">
        <v>10</v>
      </c>
      <c r="C8" s="183">
        <v>0</v>
      </c>
      <c r="D8" s="183"/>
      <c r="E8" s="163" t="s">
        <v>11</v>
      </c>
      <c r="F8" s="163"/>
      <c r="G8" s="13"/>
      <c r="H8" s="200"/>
      <c r="I8" s="200"/>
    </row>
    <row r="9" spans="2:9" x14ac:dyDescent="0.25">
      <c r="B9" s="50" t="s">
        <v>12</v>
      </c>
      <c r="C9" s="183">
        <v>0</v>
      </c>
      <c r="D9" s="183"/>
      <c r="E9" s="163" t="s">
        <v>13</v>
      </c>
      <c r="F9" s="163"/>
      <c r="G9" s="13"/>
      <c r="H9" s="201"/>
      <c r="I9" s="201"/>
    </row>
    <row r="10" spans="2:9" x14ac:dyDescent="0.25">
      <c r="B10" s="50"/>
      <c r="C10" s="183">
        <v>0</v>
      </c>
      <c r="D10" s="183"/>
      <c r="E10" s="163" t="s">
        <v>14</v>
      </c>
      <c r="F10" s="163"/>
      <c r="G10" s="13"/>
      <c r="H10" s="198"/>
      <c r="I10" s="198"/>
    </row>
    <row r="11" spans="2:9" x14ac:dyDescent="0.25">
      <c r="B11" s="50"/>
      <c r="C11" s="183">
        <v>0</v>
      </c>
      <c r="D11" s="183"/>
      <c r="E11" s="163"/>
      <c r="F11" s="163"/>
      <c r="G11" s="13"/>
      <c r="H11" s="198"/>
      <c r="I11" s="198"/>
    </row>
    <row r="12" spans="2:9" x14ac:dyDescent="0.25">
      <c r="B12" s="51"/>
      <c r="C12" s="183">
        <v>0</v>
      </c>
      <c r="D12" s="183"/>
      <c r="E12" s="184"/>
      <c r="F12" s="184"/>
      <c r="G12" s="14"/>
      <c r="H12" s="199"/>
      <c r="I12" s="199"/>
    </row>
    <row r="13" spans="2:9" ht="15.75" thickBot="1" x14ac:dyDescent="0.3">
      <c r="B13" s="15"/>
      <c r="C13" s="16"/>
      <c r="D13" s="16"/>
      <c r="E13" s="16"/>
      <c r="F13" s="156" t="s">
        <v>3</v>
      </c>
      <c r="G13" s="156"/>
      <c r="H13" s="156"/>
      <c r="I13" s="156"/>
    </row>
    <row r="14" spans="2:9" ht="15.75" thickBot="1" x14ac:dyDescent="0.3">
      <c r="B14" s="54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21" t="s">
        <v>16</v>
      </c>
    </row>
    <row r="15" spans="2:9" x14ac:dyDescent="0.25">
      <c r="B15" s="72" t="s">
        <v>239</v>
      </c>
      <c r="C15" s="73" t="str">
        <f>VLOOKUP($B15,'[1]Products by Part Number'!$A:$L,2,0)</f>
        <v xml:space="preserve">CAT 329EL (ZCD)                                              </v>
      </c>
      <c r="D15" s="73" t="str">
        <f>VLOOKUP($B15,'[1]Products by Part Number'!$A:$L,3,0)</f>
        <v>INJECTOR</v>
      </c>
      <c r="E15" s="74">
        <f>VLOOKUP($B15,'[1]Products by Part Number'!$A:$L,12,0)</f>
        <v>6</v>
      </c>
      <c r="F15" s="91">
        <f>VLOOKUP($B15,'[1]Products by Part Number'!$A:$L,4,0)</f>
        <v>1423.26</v>
      </c>
      <c r="G15" s="123">
        <v>1.77</v>
      </c>
      <c r="H15" s="97">
        <f>VLOOKUP($B15,'[1]Products by Part Number'!$A:$L,6,0)</f>
        <v>996.28</v>
      </c>
      <c r="I15" s="77">
        <f t="shared" ref="I15:I66" si="0">ROUND(E15*H15,2)</f>
        <v>5977.68</v>
      </c>
    </row>
    <row r="16" spans="2:9" x14ac:dyDescent="0.25">
      <c r="B16" s="78" t="s">
        <v>240</v>
      </c>
      <c r="C16" s="68" t="str">
        <f>VLOOKUP($B16,'[1]Products by Part Number'!$A:$L,2,0)</f>
        <v xml:space="preserve">CAT TL1055C (KDE)                                              </v>
      </c>
      <c r="D16" s="68" t="str">
        <f>VLOOKUP($B16,'[1]Products by Part Number'!$A:$L,3,0)</f>
        <v>INJECTOR</v>
      </c>
      <c r="E16" s="69">
        <f>VLOOKUP($B16,'[1]Products by Part Number'!$A:$L,12,0)</f>
        <v>4</v>
      </c>
      <c r="F16" s="82">
        <f>VLOOKUP($B16,'[1]Products by Part Number'!$A:$L,4,0)</f>
        <v>1093.8599999999999</v>
      </c>
      <c r="G16" s="90">
        <f t="shared" ref="G16:G28" si="1">E16*F16</f>
        <v>4375.4399999999996</v>
      </c>
      <c r="H16" s="98">
        <f>VLOOKUP($B16,'[1]Products by Part Number'!$A:$L,6,0)</f>
        <v>765.7</v>
      </c>
      <c r="I16" s="99">
        <f t="shared" si="0"/>
        <v>3062.8</v>
      </c>
    </row>
    <row r="17" spans="2:9" x14ac:dyDescent="0.25">
      <c r="B17" s="78" t="s">
        <v>241</v>
      </c>
      <c r="C17" s="68" t="str">
        <f>VLOOKUP($B17,'[1]Products by Part Number'!$A:$L,2,0)</f>
        <v xml:space="preserve">CAT 14 (EN4)                                              </v>
      </c>
      <c r="D17" s="68" t="str">
        <f>VLOOKUP($B17,'[1]Products by Part Number'!$A:$L,3,0)</f>
        <v>INJECTOR</v>
      </c>
      <c r="E17" s="69">
        <f>VLOOKUP($B17,'[1]Products by Part Number'!$A:$L,12,0)</f>
        <v>6</v>
      </c>
      <c r="F17" s="82">
        <f>VLOOKUP($B17,'[1]Products by Part Number'!$A:$L,4,0)</f>
        <v>2080.54</v>
      </c>
      <c r="G17" s="90">
        <f t="shared" si="1"/>
        <v>12483.24</v>
      </c>
      <c r="H17" s="98">
        <f>VLOOKUP($B17,'[1]Products by Part Number'!$A:$L,6,0)</f>
        <v>1456.38</v>
      </c>
      <c r="I17" s="99">
        <f t="shared" si="0"/>
        <v>8738.2800000000007</v>
      </c>
    </row>
    <row r="18" spans="2:9" x14ac:dyDescent="0.25">
      <c r="B18" s="78" t="s">
        <v>242</v>
      </c>
      <c r="C18" s="68" t="str">
        <f>VLOOKUP($B18,'[1]Products by Part Number'!$A:$L,2,0)</f>
        <v xml:space="preserve">CAT 255 CAT 255 (2) CAT 255 (FL7)                                          </v>
      </c>
      <c r="D18" s="68" t="str">
        <f>VLOOKUP($B18,'[1]Products by Part Number'!$A:$L,3,0)</f>
        <v>INJECTOR</v>
      </c>
      <c r="E18" s="69">
        <f>VLOOKUP($B18,'[1]Products by Part Number'!$A:$L,12,0)</f>
        <v>12</v>
      </c>
      <c r="F18" s="82">
        <f>VLOOKUP($B18,'[1]Products by Part Number'!$A:$L,4,0)</f>
        <v>1093.82</v>
      </c>
      <c r="G18" s="90">
        <f t="shared" si="1"/>
        <v>13125.84</v>
      </c>
      <c r="H18" s="98">
        <f>VLOOKUP($B18,'[1]Products by Part Number'!$A:$L,6,0)</f>
        <v>765.67</v>
      </c>
      <c r="I18" s="99">
        <f t="shared" si="0"/>
        <v>9188.0400000000009</v>
      </c>
    </row>
    <row r="19" spans="2:9" x14ac:dyDescent="0.25">
      <c r="B19" s="78" t="s">
        <v>243</v>
      </c>
      <c r="C19" s="68" t="str">
        <f>VLOOKUP($B19,'[1]Products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KOM WA475-10 (120)                            </v>
      </c>
      <c r="D19" s="68" t="str">
        <f>VLOOKUP($B19,'[1]Products by Part Number'!$A:$L,3,0)</f>
        <v>INJECTOR</v>
      </c>
      <c r="E19" s="69">
        <f>VLOOKUP($B19,'[1]Products by Part Number'!$A:$L,12,0)</f>
        <v>60</v>
      </c>
      <c r="F19" s="82">
        <f>VLOOKUP($B19,'[1]Products by Part Number'!$A:$L,4,0)</f>
        <v>901.07</v>
      </c>
      <c r="G19" s="90"/>
      <c r="H19" s="98">
        <f>VLOOKUP($B19,'[1]Products by Part Number'!$A:$L,6,0)</f>
        <v>630.75</v>
      </c>
      <c r="I19" s="99">
        <f t="shared" si="0"/>
        <v>37845</v>
      </c>
    </row>
    <row r="20" spans="2:9" x14ac:dyDescent="0.25">
      <c r="B20" s="78" t="s">
        <v>244</v>
      </c>
      <c r="C20" s="68" t="str">
        <f>VLOOKUP($B20,'[1]Products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20" s="68" t="str">
        <f>VLOOKUP($B20,'[1]Products by Part Number'!$A:$L,3,0)</f>
        <v>INJECTOR</v>
      </c>
      <c r="E20" s="69">
        <f>VLOOKUP($B20,'[1]Products by Part Number'!$A:$L,12,0)</f>
        <v>84</v>
      </c>
      <c r="F20" s="82">
        <f>VLOOKUP($B20,'[1]Products by Part Number'!$A:$L,4,0)</f>
        <v>1189.99</v>
      </c>
      <c r="G20" s="90"/>
      <c r="H20" s="98">
        <f>VLOOKUP($B20,'[1]Products by Part Number'!$A:$L,6,0)</f>
        <v>832.99</v>
      </c>
      <c r="I20" s="99">
        <f t="shared" si="0"/>
        <v>69971.16</v>
      </c>
    </row>
    <row r="21" spans="2:9" x14ac:dyDescent="0.25">
      <c r="B21" s="78" t="s">
        <v>245</v>
      </c>
      <c r="C21" s="68" t="str">
        <f>VLOOKUP($B21,'[1]Products by Part Number'!$A:$L,2,0)</f>
        <v xml:space="preserve">KOM PC138USLC-11 KOM PC238USLC-11 (1)                                            </v>
      </c>
      <c r="D21" s="68" t="str">
        <f>VLOOKUP($B21,'[1]Products by Part Number'!$A:$L,3,0)</f>
        <v>INJECTOR</v>
      </c>
      <c r="E21" s="69">
        <f>VLOOKUP($B21,'[1]Products by Part Number'!$A:$L,12,0)</f>
        <v>8</v>
      </c>
      <c r="F21" s="82">
        <f>VLOOKUP($B21,'[1]Products by Part Number'!$A:$L,4,0)</f>
        <v>1218.3</v>
      </c>
      <c r="G21" s="90"/>
      <c r="H21" s="98">
        <f>VLOOKUP($B21,'[1]Products by Part Number'!$A:$L,6,0)</f>
        <v>852.81</v>
      </c>
      <c r="I21" s="99">
        <f t="shared" si="0"/>
        <v>6822.48</v>
      </c>
    </row>
    <row r="22" spans="2:9" x14ac:dyDescent="0.25">
      <c r="B22" s="78" t="s">
        <v>246</v>
      </c>
      <c r="C22" s="68" t="str">
        <f>VLOOKUP($B22,'[1]Products by Part Number'!$A:$L,2,0)</f>
        <v xml:space="preserve">KOM D71PX-24 (1) KOM D71PX-24 (2) KOM D71PX-24 (3) KOM D71PX-24 (4) KOM D71PX-24 (5) KOM D71PX-24 (6) KOM D71PX-24 (7) KOM PC360LC-11 (A37) KOM PC360LC-11 (A39) KOM PC360LC-11 (A39) (2)                            </v>
      </c>
      <c r="D22" s="68" t="str">
        <f>VLOOKUP($B22,'[1]Products by Part Number'!$A:$L,3,0)</f>
        <v>INJECTOR</v>
      </c>
      <c r="E22" s="69">
        <f>VLOOKUP($B22,'[1]Products by Part Number'!$A:$L,12,0)</f>
        <v>60</v>
      </c>
      <c r="F22" s="82">
        <f>VLOOKUP($B22,'[1]Products by Part Number'!$A:$L,4,0)</f>
        <v>993.24</v>
      </c>
      <c r="G22" s="90"/>
      <c r="H22" s="98">
        <f>VLOOKUP($B22,'[1]Products by Part Number'!$A:$L,6,0)</f>
        <v>695.27</v>
      </c>
      <c r="I22" s="99">
        <f t="shared" si="0"/>
        <v>41716.199999999997</v>
      </c>
    </row>
    <row r="23" spans="2:9" x14ac:dyDescent="0.25">
      <c r="B23" s="78" t="s">
        <v>247</v>
      </c>
      <c r="C23" s="68" t="str">
        <f>VLOOKUP($B23,'[1]Products by Part Number'!$A:$L,2,0)</f>
        <v xml:space="preserve">KOM PC238USLC-11 (2) KOM WA380-8 (1) KOM WA380-8 (2) KOM WA320-8 (867) KOM WA320PZ-6 (729) KOM PC290LC-11 (K73) KOM D61PX-24 (B60)                                  </v>
      </c>
      <c r="D23" s="68" t="str">
        <f>VLOOKUP($B23,'[1]Products by Part Number'!$A:$L,3,0)</f>
        <v>INJECTOR</v>
      </c>
      <c r="E23" s="69">
        <f>VLOOKUP($B23,'[1]Products by Part Number'!$A:$L,12,0)</f>
        <v>42</v>
      </c>
      <c r="F23" s="82">
        <f>VLOOKUP($B23,'[1]Products by Part Number'!$A:$L,4,0)</f>
        <v>866.09</v>
      </c>
      <c r="G23" s="90"/>
      <c r="H23" s="98">
        <f>VLOOKUP($B23,'[1]Products by Part Number'!$A:$L,6,0)</f>
        <v>606.26</v>
      </c>
      <c r="I23" s="99">
        <f t="shared" si="0"/>
        <v>25462.92</v>
      </c>
    </row>
    <row r="24" spans="2:9" x14ac:dyDescent="0.25">
      <c r="B24" s="78" t="s">
        <v>248</v>
      </c>
      <c r="C24" s="68" t="str">
        <f>VLOOKUP($B24,'[1]Products by Part Number'!$A:$L,2,0)</f>
        <v xml:space="preserve">JD 624K (DW6) JD 764 (100)                                            </v>
      </c>
      <c r="D24" s="68" t="str">
        <f>VLOOKUP($B24,'[1]Products by Part Number'!$A:$L,3,0)</f>
        <v>INJECTOR</v>
      </c>
      <c r="E24" s="69">
        <f>VLOOKUP($B24,'[1]Products by Part Number'!$A:$L,12,0)</f>
        <v>12</v>
      </c>
      <c r="F24" s="82">
        <f>VLOOKUP($B24,'[1]Products by Part Number'!$A:$L,4,0)</f>
        <v>896.8205999999999</v>
      </c>
      <c r="G24" s="90"/>
      <c r="H24" s="98">
        <f>VLOOKUP($B24,'[1]Products by Part Number'!$A:$L,6,0)</f>
        <v>627.77</v>
      </c>
      <c r="I24" s="99">
        <f t="shared" si="0"/>
        <v>7533.24</v>
      </c>
    </row>
    <row r="25" spans="2:9" x14ac:dyDescent="0.25">
      <c r="B25" s="78" t="s">
        <v>249</v>
      </c>
      <c r="C25" s="68" t="str">
        <f>VLOOKUP($B25,'[1]Products by Part Number'!$A:$L,2,0)</f>
        <v xml:space="preserve">JD 333G (1T0)                                              </v>
      </c>
      <c r="D25" s="68" t="str">
        <f>VLOOKUP($B25,'[1]Products by Part Number'!$A:$L,3,0)</f>
        <v>INJECTOR</v>
      </c>
      <c r="E25" s="69">
        <f>VLOOKUP($B25,'[1]Products by Part Number'!$A:$L,12,0)</f>
        <v>4</v>
      </c>
      <c r="F25" s="82">
        <f>VLOOKUP($B25,'[1]Products by Part Number'!$A:$L,4,0)</f>
        <v>1719.0522000000001</v>
      </c>
      <c r="G25" s="90"/>
      <c r="H25" s="98">
        <f>VLOOKUP($B25,'[1]Products by Part Number'!$A:$L,6,0)</f>
        <v>1203.3399999999999</v>
      </c>
      <c r="I25" s="99">
        <f t="shared" si="0"/>
        <v>4813.3599999999997</v>
      </c>
    </row>
    <row r="26" spans="2:9" x14ac:dyDescent="0.25">
      <c r="B26" s="78" t="s">
        <v>250</v>
      </c>
      <c r="C26" s="68" t="str">
        <f>VLOOKUP($B26,'[1]Products by Part Number'!$A:$L,2,0)</f>
        <v xml:space="preserve">JD 470P (1FF)                                              </v>
      </c>
      <c r="D26" s="68" t="str">
        <f>VLOOKUP($B26,'[1]Products by Part Number'!$A:$L,3,0)</f>
        <v>INJECTOR</v>
      </c>
      <c r="E26" s="69">
        <f>VLOOKUP($B26,'[1]Products by Part Number'!$A:$L,12,0)</f>
        <v>6</v>
      </c>
      <c r="F26" s="82">
        <f>VLOOKUP($B26,'[1]Products by Part Number'!$A:$L,4,0)</f>
        <v>2136.9575999999997</v>
      </c>
      <c r="G26" s="90"/>
      <c r="H26" s="98">
        <f>VLOOKUP($B26,'[1]Products by Part Number'!$A:$L,6,0)</f>
        <v>1495.87</v>
      </c>
      <c r="I26" s="99">
        <f t="shared" si="0"/>
        <v>8975.2199999999993</v>
      </c>
    </row>
    <row r="27" spans="2:9" x14ac:dyDescent="0.25">
      <c r="B27" s="78"/>
      <c r="C27" s="22"/>
      <c r="D27" s="22"/>
      <c r="E27" s="23"/>
      <c r="F27" s="92"/>
      <c r="G27" s="90"/>
      <c r="H27" s="100"/>
      <c r="I27" s="99">
        <f t="shared" si="0"/>
        <v>0</v>
      </c>
    </row>
    <row r="28" spans="2:9" x14ac:dyDescent="0.25">
      <c r="B28" s="78"/>
      <c r="C28" s="22"/>
      <c r="D28" s="22"/>
      <c r="E28" s="23"/>
      <c r="F28" s="92"/>
      <c r="G28" s="90">
        <f t="shared" si="1"/>
        <v>0</v>
      </c>
      <c r="H28" s="100"/>
      <c r="I28" s="99">
        <f t="shared" si="0"/>
        <v>0</v>
      </c>
    </row>
    <row r="29" spans="2:9" x14ac:dyDescent="0.25">
      <c r="B29" s="78"/>
      <c r="C29" s="22"/>
      <c r="D29" s="22"/>
      <c r="E29" s="23"/>
      <c r="F29" s="92"/>
      <c r="G29" s="90"/>
      <c r="H29" s="100"/>
      <c r="I29" s="99">
        <f t="shared" si="0"/>
        <v>0</v>
      </c>
    </row>
    <row r="30" spans="2:9" ht="15.75" thickBot="1" x14ac:dyDescent="0.3">
      <c r="B30" s="93"/>
      <c r="C30" s="94"/>
      <c r="D30" s="94"/>
      <c r="E30" s="95"/>
      <c r="F30" s="96"/>
      <c r="G30" s="90"/>
      <c r="H30" s="101"/>
      <c r="I30" s="102">
        <f t="shared" si="0"/>
        <v>0</v>
      </c>
    </row>
    <row r="31" spans="2:9" hidden="1" x14ac:dyDescent="0.25">
      <c r="B31" s="22"/>
      <c r="C31" s="22"/>
      <c r="D31" s="22"/>
      <c r="E31" s="23"/>
      <c r="F31" s="24"/>
      <c r="G31" s="24"/>
      <c r="H31" s="25"/>
      <c r="I31" s="26">
        <f t="shared" si="0"/>
        <v>0</v>
      </c>
    </row>
    <row r="32" spans="2:9" hidden="1" x14ac:dyDescent="0.25">
      <c r="B32" s="22"/>
      <c r="C32" s="22"/>
      <c r="D32" s="22"/>
      <c r="E32" s="23"/>
      <c r="F32" s="24"/>
      <c r="G32" s="24"/>
      <c r="H32" s="25"/>
      <c r="I32" s="26">
        <f t="shared" si="0"/>
        <v>0</v>
      </c>
    </row>
    <row r="33" spans="2:9" hidden="1" x14ac:dyDescent="0.25">
      <c r="B33" s="22"/>
      <c r="C33" s="22"/>
      <c r="D33" s="22"/>
      <c r="E33" s="23"/>
      <c r="F33" s="24"/>
      <c r="G33" s="24"/>
      <c r="H33" s="25"/>
      <c r="I33" s="26">
        <f t="shared" si="0"/>
        <v>0</v>
      </c>
    </row>
    <row r="34" spans="2:9" hidden="1" x14ac:dyDescent="0.25">
      <c r="B34" s="22"/>
      <c r="C34" s="22"/>
      <c r="D34" s="22"/>
      <c r="E34" s="23"/>
      <c r="F34" s="24"/>
      <c r="G34" s="24"/>
      <c r="H34" s="25"/>
      <c r="I34" s="26">
        <f t="shared" si="0"/>
        <v>0</v>
      </c>
    </row>
    <row r="35" spans="2:9" hidden="1" x14ac:dyDescent="0.25">
      <c r="B35" s="22"/>
      <c r="C35" s="22"/>
      <c r="D35" s="22"/>
      <c r="E35" s="23"/>
      <c r="F35" s="24"/>
      <c r="G35" s="24"/>
      <c r="H35" s="25"/>
      <c r="I35" s="26">
        <f t="shared" si="0"/>
        <v>0</v>
      </c>
    </row>
    <row r="36" spans="2:9" hidden="1" x14ac:dyDescent="0.25">
      <c r="B36" s="22"/>
      <c r="C36" s="22"/>
      <c r="D36" s="22"/>
      <c r="E36" s="23"/>
      <c r="F36" s="24"/>
      <c r="G36" s="24"/>
      <c r="H36" s="25"/>
      <c r="I36" s="26">
        <f t="shared" si="0"/>
        <v>0</v>
      </c>
    </row>
    <row r="37" spans="2:9" hidden="1" x14ac:dyDescent="0.25">
      <c r="B37" s="22"/>
      <c r="C37" s="22"/>
      <c r="D37" s="22"/>
      <c r="E37" s="23"/>
      <c r="F37" s="24"/>
      <c r="G37" s="24"/>
      <c r="H37" s="25"/>
      <c r="I37" s="26">
        <f t="shared" si="0"/>
        <v>0</v>
      </c>
    </row>
    <row r="38" spans="2:9" hidden="1" x14ac:dyDescent="0.25">
      <c r="B38" s="22"/>
      <c r="C38" s="22"/>
      <c r="D38" s="22"/>
      <c r="E38" s="23"/>
      <c r="F38" s="24"/>
      <c r="G38" s="24"/>
      <c r="H38" s="25"/>
      <c r="I38" s="26">
        <f t="shared" si="0"/>
        <v>0</v>
      </c>
    </row>
    <row r="39" spans="2:9" hidden="1" x14ac:dyDescent="0.25">
      <c r="B39" s="22"/>
      <c r="C39" s="22"/>
      <c r="D39" s="22"/>
      <c r="E39" s="23"/>
      <c r="F39" s="24"/>
      <c r="G39" s="24"/>
      <c r="H39" s="25"/>
      <c r="I39" s="26">
        <f t="shared" si="0"/>
        <v>0</v>
      </c>
    </row>
    <row r="40" spans="2:9" hidden="1" x14ac:dyDescent="0.25">
      <c r="B40" s="22"/>
      <c r="C40" s="22"/>
      <c r="D40" s="22"/>
      <c r="E40" s="23"/>
      <c r="F40" s="24"/>
      <c r="G40" s="24"/>
      <c r="H40" s="25"/>
      <c r="I40" s="26">
        <f t="shared" si="0"/>
        <v>0</v>
      </c>
    </row>
    <row r="41" spans="2:9" hidden="1" x14ac:dyDescent="0.25">
      <c r="B41" s="22"/>
      <c r="C41" s="22"/>
      <c r="D41" s="22"/>
      <c r="E41" s="23"/>
      <c r="F41" s="24"/>
      <c r="G41" s="24"/>
      <c r="H41" s="25"/>
      <c r="I41" s="26">
        <f t="shared" si="0"/>
        <v>0</v>
      </c>
    </row>
    <row r="42" spans="2:9" hidden="1" x14ac:dyDescent="0.25">
      <c r="B42" s="22"/>
      <c r="C42" s="22"/>
      <c r="D42" s="22"/>
      <c r="E42" s="23"/>
      <c r="F42" s="24"/>
      <c r="G42" s="24"/>
      <c r="H42" s="25"/>
      <c r="I42" s="26">
        <f t="shared" si="0"/>
        <v>0</v>
      </c>
    </row>
    <row r="43" spans="2:9" hidden="1" x14ac:dyDescent="0.25">
      <c r="B43" s="22"/>
      <c r="C43" s="22"/>
      <c r="D43" s="22"/>
      <c r="E43" s="23"/>
      <c r="F43" s="24"/>
      <c r="G43" s="24"/>
      <c r="H43" s="25"/>
      <c r="I43" s="26">
        <f t="shared" si="0"/>
        <v>0</v>
      </c>
    </row>
    <row r="44" spans="2:9" hidden="1" x14ac:dyDescent="0.25">
      <c r="B44" s="22"/>
      <c r="C44" s="22"/>
      <c r="D44" s="22"/>
      <c r="E44" s="23"/>
      <c r="F44" s="24"/>
      <c r="G44" s="24"/>
      <c r="H44" s="25"/>
      <c r="I44" s="26">
        <f t="shared" si="0"/>
        <v>0</v>
      </c>
    </row>
    <row r="45" spans="2:9" hidden="1" x14ac:dyDescent="0.25">
      <c r="B45" s="22"/>
      <c r="C45" s="22"/>
      <c r="D45" s="22"/>
      <c r="E45" s="23"/>
      <c r="F45" s="24"/>
      <c r="G45" s="24"/>
      <c r="H45" s="25"/>
      <c r="I45" s="26">
        <f t="shared" si="0"/>
        <v>0</v>
      </c>
    </row>
    <row r="46" spans="2:9" hidden="1" x14ac:dyDescent="0.25">
      <c r="B46" s="22"/>
      <c r="C46" s="22"/>
      <c r="D46" s="22"/>
      <c r="E46" s="23"/>
      <c r="F46" s="24"/>
      <c r="G46" s="24"/>
      <c r="H46" s="25"/>
      <c r="I46" s="26">
        <f t="shared" si="0"/>
        <v>0</v>
      </c>
    </row>
    <row r="47" spans="2:9" hidden="1" x14ac:dyDescent="0.25">
      <c r="B47" s="22"/>
      <c r="C47" s="22"/>
      <c r="D47" s="22"/>
      <c r="E47" s="23"/>
      <c r="F47" s="24"/>
      <c r="G47" s="24"/>
      <c r="H47" s="25"/>
      <c r="I47" s="26">
        <f t="shared" si="0"/>
        <v>0</v>
      </c>
    </row>
    <row r="48" spans="2:9" hidden="1" x14ac:dyDescent="0.25">
      <c r="B48" s="22"/>
      <c r="C48" s="22"/>
      <c r="D48" s="22"/>
      <c r="E48" s="23"/>
      <c r="F48" s="24"/>
      <c r="G48" s="24"/>
      <c r="H48" s="25"/>
      <c r="I48" s="26">
        <f t="shared" si="0"/>
        <v>0</v>
      </c>
    </row>
    <row r="49" spans="2:9" hidden="1" x14ac:dyDescent="0.25">
      <c r="B49" s="22"/>
      <c r="C49" s="22"/>
      <c r="D49" s="22"/>
      <c r="E49" s="23"/>
      <c r="F49" s="24"/>
      <c r="G49" s="24"/>
      <c r="H49" s="25"/>
      <c r="I49" s="26">
        <f t="shared" si="0"/>
        <v>0</v>
      </c>
    </row>
    <row r="50" spans="2:9" hidden="1" x14ac:dyDescent="0.25">
      <c r="B50" s="22"/>
      <c r="C50" s="22"/>
      <c r="D50" s="22"/>
      <c r="E50" s="23"/>
      <c r="F50" s="24"/>
      <c r="G50" s="24"/>
      <c r="H50" s="25"/>
      <c r="I50" s="26">
        <f t="shared" si="0"/>
        <v>0</v>
      </c>
    </row>
    <row r="51" spans="2:9" hidden="1" x14ac:dyDescent="0.25">
      <c r="B51" s="22"/>
      <c r="C51" s="22"/>
      <c r="D51" s="22"/>
      <c r="E51" s="23"/>
      <c r="F51" s="24"/>
      <c r="G51" s="24"/>
      <c r="H51" s="25"/>
      <c r="I51" s="26">
        <f t="shared" si="0"/>
        <v>0</v>
      </c>
    </row>
    <row r="52" spans="2:9" hidden="1" x14ac:dyDescent="0.25">
      <c r="B52" s="22"/>
      <c r="C52" s="22"/>
      <c r="D52" s="22"/>
      <c r="E52" s="23"/>
      <c r="F52" s="24"/>
      <c r="G52" s="24"/>
      <c r="H52" s="25"/>
      <c r="I52" s="26">
        <f t="shared" si="0"/>
        <v>0</v>
      </c>
    </row>
    <row r="53" spans="2:9" hidden="1" x14ac:dyDescent="0.25">
      <c r="B53" s="22"/>
      <c r="C53" s="22"/>
      <c r="D53" s="22"/>
      <c r="E53" s="23"/>
      <c r="F53" s="24"/>
      <c r="G53" s="24"/>
      <c r="H53" s="25"/>
      <c r="I53" s="26">
        <f t="shared" si="0"/>
        <v>0</v>
      </c>
    </row>
    <row r="54" spans="2:9" hidden="1" x14ac:dyDescent="0.25">
      <c r="B54" s="22"/>
      <c r="C54" s="22"/>
      <c r="D54" s="22"/>
      <c r="E54" s="23"/>
      <c r="F54" s="24"/>
      <c r="G54" s="24"/>
      <c r="H54" s="25"/>
      <c r="I54" s="26">
        <f t="shared" si="0"/>
        <v>0</v>
      </c>
    </row>
    <row r="55" spans="2:9" hidden="1" x14ac:dyDescent="0.25">
      <c r="B55" s="22"/>
      <c r="C55" s="22"/>
      <c r="D55" s="22"/>
      <c r="E55" s="23"/>
      <c r="F55" s="24"/>
      <c r="G55" s="24"/>
      <c r="H55" s="25"/>
      <c r="I55" s="26">
        <f t="shared" si="0"/>
        <v>0</v>
      </c>
    </row>
    <row r="56" spans="2:9" hidden="1" x14ac:dyDescent="0.25">
      <c r="B56" s="22"/>
      <c r="C56" s="22"/>
      <c r="D56" s="22"/>
      <c r="E56" s="23"/>
      <c r="F56" s="24"/>
      <c r="G56" s="24"/>
      <c r="H56" s="25"/>
      <c r="I56" s="26">
        <f t="shared" si="0"/>
        <v>0</v>
      </c>
    </row>
    <row r="57" spans="2:9" hidden="1" x14ac:dyDescent="0.25">
      <c r="B57" s="22"/>
      <c r="C57" s="22"/>
      <c r="D57" s="22"/>
      <c r="E57" s="23"/>
      <c r="F57" s="24"/>
      <c r="G57" s="24"/>
      <c r="H57" s="25"/>
      <c r="I57" s="26">
        <f t="shared" si="0"/>
        <v>0</v>
      </c>
    </row>
    <row r="58" spans="2:9" hidden="1" x14ac:dyDescent="0.25">
      <c r="B58" s="22"/>
      <c r="C58" s="22"/>
      <c r="D58" s="22"/>
      <c r="E58" s="23"/>
      <c r="F58" s="24"/>
      <c r="G58" s="24"/>
      <c r="H58" s="25"/>
      <c r="I58" s="26">
        <f t="shared" si="0"/>
        <v>0</v>
      </c>
    </row>
    <row r="59" spans="2:9" hidden="1" x14ac:dyDescent="0.25">
      <c r="B59" s="22"/>
      <c r="C59" s="22"/>
      <c r="D59" s="22"/>
      <c r="E59" s="23"/>
      <c r="F59" s="24"/>
      <c r="G59" s="24"/>
      <c r="H59" s="25"/>
      <c r="I59" s="26">
        <f t="shared" si="0"/>
        <v>0</v>
      </c>
    </row>
    <row r="60" spans="2:9" hidden="1" x14ac:dyDescent="0.25">
      <c r="B60" s="22"/>
      <c r="C60" s="22"/>
      <c r="D60" s="22"/>
      <c r="E60" s="23"/>
      <c r="F60" s="24"/>
      <c r="G60" s="24"/>
      <c r="H60" s="25"/>
      <c r="I60" s="26">
        <f t="shared" si="0"/>
        <v>0</v>
      </c>
    </row>
    <row r="61" spans="2:9" hidden="1" x14ac:dyDescent="0.25">
      <c r="B61" s="22"/>
      <c r="C61" s="22"/>
      <c r="D61" s="22"/>
      <c r="E61" s="23"/>
      <c r="F61" s="24"/>
      <c r="G61" s="24"/>
      <c r="H61" s="25"/>
      <c r="I61" s="26">
        <f t="shared" si="0"/>
        <v>0</v>
      </c>
    </row>
    <row r="62" spans="2:9" hidden="1" x14ac:dyDescent="0.25">
      <c r="B62" s="22"/>
      <c r="C62" s="22"/>
      <c r="D62" s="22"/>
      <c r="E62" s="23"/>
      <c r="F62" s="24"/>
      <c r="G62" s="24"/>
      <c r="H62" s="25"/>
      <c r="I62" s="26">
        <f t="shared" si="0"/>
        <v>0</v>
      </c>
    </row>
    <row r="63" spans="2:9" hidden="1" x14ac:dyDescent="0.25">
      <c r="B63" s="22"/>
      <c r="C63" s="22"/>
      <c r="D63" s="22"/>
      <c r="E63" s="23"/>
      <c r="F63" s="24"/>
      <c r="G63" s="24"/>
      <c r="H63" s="25"/>
      <c r="I63" s="26">
        <f t="shared" si="0"/>
        <v>0</v>
      </c>
    </row>
    <row r="64" spans="2:9" hidden="1" x14ac:dyDescent="0.25">
      <c r="B64" s="22"/>
      <c r="C64" s="22"/>
      <c r="D64" s="22"/>
      <c r="E64" s="23"/>
      <c r="F64" s="24"/>
      <c r="G64" s="24"/>
      <c r="H64" s="25"/>
      <c r="I64" s="26">
        <f t="shared" si="0"/>
        <v>0</v>
      </c>
    </row>
    <row r="65" spans="2:9" hidden="1" x14ac:dyDescent="0.25">
      <c r="B65" s="22"/>
      <c r="C65" s="22"/>
      <c r="D65" s="22"/>
      <c r="E65" s="23"/>
      <c r="F65" s="24"/>
      <c r="G65" s="24"/>
      <c r="H65" s="25"/>
      <c r="I65" s="26">
        <f t="shared" si="0"/>
        <v>0</v>
      </c>
    </row>
    <row r="66" spans="2:9" hidden="1" x14ac:dyDescent="0.25">
      <c r="B66" s="103"/>
      <c r="C66" s="103"/>
      <c r="D66" s="103"/>
      <c r="E66" s="104"/>
      <c r="F66" s="60"/>
      <c r="G66" s="24"/>
      <c r="H66" s="105"/>
      <c r="I66" s="106">
        <f t="shared" si="0"/>
        <v>0</v>
      </c>
    </row>
    <row r="67" spans="2:9" x14ac:dyDescent="0.25">
      <c r="B67" s="158"/>
      <c r="C67" s="159"/>
      <c r="D67" s="159"/>
      <c r="E67" s="159"/>
      <c r="F67" s="160"/>
      <c r="G67" s="59"/>
      <c r="H67" s="109" t="s">
        <v>17</v>
      </c>
      <c r="I67" s="110">
        <f>SUM(I15:I66)</f>
        <v>230106.37999999998</v>
      </c>
    </row>
    <row r="68" spans="2:9" x14ac:dyDescent="0.25">
      <c r="B68" s="107"/>
      <c r="C68" s="31"/>
      <c r="D68" s="32" t="s">
        <v>18</v>
      </c>
      <c r="E68" s="161">
        <f>SUM(G15:G66)</f>
        <v>29986.29</v>
      </c>
      <c r="F68" s="162"/>
      <c r="G68" s="61"/>
      <c r="H68" s="111" t="s">
        <v>19</v>
      </c>
      <c r="I68" s="112">
        <v>0</v>
      </c>
    </row>
    <row r="69" spans="2:9" x14ac:dyDescent="0.25">
      <c r="B69" s="107"/>
      <c r="C69" s="31"/>
      <c r="D69" s="32" t="s">
        <v>20</v>
      </c>
      <c r="E69" s="161">
        <f>SUM(I15:I66)</f>
        <v>230106.37999999998</v>
      </c>
      <c r="F69" s="162"/>
      <c r="G69" s="61"/>
      <c r="H69" s="113" t="s">
        <v>21</v>
      </c>
      <c r="I69" s="112">
        <v>0</v>
      </c>
    </row>
    <row r="70" spans="2:9" x14ac:dyDescent="0.25">
      <c r="B70" s="107"/>
      <c r="C70" s="31"/>
      <c r="D70" s="32" t="s">
        <v>22</v>
      </c>
      <c r="E70" s="179">
        <f>E68-E69</f>
        <v>-200120.08999999997</v>
      </c>
      <c r="F70" s="180"/>
      <c r="G70" s="62"/>
      <c r="H70" s="111" t="s">
        <v>23</v>
      </c>
      <c r="I70" s="114">
        <f>SUM(I67:I69)</f>
        <v>230106.37999999998</v>
      </c>
    </row>
    <row r="71" spans="2:9" x14ac:dyDescent="0.25">
      <c r="B71" s="107"/>
      <c r="C71" s="31"/>
      <c r="D71" s="32"/>
      <c r="E71" s="181"/>
      <c r="F71" s="182"/>
      <c r="G71" s="63"/>
      <c r="H71" s="111" t="s">
        <v>24</v>
      </c>
      <c r="I71" s="114">
        <f>I70*0.05</f>
        <v>11505.319</v>
      </c>
    </row>
    <row r="72" spans="2:9" x14ac:dyDescent="0.25">
      <c r="B72" s="107"/>
      <c r="C72" s="31"/>
      <c r="D72" s="39"/>
      <c r="E72" s="39"/>
      <c r="F72" s="108"/>
      <c r="G72" s="39"/>
      <c r="H72" s="111" t="s">
        <v>25</v>
      </c>
      <c r="I72" s="112"/>
    </row>
    <row r="73" spans="2:9" ht="16.5" thickBot="1" x14ac:dyDescent="0.3">
      <c r="B73" s="173" t="s">
        <v>26</v>
      </c>
      <c r="C73" s="174"/>
      <c r="D73" s="174"/>
      <c r="E73" s="174"/>
      <c r="F73" s="175"/>
      <c r="G73" s="58"/>
      <c r="H73" s="115" t="s">
        <v>27</v>
      </c>
      <c r="I73" s="116">
        <f>SUM(I70:I72)</f>
        <v>241611.69899999996</v>
      </c>
    </row>
  </sheetData>
  <autoFilter ref="B14:I73" xr:uid="{667D775C-C777-482C-B3DD-888A06E506C2}">
    <filterColumn colId="6">
      <customFilters>
        <customFilter operator="notEqual" val=" "/>
      </customFilters>
    </filterColumn>
  </autoFilter>
  <mergeCells count="25">
    <mergeCell ref="B73:F73"/>
    <mergeCell ref="F13:I13"/>
    <mergeCell ref="B67:F67"/>
    <mergeCell ref="E68:F68"/>
    <mergeCell ref="E69:F69"/>
    <mergeCell ref="E70:F70"/>
    <mergeCell ref="E71:F71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13445-FB78-418E-9CD4-AFF919FEA4DA}">
  <sheetPr filterMode="1"/>
  <dimension ref="B1:I63"/>
  <sheetViews>
    <sheetView workbookViewId="0">
      <selection activeCell="I66" sqref="I66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205" t="s">
        <v>28</v>
      </c>
      <c r="F1" s="205"/>
      <c r="G1" s="44"/>
      <c r="H1" s="205" t="s">
        <v>6</v>
      </c>
      <c r="I1" s="206"/>
    </row>
    <row r="2" spans="2:9" ht="15" customHeight="1" x14ac:dyDescent="0.25">
      <c r="B2" s="4"/>
      <c r="E2" s="177"/>
      <c r="F2" s="177"/>
      <c r="G2" s="45"/>
      <c r="H2" s="177"/>
      <c r="I2" s="207"/>
    </row>
    <row r="3" spans="2:9" ht="15" customHeight="1" x14ac:dyDescent="0.25">
      <c r="B3" s="4"/>
      <c r="E3" s="177"/>
      <c r="F3" s="177"/>
      <c r="G3" s="45"/>
      <c r="H3" s="177"/>
      <c r="I3" s="207"/>
    </row>
    <row r="4" spans="2:9" ht="15" customHeight="1" x14ac:dyDescent="0.25">
      <c r="B4" s="4"/>
      <c r="E4" s="177"/>
      <c r="F4" s="177"/>
      <c r="G4" s="45"/>
      <c r="H4" s="177"/>
      <c r="I4" s="207"/>
    </row>
    <row r="5" spans="2:9" ht="15" customHeight="1" x14ac:dyDescent="0.25">
      <c r="B5" s="5"/>
      <c r="C5" s="1"/>
      <c r="D5" s="1"/>
      <c r="E5" s="178"/>
      <c r="F5" s="178"/>
      <c r="G5" s="46"/>
      <c r="H5" s="178"/>
      <c r="I5" s="208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9" t="s">
        <v>7</v>
      </c>
      <c r="C7" s="209" t="s">
        <v>33</v>
      </c>
      <c r="D7" s="210"/>
      <c r="E7" s="9" t="s">
        <v>8</v>
      </c>
      <c r="F7" s="10">
        <v>45444</v>
      </c>
      <c r="G7" s="10"/>
      <c r="H7" s="11" t="s">
        <v>9</v>
      </c>
      <c r="I7" s="12"/>
    </row>
    <row r="8" spans="2:9" x14ac:dyDescent="0.25">
      <c r="B8" s="50" t="s">
        <v>10</v>
      </c>
      <c r="C8" s="183">
        <v>0</v>
      </c>
      <c r="D8" s="183"/>
      <c r="E8" s="163" t="s">
        <v>11</v>
      </c>
      <c r="F8" s="163"/>
      <c r="G8" s="13"/>
      <c r="H8" s="200"/>
      <c r="I8" s="200"/>
    </row>
    <row r="9" spans="2:9" x14ac:dyDescent="0.25">
      <c r="B9" s="50" t="s">
        <v>12</v>
      </c>
      <c r="C9" s="183">
        <v>0</v>
      </c>
      <c r="D9" s="183"/>
      <c r="E9" s="163" t="s">
        <v>13</v>
      </c>
      <c r="F9" s="163"/>
      <c r="G9" s="13"/>
      <c r="H9" s="201"/>
      <c r="I9" s="201"/>
    </row>
    <row r="10" spans="2:9" x14ac:dyDescent="0.25">
      <c r="B10" s="50"/>
      <c r="C10" s="183">
        <v>0</v>
      </c>
      <c r="D10" s="183"/>
      <c r="E10" s="163" t="s">
        <v>14</v>
      </c>
      <c r="F10" s="163"/>
      <c r="G10" s="13"/>
      <c r="H10" s="198"/>
      <c r="I10" s="198"/>
    </row>
    <row r="11" spans="2:9" x14ac:dyDescent="0.25">
      <c r="B11" s="50"/>
      <c r="C11" s="183">
        <v>0</v>
      </c>
      <c r="D11" s="183"/>
      <c r="E11" s="163"/>
      <c r="F11" s="163"/>
      <c r="G11" s="13"/>
      <c r="H11" s="198"/>
      <c r="I11" s="198"/>
    </row>
    <row r="12" spans="2:9" x14ac:dyDescent="0.25">
      <c r="B12" s="51"/>
      <c r="C12" s="183">
        <v>0</v>
      </c>
      <c r="D12" s="183"/>
      <c r="E12" s="184"/>
      <c r="F12" s="184"/>
      <c r="G12" s="14"/>
      <c r="H12" s="199"/>
      <c r="I12" s="199"/>
    </row>
    <row r="13" spans="2:9" ht="15.75" thickBot="1" x14ac:dyDescent="0.3">
      <c r="B13" s="15"/>
      <c r="C13" s="16"/>
      <c r="D13" s="16"/>
      <c r="E13" s="16"/>
      <c r="F13" s="156" t="s">
        <v>3</v>
      </c>
      <c r="G13" s="156"/>
      <c r="H13" s="156"/>
      <c r="I13" s="156"/>
    </row>
    <row r="14" spans="2:9" ht="15.75" thickBot="1" x14ac:dyDescent="0.3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21" t="s">
        <v>16</v>
      </c>
    </row>
    <row r="15" spans="2:9" x14ac:dyDescent="0.25">
      <c r="B15" s="22" t="s">
        <v>291</v>
      </c>
      <c r="C15" s="22" t="s">
        <v>292</v>
      </c>
      <c r="D15" s="22" t="s">
        <v>293</v>
      </c>
      <c r="E15" s="23">
        <v>1</v>
      </c>
      <c r="F15" s="24">
        <v>4801.95</v>
      </c>
      <c r="G15" s="24">
        <f>E15*F15</f>
        <v>4801.95</v>
      </c>
      <c r="H15" s="25">
        <v>2400.98</v>
      </c>
      <c r="I15" s="26">
        <f t="shared" ref="I15:I56" si="0">ROUND(E15*H15,2)</f>
        <v>2400.98</v>
      </c>
    </row>
    <row r="16" spans="2:9" x14ac:dyDescent="0.25">
      <c r="B16" s="22" t="s">
        <v>294</v>
      </c>
      <c r="C16" s="22" t="s">
        <v>292</v>
      </c>
      <c r="D16" s="22" t="s">
        <v>293</v>
      </c>
      <c r="E16" s="23">
        <v>1</v>
      </c>
      <c r="F16" s="24">
        <v>3996.4</v>
      </c>
      <c r="G16" s="24">
        <f t="shared" ref="G16:G21" si="1">E16*F16</f>
        <v>3996.4</v>
      </c>
      <c r="H16" s="25">
        <v>1998.2</v>
      </c>
      <c r="I16" s="26">
        <f t="shared" si="0"/>
        <v>1998.2</v>
      </c>
    </row>
    <row r="17" spans="2:9" x14ac:dyDescent="0.25">
      <c r="B17" s="22" t="s">
        <v>295</v>
      </c>
      <c r="C17" s="22" t="s">
        <v>296</v>
      </c>
      <c r="D17" s="22" t="s">
        <v>297</v>
      </c>
      <c r="E17" s="23">
        <v>3</v>
      </c>
      <c r="F17" s="24">
        <v>4614.62</v>
      </c>
      <c r="G17" s="24">
        <f t="shared" si="1"/>
        <v>13843.86</v>
      </c>
      <c r="H17" s="25">
        <v>2307.31</v>
      </c>
      <c r="I17" s="26">
        <f t="shared" si="0"/>
        <v>6921.93</v>
      </c>
    </row>
    <row r="18" spans="2:9" x14ac:dyDescent="0.25">
      <c r="B18" s="22" t="s">
        <v>298</v>
      </c>
      <c r="C18" s="22" t="s">
        <v>299</v>
      </c>
      <c r="D18" s="22" t="s">
        <v>293</v>
      </c>
      <c r="E18" s="23">
        <v>1</v>
      </c>
      <c r="F18" s="24">
        <v>5739.32</v>
      </c>
      <c r="G18" s="24">
        <f t="shared" si="1"/>
        <v>5739.32</v>
      </c>
      <c r="H18" s="25">
        <v>2869.66</v>
      </c>
      <c r="I18" s="26">
        <f t="shared" si="0"/>
        <v>2869.66</v>
      </c>
    </row>
    <row r="19" spans="2:9" x14ac:dyDescent="0.25">
      <c r="B19" s="22" t="s">
        <v>300</v>
      </c>
      <c r="C19" s="22" t="s">
        <v>301</v>
      </c>
      <c r="D19" s="22" t="s">
        <v>293</v>
      </c>
      <c r="E19" s="23">
        <v>2</v>
      </c>
      <c r="F19" s="24">
        <v>12791.1</v>
      </c>
      <c r="G19" s="24">
        <f t="shared" si="1"/>
        <v>25582.2</v>
      </c>
      <c r="H19" s="25">
        <v>6395.55</v>
      </c>
      <c r="I19" s="26">
        <f t="shared" si="0"/>
        <v>12791.1</v>
      </c>
    </row>
    <row r="20" spans="2:9" hidden="1" x14ac:dyDescent="0.25">
      <c r="B20" s="22"/>
      <c r="C20" s="22"/>
      <c r="D20" s="22"/>
      <c r="E20" s="23"/>
      <c r="F20" s="24"/>
      <c r="G20" s="24">
        <f t="shared" si="1"/>
        <v>0</v>
      </c>
      <c r="H20" s="25"/>
      <c r="I20" s="26">
        <f t="shared" si="0"/>
        <v>0</v>
      </c>
    </row>
    <row r="21" spans="2:9" hidden="1" x14ac:dyDescent="0.25">
      <c r="B21" s="22"/>
      <c r="C21" s="22"/>
      <c r="D21" s="22"/>
      <c r="E21" s="23"/>
      <c r="F21" s="24"/>
      <c r="G21" s="24">
        <f t="shared" si="1"/>
        <v>0</v>
      </c>
      <c r="H21" s="25"/>
      <c r="I21" s="26">
        <f t="shared" si="0"/>
        <v>0</v>
      </c>
    </row>
    <row r="22" spans="2:9" hidden="1" x14ac:dyDescent="0.25">
      <c r="B22" s="22"/>
      <c r="C22" s="22"/>
      <c r="D22" s="22"/>
      <c r="E22" s="23"/>
      <c r="F22" s="24"/>
      <c r="G22" s="24">
        <f t="shared" ref="G22" si="2">E22*F22</f>
        <v>0</v>
      </c>
      <c r="H22" s="25"/>
      <c r="I22" s="26">
        <f t="shared" si="0"/>
        <v>0</v>
      </c>
    </row>
    <row r="23" spans="2:9" hidden="1" x14ac:dyDescent="0.25">
      <c r="B23" s="22"/>
      <c r="C23" s="22"/>
      <c r="D23" s="22"/>
      <c r="E23" s="23"/>
      <c r="F23" s="24"/>
      <c r="G23" s="24"/>
      <c r="H23" s="25"/>
      <c r="I23" s="26">
        <f t="shared" si="0"/>
        <v>0</v>
      </c>
    </row>
    <row r="24" spans="2:9" hidden="1" x14ac:dyDescent="0.25">
      <c r="B24" s="22"/>
      <c r="C24" s="22"/>
      <c r="D24" s="22"/>
      <c r="E24" s="23"/>
      <c r="F24" s="24"/>
      <c r="G24" s="24"/>
      <c r="H24" s="25"/>
      <c r="I24" s="26">
        <f t="shared" si="0"/>
        <v>0</v>
      </c>
    </row>
    <row r="25" spans="2:9" hidden="1" x14ac:dyDescent="0.25">
      <c r="B25" s="22"/>
      <c r="C25" s="22"/>
      <c r="D25" s="22"/>
      <c r="E25" s="23"/>
      <c r="F25" s="24"/>
      <c r="G25" s="24"/>
      <c r="H25" s="25"/>
      <c r="I25" s="26">
        <f t="shared" si="0"/>
        <v>0</v>
      </c>
    </row>
    <row r="26" spans="2:9" hidden="1" x14ac:dyDescent="0.25">
      <c r="B26" s="22"/>
      <c r="C26" s="22"/>
      <c r="D26" s="22"/>
      <c r="E26" s="23"/>
      <c r="F26" s="24"/>
      <c r="G26" s="24"/>
      <c r="H26" s="25"/>
      <c r="I26" s="26">
        <f t="shared" si="0"/>
        <v>0</v>
      </c>
    </row>
    <row r="27" spans="2:9" hidden="1" x14ac:dyDescent="0.25">
      <c r="B27" s="22"/>
      <c r="C27" s="22"/>
      <c r="D27" s="22"/>
      <c r="E27" s="23"/>
      <c r="F27" s="24"/>
      <c r="G27" s="24"/>
      <c r="H27" s="25"/>
      <c r="I27" s="26">
        <f t="shared" si="0"/>
        <v>0</v>
      </c>
    </row>
    <row r="28" spans="2:9" hidden="1" x14ac:dyDescent="0.25">
      <c r="B28" s="22"/>
      <c r="C28" s="22"/>
      <c r="D28" s="22"/>
      <c r="E28" s="23"/>
      <c r="F28" s="24"/>
      <c r="G28" s="24"/>
      <c r="H28" s="25"/>
      <c r="I28" s="26">
        <f t="shared" si="0"/>
        <v>0</v>
      </c>
    </row>
    <row r="29" spans="2:9" hidden="1" x14ac:dyDescent="0.25">
      <c r="B29" s="22"/>
      <c r="C29" s="22"/>
      <c r="D29" s="22"/>
      <c r="E29" s="23"/>
      <c r="F29" s="24"/>
      <c r="G29" s="24"/>
      <c r="H29" s="25"/>
      <c r="I29" s="26">
        <f t="shared" si="0"/>
        <v>0</v>
      </c>
    </row>
    <row r="30" spans="2:9" hidden="1" x14ac:dyDescent="0.25">
      <c r="B30" s="22"/>
      <c r="C30" s="22"/>
      <c r="D30" s="22"/>
      <c r="E30" s="23"/>
      <c r="F30" s="24"/>
      <c r="G30" s="24"/>
      <c r="H30" s="25"/>
      <c r="I30" s="26">
        <f t="shared" si="0"/>
        <v>0</v>
      </c>
    </row>
    <row r="31" spans="2:9" hidden="1" x14ac:dyDescent="0.25">
      <c r="B31" s="22"/>
      <c r="C31" s="22"/>
      <c r="D31" s="22"/>
      <c r="E31" s="23"/>
      <c r="F31" s="24"/>
      <c r="G31" s="24"/>
      <c r="H31" s="25"/>
      <c r="I31" s="26">
        <f t="shared" si="0"/>
        <v>0</v>
      </c>
    </row>
    <row r="32" spans="2:9" hidden="1" x14ac:dyDescent="0.25">
      <c r="B32" s="22"/>
      <c r="C32" s="22"/>
      <c r="D32" s="22"/>
      <c r="E32" s="23"/>
      <c r="F32" s="24"/>
      <c r="G32" s="24"/>
      <c r="H32" s="25"/>
      <c r="I32" s="26">
        <f t="shared" si="0"/>
        <v>0</v>
      </c>
    </row>
    <row r="33" spans="2:9" hidden="1" x14ac:dyDescent="0.25">
      <c r="B33" s="22"/>
      <c r="C33" s="22"/>
      <c r="D33" s="22"/>
      <c r="E33" s="23"/>
      <c r="F33" s="24"/>
      <c r="G33" s="24"/>
      <c r="H33" s="25"/>
      <c r="I33" s="26">
        <f t="shared" si="0"/>
        <v>0</v>
      </c>
    </row>
    <row r="34" spans="2:9" hidden="1" x14ac:dyDescent="0.25">
      <c r="B34" s="22"/>
      <c r="C34" s="22"/>
      <c r="D34" s="22"/>
      <c r="E34" s="23"/>
      <c r="F34" s="24"/>
      <c r="G34" s="24"/>
      <c r="H34" s="25"/>
      <c r="I34" s="26">
        <f t="shared" si="0"/>
        <v>0</v>
      </c>
    </row>
    <row r="35" spans="2:9" hidden="1" x14ac:dyDescent="0.25">
      <c r="B35" s="22"/>
      <c r="C35" s="22"/>
      <c r="D35" s="22"/>
      <c r="E35" s="23"/>
      <c r="F35" s="24"/>
      <c r="G35" s="24"/>
      <c r="H35" s="25"/>
      <c r="I35" s="26">
        <f t="shared" si="0"/>
        <v>0</v>
      </c>
    </row>
    <row r="36" spans="2:9" hidden="1" x14ac:dyDescent="0.25">
      <c r="B36" s="22"/>
      <c r="C36" s="22"/>
      <c r="D36" s="22"/>
      <c r="E36" s="23"/>
      <c r="F36" s="24"/>
      <c r="G36" s="24"/>
      <c r="H36" s="25"/>
      <c r="I36" s="26">
        <f t="shared" si="0"/>
        <v>0</v>
      </c>
    </row>
    <row r="37" spans="2:9" hidden="1" x14ac:dyDescent="0.25">
      <c r="B37" s="22"/>
      <c r="C37" s="22"/>
      <c r="D37" s="22"/>
      <c r="E37" s="23"/>
      <c r="F37" s="24"/>
      <c r="G37" s="24"/>
      <c r="H37" s="25"/>
      <c r="I37" s="26">
        <f t="shared" si="0"/>
        <v>0</v>
      </c>
    </row>
    <row r="38" spans="2:9" hidden="1" x14ac:dyDescent="0.25">
      <c r="B38" s="22"/>
      <c r="C38" s="22"/>
      <c r="D38" s="22"/>
      <c r="E38" s="23"/>
      <c r="F38" s="24"/>
      <c r="G38" s="24"/>
      <c r="H38" s="25"/>
      <c r="I38" s="26">
        <f t="shared" si="0"/>
        <v>0</v>
      </c>
    </row>
    <row r="39" spans="2:9" hidden="1" x14ac:dyDescent="0.25">
      <c r="B39" s="22"/>
      <c r="C39" s="22"/>
      <c r="D39" s="22"/>
      <c r="E39" s="23"/>
      <c r="F39" s="24"/>
      <c r="G39" s="24"/>
      <c r="H39" s="25"/>
      <c r="I39" s="26">
        <f t="shared" si="0"/>
        <v>0</v>
      </c>
    </row>
    <row r="40" spans="2:9" hidden="1" x14ac:dyDescent="0.25">
      <c r="B40" s="22"/>
      <c r="C40" s="22"/>
      <c r="D40" s="22"/>
      <c r="E40" s="23"/>
      <c r="F40" s="24"/>
      <c r="G40" s="24"/>
      <c r="H40" s="25"/>
      <c r="I40" s="26">
        <f t="shared" si="0"/>
        <v>0</v>
      </c>
    </row>
    <row r="41" spans="2:9" hidden="1" x14ac:dyDescent="0.25">
      <c r="B41" s="22"/>
      <c r="C41" s="22"/>
      <c r="D41" s="22"/>
      <c r="E41" s="23"/>
      <c r="F41" s="24"/>
      <c r="G41" s="24"/>
      <c r="H41" s="25"/>
      <c r="I41" s="26">
        <f t="shared" si="0"/>
        <v>0</v>
      </c>
    </row>
    <row r="42" spans="2:9" hidden="1" x14ac:dyDescent="0.25">
      <c r="B42" s="22"/>
      <c r="C42" s="22"/>
      <c r="D42" s="22"/>
      <c r="E42" s="23"/>
      <c r="F42" s="24"/>
      <c r="G42" s="24"/>
      <c r="H42" s="25"/>
      <c r="I42" s="26">
        <f t="shared" si="0"/>
        <v>0</v>
      </c>
    </row>
    <row r="43" spans="2:9" hidden="1" x14ac:dyDescent="0.25">
      <c r="B43" s="22"/>
      <c r="C43" s="22"/>
      <c r="D43" s="22"/>
      <c r="E43" s="23"/>
      <c r="F43" s="24"/>
      <c r="G43" s="24"/>
      <c r="H43" s="25"/>
      <c r="I43" s="26">
        <f t="shared" si="0"/>
        <v>0</v>
      </c>
    </row>
    <row r="44" spans="2:9" hidden="1" x14ac:dyDescent="0.25">
      <c r="B44" s="22"/>
      <c r="C44" s="22"/>
      <c r="D44" s="22"/>
      <c r="E44" s="23"/>
      <c r="F44" s="24"/>
      <c r="G44" s="24"/>
      <c r="H44" s="25"/>
      <c r="I44" s="26">
        <f t="shared" si="0"/>
        <v>0</v>
      </c>
    </row>
    <row r="45" spans="2:9" hidden="1" x14ac:dyDescent="0.25">
      <c r="B45" s="22"/>
      <c r="C45" s="22"/>
      <c r="D45" s="22"/>
      <c r="E45" s="23"/>
      <c r="F45" s="24"/>
      <c r="G45" s="24"/>
      <c r="H45" s="25"/>
      <c r="I45" s="26">
        <f t="shared" si="0"/>
        <v>0</v>
      </c>
    </row>
    <row r="46" spans="2:9" hidden="1" x14ac:dyDescent="0.25">
      <c r="B46" s="22"/>
      <c r="C46" s="22"/>
      <c r="D46" s="22"/>
      <c r="E46" s="23"/>
      <c r="F46" s="24"/>
      <c r="G46" s="24"/>
      <c r="H46" s="25"/>
      <c r="I46" s="26">
        <f t="shared" si="0"/>
        <v>0</v>
      </c>
    </row>
    <row r="47" spans="2:9" hidden="1" x14ac:dyDescent="0.25">
      <c r="B47" s="22"/>
      <c r="C47" s="22"/>
      <c r="D47" s="22"/>
      <c r="E47" s="23"/>
      <c r="F47" s="24"/>
      <c r="G47" s="24"/>
      <c r="H47" s="25"/>
      <c r="I47" s="26">
        <f t="shared" si="0"/>
        <v>0</v>
      </c>
    </row>
    <row r="48" spans="2:9" hidden="1" x14ac:dyDescent="0.25">
      <c r="B48" s="22"/>
      <c r="C48" s="22"/>
      <c r="D48" s="22"/>
      <c r="E48" s="23"/>
      <c r="F48" s="24"/>
      <c r="G48" s="24"/>
      <c r="H48" s="25"/>
      <c r="I48" s="26">
        <f t="shared" si="0"/>
        <v>0</v>
      </c>
    </row>
    <row r="49" spans="2:9" hidden="1" x14ac:dyDescent="0.25">
      <c r="B49" s="22"/>
      <c r="C49" s="22"/>
      <c r="D49" s="22"/>
      <c r="E49" s="23"/>
      <c r="F49" s="24"/>
      <c r="G49" s="24"/>
      <c r="H49" s="25"/>
      <c r="I49" s="26">
        <f t="shared" si="0"/>
        <v>0</v>
      </c>
    </row>
    <row r="50" spans="2:9" hidden="1" x14ac:dyDescent="0.25">
      <c r="B50" s="22"/>
      <c r="C50" s="22"/>
      <c r="D50" s="22"/>
      <c r="E50" s="23"/>
      <c r="F50" s="24"/>
      <c r="G50" s="24"/>
      <c r="H50" s="25"/>
      <c r="I50" s="26">
        <f t="shared" si="0"/>
        <v>0</v>
      </c>
    </row>
    <row r="51" spans="2:9" hidden="1" x14ac:dyDescent="0.25">
      <c r="B51" s="22"/>
      <c r="C51" s="22"/>
      <c r="D51" s="22"/>
      <c r="E51" s="23"/>
      <c r="F51" s="24"/>
      <c r="G51" s="24"/>
      <c r="H51" s="25"/>
      <c r="I51" s="26">
        <f t="shared" si="0"/>
        <v>0</v>
      </c>
    </row>
    <row r="52" spans="2:9" hidden="1" x14ac:dyDescent="0.25">
      <c r="B52" s="22"/>
      <c r="C52" s="22"/>
      <c r="D52" s="22"/>
      <c r="E52" s="23"/>
      <c r="F52" s="24"/>
      <c r="G52" s="24"/>
      <c r="H52" s="25"/>
      <c r="I52" s="26">
        <f t="shared" si="0"/>
        <v>0</v>
      </c>
    </row>
    <row r="53" spans="2:9" hidden="1" x14ac:dyDescent="0.25">
      <c r="B53" s="22"/>
      <c r="C53" s="22"/>
      <c r="D53" s="22"/>
      <c r="E53" s="23"/>
      <c r="F53" s="24"/>
      <c r="G53" s="24"/>
      <c r="H53" s="25"/>
      <c r="I53" s="26">
        <f t="shared" si="0"/>
        <v>0</v>
      </c>
    </row>
    <row r="54" spans="2:9" hidden="1" x14ac:dyDescent="0.25">
      <c r="B54" s="22"/>
      <c r="C54" s="22"/>
      <c r="D54" s="22"/>
      <c r="E54" s="23"/>
      <c r="F54" s="24"/>
      <c r="G54" s="24"/>
      <c r="H54" s="25"/>
      <c r="I54" s="26">
        <f t="shared" si="0"/>
        <v>0</v>
      </c>
    </row>
    <row r="55" spans="2:9" hidden="1" x14ac:dyDescent="0.25">
      <c r="B55" s="22"/>
      <c r="C55" s="22"/>
      <c r="D55" s="22"/>
      <c r="E55" s="23"/>
      <c r="F55" s="24"/>
      <c r="G55" s="24"/>
      <c r="H55" s="25"/>
      <c r="I55" s="26">
        <f t="shared" si="0"/>
        <v>0</v>
      </c>
    </row>
    <row r="56" spans="2:9" hidden="1" x14ac:dyDescent="0.25">
      <c r="B56" s="22"/>
      <c r="C56" s="22"/>
      <c r="D56" s="22"/>
      <c r="E56" s="23"/>
      <c r="F56" s="24"/>
      <c r="G56" s="24"/>
      <c r="H56" s="25"/>
      <c r="I56" s="26">
        <f t="shared" si="0"/>
        <v>0</v>
      </c>
    </row>
    <row r="57" spans="2:9" x14ac:dyDescent="0.25">
      <c r="B57" s="214"/>
      <c r="C57" s="215"/>
      <c r="D57" s="215"/>
      <c r="E57" s="215"/>
      <c r="F57" s="216"/>
      <c r="G57" s="27"/>
      <c r="H57" s="28" t="s">
        <v>17</v>
      </c>
      <c r="I57" s="29">
        <f>SUM(I15:I56)</f>
        <v>26981.870000000003</v>
      </c>
    </row>
    <row r="58" spans="2:9" x14ac:dyDescent="0.25">
      <c r="B58" s="30"/>
      <c r="C58" s="31"/>
      <c r="D58" s="32" t="s">
        <v>18</v>
      </c>
      <c r="E58" s="161">
        <f>SUM(G15:G56)</f>
        <v>53963.729999999996</v>
      </c>
      <c r="F58" s="197"/>
      <c r="G58" s="33"/>
      <c r="H58" s="28" t="s">
        <v>19</v>
      </c>
      <c r="I58" s="34">
        <v>0</v>
      </c>
    </row>
    <row r="59" spans="2:9" x14ac:dyDescent="0.25">
      <c r="B59" s="30"/>
      <c r="C59" s="31"/>
      <c r="D59" s="32" t="s">
        <v>20</v>
      </c>
      <c r="E59" s="161">
        <f>SUM(I15:I56)</f>
        <v>26981.870000000003</v>
      </c>
      <c r="F59" s="197"/>
      <c r="G59" s="33"/>
      <c r="H59" s="35" t="s">
        <v>21</v>
      </c>
      <c r="I59" s="34">
        <v>0</v>
      </c>
    </row>
    <row r="60" spans="2:9" x14ac:dyDescent="0.25">
      <c r="B60" s="30"/>
      <c r="C60" s="31"/>
      <c r="D60" s="32" t="s">
        <v>22</v>
      </c>
      <c r="E60" s="179">
        <f>E58-E59</f>
        <v>26981.859999999993</v>
      </c>
      <c r="F60" s="203"/>
      <c r="G60" s="36"/>
      <c r="H60" s="28" t="s">
        <v>23</v>
      </c>
      <c r="I60" s="37">
        <f>SUM(I57:I59)</f>
        <v>26981.870000000003</v>
      </c>
    </row>
    <row r="61" spans="2:9" x14ac:dyDescent="0.25">
      <c r="B61" s="30"/>
      <c r="C61" s="31"/>
      <c r="D61" s="32"/>
      <c r="E61" s="181"/>
      <c r="F61" s="204"/>
      <c r="G61" s="38"/>
      <c r="H61" s="28" t="s">
        <v>24</v>
      </c>
      <c r="I61" s="37">
        <f>I60*0.05</f>
        <v>1349.0935000000002</v>
      </c>
    </row>
    <row r="62" spans="2:9" x14ac:dyDescent="0.25">
      <c r="B62" s="30"/>
      <c r="C62" s="31"/>
      <c r="D62" s="39"/>
      <c r="E62" s="39"/>
      <c r="F62" s="40"/>
      <c r="G62" s="40"/>
      <c r="H62" s="28" t="s">
        <v>25</v>
      </c>
      <c r="I62" s="34"/>
    </row>
    <row r="63" spans="2:9" ht="15.75" x14ac:dyDescent="0.25">
      <c r="B63" s="211" t="s">
        <v>26</v>
      </c>
      <c r="C63" s="212"/>
      <c r="D63" s="212"/>
      <c r="E63" s="212"/>
      <c r="F63" s="213"/>
      <c r="G63" s="41"/>
      <c r="H63" s="42" t="s">
        <v>27</v>
      </c>
      <c r="I63" s="43">
        <f>SUM(I60:I62)</f>
        <v>28330.963500000002</v>
      </c>
    </row>
  </sheetData>
  <autoFilter ref="B14:I63" xr:uid="{A4513445-FB78-418E-9CD4-AFF919FEA4DA}">
    <filterColumn colId="6">
      <customFilters>
        <customFilter operator="notEqual" val=" "/>
      </customFilters>
    </filterColumn>
  </autoFilter>
  <mergeCells count="25">
    <mergeCell ref="B63:F63"/>
    <mergeCell ref="F13:I13"/>
    <mergeCell ref="B57:F57"/>
    <mergeCell ref="E58:F58"/>
    <mergeCell ref="E59:F59"/>
    <mergeCell ref="E60:F60"/>
    <mergeCell ref="E61:F61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B348-DF57-4F28-910B-1452C942D3D1}">
  <sheetPr filterMode="1"/>
  <dimension ref="B1:I63"/>
  <sheetViews>
    <sheetView workbookViewId="0">
      <selection activeCell="D66" sqref="D66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205" t="s">
        <v>28</v>
      </c>
      <c r="F1" s="205"/>
      <c r="G1" s="44"/>
      <c r="H1" s="205" t="s">
        <v>287</v>
      </c>
      <c r="I1" s="206"/>
    </row>
    <row r="2" spans="2:9" ht="15" customHeight="1" x14ac:dyDescent="0.25">
      <c r="B2" s="4"/>
      <c r="E2" s="177"/>
      <c r="F2" s="177"/>
      <c r="G2" s="45"/>
      <c r="H2" s="177"/>
      <c r="I2" s="207"/>
    </row>
    <row r="3" spans="2:9" ht="15" customHeight="1" x14ac:dyDescent="0.25">
      <c r="B3" s="4"/>
      <c r="E3" s="177"/>
      <c r="F3" s="177"/>
      <c r="G3" s="45"/>
      <c r="H3" s="177"/>
      <c r="I3" s="207"/>
    </row>
    <row r="4" spans="2:9" ht="15" customHeight="1" x14ac:dyDescent="0.25">
      <c r="B4" s="4"/>
      <c r="E4" s="177"/>
      <c r="F4" s="177"/>
      <c r="G4" s="45"/>
      <c r="H4" s="177"/>
      <c r="I4" s="207"/>
    </row>
    <row r="5" spans="2:9" ht="15" customHeight="1" x14ac:dyDescent="0.25">
      <c r="B5" s="5"/>
      <c r="C5" s="1"/>
      <c r="D5" s="1"/>
      <c r="E5" s="178"/>
      <c r="F5" s="178"/>
      <c r="G5" s="46"/>
      <c r="H5" s="178"/>
      <c r="I5" s="208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9" t="s">
        <v>7</v>
      </c>
      <c r="C7" s="186" t="s">
        <v>290</v>
      </c>
      <c r="D7" s="187"/>
      <c r="E7" s="9" t="s">
        <v>8</v>
      </c>
      <c r="F7" s="10">
        <v>45870</v>
      </c>
      <c r="G7" s="10"/>
      <c r="H7" s="11" t="s">
        <v>9</v>
      </c>
      <c r="I7" s="12"/>
    </row>
    <row r="8" spans="2:9" x14ac:dyDescent="0.25">
      <c r="B8" s="50" t="s">
        <v>10</v>
      </c>
      <c r="C8" s="183">
        <v>0</v>
      </c>
      <c r="D8" s="183"/>
      <c r="E8" s="163" t="s">
        <v>11</v>
      </c>
      <c r="F8" s="163"/>
      <c r="G8" s="13"/>
      <c r="H8" s="200"/>
      <c r="I8" s="200"/>
    </row>
    <row r="9" spans="2:9" x14ac:dyDescent="0.25">
      <c r="B9" s="50" t="s">
        <v>12</v>
      </c>
      <c r="C9" s="183">
        <v>0</v>
      </c>
      <c r="D9" s="183"/>
      <c r="E9" s="163" t="s">
        <v>13</v>
      </c>
      <c r="F9" s="163"/>
      <c r="G9" s="13"/>
      <c r="H9" s="201"/>
      <c r="I9" s="201"/>
    </row>
    <row r="10" spans="2:9" x14ac:dyDescent="0.25">
      <c r="B10" s="50"/>
      <c r="C10" s="183">
        <v>0</v>
      </c>
      <c r="D10" s="183"/>
      <c r="E10" s="163" t="s">
        <v>14</v>
      </c>
      <c r="F10" s="163"/>
      <c r="G10" s="13"/>
      <c r="H10" s="198"/>
      <c r="I10" s="198"/>
    </row>
    <row r="11" spans="2:9" x14ac:dyDescent="0.25">
      <c r="B11" s="50"/>
      <c r="C11" s="183">
        <v>0</v>
      </c>
      <c r="D11" s="183"/>
      <c r="E11" s="163"/>
      <c r="F11" s="163"/>
      <c r="G11" s="13"/>
      <c r="H11" s="198"/>
      <c r="I11" s="198"/>
    </row>
    <row r="12" spans="2:9" x14ac:dyDescent="0.25">
      <c r="B12" s="51"/>
      <c r="C12" s="183">
        <v>0</v>
      </c>
      <c r="D12" s="183"/>
      <c r="E12" s="184"/>
      <c r="F12" s="184"/>
      <c r="G12" s="14"/>
      <c r="H12" s="199"/>
      <c r="I12" s="199"/>
    </row>
    <row r="13" spans="2:9" ht="15.75" thickBot="1" x14ac:dyDescent="0.3">
      <c r="B13" s="15"/>
      <c r="C13" s="16"/>
      <c r="D13" s="16"/>
      <c r="E13" s="16"/>
      <c r="F13" s="156" t="s">
        <v>3</v>
      </c>
      <c r="G13" s="156"/>
      <c r="H13" s="156"/>
      <c r="I13" s="156"/>
    </row>
    <row r="14" spans="2:9" ht="15.75" thickBot="1" x14ac:dyDescent="0.3">
      <c r="B14" s="57" t="s">
        <v>0</v>
      </c>
      <c r="C14" s="64" t="s">
        <v>15</v>
      </c>
      <c r="D14" s="65" t="s">
        <v>1</v>
      </c>
      <c r="E14" s="66" t="s">
        <v>2</v>
      </c>
      <c r="F14" s="66" t="s">
        <v>4</v>
      </c>
      <c r="G14" s="20"/>
      <c r="H14" s="66" t="s">
        <v>5</v>
      </c>
      <c r="I14" s="67" t="s">
        <v>16</v>
      </c>
    </row>
    <row r="15" spans="2:9" x14ac:dyDescent="0.25">
      <c r="B15" s="72" t="s">
        <v>284</v>
      </c>
      <c r="C15" s="73" t="str">
        <f>VLOOKUP($B15,'[1]Products by Part Number'!$A:$L,2,0)</f>
        <v xml:space="preserve">KOM WA320-8 (867) KOM WA320PZ-6 (729)                                            </v>
      </c>
      <c r="D15" s="73" t="str">
        <f>VLOOKUP($B15,'[1]Products by Part Number'!$A:$L,3,0)</f>
        <v>TIRE 20.5R25</v>
      </c>
      <c r="E15" s="74">
        <f>VLOOKUP($B15,'[1]Products by Part Number'!$A:$L,12,0)</f>
        <v>8</v>
      </c>
      <c r="F15" s="91">
        <f>VLOOKUP($B15,'[1]Products by Part Number'!$A:$L,4,0)</f>
        <v>3694.17</v>
      </c>
      <c r="G15" s="123">
        <v>1.77</v>
      </c>
      <c r="H15" s="97">
        <f>VLOOKUP($B15,'[1]Products by Part Number'!$A:$L,6,0)</f>
        <v>2031.79</v>
      </c>
      <c r="I15" s="77">
        <f t="shared" ref="I15:I56" si="0">ROUND(E15*H15,2)</f>
        <v>16254.32</v>
      </c>
    </row>
    <row r="16" spans="2:9" x14ac:dyDescent="0.25">
      <c r="B16" s="78" t="s">
        <v>285</v>
      </c>
      <c r="C16" s="68" t="str">
        <f>VLOOKUP($B16,'[1]Products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16" s="68" t="str">
        <f>VLOOKUP($B16,'[1]Products by Part Number'!$A:$L,3,0)</f>
        <v>TIRE 29.5-R25</v>
      </c>
      <c r="E16" s="69">
        <f>VLOOKUP($B16,'[1]Products by Part Number'!$A:$L,12,0)</f>
        <v>84</v>
      </c>
      <c r="F16" s="82">
        <f>VLOOKUP($B16,'[1]Products by Part Number'!$A:$L,4,0)</f>
        <v>9401.44</v>
      </c>
      <c r="G16" s="90">
        <f t="shared" ref="G16:G18" si="1">E16*F16</f>
        <v>789720.96000000008</v>
      </c>
      <c r="H16" s="98">
        <f>VLOOKUP($B16,'[1]Products by Part Number'!$A:$L,6,0)</f>
        <v>4700.72</v>
      </c>
      <c r="I16" s="79">
        <f t="shared" si="0"/>
        <v>394860.48</v>
      </c>
    </row>
    <row r="17" spans="2:9" x14ac:dyDescent="0.25">
      <c r="B17" s="78"/>
      <c r="C17" s="68"/>
      <c r="D17" s="68"/>
      <c r="E17" s="69"/>
      <c r="F17" s="82"/>
      <c r="G17" s="90"/>
      <c r="H17" s="98"/>
      <c r="I17" s="79">
        <f t="shared" si="0"/>
        <v>0</v>
      </c>
    </row>
    <row r="18" spans="2:9" x14ac:dyDescent="0.25">
      <c r="B18" s="78"/>
      <c r="C18" s="68"/>
      <c r="D18" s="68"/>
      <c r="E18" s="69"/>
      <c r="F18" s="82"/>
      <c r="G18" s="90">
        <f t="shared" si="1"/>
        <v>0</v>
      </c>
      <c r="H18" s="98"/>
      <c r="I18" s="79">
        <f t="shared" si="0"/>
        <v>0</v>
      </c>
    </row>
    <row r="19" spans="2:9" x14ac:dyDescent="0.25">
      <c r="B19" s="78"/>
      <c r="C19" s="68"/>
      <c r="D19" s="68"/>
      <c r="E19" s="69"/>
      <c r="F19" s="82"/>
      <c r="G19" s="90"/>
      <c r="H19" s="98"/>
      <c r="I19" s="79">
        <f t="shared" si="0"/>
        <v>0</v>
      </c>
    </row>
    <row r="20" spans="2:9" ht="15.75" thickBot="1" x14ac:dyDescent="0.3">
      <c r="B20" s="93"/>
      <c r="C20" s="85"/>
      <c r="D20" s="85"/>
      <c r="E20" s="86"/>
      <c r="F20" s="89"/>
      <c r="G20" s="90"/>
      <c r="H20" s="117"/>
      <c r="I20" s="118">
        <f t="shared" si="0"/>
        <v>0</v>
      </c>
    </row>
    <row r="21" spans="2:9" hidden="1" x14ac:dyDescent="0.25">
      <c r="B21" s="22"/>
      <c r="C21" s="22"/>
      <c r="D21" s="22"/>
      <c r="E21" s="23"/>
      <c r="F21" s="24"/>
      <c r="G21" s="24"/>
      <c r="H21" s="25"/>
      <c r="I21" s="26">
        <f t="shared" si="0"/>
        <v>0</v>
      </c>
    </row>
    <row r="22" spans="2:9" hidden="1" x14ac:dyDescent="0.25">
      <c r="B22" s="22"/>
      <c r="C22" s="22"/>
      <c r="D22" s="22"/>
      <c r="E22" s="23"/>
      <c r="F22" s="24"/>
      <c r="G22" s="24"/>
      <c r="H22" s="25"/>
      <c r="I22" s="26">
        <f t="shared" si="0"/>
        <v>0</v>
      </c>
    </row>
    <row r="23" spans="2:9" hidden="1" x14ac:dyDescent="0.25">
      <c r="B23" s="22"/>
      <c r="C23" s="22"/>
      <c r="D23" s="22"/>
      <c r="E23" s="23"/>
      <c r="F23" s="24"/>
      <c r="G23" s="24"/>
      <c r="H23" s="25"/>
      <c r="I23" s="26">
        <f t="shared" si="0"/>
        <v>0</v>
      </c>
    </row>
    <row r="24" spans="2:9" hidden="1" x14ac:dyDescent="0.25">
      <c r="B24" s="22"/>
      <c r="C24" s="22"/>
      <c r="D24" s="22"/>
      <c r="E24" s="23"/>
      <c r="F24" s="24"/>
      <c r="G24" s="24"/>
      <c r="H24" s="25"/>
      <c r="I24" s="26">
        <f t="shared" si="0"/>
        <v>0</v>
      </c>
    </row>
    <row r="25" spans="2:9" hidden="1" x14ac:dyDescent="0.25">
      <c r="B25" s="22"/>
      <c r="C25" s="22"/>
      <c r="D25" s="22"/>
      <c r="E25" s="23"/>
      <c r="F25" s="24"/>
      <c r="G25" s="24"/>
      <c r="H25" s="25"/>
      <c r="I25" s="26">
        <f t="shared" si="0"/>
        <v>0</v>
      </c>
    </row>
    <row r="26" spans="2:9" hidden="1" x14ac:dyDescent="0.25">
      <c r="B26" s="22"/>
      <c r="C26" s="22"/>
      <c r="D26" s="22"/>
      <c r="E26" s="23"/>
      <c r="F26" s="24"/>
      <c r="G26" s="24"/>
      <c r="H26" s="25"/>
      <c r="I26" s="26">
        <f t="shared" si="0"/>
        <v>0</v>
      </c>
    </row>
    <row r="27" spans="2:9" hidden="1" x14ac:dyDescent="0.25">
      <c r="B27" s="22"/>
      <c r="C27" s="22"/>
      <c r="D27" s="22"/>
      <c r="E27" s="23"/>
      <c r="F27" s="24"/>
      <c r="G27" s="24"/>
      <c r="H27" s="25"/>
      <c r="I27" s="26">
        <f t="shared" si="0"/>
        <v>0</v>
      </c>
    </row>
    <row r="28" spans="2:9" hidden="1" x14ac:dyDescent="0.25">
      <c r="B28" s="22"/>
      <c r="C28" s="22"/>
      <c r="D28" s="22"/>
      <c r="E28" s="23"/>
      <c r="F28" s="24"/>
      <c r="G28" s="24"/>
      <c r="H28" s="25"/>
      <c r="I28" s="26">
        <f t="shared" si="0"/>
        <v>0</v>
      </c>
    </row>
    <row r="29" spans="2:9" hidden="1" x14ac:dyDescent="0.25">
      <c r="B29" s="22"/>
      <c r="C29" s="22"/>
      <c r="D29" s="22"/>
      <c r="E29" s="23"/>
      <c r="F29" s="24"/>
      <c r="G29" s="24"/>
      <c r="H29" s="25"/>
      <c r="I29" s="26">
        <f t="shared" si="0"/>
        <v>0</v>
      </c>
    </row>
    <row r="30" spans="2:9" hidden="1" x14ac:dyDescent="0.25">
      <c r="B30" s="22"/>
      <c r="C30" s="22"/>
      <c r="D30" s="22"/>
      <c r="E30" s="23"/>
      <c r="F30" s="24"/>
      <c r="G30" s="24"/>
      <c r="H30" s="25"/>
      <c r="I30" s="26">
        <f t="shared" si="0"/>
        <v>0</v>
      </c>
    </row>
    <row r="31" spans="2:9" hidden="1" x14ac:dyDescent="0.25">
      <c r="B31" s="22"/>
      <c r="C31" s="22"/>
      <c r="D31" s="22"/>
      <c r="E31" s="23"/>
      <c r="F31" s="24"/>
      <c r="G31" s="24"/>
      <c r="H31" s="25"/>
      <c r="I31" s="26">
        <f t="shared" si="0"/>
        <v>0</v>
      </c>
    </row>
    <row r="32" spans="2:9" hidden="1" x14ac:dyDescent="0.25">
      <c r="B32" s="22"/>
      <c r="C32" s="22"/>
      <c r="D32" s="22"/>
      <c r="E32" s="23"/>
      <c r="F32" s="24"/>
      <c r="G32" s="24"/>
      <c r="H32" s="25"/>
      <c r="I32" s="26">
        <f t="shared" si="0"/>
        <v>0</v>
      </c>
    </row>
    <row r="33" spans="2:9" hidden="1" x14ac:dyDescent="0.25">
      <c r="B33" s="22"/>
      <c r="C33" s="22"/>
      <c r="D33" s="22"/>
      <c r="E33" s="23"/>
      <c r="F33" s="24"/>
      <c r="G33" s="24"/>
      <c r="H33" s="25"/>
      <c r="I33" s="26">
        <f t="shared" si="0"/>
        <v>0</v>
      </c>
    </row>
    <row r="34" spans="2:9" hidden="1" x14ac:dyDescent="0.25">
      <c r="B34" s="22"/>
      <c r="C34" s="22"/>
      <c r="D34" s="22"/>
      <c r="E34" s="23"/>
      <c r="F34" s="24"/>
      <c r="G34" s="24"/>
      <c r="H34" s="25"/>
      <c r="I34" s="26">
        <f t="shared" si="0"/>
        <v>0</v>
      </c>
    </row>
    <row r="35" spans="2:9" hidden="1" x14ac:dyDescent="0.25">
      <c r="B35" s="22"/>
      <c r="C35" s="22"/>
      <c r="D35" s="22"/>
      <c r="E35" s="23"/>
      <c r="F35" s="24"/>
      <c r="G35" s="24"/>
      <c r="H35" s="25"/>
      <c r="I35" s="26">
        <f t="shared" si="0"/>
        <v>0</v>
      </c>
    </row>
    <row r="36" spans="2:9" hidden="1" x14ac:dyDescent="0.25">
      <c r="B36" s="22"/>
      <c r="C36" s="22"/>
      <c r="D36" s="22"/>
      <c r="E36" s="23"/>
      <c r="F36" s="24"/>
      <c r="G36" s="24"/>
      <c r="H36" s="25"/>
      <c r="I36" s="26">
        <f t="shared" si="0"/>
        <v>0</v>
      </c>
    </row>
    <row r="37" spans="2:9" hidden="1" x14ac:dyDescent="0.25">
      <c r="B37" s="22"/>
      <c r="C37" s="22"/>
      <c r="D37" s="22"/>
      <c r="E37" s="23"/>
      <c r="F37" s="24"/>
      <c r="G37" s="24"/>
      <c r="H37" s="25"/>
      <c r="I37" s="26">
        <f t="shared" si="0"/>
        <v>0</v>
      </c>
    </row>
    <row r="38" spans="2:9" hidden="1" x14ac:dyDescent="0.25">
      <c r="B38" s="22"/>
      <c r="C38" s="22"/>
      <c r="D38" s="22"/>
      <c r="E38" s="23"/>
      <c r="F38" s="24"/>
      <c r="G38" s="24"/>
      <c r="H38" s="25"/>
      <c r="I38" s="26">
        <f t="shared" si="0"/>
        <v>0</v>
      </c>
    </row>
    <row r="39" spans="2:9" hidden="1" x14ac:dyDescent="0.25">
      <c r="B39" s="22"/>
      <c r="C39" s="22"/>
      <c r="D39" s="22"/>
      <c r="E39" s="23"/>
      <c r="F39" s="24"/>
      <c r="G39" s="24"/>
      <c r="H39" s="25"/>
      <c r="I39" s="26">
        <f t="shared" si="0"/>
        <v>0</v>
      </c>
    </row>
    <row r="40" spans="2:9" hidden="1" x14ac:dyDescent="0.25">
      <c r="B40" s="22"/>
      <c r="C40" s="22"/>
      <c r="D40" s="22"/>
      <c r="E40" s="23"/>
      <c r="F40" s="24"/>
      <c r="G40" s="24"/>
      <c r="H40" s="25"/>
      <c r="I40" s="26">
        <f t="shared" si="0"/>
        <v>0</v>
      </c>
    </row>
    <row r="41" spans="2:9" hidden="1" x14ac:dyDescent="0.25">
      <c r="B41" s="22"/>
      <c r="C41" s="22"/>
      <c r="D41" s="22"/>
      <c r="E41" s="23"/>
      <c r="F41" s="24"/>
      <c r="G41" s="24"/>
      <c r="H41" s="25"/>
      <c r="I41" s="26">
        <f t="shared" si="0"/>
        <v>0</v>
      </c>
    </row>
    <row r="42" spans="2:9" hidden="1" x14ac:dyDescent="0.25">
      <c r="B42" s="22"/>
      <c r="C42" s="22"/>
      <c r="D42" s="22"/>
      <c r="E42" s="23"/>
      <c r="F42" s="24"/>
      <c r="G42" s="24"/>
      <c r="H42" s="25"/>
      <c r="I42" s="26">
        <f t="shared" si="0"/>
        <v>0</v>
      </c>
    </row>
    <row r="43" spans="2:9" hidden="1" x14ac:dyDescent="0.25">
      <c r="B43" s="22"/>
      <c r="C43" s="22"/>
      <c r="D43" s="22"/>
      <c r="E43" s="23"/>
      <c r="F43" s="24"/>
      <c r="G43" s="24"/>
      <c r="H43" s="25"/>
      <c r="I43" s="26">
        <f t="shared" si="0"/>
        <v>0</v>
      </c>
    </row>
    <row r="44" spans="2:9" hidden="1" x14ac:dyDescent="0.25">
      <c r="B44" s="22"/>
      <c r="C44" s="22"/>
      <c r="D44" s="22"/>
      <c r="E44" s="23"/>
      <c r="F44" s="24"/>
      <c r="G44" s="24"/>
      <c r="H44" s="25"/>
      <c r="I44" s="26">
        <f t="shared" si="0"/>
        <v>0</v>
      </c>
    </row>
    <row r="45" spans="2:9" hidden="1" x14ac:dyDescent="0.25">
      <c r="B45" s="22"/>
      <c r="C45" s="22"/>
      <c r="D45" s="22"/>
      <c r="E45" s="23"/>
      <c r="F45" s="24"/>
      <c r="G45" s="24"/>
      <c r="H45" s="25"/>
      <c r="I45" s="26">
        <f t="shared" si="0"/>
        <v>0</v>
      </c>
    </row>
    <row r="46" spans="2:9" hidden="1" x14ac:dyDescent="0.25">
      <c r="B46" s="22"/>
      <c r="C46" s="22"/>
      <c r="D46" s="22"/>
      <c r="E46" s="23"/>
      <c r="F46" s="24"/>
      <c r="G46" s="24"/>
      <c r="H46" s="25"/>
      <c r="I46" s="26">
        <f t="shared" si="0"/>
        <v>0</v>
      </c>
    </row>
    <row r="47" spans="2:9" hidden="1" x14ac:dyDescent="0.25">
      <c r="B47" s="22"/>
      <c r="C47" s="22"/>
      <c r="D47" s="22"/>
      <c r="E47" s="23"/>
      <c r="F47" s="24"/>
      <c r="G47" s="24"/>
      <c r="H47" s="25"/>
      <c r="I47" s="26">
        <f t="shared" si="0"/>
        <v>0</v>
      </c>
    </row>
    <row r="48" spans="2:9" hidden="1" x14ac:dyDescent="0.25">
      <c r="B48" s="22"/>
      <c r="C48" s="22"/>
      <c r="D48" s="22"/>
      <c r="E48" s="23"/>
      <c r="F48" s="24"/>
      <c r="G48" s="24"/>
      <c r="H48" s="25"/>
      <c r="I48" s="26">
        <f t="shared" si="0"/>
        <v>0</v>
      </c>
    </row>
    <row r="49" spans="2:9" hidden="1" x14ac:dyDescent="0.25">
      <c r="B49" s="22"/>
      <c r="C49" s="22"/>
      <c r="D49" s="22"/>
      <c r="E49" s="23"/>
      <c r="F49" s="24"/>
      <c r="G49" s="24"/>
      <c r="H49" s="25"/>
      <c r="I49" s="26">
        <f t="shared" si="0"/>
        <v>0</v>
      </c>
    </row>
    <row r="50" spans="2:9" hidden="1" x14ac:dyDescent="0.25">
      <c r="B50" s="22"/>
      <c r="C50" s="22"/>
      <c r="D50" s="22"/>
      <c r="E50" s="23"/>
      <c r="F50" s="24"/>
      <c r="G50" s="24"/>
      <c r="H50" s="25"/>
      <c r="I50" s="26">
        <f t="shared" si="0"/>
        <v>0</v>
      </c>
    </row>
    <row r="51" spans="2:9" hidden="1" x14ac:dyDescent="0.25">
      <c r="B51" s="22"/>
      <c r="C51" s="22"/>
      <c r="D51" s="22"/>
      <c r="E51" s="23"/>
      <c r="F51" s="24"/>
      <c r="G51" s="24"/>
      <c r="H51" s="25"/>
      <c r="I51" s="26">
        <f t="shared" si="0"/>
        <v>0</v>
      </c>
    </row>
    <row r="52" spans="2:9" hidden="1" x14ac:dyDescent="0.25">
      <c r="B52" s="22"/>
      <c r="C52" s="22"/>
      <c r="D52" s="22"/>
      <c r="E52" s="23"/>
      <c r="F52" s="24"/>
      <c r="G52" s="24"/>
      <c r="H52" s="25"/>
      <c r="I52" s="26">
        <f t="shared" si="0"/>
        <v>0</v>
      </c>
    </row>
    <row r="53" spans="2:9" hidden="1" x14ac:dyDescent="0.25">
      <c r="B53" s="22"/>
      <c r="C53" s="22"/>
      <c r="D53" s="22"/>
      <c r="E53" s="23"/>
      <c r="F53" s="24"/>
      <c r="G53" s="24"/>
      <c r="H53" s="25"/>
      <c r="I53" s="26">
        <f t="shared" si="0"/>
        <v>0</v>
      </c>
    </row>
    <row r="54" spans="2:9" hidden="1" x14ac:dyDescent="0.25">
      <c r="B54" s="22"/>
      <c r="C54" s="22"/>
      <c r="D54" s="22"/>
      <c r="E54" s="23"/>
      <c r="F54" s="24"/>
      <c r="G54" s="24"/>
      <c r="H54" s="25"/>
      <c r="I54" s="26">
        <f t="shared" si="0"/>
        <v>0</v>
      </c>
    </row>
    <row r="55" spans="2:9" hidden="1" x14ac:dyDescent="0.25">
      <c r="B55" s="22"/>
      <c r="C55" s="22"/>
      <c r="D55" s="22"/>
      <c r="E55" s="23"/>
      <c r="F55" s="24"/>
      <c r="G55" s="24"/>
      <c r="H55" s="25"/>
      <c r="I55" s="26">
        <f t="shared" si="0"/>
        <v>0</v>
      </c>
    </row>
    <row r="56" spans="2:9" hidden="1" x14ac:dyDescent="0.25">
      <c r="B56" s="103"/>
      <c r="C56" s="103"/>
      <c r="D56" s="103"/>
      <c r="E56" s="104"/>
      <c r="F56" s="60"/>
      <c r="G56" s="24"/>
      <c r="H56" s="105"/>
      <c r="I56" s="106">
        <f t="shared" si="0"/>
        <v>0</v>
      </c>
    </row>
    <row r="57" spans="2:9" x14ac:dyDescent="0.25">
      <c r="B57" s="158"/>
      <c r="C57" s="159"/>
      <c r="D57" s="159"/>
      <c r="E57" s="159"/>
      <c r="F57" s="160"/>
      <c r="G57" s="59"/>
      <c r="H57" s="109" t="s">
        <v>17</v>
      </c>
      <c r="I57" s="110">
        <f>SUM(I15:I56)</f>
        <v>411114.8</v>
      </c>
    </row>
    <row r="58" spans="2:9" x14ac:dyDescent="0.25">
      <c r="B58" s="107"/>
      <c r="C58" s="31"/>
      <c r="D58" s="32" t="s">
        <v>18</v>
      </c>
      <c r="E58" s="161">
        <f>SUM(G15:G56)</f>
        <v>789722.7300000001</v>
      </c>
      <c r="F58" s="162"/>
      <c r="G58" s="61"/>
      <c r="H58" s="111" t="s">
        <v>19</v>
      </c>
      <c r="I58" s="112">
        <v>0</v>
      </c>
    </row>
    <row r="59" spans="2:9" x14ac:dyDescent="0.25">
      <c r="B59" s="107"/>
      <c r="C59" s="31"/>
      <c r="D59" s="32" t="s">
        <v>20</v>
      </c>
      <c r="E59" s="161">
        <f>SUM(I15:I56)</f>
        <v>411114.8</v>
      </c>
      <c r="F59" s="162"/>
      <c r="G59" s="61"/>
      <c r="H59" s="113" t="s">
        <v>21</v>
      </c>
      <c r="I59" s="112">
        <v>0</v>
      </c>
    </row>
    <row r="60" spans="2:9" x14ac:dyDescent="0.25">
      <c r="B60" s="107"/>
      <c r="C60" s="31"/>
      <c r="D60" s="32" t="s">
        <v>22</v>
      </c>
      <c r="E60" s="179">
        <f>E58-E59</f>
        <v>378607.93000000011</v>
      </c>
      <c r="F60" s="180"/>
      <c r="G60" s="62"/>
      <c r="H60" s="111" t="s">
        <v>23</v>
      </c>
      <c r="I60" s="114">
        <f>SUM(I57:I59)</f>
        <v>411114.8</v>
      </c>
    </row>
    <row r="61" spans="2:9" x14ac:dyDescent="0.25">
      <c r="B61" s="107"/>
      <c r="C61" s="31"/>
      <c r="D61" s="32"/>
      <c r="E61" s="181"/>
      <c r="F61" s="182"/>
      <c r="G61" s="63"/>
      <c r="H61" s="111" t="s">
        <v>24</v>
      </c>
      <c r="I61" s="114">
        <f>I60*0.05</f>
        <v>20555.740000000002</v>
      </c>
    </row>
    <row r="62" spans="2:9" x14ac:dyDescent="0.25">
      <c r="B62" s="107"/>
      <c r="C62" s="31"/>
      <c r="D62" s="39"/>
      <c r="E62" s="39"/>
      <c r="F62" s="108"/>
      <c r="G62" s="39"/>
      <c r="H62" s="111" t="s">
        <v>25</v>
      </c>
      <c r="I62" s="112"/>
    </row>
    <row r="63" spans="2:9" ht="16.5" thickBot="1" x14ac:dyDescent="0.3">
      <c r="B63" s="173" t="s">
        <v>26</v>
      </c>
      <c r="C63" s="174"/>
      <c r="D63" s="174"/>
      <c r="E63" s="174"/>
      <c r="F63" s="175"/>
      <c r="G63" s="58"/>
      <c r="H63" s="115" t="s">
        <v>27</v>
      </c>
      <c r="I63" s="116">
        <f>SUM(I60:I62)</f>
        <v>431670.54</v>
      </c>
    </row>
  </sheetData>
  <autoFilter ref="B14:I63" xr:uid="{667D775C-C777-482C-B3DD-888A06E506C2}">
    <filterColumn colId="6">
      <customFilters>
        <customFilter operator="notEqual" val=" "/>
      </customFilters>
    </filterColumn>
  </autoFilter>
  <mergeCells count="25">
    <mergeCell ref="E1:F5"/>
    <mergeCell ref="H1:I5"/>
    <mergeCell ref="C7:D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B63:F63"/>
    <mergeCell ref="F13:I13"/>
    <mergeCell ref="B57:F57"/>
    <mergeCell ref="E58:F58"/>
    <mergeCell ref="E59:F59"/>
    <mergeCell ref="E60:F60"/>
    <mergeCell ref="E61:F6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5399-1473-420D-A9BF-5D9EDEAB72D5}">
  <sheetPr filterMode="1"/>
  <dimension ref="B1:I77"/>
  <sheetViews>
    <sheetView topLeftCell="A13" workbookViewId="0">
      <selection activeCell="L26" sqref="L26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205" t="s">
        <v>28</v>
      </c>
      <c r="F1" s="205"/>
      <c r="G1" s="44"/>
      <c r="H1" s="205" t="s">
        <v>32</v>
      </c>
      <c r="I1" s="206"/>
    </row>
    <row r="2" spans="2:9" ht="15" customHeight="1" x14ac:dyDescent="0.25">
      <c r="B2" s="4"/>
      <c r="E2" s="177"/>
      <c r="F2" s="177"/>
      <c r="G2" s="45"/>
      <c r="H2" s="177"/>
      <c r="I2" s="207"/>
    </row>
    <row r="3" spans="2:9" ht="15" customHeight="1" x14ac:dyDescent="0.25">
      <c r="B3" s="4"/>
      <c r="E3" s="177"/>
      <c r="F3" s="177"/>
      <c r="G3" s="45"/>
      <c r="H3" s="177"/>
      <c r="I3" s="207"/>
    </row>
    <row r="4" spans="2:9" ht="15" customHeight="1" x14ac:dyDescent="0.25">
      <c r="B4" s="4"/>
      <c r="E4" s="177"/>
      <c r="F4" s="177"/>
      <c r="G4" s="45"/>
      <c r="H4" s="177"/>
      <c r="I4" s="207"/>
    </row>
    <row r="5" spans="2:9" ht="15" customHeight="1" x14ac:dyDescent="0.25">
      <c r="B5" s="5"/>
      <c r="C5" s="1"/>
      <c r="D5" s="1"/>
      <c r="E5" s="178"/>
      <c r="F5" s="178"/>
      <c r="G5" s="46"/>
      <c r="H5" s="178"/>
      <c r="I5" s="208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9" t="s">
        <v>7</v>
      </c>
      <c r="C7" s="186" t="s">
        <v>290</v>
      </c>
      <c r="D7" s="187"/>
      <c r="E7" s="9" t="s">
        <v>8</v>
      </c>
      <c r="F7" s="10">
        <f>'MOQ Grand Total'!F7</f>
        <v>45870</v>
      </c>
      <c r="G7" s="10"/>
      <c r="H7" s="11" t="s">
        <v>9</v>
      </c>
      <c r="I7" s="12" t="str">
        <f>'MOQ Grand Total'!I7</f>
        <v xml:space="preserve"> </v>
      </c>
    </row>
    <row r="8" spans="2:9" x14ac:dyDescent="0.25">
      <c r="B8" s="50" t="s">
        <v>10</v>
      </c>
      <c r="C8" s="186">
        <f>'MOQ Grand Total'!C8</f>
        <v>0</v>
      </c>
      <c r="D8" s="187"/>
      <c r="E8" s="163" t="s">
        <v>11</v>
      </c>
      <c r="F8" s="163"/>
      <c r="G8" s="13"/>
      <c r="H8" s="200" t="str">
        <f>'MOQ Grand Total'!H8</f>
        <v xml:space="preserve"> </v>
      </c>
      <c r="I8" s="200"/>
    </row>
    <row r="9" spans="2:9" x14ac:dyDescent="0.25">
      <c r="B9" s="50" t="s">
        <v>12</v>
      </c>
      <c r="C9" s="186">
        <f>'MOQ Grand Total'!C9</f>
        <v>0</v>
      </c>
      <c r="D9" s="187"/>
      <c r="E9" s="163" t="s">
        <v>13</v>
      </c>
      <c r="F9" s="163"/>
      <c r="G9" s="13"/>
      <c r="H9" s="200" t="str">
        <f>'MOQ Grand Total'!H9</f>
        <v xml:space="preserve"> </v>
      </c>
      <c r="I9" s="200"/>
    </row>
    <row r="10" spans="2:9" x14ac:dyDescent="0.25">
      <c r="B10" s="50"/>
      <c r="C10" s="186">
        <f>'MOQ Grand Total'!C10</f>
        <v>0</v>
      </c>
      <c r="D10" s="187"/>
      <c r="E10" s="163" t="s">
        <v>14</v>
      </c>
      <c r="F10" s="163"/>
      <c r="G10" s="13"/>
      <c r="H10" s="200" t="str">
        <f>'MOQ Grand Total'!H10</f>
        <v xml:space="preserve"> </v>
      </c>
      <c r="I10" s="200"/>
    </row>
    <row r="11" spans="2:9" x14ac:dyDescent="0.25">
      <c r="B11" s="50"/>
      <c r="C11" s="186">
        <f>'MOQ Grand Total'!C11</f>
        <v>0</v>
      </c>
      <c r="D11" s="187"/>
      <c r="E11" s="163"/>
      <c r="F11" s="163"/>
      <c r="G11" s="13"/>
      <c r="H11" s="200" t="str">
        <f>'MOQ Grand Total'!H11</f>
        <v xml:space="preserve"> </v>
      </c>
      <c r="I11" s="200"/>
    </row>
    <row r="12" spans="2:9" x14ac:dyDescent="0.25">
      <c r="B12" s="51"/>
      <c r="C12" s="186">
        <f>'MOQ Grand Total'!C12</f>
        <v>0</v>
      </c>
      <c r="D12" s="187"/>
      <c r="E12" s="184"/>
      <c r="F12" s="184"/>
      <c r="G12" s="14"/>
      <c r="H12" s="200" t="str">
        <f>'MOQ Grand Total'!H12</f>
        <v xml:space="preserve"> </v>
      </c>
      <c r="I12" s="200"/>
    </row>
    <row r="13" spans="2:9" ht="15.75" thickBot="1" x14ac:dyDescent="0.3">
      <c r="B13" s="15"/>
      <c r="C13" s="16"/>
      <c r="D13" s="16"/>
      <c r="E13" s="16"/>
      <c r="F13" s="156" t="s">
        <v>3</v>
      </c>
      <c r="G13" s="156"/>
      <c r="H13" s="156"/>
      <c r="I13" s="156"/>
    </row>
    <row r="14" spans="2:9" ht="15.75" thickBot="1" x14ac:dyDescent="0.3">
      <c r="B14" s="57" t="s">
        <v>0</v>
      </c>
      <c r="C14" s="64" t="s">
        <v>15</v>
      </c>
      <c r="D14" s="65" t="s">
        <v>1</v>
      </c>
      <c r="E14" s="66" t="s">
        <v>2</v>
      </c>
      <c r="F14" s="66" t="s">
        <v>4</v>
      </c>
      <c r="G14" s="20"/>
      <c r="H14" s="66" t="s">
        <v>5</v>
      </c>
      <c r="I14" s="67" t="s">
        <v>16</v>
      </c>
    </row>
    <row r="15" spans="2:9" x14ac:dyDescent="0.25">
      <c r="B15" s="72" t="s">
        <v>251</v>
      </c>
      <c r="C15" s="73" t="str">
        <f>VLOOKUP($B15,'[1]Products by Part Number'!$A:$L,2,0)</f>
        <v xml:space="preserve">CAT 14 (EN4)                                              </v>
      </c>
      <c r="D15" s="73" t="str">
        <f>VLOOKUP($B15,'[1]Products by Part Number'!$A:$L,3,0)</f>
        <v>TURBOCHARGER</v>
      </c>
      <c r="E15" s="74">
        <f>VLOOKUP($B15,'[1]Products by Part Number'!$A:$L,12,0)</f>
        <v>1</v>
      </c>
      <c r="F15" s="91">
        <f>VLOOKUP($B15,'[1]Products by Part Number'!$A:$L,4,0)</f>
        <v>6480.33</v>
      </c>
      <c r="G15" s="90">
        <f>E15*F15</f>
        <v>6480.33</v>
      </c>
      <c r="H15" s="97">
        <f>VLOOKUP($B15,'[1]Products by Part Number'!$A:$L,6,0)</f>
        <v>3240.17</v>
      </c>
      <c r="I15" s="77">
        <f t="shared" ref="I15:I70" si="0">ROUND(E15*H15,2)</f>
        <v>3240.17</v>
      </c>
    </row>
    <row r="16" spans="2:9" x14ac:dyDescent="0.25">
      <c r="B16" s="78" t="s">
        <v>252</v>
      </c>
      <c r="C16" s="68" t="str">
        <f>VLOOKUP($B16,'[1]Products by Part Number'!$A:$L,2,0)</f>
        <v xml:space="preserve">CAT 329EL (ZCD)                                              </v>
      </c>
      <c r="D16" s="68" t="str">
        <f>VLOOKUP($B16,'[1]Products by Part Number'!$A:$L,3,0)</f>
        <v>TURBOCHARGER</v>
      </c>
      <c r="E16" s="69">
        <f>VLOOKUP($B16,'[1]Products by Part Number'!$A:$L,12,0)</f>
        <v>1</v>
      </c>
      <c r="F16" s="82">
        <f>VLOOKUP($B16,'[1]Products by Part Number'!$A:$L,4,0)</f>
        <v>3792.29</v>
      </c>
      <c r="G16" s="90">
        <f t="shared" ref="G16:G17" si="1">E16*F16</f>
        <v>3792.29</v>
      </c>
      <c r="H16" s="98">
        <f>VLOOKUP($B16,'[1]Products by Part Number'!$A:$L,6,0)</f>
        <v>1896.15</v>
      </c>
      <c r="I16" s="79">
        <f t="shared" si="0"/>
        <v>1896.15</v>
      </c>
    </row>
    <row r="17" spans="2:9" x14ac:dyDescent="0.25">
      <c r="B17" s="78" t="s">
        <v>253</v>
      </c>
      <c r="C17" s="68" t="str">
        <f>VLOOKUP($B17,'[1]Products by Part Number'!$A:$L,2,0)</f>
        <v xml:space="preserve">CAT TL1055C (KDE)                                              </v>
      </c>
      <c r="D17" s="68" t="str">
        <f>VLOOKUP($B17,'[1]Products by Part Number'!$A:$L,3,0)</f>
        <v>TURBOCHARGER</v>
      </c>
      <c r="E17" s="69">
        <f>VLOOKUP($B17,'[1]Products by Part Number'!$A:$L,12,0)</f>
        <v>1</v>
      </c>
      <c r="F17" s="82">
        <f>VLOOKUP($B17,'[1]Products by Part Number'!$A:$L,4,0)</f>
        <v>3328.65</v>
      </c>
      <c r="G17" s="90">
        <f t="shared" si="1"/>
        <v>3328.65</v>
      </c>
      <c r="H17" s="98">
        <f>VLOOKUP($B17,'[1]Products by Part Number'!$A:$L,6,0)</f>
        <v>1664.33</v>
      </c>
      <c r="I17" s="79">
        <f t="shared" si="0"/>
        <v>1664.33</v>
      </c>
    </row>
    <row r="18" spans="2:9" x14ac:dyDescent="0.25">
      <c r="B18" s="78" t="s">
        <v>254</v>
      </c>
      <c r="C18" s="68" t="str">
        <f>VLOOKUP($B18,'[1]Products by Part Number'!$A:$L,2,0)</f>
        <v xml:space="preserve">CAT 255 CAT 255 (2) CAT 255 (FL7)                                          </v>
      </c>
      <c r="D18" s="68" t="str">
        <f>VLOOKUP($B18,'[1]Products by Part Number'!$A:$L,3,0)</f>
        <v>TURBOCHARGER</v>
      </c>
      <c r="E18" s="69">
        <f>VLOOKUP($B18,'[1]Products by Part Number'!$A:$L,12,0)</f>
        <v>3</v>
      </c>
      <c r="F18" s="82">
        <f>VLOOKUP($B18,'[1]Products by Part Number'!$A:$L,4,0)</f>
        <v>2773.6</v>
      </c>
      <c r="G18" s="90"/>
      <c r="H18" s="98">
        <f>VLOOKUP($B18,'[1]Products by Part Number'!$A:$L,6,0)</f>
        <v>1386.8</v>
      </c>
      <c r="I18" s="79">
        <f t="shared" si="0"/>
        <v>4160.3999999999996</v>
      </c>
    </row>
    <row r="19" spans="2:9" x14ac:dyDescent="0.25">
      <c r="B19" s="78" t="s">
        <v>255</v>
      </c>
      <c r="C19" s="68" t="str">
        <f>VLOOKUP($B19,'[1]Products by Part Number'!$A:$L,2,0)</f>
        <v xml:space="preserve">KOM PC138USLC-11 KOM PC238USLC-11 (1)                                            </v>
      </c>
      <c r="D19" s="68" t="str">
        <f>VLOOKUP($B19,'[1]Products by Part Number'!$A:$L,3,0)</f>
        <v>TURBOCHARGER</v>
      </c>
      <c r="E19" s="69">
        <f>VLOOKUP($B19,'[1]Products by Part Number'!$A:$L,12,0)</f>
        <v>2</v>
      </c>
      <c r="F19" s="82">
        <f>VLOOKUP($B19,'[1]Products by Part Number'!$A:$L,4,0)</f>
        <v>6007.95</v>
      </c>
      <c r="G19" s="90"/>
      <c r="H19" s="98">
        <f>VLOOKUP($B19,'[1]Products by Part Number'!$A:$L,6,0)</f>
        <v>3003.98</v>
      </c>
      <c r="I19" s="79">
        <f t="shared" si="0"/>
        <v>6007.96</v>
      </c>
    </row>
    <row r="20" spans="2:9" x14ac:dyDescent="0.25">
      <c r="B20" s="78" t="s">
        <v>256</v>
      </c>
      <c r="C20" s="68" t="str">
        <f>VLOOKUP($B20,'[1]Products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</c>
      <c r="D20" s="68" t="str">
        <f>VLOOKUP($B20,'[1]Products by Part Number'!$A:$L,3,0)</f>
        <v>TURBOCHARGER</v>
      </c>
      <c r="E20" s="69">
        <f>VLOOKUP($B20,'[1]Products by Part Number'!$A:$L,12,0)</f>
        <v>9</v>
      </c>
      <c r="F20" s="82">
        <f>VLOOKUP($B20,'[1]Products by Part Number'!$A:$L,4,0)</f>
        <v>15534.64</v>
      </c>
      <c r="G20" s="90"/>
      <c r="H20" s="98">
        <f>VLOOKUP($B20,'[1]Products by Part Number'!$A:$L,6,0)</f>
        <v>7767.32</v>
      </c>
      <c r="I20" s="79">
        <f t="shared" si="0"/>
        <v>69905.88</v>
      </c>
    </row>
    <row r="21" spans="2:9" x14ac:dyDescent="0.25">
      <c r="B21" s="78" t="s">
        <v>257</v>
      </c>
      <c r="C21" s="68" t="str">
        <f>VLOOKUP($B21,'[1]Products by Part Number'!$A:$L,2,0)</f>
        <v xml:space="preserve">KOM WA475-10 (120)                                              </v>
      </c>
      <c r="D21" s="68" t="str">
        <f>VLOOKUP($B21,'[1]Products by Part Number'!$A:$L,3,0)</f>
        <v>TURBOCHARGER</v>
      </c>
      <c r="E21" s="69">
        <f>VLOOKUP($B21,'[1]Products by Part Number'!$A:$L,12,0)</f>
        <v>1</v>
      </c>
      <c r="F21" s="82">
        <f>VLOOKUP($B21,'[1]Products by Part Number'!$A:$L,4,0)</f>
        <v>18281.09</v>
      </c>
      <c r="G21" s="90"/>
      <c r="H21" s="98">
        <f>VLOOKUP($B21,'[1]Products by Part Number'!$A:$L,6,0)</f>
        <v>9140.5499999999993</v>
      </c>
      <c r="I21" s="79">
        <f t="shared" si="0"/>
        <v>9140.5499999999993</v>
      </c>
    </row>
    <row r="22" spans="2:9" x14ac:dyDescent="0.25">
      <c r="B22" s="78" t="s">
        <v>258</v>
      </c>
      <c r="C22" s="68" t="str">
        <f>VLOOKUP($B22,'[1]Products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22" s="68" t="str">
        <f>VLOOKUP($B22,'[1]Products by Part Number'!$A:$L,3,0)</f>
        <v>TURBOCHARGER</v>
      </c>
      <c r="E22" s="69">
        <f>VLOOKUP($B22,'[1]Products by Part Number'!$A:$L,12,0)</f>
        <v>14</v>
      </c>
      <c r="F22" s="82">
        <f>VLOOKUP($B22,'[1]Products by Part Number'!$A:$L,4,0)</f>
        <v>18264.490000000002</v>
      </c>
      <c r="G22" s="90"/>
      <c r="H22" s="98">
        <f>VLOOKUP($B22,'[1]Products by Part Number'!$A:$L,6,0)</f>
        <v>9132.25</v>
      </c>
      <c r="I22" s="79">
        <f t="shared" si="0"/>
        <v>127851.5</v>
      </c>
    </row>
    <row r="23" spans="2:9" x14ac:dyDescent="0.25">
      <c r="B23" s="78" t="s">
        <v>259</v>
      </c>
      <c r="C23" s="68" t="str">
        <f>VLOOKUP($B23,'[1]Products by Part Number'!$A:$L,2,0)</f>
        <v xml:space="preserve">KOM PC360LC-11 (A37) KOM PC360LC-11 (A39) KOM PC360LC-11 (A39) (2)                                          </v>
      </c>
      <c r="D23" s="68" t="str">
        <f>VLOOKUP($B23,'[1]Products by Part Number'!$A:$L,3,0)</f>
        <v>TURBOCHARGER</v>
      </c>
      <c r="E23" s="69">
        <f>VLOOKUP($B23,'[1]Products by Part Number'!$A:$L,12,0)</f>
        <v>3</v>
      </c>
      <c r="F23" s="82">
        <f>VLOOKUP($B23,'[1]Products by Part Number'!$A:$L,4,0)</f>
        <v>12799.25</v>
      </c>
      <c r="G23" s="90"/>
      <c r="H23" s="98">
        <f>VLOOKUP($B23,'[1]Products by Part Number'!$A:$L,6,0)</f>
        <v>6399.63</v>
      </c>
      <c r="I23" s="79">
        <f t="shared" si="0"/>
        <v>19198.89</v>
      </c>
    </row>
    <row r="24" spans="2:9" x14ac:dyDescent="0.25">
      <c r="B24" s="78" t="s">
        <v>260</v>
      </c>
      <c r="C24" s="68" t="str">
        <f>VLOOKUP($B24,'[1]Products by Part Number'!$A:$L,2,0)</f>
        <v xml:space="preserve">KOM D71PX-24 (1) KOM D71PX-24 (2) KOM D71PX-24 (3) KOM D71PX-24 (4) KOM D71PX-24 (5) KOM D71PX-24 (6) KOM D71PX-24 (7)                                  </v>
      </c>
      <c r="D24" s="68" t="str">
        <f>VLOOKUP($B24,'[1]Products by Part Number'!$A:$L,3,0)</f>
        <v>TURBOCHARGER</v>
      </c>
      <c r="E24" s="69">
        <f>VLOOKUP($B24,'[1]Products by Part Number'!$A:$L,12,0)</f>
        <v>7</v>
      </c>
      <c r="F24" s="82">
        <f>VLOOKUP($B24,'[1]Products by Part Number'!$A:$L,4,0)</f>
        <v>12782.78</v>
      </c>
      <c r="G24" s="90"/>
      <c r="H24" s="98">
        <f>VLOOKUP($B24,'[1]Products by Part Number'!$A:$L,6,0)</f>
        <v>6391.39</v>
      </c>
      <c r="I24" s="79">
        <f t="shared" si="0"/>
        <v>44739.73</v>
      </c>
    </row>
    <row r="25" spans="2:9" x14ac:dyDescent="0.25">
      <c r="B25" s="78" t="s">
        <v>261</v>
      </c>
      <c r="C25" s="68" t="str">
        <f>VLOOKUP($B25,'[1]Products by Part Number'!$A:$L,2,0)</f>
        <v xml:space="preserve">KOM PC238USLC-11 (2) KOM PC290LC-11 (K73)                                            </v>
      </c>
      <c r="D25" s="68" t="str">
        <f>VLOOKUP($B25,'[1]Products by Part Number'!$A:$L,3,0)</f>
        <v>TURBOCHARGER</v>
      </c>
      <c r="E25" s="69">
        <f>VLOOKUP($B25,'[1]Products by Part Number'!$A:$L,12,0)</f>
        <v>2</v>
      </c>
      <c r="F25" s="82">
        <f>VLOOKUP($B25,'[1]Products by Part Number'!$A:$L,4,0)</f>
        <v>9876.7800000000007</v>
      </c>
      <c r="G25" s="90"/>
      <c r="H25" s="98">
        <f>VLOOKUP($B25,'[1]Products by Part Number'!$A:$L,6,0)</f>
        <v>4938.3900000000003</v>
      </c>
      <c r="I25" s="79">
        <f t="shared" si="0"/>
        <v>9876.7800000000007</v>
      </c>
    </row>
    <row r="26" spans="2:9" x14ac:dyDescent="0.25">
      <c r="B26" s="78" t="s">
        <v>262</v>
      </c>
      <c r="C26" s="68" t="str">
        <f>VLOOKUP($B26,'[1]Products by Part Number'!$A:$L,2,0)</f>
        <v xml:space="preserve">KOM WA380-8 (1) KOM WA380-8 (2) KOM WA320-8 (867) KOM WA320PZ-6 (729)                                        </v>
      </c>
      <c r="D26" s="68" t="str">
        <f>VLOOKUP($B26,'[1]Products by Part Number'!$A:$L,3,0)</f>
        <v>TURBOCHARGER</v>
      </c>
      <c r="E26" s="69">
        <f>VLOOKUP($B26,'[1]Products by Part Number'!$A:$L,12,0)</f>
        <v>4</v>
      </c>
      <c r="F26" s="82">
        <f>VLOOKUP($B26,'[1]Products by Part Number'!$A:$L,4,0)</f>
        <v>8656.94</v>
      </c>
      <c r="G26" s="90"/>
      <c r="H26" s="98">
        <f>VLOOKUP($B26,'[1]Products by Part Number'!$A:$L,6,0)</f>
        <v>4328.47</v>
      </c>
      <c r="I26" s="79">
        <f t="shared" si="0"/>
        <v>17313.88</v>
      </c>
    </row>
    <row r="27" spans="2:9" x14ac:dyDescent="0.25">
      <c r="B27" s="78" t="s">
        <v>263</v>
      </c>
      <c r="C27" s="68" t="str">
        <f>VLOOKUP($B27,'[1]Products by Part Number'!$A:$L,2,0)</f>
        <v xml:space="preserve">KOM D61PX-24 (B60)                                              </v>
      </c>
      <c r="D27" s="68" t="str">
        <f>VLOOKUP($B27,'[1]Products by Part Number'!$A:$L,3,0)</f>
        <v>TURBOCHARGER</v>
      </c>
      <c r="E27" s="69">
        <f>VLOOKUP($B27,'[1]Products by Part Number'!$A:$L,12,0)</f>
        <v>1</v>
      </c>
      <c r="F27" s="82">
        <f>VLOOKUP($B27,'[1]Products by Part Number'!$A:$L,4,0)</f>
        <v>9117.02</v>
      </c>
      <c r="G27" s="90"/>
      <c r="H27" s="98">
        <f>VLOOKUP($B27,'[1]Products by Part Number'!$A:$L,6,0)</f>
        <v>4558.51</v>
      </c>
      <c r="I27" s="79">
        <f t="shared" si="0"/>
        <v>4558.51</v>
      </c>
    </row>
    <row r="28" spans="2:9" x14ac:dyDescent="0.25">
      <c r="B28" s="78" t="s">
        <v>264</v>
      </c>
      <c r="C28" s="68" t="str">
        <f>VLOOKUP($B28,'[1]Products by Part Number'!$A:$L,2,0)</f>
        <v xml:space="preserve">JD 470P (1FF)                                              </v>
      </c>
      <c r="D28" s="68" t="str">
        <f>VLOOKUP($B28,'[1]Products by Part Number'!$A:$L,3,0)</f>
        <v>TURBOCHARGER</v>
      </c>
      <c r="E28" s="69">
        <f>VLOOKUP($B28,'[1]Products by Part Number'!$A:$L,12,0)</f>
        <v>1</v>
      </c>
      <c r="F28" s="82">
        <f>VLOOKUP($B28,'[1]Products by Part Number'!$A:$L,4,0)</f>
        <v>6077.9753999999994</v>
      </c>
      <c r="G28" s="90"/>
      <c r="H28" s="98">
        <f>VLOOKUP($B28,'[1]Products by Part Number'!$A:$L,6,0)</f>
        <v>3038.99</v>
      </c>
      <c r="I28" s="79">
        <f t="shared" si="0"/>
        <v>3038.99</v>
      </c>
    </row>
    <row r="29" spans="2:9" x14ac:dyDescent="0.25">
      <c r="B29" s="78" t="s">
        <v>265</v>
      </c>
      <c r="C29" s="68" t="str">
        <f>VLOOKUP($B29,'[1]Products by Part Number'!$A:$L,2,0)</f>
        <v xml:space="preserve">JD 624K (DW6)                                              </v>
      </c>
      <c r="D29" s="68" t="str">
        <f>VLOOKUP($B29,'[1]Products by Part Number'!$A:$L,3,0)</f>
        <v>TURBOCHARGER</v>
      </c>
      <c r="E29" s="69">
        <f>VLOOKUP($B29,'[1]Products by Part Number'!$A:$L,12,0)</f>
        <v>1</v>
      </c>
      <c r="F29" s="82">
        <f>VLOOKUP($B29,'[1]Products by Part Number'!$A:$L,4,0)</f>
        <v>4795.7069999999994</v>
      </c>
      <c r="G29" s="90"/>
      <c r="H29" s="98">
        <f>VLOOKUP($B29,'[1]Products by Part Number'!$A:$L,6,0)</f>
        <v>2397.85</v>
      </c>
      <c r="I29" s="79">
        <f t="shared" si="0"/>
        <v>2397.85</v>
      </c>
    </row>
    <row r="30" spans="2:9" x14ac:dyDescent="0.25">
      <c r="B30" s="78" t="s">
        <v>266</v>
      </c>
      <c r="C30" s="68" t="str">
        <f>VLOOKUP($B30,'[1]Products by Part Number'!$A:$L,2,0)</f>
        <v xml:space="preserve">JD 764 (100)                                              </v>
      </c>
      <c r="D30" s="68" t="str">
        <f>VLOOKUP($B30,'[1]Products by Part Number'!$A:$L,3,0)</f>
        <v>TURBOCHARGER</v>
      </c>
      <c r="E30" s="69">
        <f>VLOOKUP($B30,'[1]Products by Part Number'!$A:$L,12,0)</f>
        <v>1</v>
      </c>
      <c r="F30" s="82">
        <f>VLOOKUP($B30,'[1]Products by Part Number'!$A:$L,4,0)</f>
        <v>4590.0455999999995</v>
      </c>
      <c r="G30" s="90"/>
      <c r="H30" s="98">
        <f>VLOOKUP($B30,'[1]Products by Part Number'!$A:$L,6,0)</f>
        <v>2295.02</v>
      </c>
      <c r="I30" s="79">
        <f t="shared" si="0"/>
        <v>2295.02</v>
      </c>
    </row>
    <row r="31" spans="2:9" x14ac:dyDescent="0.25">
      <c r="B31" s="78" t="s">
        <v>267</v>
      </c>
      <c r="C31" s="68" t="str">
        <f>VLOOKUP($B31,'[1]Products by Part Number'!$A:$L,2,0)</f>
        <v xml:space="preserve">JD 470P (1FF)                                              </v>
      </c>
      <c r="D31" s="68" t="str">
        <f>VLOOKUP($B31,'[1]Products by Part Number'!$A:$L,3,0)</f>
        <v>TURBOCHARGER</v>
      </c>
      <c r="E31" s="69">
        <f>VLOOKUP($B31,'[1]Products by Part Number'!$A:$L,12,0)</f>
        <v>1</v>
      </c>
      <c r="F31" s="82">
        <f>VLOOKUP($B31,'[1]Products by Part Number'!$A:$L,4,0)</f>
        <v>2617.1561999999999</v>
      </c>
      <c r="G31" s="90"/>
      <c r="H31" s="98">
        <f>VLOOKUP($B31,'[1]Products by Part Number'!$A:$L,6,0)</f>
        <v>1308.58</v>
      </c>
      <c r="I31" s="79">
        <f t="shared" si="0"/>
        <v>1308.58</v>
      </c>
    </row>
    <row r="32" spans="2:9" x14ac:dyDescent="0.25">
      <c r="B32" s="78" t="s">
        <v>268</v>
      </c>
      <c r="C32" s="68" t="str">
        <f>VLOOKUP($B32,'[1]Products by Part Number'!$A:$L,2,0)</f>
        <v xml:space="preserve">JD 333G (1T0)                                              </v>
      </c>
      <c r="D32" s="68" t="str">
        <f>VLOOKUP($B32,'[1]Products by Part Number'!$A:$L,3,0)</f>
        <v>TURBOCHARGER</v>
      </c>
      <c r="E32" s="69">
        <f>VLOOKUP($B32,'[1]Products by Part Number'!$A:$L,12,0)</f>
        <v>1</v>
      </c>
      <c r="F32" s="82">
        <f>VLOOKUP($B32,'[1]Products by Part Number'!$A:$L,4,0)</f>
        <v>3111.8723999999997</v>
      </c>
      <c r="G32" s="90"/>
      <c r="H32" s="98">
        <f>VLOOKUP($B32,'[1]Products by Part Number'!$A:$L,6,0)</f>
        <v>1555.94</v>
      </c>
      <c r="I32" s="79">
        <f t="shared" si="0"/>
        <v>1555.94</v>
      </c>
    </row>
    <row r="33" spans="2:9" x14ac:dyDescent="0.25">
      <c r="B33" s="78"/>
      <c r="C33" s="68"/>
      <c r="D33" s="68"/>
      <c r="E33" s="69"/>
      <c r="F33" s="82"/>
      <c r="G33" s="90"/>
      <c r="H33" s="98"/>
      <c r="I33" s="79">
        <f t="shared" si="0"/>
        <v>0</v>
      </c>
    </row>
    <row r="34" spans="2:9" ht="15.75" thickBot="1" x14ac:dyDescent="0.3">
      <c r="B34" s="93"/>
      <c r="C34" s="85"/>
      <c r="D34" s="85"/>
      <c r="E34" s="86"/>
      <c r="F34" s="89"/>
      <c r="G34" s="90"/>
      <c r="H34" s="117"/>
      <c r="I34" s="118">
        <f t="shared" si="0"/>
        <v>0</v>
      </c>
    </row>
    <row r="35" spans="2:9" hidden="1" x14ac:dyDescent="0.25">
      <c r="B35" s="22"/>
      <c r="C35" s="22"/>
      <c r="D35" s="22"/>
      <c r="E35" s="23"/>
      <c r="F35" s="24"/>
      <c r="G35" s="24"/>
      <c r="H35" s="25"/>
      <c r="I35" s="26">
        <f t="shared" si="0"/>
        <v>0</v>
      </c>
    </row>
    <row r="36" spans="2:9" hidden="1" x14ac:dyDescent="0.25">
      <c r="B36" s="22"/>
      <c r="C36" s="22"/>
      <c r="D36" s="22"/>
      <c r="E36" s="23"/>
      <c r="F36" s="24"/>
      <c r="G36" s="24"/>
      <c r="H36" s="25"/>
      <c r="I36" s="26">
        <f t="shared" si="0"/>
        <v>0</v>
      </c>
    </row>
    <row r="37" spans="2:9" hidden="1" x14ac:dyDescent="0.25">
      <c r="B37" s="22"/>
      <c r="C37" s="22"/>
      <c r="D37" s="22"/>
      <c r="E37" s="23"/>
      <c r="F37" s="24"/>
      <c r="G37" s="24"/>
      <c r="H37" s="25"/>
      <c r="I37" s="26">
        <f t="shared" si="0"/>
        <v>0</v>
      </c>
    </row>
    <row r="38" spans="2:9" hidden="1" x14ac:dyDescent="0.25">
      <c r="B38" s="22"/>
      <c r="C38" s="22"/>
      <c r="D38" s="22"/>
      <c r="E38" s="23"/>
      <c r="F38" s="24"/>
      <c r="G38" s="24"/>
      <c r="H38" s="25"/>
      <c r="I38" s="26">
        <f t="shared" si="0"/>
        <v>0</v>
      </c>
    </row>
    <row r="39" spans="2:9" hidden="1" x14ac:dyDescent="0.25">
      <c r="B39" s="22"/>
      <c r="C39" s="22"/>
      <c r="D39" s="22"/>
      <c r="E39" s="23"/>
      <c r="F39" s="24"/>
      <c r="G39" s="24"/>
      <c r="H39" s="25"/>
      <c r="I39" s="26">
        <f t="shared" si="0"/>
        <v>0</v>
      </c>
    </row>
    <row r="40" spans="2:9" hidden="1" x14ac:dyDescent="0.25">
      <c r="B40" s="22"/>
      <c r="C40" s="22"/>
      <c r="D40" s="22"/>
      <c r="E40" s="23"/>
      <c r="F40" s="24"/>
      <c r="G40" s="24"/>
      <c r="H40" s="25"/>
      <c r="I40" s="26">
        <f t="shared" si="0"/>
        <v>0</v>
      </c>
    </row>
    <row r="41" spans="2:9" hidden="1" x14ac:dyDescent="0.25">
      <c r="B41" s="22"/>
      <c r="C41" s="22"/>
      <c r="D41" s="22"/>
      <c r="E41" s="23"/>
      <c r="F41" s="24"/>
      <c r="G41" s="24"/>
      <c r="H41" s="25"/>
      <c r="I41" s="26">
        <f t="shared" si="0"/>
        <v>0</v>
      </c>
    </row>
    <row r="42" spans="2:9" hidden="1" x14ac:dyDescent="0.25">
      <c r="B42" s="22"/>
      <c r="C42" s="22"/>
      <c r="D42" s="22"/>
      <c r="E42" s="23"/>
      <c r="F42" s="24"/>
      <c r="G42" s="24"/>
      <c r="H42" s="25"/>
      <c r="I42" s="26">
        <f t="shared" si="0"/>
        <v>0</v>
      </c>
    </row>
    <row r="43" spans="2:9" hidden="1" x14ac:dyDescent="0.25">
      <c r="B43" s="22"/>
      <c r="C43" s="22"/>
      <c r="D43" s="22"/>
      <c r="E43" s="23"/>
      <c r="F43" s="24"/>
      <c r="G43" s="24"/>
      <c r="H43" s="25"/>
      <c r="I43" s="26">
        <f t="shared" si="0"/>
        <v>0</v>
      </c>
    </row>
    <row r="44" spans="2:9" hidden="1" x14ac:dyDescent="0.25">
      <c r="B44" s="22"/>
      <c r="C44" s="22"/>
      <c r="D44" s="22"/>
      <c r="E44" s="23"/>
      <c r="F44" s="24"/>
      <c r="G44" s="24"/>
      <c r="H44" s="25"/>
      <c r="I44" s="26">
        <f t="shared" si="0"/>
        <v>0</v>
      </c>
    </row>
    <row r="45" spans="2:9" hidden="1" x14ac:dyDescent="0.25">
      <c r="B45" s="22"/>
      <c r="C45" s="22"/>
      <c r="D45" s="22"/>
      <c r="E45" s="23"/>
      <c r="F45" s="24"/>
      <c r="G45" s="24"/>
      <c r="H45" s="25"/>
      <c r="I45" s="26">
        <f t="shared" si="0"/>
        <v>0</v>
      </c>
    </row>
    <row r="46" spans="2:9" hidden="1" x14ac:dyDescent="0.25">
      <c r="B46" s="22"/>
      <c r="C46" s="22"/>
      <c r="D46" s="22"/>
      <c r="E46" s="23"/>
      <c r="F46" s="24"/>
      <c r="G46" s="24"/>
      <c r="H46" s="25"/>
      <c r="I46" s="26">
        <f t="shared" si="0"/>
        <v>0</v>
      </c>
    </row>
    <row r="47" spans="2:9" hidden="1" x14ac:dyDescent="0.25">
      <c r="B47" s="22"/>
      <c r="C47" s="22"/>
      <c r="D47" s="22"/>
      <c r="E47" s="23"/>
      <c r="F47" s="24"/>
      <c r="G47" s="24"/>
      <c r="H47" s="25"/>
      <c r="I47" s="26">
        <f t="shared" si="0"/>
        <v>0</v>
      </c>
    </row>
    <row r="48" spans="2:9" hidden="1" x14ac:dyDescent="0.25">
      <c r="B48" s="22"/>
      <c r="C48" s="22"/>
      <c r="D48" s="22"/>
      <c r="E48" s="23"/>
      <c r="F48" s="24"/>
      <c r="G48" s="24"/>
      <c r="H48" s="25"/>
      <c r="I48" s="26">
        <f t="shared" si="0"/>
        <v>0</v>
      </c>
    </row>
    <row r="49" spans="2:9" hidden="1" x14ac:dyDescent="0.25">
      <c r="B49" s="22"/>
      <c r="C49" s="22"/>
      <c r="D49" s="22"/>
      <c r="E49" s="23"/>
      <c r="F49" s="24"/>
      <c r="G49" s="24"/>
      <c r="H49" s="25"/>
      <c r="I49" s="26">
        <f t="shared" si="0"/>
        <v>0</v>
      </c>
    </row>
    <row r="50" spans="2:9" hidden="1" x14ac:dyDescent="0.25">
      <c r="B50" s="22"/>
      <c r="C50" s="22"/>
      <c r="D50" s="22"/>
      <c r="E50" s="23"/>
      <c r="F50" s="24"/>
      <c r="G50" s="24"/>
      <c r="H50" s="25"/>
      <c r="I50" s="26">
        <f t="shared" si="0"/>
        <v>0</v>
      </c>
    </row>
    <row r="51" spans="2:9" hidden="1" x14ac:dyDescent="0.25">
      <c r="B51" s="22"/>
      <c r="C51" s="22"/>
      <c r="D51" s="22"/>
      <c r="E51" s="23"/>
      <c r="F51" s="24"/>
      <c r="G51" s="24"/>
      <c r="H51" s="25"/>
      <c r="I51" s="26">
        <f t="shared" si="0"/>
        <v>0</v>
      </c>
    </row>
    <row r="52" spans="2:9" hidden="1" x14ac:dyDescent="0.25">
      <c r="B52" s="22"/>
      <c r="C52" s="22"/>
      <c r="D52" s="22"/>
      <c r="E52" s="23"/>
      <c r="F52" s="24"/>
      <c r="G52" s="24"/>
      <c r="H52" s="25"/>
      <c r="I52" s="26">
        <f t="shared" si="0"/>
        <v>0</v>
      </c>
    </row>
    <row r="53" spans="2:9" hidden="1" x14ac:dyDescent="0.25">
      <c r="B53" s="22"/>
      <c r="C53" s="22"/>
      <c r="D53" s="22"/>
      <c r="E53" s="23"/>
      <c r="F53" s="24"/>
      <c r="G53" s="24"/>
      <c r="H53" s="25"/>
      <c r="I53" s="26">
        <f t="shared" si="0"/>
        <v>0</v>
      </c>
    </row>
    <row r="54" spans="2:9" hidden="1" x14ac:dyDescent="0.25">
      <c r="B54" s="22"/>
      <c r="C54" s="22"/>
      <c r="D54" s="22"/>
      <c r="E54" s="23"/>
      <c r="F54" s="24"/>
      <c r="G54" s="24"/>
      <c r="H54" s="25"/>
      <c r="I54" s="26">
        <f t="shared" si="0"/>
        <v>0</v>
      </c>
    </row>
    <row r="55" spans="2:9" hidden="1" x14ac:dyDescent="0.25">
      <c r="B55" s="22"/>
      <c r="C55" s="22"/>
      <c r="D55" s="22"/>
      <c r="E55" s="23"/>
      <c r="F55" s="24"/>
      <c r="G55" s="24"/>
      <c r="H55" s="25"/>
      <c r="I55" s="26">
        <f t="shared" si="0"/>
        <v>0</v>
      </c>
    </row>
    <row r="56" spans="2:9" hidden="1" x14ac:dyDescent="0.25">
      <c r="B56" s="22"/>
      <c r="C56" s="22"/>
      <c r="D56" s="22"/>
      <c r="E56" s="23"/>
      <c r="F56" s="24"/>
      <c r="G56" s="24"/>
      <c r="H56" s="25"/>
      <c r="I56" s="26">
        <f t="shared" si="0"/>
        <v>0</v>
      </c>
    </row>
    <row r="57" spans="2:9" hidden="1" x14ac:dyDescent="0.25">
      <c r="B57" s="22"/>
      <c r="C57" s="22"/>
      <c r="D57" s="22"/>
      <c r="E57" s="23"/>
      <c r="F57" s="24"/>
      <c r="G57" s="24"/>
      <c r="H57" s="25"/>
      <c r="I57" s="26">
        <f t="shared" si="0"/>
        <v>0</v>
      </c>
    </row>
    <row r="58" spans="2:9" hidden="1" x14ac:dyDescent="0.25">
      <c r="B58" s="22"/>
      <c r="C58" s="22"/>
      <c r="D58" s="22"/>
      <c r="E58" s="23"/>
      <c r="F58" s="24"/>
      <c r="G58" s="24"/>
      <c r="H58" s="25"/>
      <c r="I58" s="26">
        <f t="shared" si="0"/>
        <v>0</v>
      </c>
    </row>
    <row r="59" spans="2:9" hidden="1" x14ac:dyDescent="0.25">
      <c r="B59" s="22"/>
      <c r="C59" s="22"/>
      <c r="D59" s="22"/>
      <c r="E59" s="23"/>
      <c r="F59" s="24"/>
      <c r="G59" s="24"/>
      <c r="H59" s="25"/>
      <c r="I59" s="26">
        <f t="shared" si="0"/>
        <v>0</v>
      </c>
    </row>
    <row r="60" spans="2:9" hidden="1" x14ac:dyDescent="0.25">
      <c r="B60" s="22"/>
      <c r="C60" s="22"/>
      <c r="D60" s="22"/>
      <c r="E60" s="23"/>
      <c r="F60" s="24"/>
      <c r="G60" s="24"/>
      <c r="H60" s="25"/>
      <c r="I60" s="26">
        <f t="shared" si="0"/>
        <v>0</v>
      </c>
    </row>
    <row r="61" spans="2:9" hidden="1" x14ac:dyDescent="0.25">
      <c r="B61" s="22"/>
      <c r="C61" s="22"/>
      <c r="D61" s="22"/>
      <c r="E61" s="23"/>
      <c r="F61" s="24"/>
      <c r="G61" s="24"/>
      <c r="H61" s="25"/>
      <c r="I61" s="26">
        <f t="shared" si="0"/>
        <v>0</v>
      </c>
    </row>
    <row r="62" spans="2:9" hidden="1" x14ac:dyDescent="0.25">
      <c r="B62" s="22"/>
      <c r="C62" s="22"/>
      <c r="D62" s="22"/>
      <c r="E62" s="23"/>
      <c r="F62" s="24"/>
      <c r="G62" s="24"/>
      <c r="H62" s="25"/>
      <c r="I62" s="26">
        <f t="shared" si="0"/>
        <v>0</v>
      </c>
    </row>
    <row r="63" spans="2:9" hidden="1" x14ac:dyDescent="0.25">
      <c r="B63" s="22"/>
      <c r="C63" s="22"/>
      <c r="D63" s="22"/>
      <c r="E63" s="23"/>
      <c r="F63" s="24"/>
      <c r="G63" s="24"/>
      <c r="H63" s="25"/>
      <c r="I63" s="26">
        <f t="shared" si="0"/>
        <v>0</v>
      </c>
    </row>
    <row r="64" spans="2:9" hidden="1" x14ac:dyDescent="0.25">
      <c r="B64" s="22"/>
      <c r="C64" s="22"/>
      <c r="D64" s="22"/>
      <c r="E64" s="23"/>
      <c r="F64" s="24"/>
      <c r="G64" s="24"/>
      <c r="H64" s="25"/>
      <c r="I64" s="26">
        <f t="shared" si="0"/>
        <v>0</v>
      </c>
    </row>
    <row r="65" spans="2:9" hidden="1" x14ac:dyDescent="0.25">
      <c r="B65" s="22"/>
      <c r="C65" s="22"/>
      <c r="D65" s="22"/>
      <c r="E65" s="23"/>
      <c r="F65" s="24"/>
      <c r="G65" s="24"/>
      <c r="H65" s="25"/>
      <c r="I65" s="26">
        <f t="shared" si="0"/>
        <v>0</v>
      </c>
    </row>
    <row r="66" spans="2:9" hidden="1" x14ac:dyDescent="0.25">
      <c r="B66" s="22"/>
      <c r="C66" s="22"/>
      <c r="D66" s="22"/>
      <c r="E66" s="23"/>
      <c r="F66" s="24"/>
      <c r="G66" s="24"/>
      <c r="H66" s="25"/>
      <c r="I66" s="26">
        <f t="shared" si="0"/>
        <v>0</v>
      </c>
    </row>
    <row r="67" spans="2:9" hidden="1" x14ac:dyDescent="0.25">
      <c r="B67" s="22"/>
      <c r="C67" s="22"/>
      <c r="D67" s="22"/>
      <c r="E67" s="23"/>
      <c r="F67" s="24"/>
      <c r="G67" s="24"/>
      <c r="H67" s="25"/>
      <c r="I67" s="26">
        <f t="shared" si="0"/>
        <v>0</v>
      </c>
    </row>
    <row r="68" spans="2:9" hidden="1" x14ac:dyDescent="0.25">
      <c r="B68" s="22"/>
      <c r="C68" s="22"/>
      <c r="D68" s="22"/>
      <c r="E68" s="23"/>
      <c r="F68" s="24"/>
      <c r="G68" s="24"/>
      <c r="H68" s="25"/>
      <c r="I68" s="26">
        <f t="shared" si="0"/>
        <v>0</v>
      </c>
    </row>
    <row r="69" spans="2:9" hidden="1" x14ac:dyDescent="0.25">
      <c r="B69" s="22"/>
      <c r="C69" s="22"/>
      <c r="D69" s="22"/>
      <c r="E69" s="23"/>
      <c r="F69" s="24"/>
      <c r="G69" s="24"/>
      <c r="H69" s="25"/>
      <c r="I69" s="26">
        <f t="shared" si="0"/>
        <v>0</v>
      </c>
    </row>
    <row r="70" spans="2:9" hidden="1" x14ac:dyDescent="0.25">
      <c r="B70" s="103"/>
      <c r="C70" s="103"/>
      <c r="D70" s="103"/>
      <c r="E70" s="104"/>
      <c r="F70" s="60"/>
      <c r="G70" s="24"/>
      <c r="H70" s="105"/>
      <c r="I70" s="106">
        <f t="shared" si="0"/>
        <v>0</v>
      </c>
    </row>
    <row r="71" spans="2:9" x14ac:dyDescent="0.25">
      <c r="B71" s="158"/>
      <c r="C71" s="159"/>
      <c r="D71" s="159"/>
      <c r="E71" s="159"/>
      <c r="F71" s="160"/>
      <c r="G71" s="59"/>
      <c r="H71" s="109" t="s">
        <v>17</v>
      </c>
      <c r="I71" s="110">
        <f>SUM(I15:I70)</f>
        <v>330151.11000000004</v>
      </c>
    </row>
    <row r="72" spans="2:9" x14ac:dyDescent="0.25">
      <c r="B72" s="107"/>
      <c r="C72" s="31"/>
      <c r="D72" s="32" t="s">
        <v>18</v>
      </c>
      <c r="E72" s="161">
        <f>SUM(G15:G70)</f>
        <v>13601.269999999999</v>
      </c>
      <c r="F72" s="162"/>
      <c r="G72" s="61"/>
      <c r="H72" s="111" t="s">
        <v>19</v>
      </c>
      <c r="I72" s="112">
        <v>0</v>
      </c>
    </row>
    <row r="73" spans="2:9" x14ac:dyDescent="0.25">
      <c r="B73" s="107"/>
      <c r="C73" s="31"/>
      <c r="D73" s="32" t="s">
        <v>20</v>
      </c>
      <c r="E73" s="161">
        <f>SUM(I15:I70)</f>
        <v>330151.11000000004</v>
      </c>
      <c r="F73" s="162"/>
      <c r="G73" s="61"/>
      <c r="H73" s="113" t="s">
        <v>21</v>
      </c>
      <c r="I73" s="112">
        <v>0</v>
      </c>
    </row>
    <row r="74" spans="2:9" x14ac:dyDescent="0.25">
      <c r="B74" s="107"/>
      <c r="C74" s="31"/>
      <c r="D74" s="32" t="s">
        <v>22</v>
      </c>
      <c r="E74" s="179">
        <f>E72-E73</f>
        <v>-316549.84000000003</v>
      </c>
      <c r="F74" s="180"/>
      <c r="G74" s="62"/>
      <c r="H74" s="111" t="s">
        <v>23</v>
      </c>
      <c r="I74" s="114">
        <f>SUM(I71:I73)</f>
        <v>330151.11000000004</v>
      </c>
    </row>
    <row r="75" spans="2:9" x14ac:dyDescent="0.25">
      <c r="B75" s="107"/>
      <c r="C75" s="31"/>
      <c r="D75" s="32"/>
      <c r="E75" s="181"/>
      <c r="F75" s="182"/>
      <c r="G75" s="63"/>
      <c r="H75" s="111" t="s">
        <v>24</v>
      </c>
      <c r="I75" s="114">
        <f>I74*0.05</f>
        <v>16507.555500000002</v>
      </c>
    </row>
    <row r="76" spans="2:9" x14ac:dyDescent="0.25">
      <c r="B76" s="107"/>
      <c r="C76" s="31"/>
      <c r="D76" s="39"/>
      <c r="E76" s="39"/>
      <c r="F76" s="108"/>
      <c r="G76" s="39"/>
      <c r="H76" s="111" t="s">
        <v>25</v>
      </c>
      <c r="I76" s="112"/>
    </row>
    <row r="77" spans="2:9" ht="16.5" thickBot="1" x14ac:dyDescent="0.3">
      <c r="B77" s="173" t="s">
        <v>26</v>
      </c>
      <c r="C77" s="174"/>
      <c r="D77" s="174"/>
      <c r="E77" s="174"/>
      <c r="F77" s="175"/>
      <c r="G77" s="58"/>
      <c r="H77" s="115" t="s">
        <v>27</v>
      </c>
      <c r="I77" s="116">
        <f>SUM(I74:I76)</f>
        <v>346658.66550000006</v>
      </c>
    </row>
  </sheetData>
  <autoFilter ref="B14:I77" xr:uid="{B7555399-1473-420D-A9BF-5D9EDEAB72D5}">
    <filterColumn colId="6">
      <customFilters>
        <customFilter operator="notEqual" val=" "/>
      </customFilters>
    </filterColumn>
  </autoFilter>
  <mergeCells count="25">
    <mergeCell ref="B77:F77"/>
    <mergeCell ref="F13:I13"/>
    <mergeCell ref="B71:F71"/>
    <mergeCell ref="E72:F72"/>
    <mergeCell ref="E73:F73"/>
    <mergeCell ref="E74:F74"/>
    <mergeCell ref="E75:F75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4D22-6216-4F87-AA33-383BB0DE50F4}">
  <sheetPr filterMode="1"/>
  <dimension ref="B1:I75"/>
  <sheetViews>
    <sheetView topLeftCell="A10" workbookViewId="0">
      <selection activeCell="K26" sqref="K26"/>
    </sheetView>
  </sheetViews>
  <sheetFormatPr defaultRowHeight="15" x14ac:dyDescent="0.25"/>
  <cols>
    <col min="1" max="1" width="2.7109375" customWidth="1"/>
    <col min="2" max="2" width="15.42578125" customWidth="1"/>
    <col min="3" max="3" width="44.42578125" bestFit="1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205" t="s">
        <v>28</v>
      </c>
      <c r="F1" s="205"/>
      <c r="G1" s="44"/>
      <c r="H1" s="205" t="s">
        <v>286</v>
      </c>
      <c r="I1" s="206"/>
    </row>
    <row r="2" spans="2:9" ht="15" customHeight="1" x14ac:dyDescent="0.25">
      <c r="B2" s="4"/>
      <c r="E2" s="177"/>
      <c r="F2" s="177"/>
      <c r="G2" s="45"/>
      <c r="H2" s="177"/>
      <c r="I2" s="207"/>
    </row>
    <row r="3" spans="2:9" ht="15" customHeight="1" x14ac:dyDescent="0.25">
      <c r="B3" s="4"/>
      <c r="E3" s="177"/>
      <c r="F3" s="177"/>
      <c r="G3" s="45"/>
      <c r="H3" s="177"/>
      <c r="I3" s="207"/>
    </row>
    <row r="4" spans="2:9" ht="15" customHeight="1" x14ac:dyDescent="0.25">
      <c r="B4" s="4"/>
      <c r="E4" s="177"/>
      <c r="F4" s="177"/>
      <c r="G4" s="45"/>
      <c r="H4" s="177"/>
      <c r="I4" s="207"/>
    </row>
    <row r="5" spans="2:9" ht="15" customHeight="1" x14ac:dyDescent="0.25">
      <c r="B5" s="5"/>
      <c r="C5" s="1"/>
      <c r="D5" s="1"/>
      <c r="E5" s="178"/>
      <c r="F5" s="178"/>
      <c r="G5" s="46"/>
      <c r="H5" s="178"/>
      <c r="I5" s="208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9" t="s">
        <v>7</v>
      </c>
      <c r="C7" s="186" t="s">
        <v>290</v>
      </c>
      <c r="D7" s="187"/>
      <c r="E7" s="9" t="s">
        <v>8</v>
      </c>
      <c r="F7" s="10">
        <f>'MOQ Grand Total'!F7</f>
        <v>45870</v>
      </c>
      <c r="G7" s="10"/>
      <c r="H7" s="11" t="s">
        <v>9</v>
      </c>
      <c r="I7" s="12" t="str">
        <f>'MOQ Grand Total'!I7</f>
        <v xml:space="preserve"> </v>
      </c>
    </row>
    <row r="8" spans="2:9" x14ac:dyDescent="0.25">
      <c r="B8" s="50" t="s">
        <v>10</v>
      </c>
      <c r="C8" s="186">
        <f>'MOQ Grand Total'!C8</f>
        <v>0</v>
      </c>
      <c r="D8" s="187"/>
      <c r="E8" s="163" t="s">
        <v>11</v>
      </c>
      <c r="F8" s="163"/>
      <c r="G8" s="13"/>
      <c r="H8" s="200" t="str">
        <f>'MOQ Grand Total'!H8</f>
        <v xml:space="preserve"> </v>
      </c>
      <c r="I8" s="200"/>
    </row>
    <row r="9" spans="2:9" x14ac:dyDescent="0.25">
      <c r="B9" s="50" t="s">
        <v>12</v>
      </c>
      <c r="C9" s="186">
        <f>'MOQ Grand Total'!C9</f>
        <v>0</v>
      </c>
      <c r="D9" s="187"/>
      <c r="E9" s="163" t="s">
        <v>13</v>
      </c>
      <c r="F9" s="163"/>
      <c r="G9" s="13"/>
      <c r="H9" s="200" t="str">
        <f>'MOQ Grand Total'!H9</f>
        <v xml:space="preserve"> </v>
      </c>
      <c r="I9" s="200"/>
    </row>
    <row r="10" spans="2:9" x14ac:dyDescent="0.25">
      <c r="B10" s="50"/>
      <c r="C10" s="186">
        <f>'MOQ Grand Total'!C10</f>
        <v>0</v>
      </c>
      <c r="D10" s="187"/>
      <c r="E10" s="163" t="s">
        <v>14</v>
      </c>
      <c r="F10" s="163"/>
      <c r="G10" s="13"/>
      <c r="H10" s="200" t="str">
        <f>'MOQ Grand Total'!H10</f>
        <v xml:space="preserve"> </v>
      </c>
      <c r="I10" s="200"/>
    </row>
    <row r="11" spans="2:9" x14ac:dyDescent="0.25">
      <c r="B11" s="50"/>
      <c r="C11" s="186">
        <f>'MOQ Grand Total'!C11</f>
        <v>0</v>
      </c>
      <c r="D11" s="187"/>
      <c r="E11" s="163"/>
      <c r="F11" s="163"/>
      <c r="G11" s="13"/>
      <c r="H11" s="200" t="str">
        <f>'MOQ Grand Total'!H11</f>
        <v xml:space="preserve"> </v>
      </c>
      <c r="I11" s="200"/>
    </row>
    <row r="12" spans="2:9" x14ac:dyDescent="0.25">
      <c r="B12" s="51"/>
      <c r="C12" s="186">
        <f>'MOQ Grand Total'!C12</f>
        <v>0</v>
      </c>
      <c r="D12" s="187"/>
      <c r="E12" s="184"/>
      <c r="F12" s="184"/>
      <c r="G12" s="14"/>
      <c r="H12" s="200" t="str">
        <f>'MOQ Grand Total'!H12</f>
        <v xml:space="preserve"> </v>
      </c>
      <c r="I12" s="200"/>
    </row>
    <row r="13" spans="2:9" ht="15.75" thickBot="1" x14ac:dyDescent="0.3">
      <c r="B13" s="15"/>
      <c r="C13" s="16"/>
      <c r="D13" s="16"/>
      <c r="E13" s="16"/>
      <c r="F13" s="156" t="s">
        <v>3</v>
      </c>
      <c r="G13" s="156"/>
      <c r="H13" s="156"/>
      <c r="I13" s="156"/>
    </row>
    <row r="14" spans="2:9" ht="15.75" thickBot="1" x14ac:dyDescent="0.3">
      <c r="B14" s="57" t="s">
        <v>0</v>
      </c>
      <c r="C14" s="64" t="s">
        <v>15</v>
      </c>
      <c r="D14" s="65" t="s">
        <v>1</v>
      </c>
      <c r="E14" s="66" t="s">
        <v>2</v>
      </c>
      <c r="F14" s="66" t="s">
        <v>4</v>
      </c>
      <c r="G14" s="20"/>
      <c r="H14" s="66" t="s">
        <v>5</v>
      </c>
      <c r="I14" s="67" t="s">
        <v>16</v>
      </c>
    </row>
    <row r="15" spans="2:9" x14ac:dyDescent="0.25">
      <c r="B15" s="72" t="s">
        <v>269</v>
      </c>
      <c r="C15" s="73" t="str">
        <f>VLOOKUP($B15,'[1]Products by Part Number'!$A:$L,2,0)</f>
        <v xml:space="preserve">CAT 255 CAT 255 (2) CAT 255 (FL7)                                          </v>
      </c>
      <c r="D15" s="73" t="str">
        <f>VLOOKUP($B15,'[1]Products by Part Number'!$A:$L,3,0)</f>
        <v>GQP CAT255 COMPLETE UC KIT</v>
      </c>
      <c r="E15" s="74">
        <f>VLOOKUP($B15,'[1]Products by Part Number'!$A:$L,12,0)</f>
        <v>3</v>
      </c>
      <c r="F15" s="91">
        <f>VLOOKUP($B15,'[1]Products by Part Number'!$A:$L,4,0)</f>
        <v>22584.78</v>
      </c>
      <c r="G15" s="90">
        <f>E15*F15</f>
        <v>67754.34</v>
      </c>
      <c r="H15" s="97">
        <f>VLOOKUP($B15,'[1]Products by Part Number'!$A:$L,6,0)</f>
        <v>12421.63</v>
      </c>
      <c r="I15" s="77">
        <f t="shared" ref="I15:I68" si="0">ROUND(E15*H15,2)</f>
        <v>37264.89</v>
      </c>
    </row>
    <row r="16" spans="2:9" x14ac:dyDescent="0.25">
      <c r="B16" s="78" t="s">
        <v>270</v>
      </c>
      <c r="C16" s="68" t="str">
        <f>VLOOKUP($B16,'[1]Products by Part Number'!$A:$L,2,0)</f>
        <v xml:space="preserve">CAT 329EL (ZCD)                                              </v>
      </c>
      <c r="D16" s="68" t="str">
        <f>VLOOKUP($B16,'[1]Products by Part Number'!$A:$L,3,0)</f>
        <v>GQP CAT329E COMPLETE UC KIT</v>
      </c>
      <c r="E16" s="69">
        <f>VLOOKUP($B16,'[1]Products by Part Number'!$A:$L,12,0)</f>
        <v>1</v>
      </c>
      <c r="F16" s="82">
        <f>VLOOKUP($B16,'[1]Products by Part Number'!$A:$L,4,0)</f>
        <v>72253.5</v>
      </c>
      <c r="G16" s="90">
        <f t="shared" ref="G16:G17" si="1">E16*F16</f>
        <v>72253.5</v>
      </c>
      <c r="H16" s="98">
        <f>VLOOKUP($B16,'[1]Products by Part Number'!$A:$L,6,0)</f>
        <v>39739.43</v>
      </c>
      <c r="I16" s="79">
        <f t="shared" si="0"/>
        <v>39739.43</v>
      </c>
    </row>
    <row r="17" spans="2:9" x14ac:dyDescent="0.25">
      <c r="B17" s="78" t="s">
        <v>271</v>
      </c>
      <c r="C17" s="68" t="str">
        <f>VLOOKUP($B17,'[1]Products by Part Number'!$A:$L,2,0)</f>
        <v xml:space="preserve">JD 333G (1T0)                                              </v>
      </c>
      <c r="D17" s="68" t="str">
        <f>VLOOKUP($B17,'[1]Products by Part Number'!$A:$L,3,0)</f>
        <v>GQP JD333G COMPLETE UC KIT</v>
      </c>
      <c r="E17" s="69">
        <f>VLOOKUP($B17,'[1]Products by Part Number'!$A:$L,12,0)</f>
        <v>1</v>
      </c>
      <c r="F17" s="82">
        <f>VLOOKUP($B17,'[1]Products by Part Number'!$A:$L,4,0)</f>
        <v>18575.82</v>
      </c>
      <c r="G17" s="90">
        <f t="shared" si="1"/>
        <v>18575.82</v>
      </c>
      <c r="H17" s="98">
        <f>VLOOKUP($B17,'[1]Products by Part Number'!$A:$L,6,0)</f>
        <v>10216.700000000001</v>
      </c>
      <c r="I17" s="79">
        <f t="shared" si="0"/>
        <v>10216.700000000001</v>
      </c>
    </row>
    <row r="18" spans="2:9" x14ac:dyDescent="0.25">
      <c r="B18" s="78" t="s">
        <v>272</v>
      </c>
      <c r="C18" s="68" t="str">
        <f>VLOOKUP($B18,'[1]Products by Part Number'!$A:$L,2,0)</f>
        <v xml:space="preserve">JD 470P (1FF)                                              </v>
      </c>
      <c r="D18" s="68" t="str">
        <f>VLOOKUP($B18,'[1]Products by Part Number'!$A:$L,3,0)</f>
        <v>GQP JD470 COMPLETE UC KIT</v>
      </c>
      <c r="E18" s="69">
        <f>VLOOKUP($B18,'[1]Products by Part Number'!$A:$L,12,0)</f>
        <v>1</v>
      </c>
      <c r="F18" s="82">
        <f>VLOOKUP($B18,'[1]Products by Part Number'!$A:$L,4,0)</f>
        <v>118254.44</v>
      </c>
      <c r="G18" s="90"/>
      <c r="H18" s="98">
        <f>VLOOKUP($B18,'[1]Products by Part Number'!$A:$L,6,0)</f>
        <v>65039.94</v>
      </c>
      <c r="I18" s="79">
        <f t="shared" si="0"/>
        <v>65039.94</v>
      </c>
    </row>
    <row r="19" spans="2:9" x14ac:dyDescent="0.25">
      <c r="B19" s="78" t="s">
        <v>273</v>
      </c>
      <c r="C19" s="68" t="str">
        <f>VLOOKUP($B19,'[1]Products by Part Number'!$A:$L,2,0)</f>
        <v xml:space="preserve">JD 764 (100)                                              </v>
      </c>
      <c r="D19" s="68" t="str">
        <f>VLOOKUP($B19,'[1]Products by Part Number'!$A:$L,3,0)</f>
        <v>GQP CAT764 COMPLETE UC KIT</v>
      </c>
      <c r="E19" s="69">
        <f>VLOOKUP($B19,'[1]Products by Part Number'!$A:$L,12,0)</f>
        <v>1</v>
      </c>
      <c r="F19" s="82">
        <f>VLOOKUP($B19,'[1]Products by Part Number'!$A:$L,4,0)</f>
        <v>187453.69</v>
      </c>
      <c r="G19" s="90"/>
      <c r="H19" s="98">
        <f>VLOOKUP($B19,'[1]Products by Part Number'!$A:$L,6,0)</f>
        <v>103099.53</v>
      </c>
      <c r="I19" s="79">
        <f t="shared" si="0"/>
        <v>103099.53</v>
      </c>
    </row>
    <row r="20" spans="2:9" x14ac:dyDescent="0.25">
      <c r="B20" s="78" t="s">
        <v>274</v>
      </c>
      <c r="C20" s="68" t="str">
        <f>VLOOKUP($B20,'[1]Products by Part Number'!$A:$L,2,0)</f>
        <v xml:space="preserve">KOM D61PX-24 (B60)                                              </v>
      </c>
      <c r="D20" s="68" t="str">
        <f>VLOOKUP($B20,'[1]Products by Part Number'!$A:$L,3,0)</f>
        <v>GQP KOMATSU D61PX-24 COMPLETE UC KIT</v>
      </c>
      <c r="E20" s="69">
        <f>VLOOKUP($B20,'[1]Products by Part Number'!$A:$L,12,0)</f>
        <v>1</v>
      </c>
      <c r="F20" s="82">
        <f>VLOOKUP($B20,'[1]Products by Part Number'!$A:$L,4,0)</f>
        <v>68101.38</v>
      </c>
      <c r="G20" s="90"/>
      <c r="H20" s="98">
        <f>VLOOKUP($B20,'[1]Products by Part Number'!$A:$L,6,0)</f>
        <v>37455.760000000002</v>
      </c>
      <c r="I20" s="79">
        <f t="shared" si="0"/>
        <v>37455.760000000002</v>
      </c>
    </row>
    <row r="21" spans="2:9" x14ac:dyDescent="0.25">
      <c r="B21" s="78" t="s">
        <v>275</v>
      </c>
      <c r="C21" s="68" t="str">
        <f>VLOOKUP($B21,'[1]Products by Part Number'!$A:$L,2,0)</f>
        <v xml:space="preserve">KOM D71PX-24 (1) KOM D71PX-24 (2) KOM D71PX-24 (3) KOM D71PX-24 (4) KOM D71PX-24 (5) KOM D71PX-24 (6) KOM D71PX-24 (7)                                  </v>
      </c>
      <c r="D21" s="68" t="str">
        <f>VLOOKUP($B21,'[1]Products by Part Number'!$A:$L,3,0)</f>
        <v>GQP KOMATSU D71PX-24 COMPLETE UC KIT</v>
      </c>
      <c r="E21" s="69">
        <f>VLOOKUP($B21,'[1]Products by Part Number'!$A:$L,12,0)</f>
        <v>7</v>
      </c>
      <c r="F21" s="82">
        <f>VLOOKUP($B21,'[1]Products by Part Number'!$A:$L,4,0)</f>
        <v>94078.760000000009</v>
      </c>
      <c r="G21" s="90"/>
      <c r="H21" s="98">
        <f>VLOOKUP($B21,'[1]Products by Part Number'!$A:$L,6,0)</f>
        <v>51743.32</v>
      </c>
      <c r="I21" s="79">
        <f t="shared" si="0"/>
        <v>362203.24</v>
      </c>
    </row>
    <row r="22" spans="2:9" x14ac:dyDescent="0.25">
      <c r="B22" s="78" t="s">
        <v>276</v>
      </c>
      <c r="C22" s="68" t="str">
        <f>VLOOKUP($B22,'[1]Products by Part Number'!$A:$L,2,0)</f>
        <v xml:space="preserve">CAT 14 (EN4) JD 624K (DW6)                                            </v>
      </c>
      <c r="D22" s="68" t="str">
        <f>VLOOKUP($B22,'[1]Products by Part Number'!$A:$L,3,0)</f>
        <v>TIRES 20.5R25</v>
      </c>
      <c r="E22" s="69">
        <f>VLOOKUP($B22,'[1]Products by Part Number'!$A:$L,12,0)</f>
        <v>10</v>
      </c>
      <c r="F22" s="82">
        <f>VLOOKUP($B22,'[1]Products by Part Number'!$A:$L,4,0)</f>
        <v>2250</v>
      </c>
      <c r="G22" s="90"/>
      <c r="H22" s="98">
        <f>VLOOKUP($B22,'[1]Products by Part Number'!$A:$L,6,0)</f>
        <v>1125</v>
      </c>
      <c r="I22" s="79">
        <f t="shared" si="0"/>
        <v>11250</v>
      </c>
    </row>
    <row r="23" spans="2:9" x14ac:dyDescent="0.25">
      <c r="B23" s="78" t="s">
        <v>277</v>
      </c>
      <c r="C23" s="68" t="str">
        <f>VLOOKUP($B23,'[1]Products by Part Number'!$A:$L,2,0)</f>
        <v xml:space="preserve">KOM WA475-10 (120)                                              </v>
      </c>
      <c r="D23" s="68" t="str">
        <f>VLOOKUP($B23,'[1]Products by Part Number'!$A:$L,3,0)</f>
        <v>TIRE 26.5-R25</v>
      </c>
      <c r="E23" s="69">
        <f>VLOOKUP($B23,'[1]Products by Part Number'!$A:$L,12,0)</f>
        <v>4</v>
      </c>
      <c r="F23" s="82">
        <f>VLOOKUP($B23,'[1]Products by Part Number'!$A:$L,4,0)</f>
        <v>3250</v>
      </c>
      <c r="G23" s="90"/>
      <c r="H23" s="98">
        <f>VLOOKUP($B23,'[1]Products by Part Number'!$A:$L,6,0)</f>
        <v>1625</v>
      </c>
      <c r="I23" s="79">
        <f t="shared" si="0"/>
        <v>6500</v>
      </c>
    </row>
    <row r="24" spans="2:9" x14ac:dyDescent="0.25">
      <c r="B24" s="78" t="s">
        <v>278</v>
      </c>
      <c r="C24" s="68" t="str">
        <f>VLOOKUP($B24,'[1]Products by Part Number'!$A:$L,2,0)</f>
        <v xml:space="preserve">CAT TL1055C (KDE)                                              </v>
      </c>
      <c r="D24" s="68" t="str">
        <f>VLOOKUP($B24,'[1]Products by Part Number'!$A:$L,3,0)</f>
        <v>TIRE 13.00-24</v>
      </c>
      <c r="E24" s="69">
        <f>VLOOKUP($B24,'[1]Products by Part Number'!$A:$L,12,0)</f>
        <v>4</v>
      </c>
      <c r="F24" s="82">
        <f>VLOOKUP($B24,'[1]Products by Part Number'!$A:$L,4,0)</f>
        <v>4204.91</v>
      </c>
      <c r="G24" s="90"/>
      <c r="H24" s="98">
        <f>VLOOKUP($B24,'[1]Products by Part Number'!$A:$L,6,0)</f>
        <v>2102.46</v>
      </c>
      <c r="I24" s="79">
        <f t="shared" si="0"/>
        <v>8409.84</v>
      </c>
    </row>
    <row r="25" spans="2:9" x14ac:dyDescent="0.25">
      <c r="B25" s="78" t="s">
        <v>279</v>
      </c>
      <c r="C25" s="68" t="str">
        <f>VLOOKUP($B25,'[1]Products by Part Number'!$A:$L,2,0)</f>
        <v xml:space="preserve">KOM PC138USLC-11 KOM PC238USLC-11 (1)                                            </v>
      </c>
      <c r="D25" s="68" t="str">
        <f>VLOOKUP($B25,'[1]Products by Part Number'!$A:$L,3,0)</f>
        <v>GQP KOMATSU PC138USLC-11 COMPLETE UC KIT</v>
      </c>
      <c r="E25" s="69">
        <f>VLOOKUP($B25,'[1]Products by Part Number'!$A:$L,12,0)</f>
        <v>1</v>
      </c>
      <c r="F25" s="82">
        <f>VLOOKUP($B25,'[1]Products by Part Number'!$A:$L,4,0)</f>
        <v>48983.26</v>
      </c>
      <c r="G25" s="90"/>
      <c r="H25" s="98">
        <f>VLOOKUP($B25,'[1]Products by Part Number'!$A:$L,6,0)</f>
        <v>26940.79</v>
      </c>
      <c r="I25" s="79">
        <f t="shared" si="0"/>
        <v>26940.79</v>
      </c>
    </row>
    <row r="26" spans="2:9" x14ac:dyDescent="0.25">
      <c r="B26" s="78" t="s">
        <v>280</v>
      </c>
      <c r="C26" s="68" t="str">
        <f>VLOOKUP($B26,'[1]Products by Part Number'!$A:$L,2,0)</f>
        <v xml:space="preserve">KOM PC238USLC-11 (2)                                              </v>
      </c>
      <c r="D26" s="68" t="str">
        <f>VLOOKUP($B26,'[1]Products by Part Number'!$A:$L,3,0)</f>
        <v>GQP KOMATSU PC238USLC-11 COMPLETE UC KIT</v>
      </c>
      <c r="E26" s="69">
        <f>VLOOKUP($B26,'[1]Products by Part Number'!$A:$L,12,0)</f>
        <v>2</v>
      </c>
      <c r="F26" s="82">
        <f>VLOOKUP($B26,'[1]Products by Part Number'!$A:$L,4,0)</f>
        <v>41236.9</v>
      </c>
      <c r="G26" s="90"/>
      <c r="H26" s="98">
        <f>VLOOKUP($B26,'[1]Products by Part Number'!$A:$L,6,0)</f>
        <v>22680.3</v>
      </c>
      <c r="I26" s="79">
        <f t="shared" si="0"/>
        <v>45360.6</v>
      </c>
    </row>
    <row r="27" spans="2:9" x14ac:dyDescent="0.25">
      <c r="B27" s="78" t="s">
        <v>281</v>
      </c>
      <c r="C27" s="68" t="str">
        <f>VLOOKUP($B27,'[1]Products by Part Number'!$A:$L,2,0)</f>
        <v xml:space="preserve">KOM PC290LC-11 (K73)                                              </v>
      </c>
      <c r="D27" s="68" t="str">
        <f>VLOOKUP($B27,'[1]Products by Part Number'!$A:$L,3,0)</f>
        <v>GQP KOMATSU PC290LC-11 COMPLETE UC KIT</v>
      </c>
      <c r="E27" s="69">
        <f>VLOOKUP($B27,'[1]Products by Part Number'!$A:$L,12,0)</f>
        <v>1</v>
      </c>
      <c r="F27" s="82">
        <f>VLOOKUP($B27,'[1]Products by Part Number'!$A:$L,4,0)</f>
        <v>47683.519999999997</v>
      </c>
      <c r="G27" s="90"/>
      <c r="H27" s="98">
        <f>VLOOKUP($B27,'[1]Products by Part Number'!$A:$L,6,0)</f>
        <v>26225.94</v>
      </c>
      <c r="I27" s="79">
        <f t="shared" si="0"/>
        <v>26225.94</v>
      </c>
    </row>
    <row r="28" spans="2:9" x14ac:dyDescent="0.25">
      <c r="B28" s="78" t="s">
        <v>282</v>
      </c>
      <c r="C28" s="68" t="str">
        <f>VLOOKUP($B28,'[1]Products by Part Number'!$A:$L,2,0)</f>
        <v xml:space="preserve">KOM PC360LC-11 (A37) KOM PC360LC-11 (A39) KOM PC360LC-11 (A39) (2)                                          </v>
      </c>
      <c r="D28" s="68" t="str">
        <f>VLOOKUP($B28,'[1]Products by Part Number'!$A:$L,3,0)</f>
        <v>GQP KOMATSU PC360LC-11 COMPLETE UC KIT</v>
      </c>
      <c r="E28" s="69">
        <f>VLOOKUP($B28,'[1]Products by Part Number'!$A:$L,12,0)</f>
        <v>3</v>
      </c>
      <c r="F28" s="82">
        <f>VLOOKUP($B28,'[1]Products by Part Number'!$A:$L,4,0)</f>
        <v>52916.74</v>
      </c>
      <c r="G28" s="90"/>
      <c r="H28" s="98">
        <f>VLOOKUP($B28,'[1]Products by Part Number'!$A:$L,6,0)</f>
        <v>29104.21</v>
      </c>
      <c r="I28" s="79">
        <f t="shared" si="0"/>
        <v>87312.63</v>
      </c>
    </row>
    <row r="29" spans="2:9" x14ac:dyDescent="0.25">
      <c r="B29" s="78" t="s">
        <v>283</v>
      </c>
      <c r="C29" s="68" t="str">
        <f>VLOOKUP($B29,'[1]Products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</c>
      <c r="D29" s="68" t="str">
        <f>VLOOKUP($B29,'[1]Products by Part Number'!$A:$L,3,0)</f>
        <v>GQP KOMATSU PC490LC-11 COMPLETE UC KIT</v>
      </c>
      <c r="E29" s="69">
        <f>VLOOKUP($B29,'[1]Products by Part Number'!$A:$L,12,0)</f>
        <v>9</v>
      </c>
      <c r="F29" s="82">
        <f>VLOOKUP($B29,'[1]Products by Part Number'!$A:$L,4,0)</f>
        <v>105500.36</v>
      </c>
      <c r="G29" s="90"/>
      <c r="H29" s="98">
        <f>VLOOKUP($B29,'[1]Products by Part Number'!$A:$L,6,0)</f>
        <v>58025.2</v>
      </c>
      <c r="I29" s="79">
        <f t="shared" si="0"/>
        <v>522226.8</v>
      </c>
    </row>
    <row r="30" spans="2:9" x14ac:dyDescent="0.25">
      <c r="B30" s="78"/>
      <c r="C30" s="68"/>
      <c r="D30" s="68"/>
      <c r="E30" s="69"/>
      <c r="F30" s="82"/>
      <c r="G30" s="90"/>
      <c r="H30" s="98"/>
      <c r="I30" s="79">
        <f t="shared" si="0"/>
        <v>0</v>
      </c>
    </row>
    <row r="31" spans="2:9" x14ac:dyDescent="0.25">
      <c r="B31" s="78"/>
      <c r="C31" s="68"/>
      <c r="D31" s="68"/>
      <c r="E31" s="69"/>
      <c r="F31" s="82"/>
      <c r="G31" s="90"/>
      <c r="H31" s="98"/>
      <c r="I31" s="79">
        <f t="shared" si="0"/>
        <v>0</v>
      </c>
    </row>
    <row r="32" spans="2:9" ht="15.75" thickBot="1" x14ac:dyDescent="0.3">
      <c r="B32" s="93"/>
      <c r="C32" s="85"/>
      <c r="D32" s="85"/>
      <c r="E32" s="86"/>
      <c r="F32" s="89"/>
      <c r="G32" s="90"/>
      <c r="H32" s="117"/>
      <c r="I32" s="118">
        <f t="shared" si="0"/>
        <v>0</v>
      </c>
    </row>
    <row r="33" spans="2:9" hidden="1" x14ac:dyDescent="0.25">
      <c r="B33" s="22"/>
      <c r="C33" s="22"/>
      <c r="D33" s="22"/>
      <c r="E33" s="23"/>
      <c r="F33" s="24"/>
      <c r="G33" s="24"/>
      <c r="H33" s="25"/>
      <c r="I33" s="26">
        <f t="shared" si="0"/>
        <v>0</v>
      </c>
    </row>
    <row r="34" spans="2:9" hidden="1" x14ac:dyDescent="0.25">
      <c r="B34" s="22"/>
      <c r="C34" s="22"/>
      <c r="D34" s="22"/>
      <c r="E34" s="23"/>
      <c r="F34" s="24"/>
      <c r="G34" s="24"/>
      <c r="H34" s="25"/>
      <c r="I34" s="26">
        <f t="shared" si="0"/>
        <v>0</v>
      </c>
    </row>
    <row r="35" spans="2:9" hidden="1" x14ac:dyDescent="0.25">
      <c r="B35" s="22"/>
      <c r="C35" s="22"/>
      <c r="D35" s="22"/>
      <c r="E35" s="23"/>
      <c r="F35" s="24"/>
      <c r="G35" s="24"/>
      <c r="H35" s="25"/>
      <c r="I35" s="26">
        <f t="shared" si="0"/>
        <v>0</v>
      </c>
    </row>
    <row r="36" spans="2:9" hidden="1" x14ac:dyDescent="0.25">
      <c r="B36" s="22"/>
      <c r="C36" s="22"/>
      <c r="D36" s="22"/>
      <c r="E36" s="23"/>
      <c r="F36" s="24"/>
      <c r="G36" s="24"/>
      <c r="H36" s="25"/>
      <c r="I36" s="26">
        <f t="shared" si="0"/>
        <v>0</v>
      </c>
    </row>
    <row r="37" spans="2:9" hidden="1" x14ac:dyDescent="0.25">
      <c r="B37" s="22"/>
      <c r="C37" s="22"/>
      <c r="D37" s="22"/>
      <c r="E37" s="23"/>
      <c r="F37" s="24"/>
      <c r="G37" s="24"/>
      <c r="H37" s="25"/>
      <c r="I37" s="26">
        <f t="shared" si="0"/>
        <v>0</v>
      </c>
    </row>
    <row r="38" spans="2:9" hidden="1" x14ac:dyDescent="0.25">
      <c r="B38" s="22"/>
      <c r="C38" s="22"/>
      <c r="D38" s="22"/>
      <c r="E38" s="23"/>
      <c r="F38" s="24"/>
      <c r="G38" s="24"/>
      <c r="H38" s="25"/>
      <c r="I38" s="26">
        <f t="shared" si="0"/>
        <v>0</v>
      </c>
    </row>
    <row r="39" spans="2:9" hidden="1" x14ac:dyDescent="0.25">
      <c r="B39" s="22"/>
      <c r="C39" s="22"/>
      <c r="D39" s="22"/>
      <c r="E39" s="23"/>
      <c r="F39" s="24"/>
      <c r="G39" s="24"/>
      <c r="H39" s="25"/>
      <c r="I39" s="26">
        <f t="shared" si="0"/>
        <v>0</v>
      </c>
    </row>
    <row r="40" spans="2:9" hidden="1" x14ac:dyDescent="0.25">
      <c r="B40" s="22"/>
      <c r="C40" s="22"/>
      <c r="D40" s="22"/>
      <c r="E40" s="23"/>
      <c r="F40" s="24"/>
      <c r="G40" s="24"/>
      <c r="H40" s="25"/>
      <c r="I40" s="26">
        <f t="shared" si="0"/>
        <v>0</v>
      </c>
    </row>
    <row r="41" spans="2:9" hidden="1" x14ac:dyDescent="0.25">
      <c r="B41" s="22"/>
      <c r="C41" s="22"/>
      <c r="D41" s="22"/>
      <c r="E41" s="23"/>
      <c r="F41" s="24"/>
      <c r="G41" s="24"/>
      <c r="H41" s="25"/>
      <c r="I41" s="26">
        <f t="shared" si="0"/>
        <v>0</v>
      </c>
    </row>
    <row r="42" spans="2:9" hidden="1" x14ac:dyDescent="0.25">
      <c r="B42" s="22"/>
      <c r="C42" s="22"/>
      <c r="D42" s="22"/>
      <c r="E42" s="23"/>
      <c r="F42" s="24"/>
      <c r="G42" s="24"/>
      <c r="H42" s="25"/>
      <c r="I42" s="26">
        <f t="shared" si="0"/>
        <v>0</v>
      </c>
    </row>
    <row r="43" spans="2:9" hidden="1" x14ac:dyDescent="0.25">
      <c r="B43" s="22"/>
      <c r="C43" s="22"/>
      <c r="D43" s="22"/>
      <c r="E43" s="23"/>
      <c r="F43" s="24"/>
      <c r="G43" s="24"/>
      <c r="H43" s="25"/>
      <c r="I43" s="26">
        <f t="shared" si="0"/>
        <v>0</v>
      </c>
    </row>
    <row r="44" spans="2:9" hidden="1" x14ac:dyDescent="0.25">
      <c r="B44" s="22"/>
      <c r="C44" s="22"/>
      <c r="D44" s="22"/>
      <c r="E44" s="23"/>
      <c r="F44" s="24"/>
      <c r="G44" s="24"/>
      <c r="H44" s="25"/>
      <c r="I44" s="26">
        <f t="shared" si="0"/>
        <v>0</v>
      </c>
    </row>
    <row r="45" spans="2:9" hidden="1" x14ac:dyDescent="0.25">
      <c r="B45" s="22"/>
      <c r="C45" s="22"/>
      <c r="D45" s="22"/>
      <c r="E45" s="23"/>
      <c r="F45" s="24"/>
      <c r="G45" s="24"/>
      <c r="H45" s="25"/>
      <c r="I45" s="26">
        <f t="shared" si="0"/>
        <v>0</v>
      </c>
    </row>
    <row r="46" spans="2:9" hidden="1" x14ac:dyDescent="0.25">
      <c r="B46" s="22"/>
      <c r="C46" s="22"/>
      <c r="D46" s="22"/>
      <c r="E46" s="23"/>
      <c r="F46" s="24"/>
      <c r="G46" s="24"/>
      <c r="H46" s="25"/>
      <c r="I46" s="26">
        <f t="shared" si="0"/>
        <v>0</v>
      </c>
    </row>
    <row r="47" spans="2:9" hidden="1" x14ac:dyDescent="0.25">
      <c r="B47" s="22"/>
      <c r="C47" s="22"/>
      <c r="D47" s="22"/>
      <c r="E47" s="23"/>
      <c r="F47" s="24"/>
      <c r="G47" s="24"/>
      <c r="H47" s="25"/>
      <c r="I47" s="26">
        <f t="shared" si="0"/>
        <v>0</v>
      </c>
    </row>
    <row r="48" spans="2:9" hidden="1" x14ac:dyDescent="0.25">
      <c r="B48" s="22"/>
      <c r="C48" s="22"/>
      <c r="D48" s="22"/>
      <c r="E48" s="23"/>
      <c r="F48" s="24"/>
      <c r="G48" s="24"/>
      <c r="H48" s="25"/>
      <c r="I48" s="26">
        <f t="shared" si="0"/>
        <v>0</v>
      </c>
    </row>
    <row r="49" spans="2:9" hidden="1" x14ac:dyDescent="0.25">
      <c r="B49" s="22"/>
      <c r="C49" s="22"/>
      <c r="D49" s="22"/>
      <c r="E49" s="23"/>
      <c r="F49" s="24"/>
      <c r="G49" s="24"/>
      <c r="H49" s="25"/>
      <c r="I49" s="26">
        <f t="shared" si="0"/>
        <v>0</v>
      </c>
    </row>
    <row r="50" spans="2:9" hidden="1" x14ac:dyDescent="0.25">
      <c r="B50" s="22"/>
      <c r="C50" s="22"/>
      <c r="D50" s="22"/>
      <c r="E50" s="23"/>
      <c r="F50" s="24"/>
      <c r="G50" s="24"/>
      <c r="H50" s="25"/>
      <c r="I50" s="26">
        <f t="shared" si="0"/>
        <v>0</v>
      </c>
    </row>
    <row r="51" spans="2:9" hidden="1" x14ac:dyDescent="0.25">
      <c r="B51" s="22"/>
      <c r="C51" s="22"/>
      <c r="D51" s="22"/>
      <c r="E51" s="23"/>
      <c r="F51" s="24"/>
      <c r="G51" s="24"/>
      <c r="H51" s="25"/>
      <c r="I51" s="26">
        <f t="shared" si="0"/>
        <v>0</v>
      </c>
    </row>
    <row r="52" spans="2:9" hidden="1" x14ac:dyDescent="0.25">
      <c r="B52" s="22"/>
      <c r="C52" s="22"/>
      <c r="D52" s="22"/>
      <c r="E52" s="23"/>
      <c r="F52" s="24"/>
      <c r="G52" s="24"/>
      <c r="H52" s="25"/>
      <c r="I52" s="26">
        <f t="shared" si="0"/>
        <v>0</v>
      </c>
    </row>
    <row r="53" spans="2:9" hidden="1" x14ac:dyDescent="0.25">
      <c r="B53" s="22"/>
      <c r="C53" s="22"/>
      <c r="D53" s="22"/>
      <c r="E53" s="23"/>
      <c r="F53" s="24"/>
      <c r="G53" s="24"/>
      <c r="H53" s="25"/>
      <c r="I53" s="26">
        <f t="shared" si="0"/>
        <v>0</v>
      </c>
    </row>
    <row r="54" spans="2:9" hidden="1" x14ac:dyDescent="0.25">
      <c r="B54" s="22"/>
      <c r="C54" s="22"/>
      <c r="D54" s="22"/>
      <c r="E54" s="23"/>
      <c r="F54" s="24"/>
      <c r="G54" s="24"/>
      <c r="H54" s="25"/>
      <c r="I54" s="26">
        <f t="shared" si="0"/>
        <v>0</v>
      </c>
    </row>
    <row r="55" spans="2:9" hidden="1" x14ac:dyDescent="0.25">
      <c r="B55" s="22"/>
      <c r="C55" s="22"/>
      <c r="D55" s="22"/>
      <c r="E55" s="23"/>
      <c r="F55" s="24"/>
      <c r="G55" s="24"/>
      <c r="H55" s="25"/>
      <c r="I55" s="26">
        <f t="shared" si="0"/>
        <v>0</v>
      </c>
    </row>
    <row r="56" spans="2:9" hidden="1" x14ac:dyDescent="0.25">
      <c r="B56" s="22"/>
      <c r="C56" s="22"/>
      <c r="D56" s="22"/>
      <c r="E56" s="23"/>
      <c r="F56" s="24"/>
      <c r="G56" s="24"/>
      <c r="H56" s="25"/>
      <c r="I56" s="26">
        <f t="shared" si="0"/>
        <v>0</v>
      </c>
    </row>
    <row r="57" spans="2:9" hidden="1" x14ac:dyDescent="0.25">
      <c r="B57" s="22"/>
      <c r="C57" s="22"/>
      <c r="D57" s="22"/>
      <c r="E57" s="23"/>
      <c r="F57" s="24"/>
      <c r="G57" s="24"/>
      <c r="H57" s="25"/>
      <c r="I57" s="26">
        <f t="shared" si="0"/>
        <v>0</v>
      </c>
    </row>
    <row r="58" spans="2:9" hidden="1" x14ac:dyDescent="0.25">
      <c r="B58" s="22"/>
      <c r="C58" s="22"/>
      <c r="D58" s="22"/>
      <c r="E58" s="23"/>
      <c r="F58" s="24"/>
      <c r="G58" s="24"/>
      <c r="H58" s="25"/>
      <c r="I58" s="26">
        <f t="shared" si="0"/>
        <v>0</v>
      </c>
    </row>
    <row r="59" spans="2:9" hidden="1" x14ac:dyDescent="0.25">
      <c r="B59" s="22"/>
      <c r="C59" s="22"/>
      <c r="D59" s="22"/>
      <c r="E59" s="23"/>
      <c r="F59" s="24"/>
      <c r="G59" s="24"/>
      <c r="H59" s="25"/>
      <c r="I59" s="26">
        <f t="shared" si="0"/>
        <v>0</v>
      </c>
    </row>
    <row r="60" spans="2:9" hidden="1" x14ac:dyDescent="0.25">
      <c r="B60" s="22"/>
      <c r="C60" s="22"/>
      <c r="D60" s="22"/>
      <c r="E60" s="23"/>
      <c r="F60" s="24"/>
      <c r="G60" s="24"/>
      <c r="H60" s="25"/>
      <c r="I60" s="26">
        <f t="shared" si="0"/>
        <v>0</v>
      </c>
    </row>
    <row r="61" spans="2:9" hidden="1" x14ac:dyDescent="0.25">
      <c r="B61" s="22"/>
      <c r="C61" s="22"/>
      <c r="D61" s="22"/>
      <c r="E61" s="23"/>
      <c r="F61" s="24"/>
      <c r="G61" s="24"/>
      <c r="H61" s="25"/>
      <c r="I61" s="26">
        <f t="shared" si="0"/>
        <v>0</v>
      </c>
    </row>
    <row r="62" spans="2:9" hidden="1" x14ac:dyDescent="0.25">
      <c r="B62" s="22"/>
      <c r="C62" s="22"/>
      <c r="D62" s="22"/>
      <c r="E62" s="23"/>
      <c r="F62" s="24"/>
      <c r="G62" s="24"/>
      <c r="H62" s="25"/>
      <c r="I62" s="26">
        <f t="shared" si="0"/>
        <v>0</v>
      </c>
    </row>
    <row r="63" spans="2:9" hidden="1" x14ac:dyDescent="0.25">
      <c r="B63" s="22"/>
      <c r="C63" s="22"/>
      <c r="D63" s="22"/>
      <c r="E63" s="23"/>
      <c r="F63" s="24"/>
      <c r="G63" s="24"/>
      <c r="H63" s="25"/>
      <c r="I63" s="26">
        <f t="shared" si="0"/>
        <v>0</v>
      </c>
    </row>
    <row r="64" spans="2:9" hidden="1" x14ac:dyDescent="0.25">
      <c r="B64" s="22"/>
      <c r="C64" s="22"/>
      <c r="D64" s="22"/>
      <c r="E64" s="23"/>
      <c r="F64" s="24"/>
      <c r="G64" s="24"/>
      <c r="H64" s="25"/>
      <c r="I64" s="26">
        <f t="shared" si="0"/>
        <v>0</v>
      </c>
    </row>
    <row r="65" spans="2:9" hidden="1" x14ac:dyDescent="0.25">
      <c r="B65" s="22"/>
      <c r="C65" s="22"/>
      <c r="D65" s="22"/>
      <c r="E65" s="23"/>
      <c r="F65" s="24"/>
      <c r="G65" s="24"/>
      <c r="H65" s="25"/>
      <c r="I65" s="26">
        <f t="shared" si="0"/>
        <v>0</v>
      </c>
    </row>
    <row r="66" spans="2:9" hidden="1" x14ac:dyDescent="0.25">
      <c r="B66" s="22"/>
      <c r="C66" s="22"/>
      <c r="D66" s="22"/>
      <c r="E66" s="23"/>
      <c r="F66" s="24"/>
      <c r="G66" s="24"/>
      <c r="H66" s="25"/>
      <c r="I66" s="26">
        <f t="shared" si="0"/>
        <v>0</v>
      </c>
    </row>
    <row r="67" spans="2:9" hidden="1" x14ac:dyDescent="0.25">
      <c r="B67" s="22"/>
      <c r="C67" s="22"/>
      <c r="D67" s="22"/>
      <c r="E67" s="23"/>
      <c r="F67" s="24"/>
      <c r="G67" s="24"/>
      <c r="H67" s="25"/>
      <c r="I67" s="26">
        <f t="shared" si="0"/>
        <v>0</v>
      </c>
    </row>
    <row r="68" spans="2:9" hidden="1" x14ac:dyDescent="0.25">
      <c r="B68" s="103"/>
      <c r="C68" s="103"/>
      <c r="D68" s="103"/>
      <c r="E68" s="104"/>
      <c r="F68" s="60"/>
      <c r="G68" s="24"/>
      <c r="H68" s="105"/>
      <c r="I68" s="106">
        <f t="shared" si="0"/>
        <v>0</v>
      </c>
    </row>
    <row r="69" spans="2:9" x14ac:dyDescent="0.25">
      <c r="B69" s="158"/>
      <c r="C69" s="159"/>
      <c r="D69" s="159"/>
      <c r="E69" s="159"/>
      <c r="F69" s="160"/>
      <c r="G69" s="59"/>
      <c r="H69" s="109" t="s">
        <v>17</v>
      </c>
      <c r="I69" s="110">
        <f>SUM(I15:I68)</f>
        <v>1389246.0899999999</v>
      </c>
    </row>
    <row r="70" spans="2:9" x14ac:dyDescent="0.25">
      <c r="B70" s="107"/>
      <c r="C70" s="31"/>
      <c r="D70" s="32" t="s">
        <v>18</v>
      </c>
      <c r="E70" s="161">
        <f>SUM(G15:G68)</f>
        <v>158583.66</v>
      </c>
      <c r="F70" s="162"/>
      <c r="G70" s="61"/>
      <c r="H70" s="111" t="s">
        <v>19</v>
      </c>
      <c r="I70" s="112">
        <v>0</v>
      </c>
    </row>
    <row r="71" spans="2:9" x14ac:dyDescent="0.25">
      <c r="B71" s="107"/>
      <c r="C71" s="31"/>
      <c r="D71" s="32" t="s">
        <v>20</v>
      </c>
      <c r="E71" s="161">
        <f>SUM(I15:I68)</f>
        <v>1389246.0899999999</v>
      </c>
      <c r="F71" s="162"/>
      <c r="G71" s="61"/>
      <c r="H71" s="113" t="s">
        <v>21</v>
      </c>
      <c r="I71" s="112">
        <v>0</v>
      </c>
    </row>
    <row r="72" spans="2:9" x14ac:dyDescent="0.25">
      <c r="B72" s="107"/>
      <c r="C72" s="31"/>
      <c r="D72" s="32" t="s">
        <v>22</v>
      </c>
      <c r="E72" s="179">
        <f>E70-E71</f>
        <v>-1230662.43</v>
      </c>
      <c r="F72" s="180"/>
      <c r="G72" s="62"/>
      <c r="H72" s="111" t="s">
        <v>23</v>
      </c>
      <c r="I72" s="114">
        <f>SUM(I69:I71)</f>
        <v>1389246.0899999999</v>
      </c>
    </row>
    <row r="73" spans="2:9" x14ac:dyDescent="0.25">
      <c r="B73" s="107"/>
      <c r="C73" s="31"/>
      <c r="D73" s="32"/>
      <c r="E73" s="181"/>
      <c r="F73" s="182"/>
      <c r="G73" s="63"/>
      <c r="H73" s="111" t="s">
        <v>24</v>
      </c>
      <c r="I73" s="114">
        <f>I72*0.05</f>
        <v>69462.304499999998</v>
      </c>
    </row>
    <row r="74" spans="2:9" x14ac:dyDescent="0.25">
      <c r="B74" s="107"/>
      <c r="C74" s="31"/>
      <c r="D74" s="39"/>
      <c r="E74" s="39"/>
      <c r="F74" s="108"/>
      <c r="G74" s="39"/>
      <c r="H74" s="111" t="s">
        <v>25</v>
      </c>
      <c r="I74" s="112"/>
    </row>
    <row r="75" spans="2:9" ht="16.5" thickBot="1" x14ac:dyDescent="0.3">
      <c r="B75" s="173" t="s">
        <v>26</v>
      </c>
      <c r="C75" s="174"/>
      <c r="D75" s="174"/>
      <c r="E75" s="174"/>
      <c r="F75" s="175"/>
      <c r="G75" s="58"/>
      <c r="H75" s="115" t="s">
        <v>27</v>
      </c>
      <c r="I75" s="116">
        <f>SUM(I72:I74)</f>
        <v>1458708.3944999999</v>
      </c>
    </row>
  </sheetData>
  <autoFilter ref="B14:I75" xr:uid="{B7555399-1473-420D-A9BF-5D9EDEAB72D5}">
    <filterColumn colId="6">
      <customFilters>
        <customFilter operator="notEqual" val=" "/>
      </customFilters>
    </filterColumn>
  </autoFilter>
  <mergeCells count="25">
    <mergeCell ref="E1:F5"/>
    <mergeCell ref="H1:I5"/>
    <mergeCell ref="C7:D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B75:F75"/>
    <mergeCell ref="F13:I13"/>
    <mergeCell ref="B69:F69"/>
    <mergeCell ref="E70:F70"/>
    <mergeCell ref="E71:F71"/>
    <mergeCell ref="E72:F72"/>
    <mergeCell ref="E73:F7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9A5F-9A85-49B2-A032-166145993CC7}">
  <dimension ref="B1:M288"/>
  <sheetViews>
    <sheetView tabSelected="1" zoomScale="85" zoomScaleNormal="85" workbookViewId="0">
      <selection activeCell="C17" sqref="C17"/>
    </sheetView>
  </sheetViews>
  <sheetFormatPr defaultRowHeight="15" x14ac:dyDescent="0.25"/>
  <cols>
    <col min="1" max="1" width="2.7109375" customWidth="1"/>
    <col min="2" max="2" width="30.85546875" bestFit="1" customWidth="1"/>
    <col min="3" max="3" width="67.140625" customWidth="1"/>
    <col min="4" max="4" width="36" customWidth="1"/>
    <col min="5" max="5" width="7.28515625" customWidth="1"/>
    <col min="6" max="6" width="14.7109375" customWidth="1"/>
    <col min="7" max="7" width="14.7109375" hidden="1" customWidth="1"/>
    <col min="8" max="8" width="14.7109375" customWidth="1"/>
    <col min="9" max="9" width="20.42578125" bestFit="1" customWidth="1"/>
    <col min="11" max="11" width="12.5703125" bestFit="1" customWidth="1"/>
    <col min="13" max="13" width="15.5703125" style="53" bestFit="1" customWidth="1"/>
  </cols>
  <sheetData>
    <row r="1" spans="2:9" ht="15" customHeight="1" x14ac:dyDescent="0.25">
      <c r="B1" s="2"/>
      <c r="C1" s="3"/>
      <c r="D1" s="3"/>
      <c r="E1" s="205" t="s">
        <v>28</v>
      </c>
      <c r="F1" s="205"/>
      <c r="G1" s="44"/>
      <c r="H1" s="205" t="s">
        <v>31</v>
      </c>
      <c r="I1" s="206"/>
    </row>
    <row r="2" spans="2:9" ht="15" customHeight="1" x14ac:dyDescent="0.25">
      <c r="B2" s="4"/>
      <c r="E2" s="177"/>
      <c r="F2" s="177"/>
      <c r="G2" s="45"/>
      <c r="H2" s="177"/>
      <c r="I2" s="207"/>
    </row>
    <row r="3" spans="2:9" ht="15" customHeight="1" x14ac:dyDescent="0.25">
      <c r="B3" s="4"/>
      <c r="E3" s="177"/>
      <c r="F3" s="177"/>
      <c r="G3" s="45"/>
      <c r="H3" s="177"/>
      <c r="I3" s="207"/>
    </row>
    <row r="4" spans="2:9" ht="15" customHeight="1" x14ac:dyDescent="0.25">
      <c r="B4" s="4"/>
      <c r="E4" s="177"/>
      <c r="F4" s="177"/>
      <c r="G4" s="45"/>
      <c r="H4" s="177"/>
      <c r="I4" s="207"/>
    </row>
    <row r="5" spans="2:9" ht="15" customHeight="1" x14ac:dyDescent="0.25">
      <c r="B5" s="5"/>
      <c r="C5" s="1"/>
      <c r="D5" s="1"/>
      <c r="E5" s="178"/>
      <c r="F5" s="178"/>
      <c r="G5" s="46"/>
      <c r="H5" s="178"/>
      <c r="I5" s="208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9" t="s">
        <v>7</v>
      </c>
      <c r="C7" s="186" t="s">
        <v>290</v>
      </c>
      <c r="D7" s="187"/>
      <c r="E7" s="9" t="s">
        <v>8</v>
      </c>
      <c r="F7" s="10">
        <v>45870</v>
      </c>
      <c r="G7" s="10"/>
      <c r="H7" s="11" t="s">
        <v>9</v>
      </c>
      <c r="I7" s="12" t="s">
        <v>43</v>
      </c>
    </row>
    <row r="8" spans="2:9" x14ac:dyDescent="0.25">
      <c r="B8" s="50" t="s">
        <v>10</v>
      </c>
      <c r="C8" s="183">
        <v>0</v>
      </c>
      <c r="D8" s="183"/>
      <c r="E8" s="163" t="s">
        <v>11</v>
      </c>
      <c r="F8" s="163"/>
      <c r="G8" s="13"/>
      <c r="H8" s="200" t="s">
        <v>43</v>
      </c>
      <c r="I8" s="200"/>
    </row>
    <row r="9" spans="2:9" x14ac:dyDescent="0.25">
      <c r="B9" s="50" t="s">
        <v>12</v>
      </c>
      <c r="C9" s="183">
        <v>0</v>
      </c>
      <c r="D9" s="183"/>
      <c r="E9" s="163" t="s">
        <v>13</v>
      </c>
      <c r="F9" s="163"/>
      <c r="G9" s="13"/>
      <c r="H9" s="201" t="s">
        <v>43</v>
      </c>
      <c r="I9" s="201"/>
    </row>
    <row r="10" spans="2:9" x14ac:dyDescent="0.25">
      <c r="B10" s="50"/>
      <c r="C10" s="183">
        <v>0</v>
      </c>
      <c r="D10" s="183"/>
      <c r="E10" s="163" t="s">
        <v>14</v>
      </c>
      <c r="F10" s="163"/>
      <c r="G10" s="13"/>
      <c r="H10" s="198" t="s">
        <v>43</v>
      </c>
      <c r="I10" s="198"/>
    </row>
    <row r="11" spans="2:9" x14ac:dyDescent="0.25">
      <c r="B11" s="50"/>
      <c r="C11" s="183">
        <v>0</v>
      </c>
      <c r="D11" s="183"/>
      <c r="E11" s="163"/>
      <c r="F11" s="163"/>
      <c r="G11" s="13"/>
      <c r="H11" s="198" t="s">
        <v>43</v>
      </c>
      <c r="I11" s="198"/>
    </row>
    <row r="12" spans="2:9" x14ac:dyDescent="0.25">
      <c r="B12" s="51"/>
      <c r="C12" s="183">
        <v>0</v>
      </c>
      <c r="D12" s="183"/>
      <c r="E12" s="184"/>
      <c r="F12" s="184"/>
      <c r="G12" s="14"/>
      <c r="H12" s="199" t="s">
        <v>43</v>
      </c>
      <c r="I12" s="199"/>
    </row>
    <row r="13" spans="2:9" ht="15.75" thickBot="1" x14ac:dyDescent="0.3">
      <c r="B13" s="15"/>
      <c r="C13" s="16"/>
      <c r="D13" s="16"/>
      <c r="E13" s="16"/>
      <c r="F13" s="156" t="s">
        <v>3</v>
      </c>
      <c r="G13" s="156"/>
      <c r="H13" s="156"/>
      <c r="I13" s="156"/>
    </row>
    <row r="14" spans="2:9" ht="15.75" thickBot="1" x14ac:dyDescent="0.3">
      <c r="B14" s="52" t="s">
        <v>0</v>
      </c>
      <c r="C14" s="64" t="s">
        <v>15</v>
      </c>
      <c r="D14" s="65" t="s">
        <v>1</v>
      </c>
      <c r="E14" s="66" t="s">
        <v>2</v>
      </c>
      <c r="F14" s="66" t="s">
        <v>4</v>
      </c>
      <c r="G14" s="66"/>
      <c r="H14" s="66" t="s">
        <v>5</v>
      </c>
      <c r="I14" s="67" t="s">
        <v>16</v>
      </c>
    </row>
    <row r="15" spans="2:9" x14ac:dyDescent="0.25">
      <c r="B15" s="72" t="s">
        <v>44</v>
      </c>
      <c r="C15" s="73" t="str">
        <f>VLOOKUP($B15,'[1]Products by Part Number'!$A:$L,2,0)</f>
        <v xml:space="preserve">KOM WA320-8 (867) KOM WA320PZ-6 (729)                                            </v>
      </c>
      <c r="D15" s="73" t="str">
        <f>VLOOKUP($B15,'[1]Products by Part Number'!$A:$L,3,0)</f>
        <v xml:space="preserve">BATTERY </v>
      </c>
      <c r="E15" s="74">
        <f>VLOOKUP($B15,'[1]Products by Part Number'!$A:$L,12,0)</f>
        <v>4</v>
      </c>
      <c r="F15" s="75">
        <f>VLOOKUP($B15,'[1]Products by Part Number'!$A:$L,4,0)</f>
        <v>600.03</v>
      </c>
      <c r="G15" s="76"/>
      <c r="H15" s="76">
        <f>VLOOKUP($B15,'[1]Products by Part Number'!$A:$L,6,0)</f>
        <v>300.02</v>
      </c>
      <c r="I15" s="77">
        <f>ROUND(E15*H15,2)</f>
        <v>1200.08</v>
      </c>
    </row>
    <row r="16" spans="2:9" x14ac:dyDescent="0.25">
      <c r="B16" s="78" t="s">
        <v>45</v>
      </c>
      <c r="C16" s="68" t="str">
        <f>VLOOKUP($B16,'[1]Products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16" s="68" t="str">
        <f>VLOOKUP($B16,'[1]Products by Part Number'!$A:$L,3,0)</f>
        <v xml:space="preserve">BATTERY </v>
      </c>
      <c r="E16" s="69">
        <f>VLOOKUP($B16,'[1]Products by Part Number'!$A:$L,12,0)</f>
        <v>28</v>
      </c>
      <c r="F16" s="70">
        <f>VLOOKUP($B16,'[1]Products by Part Number'!$A:$L,4,0)</f>
        <v>583.87</v>
      </c>
      <c r="G16" s="71"/>
      <c r="H16" s="71">
        <f>VLOOKUP($B16,'[1]Products by Part Number'!$A:$L,6,0)</f>
        <v>291.94</v>
      </c>
      <c r="I16" s="79">
        <f t="shared" ref="I16:I17" si="0">ROUND(E16*H16,2)</f>
        <v>8174.32</v>
      </c>
    </row>
    <row r="17" spans="2:9" x14ac:dyDescent="0.25">
      <c r="B17" s="78" t="s">
        <v>46</v>
      </c>
      <c r="C17" s="68" t="str">
        <f>VLOOKUP($B17,'[1]Products by Part Number'!$A:$L,2,0)</f>
        <v xml:space="preserve">KOM PC238USLC-11 (2)                                              </v>
      </c>
      <c r="D17" s="68" t="str">
        <f>VLOOKUP($B17,'[1]Products by Part Number'!$A:$L,3,0)</f>
        <v xml:space="preserve">BATTERY </v>
      </c>
      <c r="E17" s="69">
        <f>VLOOKUP($B17,'[1]Products by Part Number'!$A:$L,12,0)</f>
        <v>2</v>
      </c>
      <c r="F17" s="70">
        <f>VLOOKUP($B17,'[1]Products by Part Number'!$A:$L,4,0)</f>
        <v>444.7</v>
      </c>
      <c r="G17" s="71"/>
      <c r="H17" s="71">
        <f>VLOOKUP($B17,'[1]Products by Part Number'!$A:$L,6,0)</f>
        <v>222.35</v>
      </c>
      <c r="I17" s="79">
        <f t="shared" si="0"/>
        <v>444.7</v>
      </c>
    </row>
    <row r="18" spans="2:9" x14ac:dyDescent="0.25">
      <c r="B18" s="78" t="s">
        <v>47</v>
      </c>
      <c r="C18" s="68" t="str">
        <f>VLOOKUP($B18,'[1]Products by Part Number'!$A:$L,2,0)</f>
        <v xml:space="preserve">KOM WA380-8 (1) KOM WA380-8 (2) KOM WA475-10 (120) KOM PC290LC-11 (K73)                                        </v>
      </c>
      <c r="D18" s="68" t="str">
        <f>VLOOKUP($B18,'[1]Products by Part Number'!$A:$L,3,0)</f>
        <v xml:space="preserve">BATTERY </v>
      </c>
      <c r="E18" s="69">
        <f>VLOOKUP($B18,'[1]Products by Part Number'!$A:$L,12,0)</f>
        <v>8</v>
      </c>
      <c r="F18" s="70">
        <f>VLOOKUP($B18,'[1]Products by Part Number'!$A:$L,4,0)</f>
        <v>483.17</v>
      </c>
      <c r="G18" s="71"/>
      <c r="H18" s="71">
        <f>VLOOKUP($B18,'[1]Products by Part Number'!$A:$L,6,0)</f>
        <v>241.59</v>
      </c>
      <c r="I18" s="79">
        <f t="shared" ref="I18:I81" si="1">ROUND(E18*H18,2)</f>
        <v>1932.72</v>
      </c>
    </row>
    <row r="19" spans="2:9" x14ac:dyDescent="0.25">
      <c r="B19" s="78" t="s">
        <v>48</v>
      </c>
      <c r="C19" s="68" t="str">
        <f>VLOOKUP($B19,'[1]Products by Part Number'!$A:$L,2,0)</f>
        <v xml:space="preserve">CAT 255 CAT 255 (2) CAT 255 (FL7)                                          </v>
      </c>
      <c r="D19" s="68" t="str">
        <f>VLOOKUP($B19,'[1]Products by Part Number'!$A:$L,3,0)</f>
        <v>BATTERY 12 V 1000 CCA</v>
      </c>
      <c r="E19" s="69">
        <f>VLOOKUP($B19,'[1]Products by Part Number'!$A:$L,12,0)</f>
        <v>3</v>
      </c>
      <c r="F19" s="70">
        <f>VLOOKUP($B19,'[1]Products by Part Number'!$A:$L,4,0)</f>
        <v>505.03</v>
      </c>
      <c r="G19" s="71"/>
      <c r="H19" s="71">
        <f>VLOOKUP($B19,'[1]Products by Part Number'!$A:$L,6,0)</f>
        <v>252.52</v>
      </c>
      <c r="I19" s="79">
        <f t="shared" si="1"/>
        <v>757.56</v>
      </c>
    </row>
    <row r="20" spans="2:9" x14ac:dyDescent="0.25">
      <c r="B20" s="78" t="s">
        <v>49</v>
      </c>
      <c r="C20" s="68" t="str">
        <f>VLOOKUP($B20,'[1]Products by Part Number'!$A:$L,2,0)</f>
        <v xml:space="preserve">KOM D61PX-24 (B60)                                              </v>
      </c>
      <c r="D20" s="68" t="str">
        <f>VLOOKUP($B20,'[1]Products by Part Number'!$A:$L,3,0)</f>
        <v>BATTERY</v>
      </c>
      <c r="E20" s="69">
        <f>VLOOKUP($B20,'[1]Products by Part Number'!$A:$L,12,0)</f>
        <v>2</v>
      </c>
      <c r="F20" s="70">
        <f>VLOOKUP($B20,'[1]Products by Part Number'!$A:$L,4,0)</f>
        <v>631.66</v>
      </c>
      <c r="G20" s="71"/>
      <c r="H20" s="71">
        <f>VLOOKUP($B20,'[1]Products by Part Number'!$A:$L,6,0)</f>
        <v>315.83</v>
      </c>
      <c r="I20" s="79">
        <f t="shared" si="1"/>
        <v>631.66</v>
      </c>
    </row>
    <row r="21" spans="2:9" x14ac:dyDescent="0.25">
      <c r="B21" s="78" t="s">
        <v>38</v>
      </c>
      <c r="C21" s="68" t="str">
        <f>VLOOKUP($B21,'[1]Products by Part Number'!$A:$L,2,0)</f>
        <v xml:space="preserve">CAT 14 (EN4)                                              </v>
      </c>
      <c r="D21" s="68" t="str">
        <f>VLOOKUP($B21,'[1]Products by Part Number'!$A:$L,3,0)</f>
        <v>BATTERY 12V 1400 CCA</v>
      </c>
      <c r="E21" s="69">
        <f>VLOOKUP($B21,'[1]Products by Part Number'!$A:$L,12,0)</f>
        <v>2</v>
      </c>
      <c r="F21" s="70">
        <f>VLOOKUP($B21,'[1]Products by Part Number'!$A:$L,4,0)</f>
        <v>783.62</v>
      </c>
      <c r="G21" s="71"/>
      <c r="H21" s="71">
        <f>VLOOKUP($B21,'[1]Products by Part Number'!$A:$L,6,0)</f>
        <v>391.81</v>
      </c>
      <c r="I21" s="79">
        <f t="shared" si="1"/>
        <v>783.62</v>
      </c>
    </row>
    <row r="22" spans="2:9" x14ac:dyDescent="0.25">
      <c r="B22" s="78" t="s">
        <v>50</v>
      </c>
      <c r="C22" s="68" t="str">
        <f>VLOOKUP($B22,'[1]Products by Part Number'!$A:$L,2,0)</f>
        <v xml:space="preserve">CAT TL1055C (KDE)                                              </v>
      </c>
      <c r="D22" s="68" t="str">
        <f>VLOOKUP($B22,'[1]Products by Part Number'!$A:$L,3,0)</f>
        <v>BATTERY 12V 1000CCA</v>
      </c>
      <c r="E22" s="69">
        <f>VLOOKUP($B22,'[1]Products by Part Number'!$A:$L,12,0)</f>
        <v>1</v>
      </c>
      <c r="F22" s="70">
        <f>VLOOKUP($B22,'[1]Products by Part Number'!$A:$L,4,0)</f>
        <v>372.62</v>
      </c>
      <c r="G22" s="71"/>
      <c r="H22" s="71">
        <f>VLOOKUP($B22,'[1]Products by Part Number'!$A:$L,6,0)</f>
        <v>186.31</v>
      </c>
      <c r="I22" s="79">
        <f t="shared" si="1"/>
        <v>186.31</v>
      </c>
    </row>
    <row r="23" spans="2:9" x14ac:dyDescent="0.25">
      <c r="B23" s="78" t="s">
        <v>51</v>
      </c>
      <c r="C23" s="68" t="str">
        <f>VLOOKUP($B23,'[1]Products by Part Number'!$A:$L,2,0)</f>
        <v xml:space="preserve">KOM PC138USLC-11 KOM PC238USLC-11 (1)                                            </v>
      </c>
      <c r="D23" s="68" t="str">
        <f>VLOOKUP($B23,'[1]Products by Part Number'!$A:$L,3,0)</f>
        <v xml:space="preserve">BATTERY </v>
      </c>
      <c r="E23" s="69">
        <f>VLOOKUP($B23,'[1]Products by Part Number'!$A:$L,12,0)</f>
        <v>4</v>
      </c>
      <c r="F23" s="70">
        <f>VLOOKUP($B23,'[1]Products by Part Number'!$A:$L,4,0)</f>
        <v>532.45000000000005</v>
      </c>
      <c r="G23" s="71"/>
      <c r="H23" s="71">
        <f>VLOOKUP($B23,'[1]Products by Part Number'!$A:$L,6,0)</f>
        <v>266.23</v>
      </c>
      <c r="I23" s="79">
        <f t="shared" si="1"/>
        <v>1064.92</v>
      </c>
    </row>
    <row r="24" spans="2:9" x14ac:dyDescent="0.25">
      <c r="B24" s="78" t="s">
        <v>52</v>
      </c>
      <c r="C24" s="68" t="str">
        <f>VLOOKUP($B24,'[1]Products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KOM PC360LC-11 (A37) KOM PC360LC-11 (A39) KOM PC360LC-11 (A39) (2)                        </v>
      </c>
      <c r="D24" s="68" t="str">
        <f>VLOOKUP($B24,'[1]Products by Part Number'!$A:$L,3,0)</f>
        <v>BATTERY</v>
      </c>
      <c r="E24" s="69">
        <f>VLOOKUP($B24,'[1]Products by Part Number'!$A:$L,12,0)</f>
        <v>24</v>
      </c>
      <c r="F24" s="70">
        <f>VLOOKUP($B24,'[1]Products by Part Number'!$A:$L,4,0)</f>
        <v>632.66</v>
      </c>
      <c r="G24" s="71"/>
      <c r="H24" s="71">
        <f>VLOOKUP($B24,'[1]Products by Part Number'!$A:$L,6,0)</f>
        <v>316.33</v>
      </c>
      <c r="I24" s="79">
        <f t="shared" si="1"/>
        <v>7591.92</v>
      </c>
    </row>
    <row r="25" spans="2:9" x14ac:dyDescent="0.25">
      <c r="B25" s="78" t="s">
        <v>41</v>
      </c>
      <c r="C25" s="68" t="str">
        <f>VLOOKUP($B25,'[1]Products by Part Number'!$A:$L,2,0)</f>
        <v xml:space="preserve">CAT 329EL (ZCD)                                              </v>
      </c>
      <c r="D25" s="68" t="str">
        <f>VLOOKUP($B25,'[1]Products by Part Number'!$A:$L,3,0)</f>
        <v>BATTERY 12V 900 CCA</v>
      </c>
      <c r="E25" s="69">
        <f>VLOOKUP($B25,'[1]Products by Part Number'!$A:$L,12,0)</f>
        <v>2</v>
      </c>
      <c r="F25" s="70">
        <f>VLOOKUP($B25,'[1]Products by Part Number'!$A:$L,4,0)</f>
        <v>486.48</v>
      </c>
      <c r="G25" s="71"/>
      <c r="H25" s="71">
        <f>VLOOKUP($B25,'[1]Products by Part Number'!$A:$L,6,0)</f>
        <v>243.24</v>
      </c>
      <c r="I25" s="79">
        <f t="shared" si="1"/>
        <v>486.48</v>
      </c>
    </row>
    <row r="26" spans="2:9" x14ac:dyDescent="0.25">
      <c r="B26" s="78" t="s">
        <v>53</v>
      </c>
      <c r="C26" s="68" t="str">
        <f>VLOOKUP($B26,'[1]Products by Part Number'!$A:$L,2,0)</f>
        <v xml:space="preserve">JD 470P (1FF)                                              </v>
      </c>
      <c r="D26" s="68" t="str">
        <f>VLOOKUP($B26,'[1]Products by Part Number'!$A:$L,3,0)</f>
        <v>BATTERY</v>
      </c>
      <c r="E26" s="69">
        <f>VLOOKUP($B26,'[1]Products by Part Number'!$A:$L,12,0)</f>
        <v>2</v>
      </c>
      <c r="F26" s="70">
        <f>VLOOKUP($B26,'[1]Products by Part Number'!$A:$L,4,0)</f>
        <v>575.41859999999997</v>
      </c>
      <c r="G26" s="71"/>
      <c r="H26" s="71">
        <f>VLOOKUP($B26,'[1]Products by Part Number'!$A:$L,6,0)</f>
        <v>287.70999999999998</v>
      </c>
      <c r="I26" s="79">
        <f t="shared" si="1"/>
        <v>575.41999999999996</v>
      </c>
    </row>
    <row r="27" spans="2:9" x14ac:dyDescent="0.25">
      <c r="B27" s="78" t="s">
        <v>54</v>
      </c>
      <c r="C27" s="68" t="str">
        <f>VLOOKUP($B27,'[1]Products by Part Number'!$A:$L,2,0)</f>
        <v xml:space="preserve">JD 333G (1T0)                                              </v>
      </c>
      <c r="D27" s="68" t="str">
        <f>VLOOKUP($B27,'[1]Products by Part Number'!$A:$L,3,0)</f>
        <v>BATTERY 12 V 925 CCA</v>
      </c>
      <c r="E27" s="69">
        <f>VLOOKUP($B27,'[1]Products by Part Number'!$A:$L,12,0)</f>
        <v>1</v>
      </c>
      <c r="F27" s="70">
        <f>VLOOKUP($B27,'[1]Products by Part Number'!$A:$L,4,0)</f>
        <v>318.2004</v>
      </c>
      <c r="G27" s="71"/>
      <c r="H27" s="71">
        <f>VLOOKUP($B27,'[1]Products by Part Number'!$A:$L,6,0)</f>
        <v>159.1</v>
      </c>
      <c r="I27" s="79">
        <f t="shared" si="1"/>
        <v>159.1</v>
      </c>
    </row>
    <row r="28" spans="2:9" x14ac:dyDescent="0.25">
      <c r="B28" s="78" t="s">
        <v>55</v>
      </c>
      <c r="C28" s="68" t="str">
        <f>VLOOKUP($B28,'[1]Products by Part Number'!$A:$L,2,0)</f>
        <v xml:space="preserve">JD 624K (DW6) JD 764 (100)                                            </v>
      </c>
      <c r="D28" s="68" t="str">
        <f>VLOOKUP($B28,'[1]Products by Part Number'!$A:$L,3,0)</f>
        <v>BATTERY 12V 950CCA</v>
      </c>
      <c r="E28" s="69">
        <f>VLOOKUP($B28,'[1]Products by Part Number'!$A:$L,12,0)</f>
        <v>4</v>
      </c>
      <c r="F28" s="70">
        <f>VLOOKUP($B28,'[1]Products by Part Number'!$A:$L,4,0)</f>
        <v>318.2004</v>
      </c>
      <c r="G28" s="71"/>
      <c r="H28" s="71">
        <f>VLOOKUP($B28,'[1]Products by Part Number'!$A:$L,6,0)</f>
        <v>159.1</v>
      </c>
      <c r="I28" s="79">
        <f t="shared" si="1"/>
        <v>636.4</v>
      </c>
    </row>
    <row r="29" spans="2:9" x14ac:dyDescent="0.25">
      <c r="B29" s="78" t="s">
        <v>56</v>
      </c>
      <c r="C29" s="68" t="str">
        <f>VLOOKUP($B29,'[1]Products by Part Number'!$A:$L,2,0)</f>
        <v xml:space="preserve">CAT 329EL (ZCD)                                              </v>
      </c>
      <c r="D29" s="68" t="str">
        <f>VLOOKUP($B29,'[1]Products by Part Number'!$A:$L,3,0)</f>
        <v>CAMSHAFT</v>
      </c>
      <c r="E29" s="69">
        <f>VLOOKUP($B29,'[1]Products by Part Number'!$A:$L,12,0)</f>
        <v>1</v>
      </c>
      <c r="F29" s="70">
        <f>VLOOKUP($B29,'[1]Products by Part Number'!$A:$L,4,0)</f>
        <v>1834.21</v>
      </c>
      <c r="G29" s="71"/>
      <c r="H29" s="71">
        <f>VLOOKUP($B29,'[1]Products by Part Number'!$A:$L,6,0)</f>
        <v>917.11</v>
      </c>
      <c r="I29" s="79">
        <f t="shared" si="1"/>
        <v>917.11</v>
      </c>
    </row>
    <row r="30" spans="2:9" x14ac:dyDescent="0.25">
      <c r="B30" s="78" t="s">
        <v>57</v>
      </c>
      <c r="C30" s="68" t="str">
        <f>VLOOKUP($B30,'[1]Products by Part Number'!$A:$L,2,0)</f>
        <v xml:space="preserve">CAT 14 (EN4)                                              </v>
      </c>
      <c r="D30" s="68" t="str">
        <f>VLOOKUP($B30,'[1]Products by Part Number'!$A:$L,3,0)</f>
        <v>CRANKSHAFT</v>
      </c>
      <c r="E30" s="69">
        <f>VLOOKUP($B30,'[1]Products by Part Number'!$A:$L,12,0)</f>
        <v>1</v>
      </c>
      <c r="F30" s="70">
        <f>VLOOKUP($B30,'[1]Products by Part Number'!$A:$L,4,0)</f>
        <v>18666.009999999998</v>
      </c>
      <c r="G30" s="71"/>
      <c r="H30" s="71">
        <f>VLOOKUP($B30,'[1]Products by Part Number'!$A:$L,6,0)</f>
        <v>9333.01</v>
      </c>
      <c r="I30" s="79">
        <f t="shared" si="1"/>
        <v>9333.01</v>
      </c>
    </row>
    <row r="31" spans="2:9" x14ac:dyDescent="0.25">
      <c r="B31" s="78" t="s">
        <v>58</v>
      </c>
      <c r="C31" s="68" t="str">
        <f>VLOOKUP($B31,'[1]Products by Part Number'!$A:$L,2,0)</f>
        <v xml:space="preserve">CAT TL1055C (KDE)                                              </v>
      </c>
      <c r="D31" s="68" t="str">
        <f>VLOOKUP($B31,'[1]Products by Part Number'!$A:$L,3,0)</f>
        <v>CAMSHAFT</v>
      </c>
      <c r="E31" s="69">
        <f>VLOOKUP($B31,'[1]Products by Part Number'!$A:$L,12,0)</f>
        <v>1</v>
      </c>
      <c r="F31" s="70">
        <f>VLOOKUP($B31,'[1]Products by Part Number'!$A:$L,4,0)</f>
        <v>1706.83</v>
      </c>
      <c r="G31" s="71"/>
      <c r="H31" s="71">
        <f>VLOOKUP($B31,'[1]Products by Part Number'!$A:$L,6,0)</f>
        <v>853.42</v>
      </c>
      <c r="I31" s="79">
        <f t="shared" si="1"/>
        <v>853.42</v>
      </c>
    </row>
    <row r="32" spans="2:9" x14ac:dyDescent="0.25">
      <c r="B32" s="78" t="s">
        <v>59</v>
      </c>
      <c r="C32" s="68" t="str">
        <f>VLOOKUP($B32,'[1]Products by Part Number'!$A:$L,2,0)</f>
        <v xml:space="preserve">CAT 14 (EN4)                                              </v>
      </c>
      <c r="D32" s="68" t="str">
        <f>VLOOKUP($B32,'[1]Products by Part Number'!$A:$L,3,0)</f>
        <v>CAMSHAFT</v>
      </c>
      <c r="E32" s="69">
        <f>VLOOKUP($B32,'[1]Products by Part Number'!$A:$L,12,0)</f>
        <v>1</v>
      </c>
      <c r="F32" s="70">
        <f>VLOOKUP($B32,'[1]Products by Part Number'!$A:$L,4,0)</f>
        <v>6599.72</v>
      </c>
      <c r="G32" s="71"/>
      <c r="H32" s="71">
        <f>VLOOKUP($B32,'[1]Products by Part Number'!$A:$L,6,0)</f>
        <v>3299.86</v>
      </c>
      <c r="I32" s="79">
        <f t="shared" si="1"/>
        <v>3299.86</v>
      </c>
    </row>
    <row r="33" spans="2:9" x14ac:dyDescent="0.25">
      <c r="B33" s="78" t="s">
        <v>60</v>
      </c>
      <c r="C33" s="68" t="str">
        <f>VLOOKUP($B33,'[1]Products by Part Number'!$A:$L,2,0)</f>
        <v xml:space="preserve">CAT 329EL (ZCD)                                              </v>
      </c>
      <c r="D33" s="68" t="str">
        <f>VLOOKUP($B33,'[1]Products by Part Number'!$A:$L,3,0)</f>
        <v>CRANKSHAFT</v>
      </c>
      <c r="E33" s="69">
        <f>VLOOKUP($B33,'[1]Products by Part Number'!$A:$L,12,0)</f>
        <v>1</v>
      </c>
      <c r="F33" s="70">
        <f>VLOOKUP($B33,'[1]Products by Part Number'!$A:$L,4,0)</f>
        <v>11151.43</v>
      </c>
      <c r="G33" s="71"/>
      <c r="H33" s="71">
        <f>VLOOKUP($B33,'[1]Products by Part Number'!$A:$L,6,0)</f>
        <v>5575.72</v>
      </c>
      <c r="I33" s="79">
        <f t="shared" si="1"/>
        <v>5575.72</v>
      </c>
    </row>
    <row r="34" spans="2:9" x14ac:dyDescent="0.25">
      <c r="B34" s="78" t="s">
        <v>61</v>
      </c>
      <c r="C34" s="68" t="str">
        <f>VLOOKUP($B34,'[1]Products by Part Number'!$A:$L,2,0)</f>
        <v xml:space="preserve">CAT TL1055C (KDE)                                              </v>
      </c>
      <c r="D34" s="68" t="str">
        <f>VLOOKUP($B34,'[1]Products by Part Number'!$A:$L,3,0)</f>
        <v>CRANKSHAFT</v>
      </c>
      <c r="E34" s="69">
        <f>VLOOKUP($B34,'[1]Products by Part Number'!$A:$L,12,0)</f>
        <v>1</v>
      </c>
      <c r="F34" s="70">
        <f>VLOOKUP($B34,'[1]Products by Part Number'!$A:$L,4,0)</f>
        <v>4302.96</v>
      </c>
      <c r="G34" s="71"/>
      <c r="H34" s="71">
        <f>VLOOKUP($B34,'[1]Products by Part Number'!$A:$L,6,0)</f>
        <v>2151.48</v>
      </c>
      <c r="I34" s="79">
        <f t="shared" si="1"/>
        <v>2151.48</v>
      </c>
    </row>
    <row r="35" spans="2:9" x14ac:dyDescent="0.25">
      <c r="B35" s="78" t="s">
        <v>62</v>
      </c>
      <c r="C35" s="68" t="str">
        <f>VLOOKUP($B35,'[1]Products by Part Number'!$A:$L,2,0)</f>
        <v xml:space="preserve">CAT 255 CAT 255 (2) CAT 255 (FL7)                                          </v>
      </c>
      <c r="D35" s="68" t="str">
        <f>VLOOKUP($B35,'[1]Products by Part Number'!$A:$L,3,0)</f>
        <v>CAMSHAFT</v>
      </c>
      <c r="E35" s="69">
        <f>VLOOKUP($B35,'[1]Products by Part Number'!$A:$L,12,0)</f>
        <v>3</v>
      </c>
      <c r="F35" s="70">
        <f>VLOOKUP($B35,'[1]Products by Part Number'!$A:$L,4,0)</f>
        <v>1708.74</v>
      </c>
      <c r="G35" s="71"/>
      <c r="H35" s="71">
        <f>VLOOKUP($B35,'[1]Products by Part Number'!$A:$L,6,0)</f>
        <v>854.37</v>
      </c>
      <c r="I35" s="79">
        <f t="shared" si="1"/>
        <v>2563.11</v>
      </c>
    </row>
    <row r="36" spans="2:9" x14ac:dyDescent="0.25">
      <c r="B36" s="78" t="s">
        <v>63</v>
      </c>
      <c r="C36" s="68" t="str">
        <f>VLOOKUP($B36,'[1]Products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KOM WA475-10 (120)                            </v>
      </c>
      <c r="D36" s="68" t="str">
        <f>VLOOKUP($B36,'[1]Products by Part Number'!$A:$L,3,0)</f>
        <v>CRANKSHAFT</v>
      </c>
      <c r="E36" s="69">
        <f>VLOOKUP($B36,'[1]Products by Part Number'!$A:$L,12,0)</f>
        <v>10</v>
      </c>
      <c r="F36" s="70">
        <f>VLOOKUP($B36,'[1]Products by Part Number'!$A:$L,4,0)</f>
        <v>11348.37</v>
      </c>
      <c r="G36" s="71"/>
      <c r="H36" s="71">
        <f>VLOOKUP($B36,'[1]Products by Part Number'!$A:$L,6,0)</f>
        <v>5674.19</v>
      </c>
      <c r="I36" s="79">
        <f t="shared" si="1"/>
        <v>56741.9</v>
      </c>
    </row>
    <row r="37" spans="2:9" x14ac:dyDescent="0.25">
      <c r="B37" s="78" t="s">
        <v>64</v>
      </c>
      <c r="C37" s="68" t="str">
        <f>VLOOKUP($B37,'[1]Products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KOM WA475-10 (120)                            </v>
      </c>
      <c r="D37" s="68" t="str">
        <f>VLOOKUP($B37,'[1]Products by Part Number'!$A:$L,3,0)</f>
        <v>CAMSHAFT</v>
      </c>
      <c r="E37" s="69">
        <f>VLOOKUP($B37,'[1]Products by Part Number'!$A:$L,12,0)</f>
        <v>10</v>
      </c>
      <c r="F37" s="70">
        <f>VLOOKUP($B37,'[1]Products by Part Number'!$A:$L,4,0)</f>
        <v>3603.77</v>
      </c>
      <c r="G37" s="71"/>
      <c r="H37" s="71">
        <f>VLOOKUP($B37,'[1]Products by Part Number'!$A:$L,6,0)</f>
        <v>1801.89</v>
      </c>
      <c r="I37" s="79">
        <f t="shared" si="1"/>
        <v>18018.900000000001</v>
      </c>
    </row>
    <row r="38" spans="2:9" x14ac:dyDescent="0.25">
      <c r="B38" s="78" t="s">
        <v>65</v>
      </c>
      <c r="C38" s="68" t="str">
        <f>VLOOKUP($B38,'[1]Products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38" s="68" t="str">
        <f>VLOOKUP($B38,'[1]Products by Part Number'!$A:$L,3,0)</f>
        <v>CRANKSHAFT</v>
      </c>
      <c r="E38" s="69">
        <f>VLOOKUP($B38,'[1]Products by Part Number'!$A:$L,12,0)</f>
        <v>14</v>
      </c>
      <c r="F38" s="70">
        <f>VLOOKUP($B38,'[1]Products by Part Number'!$A:$L,4,0)</f>
        <v>16696.43</v>
      </c>
      <c r="G38" s="71"/>
      <c r="H38" s="71">
        <f>VLOOKUP($B38,'[1]Products by Part Number'!$A:$L,6,0)</f>
        <v>8348.2199999999993</v>
      </c>
      <c r="I38" s="79">
        <f t="shared" si="1"/>
        <v>116875.08</v>
      </c>
    </row>
    <row r="39" spans="2:9" x14ac:dyDescent="0.25">
      <c r="B39" s="78" t="s">
        <v>66</v>
      </c>
      <c r="C39" s="68" t="str">
        <f>VLOOKUP($B39,'[1]Products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39" s="68" t="str">
        <f>VLOOKUP($B39,'[1]Products by Part Number'!$A:$L,3,0)</f>
        <v>CAMSHAFT</v>
      </c>
      <c r="E39" s="69">
        <f>VLOOKUP($B39,'[1]Products by Part Number'!$A:$L,12,0)</f>
        <v>14</v>
      </c>
      <c r="F39" s="70">
        <f>VLOOKUP($B39,'[1]Products by Part Number'!$A:$L,4,0)</f>
        <v>6442.61</v>
      </c>
      <c r="G39" s="71"/>
      <c r="H39" s="71">
        <f>VLOOKUP($B39,'[1]Products by Part Number'!$A:$L,6,0)</f>
        <v>3221.31</v>
      </c>
      <c r="I39" s="79">
        <f t="shared" si="1"/>
        <v>45098.34</v>
      </c>
    </row>
    <row r="40" spans="2:9" x14ac:dyDescent="0.25">
      <c r="B40" s="78" t="s">
        <v>67</v>
      </c>
      <c r="C40" s="68" t="str">
        <f>VLOOKUP($B40,'[1]Products by Part Number'!$A:$L,2,0)</f>
        <v xml:space="preserve">KOM PC138USLC-11 KOM PC238USLC-11 (1)                                            </v>
      </c>
      <c r="D40" s="68" t="str">
        <f>VLOOKUP($B40,'[1]Products by Part Number'!$A:$L,3,0)</f>
        <v>CRANKSHAFT</v>
      </c>
      <c r="E40" s="69">
        <f>VLOOKUP($B40,'[1]Products by Part Number'!$A:$L,12,0)</f>
        <v>2</v>
      </c>
      <c r="F40" s="70">
        <f>VLOOKUP($B40,'[1]Products by Part Number'!$A:$L,4,0)</f>
        <v>3547.2</v>
      </c>
      <c r="G40" s="71"/>
      <c r="H40" s="71">
        <f>VLOOKUP($B40,'[1]Products by Part Number'!$A:$L,6,0)</f>
        <v>1773.6</v>
      </c>
      <c r="I40" s="79">
        <f t="shared" si="1"/>
        <v>3547.2</v>
      </c>
    </row>
    <row r="41" spans="2:9" x14ac:dyDescent="0.25">
      <c r="B41" s="78" t="s">
        <v>68</v>
      </c>
      <c r="C41" s="68" t="str">
        <f>VLOOKUP($B41,'[1]Products by Part Number'!$A:$L,2,0)</f>
        <v xml:space="preserve">KOM PC138USLC-11 KOM PC238USLC-11 (1)                                            </v>
      </c>
      <c r="D41" s="68" t="str">
        <f>VLOOKUP($B41,'[1]Products by Part Number'!$A:$L,3,0)</f>
        <v>CAMSHAFT</v>
      </c>
      <c r="E41" s="69">
        <f>VLOOKUP($B41,'[1]Products by Part Number'!$A:$L,12,0)</f>
        <v>2</v>
      </c>
      <c r="F41" s="70">
        <f>VLOOKUP($B41,'[1]Products by Part Number'!$A:$L,4,0)</f>
        <v>1575.55</v>
      </c>
      <c r="G41" s="71"/>
      <c r="H41" s="71">
        <f>VLOOKUP($B41,'[1]Products by Part Number'!$A:$L,6,0)</f>
        <v>787.78</v>
      </c>
      <c r="I41" s="79">
        <f t="shared" si="1"/>
        <v>1575.56</v>
      </c>
    </row>
    <row r="42" spans="2:9" x14ac:dyDescent="0.25">
      <c r="B42" s="78" t="s">
        <v>69</v>
      </c>
      <c r="C42" s="68" t="str">
        <f>VLOOKUP($B42,'[1]Products by Part Number'!$A:$L,2,0)</f>
        <v xml:space="preserve">CAT 255 CAT 255 (2) CAT 255 (FL7)                                          </v>
      </c>
      <c r="D42" s="68" t="str">
        <f>VLOOKUP($B42,'[1]Products by Part Number'!$A:$L,3,0)</f>
        <v>CRANKSHAFT</v>
      </c>
      <c r="E42" s="69">
        <f>VLOOKUP($B42,'[1]Products by Part Number'!$A:$L,12,0)</f>
        <v>3</v>
      </c>
      <c r="F42" s="70">
        <f>VLOOKUP($B42,'[1]Products by Part Number'!$A:$L,4,0)</f>
        <v>4139</v>
      </c>
      <c r="G42" s="71"/>
      <c r="H42" s="71">
        <f>VLOOKUP($B42,'[1]Products by Part Number'!$A:$L,6,0)</f>
        <v>2069.5</v>
      </c>
      <c r="I42" s="79">
        <f t="shared" si="1"/>
        <v>6208.5</v>
      </c>
    </row>
    <row r="43" spans="2:9" x14ac:dyDescent="0.25">
      <c r="B43" s="78" t="s">
        <v>70</v>
      </c>
      <c r="C43" s="68" t="str">
        <f>VLOOKUP($B43,'[1]Products by Part Number'!$A:$L,2,0)</f>
        <v xml:space="preserve">KOM D71PX-24 (1) KOM D71PX-24 (2) KOM D71PX-24 (3) KOM D71PX-24 (4) KOM D71PX-24 (5) KOM D71PX-24 (6) KOM D71PX-24 (7) KOM PC360LC-11 (A37) KOM PC360LC-11 (A39) KOM PC360LC-11 (A39) (2)                            </v>
      </c>
      <c r="D43" s="68" t="str">
        <f>VLOOKUP($B43,'[1]Products by Part Number'!$A:$L,3,0)</f>
        <v>CAMSHAFT</v>
      </c>
      <c r="E43" s="69">
        <f>VLOOKUP($B43,'[1]Products by Part Number'!$A:$L,12,0)</f>
        <v>10</v>
      </c>
      <c r="F43" s="70">
        <f>VLOOKUP($B43,'[1]Products by Part Number'!$A:$L,4,0)</f>
        <v>822.86639999999989</v>
      </c>
      <c r="G43" s="71"/>
      <c r="H43" s="71">
        <f>VLOOKUP($B43,'[1]Products by Part Number'!$A:$L,6,0)</f>
        <v>411.43</v>
      </c>
      <c r="I43" s="79">
        <f t="shared" si="1"/>
        <v>4114.3</v>
      </c>
    </row>
    <row r="44" spans="2:9" x14ac:dyDescent="0.25">
      <c r="B44" s="78" t="s">
        <v>71</v>
      </c>
      <c r="C44" s="68" t="str">
        <f>VLOOKUP($B44,'[1]Products by Part Number'!$A:$L,2,0)</f>
        <v xml:space="preserve">KOM D71PX-24 (1) KOM D71PX-24 (2) KOM D71PX-24 (3) KOM D71PX-24 (4) KOM D71PX-24 (5) KOM D71PX-24 (6) KOM D71PX-24 (7) KOM PC360LC-11 (A37) KOM PC360LC-11 (A39) KOM PC360LC-11 (A39) (2)                            </v>
      </c>
      <c r="D44" s="68" t="str">
        <f>VLOOKUP($B44,'[1]Products by Part Number'!$A:$L,3,0)</f>
        <v>CRANKSHAFT</v>
      </c>
      <c r="E44" s="69">
        <f>VLOOKUP($B44,'[1]Products by Part Number'!$A:$L,12,0)</f>
        <v>10</v>
      </c>
      <c r="F44" s="70">
        <f>VLOOKUP($B44,'[1]Products by Part Number'!$A:$L,4,0)</f>
        <v>2567.5589999999997</v>
      </c>
      <c r="G44" s="71"/>
      <c r="H44" s="71">
        <f>VLOOKUP($B44,'[1]Products by Part Number'!$A:$L,6,0)</f>
        <v>1283.78</v>
      </c>
      <c r="I44" s="79">
        <f t="shared" si="1"/>
        <v>12837.8</v>
      </c>
    </row>
    <row r="45" spans="2:9" x14ac:dyDescent="0.25">
      <c r="B45" s="78" t="s">
        <v>72</v>
      </c>
      <c r="C45" s="68" t="str">
        <f>VLOOKUP($B45,'[1]Products by Part Number'!$A:$L,2,0)</f>
        <v xml:space="preserve">KOM PC238USLC-11 (2) KOM WA380-8 (1) KOM WA380-8 (2) KOM WA320-8 (867) KOM WA320PZ-6 (729) KOM PC290LC-11 (K73) KOM D61PX-24 (B60)                                  </v>
      </c>
      <c r="D45" s="68" t="str">
        <f>VLOOKUP($B45,'[1]Products by Part Number'!$A:$L,3,0)</f>
        <v>CRANKSHAFT</v>
      </c>
      <c r="E45" s="69">
        <f>VLOOKUP($B45,'[1]Products by Part Number'!$A:$L,12,0)</f>
        <v>7</v>
      </c>
      <c r="F45" s="70">
        <f>VLOOKUP($B45,'[1]Products by Part Number'!$A:$L,4,0)</f>
        <v>2859.5</v>
      </c>
      <c r="G45" s="71"/>
      <c r="H45" s="71">
        <f>VLOOKUP($B45,'[1]Products by Part Number'!$A:$L,6,0)</f>
        <v>1429.75</v>
      </c>
      <c r="I45" s="79">
        <f t="shared" si="1"/>
        <v>10008.25</v>
      </c>
    </row>
    <row r="46" spans="2:9" x14ac:dyDescent="0.25">
      <c r="B46" s="78" t="s">
        <v>73</v>
      </c>
      <c r="C46" s="68" t="str">
        <f>VLOOKUP($B46,'[1]Products by Part Number'!$A:$L,2,0)</f>
        <v xml:space="preserve">KOM PC238USLC-11 (2) KOM WA380-8 (1) KOM WA380-8 (2) KOM WA320-8 (867) KOM WA320PZ-6 (729) KOM PC290LC-11 (K73) KOM D61PX-24 (B60)                                  </v>
      </c>
      <c r="D46" s="68" t="str">
        <f>VLOOKUP($B46,'[1]Products by Part Number'!$A:$L,3,0)</f>
        <v>CAMSHAFT</v>
      </c>
      <c r="E46" s="69">
        <f>VLOOKUP($B46,'[1]Products by Part Number'!$A:$L,12,0)</f>
        <v>7</v>
      </c>
      <c r="F46" s="70">
        <f>VLOOKUP($B46,'[1]Products by Part Number'!$A:$L,4,0)</f>
        <v>1236.57</v>
      </c>
      <c r="G46" s="71"/>
      <c r="H46" s="71">
        <f>VLOOKUP($B46,'[1]Products by Part Number'!$A:$L,6,0)</f>
        <v>618.29</v>
      </c>
      <c r="I46" s="79">
        <f t="shared" si="1"/>
        <v>4328.03</v>
      </c>
    </row>
    <row r="47" spans="2:9" x14ac:dyDescent="0.25">
      <c r="B47" s="78" t="s">
        <v>74</v>
      </c>
      <c r="C47" s="68" t="str">
        <f>VLOOKUP($B47,'[1]Products by Part Number'!$A:$L,2,0)</f>
        <v xml:space="preserve">JD 333G (1T0)                                              </v>
      </c>
      <c r="D47" s="68" t="str">
        <f>VLOOKUP($B47,'[1]Products by Part Number'!$A:$L,3,0)</f>
        <v>CAMSHAFT</v>
      </c>
      <c r="E47" s="69">
        <f>VLOOKUP($B47,'[1]Products by Part Number'!$A:$L,12,0)</f>
        <v>1</v>
      </c>
      <c r="F47" s="70">
        <f>VLOOKUP($B47,'[1]Products by Part Number'!$A:$L,4,0)</f>
        <v>802.52520000000004</v>
      </c>
      <c r="G47" s="71"/>
      <c r="H47" s="71">
        <f>VLOOKUP($B47,'[1]Products by Part Number'!$A:$L,6,0)</f>
        <v>401.26</v>
      </c>
      <c r="I47" s="79">
        <f t="shared" si="1"/>
        <v>401.26</v>
      </c>
    </row>
    <row r="48" spans="2:9" x14ac:dyDescent="0.25">
      <c r="B48" s="78" t="s">
        <v>75</v>
      </c>
      <c r="C48" s="68" t="str">
        <f>VLOOKUP($B48,'[1]Products by Part Number'!$A:$L,2,0)</f>
        <v xml:space="preserve">JD 333G (1T0)                                              </v>
      </c>
      <c r="D48" s="68" t="str">
        <f>VLOOKUP($B48,'[1]Products by Part Number'!$A:$L,3,0)</f>
        <v>CRANKSHAFT</v>
      </c>
      <c r="E48" s="69">
        <f>VLOOKUP($B48,'[1]Products by Part Number'!$A:$L,12,0)</f>
        <v>1</v>
      </c>
      <c r="F48" s="70">
        <f>VLOOKUP($B48,'[1]Products by Part Number'!$A:$L,4,0)</f>
        <v>1956.4674</v>
      </c>
      <c r="G48" s="71"/>
      <c r="H48" s="71">
        <f>VLOOKUP($B48,'[1]Products by Part Number'!$A:$L,6,0)</f>
        <v>978.23</v>
      </c>
      <c r="I48" s="79">
        <f t="shared" si="1"/>
        <v>978.23</v>
      </c>
    </row>
    <row r="49" spans="2:9" x14ac:dyDescent="0.25">
      <c r="B49" s="78" t="s">
        <v>76</v>
      </c>
      <c r="C49" s="68" t="str">
        <f>VLOOKUP($B49,'[1]Products by Part Number'!$A:$L,2,0)</f>
        <v xml:space="preserve">JD 470P (1FF)                                              </v>
      </c>
      <c r="D49" s="68" t="str">
        <f>VLOOKUP($B49,'[1]Products by Part Number'!$A:$L,3,0)</f>
        <v>CAMSHAFT</v>
      </c>
      <c r="E49" s="69">
        <f>VLOOKUP($B49,'[1]Products by Part Number'!$A:$L,12,0)</f>
        <v>1</v>
      </c>
      <c r="F49" s="70">
        <f>VLOOKUP($B49,'[1]Products by Part Number'!$A:$L,4,0)</f>
        <v>1925.9141999999997</v>
      </c>
      <c r="G49" s="71"/>
      <c r="H49" s="71">
        <f>VLOOKUP($B49,'[1]Products by Part Number'!$A:$L,6,0)</f>
        <v>962.96</v>
      </c>
      <c r="I49" s="79">
        <f t="shared" si="1"/>
        <v>962.96</v>
      </c>
    </row>
    <row r="50" spans="2:9" x14ac:dyDescent="0.25">
      <c r="B50" s="78" t="s">
        <v>77</v>
      </c>
      <c r="C50" s="68" t="str">
        <f>VLOOKUP($B50,'[1]Products by Part Number'!$A:$L,2,0)</f>
        <v xml:space="preserve">JD 624K (DW6) JD 764 (100)                                            </v>
      </c>
      <c r="D50" s="68" t="str">
        <f>VLOOKUP($B50,'[1]Products by Part Number'!$A:$L,3,0)</f>
        <v>CRANKSHAFT</v>
      </c>
      <c r="E50" s="69">
        <f>VLOOKUP($B50,'[1]Products by Part Number'!$A:$L,12,0)</f>
        <v>2</v>
      </c>
      <c r="F50" s="70">
        <f>VLOOKUP($B50,'[1]Products by Part Number'!$A:$L,4,0)</f>
        <v>5543.6669999999995</v>
      </c>
      <c r="G50" s="71"/>
      <c r="H50" s="71">
        <f>VLOOKUP($B50,'[1]Products by Part Number'!$A:$L,6,0)</f>
        <v>2771.83</v>
      </c>
      <c r="I50" s="79">
        <f t="shared" si="1"/>
        <v>5543.66</v>
      </c>
    </row>
    <row r="51" spans="2:9" x14ac:dyDescent="0.25">
      <c r="B51" s="78" t="s">
        <v>78</v>
      </c>
      <c r="C51" s="68" t="str">
        <f>VLOOKUP($B51,'[1]Products by Part Number'!$A:$L,2,0)</f>
        <v xml:space="preserve">JD 624K (DW6) JD 764 (100)                                            </v>
      </c>
      <c r="D51" s="68" t="str">
        <f>VLOOKUP($B51,'[1]Products by Part Number'!$A:$L,3,0)</f>
        <v>CAMSHAFT</v>
      </c>
      <c r="E51" s="69">
        <f>VLOOKUP($B51,'[1]Products by Part Number'!$A:$L,12,0)</f>
        <v>2</v>
      </c>
      <c r="F51" s="70">
        <f>VLOOKUP($B51,'[1]Products by Part Number'!$A:$L,4,0)</f>
        <v>1002.3492</v>
      </c>
      <c r="G51" s="71"/>
      <c r="H51" s="71">
        <f>VLOOKUP($B51,'[1]Products by Part Number'!$A:$L,6,0)</f>
        <v>501.17</v>
      </c>
      <c r="I51" s="79">
        <f t="shared" si="1"/>
        <v>1002.34</v>
      </c>
    </row>
    <row r="52" spans="2:9" x14ac:dyDescent="0.25">
      <c r="B52" s="78" t="s">
        <v>79</v>
      </c>
      <c r="C52" s="68" t="str">
        <f>VLOOKUP($B52,'[1]Products by Part Number'!$A:$L,2,0)</f>
        <v xml:space="preserve">JD 470P (1FF)                                              </v>
      </c>
      <c r="D52" s="68" t="str">
        <f>VLOOKUP($B52,'[1]Products by Part Number'!$A:$L,3,0)</f>
        <v>CRANKSHAFT</v>
      </c>
      <c r="E52" s="69">
        <f>VLOOKUP($B52,'[1]Products by Part Number'!$A:$L,12,0)</f>
        <v>1</v>
      </c>
      <c r="F52" s="70">
        <f>VLOOKUP($B52,'[1]Products by Part Number'!$A:$L,4,0)</f>
        <v>12521.733599999998</v>
      </c>
      <c r="G52" s="71"/>
      <c r="H52" s="71">
        <f>VLOOKUP($B52,'[1]Products by Part Number'!$A:$L,6,0)</f>
        <v>6260.87</v>
      </c>
      <c r="I52" s="79">
        <f t="shared" si="1"/>
        <v>6260.87</v>
      </c>
    </row>
    <row r="53" spans="2:9" x14ac:dyDescent="0.25">
      <c r="B53" s="78" t="s">
        <v>80</v>
      </c>
      <c r="C53" s="68" t="str">
        <f>VLOOKUP($B53,'[1]Products by Part Number'!$A:$L,2,0)</f>
        <v xml:space="preserve">KOM D71PX-24 (1) KOM D71PX-24 (2) KOM D71PX-24 (3) KOM D71PX-24 (4) KOM D71PX-24 (5) KOM D71PX-24 (6) KOM D71PX-24 (7) KOM D61PX-24 (B60)                                </v>
      </c>
      <c r="D53" s="68" t="str">
        <f>VLOOKUP($B53,'[1]Products by Part Number'!$A:$L,3,0)</f>
        <v>CAB AIR FILTER</v>
      </c>
      <c r="E53" s="69">
        <f>VLOOKUP($B53,'[1]Products by Part Number'!$A:$L,12,0)</f>
        <v>27</v>
      </c>
      <c r="F53" s="70">
        <f>VLOOKUP($B53,'[1]Products by Part Number'!$A:$L,4,0)</f>
        <v>188.74260000000001</v>
      </c>
      <c r="G53" s="71"/>
      <c r="H53" s="71">
        <f>VLOOKUP($B53,'[1]Products by Part Number'!$A:$L,6,0)</f>
        <v>122.68</v>
      </c>
      <c r="I53" s="79">
        <f t="shared" si="1"/>
        <v>3312.36</v>
      </c>
    </row>
    <row r="54" spans="2:9" x14ac:dyDescent="0.25">
      <c r="B54" s="78" t="s">
        <v>81</v>
      </c>
      <c r="C54" s="68" t="str">
        <f>VLOOKUP($B54,'[1]Products by Part Number'!$A:$L,2,0)</f>
        <v xml:space="preserve">KOM D71PX-24 (1) KOM D71PX-24 (2) KOM D71PX-24 (3) KOM D71PX-24 (4) KOM D71PX-24 (5) KOM D71PX-24 (6) KOM D71PX-24 (7) KOM D61PX-24 (B60)                                </v>
      </c>
      <c r="D54" s="68" t="str">
        <f>VLOOKUP($B54,'[1]Products by Part Number'!$A:$L,3,0)</f>
        <v>CAB AIR FILTER</v>
      </c>
      <c r="E54" s="69">
        <f>VLOOKUP($B54,'[1]Products by Part Number'!$A:$L,12,0)</f>
        <v>27</v>
      </c>
      <c r="F54" s="70">
        <f>VLOOKUP($B54,'[1]Products by Part Number'!$A:$L,4,0)</f>
        <v>164.08199999999999</v>
      </c>
      <c r="G54" s="71"/>
      <c r="H54" s="71">
        <f>VLOOKUP($B54,'[1]Products by Part Number'!$A:$L,6,0)</f>
        <v>106.65</v>
      </c>
      <c r="I54" s="79">
        <f t="shared" si="1"/>
        <v>2879.55</v>
      </c>
    </row>
    <row r="55" spans="2:9" x14ac:dyDescent="0.25">
      <c r="B55" s="78" t="s">
        <v>82</v>
      </c>
      <c r="C55" s="68" t="str">
        <f>VLOOKUP($B55,'[1]Products by Part Number'!$A:$L,2,0)</f>
        <v xml:space="preserve">CAT 14 (EN4)                                              </v>
      </c>
      <c r="D55" s="68" t="str">
        <f>VLOOKUP($B55,'[1]Products by Part Number'!$A:$L,3,0)</f>
        <v>CAB AIR FILTER</v>
      </c>
      <c r="E55" s="69">
        <f>VLOOKUP($B55,'[1]Products by Part Number'!$A:$L,12,0)</f>
        <v>6</v>
      </c>
      <c r="F55" s="70">
        <f>VLOOKUP($B55,'[1]Products by Part Number'!$A:$L,4,0)</f>
        <v>93.03</v>
      </c>
      <c r="G55" s="71"/>
      <c r="H55" s="71">
        <f>VLOOKUP($B55,'[1]Products by Part Number'!$A:$L,6,0)</f>
        <v>60.47</v>
      </c>
      <c r="I55" s="79">
        <f t="shared" si="1"/>
        <v>362.82</v>
      </c>
    </row>
    <row r="56" spans="2:9" x14ac:dyDescent="0.25">
      <c r="B56" s="78" t="s">
        <v>83</v>
      </c>
      <c r="C56" s="68" t="str">
        <f>VLOOKUP($B56,'[1]Products by Part Number'!$A:$L,2,0)</f>
        <v xml:space="preserve">KOM PC138USLC-11 KOM PC238USLC-11 (1) KOM PC490LC-11 (A42) KOM PC490LC-11 (A42) (2) KOM PC490LC-11 (A42) (3) KOM PC490LC-11 (A42) (4) KOM PC490LC-11 (A42) (5) KOM PC490LC-11 (A43) KOM PC490LC-11 (KMT) (1) KOM PC490LC-11 (KMT) (2) KOM PC490LC-11 (KMT) (3) KOM PC360LC-11 (A37) KOM PC360LC-11 (A39) KOM PC360LC-11 (A39) (2) KOM PC290LC-11 (K73)                  </v>
      </c>
      <c r="D56" s="68" t="str">
        <f>VLOOKUP($B56,'[1]Products by Part Number'!$A:$L,3,0)</f>
        <v>CAB AIR FILTER</v>
      </c>
      <c r="E56" s="69">
        <f>VLOOKUP($B56,'[1]Products by Part Number'!$A:$L,12,0)</f>
        <v>90</v>
      </c>
      <c r="F56" s="70">
        <f>VLOOKUP($B56,'[1]Products by Part Number'!$A:$L,4,0)</f>
        <v>67.87</v>
      </c>
      <c r="G56" s="71"/>
      <c r="H56" s="71">
        <f>VLOOKUP($B56,'[1]Products by Part Number'!$A:$L,6,0)</f>
        <v>44.12</v>
      </c>
      <c r="I56" s="79">
        <f t="shared" si="1"/>
        <v>3970.8</v>
      </c>
    </row>
    <row r="57" spans="2:9" x14ac:dyDescent="0.25">
      <c r="B57" s="78" t="s">
        <v>84</v>
      </c>
      <c r="C57" s="68" t="str">
        <f>VLOOKUP($B57,'[1]Products by Part Number'!$A:$L,2,0)</f>
        <v xml:space="preserve">CAT 14 (EN4)                                              </v>
      </c>
      <c r="D57" s="68" t="str">
        <f>VLOOKUP($B57,'[1]Products by Part Number'!$A:$L,3,0)</f>
        <v>CAB AIR FILTER</v>
      </c>
      <c r="E57" s="69">
        <f>VLOOKUP($B57,'[1]Products by Part Number'!$A:$L,12,0)</f>
        <v>6</v>
      </c>
      <c r="F57" s="70">
        <f>VLOOKUP($B57,'[1]Products by Part Number'!$A:$L,4,0)</f>
        <v>74.81</v>
      </c>
      <c r="G57" s="71"/>
      <c r="H57" s="71">
        <f>VLOOKUP($B57,'[1]Products by Part Number'!$A:$L,6,0)</f>
        <v>48.63</v>
      </c>
      <c r="I57" s="79">
        <f t="shared" si="1"/>
        <v>291.77999999999997</v>
      </c>
    </row>
    <row r="58" spans="2:9" x14ac:dyDescent="0.25">
      <c r="B58" s="78" t="s">
        <v>85</v>
      </c>
      <c r="C58" s="68" t="str">
        <f>VLOOKUP($B58,'[1]Products by Part Number'!$A:$L,2,0)</f>
        <v xml:space="preserve">CAT TL1055C (KDE)                                              </v>
      </c>
      <c r="D58" s="68" t="str">
        <f>VLOOKUP($B58,'[1]Products by Part Number'!$A:$L,3,0)</f>
        <v>PRIMARY AIR FILTER</v>
      </c>
      <c r="E58" s="69">
        <f>VLOOKUP($B58,'[1]Products by Part Number'!$A:$L,12,0)</f>
        <v>3</v>
      </c>
      <c r="F58" s="70">
        <f>VLOOKUP($B58,'[1]Products by Part Number'!$A:$L,4,0)</f>
        <v>100.67</v>
      </c>
      <c r="G58" s="71"/>
      <c r="H58" s="71">
        <f>VLOOKUP($B58,'[1]Products by Part Number'!$A:$L,6,0)</f>
        <v>65.44</v>
      </c>
      <c r="I58" s="79">
        <f t="shared" si="1"/>
        <v>196.32</v>
      </c>
    </row>
    <row r="59" spans="2:9" x14ac:dyDescent="0.25">
      <c r="B59" s="78" t="s">
        <v>86</v>
      </c>
      <c r="C59" s="68" t="str">
        <f>VLOOKUP($B59,'[1]Products by Part Number'!$A:$L,2,0)</f>
        <v xml:space="preserve">CAT TL1055C (KDE)                                              </v>
      </c>
      <c r="D59" s="68" t="str">
        <f>VLOOKUP($B59,'[1]Products by Part Number'!$A:$L,3,0)</f>
        <v>SECONDARY AIR FILTER</v>
      </c>
      <c r="E59" s="69">
        <f>VLOOKUP($B59,'[1]Products by Part Number'!$A:$L,12,0)</f>
        <v>3</v>
      </c>
      <c r="F59" s="70">
        <f>VLOOKUP($B59,'[1]Products by Part Number'!$A:$L,4,0)</f>
        <v>80.09</v>
      </c>
      <c r="G59" s="71"/>
      <c r="H59" s="71">
        <f>VLOOKUP($B59,'[1]Products by Part Number'!$A:$L,6,0)</f>
        <v>52.06</v>
      </c>
      <c r="I59" s="79">
        <f t="shared" si="1"/>
        <v>156.18</v>
      </c>
    </row>
    <row r="60" spans="2:9" x14ac:dyDescent="0.25">
      <c r="B60" s="78" t="s">
        <v>87</v>
      </c>
      <c r="C60" s="68" t="str">
        <f>VLOOKUP($B60,'[1]Products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KOM PC360LC-11 (A37) KOM PC360LC-11 (A39) KOM PC360LC-11 (A39) (2) KOM PC290LC-11 (K73)                      </v>
      </c>
      <c r="D60" s="68" t="str">
        <f>VLOOKUP($B60,'[1]Products by Part Number'!$A:$L,3,0)</f>
        <v>CAB AIR FILTER</v>
      </c>
      <c r="E60" s="69">
        <f>VLOOKUP($B60,'[1]Products by Part Number'!$A:$L,12,0)</f>
        <v>78</v>
      </c>
      <c r="F60" s="70">
        <f>VLOOKUP($B60,'[1]Products by Part Number'!$A:$L,4,0)</f>
        <v>68.78</v>
      </c>
      <c r="G60" s="71"/>
      <c r="H60" s="71">
        <f>VLOOKUP($B60,'[1]Products by Part Number'!$A:$L,6,0)</f>
        <v>44.71</v>
      </c>
      <c r="I60" s="79">
        <f t="shared" si="1"/>
        <v>3487.38</v>
      </c>
    </row>
    <row r="61" spans="2:9" x14ac:dyDescent="0.25">
      <c r="B61" s="78" t="s">
        <v>88</v>
      </c>
      <c r="C61" s="68" t="str">
        <f>VLOOKUP($B61,'[1]Products by Part Number'!$A:$L,2,0)</f>
        <v xml:space="preserve">CAT 329EL (ZCD)                                              </v>
      </c>
      <c r="D61" s="68" t="str">
        <f>VLOOKUP($B61,'[1]Products by Part Number'!$A:$L,3,0)</f>
        <v>CAB AIR FILTER</v>
      </c>
      <c r="E61" s="69">
        <f>VLOOKUP($B61,'[1]Products by Part Number'!$A:$L,12,0)</f>
        <v>6</v>
      </c>
      <c r="F61" s="70">
        <f>VLOOKUP($B61,'[1]Products by Part Number'!$A:$L,4,0)</f>
        <v>82.09</v>
      </c>
      <c r="G61" s="71"/>
      <c r="H61" s="71">
        <f>VLOOKUP($B61,'[1]Products by Part Number'!$A:$L,6,0)</f>
        <v>53.36</v>
      </c>
      <c r="I61" s="79">
        <f t="shared" si="1"/>
        <v>320.16000000000003</v>
      </c>
    </row>
    <row r="62" spans="2:9" x14ac:dyDescent="0.25">
      <c r="B62" s="78" t="s">
        <v>89</v>
      </c>
      <c r="C62" s="68" t="str">
        <f>VLOOKUP($B62,'[1]Products by Part Number'!$A:$L,2,0)</f>
        <v xml:space="preserve">CAT 14 (EN4)                                              </v>
      </c>
      <c r="D62" s="68" t="str">
        <f>VLOOKUP($B62,'[1]Products by Part Number'!$A:$L,3,0)</f>
        <v>SECONDARY AIR FILTER</v>
      </c>
      <c r="E62" s="69">
        <f>VLOOKUP($B62,'[1]Products by Part Number'!$A:$L,12,0)</f>
        <v>3</v>
      </c>
      <c r="F62" s="70">
        <f>VLOOKUP($B62,'[1]Products by Part Number'!$A:$L,4,0)</f>
        <v>105.26</v>
      </c>
      <c r="G62" s="71"/>
      <c r="H62" s="71">
        <f>VLOOKUP($B62,'[1]Products by Part Number'!$A:$L,6,0)</f>
        <v>68.42</v>
      </c>
      <c r="I62" s="79">
        <f t="shared" si="1"/>
        <v>205.26</v>
      </c>
    </row>
    <row r="63" spans="2:9" x14ac:dyDescent="0.25">
      <c r="B63" s="78" t="s">
        <v>90</v>
      </c>
      <c r="C63" s="68" t="str">
        <f>VLOOKUP($B63,'[1]Products by Part Number'!$A:$L,2,0)</f>
        <v xml:space="preserve">KOM WA475-10 (120)                                              </v>
      </c>
      <c r="D63" s="68" t="str">
        <f>VLOOKUP($B63,'[1]Products by Part Number'!$A:$L,3,0)</f>
        <v>CAB AIR FILTER</v>
      </c>
      <c r="E63" s="69">
        <f>VLOOKUP($B63,'[1]Products by Part Number'!$A:$L,12,0)</f>
        <v>3</v>
      </c>
      <c r="F63" s="70">
        <f>VLOOKUP($B63,'[1]Products by Part Number'!$A:$L,4,0)</f>
        <v>134.66999999999999</v>
      </c>
      <c r="G63" s="71"/>
      <c r="H63" s="71">
        <f>VLOOKUP($B63,'[1]Products by Part Number'!$A:$L,6,0)</f>
        <v>87.54</v>
      </c>
      <c r="I63" s="79">
        <f t="shared" si="1"/>
        <v>262.62</v>
      </c>
    </row>
    <row r="64" spans="2:9" x14ac:dyDescent="0.25">
      <c r="B64" s="78" t="s">
        <v>91</v>
      </c>
      <c r="C64" s="68" t="str">
        <f>VLOOKUP($B64,'[1]Products by Part Number'!$A:$L,2,0)</f>
        <v xml:space="preserve">KOM WA380-8 (1) KOM WA380-8 (2) KOM WA320-8 (867) KOM WA320PZ-6 (729)                                        </v>
      </c>
      <c r="D64" s="68" t="str">
        <f>VLOOKUP($B64,'[1]Products by Part Number'!$A:$L,3,0)</f>
        <v>CAB AIR FILTER</v>
      </c>
      <c r="E64" s="69">
        <f>VLOOKUP($B64,'[1]Products by Part Number'!$A:$L,12,0)</f>
        <v>18</v>
      </c>
      <c r="F64" s="70">
        <f>VLOOKUP($B64,'[1]Products by Part Number'!$A:$L,4,0)</f>
        <v>152.87</v>
      </c>
      <c r="G64" s="71"/>
      <c r="H64" s="71">
        <f>VLOOKUP($B64,'[1]Products by Part Number'!$A:$L,6,0)</f>
        <v>99.37</v>
      </c>
      <c r="I64" s="79">
        <f t="shared" si="1"/>
        <v>1788.66</v>
      </c>
    </row>
    <row r="65" spans="2:9" x14ac:dyDescent="0.25">
      <c r="B65" s="78" t="s">
        <v>92</v>
      </c>
      <c r="C65" s="68" t="str">
        <f>VLOOKUP($B65,'[1]Products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65" s="68" t="str">
        <f>VLOOKUP($B65,'[1]Products by Part Number'!$A:$L,3,0)</f>
        <v>CAB AIR FILTER</v>
      </c>
      <c r="E65" s="69">
        <f>VLOOKUP($B65,'[1]Products by Part Number'!$A:$L,12,0)</f>
        <v>42</v>
      </c>
      <c r="F65" s="70">
        <f>VLOOKUP($B65,'[1]Products by Part Number'!$A:$L,4,0)</f>
        <v>131.29</v>
      </c>
      <c r="G65" s="71"/>
      <c r="H65" s="71">
        <f>VLOOKUP($B65,'[1]Products by Part Number'!$A:$L,6,0)</f>
        <v>85.34</v>
      </c>
      <c r="I65" s="79">
        <f t="shared" si="1"/>
        <v>3584.28</v>
      </c>
    </row>
    <row r="66" spans="2:9" x14ac:dyDescent="0.25">
      <c r="B66" s="78" t="s">
        <v>93</v>
      </c>
      <c r="C66" s="68" t="str">
        <f>VLOOKUP($B66,'[1]Products by Part Number'!$A:$L,2,0)</f>
        <v xml:space="preserve">JD 470P (1FF)                                              </v>
      </c>
      <c r="D66" s="68" t="str">
        <f>VLOOKUP($B66,'[1]Products by Part Number'!$A:$L,3,0)</f>
        <v>CAB AIR FILTER</v>
      </c>
      <c r="E66" s="69">
        <f>VLOOKUP($B66,'[1]Products by Part Number'!$A:$L,12,0)</f>
        <v>1</v>
      </c>
      <c r="F66" s="70">
        <f>VLOOKUP($B66,'[1]Products by Part Number'!$A:$L,4,0)</f>
        <v>103.0722</v>
      </c>
      <c r="G66" s="71"/>
      <c r="H66" s="71">
        <f>VLOOKUP($B66,'[1]Products by Part Number'!$A:$L,6,0)</f>
        <v>67</v>
      </c>
      <c r="I66" s="79">
        <f t="shared" si="1"/>
        <v>67</v>
      </c>
    </row>
    <row r="67" spans="2:9" x14ac:dyDescent="0.25">
      <c r="B67" s="78" t="s">
        <v>94</v>
      </c>
      <c r="C67" s="68" t="str">
        <f>VLOOKUP($B67,'[1]Products by Part Number'!$A:$L,2,0)</f>
        <v xml:space="preserve">CAT 255 CAT 255 (2) CAT 255 (FL7)                                          </v>
      </c>
      <c r="D67" s="68" t="str">
        <f>VLOOKUP($B67,'[1]Products by Part Number'!$A:$L,3,0)</f>
        <v>PRIMARY AIR FILTER</v>
      </c>
      <c r="E67" s="69">
        <f>VLOOKUP($B67,'[1]Products by Part Number'!$A:$L,12,0)</f>
        <v>18</v>
      </c>
      <c r="F67" s="70">
        <f>VLOOKUP($B67,'[1]Products by Part Number'!$A:$L,4,0)</f>
        <v>95.35</v>
      </c>
      <c r="G67" s="71"/>
      <c r="H67" s="71">
        <f>VLOOKUP($B67,'[1]Products by Part Number'!$A:$L,6,0)</f>
        <v>61.98</v>
      </c>
      <c r="I67" s="79">
        <f t="shared" si="1"/>
        <v>1115.6400000000001</v>
      </c>
    </row>
    <row r="68" spans="2:9" x14ac:dyDescent="0.25">
      <c r="B68" s="78" t="s">
        <v>95</v>
      </c>
      <c r="C68" s="68" t="str">
        <f>VLOOKUP($B68,'[1]Products by Part Number'!$A:$L,2,0)</f>
        <v xml:space="preserve">CAT 255 CAT 255 (2) CAT 255 (FL7)                                          </v>
      </c>
      <c r="D68" s="68" t="str">
        <f>VLOOKUP($B68,'[1]Products by Part Number'!$A:$L,3,0)</f>
        <v>SECONDARY AIR FILTER</v>
      </c>
      <c r="E68" s="69">
        <f>VLOOKUP($B68,'[1]Products by Part Number'!$A:$L,12,0)</f>
        <v>18</v>
      </c>
      <c r="F68" s="70">
        <f>VLOOKUP($B68,'[1]Products by Part Number'!$A:$L,4,0)</f>
        <v>71.010000000000005</v>
      </c>
      <c r="G68" s="71"/>
      <c r="H68" s="71">
        <f>VLOOKUP($B68,'[1]Products by Part Number'!$A:$L,6,0)</f>
        <v>46.16</v>
      </c>
      <c r="I68" s="79">
        <f t="shared" si="1"/>
        <v>830.88</v>
      </c>
    </row>
    <row r="69" spans="2:9" x14ac:dyDescent="0.25">
      <c r="B69" s="78" t="s">
        <v>96</v>
      </c>
      <c r="C69" s="68" t="str">
        <f>VLOOKUP($B69,'[1]Products by Part Number'!$A:$L,2,0)</f>
        <v xml:space="preserve">CAT 14 (EN4)                                              </v>
      </c>
      <c r="D69" s="68" t="str">
        <f>VLOOKUP($B69,'[1]Products by Part Number'!$A:$L,3,0)</f>
        <v>PRIMARY AIR FILTER</v>
      </c>
      <c r="E69" s="69">
        <f>VLOOKUP($B69,'[1]Products by Part Number'!$A:$L,12,0)</f>
        <v>3</v>
      </c>
      <c r="F69" s="70">
        <f>VLOOKUP($B69,'[1]Products by Part Number'!$A:$L,4,0)</f>
        <v>250.86</v>
      </c>
      <c r="G69" s="71"/>
      <c r="H69" s="71">
        <f>VLOOKUP($B69,'[1]Products by Part Number'!$A:$L,6,0)</f>
        <v>163.06</v>
      </c>
      <c r="I69" s="79">
        <f t="shared" si="1"/>
        <v>489.18</v>
      </c>
    </row>
    <row r="70" spans="2:9" x14ac:dyDescent="0.25">
      <c r="B70" s="78" t="s">
        <v>97</v>
      </c>
      <c r="C70" s="68" t="str">
        <f>VLOOKUP($B70,'[1]Products by Part Number'!$A:$L,2,0)</f>
        <v xml:space="preserve">CAT 255 CAT 255 (2) CAT 255 (FL7)                                          </v>
      </c>
      <c r="D70" s="68" t="str">
        <f>VLOOKUP($B70,'[1]Products by Part Number'!$A:$L,3,0)</f>
        <v>CAB AIR FILTER</v>
      </c>
      <c r="E70" s="69">
        <f>VLOOKUP($B70,'[1]Products by Part Number'!$A:$L,12,0)</f>
        <v>18</v>
      </c>
      <c r="F70" s="70">
        <f>VLOOKUP($B70,'[1]Products by Part Number'!$A:$L,4,0)</f>
        <v>79.63</v>
      </c>
      <c r="G70" s="71"/>
      <c r="H70" s="71">
        <f>VLOOKUP($B70,'[1]Products by Part Number'!$A:$L,6,0)</f>
        <v>51.76</v>
      </c>
      <c r="I70" s="79">
        <f t="shared" si="1"/>
        <v>931.68</v>
      </c>
    </row>
    <row r="71" spans="2:9" x14ac:dyDescent="0.25">
      <c r="B71" s="78" t="s">
        <v>98</v>
      </c>
      <c r="C71" s="68" t="str">
        <f>VLOOKUP($B71,'[1]Products by Part Number'!$A:$L,2,0)</f>
        <v xml:space="preserve">CAT 255 CAT 255 (2) CAT 255 (FL7)                                          </v>
      </c>
      <c r="D71" s="68" t="str">
        <f>VLOOKUP($B71,'[1]Products by Part Number'!$A:$L,3,0)</f>
        <v>CAB AIR FILTER</v>
      </c>
      <c r="E71" s="69">
        <f>VLOOKUP($B71,'[1]Products by Part Number'!$A:$L,12,0)</f>
        <v>18</v>
      </c>
      <c r="F71" s="70">
        <f>VLOOKUP($B71,'[1]Products by Part Number'!$A:$L,4,0)</f>
        <v>87.75</v>
      </c>
      <c r="G71" s="71"/>
      <c r="H71" s="71">
        <f>VLOOKUP($B71,'[1]Products by Part Number'!$A:$L,6,0)</f>
        <v>57.04</v>
      </c>
      <c r="I71" s="79">
        <f t="shared" si="1"/>
        <v>1026.72</v>
      </c>
    </row>
    <row r="72" spans="2:9" x14ac:dyDescent="0.25">
      <c r="B72" s="78" t="s">
        <v>99</v>
      </c>
      <c r="C72" s="68" t="str">
        <f>VLOOKUP($B72,'[1]Products by Part Number'!$A:$L,2,0)</f>
        <v xml:space="preserve">KOM PC138USLC-11 KOM PC238USLC-11 (1)                                            </v>
      </c>
      <c r="D72" s="68" t="str">
        <f>VLOOKUP($B72,'[1]Products by Part Number'!$A:$L,3,0)</f>
        <v>PRIMARY AIR FILTER</v>
      </c>
      <c r="E72" s="69">
        <f>VLOOKUP($B72,'[1]Products by Part Number'!$A:$L,12,0)</f>
        <v>12</v>
      </c>
      <c r="F72" s="70">
        <f>VLOOKUP($B72,'[1]Products by Part Number'!$A:$L,4,0)</f>
        <v>70.44</v>
      </c>
      <c r="G72" s="71"/>
      <c r="H72" s="71">
        <f>VLOOKUP($B72,'[1]Products by Part Number'!$A:$L,6,0)</f>
        <v>45.79</v>
      </c>
      <c r="I72" s="79">
        <f t="shared" si="1"/>
        <v>549.48</v>
      </c>
    </row>
    <row r="73" spans="2:9" x14ac:dyDescent="0.25">
      <c r="B73" s="78" t="s">
        <v>100</v>
      </c>
      <c r="C73" s="68" t="str">
        <f>VLOOKUP($B73,'[1]Products by Part Number'!$A:$L,2,0)</f>
        <v xml:space="preserve">KOM PC138USLC-11 KOM PC238USLC-11 (1)                                            </v>
      </c>
      <c r="D73" s="68" t="str">
        <f>VLOOKUP($B73,'[1]Products by Part Number'!$A:$L,3,0)</f>
        <v>SECONDARY AIR FILTER</v>
      </c>
      <c r="E73" s="69">
        <f>VLOOKUP($B73,'[1]Products by Part Number'!$A:$L,12,0)</f>
        <v>6</v>
      </c>
      <c r="F73" s="70">
        <f>VLOOKUP($B73,'[1]Products by Part Number'!$A:$L,4,0)</f>
        <v>51.65</v>
      </c>
      <c r="G73" s="71"/>
      <c r="H73" s="71">
        <f>VLOOKUP($B73,'[1]Products by Part Number'!$A:$L,6,0)</f>
        <v>33.57</v>
      </c>
      <c r="I73" s="79">
        <f t="shared" si="1"/>
        <v>201.42</v>
      </c>
    </row>
    <row r="74" spans="2:9" x14ac:dyDescent="0.25">
      <c r="B74" s="78" t="s">
        <v>101</v>
      </c>
      <c r="C74" s="68" t="str">
        <f>VLOOKUP($B74,'[1]Products by Part Number'!$A:$L,2,0)</f>
        <v xml:space="preserve">KOM PC238USLC-11 (2)                                              </v>
      </c>
      <c r="D74" s="68" t="str">
        <f>VLOOKUP($B74,'[1]Products by Part Number'!$A:$L,3,0)</f>
        <v>PRIMARY AIR FILTER</v>
      </c>
      <c r="E74" s="69">
        <f>VLOOKUP($B74,'[1]Products by Part Number'!$A:$L,12,0)</f>
        <v>6</v>
      </c>
      <c r="F74" s="70">
        <f>VLOOKUP($B74,'[1]Products by Part Number'!$A:$L,4,0)</f>
        <v>94.52</v>
      </c>
      <c r="G74" s="71"/>
      <c r="H74" s="71">
        <f>VLOOKUP($B74,'[1]Products by Part Number'!$A:$L,6,0)</f>
        <v>61.44</v>
      </c>
      <c r="I74" s="79">
        <f t="shared" si="1"/>
        <v>368.64</v>
      </c>
    </row>
    <row r="75" spans="2:9" x14ac:dyDescent="0.25">
      <c r="B75" s="78" t="s">
        <v>102</v>
      </c>
      <c r="C75" s="68" t="str">
        <f>VLOOKUP($B75,'[1]Products by Part Number'!$A:$L,2,0)</f>
        <v xml:space="preserve">KOM PC238USLC-11 (2)                                              </v>
      </c>
      <c r="D75" s="68" t="str">
        <f>VLOOKUP($B75,'[1]Products by Part Number'!$A:$L,3,0)</f>
        <v>SECONDARY AIR FILTER</v>
      </c>
      <c r="E75" s="69">
        <f>VLOOKUP($B75,'[1]Products by Part Number'!$A:$L,12,0)</f>
        <v>3</v>
      </c>
      <c r="F75" s="70">
        <f>VLOOKUP($B75,'[1]Products by Part Number'!$A:$L,4,0)</f>
        <v>60.42</v>
      </c>
      <c r="G75" s="71"/>
      <c r="H75" s="71">
        <f>VLOOKUP($B75,'[1]Products by Part Number'!$A:$L,6,0)</f>
        <v>39.270000000000003</v>
      </c>
      <c r="I75" s="79">
        <f t="shared" si="1"/>
        <v>117.81</v>
      </c>
    </row>
    <row r="76" spans="2:9" x14ac:dyDescent="0.25">
      <c r="B76" s="78" t="s">
        <v>103</v>
      </c>
      <c r="C76" s="68" t="str">
        <f>VLOOKUP($B76,'[1]Products by Part Number'!$A:$L,2,0)</f>
        <v xml:space="preserve">KOM WA380-8 (1) KOM WA380-8 (2) KOM WA320-8 (867) KOM WA320PZ-6 (729) KOM PC290LC-11 (K73) KOM D61PX-24 (B60)                                    </v>
      </c>
      <c r="D76" s="68" t="str">
        <f>VLOOKUP($B76,'[1]Products by Part Number'!$A:$L,3,0)</f>
        <v>PRIMARY AIR FILTER</v>
      </c>
      <c r="E76" s="69">
        <f>VLOOKUP($B76,'[1]Products by Part Number'!$A:$L,12,0)</f>
        <v>36</v>
      </c>
      <c r="F76" s="70">
        <f>VLOOKUP($B76,'[1]Products by Part Number'!$A:$L,4,0)</f>
        <v>64.540000000000006</v>
      </c>
      <c r="G76" s="71"/>
      <c r="H76" s="71">
        <f>VLOOKUP($B76,'[1]Products by Part Number'!$A:$L,6,0)</f>
        <v>41.95</v>
      </c>
      <c r="I76" s="79">
        <f t="shared" si="1"/>
        <v>1510.2</v>
      </c>
    </row>
    <row r="77" spans="2:9" x14ac:dyDescent="0.25">
      <c r="B77" s="78" t="s">
        <v>104</v>
      </c>
      <c r="C77" s="68" t="str">
        <f>VLOOKUP($B77,'[1]Products by Part Number'!$A:$L,2,0)</f>
        <v xml:space="preserve">KOM WA380-8 (1) KOM WA380-8 (2) KOM WA320-8 (867) KOM WA320PZ-6 (729) KOM PC290LC-11 (K73) KOM D61PX-24 (B60)                                    </v>
      </c>
      <c r="D77" s="68" t="str">
        <f>VLOOKUP($B77,'[1]Products by Part Number'!$A:$L,3,0)</f>
        <v>SECONDARY AIR FILTER</v>
      </c>
      <c r="E77" s="69">
        <f>VLOOKUP($B77,'[1]Products by Part Number'!$A:$L,12,0)</f>
        <v>18</v>
      </c>
      <c r="F77" s="70">
        <f>VLOOKUP($B77,'[1]Products by Part Number'!$A:$L,4,0)</f>
        <v>59.85</v>
      </c>
      <c r="G77" s="71"/>
      <c r="H77" s="71">
        <f>VLOOKUP($B77,'[1]Products by Part Number'!$A:$L,6,0)</f>
        <v>38.9</v>
      </c>
      <c r="I77" s="79">
        <f t="shared" si="1"/>
        <v>700.2</v>
      </c>
    </row>
    <row r="78" spans="2:9" x14ac:dyDescent="0.25">
      <c r="B78" s="78" t="s">
        <v>105</v>
      </c>
      <c r="C78" s="68" t="str">
        <f>VLOOKUP($B78,'[1]Products by Part Number'!$A:$L,2,0)</f>
        <v xml:space="preserve">KOM D71PX-24 (1) KOM D71PX-24 (2) KOM D71PX-24 (3) KOM D71PX-24 (4) KOM D71PX-24 (5) KOM D71PX-24 (6) KOM D71PX-24 (7)                                  </v>
      </c>
      <c r="D78" s="68" t="str">
        <f>VLOOKUP($B78,'[1]Products by Part Number'!$A:$L,3,0)</f>
        <v>AIR FILTER KIT</v>
      </c>
      <c r="E78" s="69">
        <f>VLOOKUP($B78,'[1]Products by Part Number'!$A:$L,12,0)</f>
        <v>21</v>
      </c>
      <c r="F78" s="70">
        <f>VLOOKUP($B78,'[1]Products by Part Number'!$A:$L,4,0)</f>
        <v>148.99859999999998</v>
      </c>
      <c r="G78" s="71"/>
      <c r="H78" s="71">
        <f>VLOOKUP($B78,'[1]Products by Part Number'!$A:$L,6,0)</f>
        <v>96.85</v>
      </c>
      <c r="I78" s="79">
        <f t="shared" si="1"/>
        <v>2033.85</v>
      </c>
    </row>
    <row r="79" spans="2:9" x14ac:dyDescent="0.25">
      <c r="B79" s="78" t="s">
        <v>106</v>
      </c>
      <c r="C79" s="68" t="str">
        <f>VLOOKUP($B79,'[1]Products by Part Number'!$A:$L,2,0)</f>
        <v xml:space="preserve">KOM PC360LC-11 (A37) KOM PC360LC-11 (A39) KOM PC360LC-11 (A39) (2) KOM WA475-10 (120)                                        </v>
      </c>
      <c r="D79" s="68" t="str">
        <f>VLOOKUP($B79,'[1]Products by Part Number'!$A:$L,3,0)</f>
        <v>PRIMARY AIR FILTER</v>
      </c>
      <c r="E79" s="69">
        <f>VLOOKUP($B79,'[1]Products by Part Number'!$A:$L,12,0)</f>
        <v>24</v>
      </c>
      <c r="F79" s="70">
        <f>VLOOKUP($B79,'[1]Products by Part Number'!$A:$L,4,0)</f>
        <v>95.67</v>
      </c>
      <c r="G79" s="71"/>
      <c r="H79" s="71">
        <f>VLOOKUP($B79,'[1]Products by Part Number'!$A:$L,6,0)</f>
        <v>62.19</v>
      </c>
      <c r="I79" s="79">
        <f t="shared" si="1"/>
        <v>1492.56</v>
      </c>
    </row>
    <row r="80" spans="2:9" x14ac:dyDescent="0.25">
      <c r="B80" s="78" t="s">
        <v>107</v>
      </c>
      <c r="C80" s="68" t="str">
        <f>VLOOKUP($B80,'[1]Products by Part Number'!$A:$L,2,0)</f>
        <v xml:space="preserve">KOM PC360LC-11 (A37) KOM PC360LC-11 (A39) KOM PC360LC-11 (A39) (2) KOM WA475-10 (120)                                        </v>
      </c>
      <c r="D80" s="68" t="str">
        <f>VLOOKUP($B80,'[1]Products by Part Number'!$A:$L,3,0)</f>
        <v>SECONDARY AIR FILTER</v>
      </c>
      <c r="E80" s="69">
        <f>VLOOKUP($B80,'[1]Products by Part Number'!$A:$L,12,0)</f>
        <v>12</v>
      </c>
      <c r="F80" s="70">
        <f>VLOOKUP($B80,'[1]Products by Part Number'!$A:$L,4,0)</f>
        <v>81.97</v>
      </c>
      <c r="G80" s="71"/>
      <c r="H80" s="71">
        <f>VLOOKUP($B80,'[1]Products by Part Number'!$A:$L,6,0)</f>
        <v>53.28</v>
      </c>
      <c r="I80" s="79">
        <f t="shared" si="1"/>
        <v>639.36</v>
      </c>
    </row>
    <row r="81" spans="2:9" x14ac:dyDescent="0.25">
      <c r="B81" s="78" t="s">
        <v>108</v>
      </c>
      <c r="C81" s="68" t="str">
        <f>VLOOKUP($B81,'[1]Products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KOM PC490LC-11 (A42) KOM PC490LC-11 (A42) (2) KOM PC490LC-11 (A42) (3) KOM PC490LC-11 (A42) (4) KOM PC490LC-11 (A42) (5) KOM PC490LC-11 (A43) KOM PC490LC-11 (KMT) (1) KOM PC490LC-11 (KMT) (2) KOM PC490LC-11 (KMT) (3)  </v>
      </c>
      <c r="D81" s="68" t="str">
        <f>VLOOKUP($B81,'[1]Products by Part Number'!$A:$L,3,0)</f>
        <v>PRIMARY AIR FILTER</v>
      </c>
      <c r="E81" s="69">
        <f>VLOOKUP($B81,'[1]Products by Part Number'!$A:$L,12,0)</f>
        <v>96</v>
      </c>
      <c r="F81" s="70">
        <f>VLOOKUP($B81,'[1]Products by Part Number'!$A:$L,4,0)</f>
        <v>128.5</v>
      </c>
      <c r="G81" s="71"/>
      <c r="H81" s="71">
        <f>VLOOKUP($B81,'[1]Products by Part Number'!$A:$L,6,0)</f>
        <v>83.53</v>
      </c>
      <c r="I81" s="79">
        <f t="shared" si="1"/>
        <v>8018.88</v>
      </c>
    </row>
    <row r="82" spans="2:9" x14ac:dyDescent="0.25">
      <c r="B82" s="78" t="s">
        <v>109</v>
      </c>
      <c r="C82" s="68" t="str">
        <f>VLOOKUP($B82,'[1]Products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</c>
      <c r="D82" s="68" t="str">
        <f>VLOOKUP($B82,'[1]Products by Part Number'!$A:$L,3,0)</f>
        <v>SECONDARY AIR FILTER</v>
      </c>
      <c r="E82" s="69">
        <f>VLOOKUP($B82,'[1]Products by Part Number'!$A:$L,12,0)</f>
        <v>27</v>
      </c>
      <c r="F82" s="70">
        <f>VLOOKUP($B82,'[1]Products by Part Number'!$A:$L,4,0)</f>
        <v>90.19</v>
      </c>
      <c r="G82" s="71"/>
      <c r="H82" s="71">
        <f>VLOOKUP($B82,'[1]Products by Part Number'!$A:$L,6,0)</f>
        <v>58.62</v>
      </c>
      <c r="I82" s="79">
        <f t="shared" ref="I82:I145" si="2">ROUND(E82*H82,2)</f>
        <v>1582.74</v>
      </c>
    </row>
    <row r="83" spans="2:9" x14ac:dyDescent="0.25">
      <c r="B83" s="78" t="s">
        <v>110</v>
      </c>
      <c r="C83" s="68" t="str">
        <f>VLOOKUP($B83,'[1]Products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83" s="68" t="str">
        <f>VLOOKUP($B83,'[1]Products by Part Number'!$A:$L,3,0)</f>
        <v>SECONDARY AIR FILTER</v>
      </c>
      <c r="E83" s="69">
        <f>VLOOKUP($B83,'[1]Products by Part Number'!$A:$L,12,0)</f>
        <v>42</v>
      </c>
      <c r="F83" s="70">
        <f>VLOOKUP($B83,'[1]Products by Part Number'!$A:$L,4,0)</f>
        <v>90.19</v>
      </c>
      <c r="G83" s="71"/>
      <c r="H83" s="71">
        <f>VLOOKUP($B83,'[1]Products by Part Number'!$A:$L,6,0)</f>
        <v>58.62</v>
      </c>
      <c r="I83" s="79">
        <f t="shared" si="2"/>
        <v>2462.04</v>
      </c>
    </row>
    <row r="84" spans="2:9" x14ac:dyDescent="0.25">
      <c r="B84" s="78" t="s">
        <v>111</v>
      </c>
      <c r="C84" s="68" t="str">
        <f>VLOOKUP($B84,'[1]Products by Part Number'!$A:$L,2,0)</f>
        <v xml:space="preserve">CAT 329EL (ZCD)                                              </v>
      </c>
      <c r="D84" s="68" t="str">
        <f>VLOOKUP($B84,'[1]Products by Part Number'!$A:$L,3,0)</f>
        <v>PRIMARY AIR FILTER</v>
      </c>
      <c r="E84" s="69">
        <f>VLOOKUP($B84,'[1]Products by Part Number'!$A:$L,12,0)</f>
        <v>3</v>
      </c>
      <c r="F84" s="70">
        <f>VLOOKUP($B84,'[1]Products by Part Number'!$A:$L,4,0)</f>
        <v>160.11000000000001</v>
      </c>
      <c r="G84" s="71"/>
      <c r="H84" s="71">
        <f>VLOOKUP($B84,'[1]Products by Part Number'!$A:$L,6,0)</f>
        <v>104.07</v>
      </c>
      <c r="I84" s="79">
        <f t="shared" si="2"/>
        <v>312.20999999999998</v>
      </c>
    </row>
    <row r="85" spans="2:9" x14ac:dyDescent="0.25">
      <c r="B85" s="78" t="s">
        <v>112</v>
      </c>
      <c r="C85" s="68" t="str">
        <f>VLOOKUP($B85,'[1]Products by Part Number'!$A:$L,2,0)</f>
        <v xml:space="preserve">CAT 329EL (ZCD)                                              </v>
      </c>
      <c r="D85" s="68" t="str">
        <f>VLOOKUP($B85,'[1]Products by Part Number'!$A:$L,3,0)</f>
        <v>SECONDARY AIR FILTER</v>
      </c>
      <c r="E85" s="69">
        <f>VLOOKUP($B85,'[1]Products by Part Number'!$A:$L,12,0)</f>
        <v>3</v>
      </c>
      <c r="F85" s="70">
        <f>VLOOKUP($B85,'[1]Products by Part Number'!$A:$L,4,0)</f>
        <v>113.26</v>
      </c>
      <c r="G85" s="71"/>
      <c r="H85" s="71">
        <f>VLOOKUP($B85,'[1]Products by Part Number'!$A:$L,6,0)</f>
        <v>73.62</v>
      </c>
      <c r="I85" s="79">
        <f t="shared" si="2"/>
        <v>220.86</v>
      </c>
    </row>
    <row r="86" spans="2:9" x14ac:dyDescent="0.25">
      <c r="B86" s="78" t="s">
        <v>113</v>
      </c>
      <c r="C86" s="68" t="str">
        <f>VLOOKUP($B86,'[1]Products by Part Number'!$A:$L,2,0)</f>
        <v xml:space="preserve">JD 333G (1T0)                                              </v>
      </c>
      <c r="D86" s="68" t="str">
        <f>VLOOKUP($B86,'[1]Products by Part Number'!$A:$L,3,0)</f>
        <v>SECONDARY AIR FILTER</v>
      </c>
      <c r="E86" s="69">
        <f>VLOOKUP($B86,'[1]Products by Part Number'!$A:$L,12,0)</f>
        <v>3</v>
      </c>
      <c r="F86" s="70">
        <f>VLOOKUP($B86,'[1]Products by Part Number'!$A:$L,4,0)</f>
        <v>45.7746</v>
      </c>
      <c r="G86" s="71"/>
      <c r="H86" s="71">
        <f>VLOOKUP($B86,'[1]Products by Part Number'!$A:$L,6,0)</f>
        <v>29.75</v>
      </c>
      <c r="I86" s="79">
        <f t="shared" si="2"/>
        <v>89.25</v>
      </c>
    </row>
    <row r="87" spans="2:9" x14ac:dyDescent="0.25">
      <c r="B87" s="78" t="s">
        <v>114</v>
      </c>
      <c r="C87" s="68" t="str">
        <f>VLOOKUP($B87,'[1]Products by Part Number'!$A:$L,2,0)</f>
        <v xml:space="preserve">JD 624K (DW6) JD 764 (100)                                            </v>
      </c>
      <c r="D87" s="68" t="str">
        <f>VLOOKUP($B87,'[1]Products by Part Number'!$A:$L,3,0)</f>
        <v>CAB AIR FILTER</v>
      </c>
      <c r="E87" s="69">
        <f>VLOOKUP($B87,'[1]Products by Part Number'!$A:$L,12,0)</f>
        <v>7</v>
      </c>
      <c r="F87" s="70">
        <f>VLOOKUP($B87,'[1]Products by Part Number'!$A:$L,4,0)</f>
        <v>28.138200000000001</v>
      </c>
      <c r="G87" s="71"/>
      <c r="H87" s="71">
        <f>VLOOKUP($B87,'[1]Products by Part Number'!$A:$L,6,0)</f>
        <v>18.29</v>
      </c>
      <c r="I87" s="79">
        <f t="shared" si="2"/>
        <v>128.03</v>
      </c>
    </row>
    <row r="88" spans="2:9" x14ac:dyDescent="0.25">
      <c r="B88" s="78" t="s">
        <v>115</v>
      </c>
      <c r="C88" s="68" t="str">
        <f>VLOOKUP($B88,'[1]Products by Part Number'!$A:$L,2,0)</f>
        <v xml:space="preserve">JD 624K (DW6) JD 764 (100)                                            </v>
      </c>
      <c r="D88" s="68" t="str">
        <f>VLOOKUP($B88,'[1]Products by Part Number'!$A:$L,3,0)</f>
        <v>PRIMARY AIR FILTER</v>
      </c>
      <c r="E88" s="69">
        <f>VLOOKUP($B88,'[1]Products by Part Number'!$A:$L,12,0)</f>
        <v>6</v>
      </c>
      <c r="F88" s="70">
        <f>VLOOKUP($B88,'[1]Products by Part Number'!$A:$L,4,0)</f>
        <v>111.3108</v>
      </c>
      <c r="G88" s="71"/>
      <c r="H88" s="71">
        <f>VLOOKUP($B88,'[1]Products by Part Number'!$A:$L,6,0)</f>
        <v>72.349999999999994</v>
      </c>
      <c r="I88" s="79">
        <f t="shared" si="2"/>
        <v>434.1</v>
      </c>
    </row>
    <row r="89" spans="2:9" x14ac:dyDescent="0.25">
      <c r="B89" s="78" t="s">
        <v>116</v>
      </c>
      <c r="C89" s="68" t="str">
        <f>VLOOKUP($B89,'[1]Products by Part Number'!$A:$L,2,0)</f>
        <v xml:space="preserve">JD 624K (DW6) JD 764 (100)                                            </v>
      </c>
      <c r="D89" s="68" t="str">
        <f>VLOOKUP($B89,'[1]Products by Part Number'!$A:$L,3,0)</f>
        <v>CAB AIR FILTER</v>
      </c>
      <c r="E89" s="69">
        <f>VLOOKUP($B89,'[1]Products by Part Number'!$A:$L,12,0)</f>
        <v>7</v>
      </c>
      <c r="F89" s="70">
        <f>VLOOKUP($B89,'[1]Products by Part Number'!$A:$L,4,0)</f>
        <v>22.300799999999999</v>
      </c>
      <c r="G89" s="71"/>
      <c r="H89" s="71">
        <f>VLOOKUP($B89,'[1]Products by Part Number'!$A:$L,6,0)</f>
        <v>14.5</v>
      </c>
      <c r="I89" s="79">
        <f t="shared" si="2"/>
        <v>101.5</v>
      </c>
    </row>
    <row r="90" spans="2:9" x14ac:dyDescent="0.25">
      <c r="B90" s="78" t="s">
        <v>117</v>
      </c>
      <c r="C90" s="68" t="str">
        <f>VLOOKUP($B90,'[1]Products by Part Number'!$A:$L,2,0)</f>
        <v xml:space="preserve">JD 470P (1FF)                                              </v>
      </c>
      <c r="D90" s="68" t="str">
        <f>VLOOKUP($B90,'[1]Products by Part Number'!$A:$L,3,0)</f>
        <v>PRIMARY AIR FILTER</v>
      </c>
      <c r="E90" s="69">
        <f>VLOOKUP($B90,'[1]Products by Part Number'!$A:$L,12,0)</f>
        <v>3</v>
      </c>
      <c r="F90" s="70">
        <f>VLOOKUP($B90,'[1]Products by Part Number'!$A:$L,4,0)</f>
        <v>221.559</v>
      </c>
      <c r="G90" s="71"/>
      <c r="H90" s="71">
        <f>VLOOKUP($B90,'[1]Products by Part Number'!$A:$L,6,0)</f>
        <v>144.01</v>
      </c>
      <c r="I90" s="79">
        <f t="shared" si="2"/>
        <v>432.03</v>
      </c>
    </row>
    <row r="91" spans="2:9" x14ac:dyDescent="0.25">
      <c r="B91" s="78" t="s">
        <v>118</v>
      </c>
      <c r="C91" s="68" t="str">
        <f>VLOOKUP($B91,'[1]Products by Part Number'!$A:$L,2,0)</f>
        <v xml:space="preserve">JD 624K (DW6) JD 764 (100)                                            </v>
      </c>
      <c r="D91" s="68" t="str">
        <f>VLOOKUP($B91,'[1]Products by Part Number'!$A:$L,3,0)</f>
        <v>SECONDARY AIR FILTER</v>
      </c>
      <c r="E91" s="69">
        <f>VLOOKUP($B91,'[1]Products by Part Number'!$A:$L,12,0)</f>
        <v>6</v>
      </c>
      <c r="F91" s="70">
        <f>VLOOKUP($B91,'[1]Products by Part Number'!$A:$L,4,0)</f>
        <v>69.772800000000004</v>
      </c>
      <c r="G91" s="71"/>
      <c r="H91" s="71">
        <f>VLOOKUP($B91,'[1]Products by Part Number'!$A:$L,6,0)</f>
        <v>45.35</v>
      </c>
      <c r="I91" s="79">
        <f t="shared" si="2"/>
        <v>272.10000000000002</v>
      </c>
    </row>
    <row r="92" spans="2:9" x14ac:dyDescent="0.25">
      <c r="B92" s="78" t="s">
        <v>119</v>
      </c>
      <c r="C92" s="68" t="str">
        <f>VLOOKUP($B92,'[1]Products by Part Number'!$A:$L,2,0)</f>
        <v xml:space="preserve">JD 333G (1T0)                                              </v>
      </c>
      <c r="D92" s="68" t="str">
        <f>VLOOKUP($B92,'[1]Products by Part Number'!$A:$L,3,0)</f>
        <v>CAB AIR FILTER</v>
      </c>
      <c r="E92" s="69">
        <f>VLOOKUP($B92,'[1]Products by Part Number'!$A:$L,12,0)</f>
        <v>6</v>
      </c>
      <c r="F92" s="70">
        <f>VLOOKUP($B92,'[1]Products by Part Number'!$A:$L,4,0)</f>
        <v>30.484200000000001</v>
      </c>
      <c r="G92" s="71"/>
      <c r="H92" s="71">
        <f>VLOOKUP($B92,'[1]Products by Part Number'!$A:$L,6,0)</f>
        <v>19.809999999999999</v>
      </c>
      <c r="I92" s="79">
        <f t="shared" si="2"/>
        <v>118.86</v>
      </c>
    </row>
    <row r="93" spans="2:9" x14ac:dyDescent="0.25">
      <c r="B93" s="78" t="s">
        <v>120</v>
      </c>
      <c r="C93" s="68" t="str">
        <f>VLOOKUP($B93,'[1]Products by Part Number'!$A:$L,2,0)</f>
        <v xml:space="preserve">JD 333G (1T0)                                              </v>
      </c>
      <c r="D93" s="68" t="str">
        <f>VLOOKUP($B93,'[1]Products by Part Number'!$A:$L,3,0)</f>
        <v>CAB AIR FILTER</v>
      </c>
      <c r="E93" s="69">
        <f>VLOOKUP($B93,'[1]Products by Part Number'!$A:$L,12,0)</f>
        <v>6</v>
      </c>
      <c r="F93" s="70">
        <f>VLOOKUP($B93,'[1]Products by Part Number'!$A:$L,4,0)</f>
        <v>31.560599999999997</v>
      </c>
      <c r="G93" s="71"/>
      <c r="H93" s="71">
        <f>VLOOKUP($B93,'[1]Products by Part Number'!$A:$L,6,0)</f>
        <v>20.51</v>
      </c>
      <c r="I93" s="79">
        <f t="shared" si="2"/>
        <v>123.06</v>
      </c>
    </row>
    <row r="94" spans="2:9" x14ac:dyDescent="0.25">
      <c r="B94" s="78" t="s">
        <v>121</v>
      </c>
      <c r="C94" s="68" t="str">
        <f>VLOOKUP($B94,'[1]Products by Part Number'!$A:$L,2,0)</f>
        <v xml:space="preserve">JD 470P (1FF)                                              </v>
      </c>
      <c r="D94" s="68" t="str">
        <f>VLOOKUP($B94,'[1]Products by Part Number'!$A:$L,3,0)</f>
        <v>CAB AIR FILTER</v>
      </c>
      <c r="E94" s="69">
        <f>VLOOKUP($B94,'[1]Products by Part Number'!$A:$L,12,0)</f>
        <v>1</v>
      </c>
      <c r="F94" s="70">
        <f>VLOOKUP($B94,'[1]Products by Part Number'!$A:$L,4,0)</f>
        <v>69.344999999999999</v>
      </c>
      <c r="G94" s="71"/>
      <c r="H94" s="71">
        <f>VLOOKUP($B94,'[1]Products by Part Number'!$A:$L,6,0)</f>
        <v>45.07</v>
      </c>
      <c r="I94" s="79">
        <f t="shared" si="2"/>
        <v>45.07</v>
      </c>
    </row>
    <row r="95" spans="2:9" x14ac:dyDescent="0.25">
      <c r="B95" s="78" t="s">
        <v>122</v>
      </c>
      <c r="C95" s="68" t="str">
        <f>VLOOKUP($B95,'[1]Products by Part Number'!$A:$L,2,0)</f>
        <v xml:space="preserve">JD 333G (1T0)                                              </v>
      </c>
      <c r="D95" s="68" t="str">
        <f>VLOOKUP($B95,'[1]Products by Part Number'!$A:$L,3,0)</f>
        <v>PRIMARY AIR FILTER</v>
      </c>
      <c r="E95" s="69">
        <f>VLOOKUP($B95,'[1]Products by Part Number'!$A:$L,12,0)</f>
        <v>3</v>
      </c>
      <c r="F95" s="70">
        <f>VLOOKUP($B95,'[1]Products by Part Number'!$A:$L,4,0)</f>
        <v>82.703399999999988</v>
      </c>
      <c r="G95" s="71"/>
      <c r="H95" s="71">
        <f>VLOOKUP($B95,'[1]Products by Part Number'!$A:$L,6,0)</f>
        <v>53.76</v>
      </c>
      <c r="I95" s="79">
        <f t="shared" si="2"/>
        <v>161.28</v>
      </c>
    </row>
    <row r="96" spans="2:9" x14ac:dyDescent="0.25">
      <c r="B96" s="78" t="s">
        <v>123</v>
      </c>
      <c r="C96" s="68" t="str">
        <f>VLOOKUP($B96,'[1]Products by Part Number'!$A:$L,2,0)</f>
        <v xml:space="preserve">KOM PC138USLC-11 KOM PC238USLC-11 (1)                                            </v>
      </c>
      <c r="D96" s="68" t="str">
        <f>VLOOKUP($B96,'[1]Products by Part Number'!$A:$L,3,0)</f>
        <v>CAB AIR FILTER</v>
      </c>
      <c r="E96" s="69">
        <f>VLOOKUP($B96,'[1]Products by Part Number'!$A:$L,12,0)</f>
        <v>6</v>
      </c>
      <c r="F96" s="70">
        <f>VLOOKUP($B96,'[1]Products by Part Number'!$A:$L,4,0)</f>
        <v>107.11</v>
      </c>
      <c r="G96" s="71"/>
      <c r="H96" s="71">
        <f>VLOOKUP($B96,'[1]Products by Part Number'!$A:$L,6,0)</f>
        <v>69.62</v>
      </c>
      <c r="I96" s="79">
        <f t="shared" si="2"/>
        <v>417.72</v>
      </c>
    </row>
    <row r="97" spans="2:9" x14ac:dyDescent="0.25">
      <c r="B97" s="78" t="s">
        <v>124</v>
      </c>
      <c r="C97" s="68" t="str">
        <f>VLOOKUP($B97,'[1]Products by Part Number'!$A:$L,2,0)</f>
        <v xml:space="preserve">KOM PC238USLC-11 (2)                                              </v>
      </c>
      <c r="D97" s="68" t="str">
        <f>VLOOKUP($B97,'[1]Products by Part Number'!$A:$L,3,0)</f>
        <v>CAB AIR FILTER</v>
      </c>
      <c r="E97" s="69">
        <f>VLOOKUP($B97,'[1]Products by Part Number'!$A:$L,12,0)</f>
        <v>3</v>
      </c>
      <c r="F97" s="70">
        <f>VLOOKUP($B97,'[1]Products by Part Number'!$A:$L,4,0)</f>
        <v>107.11</v>
      </c>
      <c r="G97" s="71"/>
      <c r="H97" s="71">
        <f>VLOOKUP($B97,'[1]Products by Part Number'!$A:$L,6,0)</f>
        <v>69.62</v>
      </c>
      <c r="I97" s="79">
        <f t="shared" si="2"/>
        <v>208.86</v>
      </c>
    </row>
    <row r="98" spans="2:9" x14ac:dyDescent="0.25">
      <c r="B98" s="78" t="s">
        <v>125</v>
      </c>
      <c r="C98" s="68" t="str">
        <f>VLOOKUP($B98,'[1]Products by Part Number'!$A:$L,2,0)</f>
        <v xml:space="preserve">JD 470P (1FF)                                              </v>
      </c>
      <c r="D98" s="68" t="str">
        <f>VLOOKUP($B98,'[1]Products by Part Number'!$A:$L,3,0)</f>
        <v>SECONDARY AIR FILTER</v>
      </c>
      <c r="E98" s="69">
        <f>VLOOKUP($B98,'[1]Products by Part Number'!$A:$L,12,0)</f>
        <v>3</v>
      </c>
      <c r="F98" s="70">
        <f>VLOOKUP($B98,'[1]Products by Part Number'!$A:$L,4,0)</f>
        <v>122.9028</v>
      </c>
      <c r="G98" s="71"/>
      <c r="H98" s="71">
        <f>VLOOKUP($B98,'[1]Products by Part Number'!$A:$L,6,0)</f>
        <v>79.89</v>
      </c>
      <c r="I98" s="79">
        <f t="shared" si="2"/>
        <v>239.67</v>
      </c>
    </row>
    <row r="99" spans="2:9" x14ac:dyDescent="0.25">
      <c r="B99" s="80">
        <v>4630525</v>
      </c>
      <c r="C99" s="68" t="str">
        <f>VLOOKUP($B99,'[1]Products by Part Number'!$A:$L,2,0)</f>
        <v xml:space="preserve">JD 470P (1FF)                                              </v>
      </c>
      <c r="D99" s="68" t="str">
        <f>VLOOKUP($B99,'[1]Products by Part Number'!$A:$L,3,0)</f>
        <v xml:space="preserve">HYDRAULIC FILTER PILOT </v>
      </c>
      <c r="E99" s="69">
        <f>VLOOKUP($B99,'[1]Products by Part Number'!$A:$L,12,0)</f>
        <v>3</v>
      </c>
      <c r="F99" s="70">
        <f>VLOOKUP($B99,'[1]Products by Part Number'!$A:$L,4,0)</f>
        <v>40.640999999999998</v>
      </c>
      <c r="G99" s="71"/>
      <c r="H99" s="71">
        <f>VLOOKUP($B99,'[1]Products by Part Number'!$A:$L,6,0)</f>
        <v>20.32</v>
      </c>
      <c r="I99" s="79">
        <f t="shared" si="2"/>
        <v>60.96</v>
      </c>
    </row>
    <row r="100" spans="2:9" x14ac:dyDescent="0.25">
      <c r="B100" s="78" t="s">
        <v>126</v>
      </c>
      <c r="C100" s="68" t="str">
        <f>VLOOKUP($B100,'[1]Products by Part Number'!$A:$L,2,0)</f>
        <v xml:space="preserve">KOM PC360LC-11 (A37) KOM PC360LC-11 (A39) KOM PC360LC-11 (A39) (2)                                          </v>
      </c>
      <c r="D100" s="68" t="str">
        <f>VLOOKUP($B100,'[1]Products by Part Number'!$A:$L,3,0)</f>
        <v>HYDRAULIC FILTER</v>
      </c>
      <c r="E100" s="69">
        <f>VLOOKUP($B100,'[1]Products by Part Number'!$A:$L,12,0)</f>
        <v>9</v>
      </c>
      <c r="F100" s="70">
        <f>VLOOKUP($B100,'[1]Products by Part Number'!$A:$L,4,0)</f>
        <v>198.35</v>
      </c>
      <c r="G100" s="71"/>
      <c r="H100" s="71">
        <f>VLOOKUP($B100,'[1]Products by Part Number'!$A:$L,6,0)</f>
        <v>99.18</v>
      </c>
      <c r="I100" s="79">
        <f t="shared" si="2"/>
        <v>892.62</v>
      </c>
    </row>
    <row r="101" spans="2:9" x14ac:dyDescent="0.25">
      <c r="B101" s="78" t="s">
        <v>127</v>
      </c>
      <c r="C101" s="68" t="str">
        <f>VLOOKUP($B101,'[1]Products by Part Number'!$A:$L,2,0)</f>
        <v xml:space="preserve">CAT 329EL (ZCD)                                              </v>
      </c>
      <c r="D101" s="68" t="str">
        <f>VLOOKUP($B101,'[1]Products by Part Number'!$A:$L,3,0)</f>
        <v>HYDRAULIC FILTER CASE DRAIN</v>
      </c>
      <c r="E101" s="69">
        <f>VLOOKUP($B101,'[1]Products by Part Number'!$A:$L,12,0)</f>
        <v>3</v>
      </c>
      <c r="F101" s="70">
        <f>VLOOKUP($B101,'[1]Products by Part Number'!$A:$L,4,0)</f>
        <v>98.57</v>
      </c>
      <c r="G101" s="71"/>
      <c r="H101" s="71">
        <f>VLOOKUP($B101,'[1]Products by Part Number'!$A:$L,6,0)</f>
        <v>49.29</v>
      </c>
      <c r="I101" s="79">
        <f t="shared" si="2"/>
        <v>147.87</v>
      </c>
    </row>
    <row r="102" spans="2:9" x14ac:dyDescent="0.25">
      <c r="B102" s="78" t="s">
        <v>128</v>
      </c>
      <c r="C102" s="68" t="str">
        <f>VLOOKUP($B102,'[1]Products by Part Number'!$A:$L,2,0)</f>
        <v xml:space="preserve">KOM D61PX-24 (B60)                                              </v>
      </c>
      <c r="D102" s="68" t="str">
        <f>VLOOKUP($B102,'[1]Products by Part Number'!$A:$L,3,0)</f>
        <v>HYDRAULIC FILTER</v>
      </c>
      <c r="E102" s="69">
        <f>VLOOKUP($B102,'[1]Products by Part Number'!$A:$L,12,0)</f>
        <v>2</v>
      </c>
      <c r="F102" s="70">
        <f>VLOOKUP($B102,'[1]Products by Part Number'!$A:$L,4,0)</f>
        <v>370.6</v>
      </c>
      <c r="G102" s="71"/>
      <c r="H102" s="71">
        <f>VLOOKUP($B102,'[1]Products by Part Number'!$A:$L,6,0)</f>
        <v>185.3</v>
      </c>
      <c r="I102" s="79">
        <f t="shared" si="2"/>
        <v>370.6</v>
      </c>
    </row>
    <row r="103" spans="2:9" x14ac:dyDescent="0.25">
      <c r="B103" s="78" t="s">
        <v>129</v>
      </c>
      <c r="C103" s="68" t="str">
        <f>VLOOKUP($B103,'[1]Products by Part Number'!$A:$L,2,0)</f>
        <v xml:space="preserve">CAT 329EL (ZCD)                                              </v>
      </c>
      <c r="D103" s="68" t="str">
        <f>VLOOKUP($B103,'[1]Products by Part Number'!$A:$L,3,0)</f>
        <v>HYDRAULIC FILTER RETURN</v>
      </c>
      <c r="E103" s="69">
        <f>VLOOKUP($B103,'[1]Products by Part Number'!$A:$L,12,0)</f>
        <v>2</v>
      </c>
      <c r="F103" s="70">
        <f>VLOOKUP($B103,'[1]Products by Part Number'!$A:$L,4,0)</f>
        <v>221.11</v>
      </c>
      <c r="G103" s="71"/>
      <c r="H103" s="71">
        <f>VLOOKUP($B103,'[1]Products by Part Number'!$A:$L,6,0)</f>
        <v>110.56</v>
      </c>
      <c r="I103" s="79">
        <f t="shared" si="2"/>
        <v>221.12</v>
      </c>
    </row>
    <row r="104" spans="2:9" x14ac:dyDescent="0.25">
      <c r="B104" s="78" t="s">
        <v>130</v>
      </c>
      <c r="C104" s="68" t="str">
        <f>VLOOKUP($B104,'[1]Products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KOM PC238USLC-11 (2) KOM PC360LC-11 (A37) KOM PC360LC-11 (A39) KOM PC360LC-11 (A39) (2) KOM WA475-10 (120) KOM PC290LC-11 (K73)        </v>
      </c>
      <c r="D104" s="68" t="str">
        <f>VLOOKUP($B104,'[1]Products by Part Number'!$A:$L,3,0)</f>
        <v>HYDRAULIC FILTER TANK</v>
      </c>
      <c r="E104" s="69">
        <f>VLOOKUP($B104,'[1]Products by Part Number'!$A:$L,12,0)</f>
        <v>60</v>
      </c>
      <c r="F104" s="70">
        <f>VLOOKUP($B104,'[1]Products by Part Number'!$A:$L,4,0)</f>
        <v>188.98</v>
      </c>
      <c r="G104" s="71"/>
      <c r="H104" s="71">
        <f>VLOOKUP($B104,'[1]Products by Part Number'!$A:$L,6,0)</f>
        <v>94.49</v>
      </c>
      <c r="I104" s="79">
        <f t="shared" si="2"/>
        <v>5669.4</v>
      </c>
    </row>
    <row r="105" spans="2:9" x14ac:dyDescent="0.25">
      <c r="B105" s="78" t="s">
        <v>131</v>
      </c>
      <c r="C105" s="68" t="str">
        <f>VLOOKUP($B105,'[1]Products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KOM PC490LC-11 (A42) KOM PC490LC-11 (A42) (2) KOM PC490LC-11 (A42) (3) KOM PC490LC-11 (A42) (4) KOM PC490LC-11 (A42) (5) KOM PC490LC-11 (A43) KOM PC490LC-11 (KMT) (1) KOM PC490LC-11 (KMT) (2) KOM PC490LC-11 (KMT) (3)  </v>
      </c>
      <c r="D105" s="68" t="str">
        <f>VLOOKUP($B105,'[1]Products by Part Number'!$A:$L,3,0)</f>
        <v>HYDRAULIC FILTER ACCUMULATOR</v>
      </c>
      <c r="E105" s="69">
        <f>VLOOKUP($B105,'[1]Products by Part Number'!$A:$L,12,0)</f>
        <v>69</v>
      </c>
      <c r="F105" s="70">
        <f>VLOOKUP($B105,'[1]Products by Part Number'!$A:$L,4,0)</f>
        <v>259.43</v>
      </c>
      <c r="G105" s="71"/>
      <c r="H105" s="71">
        <f>VLOOKUP($B105,'[1]Products by Part Number'!$A:$L,6,0)</f>
        <v>129.72</v>
      </c>
      <c r="I105" s="79">
        <f t="shared" si="2"/>
        <v>8950.68</v>
      </c>
    </row>
    <row r="106" spans="2:9" x14ac:dyDescent="0.25">
      <c r="B106" s="78" t="s">
        <v>132</v>
      </c>
      <c r="C106" s="68" t="str">
        <f>VLOOKUP($B106,'[1]Products by Part Number'!$A:$L,2,0)</f>
        <v xml:space="preserve">KOM D61PX-24 (B60)                                              </v>
      </c>
      <c r="D106" s="68" t="str">
        <f>VLOOKUP($B106,'[1]Products by Part Number'!$A:$L,3,0)</f>
        <v>HYDRAULIC FILTER</v>
      </c>
      <c r="E106" s="69">
        <f>VLOOKUP($B106,'[1]Products by Part Number'!$A:$L,12,0)</f>
        <v>2</v>
      </c>
      <c r="F106" s="70">
        <f>VLOOKUP($B106,'[1]Products by Part Number'!$A:$L,4,0)</f>
        <v>220.88</v>
      </c>
      <c r="G106" s="71"/>
      <c r="H106" s="71">
        <f>VLOOKUP($B106,'[1]Products by Part Number'!$A:$L,6,0)</f>
        <v>110.44</v>
      </c>
      <c r="I106" s="79">
        <f t="shared" si="2"/>
        <v>220.88</v>
      </c>
    </row>
    <row r="107" spans="2:9" x14ac:dyDescent="0.25">
      <c r="B107" s="78" t="s">
        <v>39</v>
      </c>
      <c r="C107" s="68" t="str">
        <f>VLOOKUP($B107,'[1]Products by Part Number'!$A:$L,2,0)</f>
        <v xml:space="preserve">CAT 14 (EN4)                                              </v>
      </c>
      <c r="D107" s="68" t="str">
        <f>VLOOKUP($B107,'[1]Products by Part Number'!$A:$L,3,0)</f>
        <v xml:space="preserve">HYDRAULIC FILTER </v>
      </c>
      <c r="E107" s="69">
        <f>VLOOKUP($B107,'[1]Products by Part Number'!$A:$L,12,0)</f>
        <v>3</v>
      </c>
      <c r="F107" s="70">
        <f>VLOOKUP($B107,'[1]Products by Part Number'!$A:$L,4,0)</f>
        <v>197.31</v>
      </c>
      <c r="G107" s="71"/>
      <c r="H107" s="71">
        <f>VLOOKUP($B107,'[1]Products by Part Number'!$A:$L,6,0)</f>
        <v>98.66</v>
      </c>
      <c r="I107" s="79">
        <f t="shared" si="2"/>
        <v>295.98</v>
      </c>
    </row>
    <row r="108" spans="2:9" x14ac:dyDescent="0.25">
      <c r="B108" s="78" t="s">
        <v>133</v>
      </c>
      <c r="C108" s="68" t="str">
        <f>VLOOKUP($B108,'[1]Products by Part Number'!$A:$L,2,0)</f>
        <v xml:space="preserve">CAT 14 (EN4)                                              </v>
      </c>
      <c r="D108" s="68" t="str">
        <f>VLOOKUP($B108,'[1]Products by Part Number'!$A:$L,3,0)</f>
        <v>HYDRAULIC FILTER</v>
      </c>
      <c r="E108" s="69">
        <f>VLOOKUP($B108,'[1]Products by Part Number'!$A:$L,12,0)</f>
        <v>3</v>
      </c>
      <c r="F108" s="70">
        <f>VLOOKUP($B108,'[1]Products by Part Number'!$A:$L,4,0)</f>
        <v>103.37</v>
      </c>
      <c r="G108" s="71"/>
      <c r="H108" s="71">
        <f>VLOOKUP($B108,'[1]Products by Part Number'!$A:$L,6,0)</f>
        <v>51.69</v>
      </c>
      <c r="I108" s="79">
        <f t="shared" si="2"/>
        <v>155.07</v>
      </c>
    </row>
    <row r="109" spans="2:9" x14ac:dyDescent="0.25">
      <c r="B109" s="78" t="s">
        <v>134</v>
      </c>
      <c r="C109" s="68" t="str">
        <f>VLOOKUP($B109,'[1]Products by Part Number'!$A:$L,2,0)</f>
        <v xml:space="preserve">KOM WA320-8 (867) KOM WA320PZ-6 (729)                                            </v>
      </c>
      <c r="D109" s="68" t="str">
        <f>VLOOKUP($B109,'[1]Products by Part Number'!$A:$L,3,0)</f>
        <v>HYDRAULIC FILTER</v>
      </c>
      <c r="E109" s="69">
        <f>VLOOKUP($B109,'[1]Products by Part Number'!$A:$L,12,0)</f>
        <v>6</v>
      </c>
      <c r="F109" s="70">
        <f>VLOOKUP($B109,'[1]Products by Part Number'!$A:$L,4,0)</f>
        <v>197.46</v>
      </c>
      <c r="G109" s="71"/>
      <c r="H109" s="71">
        <f>VLOOKUP($B109,'[1]Products by Part Number'!$A:$L,6,0)</f>
        <v>98.73</v>
      </c>
      <c r="I109" s="79">
        <f t="shared" si="2"/>
        <v>592.38</v>
      </c>
    </row>
    <row r="110" spans="2:9" x14ac:dyDescent="0.25">
      <c r="B110" s="78" t="s">
        <v>135</v>
      </c>
      <c r="C110" s="68" t="str">
        <f>VLOOKUP($B110,'[1]Products by Part Number'!$A:$L,2,0)</f>
        <v xml:space="preserve">CAT 255 CAT 255 (2) CAT 255 (FL7)                                          </v>
      </c>
      <c r="D110" s="68" t="str">
        <f>VLOOKUP($B110,'[1]Products by Part Number'!$A:$L,3,0)</f>
        <v>HYDRAULIC FILTER</v>
      </c>
      <c r="E110" s="69">
        <f>VLOOKUP($B110,'[1]Products by Part Number'!$A:$L,12,0)</f>
        <v>9</v>
      </c>
      <c r="F110" s="70">
        <f>VLOOKUP($B110,'[1]Products by Part Number'!$A:$L,4,0)</f>
        <v>91.89</v>
      </c>
      <c r="G110" s="71"/>
      <c r="H110" s="71">
        <f>VLOOKUP($B110,'[1]Products by Part Number'!$A:$L,6,0)</f>
        <v>45.95</v>
      </c>
      <c r="I110" s="79">
        <f t="shared" si="2"/>
        <v>413.55</v>
      </c>
    </row>
    <row r="111" spans="2:9" x14ac:dyDescent="0.25">
      <c r="B111" s="78" t="s">
        <v>136</v>
      </c>
      <c r="C111" s="68" t="str">
        <f>VLOOKUP($B111,'[1]Products by Part Number'!$A:$L,2,0)</f>
        <v xml:space="preserve">KOM D71PX-24 (1) KOM D71PX-24 (2) KOM D71PX-24 (3) KOM D71PX-24 (4) KOM D71PX-24 (5) KOM D71PX-24 (6) KOM D71PX-24 (7) KOM WA380-8 (1) KOM WA380-8 (2)                              </v>
      </c>
      <c r="D111" s="68" t="str">
        <f>VLOOKUP($B111,'[1]Products by Part Number'!$A:$L,3,0)</f>
        <v>HYDRAULIC FILTER TANK</v>
      </c>
      <c r="E111" s="69">
        <f>VLOOKUP($B111,'[1]Products by Part Number'!$A:$L,12,0)</f>
        <v>48</v>
      </c>
      <c r="F111" s="70">
        <f>VLOOKUP($B111,'[1]Products by Part Number'!$A:$L,4,0)</f>
        <v>161.15639999999999</v>
      </c>
      <c r="G111" s="71"/>
      <c r="H111" s="71">
        <f>VLOOKUP($B111,'[1]Products by Part Number'!$A:$L,6,0)</f>
        <v>80.58</v>
      </c>
      <c r="I111" s="79">
        <f t="shared" si="2"/>
        <v>3867.84</v>
      </c>
    </row>
    <row r="112" spans="2:9" x14ac:dyDescent="0.25">
      <c r="B112" s="78" t="s">
        <v>137</v>
      </c>
      <c r="C112" s="68" t="str">
        <f>VLOOKUP($B112,'[1]Products by Part Number'!$A:$L,2,0)</f>
        <v xml:space="preserve">KOM PC138USLC-11 KOM PC238USLC-11 (1)                                            </v>
      </c>
      <c r="D112" s="68" t="str">
        <f>VLOOKUP($B112,'[1]Products by Part Number'!$A:$L,3,0)</f>
        <v>HYDRAULIC FILTER</v>
      </c>
      <c r="E112" s="69">
        <f>VLOOKUP($B112,'[1]Products by Part Number'!$A:$L,12,0)</f>
        <v>6</v>
      </c>
      <c r="F112" s="70">
        <f>VLOOKUP($B112,'[1]Products by Part Number'!$A:$L,4,0)</f>
        <v>164.32</v>
      </c>
      <c r="G112" s="71"/>
      <c r="H112" s="71">
        <f>VLOOKUP($B112,'[1]Products by Part Number'!$A:$L,6,0)</f>
        <v>82.16</v>
      </c>
      <c r="I112" s="79">
        <f t="shared" si="2"/>
        <v>492.96</v>
      </c>
    </row>
    <row r="113" spans="2:9" x14ac:dyDescent="0.25">
      <c r="B113" s="78" t="s">
        <v>138</v>
      </c>
      <c r="C113" s="68" t="str">
        <f>VLOOKUP($B113,'[1]Products by Part Number'!$A:$L,2,0)</f>
        <v xml:space="preserve">CAT 329EL (ZCD)                                              </v>
      </c>
      <c r="D113" s="68" t="str">
        <f>VLOOKUP($B113,'[1]Products by Part Number'!$A:$L,3,0)</f>
        <v>HYDRAULIC FILTER PILOT</v>
      </c>
      <c r="E113" s="69">
        <f>VLOOKUP($B113,'[1]Products by Part Number'!$A:$L,12,0)</f>
        <v>3</v>
      </c>
      <c r="F113" s="70">
        <f>VLOOKUP($B113,'[1]Products by Part Number'!$A:$L,4,0)</f>
        <v>102.89</v>
      </c>
      <c r="G113" s="71"/>
      <c r="H113" s="71">
        <f>VLOOKUP($B113,'[1]Products by Part Number'!$A:$L,6,0)</f>
        <v>51.45</v>
      </c>
      <c r="I113" s="79">
        <f t="shared" si="2"/>
        <v>154.35</v>
      </c>
    </row>
    <row r="114" spans="2:9" x14ac:dyDescent="0.25">
      <c r="B114" s="78" t="s">
        <v>139</v>
      </c>
      <c r="C114" s="68" t="str">
        <f>VLOOKUP($B114,'[1]Products by Part Number'!$A:$L,2,0)</f>
        <v xml:space="preserve">JD 333G (1T0)                                              </v>
      </c>
      <c r="D114" s="68" t="str">
        <f>VLOOKUP($B114,'[1]Products by Part Number'!$A:$L,3,0)</f>
        <v>HYDRAULIC FILTER</v>
      </c>
      <c r="E114" s="69">
        <f>VLOOKUP($B114,'[1]Products by Part Number'!$A:$L,12,0)</f>
        <v>3</v>
      </c>
      <c r="F114" s="70">
        <f>VLOOKUP($B114,'[1]Products by Part Number'!$A:$L,4,0)</f>
        <v>131.1138</v>
      </c>
      <c r="G114" s="71"/>
      <c r="H114" s="71">
        <f>VLOOKUP($B114,'[1]Products by Part Number'!$A:$L,6,0)</f>
        <v>65.56</v>
      </c>
      <c r="I114" s="79">
        <f t="shared" si="2"/>
        <v>196.68</v>
      </c>
    </row>
    <row r="115" spans="2:9" x14ac:dyDescent="0.25">
      <c r="B115" s="78" t="s">
        <v>140</v>
      </c>
      <c r="C115" s="68" t="str">
        <f>VLOOKUP($B115,'[1]Products by Part Number'!$A:$L,2,0)</f>
        <v xml:space="preserve">JD 764 (100)                                              </v>
      </c>
      <c r="D115" s="68" t="str">
        <f>VLOOKUP($B115,'[1]Products by Part Number'!$A:$L,3,0)</f>
        <v>HYDRAULIC FILTER</v>
      </c>
      <c r="E115" s="69">
        <f>VLOOKUP($B115,'[1]Products by Part Number'!$A:$L,12,0)</f>
        <v>2</v>
      </c>
      <c r="F115" s="70">
        <f>VLOOKUP($B115,'[1]Products by Part Number'!$A:$L,4,0)</f>
        <v>178.50299999999999</v>
      </c>
      <c r="G115" s="71"/>
      <c r="H115" s="71">
        <f>VLOOKUP($B115,'[1]Products by Part Number'!$A:$L,6,0)</f>
        <v>89.25</v>
      </c>
      <c r="I115" s="79">
        <f t="shared" si="2"/>
        <v>178.5</v>
      </c>
    </row>
    <row r="116" spans="2:9" x14ac:dyDescent="0.25">
      <c r="B116" s="78" t="s">
        <v>141</v>
      </c>
      <c r="C116" s="68" t="str">
        <f>VLOOKUP($B116,'[1]Products by Part Number'!$A:$L,2,0)</f>
        <v xml:space="preserve">JD 333G (1T0)                                              </v>
      </c>
      <c r="D116" s="68" t="str">
        <f>VLOOKUP($B116,'[1]Products by Part Number'!$A:$L,3,0)</f>
        <v>HYDRAULIC FILTER</v>
      </c>
      <c r="E116" s="69">
        <f>VLOOKUP($B116,'[1]Products by Part Number'!$A:$L,12,0)</f>
        <v>3</v>
      </c>
      <c r="F116" s="70">
        <f>VLOOKUP($B116,'[1]Products by Part Number'!$A:$L,4,0)</f>
        <v>168.56700000000001</v>
      </c>
      <c r="G116" s="71"/>
      <c r="H116" s="71">
        <f>VLOOKUP($B116,'[1]Products by Part Number'!$A:$L,6,0)</f>
        <v>84.28</v>
      </c>
      <c r="I116" s="79">
        <f t="shared" si="2"/>
        <v>252.84</v>
      </c>
    </row>
    <row r="117" spans="2:9" x14ac:dyDescent="0.25">
      <c r="B117" s="78" t="s">
        <v>142</v>
      </c>
      <c r="C117" s="68" t="str">
        <f>VLOOKUP($B117,'[1]Products by Part Number'!$A:$L,2,0)</f>
        <v xml:space="preserve">JD 470P (1FF)                                              </v>
      </c>
      <c r="D117" s="68" t="str">
        <f>VLOOKUP($B117,'[1]Products by Part Number'!$A:$L,3,0)</f>
        <v>HYDRAULIC FILTER CASE DRAIN</v>
      </c>
      <c r="E117" s="69">
        <f>VLOOKUP($B117,'[1]Products by Part Number'!$A:$L,12,0)</f>
        <v>3</v>
      </c>
      <c r="F117" s="70">
        <f>VLOOKUP($B117,'[1]Products by Part Number'!$A:$L,4,0)</f>
        <v>49.252199999999995</v>
      </c>
      <c r="G117" s="71"/>
      <c r="H117" s="71">
        <f>VLOOKUP($B117,'[1]Products by Part Number'!$A:$L,6,0)</f>
        <v>24.63</v>
      </c>
      <c r="I117" s="79">
        <f t="shared" si="2"/>
        <v>73.89</v>
      </c>
    </row>
    <row r="118" spans="2:9" x14ac:dyDescent="0.25">
      <c r="B118" s="78" t="s">
        <v>143</v>
      </c>
      <c r="C118" s="68" t="str">
        <f>VLOOKUP($B118,'[1]Products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</c>
      <c r="D118" s="68" t="str">
        <f>VLOOKUP($B118,'[1]Products by Part Number'!$A:$L,3,0)</f>
        <v>FUEL FILTER</v>
      </c>
      <c r="E118" s="69">
        <f>VLOOKUP($B118,'[1]Products by Part Number'!$A:$L,12,0)</f>
        <v>54</v>
      </c>
      <c r="F118" s="70">
        <f>VLOOKUP($B118,'[1]Products by Part Number'!$A:$L,4,0)</f>
        <v>69.17</v>
      </c>
      <c r="G118" s="71"/>
      <c r="H118" s="71">
        <f>VLOOKUP($B118,'[1]Products by Part Number'!$A:$L,6,0)</f>
        <v>34.590000000000003</v>
      </c>
      <c r="I118" s="79">
        <f t="shared" si="2"/>
        <v>1867.86</v>
      </c>
    </row>
    <row r="119" spans="2:9" x14ac:dyDescent="0.25">
      <c r="B119" s="78" t="s">
        <v>144</v>
      </c>
      <c r="C119" s="68" t="str">
        <f>VLOOKUP($B119,'[1]Products by Part Number'!$A:$L,2,0)</f>
        <v xml:space="preserve">KOM WA475-10 (120)                                              </v>
      </c>
      <c r="D119" s="68" t="str">
        <f>VLOOKUP($B119,'[1]Products by Part Number'!$A:$L,3,0)</f>
        <v>TRANSMISSION FILTER</v>
      </c>
      <c r="E119" s="69">
        <f>VLOOKUP($B119,'[1]Products by Part Number'!$A:$L,12,0)</f>
        <v>3</v>
      </c>
      <c r="F119" s="70">
        <f>VLOOKUP($B119,'[1]Products by Part Number'!$A:$L,4,0)</f>
        <v>200.94</v>
      </c>
      <c r="G119" s="71"/>
      <c r="H119" s="71">
        <f>VLOOKUP($B119,'[1]Products by Part Number'!$A:$L,6,0)</f>
        <v>100.47</v>
      </c>
      <c r="I119" s="79">
        <f t="shared" si="2"/>
        <v>301.41000000000003</v>
      </c>
    </row>
    <row r="120" spans="2:9" x14ac:dyDescent="0.25">
      <c r="B120" s="78" t="s">
        <v>145</v>
      </c>
      <c r="C120" s="68" t="str">
        <f>VLOOKUP($B120,'[1]Products by Part Number'!$A:$L,2,0)</f>
        <v xml:space="preserve">CAT 329EL (ZCD)                                              </v>
      </c>
      <c r="D120" s="68" t="str">
        <f>VLOOKUP($B120,'[1]Products by Part Number'!$A:$L,3,0)</f>
        <v>ENGINE OIL FILTER</v>
      </c>
      <c r="E120" s="69">
        <f>VLOOKUP($B120,'[1]Products by Part Number'!$A:$L,12,0)</f>
        <v>6</v>
      </c>
      <c r="F120" s="70">
        <f>VLOOKUP($B120,'[1]Products by Part Number'!$A:$L,4,0)</f>
        <v>42.63</v>
      </c>
      <c r="G120" s="71"/>
      <c r="H120" s="71">
        <f>VLOOKUP($B120,'[1]Products by Part Number'!$A:$L,6,0)</f>
        <v>21.32</v>
      </c>
      <c r="I120" s="79">
        <f t="shared" si="2"/>
        <v>127.92</v>
      </c>
    </row>
    <row r="121" spans="2:9" x14ac:dyDescent="0.25">
      <c r="B121" s="78" t="s">
        <v>146</v>
      </c>
      <c r="C121" s="68" t="str">
        <f>VLOOKUP($B121,'[1]Products by Part Number'!$A:$L,2,0)</f>
        <v xml:space="preserve">CAT 329EL (ZCD) CAT TL1055C (KDE)                                            </v>
      </c>
      <c r="D121" s="68" t="str">
        <f>VLOOKUP($B121,'[1]Products by Part Number'!$A:$L,3,0)</f>
        <v>FUEL FILTER</v>
      </c>
      <c r="E121" s="69">
        <f>VLOOKUP($B121,'[1]Products by Part Number'!$A:$L,12,0)</f>
        <v>12</v>
      </c>
      <c r="F121" s="70">
        <f>VLOOKUP($B121,'[1]Products by Part Number'!$A:$L,4,0)</f>
        <v>50.09</v>
      </c>
      <c r="G121" s="71"/>
      <c r="H121" s="71">
        <f>VLOOKUP($B121,'[1]Products by Part Number'!$A:$L,6,0)</f>
        <v>25.05</v>
      </c>
      <c r="I121" s="79">
        <f t="shared" si="2"/>
        <v>300.60000000000002</v>
      </c>
    </row>
    <row r="122" spans="2:9" x14ac:dyDescent="0.25">
      <c r="B122" s="78" t="s">
        <v>147</v>
      </c>
      <c r="C122" s="68" t="str">
        <f>VLOOKUP($B122,'[1]Products by Part Number'!$A:$L,2,0)</f>
        <v xml:space="preserve">KOM WA320-8 (867) KOM WA320PZ-6 (729)                                            </v>
      </c>
      <c r="D122" s="68" t="str">
        <f>VLOOKUP($B122,'[1]Products by Part Number'!$A:$L,3,0)</f>
        <v>TRANSMISSION FILTER</v>
      </c>
      <c r="E122" s="69">
        <f>VLOOKUP($B122,'[1]Products by Part Number'!$A:$L,12,0)</f>
        <v>6</v>
      </c>
      <c r="F122" s="70">
        <f>VLOOKUP($B122,'[1]Products by Part Number'!$A:$L,4,0)</f>
        <v>106.91</v>
      </c>
      <c r="G122" s="71"/>
      <c r="H122" s="71">
        <f>VLOOKUP($B122,'[1]Products by Part Number'!$A:$L,6,0)</f>
        <v>53.46</v>
      </c>
      <c r="I122" s="79">
        <f t="shared" si="2"/>
        <v>320.76</v>
      </c>
    </row>
    <row r="123" spans="2:9" x14ac:dyDescent="0.25">
      <c r="B123" s="78" t="s">
        <v>148</v>
      </c>
      <c r="C123" s="68" t="str">
        <f>VLOOKUP($B123,'[1]Products by Part Number'!$A:$L,2,0)</f>
        <v xml:space="preserve">KOM WA320-8 (867) KOM WA320PZ-6 (729)                                            </v>
      </c>
      <c r="D123" s="68" t="str">
        <f>VLOOKUP($B123,'[1]Products by Part Number'!$A:$L,3,0)</f>
        <v>CAB FILTER</v>
      </c>
      <c r="E123" s="69">
        <f>VLOOKUP($B123,'[1]Products by Part Number'!$A:$L,12,0)</f>
        <v>6</v>
      </c>
      <c r="F123" s="70">
        <f>VLOOKUP($B123,'[1]Products by Part Number'!$A:$L,4,0)</f>
        <v>162.04</v>
      </c>
      <c r="G123" s="71"/>
      <c r="H123" s="71">
        <f>VLOOKUP($B123,'[1]Products by Part Number'!$A:$L,6,0)</f>
        <v>105.33</v>
      </c>
      <c r="I123" s="79">
        <f t="shared" si="2"/>
        <v>631.98</v>
      </c>
    </row>
    <row r="124" spans="2:9" x14ac:dyDescent="0.25">
      <c r="B124" s="78" t="s">
        <v>149</v>
      </c>
      <c r="C124" s="68" t="str">
        <f>VLOOKUP($B124,'[1]Products by Part Number'!$A:$L,2,0)</f>
        <v xml:space="preserve">CAT 14 (EN4)                                              </v>
      </c>
      <c r="D124" s="68" t="str">
        <f>VLOOKUP($B124,'[1]Products by Part Number'!$A:$L,3,0)</f>
        <v>FUEL/WATER SEPERATOR</v>
      </c>
      <c r="E124" s="69">
        <f>VLOOKUP($B124,'[1]Products by Part Number'!$A:$L,12,0)</f>
        <v>6</v>
      </c>
      <c r="F124" s="70">
        <f>VLOOKUP($B124,'[1]Products by Part Number'!$A:$L,4,0)</f>
        <v>86.8</v>
      </c>
      <c r="G124" s="71"/>
      <c r="H124" s="71">
        <f>VLOOKUP($B124,'[1]Products by Part Number'!$A:$L,6,0)</f>
        <v>43.4</v>
      </c>
      <c r="I124" s="79">
        <f t="shared" si="2"/>
        <v>260.39999999999998</v>
      </c>
    </row>
    <row r="125" spans="2:9" x14ac:dyDescent="0.25">
      <c r="B125" s="78" t="s">
        <v>150</v>
      </c>
      <c r="C125" s="68" t="str">
        <f>VLOOKUP($B125,'[1]Products by Part Number'!$A:$L,2,0)</f>
        <v xml:space="preserve">CAT TL1055C (KDE)                                              </v>
      </c>
      <c r="D125" s="68" t="str">
        <f>VLOOKUP($B125,'[1]Products by Part Number'!$A:$L,3,0)</f>
        <v>TRANSMISSION FILTER</v>
      </c>
      <c r="E125" s="69">
        <f>VLOOKUP($B125,'[1]Products by Part Number'!$A:$L,12,0)</f>
        <v>2</v>
      </c>
      <c r="F125" s="70">
        <f>VLOOKUP($B125,'[1]Products by Part Number'!$A:$L,4,0)</f>
        <v>54.46</v>
      </c>
      <c r="G125" s="71"/>
      <c r="H125" s="71">
        <f>VLOOKUP($B125,'[1]Products by Part Number'!$A:$L,6,0)</f>
        <v>27.23</v>
      </c>
      <c r="I125" s="79">
        <f t="shared" si="2"/>
        <v>54.46</v>
      </c>
    </row>
    <row r="126" spans="2:9" x14ac:dyDescent="0.25">
      <c r="B126" s="78" t="s">
        <v>151</v>
      </c>
      <c r="C126" s="68" t="str">
        <f>VLOOKUP($B126,'[1]Products by Part Number'!$A:$L,2,0)</f>
        <v xml:space="preserve">CAT 329EL (ZCD)                                              </v>
      </c>
      <c r="D126" s="68" t="str">
        <f>VLOOKUP($B126,'[1]Products by Part Number'!$A:$L,3,0)</f>
        <v>FUEL/WATER SEPERATOR</v>
      </c>
      <c r="E126" s="69">
        <f>VLOOKUP($B126,'[1]Products by Part Number'!$A:$L,12,0)</f>
        <v>6</v>
      </c>
      <c r="F126" s="70">
        <f>VLOOKUP($B126,'[1]Products by Part Number'!$A:$L,4,0)</f>
        <v>76.150000000000006</v>
      </c>
      <c r="G126" s="71"/>
      <c r="H126" s="71">
        <f>VLOOKUP($B126,'[1]Products by Part Number'!$A:$L,6,0)</f>
        <v>38.08</v>
      </c>
      <c r="I126" s="79">
        <f t="shared" si="2"/>
        <v>228.48</v>
      </c>
    </row>
    <row r="127" spans="2:9" x14ac:dyDescent="0.25">
      <c r="B127" s="78" t="s">
        <v>152</v>
      </c>
      <c r="C127" s="68" t="str">
        <f>VLOOKUP($B127,'[1]Products by Part Number'!$A:$L,2,0)</f>
        <v xml:space="preserve">CAT TL1055C (KDE)                                              </v>
      </c>
      <c r="D127" s="68" t="str">
        <f>VLOOKUP($B127,'[1]Products by Part Number'!$A:$L,3,0)</f>
        <v>FUEL/WATER SEPERATOR</v>
      </c>
      <c r="E127" s="69">
        <f>VLOOKUP($B127,'[1]Products by Part Number'!$A:$L,12,0)</f>
        <v>6</v>
      </c>
      <c r="F127" s="70">
        <f>VLOOKUP($B127,'[1]Products by Part Number'!$A:$L,4,0)</f>
        <v>72.33</v>
      </c>
      <c r="G127" s="71"/>
      <c r="H127" s="71">
        <f>VLOOKUP($B127,'[1]Products by Part Number'!$A:$L,6,0)</f>
        <v>36.17</v>
      </c>
      <c r="I127" s="79">
        <f t="shared" si="2"/>
        <v>217.02</v>
      </c>
    </row>
    <row r="128" spans="2:9" x14ac:dyDescent="0.25">
      <c r="B128" s="78" t="s">
        <v>153</v>
      </c>
      <c r="C128" s="68" t="str">
        <f>VLOOKUP($B128,'[1]Products by Part Number'!$A:$L,2,0)</f>
        <v xml:space="preserve">CAT 14 (EN4)                                              </v>
      </c>
      <c r="D128" s="68" t="str">
        <f>VLOOKUP($B128,'[1]Products by Part Number'!$A:$L,3,0)</f>
        <v>FUEL FILTER</v>
      </c>
      <c r="E128" s="69">
        <f>VLOOKUP($B128,'[1]Products by Part Number'!$A:$L,12,0)</f>
        <v>12</v>
      </c>
      <c r="F128" s="70">
        <f>VLOOKUP($B128,'[1]Products by Part Number'!$A:$L,4,0)</f>
        <v>47.23</v>
      </c>
      <c r="G128" s="71"/>
      <c r="H128" s="71">
        <f>VLOOKUP($B128,'[1]Products by Part Number'!$A:$L,6,0)</f>
        <v>23.62</v>
      </c>
      <c r="I128" s="79">
        <f t="shared" si="2"/>
        <v>283.44</v>
      </c>
    </row>
    <row r="129" spans="2:9" x14ac:dyDescent="0.25">
      <c r="B129" s="78" t="s">
        <v>154</v>
      </c>
      <c r="C129" s="68" t="str">
        <f>VLOOKUP($B129,'[1]Products by Part Number'!$A:$L,2,0)</f>
        <v xml:space="preserve">CAT 14 (EN4)                                              </v>
      </c>
      <c r="D129" s="68" t="str">
        <f>VLOOKUP($B129,'[1]Products by Part Number'!$A:$L,3,0)</f>
        <v>ENGINE OIL FILTER</v>
      </c>
      <c r="E129" s="69">
        <f>VLOOKUP($B129,'[1]Products by Part Number'!$A:$L,12,0)</f>
        <v>6</v>
      </c>
      <c r="F129" s="70">
        <f>VLOOKUP($B129,'[1]Products by Part Number'!$A:$L,4,0)</f>
        <v>75.31</v>
      </c>
      <c r="G129" s="71"/>
      <c r="H129" s="71">
        <f>VLOOKUP($B129,'[1]Products by Part Number'!$A:$L,6,0)</f>
        <v>37.659999999999997</v>
      </c>
      <c r="I129" s="79">
        <f t="shared" si="2"/>
        <v>225.96</v>
      </c>
    </row>
    <row r="130" spans="2:9" x14ac:dyDescent="0.25">
      <c r="B130" s="78" t="s">
        <v>155</v>
      </c>
      <c r="C130" s="68" t="str">
        <f>VLOOKUP($B130,'[1]Products by Part Number'!$A:$L,2,0)</f>
        <v xml:space="preserve">CAT 255 CAT 255 (2) CAT 255 (FL7)                                          </v>
      </c>
      <c r="D130" s="68" t="str">
        <f>VLOOKUP($B130,'[1]Products by Part Number'!$A:$L,3,0)</f>
        <v>FUEL/WATER SEPERATOR</v>
      </c>
      <c r="E130" s="69">
        <f>VLOOKUP($B130,'[1]Products by Part Number'!$A:$L,12,0)</f>
        <v>18</v>
      </c>
      <c r="F130" s="70">
        <f>VLOOKUP($B130,'[1]Products by Part Number'!$A:$L,4,0)</f>
        <v>77.34</v>
      </c>
      <c r="G130" s="71"/>
      <c r="H130" s="71">
        <f>VLOOKUP($B130,'[1]Products by Part Number'!$A:$L,6,0)</f>
        <v>38.67</v>
      </c>
      <c r="I130" s="79">
        <f t="shared" si="2"/>
        <v>696.06</v>
      </c>
    </row>
    <row r="131" spans="2:9" x14ac:dyDescent="0.25">
      <c r="B131" s="78" t="s">
        <v>156</v>
      </c>
      <c r="C131" s="68" t="str">
        <f>VLOOKUP($B131,'[1]Products by Part Number'!$A:$L,2,0)</f>
        <v xml:space="preserve">KOM WA380-8 (1) KOM WA380-8 (2)                                            </v>
      </c>
      <c r="D131" s="68" t="str">
        <f>VLOOKUP($B131,'[1]Products by Part Number'!$A:$L,3,0)</f>
        <v>TRANSMISSION FILTER</v>
      </c>
      <c r="E131" s="69">
        <f>VLOOKUP($B131,'[1]Products by Part Number'!$A:$L,12,0)</f>
        <v>6</v>
      </c>
      <c r="F131" s="70">
        <f>VLOOKUP($B131,'[1]Products by Part Number'!$A:$L,4,0)</f>
        <v>415.83</v>
      </c>
      <c r="G131" s="71"/>
      <c r="H131" s="71">
        <f>VLOOKUP($B131,'[1]Products by Part Number'!$A:$L,6,0)</f>
        <v>207.92</v>
      </c>
      <c r="I131" s="79">
        <f t="shared" si="2"/>
        <v>1247.52</v>
      </c>
    </row>
    <row r="132" spans="2:9" x14ac:dyDescent="0.25">
      <c r="B132" s="78" t="s">
        <v>157</v>
      </c>
      <c r="C132" s="68" t="str">
        <f>VLOOKUP($B132,'[1]Products by Part Number'!$A:$L,2,0)</f>
        <v xml:space="preserve">CAT 255 CAT 255 (2) CAT 255 (FL7)                                          </v>
      </c>
      <c r="D132" s="68" t="str">
        <f>VLOOKUP($B132,'[1]Products by Part Number'!$A:$L,3,0)</f>
        <v>ENGINE OIL FILTER</v>
      </c>
      <c r="E132" s="69">
        <f>VLOOKUP($B132,'[1]Products by Part Number'!$A:$L,12,0)</f>
        <v>18</v>
      </c>
      <c r="F132" s="70">
        <f>VLOOKUP($B132,'[1]Products by Part Number'!$A:$L,4,0)</f>
        <v>54.67</v>
      </c>
      <c r="G132" s="71"/>
      <c r="H132" s="71">
        <f>VLOOKUP($B132,'[1]Products by Part Number'!$A:$L,6,0)</f>
        <v>27.34</v>
      </c>
      <c r="I132" s="79">
        <f t="shared" si="2"/>
        <v>492.12</v>
      </c>
    </row>
    <row r="133" spans="2:9" x14ac:dyDescent="0.25">
      <c r="B133" s="78" t="s">
        <v>158</v>
      </c>
      <c r="C133" s="68" t="str">
        <f>VLOOKUP($B133,'[1]Products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KOM WA475-10 (120)                            </v>
      </c>
      <c r="D133" s="68" t="str">
        <f>VLOOKUP($B133,'[1]Products by Part Number'!$A:$L,3,0)</f>
        <v>ENGINE OIL FILTER</v>
      </c>
      <c r="E133" s="69">
        <f>VLOOKUP($B133,'[1]Products by Part Number'!$A:$L,12,0)</f>
        <v>60</v>
      </c>
      <c r="F133" s="70">
        <f>VLOOKUP($B133,'[1]Products by Part Number'!$A:$L,4,0)</f>
        <v>161.84</v>
      </c>
      <c r="G133" s="71"/>
      <c r="H133" s="71">
        <f>VLOOKUP($B133,'[1]Products by Part Number'!$A:$L,6,0)</f>
        <v>80.92</v>
      </c>
      <c r="I133" s="79">
        <f t="shared" si="2"/>
        <v>4855.2</v>
      </c>
    </row>
    <row r="134" spans="2:9" x14ac:dyDescent="0.25">
      <c r="B134" s="78" t="s">
        <v>159</v>
      </c>
      <c r="C134" s="68" t="str">
        <f>VLOOKUP($B134,'[1]Products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134" s="68" t="str">
        <f>VLOOKUP($B134,'[1]Products by Part Number'!$A:$L,3,0)</f>
        <v>ENGINE OIL FILTER</v>
      </c>
      <c r="E134" s="69">
        <f>VLOOKUP($B134,'[1]Products by Part Number'!$A:$L,12,0)</f>
        <v>84</v>
      </c>
      <c r="F134" s="70">
        <f>VLOOKUP($B134,'[1]Products by Part Number'!$A:$L,4,0)</f>
        <v>161.84</v>
      </c>
      <c r="G134" s="71"/>
      <c r="H134" s="71">
        <f>VLOOKUP($B134,'[1]Products by Part Number'!$A:$L,6,0)</f>
        <v>80.92</v>
      </c>
      <c r="I134" s="79">
        <f t="shared" si="2"/>
        <v>6797.28</v>
      </c>
    </row>
    <row r="135" spans="2:9" x14ac:dyDescent="0.25">
      <c r="B135" s="78" t="s">
        <v>160</v>
      </c>
      <c r="C135" s="68" t="str">
        <f>VLOOKUP($B135,'[1]Products by Part Number'!$A:$L,2,0)</f>
        <v xml:space="preserve">KOM PC138USLC-11 KOM PC238USLC-11 (1)                                            </v>
      </c>
      <c r="D135" s="68" t="str">
        <f>VLOOKUP($B135,'[1]Products by Part Number'!$A:$L,3,0)</f>
        <v>ENGINE OIL FILTER</v>
      </c>
      <c r="E135" s="69">
        <f>VLOOKUP($B135,'[1]Products by Part Number'!$A:$L,12,0)</f>
        <v>12</v>
      </c>
      <c r="F135" s="70">
        <f>VLOOKUP($B135,'[1]Products by Part Number'!$A:$L,4,0)</f>
        <v>27.53</v>
      </c>
      <c r="G135" s="71"/>
      <c r="H135" s="71">
        <f>VLOOKUP($B135,'[1]Products by Part Number'!$A:$L,6,0)</f>
        <v>13.77</v>
      </c>
      <c r="I135" s="79">
        <f t="shared" si="2"/>
        <v>165.24</v>
      </c>
    </row>
    <row r="136" spans="2:9" x14ac:dyDescent="0.25">
      <c r="B136" s="78" t="s">
        <v>161</v>
      </c>
      <c r="C136" s="68" t="str">
        <f>VLOOKUP($B136,'[1]Products by Part Number'!$A:$L,2,0)</f>
        <v xml:space="preserve">KOM D71PX-24 (1) KOM D71PX-24 (2) KOM D71PX-24 (3) KOM D71PX-24 (4) KOM D71PX-24 (5) KOM D71PX-24 (6) KOM D71PX-24 (7) KOM PC238USLC-11 (2) KOM WA380-8 (1) KOM WA380-8 (2) KOM WA320-8 (867) KOM WA320PZ-6 (729) KOM PC360LC-11 (A37) KOM PC360LC-11 (A39) KOM PC360LC-11 (A39) (2) KOM PC290LC-11 (K73) KOM D61PX-24 (B60)              </v>
      </c>
      <c r="D136" s="68" t="str">
        <f>VLOOKUP($B136,'[1]Products by Part Number'!$A:$L,3,0)</f>
        <v>FUEL FILTER</v>
      </c>
      <c r="E136" s="69">
        <f>VLOOKUP($B136,'[1]Products by Part Number'!$A:$L,12,0)</f>
        <v>102</v>
      </c>
      <c r="F136" s="70">
        <f>VLOOKUP($B136,'[1]Products by Part Number'!$A:$L,4,0)</f>
        <v>275.9862</v>
      </c>
      <c r="G136" s="71"/>
      <c r="H136" s="71">
        <f>VLOOKUP($B136,'[1]Products by Part Number'!$A:$L,6,0)</f>
        <v>137.99</v>
      </c>
      <c r="I136" s="79">
        <f t="shared" si="2"/>
        <v>14074.98</v>
      </c>
    </row>
    <row r="137" spans="2:9" x14ac:dyDescent="0.25">
      <c r="B137" s="78" t="s">
        <v>162</v>
      </c>
      <c r="C137" s="68" t="str">
        <f>VLOOKUP($B137,'[1]Products by Part Number'!$A:$L,2,0)</f>
        <v xml:space="preserve">KOM D71PX-24 (1) KOM D71PX-24 (2) KOM D71PX-24 (3) KOM D71PX-24 (4) KOM D71PX-24 (5) KOM D71PX-24 (6) KOM D71PX-24 (7) KOM PC238USLC-11 (2) KOM WA380-8 (1) KOM WA380-8 (2) KOM WA320-8 (867) KOM WA320PZ-6 (729) KOM PC360LC-11 (A37) KOM PC360LC-11 (A39) KOM PC360LC-11 (A39) (2) KOM PC290LC-11 (K73) KOM D61PX-24 (B60)              </v>
      </c>
      <c r="D137" s="68" t="str">
        <f>VLOOKUP($B137,'[1]Products by Part Number'!$A:$L,3,0)</f>
        <v>FUEL FILTER</v>
      </c>
      <c r="E137" s="69">
        <f>VLOOKUP($B137,'[1]Products by Part Number'!$A:$L,12,0)</f>
        <v>87</v>
      </c>
      <c r="F137" s="70">
        <f>VLOOKUP($B137,'[1]Products by Part Number'!$A:$L,4,0)</f>
        <v>61.975799999999992</v>
      </c>
      <c r="G137" s="71"/>
      <c r="H137" s="71">
        <f>VLOOKUP($B137,'[1]Products by Part Number'!$A:$L,6,0)</f>
        <v>30.99</v>
      </c>
      <c r="I137" s="79">
        <f t="shared" si="2"/>
        <v>2696.13</v>
      </c>
    </row>
    <row r="138" spans="2:9" x14ac:dyDescent="0.25">
      <c r="B138" s="78" t="s">
        <v>163</v>
      </c>
      <c r="C138" s="68" t="str">
        <f>VLOOKUP($B138,'[1]Products by Part Number'!$A:$L,2,0)</f>
        <v>KOM HM400-5 (1) KOM HM400-5 (2) KOM HM400-5 (3) KOM HM400-5 (4) KOM HM400-5 (5) KOM HM400-5 (6) KOM HM400-5 (7) KOM HM400-5 (8) KOM HM400-5 (9) KOM HM400-5 (10) KOM HM400 (11) KOM HM400 (12) KOM HM400 (13) KOM HM400-5 (14) KOM PC490LC-11 (A42) KOM PC490LC-11 (A42) (2) KOM PC490LC-11 (A42) (3) KOM PC490LC-11 (A42) (4) KOM PC490LC-11 (A42) (5) KOM PC490LC-11 (A43) KOM PC490LC-11 (KMT) (1) KOM PC490LC-11 (KMT) (2) KOM PC490LC-11 (KMT) (3) KOM WA475-10 (120)</v>
      </c>
      <c r="D138" s="68" t="str">
        <f>VLOOKUP($B138,'[1]Products by Part Number'!$A:$L,3,0)</f>
        <v>FUEL FILTER</v>
      </c>
      <c r="E138" s="69">
        <f>VLOOKUP($B138,'[1]Products by Part Number'!$A:$L,12,0)</f>
        <v>117</v>
      </c>
      <c r="F138" s="70">
        <f>VLOOKUP($B138,'[1]Products by Part Number'!$A:$L,4,0)</f>
        <v>198.95</v>
      </c>
      <c r="G138" s="71"/>
      <c r="H138" s="71">
        <f>VLOOKUP($B138,'[1]Products by Part Number'!$A:$L,6,0)</f>
        <v>99.48</v>
      </c>
      <c r="I138" s="79">
        <f t="shared" si="2"/>
        <v>11639.16</v>
      </c>
    </row>
    <row r="139" spans="2:9" x14ac:dyDescent="0.25">
      <c r="B139" s="78" t="s">
        <v>164</v>
      </c>
      <c r="C139" s="68" t="str">
        <f>VLOOKUP($B139,'[1]Products by Part Number'!$A:$L,2,0)</f>
        <v xml:space="preserve">KOM PC138USLC-11 KOM PC238USLC-11 (1)                                            </v>
      </c>
      <c r="D139" s="68" t="str">
        <f>VLOOKUP($B139,'[1]Products by Part Number'!$A:$L,3,0)</f>
        <v>FUEL FILTER</v>
      </c>
      <c r="E139" s="69">
        <f>VLOOKUP($B139,'[1]Products by Part Number'!$A:$L,12,0)</f>
        <v>12</v>
      </c>
      <c r="F139" s="70">
        <f>VLOOKUP($B139,'[1]Products by Part Number'!$A:$L,4,0)</f>
        <v>78.06</v>
      </c>
      <c r="G139" s="71"/>
      <c r="H139" s="71">
        <f>VLOOKUP($B139,'[1]Products by Part Number'!$A:$L,6,0)</f>
        <v>39.03</v>
      </c>
      <c r="I139" s="79">
        <f t="shared" si="2"/>
        <v>468.36</v>
      </c>
    </row>
    <row r="140" spans="2:9" x14ac:dyDescent="0.25">
      <c r="B140" s="78" t="s">
        <v>165</v>
      </c>
      <c r="C140" s="68" t="str">
        <f>VLOOKUP($B140,'[1]Products by Part Number'!$A:$L,2,0)</f>
        <v xml:space="preserve">KOM PC138USLC-11 KOM PC238USLC-11 (1)                                            </v>
      </c>
      <c r="D140" s="68" t="str">
        <f>VLOOKUP($B140,'[1]Products by Part Number'!$A:$L,3,0)</f>
        <v>FUEL FILTER</v>
      </c>
      <c r="E140" s="69">
        <f>VLOOKUP($B140,'[1]Products by Part Number'!$A:$L,12,0)</f>
        <v>12</v>
      </c>
      <c r="F140" s="70">
        <f>VLOOKUP($B140,'[1]Products by Part Number'!$A:$L,4,0)</f>
        <v>81.8</v>
      </c>
      <c r="G140" s="71"/>
      <c r="H140" s="71">
        <f>VLOOKUP($B140,'[1]Products by Part Number'!$A:$L,6,0)</f>
        <v>40.9</v>
      </c>
      <c r="I140" s="79">
        <f t="shared" si="2"/>
        <v>490.8</v>
      </c>
    </row>
    <row r="141" spans="2:9" x14ac:dyDescent="0.25">
      <c r="B141" s="78" t="s">
        <v>166</v>
      </c>
      <c r="C141" s="68" t="str">
        <f>VLOOKUP($B141,'[1]Products by Part Number'!$A:$L,2,0)</f>
        <v xml:space="preserve">KOM WA475-10 (120)                                              </v>
      </c>
      <c r="D141" s="68" t="str">
        <f>VLOOKUP($B141,'[1]Products by Part Number'!$A:$L,3,0)</f>
        <v>FUEL FILTER</v>
      </c>
      <c r="E141" s="69">
        <f>VLOOKUP($B141,'[1]Products by Part Number'!$A:$L,12,0)</f>
        <v>6</v>
      </c>
      <c r="F141" s="70">
        <f>VLOOKUP($B141,'[1]Products by Part Number'!$A:$L,4,0)</f>
        <v>69.17</v>
      </c>
      <c r="G141" s="71"/>
      <c r="H141" s="71">
        <f>VLOOKUP($B141,'[1]Products by Part Number'!$A:$L,6,0)</f>
        <v>34.590000000000003</v>
      </c>
      <c r="I141" s="79">
        <f t="shared" si="2"/>
        <v>207.54</v>
      </c>
    </row>
    <row r="142" spans="2:9" x14ac:dyDescent="0.25">
      <c r="B142" s="78" t="s">
        <v>167</v>
      </c>
      <c r="C142" s="68" t="str">
        <f>VLOOKUP($B142,'[1]Products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142" s="68" t="str">
        <f>VLOOKUP($B142,'[1]Products by Part Number'!$A:$L,3,0)</f>
        <v>FUEL FILTER</v>
      </c>
      <c r="E142" s="69">
        <f>VLOOKUP($B142,'[1]Products by Part Number'!$A:$L,12,0)</f>
        <v>84</v>
      </c>
      <c r="F142" s="70">
        <f>VLOOKUP($B142,'[1]Products by Part Number'!$A:$L,4,0)</f>
        <v>233.62</v>
      </c>
      <c r="G142" s="71"/>
      <c r="H142" s="71">
        <f>VLOOKUP($B142,'[1]Products by Part Number'!$A:$L,6,0)</f>
        <v>116.81</v>
      </c>
      <c r="I142" s="79">
        <f t="shared" si="2"/>
        <v>9812.0400000000009</v>
      </c>
    </row>
    <row r="143" spans="2:9" x14ac:dyDescent="0.25">
      <c r="B143" s="78" t="s">
        <v>168</v>
      </c>
      <c r="C143" s="68" t="str">
        <f>VLOOKUP($B143,'[1]Products by Part Number'!$A:$L,2,0)</f>
        <v xml:space="preserve">KOM PC238USLC-11 (2) KOM WA380-8 (1) KOM WA380-8 (2) KOM WA320-8 (867) KOM WA320PZ-6 (729) KOM PC290LC-11 (K73) KOM D61PX-24 (B60)                                  </v>
      </c>
      <c r="D143" s="68" t="str">
        <f>VLOOKUP($B143,'[1]Products by Part Number'!$A:$L,3,0)</f>
        <v>ENGINE OIL FILTER</v>
      </c>
      <c r="E143" s="69">
        <f>VLOOKUP($B143,'[1]Products by Part Number'!$A:$L,12,0)</f>
        <v>42</v>
      </c>
      <c r="F143" s="70">
        <f>VLOOKUP($B143,'[1]Products by Part Number'!$A:$L,4,0)</f>
        <v>38.229999999999997</v>
      </c>
      <c r="G143" s="71"/>
      <c r="H143" s="71">
        <f>VLOOKUP($B143,'[1]Products by Part Number'!$A:$L,6,0)</f>
        <v>19.12</v>
      </c>
      <c r="I143" s="79">
        <f t="shared" si="2"/>
        <v>803.04</v>
      </c>
    </row>
    <row r="144" spans="2:9" x14ac:dyDescent="0.25">
      <c r="B144" s="78" t="s">
        <v>169</v>
      </c>
      <c r="C144" s="68" t="str">
        <f>VLOOKUP($B144,'[1]Products by Part Number'!$A:$L,2,0)</f>
        <v xml:space="preserve">KOM D71PX-24 (1) KOM D71PX-24 (2) KOM D71PX-24 (3) KOM D71PX-24 (4) KOM D71PX-24 (5) KOM D71PX-24 (6) KOM D71PX-24 (7) KOM PC360LC-11 (A37) KOM PC360LC-11 (A39) KOM PC360LC-11 (A39) (2)                            </v>
      </c>
      <c r="D144" s="68" t="str">
        <f>VLOOKUP($B144,'[1]Products by Part Number'!$A:$L,3,0)</f>
        <v>ENGINE OIL FILTER</v>
      </c>
      <c r="E144" s="69">
        <f>VLOOKUP($B144,'[1]Products by Part Number'!$A:$L,12,0)</f>
        <v>60</v>
      </c>
      <c r="F144" s="70">
        <f>VLOOKUP($B144,'[1]Products by Part Number'!$A:$L,4,0)</f>
        <v>179.262</v>
      </c>
      <c r="G144" s="71"/>
      <c r="H144" s="71">
        <f>VLOOKUP($B144,'[1]Products by Part Number'!$A:$L,6,0)</f>
        <v>89.63</v>
      </c>
      <c r="I144" s="79">
        <f t="shared" si="2"/>
        <v>5377.8</v>
      </c>
    </row>
    <row r="145" spans="2:9" x14ac:dyDescent="0.25">
      <c r="B145" s="78" t="s">
        <v>170</v>
      </c>
      <c r="C145" s="68" t="str">
        <f>VLOOKUP($B145,'[1]Products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KOM WA475-10 (120)                  </v>
      </c>
      <c r="D145" s="68" t="str">
        <f>VLOOKUP($B145,'[1]Products by Part Number'!$A:$L,3,0)</f>
        <v>TRANSMISSION FILTER</v>
      </c>
      <c r="E145" s="69">
        <f>VLOOKUP($B145,'[1]Products by Part Number'!$A:$L,12,0)</f>
        <v>31</v>
      </c>
      <c r="F145" s="70">
        <f>VLOOKUP($B145,'[1]Products by Part Number'!$A:$L,4,0)</f>
        <v>126.77</v>
      </c>
      <c r="G145" s="71"/>
      <c r="H145" s="71">
        <f>VLOOKUP($B145,'[1]Products by Part Number'!$A:$L,6,0)</f>
        <v>63.39</v>
      </c>
      <c r="I145" s="79">
        <f t="shared" si="2"/>
        <v>1965.09</v>
      </c>
    </row>
    <row r="146" spans="2:9" x14ac:dyDescent="0.25">
      <c r="B146" s="78" t="s">
        <v>171</v>
      </c>
      <c r="C146" s="68" t="str">
        <f>VLOOKUP($B146,'[1]Products by Part Number'!$A:$L,2,0)</f>
        <v xml:space="preserve">CAT TL1055C (KDE)                                              </v>
      </c>
      <c r="D146" s="68" t="str">
        <f>VLOOKUP($B146,'[1]Products by Part Number'!$A:$L,3,0)</f>
        <v>ENGINE OIL FILTER</v>
      </c>
      <c r="E146" s="69">
        <f>VLOOKUP($B146,'[1]Products by Part Number'!$A:$L,12,0)</f>
        <v>6</v>
      </c>
      <c r="F146" s="70">
        <f>VLOOKUP($B146,'[1]Products by Part Number'!$A:$L,4,0)</f>
        <v>29.79</v>
      </c>
      <c r="G146" s="71"/>
      <c r="H146" s="71">
        <f>VLOOKUP($B146,'[1]Products by Part Number'!$A:$L,6,0)</f>
        <v>14.9</v>
      </c>
      <c r="I146" s="79">
        <f t="shared" ref="I146:I209" si="3">ROUND(E146*H146,2)</f>
        <v>89.4</v>
      </c>
    </row>
    <row r="147" spans="2:9" x14ac:dyDescent="0.25">
      <c r="B147" s="78" t="s">
        <v>172</v>
      </c>
      <c r="C147" s="68" t="str">
        <f>VLOOKUP($B147,'[1]Products by Part Number'!$A:$L,2,0)</f>
        <v xml:space="preserve">JD 624K (DW6)                                              </v>
      </c>
      <c r="D147" s="68" t="str">
        <f>VLOOKUP($B147,'[1]Products by Part Number'!$A:$L,3,0)</f>
        <v>INLINE FUEL FILTER</v>
      </c>
      <c r="E147" s="69">
        <f>VLOOKUP($B147,'[1]Products by Part Number'!$A:$L,12,0)</f>
        <v>6</v>
      </c>
      <c r="F147" s="70">
        <f>VLOOKUP($B147,'[1]Products by Part Number'!$A:$L,4,0)</f>
        <v>18.519599999999997</v>
      </c>
      <c r="G147" s="71"/>
      <c r="H147" s="71">
        <f>VLOOKUP($B147,'[1]Products by Part Number'!$A:$L,6,0)</f>
        <v>9.26</v>
      </c>
      <c r="I147" s="79">
        <f t="shared" si="3"/>
        <v>55.56</v>
      </c>
    </row>
    <row r="148" spans="2:9" x14ac:dyDescent="0.25">
      <c r="B148" s="78" t="s">
        <v>173</v>
      </c>
      <c r="C148" s="68" t="str">
        <f>VLOOKUP($B148,'[1]Products by Part Number'!$A:$L,2,0)</f>
        <v xml:space="preserve">JD 470P (1FF)                                              </v>
      </c>
      <c r="D148" s="68" t="str">
        <f>VLOOKUP($B148,'[1]Products by Part Number'!$A:$L,3,0)</f>
        <v>FUEL FILTER</v>
      </c>
      <c r="E148" s="69">
        <f>VLOOKUP($B148,'[1]Products by Part Number'!$A:$L,12,0)</f>
        <v>6</v>
      </c>
      <c r="F148" s="70">
        <f>VLOOKUP($B148,'[1]Products by Part Number'!$A:$L,4,0)</f>
        <v>91.452600000000004</v>
      </c>
      <c r="G148" s="71"/>
      <c r="H148" s="71">
        <f>VLOOKUP($B148,'[1]Products by Part Number'!$A:$L,6,0)</f>
        <v>45.73</v>
      </c>
      <c r="I148" s="79">
        <f t="shared" si="3"/>
        <v>274.38</v>
      </c>
    </row>
    <row r="149" spans="2:9" x14ac:dyDescent="0.25">
      <c r="B149" s="78" t="s">
        <v>174</v>
      </c>
      <c r="C149" s="68" t="str">
        <f>VLOOKUP($B149,'[1]Products by Part Number'!$A:$L,2,0)</f>
        <v xml:space="preserve">JD 624K (DW6)                                              </v>
      </c>
      <c r="D149" s="68" t="str">
        <f>VLOOKUP($B149,'[1]Products by Part Number'!$A:$L,3,0)</f>
        <v>FUEL/WATER SEPERATOR</v>
      </c>
      <c r="E149" s="69">
        <f>VLOOKUP($B149,'[1]Products by Part Number'!$A:$L,12,0)</f>
        <v>6</v>
      </c>
      <c r="F149" s="70">
        <f>VLOOKUP($B149,'[1]Products by Part Number'!$A:$L,4,0)</f>
        <v>72.049799999999991</v>
      </c>
      <c r="G149" s="71"/>
      <c r="H149" s="71">
        <f>VLOOKUP($B149,'[1]Products by Part Number'!$A:$L,6,0)</f>
        <v>36.020000000000003</v>
      </c>
      <c r="I149" s="79">
        <f t="shared" si="3"/>
        <v>216.12</v>
      </c>
    </row>
    <row r="150" spans="2:9" x14ac:dyDescent="0.25">
      <c r="B150" s="78" t="s">
        <v>175</v>
      </c>
      <c r="C150" s="68" t="str">
        <f>VLOOKUP($B150,'[1]Products by Part Number'!$A:$L,2,0)</f>
        <v xml:space="preserve">JD 624K (DW6)                                              </v>
      </c>
      <c r="D150" s="68" t="str">
        <f>VLOOKUP($B150,'[1]Products by Part Number'!$A:$L,3,0)</f>
        <v>AXLE OIL FILTERS</v>
      </c>
      <c r="E150" s="69">
        <f>VLOOKUP($B150,'[1]Products by Part Number'!$A:$L,12,0)</f>
        <v>6</v>
      </c>
      <c r="F150" s="70">
        <f>VLOOKUP($B150,'[1]Products by Part Number'!$A:$L,4,0)</f>
        <v>176.19839999999999</v>
      </c>
      <c r="G150" s="71"/>
      <c r="H150" s="71">
        <f>VLOOKUP($B150,'[1]Products by Part Number'!$A:$L,6,0)</f>
        <v>88.1</v>
      </c>
      <c r="I150" s="79">
        <f t="shared" si="3"/>
        <v>528.6</v>
      </c>
    </row>
    <row r="151" spans="2:9" x14ac:dyDescent="0.25">
      <c r="B151" s="78" t="s">
        <v>176</v>
      </c>
      <c r="C151" s="68" t="str">
        <f>VLOOKUP($B151,'[1]Products by Part Number'!$A:$L,2,0)</f>
        <v xml:space="preserve">JD 624K (DW6)                                              </v>
      </c>
      <c r="D151" s="68" t="str">
        <f>VLOOKUP($B151,'[1]Products by Part Number'!$A:$L,3,0)</f>
        <v>TRANSMISSION OIL FILTER</v>
      </c>
      <c r="E151" s="69">
        <f>VLOOKUP($B151,'[1]Products by Part Number'!$A:$L,12,0)</f>
        <v>2</v>
      </c>
      <c r="F151" s="70">
        <f>VLOOKUP($B151,'[1]Products by Part Number'!$A:$L,4,0)</f>
        <v>91.866599999999977</v>
      </c>
      <c r="G151" s="71"/>
      <c r="H151" s="71">
        <f>VLOOKUP($B151,'[1]Products by Part Number'!$A:$L,6,0)</f>
        <v>45.93</v>
      </c>
      <c r="I151" s="79">
        <f t="shared" si="3"/>
        <v>91.86</v>
      </c>
    </row>
    <row r="152" spans="2:9" x14ac:dyDescent="0.25">
      <c r="B152" s="78" t="s">
        <v>177</v>
      </c>
      <c r="C152" s="68" t="str">
        <f>VLOOKUP($B152,'[1]Products by Part Number'!$A:$L,2,0)</f>
        <v xml:space="preserve">JD 470P (1FF)                                              </v>
      </c>
      <c r="D152" s="68" t="str">
        <f>VLOOKUP($B152,'[1]Products by Part Number'!$A:$L,3,0)</f>
        <v>FINAL FUEL FILTER</v>
      </c>
      <c r="E152" s="69">
        <f>VLOOKUP($B152,'[1]Products by Part Number'!$A:$L,12,0)</f>
        <v>6</v>
      </c>
      <c r="F152" s="70">
        <f>VLOOKUP($B152,'[1]Products by Part Number'!$A:$L,4,0)</f>
        <v>201.06599999999997</v>
      </c>
      <c r="G152" s="71"/>
      <c r="H152" s="71">
        <f>VLOOKUP($B152,'[1]Products by Part Number'!$A:$L,6,0)</f>
        <v>100.53</v>
      </c>
      <c r="I152" s="79">
        <f t="shared" si="3"/>
        <v>603.17999999999995</v>
      </c>
    </row>
    <row r="153" spans="2:9" x14ac:dyDescent="0.25">
      <c r="B153" s="78" t="s">
        <v>178</v>
      </c>
      <c r="C153" s="68" t="str">
        <f>VLOOKUP($B153,'[1]Products by Part Number'!$A:$L,2,0)</f>
        <v xml:space="preserve">JD 470P (1FF)                                              </v>
      </c>
      <c r="D153" s="68" t="str">
        <f>VLOOKUP($B153,'[1]Products by Part Number'!$A:$L,3,0)</f>
        <v>PRIMARY FUEL FILTER</v>
      </c>
      <c r="E153" s="69">
        <f>VLOOKUP($B153,'[1]Products by Part Number'!$A:$L,12,0)</f>
        <v>6</v>
      </c>
      <c r="F153" s="70">
        <f>VLOOKUP($B153,'[1]Products by Part Number'!$A:$L,4,0)</f>
        <v>197.90579999999997</v>
      </c>
      <c r="G153" s="71"/>
      <c r="H153" s="71">
        <f>VLOOKUP($B153,'[1]Products by Part Number'!$A:$L,6,0)</f>
        <v>98.95</v>
      </c>
      <c r="I153" s="79">
        <f t="shared" si="3"/>
        <v>593.70000000000005</v>
      </c>
    </row>
    <row r="154" spans="2:9" x14ac:dyDescent="0.25">
      <c r="B154" s="78" t="s">
        <v>179</v>
      </c>
      <c r="C154" s="68" t="str">
        <f>VLOOKUP($B154,'[1]Products by Part Number'!$A:$L,2,0)</f>
        <v xml:space="preserve">JD 333G (1T0)                                              </v>
      </c>
      <c r="D154" s="68" t="str">
        <f>VLOOKUP($B154,'[1]Products by Part Number'!$A:$L,3,0)</f>
        <v>ENGINE OIL FILTER</v>
      </c>
      <c r="E154" s="69">
        <f>VLOOKUP($B154,'[1]Products by Part Number'!$A:$L,12,0)</f>
        <v>6</v>
      </c>
      <c r="F154" s="70">
        <f>VLOOKUP($B154,'[1]Products by Part Number'!$A:$L,4,0)</f>
        <v>27.669</v>
      </c>
      <c r="G154" s="71"/>
      <c r="H154" s="71">
        <f>VLOOKUP($B154,'[1]Products by Part Number'!$A:$L,6,0)</f>
        <v>13.83</v>
      </c>
      <c r="I154" s="79">
        <f t="shared" si="3"/>
        <v>82.98</v>
      </c>
    </row>
    <row r="155" spans="2:9" x14ac:dyDescent="0.25">
      <c r="B155" s="78" t="s">
        <v>180</v>
      </c>
      <c r="C155" s="68" t="str">
        <f>VLOOKUP($B155,'[1]Products by Part Number'!$A:$L,2,0)</f>
        <v xml:space="preserve">JD 333G (1T0)                                              </v>
      </c>
      <c r="D155" s="68" t="str">
        <f>VLOOKUP($B155,'[1]Products by Part Number'!$A:$L,3,0)</f>
        <v>PRIMARY FUEL FILTER</v>
      </c>
      <c r="E155" s="69">
        <f>VLOOKUP($B155,'[1]Products by Part Number'!$A:$L,12,0)</f>
        <v>6</v>
      </c>
      <c r="F155" s="70">
        <f>VLOOKUP($B155,'[1]Products by Part Number'!$A:$L,4,0)</f>
        <v>51.722399999999993</v>
      </c>
      <c r="G155" s="71"/>
      <c r="H155" s="71">
        <f>VLOOKUP($B155,'[1]Products by Part Number'!$A:$L,6,0)</f>
        <v>25.86</v>
      </c>
      <c r="I155" s="79">
        <f t="shared" si="3"/>
        <v>155.16</v>
      </c>
    </row>
    <row r="156" spans="2:9" x14ac:dyDescent="0.25">
      <c r="B156" s="78" t="s">
        <v>181</v>
      </c>
      <c r="C156" s="68" t="str">
        <f>VLOOKUP($B156,'[1]Products by Part Number'!$A:$L,2,0)</f>
        <v xml:space="preserve">JD 333G (1T0)                                              </v>
      </c>
      <c r="D156" s="68" t="str">
        <f>VLOOKUP($B156,'[1]Products by Part Number'!$A:$L,3,0)</f>
        <v>FINAL FUEL FILTER</v>
      </c>
      <c r="E156" s="69">
        <f>VLOOKUP($B156,'[1]Products by Part Number'!$A:$L,12,0)</f>
        <v>6</v>
      </c>
      <c r="F156" s="70">
        <f>VLOOKUP($B156,'[1]Products by Part Number'!$A:$L,4,0)</f>
        <v>91.010999999999996</v>
      </c>
      <c r="G156" s="71"/>
      <c r="H156" s="71">
        <f>VLOOKUP($B156,'[1]Products by Part Number'!$A:$L,6,0)</f>
        <v>45.51</v>
      </c>
      <c r="I156" s="79">
        <f t="shared" si="3"/>
        <v>273.06</v>
      </c>
    </row>
    <row r="157" spans="2:9" x14ac:dyDescent="0.25">
      <c r="B157" s="78" t="s">
        <v>182</v>
      </c>
      <c r="C157" s="68" t="str">
        <f>VLOOKUP($B157,'[1]Products by Part Number'!$A:$L,2,0)</f>
        <v xml:space="preserve">JD 624K (DW6) JD 764 (100)                                            </v>
      </c>
      <c r="D157" s="68" t="str">
        <f>VLOOKUP($B157,'[1]Products by Part Number'!$A:$L,3,0)</f>
        <v>ENGINE OIL FILTER</v>
      </c>
      <c r="E157" s="69">
        <f>VLOOKUP($B157,'[1]Products by Part Number'!$A:$L,12,0)</f>
        <v>12</v>
      </c>
      <c r="F157" s="70">
        <f>VLOOKUP($B157,'[1]Products by Part Number'!$A:$L,4,0)</f>
        <v>33.368399999999994</v>
      </c>
      <c r="G157" s="71"/>
      <c r="H157" s="71">
        <f>VLOOKUP($B157,'[1]Products by Part Number'!$A:$L,6,0)</f>
        <v>16.68</v>
      </c>
      <c r="I157" s="79">
        <f t="shared" si="3"/>
        <v>200.16</v>
      </c>
    </row>
    <row r="158" spans="2:9" x14ac:dyDescent="0.25">
      <c r="B158" s="78" t="s">
        <v>183</v>
      </c>
      <c r="C158" s="68" t="str">
        <f>VLOOKUP($B158,'[1]Products by Part Number'!$A:$L,2,0)</f>
        <v xml:space="preserve">JD 624K (DW6) JD 764 (100)                                            </v>
      </c>
      <c r="D158" s="68" t="str">
        <f>VLOOKUP($B158,'[1]Products by Part Number'!$A:$L,3,0)</f>
        <v>FINAL FUEL FILTER</v>
      </c>
      <c r="E158" s="69">
        <f>VLOOKUP($B158,'[1]Products by Part Number'!$A:$L,12,0)</f>
        <v>12</v>
      </c>
      <c r="F158" s="70">
        <f>VLOOKUP($B158,'[1]Products by Part Number'!$A:$L,4,0)</f>
        <v>57.490799999999993</v>
      </c>
      <c r="G158" s="71"/>
      <c r="H158" s="71">
        <f>VLOOKUP($B158,'[1]Products by Part Number'!$A:$L,6,0)</f>
        <v>28.75</v>
      </c>
      <c r="I158" s="79">
        <f t="shared" si="3"/>
        <v>345</v>
      </c>
    </row>
    <row r="159" spans="2:9" x14ac:dyDescent="0.25">
      <c r="B159" s="78" t="s">
        <v>184</v>
      </c>
      <c r="C159" s="68" t="str">
        <f>VLOOKUP($B159,'[1]Products by Part Number'!$A:$L,2,0)</f>
        <v xml:space="preserve">JD 624K (DW6) JD 764 (100)                                            </v>
      </c>
      <c r="D159" s="68" t="str">
        <f>VLOOKUP($B159,'[1]Products by Part Number'!$A:$L,3,0)</f>
        <v>PRIMARY FUEL FILTER</v>
      </c>
      <c r="E159" s="69">
        <f>VLOOKUP($B159,'[1]Products by Part Number'!$A:$L,12,0)</f>
        <v>12</v>
      </c>
      <c r="F159" s="70">
        <f>VLOOKUP($B159,'[1]Products by Part Number'!$A:$L,4,0)</f>
        <v>57.463199999999993</v>
      </c>
      <c r="G159" s="71"/>
      <c r="H159" s="71">
        <f>VLOOKUP($B159,'[1]Products by Part Number'!$A:$L,6,0)</f>
        <v>28.73</v>
      </c>
      <c r="I159" s="79">
        <f t="shared" si="3"/>
        <v>344.76</v>
      </c>
    </row>
    <row r="160" spans="2:9" x14ac:dyDescent="0.25">
      <c r="B160" s="78" t="s">
        <v>185</v>
      </c>
      <c r="C160" s="68" t="str">
        <f>VLOOKUP($B160,'[1]Products by Part Number'!$A:$L,2,0)</f>
        <v xml:space="preserve">JD 470P (1FF)                                              </v>
      </c>
      <c r="D160" s="68" t="str">
        <f>VLOOKUP($B160,'[1]Products by Part Number'!$A:$L,3,0)</f>
        <v>ENGINE OIL FILTER</v>
      </c>
      <c r="E160" s="69">
        <f>VLOOKUP($B160,'[1]Products by Part Number'!$A:$L,12,0)</f>
        <v>6</v>
      </c>
      <c r="F160" s="70">
        <f>VLOOKUP($B160,'[1]Products by Part Number'!$A:$L,4,0)</f>
        <v>122.91659999999996</v>
      </c>
      <c r="G160" s="71"/>
      <c r="H160" s="71">
        <f>VLOOKUP($B160,'[1]Products by Part Number'!$A:$L,6,0)</f>
        <v>61.46</v>
      </c>
      <c r="I160" s="79">
        <f t="shared" si="3"/>
        <v>368.76</v>
      </c>
    </row>
    <row r="161" spans="2:9" x14ac:dyDescent="0.25">
      <c r="B161" s="78" t="s">
        <v>186</v>
      </c>
      <c r="C161" s="68" t="str">
        <f>VLOOKUP($B161,'[1]Products by Part Number'!$A:$L,2,0)</f>
        <v xml:space="preserve">KOM WA320-8 (867) KOM WA320PZ-6 (729)                                            </v>
      </c>
      <c r="D161" s="68" t="str">
        <f>VLOOKUP($B161,'[1]Products by Part Number'!$A:$L,3,0)</f>
        <v>WASHER CUTTING EDGE</v>
      </c>
      <c r="E161" s="69">
        <f>VLOOKUP($B161,'[1]Products by Part Number'!$A:$L,12,0)</f>
        <v>32</v>
      </c>
      <c r="F161" s="70">
        <f>VLOOKUP($B161,'[1]Products by Part Number'!$A:$L,4,0)</f>
        <v>8.27</v>
      </c>
      <c r="G161" s="71"/>
      <c r="H161" s="71">
        <f>VLOOKUP($B161,'[1]Products by Part Number'!$A:$L,6,0)</f>
        <v>4.55</v>
      </c>
      <c r="I161" s="79">
        <f t="shared" si="3"/>
        <v>145.6</v>
      </c>
    </row>
    <row r="162" spans="2:9" x14ac:dyDescent="0.25">
      <c r="B162" s="78" t="s">
        <v>187</v>
      </c>
      <c r="C162" s="68" t="str">
        <f>VLOOKUP($B162,'[1]Products by Part Number'!$A:$L,2,0)</f>
        <v xml:space="preserve">KOM WA380-8 (1) KOM WA380-8 (2) KOM WA475-10 (120)                                          </v>
      </c>
      <c r="D162" s="68" t="str">
        <f>VLOOKUP($B162,'[1]Products by Part Number'!$A:$L,3,0)</f>
        <v>WASHER CUTTING EDGE</v>
      </c>
      <c r="E162" s="69">
        <f>VLOOKUP($B162,'[1]Products by Part Number'!$A:$L,12,0)</f>
        <v>92</v>
      </c>
      <c r="F162" s="70">
        <f>VLOOKUP($B162,'[1]Products by Part Number'!$A:$L,4,0)</f>
        <v>5.84</v>
      </c>
      <c r="G162" s="71"/>
      <c r="H162" s="71">
        <f>VLOOKUP($B162,'[1]Products by Part Number'!$A:$L,6,0)</f>
        <v>3.21</v>
      </c>
      <c r="I162" s="79">
        <f t="shared" si="3"/>
        <v>295.32</v>
      </c>
    </row>
    <row r="163" spans="2:9" x14ac:dyDescent="0.25">
      <c r="B163" s="78" t="s">
        <v>188</v>
      </c>
      <c r="C163" s="68" t="str">
        <f>VLOOKUP($B163,'[1]Products by Part Number'!$A:$L,2,0)</f>
        <v xml:space="preserve">KOM D61PX-24 (B60)                                              </v>
      </c>
      <c r="D163" s="68" t="str">
        <f>VLOOKUP($B163,'[1]Products by Part Number'!$A:$L,3,0)</f>
        <v>BOLT CUTTING EDGE</v>
      </c>
      <c r="E163" s="69">
        <f>VLOOKUP($B163,'[1]Products by Part Number'!$A:$L,12,0)</f>
        <v>130</v>
      </c>
      <c r="F163" s="70">
        <f>VLOOKUP($B163,'[1]Products by Part Number'!$A:$L,4,0)</f>
        <v>4.37</v>
      </c>
      <c r="G163" s="71"/>
      <c r="H163" s="71">
        <f>VLOOKUP($B163,'[1]Products by Part Number'!$A:$L,6,0)</f>
        <v>2.4</v>
      </c>
      <c r="I163" s="79">
        <f t="shared" si="3"/>
        <v>312</v>
      </c>
    </row>
    <row r="164" spans="2:9" x14ac:dyDescent="0.25">
      <c r="B164" s="78" t="s">
        <v>189</v>
      </c>
      <c r="C164" s="68" t="str">
        <f>VLOOKUP($B164,'[1]Products by Part Number'!$A:$L,2,0)</f>
        <v xml:space="preserve">KOM D71PX-24 (1) KOM D71PX-24 (2) KOM D71PX-24 (3) KOM D71PX-24 (4) KOM D71PX-24 (5) KOM D71PX-24 (6) KOM D71PX-24 (7)                                  </v>
      </c>
      <c r="D164" s="68" t="str">
        <f>VLOOKUP($B164,'[1]Products by Part Number'!$A:$L,3,0)</f>
        <v>BOLT BIT END</v>
      </c>
      <c r="E164" s="69">
        <f>VLOOKUP($B164,'[1]Products by Part Number'!$A:$L,12,0)</f>
        <v>1155</v>
      </c>
      <c r="F164" s="70">
        <f>VLOOKUP($B164,'[1]Products by Part Number'!$A:$L,4,0)</f>
        <v>1.87</v>
      </c>
      <c r="G164" s="71"/>
      <c r="H164" s="71">
        <f>VLOOKUP($B164,'[1]Products by Part Number'!$A:$L,6,0)</f>
        <v>1.03</v>
      </c>
      <c r="I164" s="79">
        <f t="shared" si="3"/>
        <v>1189.6500000000001</v>
      </c>
    </row>
    <row r="165" spans="2:9" x14ac:dyDescent="0.25">
      <c r="B165" s="78" t="s">
        <v>190</v>
      </c>
      <c r="C165" s="68" t="str">
        <f>VLOOKUP($B165,'[1]Products by Part Number'!$A:$L,2,0)</f>
        <v xml:space="preserve">KOM WA380-8 (1) KOM WA380-8 (2) KOM WA475-10 (120)                                          </v>
      </c>
      <c r="D165" s="68" t="str">
        <f>VLOOKUP($B165,'[1]Products by Part Number'!$A:$L,3,0)</f>
        <v>BOLT CUTTING EDGE</v>
      </c>
      <c r="E165" s="69">
        <f>VLOOKUP($B165,'[1]Products by Part Number'!$A:$L,12,0)</f>
        <v>92</v>
      </c>
      <c r="F165" s="70">
        <f>VLOOKUP($B165,'[1]Products by Part Number'!$A:$L,4,0)</f>
        <v>6.1</v>
      </c>
      <c r="G165" s="71"/>
      <c r="H165" s="71">
        <f>VLOOKUP($B165,'[1]Products by Part Number'!$A:$L,6,0)</f>
        <v>3.36</v>
      </c>
      <c r="I165" s="79">
        <f t="shared" si="3"/>
        <v>309.12</v>
      </c>
    </row>
    <row r="166" spans="2:9" x14ac:dyDescent="0.25">
      <c r="B166" s="78" t="s">
        <v>191</v>
      </c>
      <c r="C166" s="68" t="str">
        <f>VLOOKUP($B166,'[1]Products by Part Number'!$A:$L,2,0)</f>
        <v xml:space="preserve">KOM WA320-8 (867) KOM WA320PZ-6 (729)                                            </v>
      </c>
      <c r="D166" s="68" t="str">
        <f>VLOOKUP($B166,'[1]Products by Part Number'!$A:$L,3,0)</f>
        <v>BOLT CUTTING EDGE</v>
      </c>
      <c r="E166" s="69">
        <f>VLOOKUP($B166,'[1]Products by Part Number'!$A:$L,12,0)</f>
        <v>32</v>
      </c>
      <c r="F166" s="70">
        <f>VLOOKUP($B166,'[1]Products by Part Number'!$A:$L,4,0)</f>
        <v>8.81</v>
      </c>
      <c r="G166" s="71"/>
      <c r="H166" s="71">
        <f>VLOOKUP($B166,'[1]Products by Part Number'!$A:$L,6,0)</f>
        <v>4.8499999999999996</v>
      </c>
      <c r="I166" s="79">
        <f t="shared" si="3"/>
        <v>155.19999999999999</v>
      </c>
    </row>
    <row r="167" spans="2:9" x14ac:dyDescent="0.25">
      <c r="B167" s="78" t="s">
        <v>192</v>
      </c>
      <c r="C167" s="68" t="str">
        <f>VLOOKUP($B167,'[1]Products by Part Number'!$A:$L,2,0)</f>
        <v xml:space="preserve">KOM D71PX-24 (1) KOM D71PX-24 (2) KOM D71PX-24 (3) KOM D71PX-24 (4) KOM D71PX-24 (5) KOM D71PX-24 (6) KOM D71PX-24 (7)                                  </v>
      </c>
      <c r="D167" s="68" t="str">
        <f>VLOOKUP($B167,'[1]Products by Part Number'!$A:$L,3,0)</f>
        <v>NUT CUTTING EDGE/BIT END</v>
      </c>
      <c r="E167" s="69">
        <f>VLOOKUP($B167,'[1]Products by Part Number'!$A:$L,12,0)</f>
        <v>1155</v>
      </c>
      <c r="F167" s="70">
        <f>VLOOKUP($B167,'[1]Products by Part Number'!$A:$L,4,0)</f>
        <v>0.56999999999999995</v>
      </c>
      <c r="G167" s="71"/>
      <c r="H167" s="71">
        <f>VLOOKUP($B167,'[1]Products by Part Number'!$A:$L,6,0)</f>
        <v>0.31</v>
      </c>
      <c r="I167" s="79">
        <f t="shared" si="3"/>
        <v>358.05</v>
      </c>
    </row>
    <row r="168" spans="2:9" x14ac:dyDescent="0.25">
      <c r="B168" s="78" t="s">
        <v>193</v>
      </c>
      <c r="C168" s="68" t="str">
        <f>VLOOKUP($B168,'[1]Products by Part Number'!$A:$L,2,0)</f>
        <v xml:space="preserve">KOM D71PX-24 (1) KOM D71PX-24 (2) KOM D71PX-24 (3) KOM D71PX-24 (4) KOM D71PX-24 (5) KOM D71PX-24 (6) KOM D71PX-24 (7)                                  </v>
      </c>
      <c r="D168" s="68" t="str">
        <f>VLOOKUP($B168,'[1]Products by Part Number'!$A:$L,3,0)</f>
        <v>TOOTH PIN</v>
      </c>
      <c r="E168" s="69">
        <f>VLOOKUP($B168,'[1]Products by Part Number'!$A:$L,12,0)</f>
        <v>105</v>
      </c>
      <c r="F168" s="70">
        <f>VLOOKUP($B168,'[1]Products by Part Number'!$A:$L,4,0)</f>
        <v>32.15</v>
      </c>
      <c r="G168" s="71"/>
      <c r="H168" s="71">
        <f>VLOOKUP($B168,'[1]Products by Part Number'!$A:$L,6,0)</f>
        <v>17.68</v>
      </c>
      <c r="I168" s="79">
        <f t="shared" si="3"/>
        <v>1856.4</v>
      </c>
    </row>
    <row r="169" spans="2:9" x14ac:dyDescent="0.25">
      <c r="B169" s="78" t="s">
        <v>194</v>
      </c>
      <c r="C169" s="68" t="str">
        <f>VLOOKUP($B169,'[1]Products by Part Number'!$A:$L,2,0)</f>
        <v xml:space="preserve">JD 333G (1T0)                                              </v>
      </c>
      <c r="D169" s="68" t="str">
        <f>VLOOKUP($B169,'[1]Products by Part Number'!$A:$L,3,0)</f>
        <v>BOLT CUTTING EDGE</v>
      </c>
      <c r="E169" s="69">
        <f>VLOOKUP($B169,'[1]Products by Part Number'!$A:$L,12,0)</f>
        <v>14</v>
      </c>
      <c r="F169" s="70">
        <f>VLOOKUP($B169,'[1]Products by Part Number'!$A:$L,4,0)</f>
        <v>6.8585999999999991</v>
      </c>
      <c r="G169" s="71"/>
      <c r="H169" s="71">
        <f>VLOOKUP($B169,'[1]Products by Part Number'!$A:$L,6,0)</f>
        <v>3.77</v>
      </c>
      <c r="I169" s="79">
        <f t="shared" si="3"/>
        <v>52.78</v>
      </c>
    </row>
    <row r="170" spans="2:9" x14ac:dyDescent="0.25">
      <c r="B170" s="78" t="s">
        <v>195</v>
      </c>
      <c r="C170" s="68" t="str">
        <f>VLOOKUP($B170,'[1]Products by Part Number'!$A:$L,2,0)</f>
        <v xml:space="preserve">CAT 255 CAT 255 (2) CAT 255 (FL7)                                          </v>
      </c>
      <c r="D170" s="68" t="str">
        <f>VLOOKUP($B170,'[1]Products by Part Number'!$A:$L,3,0)</f>
        <v>CUTTING EDGE</v>
      </c>
      <c r="E170" s="69">
        <f>VLOOKUP($B170,'[1]Products by Part Number'!$A:$L,12,0)</f>
        <v>6</v>
      </c>
      <c r="F170" s="70">
        <f>VLOOKUP($B170,'[1]Products by Part Number'!$A:$L,4,0)</f>
        <v>308.64</v>
      </c>
      <c r="G170" s="71"/>
      <c r="H170" s="71">
        <f>VLOOKUP($B170,'[1]Products by Part Number'!$A:$L,6,0)</f>
        <v>169.75</v>
      </c>
      <c r="I170" s="79">
        <f t="shared" si="3"/>
        <v>1018.5</v>
      </c>
    </row>
    <row r="171" spans="2:9" x14ac:dyDescent="0.25">
      <c r="B171" s="78" t="s">
        <v>196</v>
      </c>
      <c r="C171" s="68" t="str">
        <f>VLOOKUP($B171,'[1]Products by Part Number'!$A:$L,2,0)</f>
        <v xml:space="preserve">KOM D61PX-24 (B60)                                              </v>
      </c>
      <c r="D171" s="68" t="str">
        <f>VLOOKUP($B171,'[1]Products by Part Number'!$A:$L,3,0)</f>
        <v>CUTTING EDGE</v>
      </c>
      <c r="E171" s="69">
        <f>VLOOKUP($B171,'[1]Products by Part Number'!$A:$L,12,0)</f>
        <v>5</v>
      </c>
      <c r="F171" s="70">
        <f>VLOOKUP($B171,'[1]Products by Part Number'!$A:$L,4,0)</f>
        <v>344.77</v>
      </c>
      <c r="G171" s="71"/>
      <c r="H171" s="71">
        <f>VLOOKUP($B171,'[1]Products by Part Number'!$A:$L,6,0)</f>
        <v>189.62</v>
      </c>
      <c r="I171" s="79">
        <f t="shared" si="3"/>
        <v>948.1</v>
      </c>
    </row>
    <row r="172" spans="2:9" x14ac:dyDescent="0.25">
      <c r="B172" s="78" t="s">
        <v>197</v>
      </c>
      <c r="C172" s="68" t="str">
        <f>VLOOKUP($B172,'[1]Products by Part Number'!$A:$L,2,0)</f>
        <v xml:space="preserve">KOM D71PX-24 (1) KOM D71PX-24 (2) KOM D71PX-24 (3) KOM D71PX-24 (4) KOM D71PX-24 (5) KOM D71PX-24 (6) KOM D71PX-24 (7)                                  </v>
      </c>
      <c r="D172" s="68" t="str">
        <f>VLOOKUP($B172,'[1]Products by Part Number'!$A:$L,3,0)</f>
        <v>CUTTING EDGE</v>
      </c>
      <c r="E172" s="69">
        <f>VLOOKUP($B172,'[1]Products by Part Number'!$A:$L,12,0)</f>
        <v>70</v>
      </c>
      <c r="F172" s="70">
        <f>VLOOKUP($B172,'[1]Products by Part Number'!$A:$L,4,0)</f>
        <v>234.92</v>
      </c>
      <c r="G172" s="71"/>
      <c r="H172" s="71">
        <f>VLOOKUP($B172,'[1]Products by Part Number'!$A:$L,6,0)</f>
        <v>129.21</v>
      </c>
      <c r="I172" s="79">
        <f t="shared" si="3"/>
        <v>9044.7000000000007</v>
      </c>
    </row>
    <row r="173" spans="2:9" x14ac:dyDescent="0.25">
      <c r="B173" s="78" t="s">
        <v>198</v>
      </c>
      <c r="C173" s="68" t="str">
        <f>VLOOKUP($B173,'[1]Products by Part Number'!$A:$L,2,0)</f>
        <v xml:space="preserve">KOM D61PX-24 (B60)                                              </v>
      </c>
      <c r="D173" s="68" t="str">
        <f>VLOOKUP($B173,'[1]Products by Part Number'!$A:$L,3,0)</f>
        <v>CUTTING EDGE</v>
      </c>
      <c r="E173" s="69">
        <f>VLOOKUP($B173,'[1]Products by Part Number'!$A:$L,12,0)</f>
        <v>10</v>
      </c>
      <c r="F173" s="70">
        <f>VLOOKUP($B173,'[1]Products by Part Number'!$A:$L,4,0)</f>
        <v>270.64</v>
      </c>
      <c r="G173" s="71"/>
      <c r="H173" s="71">
        <f>VLOOKUP($B173,'[1]Products by Part Number'!$A:$L,6,0)</f>
        <v>148.85</v>
      </c>
      <c r="I173" s="79">
        <f t="shared" si="3"/>
        <v>1488.5</v>
      </c>
    </row>
    <row r="174" spans="2:9" x14ac:dyDescent="0.25">
      <c r="B174" s="78" t="s">
        <v>199</v>
      </c>
      <c r="C174" s="68" t="str">
        <f>VLOOKUP($B174,'[1]Products by Part Number'!$A:$L,2,0)</f>
        <v xml:space="preserve">KOM D71PX-24 (1) KOM D71PX-24 (2) KOM D71PX-24 (3) KOM D71PX-24 (4) KOM D71PX-24 (5) KOM D71PX-24 (6) KOM D71PX-24 (7)                                  </v>
      </c>
      <c r="D174" s="68" t="str">
        <f>VLOOKUP($B174,'[1]Products by Part Number'!$A:$L,3,0)</f>
        <v>TOOTH RIPPER</v>
      </c>
      <c r="E174" s="69">
        <f>VLOOKUP($B174,'[1]Products by Part Number'!$A:$L,12,0)</f>
        <v>168</v>
      </c>
      <c r="F174" s="70">
        <f>VLOOKUP($B174,'[1]Products by Part Number'!$A:$L,4,0)</f>
        <v>129.46</v>
      </c>
      <c r="G174" s="71"/>
      <c r="H174" s="71">
        <f>VLOOKUP($B174,'[1]Products by Part Number'!$A:$L,6,0)</f>
        <v>71.2</v>
      </c>
      <c r="I174" s="79">
        <f t="shared" si="3"/>
        <v>11961.6</v>
      </c>
    </row>
    <row r="175" spans="2:9" x14ac:dyDescent="0.25">
      <c r="B175" s="78" t="s">
        <v>200</v>
      </c>
      <c r="C175" s="68" t="str">
        <f>VLOOKUP($B175,'[1]Products by Part Number'!$A:$L,2,0)</f>
        <v xml:space="preserve">KOM D71PX-24 (1) KOM D71PX-24 (2) KOM D71PX-24 (3) KOM D71PX-24 (4) KOM D71PX-24 (5) KOM D71PX-24 (6) KOM D71PX-24 (7)                                  </v>
      </c>
      <c r="D175" s="68" t="str">
        <f>VLOOKUP($B175,'[1]Products by Part Number'!$A:$L,3,0)</f>
        <v>RIPPER SHANK</v>
      </c>
      <c r="E175" s="69">
        <f>VLOOKUP($B175,'[1]Products by Part Number'!$A:$L,12,0)</f>
        <v>21</v>
      </c>
      <c r="F175" s="70">
        <f>VLOOKUP($B175,'[1]Products by Part Number'!$A:$L,4,0)</f>
        <v>2046.93</v>
      </c>
      <c r="G175" s="71"/>
      <c r="H175" s="71">
        <f>VLOOKUP($B175,'[1]Products by Part Number'!$A:$L,6,0)</f>
        <v>1125.81</v>
      </c>
      <c r="I175" s="79">
        <f t="shared" si="3"/>
        <v>23642.01</v>
      </c>
    </row>
    <row r="176" spans="2:9" x14ac:dyDescent="0.25">
      <c r="B176" s="78" t="s">
        <v>201</v>
      </c>
      <c r="C176" s="68" t="str">
        <f>VLOOKUP($B176,'[1]Products by Part Number'!$A:$L,2,0)</f>
        <v xml:space="preserve">JD 624K (DW6) JD 764 (100)                                            </v>
      </c>
      <c r="D176" s="68" t="str">
        <f>VLOOKUP($B176,'[1]Products by Part Number'!$A:$L,3,0)</f>
        <v>NUT CUTTING EDGE</v>
      </c>
      <c r="E176" s="69">
        <f>VLOOKUP($B176,'[1]Products by Part Number'!$A:$L,12,0)</f>
        <v>129</v>
      </c>
      <c r="F176" s="70">
        <f>VLOOKUP($B176,'[1]Products by Part Number'!$A:$L,4,0)</f>
        <v>4.4849999999999994</v>
      </c>
      <c r="G176" s="71"/>
      <c r="H176" s="71">
        <f>VLOOKUP($B176,'[1]Products by Part Number'!$A:$L,6,0)</f>
        <v>2.4700000000000002</v>
      </c>
      <c r="I176" s="79">
        <f t="shared" si="3"/>
        <v>318.63</v>
      </c>
    </row>
    <row r="177" spans="2:11" x14ac:dyDescent="0.25">
      <c r="B177" s="78" t="s">
        <v>202</v>
      </c>
      <c r="C177" s="68" t="str">
        <f>VLOOKUP($B177,'[1]Products by Part Number'!$A:$L,2,0)</f>
        <v xml:space="preserve">JD 333G (1T0)                                              </v>
      </c>
      <c r="D177" s="68" t="str">
        <f>VLOOKUP($B177,'[1]Products by Part Number'!$A:$L,3,0)</f>
        <v>NUT CUTTING EDGE</v>
      </c>
      <c r="E177" s="69">
        <f>VLOOKUP($B177,'[1]Products by Part Number'!$A:$L,12,0)</f>
        <v>14</v>
      </c>
      <c r="F177" s="70">
        <f>VLOOKUP($B177,'[1]Products by Part Number'!$A:$L,4,0)</f>
        <v>4.0434000000000001</v>
      </c>
      <c r="G177" s="71"/>
      <c r="H177" s="71">
        <f>VLOOKUP($B177,'[1]Products by Part Number'!$A:$L,6,0)</f>
        <v>2.2200000000000002</v>
      </c>
      <c r="I177" s="79">
        <f t="shared" si="3"/>
        <v>31.08</v>
      </c>
    </row>
    <row r="178" spans="2:11" x14ac:dyDescent="0.25">
      <c r="B178" s="78" t="s">
        <v>203</v>
      </c>
      <c r="C178" s="68" t="str">
        <f>VLOOKUP($B178,'[1]Products by Part Number'!$A:$L,2,0)</f>
        <v xml:space="preserve">KOM D71PX-24 (1) KOM D71PX-24 (2) KOM D71PX-24 (3) KOM D71PX-24 (4) KOM D71PX-24 (5) KOM D71PX-24 (6) KOM D71PX-24 (7)                                  </v>
      </c>
      <c r="D178" s="68" t="str">
        <f>VLOOKUP($B178,'[1]Products by Part Number'!$A:$L,3,0)</f>
        <v>CUTTING EDGE</v>
      </c>
      <c r="E178" s="69">
        <f>VLOOKUP($B178,'[1]Products by Part Number'!$A:$L,12,0)</f>
        <v>35</v>
      </c>
      <c r="F178" s="70">
        <f>VLOOKUP($B178,'[1]Products by Part Number'!$A:$L,4,0)</f>
        <v>325.91000000000003</v>
      </c>
      <c r="G178" s="71"/>
      <c r="H178" s="71">
        <f>VLOOKUP($B178,'[1]Products by Part Number'!$A:$L,6,0)</f>
        <v>179.25</v>
      </c>
      <c r="I178" s="79">
        <f t="shared" si="3"/>
        <v>6273.75</v>
      </c>
    </row>
    <row r="179" spans="2:11" x14ac:dyDescent="0.25">
      <c r="B179" s="78" t="s">
        <v>204</v>
      </c>
      <c r="C179" s="68" t="str">
        <f>VLOOKUP($B179,'[1]Products by Part Number'!$A:$L,2,0)</f>
        <v xml:space="preserve">KOM D71PX-24 (1) KOM D71PX-24 (2) KOM D71PX-24 (3) KOM D71PX-24 (4) KOM D71PX-24 (5) KOM D71PX-24 (6) KOM D71PX-24 (7)                                  </v>
      </c>
      <c r="D179" s="68" t="str">
        <f>VLOOKUP($B179,'[1]Products by Part Number'!$A:$L,3,0)</f>
        <v>BIT END LH</v>
      </c>
      <c r="E179" s="69">
        <f>VLOOKUP($B179,'[1]Products by Part Number'!$A:$L,12,0)</f>
        <v>35</v>
      </c>
      <c r="F179" s="70">
        <f>VLOOKUP($B179,'[1]Products by Part Number'!$A:$L,4,0)</f>
        <v>185.79</v>
      </c>
      <c r="G179" s="71"/>
      <c r="H179" s="71">
        <f>VLOOKUP($B179,'[1]Products by Part Number'!$A:$L,6,0)</f>
        <v>102.18</v>
      </c>
      <c r="I179" s="79">
        <f t="shared" si="3"/>
        <v>3576.3</v>
      </c>
    </row>
    <row r="180" spans="2:11" x14ac:dyDescent="0.25">
      <c r="B180" s="78" t="s">
        <v>205</v>
      </c>
      <c r="C180" s="68" t="str">
        <f>VLOOKUP($B180,'[1]Products by Part Number'!$A:$L,2,0)</f>
        <v xml:space="preserve">KOM D71PX-24 (1) KOM D71PX-24 (2) KOM D71PX-24 (3) KOM D71PX-24 (4) KOM D71PX-24 (5) KOM D71PX-24 (6) KOM D71PX-24 (7)                                  </v>
      </c>
      <c r="D180" s="68" t="str">
        <f>VLOOKUP($B180,'[1]Products by Part Number'!$A:$L,3,0)</f>
        <v>BIT END RH</v>
      </c>
      <c r="E180" s="69">
        <f>VLOOKUP($B180,'[1]Products by Part Number'!$A:$L,12,0)</f>
        <v>35</v>
      </c>
      <c r="F180" s="70">
        <f>VLOOKUP($B180,'[1]Products by Part Number'!$A:$L,4,0)</f>
        <v>196.94</v>
      </c>
      <c r="G180" s="71"/>
      <c r="H180" s="71">
        <f>VLOOKUP($B180,'[1]Products by Part Number'!$A:$L,6,0)</f>
        <v>108.32</v>
      </c>
      <c r="I180" s="79">
        <f t="shared" si="3"/>
        <v>3791.2</v>
      </c>
    </row>
    <row r="181" spans="2:11" x14ac:dyDescent="0.25">
      <c r="B181" s="78" t="s">
        <v>206</v>
      </c>
      <c r="C181" s="68" t="str">
        <f>VLOOKUP($B181,'[1]Products by Part Number'!$A:$L,2,0)</f>
        <v xml:space="preserve">CAT 255 CAT 255 (2) CAT 255 (FL7)                                          </v>
      </c>
      <c r="D181" s="68" t="str">
        <f>VLOOKUP($B181,'[1]Products by Part Number'!$A:$L,3,0)</f>
        <v>BOLT CUTTING EDGE</v>
      </c>
      <c r="E181" s="69">
        <f>VLOOKUP($B181,'[1]Products by Part Number'!$A:$L,12,0)</f>
        <v>48</v>
      </c>
      <c r="F181" s="70">
        <f>VLOOKUP($B181,'[1]Products by Part Number'!$A:$L,4,0)</f>
        <v>4.6500000000000004</v>
      </c>
      <c r="G181" s="71"/>
      <c r="H181" s="71">
        <f>VLOOKUP($B181,'[1]Products by Part Number'!$A:$L,6,0)</f>
        <v>2.56</v>
      </c>
      <c r="I181" s="79">
        <f t="shared" si="3"/>
        <v>122.88</v>
      </c>
    </row>
    <row r="182" spans="2:11" x14ac:dyDescent="0.25">
      <c r="B182" s="78" t="s">
        <v>40</v>
      </c>
      <c r="C182" s="68" t="str">
        <f>VLOOKUP($B182,'[1]Products by Part Number'!$A:$L,2,0)</f>
        <v xml:space="preserve">CAT 14 (EN4)                                              </v>
      </c>
      <c r="D182" s="68" t="str">
        <f>VLOOKUP($B182,'[1]Products by Part Number'!$A:$L,3,0)</f>
        <v>NUTS CUTTING EDGE/BIT END</v>
      </c>
      <c r="E182" s="69">
        <f>VLOOKUP($B182,'[1]Products by Part Number'!$A:$L,12,0)</f>
        <v>660</v>
      </c>
      <c r="F182" s="70">
        <f>VLOOKUP($B182,'[1]Products by Part Number'!$A:$L,4,0)</f>
        <v>3.53</v>
      </c>
      <c r="G182" s="71"/>
      <c r="H182" s="71">
        <f>VLOOKUP($B182,'[1]Products by Part Number'!$A:$L,6,0)</f>
        <v>1.94</v>
      </c>
      <c r="I182" s="79">
        <f t="shared" si="3"/>
        <v>1280.4000000000001</v>
      </c>
    </row>
    <row r="183" spans="2:11" x14ac:dyDescent="0.25">
      <c r="B183" s="78" t="s">
        <v>207</v>
      </c>
      <c r="C183" s="68" t="str">
        <f>VLOOKUP($B183,'[1]Products by Part Number'!$A:$L,2,0)</f>
        <v xml:space="preserve">CAT 329EL (ZCD)                                              </v>
      </c>
      <c r="D183" s="68" t="str">
        <f>VLOOKUP($B183,'[1]Products by Part Number'!$A:$L,3,0)</f>
        <v>NUT CUTTING EDGE</v>
      </c>
      <c r="E183" s="69">
        <f>VLOOKUP($B183,'[1]Products by Part Number'!$A:$L,12,0)</f>
        <v>48</v>
      </c>
      <c r="F183" s="70">
        <f>VLOOKUP($B183,'[1]Products by Part Number'!$A:$L,4,0)</f>
        <v>7.97</v>
      </c>
      <c r="G183" s="71"/>
      <c r="H183" s="71">
        <f>VLOOKUP($B183,'[1]Products by Part Number'!$A:$L,6,0)</f>
        <v>4.38</v>
      </c>
      <c r="I183" s="79">
        <f t="shared" si="3"/>
        <v>210.24</v>
      </c>
    </row>
    <row r="184" spans="2:11" x14ac:dyDescent="0.25">
      <c r="B184" s="78" t="s">
        <v>208</v>
      </c>
      <c r="C184" s="68" t="str">
        <f>VLOOKUP($B184,'[1]Products by Part Number'!$A:$L,2,0)</f>
        <v xml:space="preserve">KOM WA320-8 (867) KOM WA320PZ-6 (729)                                            </v>
      </c>
      <c r="D184" s="68" t="str">
        <f>VLOOKUP($B184,'[1]Products by Part Number'!$A:$L,3,0)</f>
        <v>CUTTING EDGE</v>
      </c>
      <c r="E184" s="69">
        <f>VLOOKUP($B184,'[1]Products by Part Number'!$A:$L,12,0)</f>
        <v>4</v>
      </c>
      <c r="F184" s="70">
        <f>VLOOKUP($B184,'[1]Products by Part Number'!$A:$L,4,0)</f>
        <v>1105.51</v>
      </c>
      <c r="G184" s="71"/>
      <c r="H184" s="71">
        <f>VLOOKUP($B184,'[1]Products by Part Number'!$A:$L,6,0)</f>
        <v>608.03</v>
      </c>
      <c r="I184" s="79">
        <f t="shared" si="3"/>
        <v>2432.12</v>
      </c>
    </row>
    <row r="185" spans="2:11" x14ac:dyDescent="0.25">
      <c r="B185" s="78" t="s">
        <v>209</v>
      </c>
      <c r="C185" s="68" t="str">
        <f>VLOOKUP($B185,'[1]Products by Part Number'!$A:$L,2,0)</f>
        <v xml:space="preserve">KOM WA320-8 (867) KOM WA320PZ-6 (729)                                            </v>
      </c>
      <c r="D185" s="68" t="str">
        <f>VLOOKUP($B185,'[1]Products by Part Number'!$A:$L,3,0)</f>
        <v>CUTTING EDGE</v>
      </c>
      <c r="E185" s="69">
        <f>VLOOKUP($B185,'[1]Products by Part Number'!$A:$L,12,0)</f>
        <v>8</v>
      </c>
      <c r="F185" s="70">
        <f>VLOOKUP($B185,'[1]Products by Part Number'!$A:$L,4,0)</f>
        <v>414.98</v>
      </c>
      <c r="G185" s="71"/>
      <c r="H185" s="71">
        <f>VLOOKUP($B185,'[1]Products by Part Number'!$A:$L,6,0)</f>
        <v>228.24</v>
      </c>
      <c r="I185" s="79">
        <f t="shared" si="3"/>
        <v>1825.92</v>
      </c>
    </row>
    <row r="186" spans="2:11" x14ac:dyDescent="0.25">
      <c r="B186" s="78" t="s">
        <v>210</v>
      </c>
      <c r="C186" s="68" t="str">
        <f>VLOOKUP($B186,'[1]Products by Part Number'!$A:$L,2,0)</f>
        <v xml:space="preserve">KOM WA475-10 (120)                                              </v>
      </c>
      <c r="D186" s="68" t="str">
        <f>VLOOKUP($B186,'[1]Products by Part Number'!$A:$L,3,0)</f>
        <v>CUTTING EDGE</v>
      </c>
      <c r="E186" s="69">
        <f>VLOOKUP($B186,'[1]Products by Part Number'!$A:$L,12,0)</f>
        <v>4</v>
      </c>
      <c r="F186" s="70">
        <f>VLOOKUP($B186,'[1]Products by Part Number'!$A:$L,4,0)</f>
        <v>1014.34</v>
      </c>
      <c r="G186" s="71"/>
      <c r="H186" s="71">
        <f>VLOOKUP($B186,'[1]Products by Part Number'!$A:$L,6,0)</f>
        <v>557.89</v>
      </c>
      <c r="I186" s="79">
        <f t="shared" si="3"/>
        <v>2231.56</v>
      </c>
    </row>
    <row r="187" spans="2:11" x14ac:dyDescent="0.25">
      <c r="B187" s="78" t="s">
        <v>211</v>
      </c>
      <c r="C187" s="68" t="str">
        <f>VLOOKUP($B187,'[1]Products by Part Number'!$A:$L,2,0)</f>
        <v xml:space="preserve">KOM WA475-10 (120)                                              </v>
      </c>
      <c r="D187" s="68" t="str">
        <f>VLOOKUP($B187,'[1]Products by Part Number'!$A:$L,3,0)</f>
        <v>CUTING EDGE</v>
      </c>
      <c r="E187" s="69">
        <f>VLOOKUP($B187,'[1]Products by Part Number'!$A:$L,12,0)</f>
        <v>4</v>
      </c>
      <c r="F187" s="70">
        <f>VLOOKUP($B187,'[1]Products by Part Number'!$A:$L,4,0)</f>
        <v>400.54</v>
      </c>
      <c r="G187" s="71"/>
      <c r="H187" s="71">
        <f>VLOOKUP($B187,'[1]Products by Part Number'!$A:$L,6,0)</f>
        <v>220.3</v>
      </c>
      <c r="I187" s="79">
        <f t="shared" si="3"/>
        <v>881.2</v>
      </c>
    </row>
    <row r="188" spans="2:11" x14ac:dyDescent="0.25">
      <c r="B188" s="78" t="s">
        <v>212</v>
      </c>
      <c r="C188" s="68" t="str">
        <f>VLOOKUP($B188,'[1]Products by Part Number'!$A:$L,2,0)</f>
        <v xml:space="preserve">KOM WA380-8 (1) KOM WA380-8 (2)                                            </v>
      </c>
      <c r="D188" s="68" t="str">
        <f>VLOOKUP($B188,'[1]Products by Part Number'!$A:$L,3,0)</f>
        <v>CUTTING EDGE</v>
      </c>
      <c r="E188" s="69">
        <f>VLOOKUP($B188,'[1]Products by Part Number'!$A:$L,12,0)</f>
        <v>8</v>
      </c>
      <c r="F188" s="70">
        <f>VLOOKUP($B188,'[1]Products by Part Number'!$A:$L,4,0)</f>
        <v>396.35</v>
      </c>
      <c r="G188" s="71"/>
      <c r="H188" s="71">
        <f>VLOOKUP($B188,'[1]Products by Part Number'!$A:$L,6,0)</f>
        <v>217.99</v>
      </c>
      <c r="I188" s="79">
        <f t="shared" si="3"/>
        <v>1743.92</v>
      </c>
    </row>
    <row r="189" spans="2:11" x14ac:dyDescent="0.25">
      <c r="B189" s="78" t="s">
        <v>213</v>
      </c>
      <c r="C189" s="68" t="str">
        <f>VLOOKUP($B189,'[1]Products by Part Number'!$A:$L,2,0)</f>
        <v xml:space="preserve">KOM WA380-8 (1) KOM WA380-8 (2)                                            </v>
      </c>
      <c r="D189" s="68" t="str">
        <f>VLOOKUP($B189,'[1]Products by Part Number'!$A:$L,3,0)</f>
        <v>CUTTING EDGE</v>
      </c>
      <c r="E189" s="69">
        <f>VLOOKUP($B189,'[1]Products by Part Number'!$A:$L,12,0)</f>
        <v>4</v>
      </c>
      <c r="F189" s="70">
        <f>VLOOKUP($B189,'[1]Products by Part Number'!$A:$L,4,0)</f>
        <v>1133.8699999999999</v>
      </c>
      <c r="G189" s="71"/>
      <c r="H189" s="71">
        <f>VLOOKUP($B189,'[1]Products by Part Number'!$A:$L,6,0)</f>
        <v>623.63</v>
      </c>
      <c r="I189" s="79">
        <f t="shared" si="3"/>
        <v>2494.52</v>
      </c>
    </row>
    <row r="190" spans="2:11" x14ac:dyDescent="0.25">
      <c r="B190" s="78" t="s">
        <v>214</v>
      </c>
      <c r="C190" s="68" t="str">
        <f>VLOOKUP($B190,'[1]Products by Part Number'!$A:$L,2,0)</f>
        <v xml:space="preserve">CAT 329EL (ZCD)                                              </v>
      </c>
      <c r="D190" s="68" t="str">
        <f>VLOOKUP($B190,'[1]Products by Part Number'!$A:$L,3,0)</f>
        <v>CUTTING EDGE BUCKET</v>
      </c>
      <c r="E190" s="69">
        <f>VLOOKUP($B190,'[1]Products by Part Number'!$A:$L,12,0)</f>
        <v>12</v>
      </c>
      <c r="F190" s="70">
        <f>VLOOKUP($B190,'[1]Products by Part Number'!$A:$L,4,0)</f>
        <v>242.74</v>
      </c>
      <c r="G190" s="71"/>
      <c r="H190" s="71">
        <f>VLOOKUP($B190,'[1]Products by Part Number'!$A:$L,6,0)</f>
        <v>133.51</v>
      </c>
      <c r="I190" s="79">
        <f t="shared" si="3"/>
        <v>1602.12</v>
      </c>
    </row>
    <row r="191" spans="2:11" x14ac:dyDescent="0.25">
      <c r="B191" s="78" t="s">
        <v>215</v>
      </c>
      <c r="C191" s="68" t="str">
        <f>VLOOKUP($B191,'[1]Products by Part Number'!$A:$L,2,0)</f>
        <v xml:space="preserve">CAT 329EL (ZCD)                                              </v>
      </c>
      <c r="D191" s="68" t="str">
        <f>VLOOKUP($B191,'[1]Products by Part Number'!$A:$L,3,0)</f>
        <v>BOLT CUTTING EDGE</v>
      </c>
      <c r="E191" s="69">
        <f>VLOOKUP($B191,'[1]Products by Part Number'!$A:$L,12,0)</f>
        <v>48</v>
      </c>
      <c r="F191" s="70">
        <f>VLOOKUP($B191,'[1]Products by Part Number'!$A:$L,4,0)</f>
        <v>10.41</v>
      </c>
      <c r="G191" s="71"/>
      <c r="H191" s="71">
        <f>VLOOKUP($B191,'[1]Products by Part Number'!$A:$L,6,0)</f>
        <v>5.73</v>
      </c>
      <c r="I191" s="79">
        <f t="shared" si="3"/>
        <v>275.04000000000002</v>
      </c>
      <c r="K191" s="48"/>
    </row>
    <row r="192" spans="2:11" x14ac:dyDescent="0.25">
      <c r="B192" s="78" t="s">
        <v>216</v>
      </c>
      <c r="C192" s="68" t="str">
        <f>VLOOKUP($B192,'[1]Products by Part Number'!$A:$L,2,0)</f>
        <v xml:space="preserve">CAT 14 (EN4)                                              </v>
      </c>
      <c r="D192" s="68" t="str">
        <f>VLOOKUP($B192,'[1]Products by Part Number'!$A:$L,3,0)</f>
        <v>CUTTING EDGE</v>
      </c>
      <c r="E192" s="69">
        <f>VLOOKUP($B192,'[1]Products by Part Number'!$A:$L,12,0)</f>
        <v>4</v>
      </c>
      <c r="F192" s="70">
        <f>VLOOKUP($B192,'[1]Products by Part Number'!$A:$L,4,0)</f>
        <v>492.82</v>
      </c>
      <c r="G192" s="71"/>
      <c r="H192" s="71">
        <f>VLOOKUP($B192,'[1]Products by Part Number'!$A:$L,6,0)</f>
        <v>271.05</v>
      </c>
      <c r="I192" s="79">
        <f t="shared" si="3"/>
        <v>1084.2</v>
      </c>
    </row>
    <row r="193" spans="2:9" x14ac:dyDescent="0.25">
      <c r="B193" s="78" t="s">
        <v>42</v>
      </c>
      <c r="C193" s="68" t="str">
        <f>VLOOKUP($B193,'[1]Products by Part Number'!$A:$L,2,0)</f>
        <v xml:space="preserve">CAT 14 (EN4)                                              </v>
      </c>
      <c r="D193" s="68" t="str">
        <f>VLOOKUP($B193,'[1]Products by Part Number'!$A:$L,3,0)</f>
        <v>BOLTS CUTTING EDGE/BIT END</v>
      </c>
      <c r="E193" s="69">
        <f>VLOOKUP($B193,'[1]Products by Part Number'!$A:$L,12,0)</f>
        <v>660</v>
      </c>
      <c r="F193" s="70">
        <f>VLOOKUP($B193,'[1]Products by Part Number'!$A:$L,4,0)</f>
        <v>4.3600000000000003</v>
      </c>
      <c r="G193" s="71"/>
      <c r="H193" s="71">
        <f>VLOOKUP($B193,'[1]Products by Part Number'!$A:$L,6,0)</f>
        <v>2.4</v>
      </c>
      <c r="I193" s="79">
        <f t="shared" si="3"/>
        <v>1584</v>
      </c>
    </row>
    <row r="194" spans="2:9" x14ac:dyDescent="0.25">
      <c r="B194" s="78" t="s">
        <v>217</v>
      </c>
      <c r="C194" s="68" t="str">
        <f>VLOOKUP($B194,'[1]Products by Part Number'!$A:$L,2,0)</f>
        <v xml:space="preserve">CAT 329EL (ZCD)                                              </v>
      </c>
      <c r="D194" s="68" t="str">
        <f>VLOOKUP($B194,'[1]Products by Part Number'!$A:$L,3,0)</f>
        <v>WASHER CUTTING EDGE</v>
      </c>
      <c r="E194" s="69">
        <f>VLOOKUP($B194,'[1]Products by Part Number'!$A:$L,12,0)</f>
        <v>48</v>
      </c>
      <c r="F194" s="70">
        <f>VLOOKUP($B194,'[1]Products by Part Number'!$A:$L,4,0)</f>
        <v>7.38</v>
      </c>
      <c r="G194" s="71"/>
      <c r="H194" s="71">
        <f>VLOOKUP($B194,'[1]Products by Part Number'!$A:$L,6,0)</f>
        <v>4.0599999999999996</v>
      </c>
      <c r="I194" s="79">
        <f t="shared" si="3"/>
        <v>194.88</v>
      </c>
    </row>
    <row r="195" spans="2:9" x14ac:dyDescent="0.25">
      <c r="B195" s="78" t="s">
        <v>218</v>
      </c>
      <c r="C195" s="68" t="str">
        <f>VLOOKUP($B195,'[1]Products by Part Number'!$A:$L,2,0)</f>
        <v xml:space="preserve">CAT 14 (EN4)                                              </v>
      </c>
      <c r="D195" s="68" t="str">
        <f>VLOOKUP($B195,'[1]Products by Part Number'!$A:$L,3,0)</f>
        <v>BIT END</v>
      </c>
      <c r="E195" s="69">
        <f>VLOOKUP($B195,'[1]Products by Part Number'!$A:$L,12,0)</f>
        <v>2</v>
      </c>
      <c r="F195" s="70">
        <f>VLOOKUP($B195,'[1]Products by Part Number'!$A:$L,4,0)</f>
        <v>221.04</v>
      </c>
      <c r="G195" s="71"/>
      <c r="H195" s="71">
        <f>VLOOKUP($B195,'[1]Products by Part Number'!$A:$L,6,0)</f>
        <v>121.57</v>
      </c>
      <c r="I195" s="79">
        <f t="shared" si="3"/>
        <v>243.14</v>
      </c>
    </row>
    <row r="196" spans="2:9" x14ac:dyDescent="0.25">
      <c r="B196" s="78" t="s">
        <v>219</v>
      </c>
      <c r="C196" s="68" t="str">
        <f>VLOOKUP($B196,'[1]Products by Part Number'!$A:$L,2,0)</f>
        <v xml:space="preserve">CAT 255 CAT 255 (2) CAT 255 (FL7)                                          </v>
      </c>
      <c r="D196" s="68" t="str">
        <f>VLOOKUP($B196,'[1]Products by Part Number'!$A:$L,3,0)</f>
        <v>NUT CUTTING EDGE</v>
      </c>
      <c r="E196" s="69">
        <f>VLOOKUP($B196,'[1]Products by Part Number'!$A:$L,12,0)</f>
        <v>48</v>
      </c>
      <c r="F196" s="70">
        <f>VLOOKUP($B196,'[1]Products by Part Number'!$A:$L,4,0)</f>
        <v>8.8699999999999992</v>
      </c>
      <c r="G196" s="71"/>
      <c r="H196" s="71">
        <f>VLOOKUP($B196,'[1]Products by Part Number'!$A:$L,6,0)</f>
        <v>4.88</v>
      </c>
      <c r="I196" s="79">
        <f t="shared" si="3"/>
        <v>234.24</v>
      </c>
    </row>
    <row r="197" spans="2:9" x14ac:dyDescent="0.25">
      <c r="B197" s="78" t="s">
        <v>220</v>
      </c>
      <c r="C197" s="68" t="str">
        <f>VLOOKUP($B197,'[1]Products by Part Number'!$A:$L,2,0)</f>
        <v xml:space="preserve">KOM PC138USLC-11 KOM PC238USLC-11 (1)                                            </v>
      </c>
      <c r="D197" s="68" t="str">
        <f>VLOOKUP($B197,'[1]Products by Part Number'!$A:$L,3,0)</f>
        <v>TOOTH BUCKET</v>
      </c>
      <c r="E197" s="69">
        <f>VLOOKUP($B197,'[1]Products by Part Number'!$A:$L,12,0)</f>
        <v>48</v>
      </c>
      <c r="F197" s="70">
        <f>VLOOKUP($B197,'[1]Products by Part Number'!$A:$L,4,0)</f>
        <v>141.79</v>
      </c>
      <c r="G197" s="71"/>
      <c r="H197" s="71">
        <f>VLOOKUP($B197,'[1]Products by Part Number'!$A:$L,6,0)</f>
        <v>77.98</v>
      </c>
      <c r="I197" s="79">
        <f t="shared" si="3"/>
        <v>3743.04</v>
      </c>
    </row>
    <row r="198" spans="2:9" x14ac:dyDescent="0.25">
      <c r="B198" s="78" t="s">
        <v>221</v>
      </c>
      <c r="C198" s="68" t="str">
        <f>VLOOKUP($B198,'[1]Products by Part Number'!$A:$L,2,0)</f>
        <v xml:space="preserve">KOM PC360LC-11 (A37) KOM PC360LC-11 (A39) KOM PC360LC-11 (A39) (2) KOM PC290LC-11 (K73)                                        </v>
      </c>
      <c r="D198" s="68" t="str">
        <f>VLOOKUP($B198,'[1]Products by Part Number'!$A:$L,3,0)</f>
        <v>TOOTH BUCKET</v>
      </c>
      <c r="E198" s="69">
        <f>VLOOKUP($B198,'[1]Products by Part Number'!$A:$L,12,0)</f>
        <v>96</v>
      </c>
      <c r="F198" s="70">
        <f>VLOOKUP($B198,'[1]Products by Part Number'!$A:$L,4,0)</f>
        <v>338.5</v>
      </c>
      <c r="G198" s="71"/>
      <c r="H198" s="71">
        <f>VLOOKUP($B198,'[1]Products by Part Number'!$A:$L,6,0)</f>
        <v>186.18</v>
      </c>
      <c r="I198" s="79">
        <f t="shared" si="3"/>
        <v>17873.28</v>
      </c>
    </row>
    <row r="199" spans="2:9" x14ac:dyDescent="0.25">
      <c r="B199" s="78" t="s">
        <v>222</v>
      </c>
      <c r="C199" s="68" t="str">
        <f>VLOOKUP($B199,'[1]Products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</c>
      <c r="D199" s="68" t="str">
        <f>VLOOKUP($B199,'[1]Products by Part Number'!$A:$L,3,0)</f>
        <v>TOOTH BUCKET</v>
      </c>
      <c r="E199" s="69">
        <f>VLOOKUP($B199,'[1]Products by Part Number'!$A:$L,12,0)</f>
        <v>216</v>
      </c>
      <c r="F199" s="70">
        <f>VLOOKUP($B199,'[1]Products by Part Number'!$A:$L,4,0)</f>
        <v>378.83</v>
      </c>
      <c r="G199" s="71"/>
      <c r="H199" s="71">
        <f>VLOOKUP($B199,'[1]Products by Part Number'!$A:$L,6,0)</f>
        <v>208.36</v>
      </c>
      <c r="I199" s="79">
        <f t="shared" si="3"/>
        <v>45005.760000000002</v>
      </c>
    </row>
    <row r="200" spans="2:9" x14ac:dyDescent="0.25">
      <c r="B200" s="78" t="s">
        <v>223</v>
      </c>
      <c r="C200" s="68" t="str">
        <f>VLOOKUP($B200,'[1]Products by Part Number'!$A:$L,2,0)</f>
        <v xml:space="preserve">KOM PC138USLC-11 KOM PC238USLC-11 (1)                                            </v>
      </c>
      <c r="D200" s="68" t="str">
        <f>VLOOKUP($B200,'[1]Products by Part Number'!$A:$L,3,0)</f>
        <v>PIN TOOTH</v>
      </c>
      <c r="E200" s="69">
        <f>VLOOKUP($B200,'[1]Products by Part Number'!$A:$L,12,0)</f>
        <v>48</v>
      </c>
      <c r="F200" s="70">
        <f>VLOOKUP($B200,'[1]Products by Part Number'!$A:$L,4,0)</f>
        <v>62.19</v>
      </c>
      <c r="G200" s="71"/>
      <c r="H200" s="71">
        <f>VLOOKUP($B200,'[1]Products by Part Number'!$A:$L,6,0)</f>
        <v>34.200000000000003</v>
      </c>
      <c r="I200" s="79">
        <f t="shared" si="3"/>
        <v>1641.6</v>
      </c>
    </row>
    <row r="201" spans="2:9" x14ac:dyDescent="0.25">
      <c r="B201" s="78" t="s">
        <v>224</v>
      </c>
      <c r="C201" s="68" t="str">
        <f>VLOOKUP($B201,'[1]Products by Part Number'!$A:$L,2,0)</f>
        <v xml:space="preserve">KOM PC360LC-11 (A37) KOM PC360LC-11 (A39) KOM PC360LC-11 (A39) (2) KOM PC290LC-11 (K73)                                        </v>
      </c>
      <c r="D201" s="68" t="str">
        <f>VLOOKUP($B201,'[1]Products by Part Number'!$A:$L,3,0)</f>
        <v>PTI TOOTH</v>
      </c>
      <c r="E201" s="69">
        <f>VLOOKUP($B201,'[1]Products by Part Number'!$A:$L,12,0)</f>
        <v>96</v>
      </c>
      <c r="F201" s="70">
        <f>VLOOKUP($B201,'[1]Products by Part Number'!$A:$L,4,0)</f>
        <v>124.34</v>
      </c>
      <c r="G201" s="71"/>
      <c r="H201" s="71">
        <f>VLOOKUP($B201,'[1]Products by Part Number'!$A:$L,6,0)</f>
        <v>68.39</v>
      </c>
      <c r="I201" s="79">
        <f t="shared" si="3"/>
        <v>6565.44</v>
      </c>
    </row>
    <row r="202" spans="2:9" x14ac:dyDescent="0.25">
      <c r="B202" s="78" t="s">
        <v>225</v>
      </c>
      <c r="C202" s="68" t="str">
        <f>VLOOKUP($B202,'[1]Products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</c>
      <c r="D202" s="68" t="str">
        <f>VLOOKUP($B202,'[1]Products by Part Number'!$A:$L,3,0)</f>
        <v>PIN TOOTH</v>
      </c>
      <c r="E202" s="69">
        <f>VLOOKUP($B202,'[1]Products by Part Number'!$A:$L,12,0)</f>
        <v>216</v>
      </c>
      <c r="F202" s="70">
        <f>VLOOKUP($B202,'[1]Products by Part Number'!$A:$L,4,0)</f>
        <v>149.11000000000001</v>
      </c>
      <c r="G202" s="71"/>
      <c r="H202" s="71">
        <f>VLOOKUP($B202,'[1]Products by Part Number'!$A:$L,6,0)</f>
        <v>82.01</v>
      </c>
      <c r="I202" s="79">
        <f t="shared" si="3"/>
        <v>17714.16</v>
      </c>
    </row>
    <row r="203" spans="2:9" x14ac:dyDescent="0.25">
      <c r="B203" s="78" t="s">
        <v>226</v>
      </c>
      <c r="C203" s="68" t="str">
        <f>VLOOKUP($B203,'[1]Products by Part Number'!$A:$L,2,0)</f>
        <v xml:space="preserve">KOM WA320-8 (867) KOM WA320PZ-6 (729)                                            </v>
      </c>
      <c r="D203" s="68" t="str">
        <f>VLOOKUP($B203,'[1]Products by Part Number'!$A:$L,3,0)</f>
        <v>NUT CUTTING EDGE</v>
      </c>
      <c r="E203" s="69">
        <f>VLOOKUP($B203,'[1]Products by Part Number'!$A:$L,12,0)</f>
        <v>32</v>
      </c>
      <c r="F203" s="70">
        <f>VLOOKUP($B203,'[1]Products by Part Number'!$A:$L,4,0)</f>
        <v>1.39</v>
      </c>
      <c r="G203" s="71"/>
      <c r="H203" s="71">
        <f>VLOOKUP($B203,'[1]Products by Part Number'!$A:$L,6,0)</f>
        <v>0.76</v>
      </c>
      <c r="I203" s="79">
        <f t="shared" si="3"/>
        <v>24.32</v>
      </c>
    </row>
    <row r="204" spans="2:9" x14ac:dyDescent="0.25">
      <c r="B204" s="78" t="s">
        <v>227</v>
      </c>
      <c r="C204" s="68" t="str">
        <f>VLOOKUP($B204,'[1]Products by Part Number'!$A:$L,2,0)</f>
        <v xml:space="preserve">KOM D61PX-24 (B60)                                              </v>
      </c>
      <c r="D204" s="68" t="str">
        <f>VLOOKUP($B204,'[1]Products by Part Number'!$A:$L,3,0)</f>
        <v>NUT CUTTING EDGE</v>
      </c>
      <c r="E204" s="69">
        <f>VLOOKUP($B204,'[1]Products by Part Number'!$A:$L,12,0)</f>
        <v>130</v>
      </c>
      <c r="F204" s="70">
        <f>VLOOKUP($B204,'[1]Products by Part Number'!$A:$L,4,0)</f>
        <v>0.56999999999999995</v>
      </c>
      <c r="G204" s="71"/>
      <c r="H204" s="71">
        <f>VLOOKUP($B204,'[1]Products by Part Number'!$A:$L,6,0)</f>
        <v>0.31</v>
      </c>
      <c r="I204" s="79">
        <f t="shared" si="3"/>
        <v>40.299999999999997</v>
      </c>
    </row>
    <row r="205" spans="2:9" x14ac:dyDescent="0.25">
      <c r="B205" s="78" t="s">
        <v>228</v>
      </c>
      <c r="C205" s="68" t="str">
        <f>VLOOKUP($B205,'[1]Products by Part Number'!$A:$L,2,0)</f>
        <v xml:space="preserve">KOM WA380-8 (1) KOM WA380-8 (2) KOM WA475-10 (120)                                          </v>
      </c>
      <c r="D205" s="68" t="str">
        <f>VLOOKUP($B205,'[1]Products by Part Number'!$A:$L,3,0)</f>
        <v>NUT CUTTING EDGE</v>
      </c>
      <c r="E205" s="69">
        <f>VLOOKUP($B205,'[1]Products by Part Number'!$A:$L,12,0)</f>
        <v>92</v>
      </c>
      <c r="F205" s="70">
        <f>VLOOKUP($B205,'[1]Products by Part Number'!$A:$L,4,0)</f>
        <v>0.9</v>
      </c>
      <c r="G205" s="71"/>
      <c r="H205" s="71">
        <f>VLOOKUP($B205,'[1]Products by Part Number'!$A:$L,6,0)</f>
        <v>0.5</v>
      </c>
      <c r="I205" s="79">
        <f t="shared" si="3"/>
        <v>46</v>
      </c>
    </row>
    <row r="206" spans="2:9" x14ac:dyDescent="0.25">
      <c r="B206" s="78" t="s">
        <v>229</v>
      </c>
      <c r="C206" s="68" t="str">
        <f>VLOOKUP($B206,'[1]Products by Part Number'!$A:$L,2,0)</f>
        <v xml:space="preserve">JD 764 (100)                                              </v>
      </c>
      <c r="D206" s="68" t="str">
        <f>VLOOKUP($B206,'[1]Products by Part Number'!$A:$L,3,0)</f>
        <v>WASHER CUTTING EDGE</v>
      </c>
      <c r="E206" s="69">
        <f>VLOOKUP($B206,'[1]Products by Part Number'!$A:$L,12,0)</f>
        <v>105</v>
      </c>
      <c r="F206" s="70">
        <f>VLOOKUP($B206,'[1]Products by Part Number'!$A:$L,4,0)</f>
        <v>2.2631999999999999</v>
      </c>
      <c r="G206" s="71"/>
      <c r="H206" s="71">
        <f>VLOOKUP($B206,'[1]Products by Part Number'!$A:$L,6,0)</f>
        <v>1.24</v>
      </c>
      <c r="I206" s="79">
        <f t="shared" si="3"/>
        <v>130.19999999999999</v>
      </c>
    </row>
    <row r="207" spans="2:9" x14ac:dyDescent="0.25">
      <c r="B207" s="78" t="s">
        <v>230</v>
      </c>
      <c r="C207" s="68" t="str">
        <f>VLOOKUP($B207,'[1]Products by Part Number'!$A:$L,2,0)</f>
        <v xml:space="preserve">JD 624K (DW6)                                              </v>
      </c>
      <c r="D207" s="68" t="str">
        <f>VLOOKUP($B207,'[1]Products by Part Number'!$A:$L,3,0)</f>
        <v>CUTTING EDGE ENDS</v>
      </c>
      <c r="E207" s="69">
        <f>VLOOKUP($B207,'[1]Products by Part Number'!$A:$L,12,0)</f>
        <v>4</v>
      </c>
      <c r="F207" s="70">
        <f>VLOOKUP($B207,'[1]Products by Part Number'!$A:$L,4,0)</f>
        <v>134.6</v>
      </c>
      <c r="G207" s="71"/>
      <c r="H207" s="71">
        <f>VLOOKUP($B207,'[1]Products by Part Number'!$A:$L,6,0)</f>
        <v>74.03</v>
      </c>
      <c r="I207" s="79">
        <f t="shared" si="3"/>
        <v>296.12</v>
      </c>
    </row>
    <row r="208" spans="2:9" x14ac:dyDescent="0.25">
      <c r="B208" s="78" t="s">
        <v>231</v>
      </c>
      <c r="C208" s="68" t="str">
        <f>VLOOKUP($B208,'[1]Products by Part Number'!$A:$L,2,0)</f>
        <v xml:space="preserve">JD 624K (DW6)                                              </v>
      </c>
      <c r="D208" s="68" t="str">
        <f>VLOOKUP($B208,'[1]Products by Part Number'!$A:$L,3,0)</f>
        <v>BOLT CUTTING EDGE</v>
      </c>
      <c r="E208" s="69">
        <f>VLOOKUP($B208,'[1]Products by Part Number'!$A:$L,12,0)</f>
        <v>24</v>
      </c>
      <c r="F208" s="70">
        <f>VLOOKUP($B208,'[1]Products by Part Number'!$A:$L,4,0)</f>
        <v>13.399800000000001</v>
      </c>
      <c r="G208" s="71"/>
      <c r="H208" s="71">
        <f>VLOOKUP($B208,'[1]Products by Part Number'!$A:$L,6,0)</f>
        <v>7.37</v>
      </c>
      <c r="I208" s="79">
        <f t="shared" si="3"/>
        <v>176.88</v>
      </c>
    </row>
    <row r="209" spans="2:9" x14ac:dyDescent="0.25">
      <c r="B209" s="78" t="s">
        <v>232</v>
      </c>
      <c r="C209" s="68" t="str">
        <f>VLOOKUP($B209,'[1]Products by Part Number'!$A:$L,2,0)</f>
        <v xml:space="preserve">JD 624K (DW6)                                              </v>
      </c>
      <c r="D209" s="68" t="str">
        <f>VLOOKUP($B209,'[1]Products by Part Number'!$A:$L,3,0)</f>
        <v>CUTTING EDGE</v>
      </c>
      <c r="E209" s="69">
        <f>VLOOKUP($B209,'[1]Products by Part Number'!$A:$L,12,0)</f>
        <v>4</v>
      </c>
      <c r="F209" s="70">
        <f>VLOOKUP($B209,'[1]Products by Part Number'!$A:$L,4,0)</f>
        <v>517.32000000000005</v>
      </c>
      <c r="G209" s="71"/>
      <c r="H209" s="71">
        <f>VLOOKUP($B209,'[1]Products by Part Number'!$A:$L,6,0)</f>
        <v>284.52999999999997</v>
      </c>
      <c r="I209" s="79">
        <f t="shared" si="3"/>
        <v>1138.1199999999999</v>
      </c>
    </row>
    <row r="210" spans="2:9" x14ac:dyDescent="0.25">
      <c r="B210" s="78" t="s">
        <v>233</v>
      </c>
      <c r="C210" s="68" t="str">
        <f>VLOOKUP($B210,'[1]Products by Part Number'!$A:$L,2,0)</f>
        <v xml:space="preserve">JD 764 (100)                                              </v>
      </c>
      <c r="D210" s="68" t="str">
        <f>VLOOKUP($B210,'[1]Products by Part Number'!$A:$L,3,0)</f>
        <v>BIT END RH</v>
      </c>
      <c r="E210" s="69">
        <f>VLOOKUP($B210,'[1]Products by Part Number'!$A:$L,12,0)</f>
        <v>5</v>
      </c>
      <c r="F210" s="70">
        <f>VLOOKUP($B210,'[1]Products by Part Number'!$A:$L,4,0)</f>
        <v>133.34</v>
      </c>
      <c r="G210" s="71"/>
      <c r="H210" s="71">
        <f>VLOOKUP($B210,'[1]Products by Part Number'!$A:$L,6,0)</f>
        <v>73.34</v>
      </c>
      <c r="I210" s="79">
        <f t="shared" ref="I210:I262" si="4">ROUND(E210*H210,2)</f>
        <v>366.7</v>
      </c>
    </row>
    <row r="211" spans="2:9" x14ac:dyDescent="0.25">
      <c r="B211" s="78" t="s">
        <v>234</v>
      </c>
      <c r="C211" s="68" t="str">
        <f>VLOOKUP($B211,'[1]Products by Part Number'!$A:$L,2,0)</f>
        <v xml:space="preserve">JD 764 (100)                                              </v>
      </c>
      <c r="D211" s="68" t="str">
        <f>VLOOKUP($B211,'[1]Products by Part Number'!$A:$L,3,0)</f>
        <v>BIT END LH</v>
      </c>
      <c r="E211" s="69">
        <f>VLOOKUP($B211,'[1]Products by Part Number'!$A:$L,12,0)</f>
        <v>5</v>
      </c>
      <c r="F211" s="70">
        <f>VLOOKUP($B211,'[1]Products by Part Number'!$A:$L,4,0)</f>
        <v>125.8</v>
      </c>
      <c r="G211" s="71"/>
      <c r="H211" s="71">
        <f>VLOOKUP($B211,'[1]Products by Part Number'!$A:$L,6,0)</f>
        <v>69.19</v>
      </c>
      <c r="I211" s="79">
        <f t="shared" si="4"/>
        <v>345.95</v>
      </c>
    </row>
    <row r="212" spans="2:9" x14ac:dyDescent="0.25">
      <c r="B212" s="78" t="s">
        <v>235</v>
      </c>
      <c r="C212" s="68" t="str">
        <f>VLOOKUP($B212,'[1]Products by Part Number'!$A:$L,2,0)</f>
        <v xml:space="preserve">JD 764 (100)                                              </v>
      </c>
      <c r="D212" s="68" t="str">
        <f>VLOOKUP($B212,'[1]Products by Part Number'!$A:$L,3,0)</f>
        <v>CUTTING EDGE</v>
      </c>
      <c r="E212" s="69">
        <f>VLOOKUP($B212,'[1]Products by Part Number'!$A:$L,12,0)</f>
        <v>5</v>
      </c>
      <c r="F212" s="70">
        <f>VLOOKUP($B212,'[1]Products by Part Number'!$A:$L,4,0)</f>
        <v>607.69679999999994</v>
      </c>
      <c r="G212" s="71"/>
      <c r="H212" s="71">
        <f>VLOOKUP($B212,'[1]Products by Part Number'!$A:$L,6,0)</f>
        <v>334.23</v>
      </c>
      <c r="I212" s="79">
        <f t="shared" si="4"/>
        <v>1671.15</v>
      </c>
    </row>
    <row r="213" spans="2:9" x14ac:dyDescent="0.25">
      <c r="B213" s="78" t="s">
        <v>236</v>
      </c>
      <c r="C213" s="68" t="str">
        <f>VLOOKUP($B213,'[1]Products by Part Number'!$A:$L,2,0)</f>
        <v xml:space="preserve">JD 333G (1T0)                                              </v>
      </c>
      <c r="D213" s="68" t="str">
        <f>VLOOKUP($B213,'[1]Products by Part Number'!$A:$L,3,0)</f>
        <v>CUTTING EDGE</v>
      </c>
      <c r="E213" s="69">
        <f>VLOOKUP($B213,'[1]Products by Part Number'!$A:$L,12,0)</f>
        <v>2</v>
      </c>
      <c r="F213" s="70">
        <f>VLOOKUP($B213,'[1]Products by Part Number'!$A:$L,4,0)</f>
        <v>249.35220000000001</v>
      </c>
      <c r="G213" s="71"/>
      <c r="H213" s="71">
        <f>VLOOKUP($B213,'[1]Products by Part Number'!$A:$L,6,0)</f>
        <v>137.13999999999999</v>
      </c>
      <c r="I213" s="79">
        <f t="shared" si="4"/>
        <v>274.27999999999997</v>
      </c>
    </row>
    <row r="214" spans="2:9" x14ac:dyDescent="0.25">
      <c r="B214" s="78" t="s">
        <v>237</v>
      </c>
      <c r="C214" s="68" t="str">
        <f>VLOOKUP($B214,'[1]Products by Part Number'!$A:$L,2,0)</f>
        <v xml:space="preserve">JD 764 (100)                                              </v>
      </c>
      <c r="D214" s="68" t="str">
        <f>VLOOKUP($B214,'[1]Products by Part Number'!$A:$L,3,0)</f>
        <v>BOLT CUTTING EDGE</v>
      </c>
      <c r="E214" s="69">
        <f>VLOOKUP($B214,'[1]Products by Part Number'!$A:$L,12,0)</f>
        <v>105</v>
      </c>
      <c r="F214" s="70">
        <f>VLOOKUP($B214,'[1]Products by Part Number'!$A:$L,4,0)</f>
        <v>8.5559999999999992</v>
      </c>
      <c r="G214" s="71"/>
      <c r="H214" s="71">
        <f>VLOOKUP($B214,'[1]Products by Part Number'!$A:$L,6,0)</f>
        <v>4.71</v>
      </c>
      <c r="I214" s="79">
        <f t="shared" si="4"/>
        <v>494.55</v>
      </c>
    </row>
    <row r="215" spans="2:9" x14ac:dyDescent="0.25">
      <c r="B215" s="78" t="s">
        <v>238</v>
      </c>
      <c r="C215" s="68" t="str">
        <f>VLOOKUP($B215,'[1]Products by Part Number'!$A:$L,2,0)</f>
        <v xml:space="preserve">JD 470P (1FF)                                              </v>
      </c>
      <c r="D215" s="68" t="str">
        <f>VLOOKUP($B215,'[1]Products by Part Number'!$A:$L,3,0)</f>
        <v>BUCKET TOOTH</v>
      </c>
      <c r="E215" s="69">
        <f>VLOOKUP($B215,'[1]Products by Part Number'!$A:$L,12,0)</f>
        <v>32</v>
      </c>
      <c r="F215" s="70">
        <f>VLOOKUP($B215,'[1]Products by Part Number'!$A:$L,4,0)</f>
        <v>275.91000000000003</v>
      </c>
      <c r="G215" s="71"/>
      <c r="H215" s="71">
        <f>VLOOKUP($B215,'[1]Products by Part Number'!$A:$L,6,0)</f>
        <v>151.75</v>
      </c>
      <c r="I215" s="79">
        <f t="shared" si="4"/>
        <v>4856</v>
      </c>
    </row>
    <row r="216" spans="2:9" x14ac:dyDescent="0.25">
      <c r="B216" s="78" t="s">
        <v>239</v>
      </c>
      <c r="C216" s="68" t="str">
        <f>VLOOKUP($B216,'[1]Products by Part Number'!$A:$L,2,0)</f>
        <v xml:space="preserve">CAT 329EL (ZCD)                                              </v>
      </c>
      <c r="D216" s="68" t="str">
        <f>VLOOKUP($B216,'[1]Products by Part Number'!$A:$L,3,0)</f>
        <v>INJECTOR</v>
      </c>
      <c r="E216" s="69">
        <f>VLOOKUP($B216,'[1]Products by Part Number'!$A:$L,12,0)</f>
        <v>6</v>
      </c>
      <c r="F216" s="70">
        <f>VLOOKUP($B216,'[1]Products by Part Number'!$A:$L,4,0)</f>
        <v>1423.26</v>
      </c>
      <c r="G216" s="71"/>
      <c r="H216" s="71">
        <f>VLOOKUP($B216,'[1]Products by Part Number'!$A:$L,6,0)</f>
        <v>996.28</v>
      </c>
      <c r="I216" s="79">
        <f t="shared" si="4"/>
        <v>5977.68</v>
      </c>
    </row>
    <row r="217" spans="2:9" x14ac:dyDescent="0.25">
      <c r="B217" s="78" t="s">
        <v>240</v>
      </c>
      <c r="C217" s="68" t="str">
        <f>VLOOKUP($B217,'[1]Products by Part Number'!$A:$L,2,0)</f>
        <v xml:space="preserve">CAT TL1055C (KDE)                                              </v>
      </c>
      <c r="D217" s="68" t="str">
        <f>VLOOKUP($B217,'[1]Products by Part Number'!$A:$L,3,0)</f>
        <v>INJECTOR</v>
      </c>
      <c r="E217" s="69">
        <f>VLOOKUP($B217,'[1]Products by Part Number'!$A:$L,12,0)</f>
        <v>4</v>
      </c>
      <c r="F217" s="70">
        <f>VLOOKUP($B217,'[1]Products by Part Number'!$A:$L,4,0)</f>
        <v>1093.8599999999999</v>
      </c>
      <c r="G217" s="71"/>
      <c r="H217" s="71">
        <f>VLOOKUP($B217,'[1]Products by Part Number'!$A:$L,6,0)</f>
        <v>765.7</v>
      </c>
      <c r="I217" s="79">
        <f t="shared" si="4"/>
        <v>3062.8</v>
      </c>
    </row>
    <row r="218" spans="2:9" x14ac:dyDescent="0.25">
      <c r="B218" s="78" t="s">
        <v>241</v>
      </c>
      <c r="C218" s="68" t="str">
        <f>VLOOKUP($B218,'[1]Products by Part Number'!$A:$L,2,0)</f>
        <v xml:space="preserve">CAT 14 (EN4)                                              </v>
      </c>
      <c r="D218" s="68" t="str">
        <f>VLOOKUP($B218,'[1]Products by Part Number'!$A:$L,3,0)</f>
        <v>INJECTOR</v>
      </c>
      <c r="E218" s="69">
        <f>VLOOKUP($B218,'[1]Products by Part Number'!$A:$L,12,0)</f>
        <v>6</v>
      </c>
      <c r="F218" s="70">
        <f>VLOOKUP($B218,'[1]Products by Part Number'!$A:$L,4,0)</f>
        <v>2080.54</v>
      </c>
      <c r="G218" s="71"/>
      <c r="H218" s="71">
        <f>VLOOKUP($B218,'[1]Products by Part Number'!$A:$L,6,0)</f>
        <v>1456.38</v>
      </c>
      <c r="I218" s="79">
        <f t="shared" si="4"/>
        <v>8738.2800000000007</v>
      </c>
    </row>
    <row r="219" spans="2:9" x14ac:dyDescent="0.25">
      <c r="B219" s="78" t="s">
        <v>242</v>
      </c>
      <c r="C219" s="68" t="str">
        <f>VLOOKUP($B219,'[1]Products by Part Number'!$A:$L,2,0)</f>
        <v xml:space="preserve">CAT 255 CAT 255 (2) CAT 255 (FL7)                                          </v>
      </c>
      <c r="D219" s="68" t="str">
        <f>VLOOKUP($B219,'[1]Products by Part Number'!$A:$L,3,0)</f>
        <v>INJECTOR</v>
      </c>
      <c r="E219" s="69">
        <f>VLOOKUP($B219,'[1]Products by Part Number'!$A:$L,12,0)</f>
        <v>12</v>
      </c>
      <c r="F219" s="70">
        <f>VLOOKUP($B219,'[1]Products by Part Number'!$A:$L,4,0)</f>
        <v>1093.82</v>
      </c>
      <c r="G219" s="71"/>
      <c r="H219" s="71">
        <f>VLOOKUP($B219,'[1]Products by Part Number'!$A:$L,6,0)</f>
        <v>765.67</v>
      </c>
      <c r="I219" s="79">
        <f t="shared" si="4"/>
        <v>9188.0400000000009</v>
      </c>
    </row>
    <row r="220" spans="2:9" x14ac:dyDescent="0.25">
      <c r="B220" s="78" t="s">
        <v>243</v>
      </c>
      <c r="C220" s="68" t="str">
        <f>VLOOKUP($B220,'[1]Products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KOM WA475-10 (120)                            </v>
      </c>
      <c r="D220" s="68" t="str">
        <f>VLOOKUP($B220,'[1]Products by Part Number'!$A:$L,3,0)</f>
        <v>INJECTOR</v>
      </c>
      <c r="E220" s="69">
        <f>VLOOKUP($B220,'[1]Products by Part Number'!$A:$L,12,0)</f>
        <v>60</v>
      </c>
      <c r="F220" s="70">
        <f>VLOOKUP($B220,'[1]Products by Part Number'!$A:$L,4,0)</f>
        <v>901.07</v>
      </c>
      <c r="G220" s="71"/>
      <c r="H220" s="71">
        <f>VLOOKUP($B220,'[1]Products by Part Number'!$A:$L,6,0)</f>
        <v>630.75</v>
      </c>
      <c r="I220" s="79">
        <f t="shared" si="4"/>
        <v>37845</v>
      </c>
    </row>
    <row r="221" spans="2:9" x14ac:dyDescent="0.25">
      <c r="B221" s="78" t="s">
        <v>244</v>
      </c>
      <c r="C221" s="68" t="str">
        <f>VLOOKUP($B221,'[1]Products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221" s="68" t="str">
        <f>VLOOKUP($B221,'[1]Products by Part Number'!$A:$L,3,0)</f>
        <v>INJECTOR</v>
      </c>
      <c r="E221" s="69">
        <f>VLOOKUP($B221,'[1]Products by Part Number'!$A:$L,12,0)</f>
        <v>84</v>
      </c>
      <c r="F221" s="70">
        <f>VLOOKUP($B221,'[1]Products by Part Number'!$A:$L,4,0)</f>
        <v>1189.99</v>
      </c>
      <c r="G221" s="71"/>
      <c r="H221" s="71">
        <f>VLOOKUP($B221,'[1]Products by Part Number'!$A:$L,6,0)</f>
        <v>832.99</v>
      </c>
      <c r="I221" s="79">
        <f t="shared" si="4"/>
        <v>69971.16</v>
      </c>
    </row>
    <row r="222" spans="2:9" x14ac:dyDescent="0.25">
      <c r="B222" s="78" t="s">
        <v>245</v>
      </c>
      <c r="C222" s="68" t="str">
        <f>VLOOKUP($B222,'[1]Products by Part Number'!$A:$L,2,0)</f>
        <v xml:space="preserve">KOM PC138USLC-11 KOM PC238USLC-11 (1)                                            </v>
      </c>
      <c r="D222" s="68" t="str">
        <f>VLOOKUP($B222,'[1]Products by Part Number'!$A:$L,3,0)</f>
        <v>INJECTOR</v>
      </c>
      <c r="E222" s="69">
        <f>VLOOKUP($B222,'[1]Products by Part Number'!$A:$L,12,0)</f>
        <v>8</v>
      </c>
      <c r="F222" s="70">
        <f>VLOOKUP($B222,'[1]Products by Part Number'!$A:$L,4,0)</f>
        <v>1218.3</v>
      </c>
      <c r="G222" s="71"/>
      <c r="H222" s="71">
        <f>VLOOKUP($B222,'[1]Products by Part Number'!$A:$L,6,0)</f>
        <v>852.81</v>
      </c>
      <c r="I222" s="79">
        <f t="shared" si="4"/>
        <v>6822.48</v>
      </c>
    </row>
    <row r="223" spans="2:9" x14ac:dyDescent="0.25">
      <c r="B223" s="78" t="s">
        <v>246</v>
      </c>
      <c r="C223" s="68" t="str">
        <f>VLOOKUP($B223,'[1]Products by Part Number'!$A:$L,2,0)</f>
        <v xml:space="preserve">KOM D71PX-24 (1) KOM D71PX-24 (2) KOM D71PX-24 (3) KOM D71PX-24 (4) KOM D71PX-24 (5) KOM D71PX-24 (6) KOM D71PX-24 (7) KOM PC360LC-11 (A37) KOM PC360LC-11 (A39) KOM PC360LC-11 (A39) (2)                            </v>
      </c>
      <c r="D223" s="68" t="str">
        <f>VLOOKUP($B223,'[1]Products by Part Number'!$A:$L,3,0)</f>
        <v>INJECTOR</v>
      </c>
      <c r="E223" s="69">
        <f>VLOOKUP($B223,'[1]Products by Part Number'!$A:$L,12,0)</f>
        <v>60</v>
      </c>
      <c r="F223" s="70">
        <f>VLOOKUP($B223,'[1]Products by Part Number'!$A:$L,4,0)</f>
        <v>993.24</v>
      </c>
      <c r="G223" s="71"/>
      <c r="H223" s="71">
        <f>VLOOKUP($B223,'[1]Products by Part Number'!$A:$L,6,0)</f>
        <v>695.27</v>
      </c>
      <c r="I223" s="79">
        <f t="shared" si="4"/>
        <v>41716.199999999997</v>
      </c>
    </row>
    <row r="224" spans="2:9" x14ac:dyDescent="0.25">
      <c r="B224" s="78" t="s">
        <v>247</v>
      </c>
      <c r="C224" s="68" t="str">
        <f>VLOOKUP($B224,'[1]Products by Part Number'!$A:$L,2,0)</f>
        <v xml:space="preserve">KOM PC238USLC-11 (2) KOM WA380-8 (1) KOM WA380-8 (2) KOM WA320-8 (867) KOM WA320PZ-6 (729) KOM PC290LC-11 (K73) KOM D61PX-24 (B60)                                  </v>
      </c>
      <c r="D224" s="68" t="str">
        <f>VLOOKUP($B224,'[1]Products by Part Number'!$A:$L,3,0)</f>
        <v>INJECTOR</v>
      </c>
      <c r="E224" s="69">
        <f>VLOOKUP($B224,'[1]Products by Part Number'!$A:$L,12,0)</f>
        <v>42</v>
      </c>
      <c r="F224" s="70">
        <f>VLOOKUP($B224,'[1]Products by Part Number'!$A:$L,4,0)</f>
        <v>866.09</v>
      </c>
      <c r="G224" s="71"/>
      <c r="H224" s="71">
        <f>VLOOKUP($B224,'[1]Products by Part Number'!$A:$L,6,0)</f>
        <v>606.26</v>
      </c>
      <c r="I224" s="79">
        <f t="shared" si="4"/>
        <v>25462.92</v>
      </c>
    </row>
    <row r="225" spans="2:9" x14ac:dyDescent="0.25">
      <c r="B225" s="78" t="s">
        <v>248</v>
      </c>
      <c r="C225" s="68" t="str">
        <f>VLOOKUP($B225,'[1]Products by Part Number'!$A:$L,2,0)</f>
        <v xml:space="preserve">JD 624K (DW6) JD 764 (100)                                            </v>
      </c>
      <c r="D225" s="68" t="str">
        <f>VLOOKUP($B225,'[1]Products by Part Number'!$A:$L,3,0)</f>
        <v>INJECTOR</v>
      </c>
      <c r="E225" s="69">
        <f>VLOOKUP($B225,'[1]Products by Part Number'!$A:$L,12,0)</f>
        <v>12</v>
      </c>
      <c r="F225" s="70">
        <f>VLOOKUP($B225,'[1]Products by Part Number'!$A:$L,4,0)</f>
        <v>896.8205999999999</v>
      </c>
      <c r="G225" s="71"/>
      <c r="H225" s="71">
        <f>VLOOKUP($B225,'[1]Products by Part Number'!$A:$L,6,0)</f>
        <v>627.77</v>
      </c>
      <c r="I225" s="79">
        <f t="shared" si="4"/>
        <v>7533.24</v>
      </c>
    </row>
    <row r="226" spans="2:9" x14ac:dyDescent="0.25">
      <c r="B226" s="78" t="s">
        <v>249</v>
      </c>
      <c r="C226" s="68" t="str">
        <f>VLOOKUP($B226,'[1]Products by Part Number'!$A:$L,2,0)</f>
        <v xml:space="preserve">JD 333G (1T0)                                              </v>
      </c>
      <c r="D226" s="68" t="str">
        <f>VLOOKUP($B226,'[1]Products by Part Number'!$A:$L,3,0)</f>
        <v>INJECTOR</v>
      </c>
      <c r="E226" s="69">
        <f>VLOOKUP($B226,'[1]Products by Part Number'!$A:$L,12,0)</f>
        <v>4</v>
      </c>
      <c r="F226" s="70">
        <f>VLOOKUP($B226,'[1]Products by Part Number'!$A:$L,4,0)</f>
        <v>1719.0522000000001</v>
      </c>
      <c r="G226" s="71"/>
      <c r="H226" s="71">
        <f>VLOOKUP($B226,'[1]Products by Part Number'!$A:$L,6,0)</f>
        <v>1203.3399999999999</v>
      </c>
      <c r="I226" s="79">
        <f t="shared" si="4"/>
        <v>4813.3599999999997</v>
      </c>
    </row>
    <row r="227" spans="2:9" x14ac:dyDescent="0.25">
      <c r="B227" s="78" t="s">
        <v>250</v>
      </c>
      <c r="C227" s="68" t="str">
        <f>VLOOKUP($B227,'[1]Products by Part Number'!$A:$L,2,0)</f>
        <v xml:space="preserve">JD 470P (1FF)                                              </v>
      </c>
      <c r="D227" s="68" t="str">
        <f>VLOOKUP($B227,'[1]Products by Part Number'!$A:$L,3,0)</f>
        <v>INJECTOR</v>
      </c>
      <c r="E227" s="69">
        <f>VLOOKUP($B227,'[1]Products by Part Number'!$A:$L,12,0)</f>
        <v>6</v>
      </c>
      <c r="F227" s="70">
        <f>VLOOKUP($B227,'[1]Products by Part Number'!$A:$L,4,0)</f>
        <v>2136.9575999999997</v>
      </c>
      <c r="G227" s="71"/>
      <c r="H227" s="71">
        <f>VLOOKUP($B227,'[1]Products by Part Number'!$A:$L,6,0)</f>
        <v>1495.87</v>
      </c>
      <c r="I227" s="79">
        <f t="shared" si="4"/>
        <v>8975.2199999999993</v>
      </c>
    </row>
    <row r="228" spans="2:9" x14ac:dyDescent="0.25">
      <c r="B228" s="78" t="s">
        <v>284</v>
      </c>
      <c r="C228" s="68" t="str">
        <f>VLOOKUP($B228,'[1]Products by Part Number'!$A:$L,2,0)</f>
        <v xml:space="preserve">KOM WA320-8 (867) KOM WA320PZ-6 (729)                                            </v>
      </c>
      <c r="D228" s="68" t="str">
        <f>VLOOKUP($B228,'[1]Products by Part Number'!$A:$L,3,0)</f>
        <v>TIRE 20.5R25</v>
      </c>
      <c r="E228" s="69">
        <f>VLOOKUP($B228,'[1]Products by Part Number'!$A:$L,12,0)</f>
        <v>8</v>
      </c>
      <c r="F228" s="70">
        <f>VLOOKUP($B228,'[1]Products by Part Number'!$A:$L,4,0)</f>
        <v>3694.17</v>
      </c>
      <c r="G228" s="71"/>
      <c r="H228" s="71">
        <f>VLOOKUP($B228,'[1]Products by Part Number'!$A:$L,6,0)</f>
        <v>2031.79</v>
      </c>
      <c r="I228" s="79">
        <f t="shared" si="4"/>
        <v>16254.32</v>
      </c>
    </row>
    <row r="229" spans="2:9" x14ac:dyDescent="0.25">
      <c r="B229" s="78" t="s">
        <v>285</v>
      </c>
      <c r="C229" s="68" t="str">
        <f>VLOOKUP($B229,'[1]Products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229" s="68" t="str">
        <f>VLOOKUP($B229,'[1]Products by Part Number'!$A:$L,3,0)</f>
        <v>TIRE 29.5-R25</v>
      </c>
      <c r="E229" s="69">
        <f>VLOOKUP($B229,'[1]Products by Part Number'!$A:$L,12,0)</f>
        <v>84</v>
      </c>
      <c r="F229" s="70">
        <f>VLOOKUP($B229,'[1]Products by Part Number'!$A:$L,4,0)</f>
        <v>9401.44</v>
      </c>
      <c r="G229" s="71"/>
      <c r="H229" s="71">
        <f>VLOOKUP($B229,'[1]Products by Part Number'!$A:$L,6,0)</f>
        <v>4700.72</v>
      </c>
      <c r="I229" s="79">
        <f t="shared" si="4"/>
        <v>394860.48</v>
      </c>
    </row>
    <row r="230" spans="2:9" x14ac:dyDescent="0.25">
      <c r="B230" s="78" t="s">
        <v>251</v>
      </c>
      <c r="C230" s="68" t="str">
        <f>VLOOKUP($B230,'[1]Products by Part Number'!$A:$L,2,0)</f>
        <v xml:space="preserve">CAT 14 (EN4)                                              </v>
      </c>
      <c r="D230" s="68" t="str">
        <f>VLOOKUP($B230,'[1]Products by Part Number'!$A:$L,3,0)</f>
        <v>TURBOCHARGER</v>
      </c>
      <c r="E230" s="69">
        <f>VLOOKUP($B230,'[1]Products by Part Number'!$A:$L,12,0)</f>
        <v>1</v>
      </c>
      <c r="F230" s="70">
        <f>VLOOKUP($B230,'[1]Products by Part Number'!$A:$L,4,0)</f>
        <v>6480.33</v>
      </c>
      <c r="G230" s="71"/>
      <c r="H230" s="71">
        <f>VLOOKUP($B230,'[1]Products by Part Number'!$A:$L,6,0)</f>
        <v>3240.17</v>
      </c>
      <c r="I230" s="79">
        <f t="shared" si="4"/>
        <v>3240.17</v>
      </c>
    </row>
    <row r="231" spans="2:9" x14ac:dyDescent="0.25">
      <c r="B231" s="78" t="s">
        <v>252</v>
      </c>
      <c r="C231" s="68" t="str">
        <f>VLOOKUP($B231,'[1]Products by Part Number'!$A:$L,2,0)</f>
        <v xml:space="preserve">CAT 329EL (ZCD)                                              </v>
      </c>
      <c r="D231" s="68" t="str">
        <f>VLOOKUP($B231,'[1]Products by Part Number'!$A:$L,3,0)</f>
        <v>TURBOCHARGER</v>
      </c>
      <c r="E231" s="69">
        <f>VLOOKUP($B231,'[1]Products by Part Number'!$A:$L,12,0)</f>
        <v>1</v>
      </c>
      <c r="F231" s="70">
        <f>VLOOKUP($B231,'[1]Products by Part Number'!$A:$L,4,0)</f>
        <v>3792.29</v>
      </c>
      <c r="G231" s="71"/>
      <c r="H231" s="71">
        <f>VLOOKUP($B231,'[1]Products by Part Number'!$A:$L,6,0)</f>
        <v>1896.15</v>
      </c>
      <c r="I231" s="79">
        <f t="shared" si="4"/>
        <v>1896.15</v>
      </c>
    </row>
    <row r="232" spans="2:9" x14ac:dyDescent="0.25">
      <c r="B232" s="78" t="s">
        <v>253</v>
      </c>
      <c r="C232" s="68" t="str">
        <f>VLOOKUP($B232,'[1]Products by Part Number'!$A:$L,2,0)</f>
        <v xml:space="preserve">CAT TL1055C (KDE)                                              </v>
      </c>
      <c r="D232" s="68" t="str">
        <f>VLOOKUP($B232,'[1]Products by Part Number'!$A:$L,3,0)</f>
        <v>TURBOCHARGER</v>
      </c>
      <c r="E232" s="69">
        <f>VLOOKUP($B232,'[1]Products by Part Number'!$A:$L,12,0)</f>
        <v>1</v>
      </c>
      <c r="F232" s="70">
        <f>VLOOKUP($B232,'[1]Products by Part Number'!$A:$L,4,0)</f>
        <v>3328.65</v>
      </c>
      <c r="G232" s="71"/>
      <c r="H232" s="71">
        <f>VLOOKUP($B232,'[1]Products by Part Number'!$A:$L,6,0)</f>
        <v>1664.33</v>
      </c>
      <c r="I232" s="79">
        <f t="shared" si="4"/>
        <v>1664.33</v>
      </c>
    </row>
    <row r="233" spans="2:9" x14ac:dyDescent="0.25">
      <c r="B233" s="78" t="s">
        <v>254</v>
      </c>
      <c r="C233" s="68" t="str">
        <f>VLOOKUP($B233,'[1]Products by Part Number'!$A:$L,2,0)</f>
        <v xml:space="preserve">CAT 255 CAT 255 (2) CAT 255 (FL7)                                          </v>
      </c>
      <c r="D233" s="68" t="str">
        <f>VLOOKUP($B233,'[1]Products by Part Number'!$A:$L,3,0)</f>
        <v>TURBOCHARGER</v>
      </c>
      <c r="E233" s="69">
        <f>VLOOKUP($B233,'[1]Products by Part Number'!$A:$L,12,0)</f>
        <v>3</v>
      </c>
      <c r="F233" s="70">
        <f>VLOOKUP($B233,'[1]Products by Part Number'!$A:$L,4,0)</f>
        <v>2773.6</v>
      </c>
      <c r="G233" s="71"/>
      <c r="H233" s="71">
        <f>VLOOKUP($B233,'[1]Products by Part Number'!$A:$L,6,0)</f>
        <v>1386.8</v>
      </c>
      <c r="I233" s="79">
        <f t="shared" si="4"/>
        <v>4160.3999999999996</v>
      </c>
    </row>
    <row r="234" spans="2:9" x14ac:dyDescent="0.25">
      <c r="B234" s="78" t="s">
        <v>255</v>
      </c>
      <c r="C234" s="68" t="str">
        <f>VLOOKUP($B234,'[1]Products by Part Number'!$A:$L,2,0)</f>
        <v xml:space="preserve">KOM PC138USLC-11 KOM PC238USLC-11 (1)                                            </v>
      </c>
      <c r="D234" s="68" t="str">
        <f>VLOOKUP($B234,'[1]Products by Part Number'!$A:$L,3,0)</f>
        <v>TURBOCHARGER</v>
      </c>
      <c r="E234" s="69">
        <f>VLOOKUP($B234,'[1]Products by Part Number'!$A:$L,12,0)</f>
        <v>2</v>
      </c>
      <c r="F234" s="70">
        <f>VLOOKUP($B234,'[1]Products by Part Number'!$A:$L,4,0)</f>
        <v>6007.95</v>
      </c>
      <c r="G234" s="71"/>
      <c r="H234" s="71">
        <f>VLOOKUP($B234,'[1]Products by Part Number'!$A:$L,6,0)</f>
        <v>3003.98</v>
      </c>
      <c r="I234" s="79">
        <f t="shared" si="4"/>
        <v>6007.96</v>
      </c>
    </row>
    <row r="235" spans="2:9" x14ac:dyDescent="0.25">
      <c r="B235" s="78" t="s">
        <v>256</v>
      </c>
      <c r="C235" s="68" t="str">
        <f>VLOOKUP($B235,'[1]Products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</c>
      <c r="D235" s="68" t="str">
        <f>VLOOKUP($B235,'[1]Products by Part Number'!$A:$L,3,0)</f>
        <v>TURBOCHARGER</v>
      </c>
      <c r="E235" s="69">
        <f>VLOOKUP($B235,'[1]Products by Part Number'!$A:$L,12,0)</f>
        <v>9</v>
      </c>
      <c r="F235" s="70">
        <f>VLOOKUP($B235,'[1]Products by Part Number'!$A:$L,4,0)</f>
        <v>15534.64</v>
      </c>
      <c r="G235" s="71"/>
      <c r="H235" s="71">
        <f>VLOOKUP($B235,'[1]Products by Part Number'!$A:$L,6,0)</f>
        <v>7767.32</v>
      </c>
      <c r="I235" s="79">
        <f t="shared" si="4"/>
        <v>69905.88</v>
      </c>
    </row>
    <row r="236" spans="2:9" x14ac:dyDescent="0.25">
      <c r="B236" s="78" t="s">
        <v>257</v>
      </c>
      <c r="C236" s="68" t="str">
        <f>VLOOKUP($B236,'[1]Products by Part Number'!$A:$L,2,0)</f>
        <v xml:space="preserve">KOM WA475-10 (120)                                              </v>
      </c>
      <c r="D236" s="68" t="str">
        <f>VLOOKUP($B236,'[1]Products by Part Number'!$A:$L,3,0)</f>
        <v>TURBOCHARGER</v>
      </c>
      <c r="E236" s="69">
        <f>VLOOKUP($B236,'[1]Products by Part Number'!$A:$L,12,0)</f>
        <v>1</v>
      </c>
      <c r="F236" s="70">
        <f>VLOOKUP($B236,'[1]Products by Part Number'!$A:$L,4,0)</f>
        <v>18281.09</v>
      </c>
      <c r="G236" s="71"/>
      <c r="H236" s="71">
        <f>VLOOKUP($B236,'[1]Products by Part Number'!$A:$L,6,0)</f>
        <v>9140.5499999999993</v>
      </c>
      <c r="I236" s="79">
        <f t="shared" si="4"/>
        <v>9140.5499999999993</v>
      </c>
    </row>
    <row r="237" spans="2:9" x14ac:dyDescent="0.25">
      <c r="B237" s="78" t="s">
        <v>258</v>
      </c>
      <c r="C237" s="68" t="str">
        <f>VLOOKUP($B237,'[1]Products by Part Number'!$A:$L,2,0)</f>
        <v xml:space="preserve">KOM HM400-5 (1) KOM HM400-5 (2) KOM HM400-5 (3) KOM HM400-5 (4) KOM HM400-5 (5) KOM HM400-5 (6) KOM HM400-5 (7) KOM HM400-5 (8) KOM HM400-5 (9) KOM HM400-5 (10) KOM HM400 (11) KOM HM400 (12) KOM HM400 (13) KOM HM400-5 (14)                    </v>
      </c>
      <c r="D237" s="68" t="str">
        <f>VLOOKUP($B237,'[1]Products by Part Number'!$A:$L,3,0)</f>
        <v>TURBOCHARGER</v>
      </c>
      <c r="E237" s="69">
        <f>VLOOKUP($B237,'[1]Products by Part Number'!$A:$L,12,0)</f>
        <v>14</v>
      </c>
      <c r="F237" s="70">
        <f>VLOOKUP($B237,'[1]Products by Part Number'!$A:$L,4,0)</f>
        <v>18264.490000000002</v>
      </c>
      <c r="G237" s="71"/>
      <c r="H237" s="71">
        <f>VLOOKUP($B237,'[1]Products by Part Number'!$A:$L,6,0)</f>
        <v>9132.25</v>
      </c>
      <c r="I237" s="79">
        <f t="shared" si="4"/>
        <v>127851.5</v>
      </c>
    </row>
    <row r="238" spans="2:9" x14ac:dyDescent="0.25">
      <c r="B238" s="78" t="s">
        <v>259</v>
      </c>
      <c r="C238" s="68" t="str">
        <f>VLOOKUP($B238,'[1]Products by Part Number'!$A:$L,2,0)</f>
        <v xml:space="preserve">KOM PC360LC-11 (A37) KOM PC360LC-11 (A39) KOM PC360LC-11 (A39) (2)                                          </v>
      </c>
      <c r="D238" s="68" t="str">
        <f>VLOOKUP($B238,'[1]Products by Part Number'!$A:$L,3,0)</f>
        <v>TURBOCHARGER</v>
      </c>
      <c r="E238" s="69">
        <f>VLOOKUP($B238,'[1]Products by Part Number'!$A:$L,12,0)</f>
        <v>3</v>
      </c>
      <c r="F238" s="70">
        <f>VLOOKUP($B238,'[1]Products by Part Number'!$A:$L,4,0)</f>
        <v>12799.25</v>
      </c>
      <c r="G238" s="71"/>
      <c r="H238" s="71">
        <f>VLOOKUP($B238,'[1]Products by Part Number'!$A:$L,6,0)</f>
        <v>6399.63</v>
      </c>
      <c r="I238" s="79">
        <f t="shared" si="4"/>
        <v>19198.89</v>
      </c>
    </row>
    <row r="239" spans="2:9" x14ac:dyDescent="0.25">
      <c r="B239" s="78" t="s">
        <v>260</v>
      </c>
      <c r="C239" s="68" t="str">
        <f>VLOOKUP($B239,'[1]Products by Part Number'!$A:$L,2,0)</f>
        <v xml:space="preserve">KOM D71PX-24 (1) KOM D71PX-24 (2) KOM D71PX-24 (3) KOM D71PX-24 (4) KOM D71PX-24 (5) KOM D71PX-24 (6) KOM D71PX-24 (7)                                  </v>
      </c>
      <c r="D239" s="68" t="str">
        <f>VLOOKUP($B239,'[1]Products by Part Number'!$A:$L,3,0)</f>
        <v>TURBOCHARGER</v>
      </c>
      <c r="E239" s="69">
        <f>VLOOKUP($B239,'[1]Products by Part Number'!$A:$L,12,0)</f>
        <v>7</v>
      </c>
      <c r="F239" s="70">
        <f>VLOOKUP($B239,'[1]Products by Part Number'!$A:$L,4,0)</f>
        <v>12782.78</v>
      </c>
      <c r="G239" s="71"/>
      <c r="H239" s="71">
        <f>VLOOKUP($B239,'[1]Products by Part Number'!$A:$L,6,0)</f>
        <v>6391.39</v>
      </c>
      <c r="I239" s="79">
        <f t="shared" si="4"/>
        <v>44739.73</v>
      </c>
    </row>
    <row r="240" spans="2:9" x14ac:dyDescent="0.25">
      <c r="B240" s="78" t="s">
        <v>261</v>
      </c>
      <c r="C240" s="68" t="str">
        <f>VLOOKUP($B240,'[1]Products by Part Number'!$A:$L,2,0)</f>
        <v xml:space="preserve">KOM PC238USLC-11 (2) KOM PC290LC-11 (K73)                                            </v>
      </c>
      <c r="D240" s="68" t="str">
        <f>VLOOKUP($B240,'[1]Products by Part Number'!$A:$L,3,0)</f>
        <v>TURBOCHARGER</v>
      </c>
      <c r="E240" s="69">
        <f>VLOOKUP($B240,'[1]Products by Part Number'!$A:$L,12,0)</f>
        <v>2</v>
      </c>
      <c r="F240" s="70">
        <f>VLOOKUP($B240,'[1]Products by Part Number'!$A:$L,4,0)</f>
        <v>9876.7800000000007</v>
      </c>
      <c r="G240" s="71"/>
      <c r="H240" s="71">
        <f>VLOOKUP($B240,'[1]Products by Part Number'!$A:$L,6,0)</f>
        <v>4938.3900000000003</v>
      </c>
      <c r="I240" s="79">
        <f t="shared" si="4"/>
        <v>9876.7800000000007</v>
      </c>
    </row>
    <row r="241" spans="2:9" x14ac:dyDescent="0.25">
      <c r="B241" s="78" t="s">
        <v>262</v>
      </c>
      <c r="C241" s="68" t="str">
        <f>VLOOKUP($B241,'[1]Products by Part Number'!$A:$L,2,0)</f>
        <v xml:space="preserve">KOM WA380-8 (1) KOM WA380-8 (2) KOM WA320-8 (867) KOM WA320PZ-6 (729)                                        </v>
      </c>
      <c r="D241" s="68" t="str">
        <f>VLOOKUP($B241,'[1]Products by Part Number'!$A:$L,3,0)</f>
        <v>TURBOCHARGER</v>
      </c>
      <c r="E241" s="69">
        <f>VLOOKUP($B241,'[1]Products by Part Number'!$A:$L,12,0)</f>
        <v>4</v>
      </c>
      <c r="F241" s="70">
        <f>VLOOKUP($B241,'[1]Products by Part Number'!$A:$L,4,0)</f>
        <v>8656.94</v>
      </c>
      <c r="G241" s="71"/>
      <c r="H241" s="71">
        <f>VLOOKUP($B241,'[1]Products by Part Number'!$A:$L,6,0)</f>
        <v>4328.47</v>
      </c>
      <c r="I241" s="79">
        <f t="shared" si="4"/>
        <v>17313.88</v>
      </c>
    </row>
    <row r="242" spans="2:9" x14ac:dyDescent="0.25">
      <c r="B242" s="78" t="s">
        <v>263</v>
      </c>
      <c r="C242" s="68" t="str">
        <f>VLOOKUP($B242,'[1]Products by Part Number'!$A:$L,2,0)</f>
        <v xml:space="preserve">KOM D61PX-24 (B60)                                              </v>
      </c>
      <c r="D242" s="68" t="str">
        <f>VLOOKUP($B242,'[1]Products by Part Number'!$A:$L,3,0)</f>
        <v>TURBOCHARGER</v>
      </c>
      <c r="E242" s="69">
        <f>VLOOKUP($B242,'[1]Products by Part Number'!$A:$L,12,0)</f>
        <v>1</v>
      </c>
      <c r="F242" s="70">
        <f>VLOOKUP($B242,'[1]Products by Part Number'!$A:$L,4,0)</f>
        <v>9117.02</v>
      </c>
      <c r="G242" s="71"/>
      <c r="H242" s="71">
        <f>VLOOKUP($B242,'[1]Products by Part Number'!$A:$L,6,0)</f>
        <v>4558.51</v>
      </c>
      <c r="I242" s="79">
        <f t="shared" si="4"/>
        <v>4558.51</v>
      </c>
    </row>
    <row r="243" spans="2:9" x14ac:dyDescent="0.25">
      <c r="B243" s="78" t="s">
        <v>264</v>
      </c>
      <c r="C243" s="68" t="str">
        <f>VLOOKUP($B243,'[1]Products by Part Number'!$A:$L,2,0)</f>
        <v xml:space="preserve">JD 470P (1FF)                                              </v>
      </c>
      <c r="D243" s="68" t="str">
        <f>VLOOKUP($B243,'[1]Products by Part Number'!$A:$L,3,0)</f>
        <v>TURBOCHARGER</v>
      </c>
      <c r="E243" s="69">
        <f>VLOOKUP($B243,'[1]Products by Part Number'!$A:$L,12,0)</f>
        <v>1</v>
      </c>
      <c r="F243" s="70">
        <f>VLOOKUP($B243,'[1]Products by Part Number'!$A:$L,4,0)</f>
        <v>6077.9753999999994</v>
      </c>
      <c r="G243" s="71"/>
      <c r="H243" s="71">
        <f>VLOOKUP($B243,'[1]Products by Part Number'!$A:$L,6,0)</f>
        <v>3038.99</v>
      </c>
      <c r="I243" s="79">
        <f t="shared" si="4"/>
        <v>3038.99</v>
      </c>
    </row>
    <row r="244" spans="2:9" x14ac:dyDescent="0.25">
      <c r="B244" s="78" t="s">
        <v>265</v>
      </c>
      <c r="C244" s="68" t="str">
        <f>VLOOKUP($B244,'[1]Products by Part Number'!$A:$L,2,0)</f>
        <v xml:space="preserve">JD 624K (DW6)                                              </v>
      </c>
      <c r="D244" s="68" t="str">
        <f>VLOOKUP($B244,'[1]Products by Part Number'!$A:$L,3,0)</f>
        <v>TURBOCHARGER</v>
      </c>
      <c r="E244" s="69">
        <f>VLOOKUP($B244,'[1]Products by Part Number'!$A:$L,12,0)</f>
        <v>1</v>
      </c>
      <c r="F244" s="70">
        <f>VLOOKUP($B244,'[1]Products by Part Number'!$A:$L,4,0)</f>
        <v>4795.7069999999994</v>
      </c>
      <c r="G244" s="71"/>
      <c r="H244" s="71">
        <f>VLOOKUP($B244,'[1]Products by Part Number'!$A:$L,6,0)</f>
        <v>2397.85</v>
      </c>
      <c r="I244" s="79">
        <f t="shared" si="4"/>
        <v>2397.85</v>
      </c>
    </row>
    <row r="245" spans="2:9" x14ac:dyDescent="0.25">
      <c r="B245" s="78" t="s">
        <v>266</v>
      </c>
      <c r="C245" s="68" t="str">
        <f>VLOOKUP($B245,'[1]Products by Part Number'!$A:$L,2,0)</f>
        <v xml:space="preserve">JD 764 (100)                                              </v>
      </c>
      <c r="D245" s="68" t="str">
        <f>VLOOKUP($B245,'[1]Products by Part Number'!$A:$L,3,0)</f>
        <v>TURBOCHARGER</v>
      </c>
      <c r="E245" s="69">
        <f>VLOOKUP($B245,'[1]Products by Part Number'!$A:$L,12,0)</f>
        <v>1</v>
      </c>
      <c r="F245" s="70">
        <f>VLOOKUP($B245,'[1]Products by Part Number'!$A:$L,4,0)</f>
        <v>4590.0455999999995</v>
      </c>
      <c r="G245" s="71"/>
      <c r="H245" s="71">
        <f>VLOOKUP($B245,'[1]Products by Part Number'!$A:$L,6,0)</f>
        <v>2295.02</v>
      </c>
      <c r="I245" s="79">
        <f t="shared" si="4"/>
        <v>2295.02</v>
      </c>
    </row>
    <row r="246" spans="2:9" x14ac:dyDescent="0.25">
      <c r="B246" s="78" t="s">
        <v>267</v>
      </c>
      <c r="C246" s="68" t="str">
        <f>VLOOKUP($B246,'[1]Products by Part Number'!$A:$L,2,0)</f>
        <v xml:space="preserve">JD 470P (1FF)                                              </v>
      </c>
      <c r="D246" s="68" t="str">
        <f>VLOOKUP($B246,'[1]Products by Part Number'!$A:$L,3,0)</f>
        <v>TURBOCHARGER</v>
      </c>
      <c r="E246" s="69">
        <f>VLOOKUP($B246,'[1]Products by Part Number'!$A:$L,12,0)</f>
        <v>1</v>
      </c>
      <c r="F246" s="70">
        <f>VLOOKUP($B246,'[1]Products by Part Number'!$A:$L,4,0)</f>
        <v>2617.1561999999999</v>
      </c>
      <c r="G246" s="71"/>
      <c r="H246" s="71">
        <f>VLOOKUP($B246,'[1]Products by Part Number'!$A:$L,6,0)</f>
        <v>1308.58</v>
      </c>
      <c r="I246" s="79">
        <f t="shared" si="4"/>
        <v>1308.58</v>
      </c>
    </row>
    <row r="247" spans="2:9" x14ac:dyDescent="0.25">
      <c r="B247" s="78" t="s">
        <v>268</v>
      </c>
      <c r="C247" s="68" t="str">
        <f>VLOOKUP($B247,'[1]Products by Part Number'!$A:$L,2,0)</f>
        <v xml:space="preserve">JD 333G (1T0)                                              </v>
      </c>
      <c r="D247" s="68" t="str">
        <f>VLOOKUP($B247,'[1]Products by Part Number'!$A:$L,3,0)</f>
        <v>TURBOCHARGER</v>
      </c>
      <c r="E247" s="69">
        <f>VLOOKUP($B247,'[1]Products by Part Number'!$A:$L,12,0)</f>
        <v>1</v>
      </c>
      <c r="F247" s="70">
        <f>VLOOKUP($B247,'[1]Products by Part Number'!$A:$L,4,0)</f>
        <v>3111.8723999999997</v>
      </c>
      <c r="G247" s="71"/>
      <c r="H247" s="71">
        <f>VLOOKUP($B247,'[1]Products by Part Number'!$A:$L,6,0)</f>
        <v>1555.94</v>
      </c>
      <c r="I247" s="79">
        <f t="shared" si="4"/>
        <v>1555.94</v>
      </c>
    </row>
    <row r="248" spans="2:9" x14ac:dyDescent="0.25">
      <c r="B248" s="78" t="s">
        <v>269</v>
      </c>
      <c r="C248" s="68" t="str">
        <f>VLOOKUP($B248,'[1]Products by Part Number'!$A:$L,2,0)</f>
        <v xml:space="preserve">CAT 255 CAT 255 (2) CAT 255 (FL7)                                          </v>
      </c>
      <c r="D248" s="68" t="str">
        <f>VLOOKUP($B248,'[1]Products by Part Number'!$A:$L,3,0)</f>
        <v>GQP CAT255 COMPLETE UC KIT</v>
      </c>
      <c r="E248" s="69">
        <f>VLOOKUP($B248,'[1]Products by Part Number'!$A:$L,12,0)</f>
        <v>3</v>
      </c>
      <c r="F248" s="70">
        <f>VLOOKUP($B248,'[1]Products by Part Number'!$A:$L,4,0)</f>
        <v>22584.78</v>
      </c>
      <c r="G248" s="71"/>
      <c r="H248" s="71">
        <f>VLOOKUP($B248,'[1]Products by Part Number'!$A:$L,6,0)</f>
        <v>12421.63</v>
      </c>
      <c r="I248" s="79">
        <f t="shared" si="4"/>
        <v>37264.89</v>
      </c>
    </row>
    <row r="249" spans="2:9" x14ac:dyDescent="0.25">
      <c r="B249" s="78" t="s">
        <v>270</v>
      </c>
      <c r="C249" s="68" t="str">
        <f>VLOOKUP($B249,'[1]Products by Part Number'!$A:$L,2,0)</f>
        <v xml:space="preserve">CAT 329EL (ZCD)                                              </v>
      </c>
      <c r="D249" s="68" t="str">
        <f>VLOOKUP($B249,'[1]Products by Part Number'!$A:$L,3,0)</f>
        <v>GQP CAT329E COMPLETE UC KIT</v>
      </c>
      <c r="E249" s="69">
        <f>VLOOKUP($B249,'[1]Products by Part Number'!$A:$L,12,0)</f>
        <v>1</v>
      </c>
      <c r="F249" s="70">
        <f>VLOOKUP($B249,'[1]Products by Part Number'!$A:$L,4,0)</f>
        <v>72253.5</v>
      </c>
      <c r="G249" s="71"/>
      <c r="H249" s="71">
        <f>VLOOKUP($B249,'[1]Products by Part Number'!$A:$L,6,0)</f>
        <v>39739.43</v>
      </c>
      <c r="I249" s="79">
        <f t="shared" si="4"/>
        <v>39739.43</v>
      </c>
    </row>
    <row r="250" spans="2:9" x14ac:dyDescent="0.25">
      <c r="B250" s="78" t="s">
        <v>271</v>
      </c>
      <c r="C250" s="68" t="str">
        <f>VLOOKUP($B250,'[1]Products by Part Number'!$A:$L,2,0)</f>
        <v xml:space="preserve">JD 333G (1T0)                                              </v>
      </c>
      <c r="D250" s="68" t="str">
        <f>VLOOKUP($B250,'[1]Products by Part Number'!$A:$L,3,0)</f>
        <v>GQP JD333G COMPLETE UC KIT</v>
      </c>
      <c r="E250" s="69">
        <f>VLOOKUP($B250,'[1]Products by Part Number'!$A:$L,12,0)</f>
        <v>1</v>
      </c>
      <c r="F250" s="70">
        <f>VLOOKUP($B250,'[1]Products by Part Number'!$A:$L,4,0)</f>
        <v>18575.82</v>
      </c>
      <c r="G250" s="71"/>
      <c r="H250" s="71">
        <f>VLOOKUP($B250,'[1]Products by Part Number'!$A:$L,6,0)</f>
        <v>10216.700000000001</v>
      </c>
      <c r="I250" s="79">
        <f t="shared" si="4"/>
        <v>10216.700000000001</v>
      </c>
    </row>
    <row r="251" spans="2:9" x14ac:dyDescent="0.25">
      <c r="B251" s="78" t="s">
        <v>272</v>
      </c>
      <c r="C251" s="68" t="str">
        <f>VLOOKUP($B251,'[1]Products by Part Number'!$A:$L,2,0)</f>
        <v xml:space="preserve">JD 470P (1FF)                                              </v>
      </c>
      <c r="D251" s="68" t="str">
        <f>VLOOKUP($B251,'[1]Products by Part Number'!$A:$L,3,0)</f>
        <v>GQP JD470 COMPLETE UC KIT</v>
      </c>
      <c r="E251" s="69">
        <f>VLOOKUP($B251,'[1]Products by Part Number'!$A:$L,12,0)</f>
        <v>1</v>
      </c>
      <c r="F251" s="70">
        <f>VLOOKUP($B251,'[1]Products by Part Number'!$A:$L,4,0)</f>
        <v>118254.44</v>
      </c>
      <c r="G251" s="71"/>
      <c r="H251" s="71">
        <f>VLOOKUP($B251,'[1]Products by Part Number'!$A:$L,6,0)</f>
        <v>65039.94</v>
      </c>
      <c r="I251" s="79">
        <f t="shared" si="4"/>
        <v>65039.94</v>
      </c>
    </row>
    <row r="252" spans="2:9" x14ac:dyDescent="0.25">
      <c r="B252" s="78" t="s">
        <v>273</v>
      </c>
      <c r="C252" s="68" t="str">
        <f>VLOOKUP($B252,'[1]Products by Part Number'!$A:$L,2,0)</f>
        <v xml:space="preserve">JD 764 (100)                                              </v>
      </c>
      <c r="D252" s="68" t="str">
        <f>VLOOKUP($B252,'[1]Products by Part Number'!$A:$L,3,0)</f>
        <v>GQP CAT764 COMPLETE UC KIT</v>
      </c>
      <c r="E252" s="69">
        <f>VLOOKUP($B252,'[1]Products by Part Number'!$A:$L,12,0)</f>
        <v>1</v>
      </c>
      <c r="F252" s="70">
        <f>VLOOKUP($B252,'[1]Products by Part Number'!$A:$L,4,0)</f>
        <v>187453.69</v>
      </c>
      <c r="G252" s="71"/>
      <c r="H252" s="71">
        <f>VLOOKUP($B252,'[1]Products by Part Number'!$A:$L,6,0)</f>
        <v>103099.53</v>
      </c>
      <c r="I252" s="79">
        <f t="shared" si="4"/>
        <v>103099.53</v>
      </c>
    </row>
    <row r="253" spans="2:9" x14ac:dyDescent="0.25">
      <c r="B253" s="78" t="s">
        <v>274</v>
      </c>
      <c r="C253" s="68" t="str">
        <f>VLOOKUP($B253,'[1]Products by Part Number'!$A:$L,2,0)</f>
        <v xml:space="preserve">KOM D61PX-24 (B60)                                              </v>
      </c>
      <c r="D253" s="68" t="str">
        <f>VLOOKUP($B253,'[1]Products by Part Number'!$A:$L,3,0)</f>
        <v>GQP KOMATSU D61PX-24 COMPLETE UC KIT</v>
      </c>
      <c r="E253" s="69">
        <f>VLOOKUP($B253,'[1]Products by Part Number'!$A:$L,12,0)</f>
        <v>1</v>
      </c>
      <c r="F253" s="70">
        <f>VLOOKUP($B253,'[1]Products by Part Number'!$A:$L,4,0)</f>
        <v>68101.38</v>
      </c>
      <c r="G253" s="71"/>
      <c r="H253" s="71">
        <f>VLOOKUP($B253,'[1]Products by Part Number'!$A:$L,6,0)</f>
        <v>37455.760000000002</v>
      </c>
      <c r="I253" s="79">
        <f t="shared" si="4"/>
        <v>37455.760000000002</v>
      </c>
    </row>
    <row r="254" spans="2:9" x14ac:dyDescent="0.25">
      <c r="B254" s="78" t="s">
        <v>275</v>
      </c>
      <c r="C254" s="68" t="str">
        <f>VLOOKUP($B254,'[1]Products by Part Number'!$A:$L,2,0)</f>
        <v xml:space="preserve">KOM D71PX-24 (1) KOM D71PX-24 (2) KOM D71PX-24 (3) KOM D71PX-24 (4) KOM D71PX-24 (5) KOM D71PX-24 (6) KOM D71PX-24 (7)                                  </v>
      </c>
      <c r="D254" s="68" t="str">
        <f>VLOOKUP($B254,'[1]Products by Part Number'!$A:$L,3,0)</f>
        <v>GQP KOMATSU D71PX-24 COMPLETE UC KIT</v>
      </c>
      <c r="E254" s="69">
        <f>VLOOKUP($B254,'[1]Products by Part Number'!$A:$L,12,0)</f>
        <v>7</v>
      </c>
      <c r="F254" s="70">
        <f>VLOOKUP($B254,'[1]Products by Part Number'!$A:$L,4,0)</f>
        <v>94078.760000000009</v>
      </c>
      <c r="G254" s="71"/>
      <c r="H254" s="71">
        <f>VLOOKUP($B254,'[1]Products by Part Number'!$A:$L,6,0)</f>
        <v>51743.32</v>
      </c>
      <c r="I254" s="79">
        <f t="shared" si="4"/>
        <v>362203.24</v>
      </c>
    </row>
    <row r="255" spans="2:9" x14ac:dyDescent="0.25">
      <c r="B255" s="78" t="s">
        <v>276</v>
      </c>
      <c r="C255" s="68" t="str">
        <f>VLOOKUP($B255,'[1]Products by Part Number'!$A:$L,2,0)</f>
        <v xml:space="preserve">CAT 14 (EN4) JD 624K (DW6)                                            </v>
      </c>
      <c r="D255" s="68" t="str">
        <f>VLOOKUP($B255,'[1]Products by Part Number'!$A:$L,3,0)</f>
        <v>TIRES 20.5R25</v>
      </c>
      <c r="E255" s="69">
        <f>VLOOKUP($B255,'[1]Products by Part Number'!$A:$L,12,0)</f>
        <v>10</v>
      </c>
      <c r="F255" s="70">
        <f>VLOOKUP($B255,'[1]Products by Part Number'!$A:$L,4,0)</f>
        <v>2250</v>
      </c>
      <c r="G255" s="71"/>
      <c r="H255" s="71">
        <f>VLOOKUP($B255,'[1]Products by Part Number'!$A:$L,6,0)</f>
        <v>1125</v>
      </c>
      <c r="I255" s="79">
        <f t="shared" si="4"/>
        <v>11250</v>
      </c>
    </row>
    <row r="256" spans="2:9" x14ac:dyDescent="0.25">
      <c r="B256" s="78" t="s">
        <v>277</v>
      </c>
      <c r="C256" s="68" t="str">
        <f>VLOOKUP($B256,'[1]Products by Part Number'!$A:$L,2,0)</f>
        <v xml:space="preserve">KOM WA475-10 (120)                                              </v>
      </c>
      <c r="D256" s="68" t="str">
        <f>VLOOKUP($B256,'[1]Products by Part Number'!$A:$L,3,0)</f>
        <v>TIRE 26.5-R25</v>
      </c>
      <c r="E256" s="69">
        <f>VLOOKUP($B256,'[1]Products by Part Number'!$A:$L,12,0)</f>
        <v>4</v>
      </c>
      <c r="F256" s="70">
        <f>VLOOKUP($B256,'[1]Products by Part Number'!$A:$L,4,0)</f>
        <v>3250</v>
      </c>
      <c r="G256" s="71"/>
      <c r="H256" s="71">
        <f>VLOOKUP($B256,'[1]Products by Part Number'!$A:$L,6,0)</f>
        <v>1625</v>
      </c>
      <c r="I256" s="79">
        <f t="shared" si="4"/>
        <v>6500</v>
      </c>
    </row>
    <row r="257" spans="2:13" x14ac:dyDescent="0.25">
      <c r="B257" s="78" t="s">
        <v>278</v>
      </c>
      <c r="C257" s="68" t="str">
        <f>VLOOKUP($B257,'[1]Products by Part Number'!$A:$L,2,0)</f>
        <v xml:space="preserve">CAT TL1055C (KDE)                                              </v>
      </c>
      <c r="D257" s="68" t="str">
        <f>VLOOKUP($B257,'[1]Products by Part Number'!$A:$L,3,0)</f>
        <v>TIRE 13.00-24</v>
      </c>
      <c r="E257" s="69">
        <f>VLOOKUP($B257,'[1]Products by Part Number'!$A:$L,12,0)</f>
        <v>4</v>
      </c>
      <c r="F257" s="70">
        <f>VLOOKUP($B257,'[1]Products by Part Number'!$A:$L,4,0)</f>
        <v>4204.91</v>
      </c>
      <c r="G257" s="71"/>
      <c r="H257" s="71">
        <f>VLOOKUP($B257,'[1]Products by Part Number'!$A:$L,6,0)</f>
        <v>2102.46</v>
      </c>
      <c r="I257" s="79">
        <f t="shared" si="4"/>
        <v>8409.84</v>
      </c>
    </row>
    <row r="258" spans="2:13" x14ac:dyDescent="0.25">
      <c r="B258" s="78" t="s">
        <v>279</v>
      </c>
      <c r="C258" s="68" t="str">
        <f>VLOOKUP($B258,'[1]Products by Part Number'!$A:$L,2,0)</f>
        <v xml:space="preserve">KOM PC138USLC-11 KOM PC238USLC-11 (1)                                            </v>
      </c>
      <c r="D258" s="68" t="str">
        <f>VLOOKUP($B258,'[1]Products by Part Number'!$A:$L,3,0)</f>
        <v>GQP KOMATSU PC138USLC-11 COMPLETE UC KIT</v>
      </c>
      <c r="E258" s="69">
        <f>VLOOKUP($B258,'[1]Products by Part Number'!$A:$L,12,0)</f>
        <v>1</v>
      </c>
      <c r="F258" s="70">
        <f>VLOOKUP($B258,'[1]Products by Part Number'!$A:$L,4,0)</f>
        <v>48983.26</v>
      </c>
      <c r="G258" s="71"/>
      <c r="H258" s="71">
        <f>VLOOKUP($B258,'[1]Products by Part Number'!$A:$L,6,0)</f>
        <v>26940.79</v>
      </c>
      <c r="I258" s="79">
        <f t="shared" si="4"/>
        <v>26940.79</v>
      </c>
    </row>
    <row r="259" spans="2:13" x14ac:dyDescent="0.25">
      <c r="B259" s="78" t="s">
        <v>280</v>
      </c>
      <c r="C259" s="68" t="str">
        <f>VLOOKUP($B259,'[1]Products by Part Number'!$A:$L,2,0)</f>
        <v xml:space="preserve">KOM PC238USLC-11 (2)                                              </v>
      </c>
      <c r="D259" s="68" t="str">
        <f>VLOOKUP($B259,'[1]Products by Part Number'!$A:$L,3,0)</f>
        <v>GQP KOMATSU PC238USLC-11 COMPLETE UC KIT</v>
      </c>
      <c r="E259" s="69">
        <f>VLOOKUP($B259,'[1]Products by Part Number'!$A:$L,12,0)</f>
        <v>2</v>
      </c>
      <c r="F259" s="70">
        <f>VLOOKUP($B259,'[1]Products by Part Number'!$A:$L,4,0)</f>
        <v>41236.9</v>
      </c>
      <c r="G259" s="71"/>
      <c r="H259" s="71">
        <f>VLOOKUP($B259,'[1]Products by Part Number'!$A:$L,6,0)</f>
        <v>22680.3</v>
      </c>
      <c r="I259" s="79">
        <f t="shared" si="4"/>
        <v>45360.6</v>
      </c>
    </row>
    <row r="260" spans="2:13" x14ac:dyDescent="0.25">
      <c r="B260" s="78" t="s">
        <v>281</v>
      </c>
      <c r="C260" s="68" t="str">
        <f>VLOOKUP($B260,'[1]Products by Part Number'!$A:$L,2,0)</f>
        <v xml:space="preserve">KOM PC290LC-11 (K73)                                              </v>
      </c>
      <c r="D260" s="68" t="str">
        <f>VLOOKUP($B260,'[1]Products by Part Number'!$A:$L,3,0)</f>
        <v>GQP KOMATSU PC290LC-11 COMPLETE UC KIT</v>
      </c>
      <c r="E260" s="69">
        <f>VLOOKUP($B260,'[1]Products by Part Number'!$A:$L,12,0)</f>
        <v>1</v>
      </c>
      <c r="F260" s="70">
        <f>VLOOKUP($B260,'[1]Products by Part Number'!$A:$L,4,0)</f>
        <v>47683.519999999997</v>
      </c>
      <c r="G260" s="71"/>
      <c r="H260" s="71">
        <f>VLOOKUP($B260,'[1]Products by Part Number'!$A:$L,6,0)</f>
        <v>26225.94</v>
      </c>
      <c r="I260" s="79">
        <f t="shared" si="4"/>
        <v>26225.94</v>
      </c>
    </row>
    <row r="261" spans="2:13" x14ac:dyDescent="0.25">
      <c r="B261" s="78" t="s">
        <v>282</v>
      </c>
      <c r="C261" s="68" t="str">
        <f>VLOOKUP($B261,'[1]Products by Part Number'!$A:$L,2,0)</f>
        <v xml:space="preserve">KOM PC360LC-11 (A37) KOM PC360LC-11 (A39) KOM PC360LC-11 (A39) (2)                                          </v>
      </c>
      <c r="D261" s="68" t="str">
        <f>VLOOKUP($B261,'[1]Products by Part Number'!$A:$L,3,0)</f>
        <v>GQP KOMATSU PC360LC-11 COMPLETE UC KIT</v>
      </c>
      <c r="E261" s="69">
        <f>VLOOKUP($B261,'[1]Products by Part Number'!$A:$L,12,0)</f>
        <v>3</v>
      </c>
      <c r="F261" s="70">
        <f>VLOOKUP($B261,'[1]Products by Part Number'!$A:$L,4,0)</f>
        <v>52916.74</v>
      </c>
      <c r="G261" s="71"/>
      <c r="H261" s="71">
        <f>VLOOKUP($B261,'[1]Products by Part Number'!$A:$L,6,0)</f>
        <v>29104.21</v>
      </c>
      <c r="I261" s="79">
        <f t="shared" si="4"/>
        <v>87312.63</v>
      </c>
    </row>
    <row r="262" spans="2:13" x14ac:dyDescent="0.25">
      <c r="B262" s="78" t="s">
        <v>283</v>
      </c>
      <c r="C262" s="68" t="str">
        <f>VLOOKUP($B262,'[1]Products by Part Number'!$A:$L,2,0)</f>
        <v xml:space="preserve">KOM PC490LC-11 (A42) KOM PC490LC-11 (A42) (2) KOM PC490LC-11 (A42) (3) KOM PC490LC-11 (A42) (4) KOM PC490LC-11 (A42) (5) KOM PC490LC-11 (A43) KOM PC490LC-11 (KMT) (1) KOM PC490LC-11 (KMT) (2) KOM PC490LC-11 (KMT) (3)                              </v>
      </c>
      <c r="D262" s="68" t="str">
        <f>VLOOKUP($B262,'[1]Products by Part Number'!$A:$L,3,0)</f>
        <v>GQP KOMATSU PC490LC-11 COMPLETE UC KIT</v>
      </c>
      <c r="E262" s="69">
        <f>VLOOKUP($B262,'[1]Products by Part Number'!$A:$L,12,0)</f>
        <v>9</v>
      </c>
      <c r="F262" s="70">
        <f>VLOOKUP($B262,'[1]Products by Part Number'!$A:$L,4,0)</f>
        <v>105500.36</v>
      </c>
      <c r="G262" s="71"/>
      <c r="H262" s="71">
        <f>VLOOKUP($B262,'[1]Products by Part Number'!$A:$L,6,0)</f>
        <v>58025.2</v>
      </c>
      <c r="I262" s="79">
        <f t="shared" si="4"/>
        <v>522226.8</v>
      </c>
    </row>
    <row r="263" spans="2:13" x14ac:dyDescent="0.25">
      <c r="B263" s="81"/>
      <c r="C263" s="68"/>
      <c r="D263" s="68"/>
      <c r="E263" s="69"/>
      <c r="F263" s="70"/>
      <c r="G263" s="70"/>
      <c r="H263" s="71"/>
      <c r="I263" s="82">
        <f t="shared" ref="I263:I265" si="5">ROUND(E263*H263,2)</f>
        <v>0</v>
      </c>
    </row>
    <row r="264" spans="2:13" x14ac:dyDescent="0.25">
      <c r="B264" s="83"/>
      <c r="C264" s="68"/>
      <c r="D264" s="68"/>
      <c r="E264" s="69"/>
      <c r="F264" s="70"/>
      <c r="G264" s="70"/>
      <c r="H264" s="71"/>
      <c r="I264" s="82">
        <f t="shared" si="5"/>
        <v>0</v>
      </c>
    </row>
    <row r="265" spans="2:13" ht="15.75" thickBot="1" x14ac:dyDescent="0.3">
      <c r="B265" s="84"/>
      <c r="C265" s="85"/>
      <c r="D265" s="85"/>
      <c r="E265" s="86"/>
      <c r="F265" s="87"/>
      <c r="G265" s="87"/>
      <c r="H265" s="88"/>
      <c r="I265" s="89">
        <f t="shared" si="5"/>
        <v>0</v>
      </c>
    </row>
    <row r="266" spans="2:13" x14ac:dyDescent="0.25">
      <c r="B266" s="158"/>
      <c r="C266" s="159"/>
      <c r="D266" s="159"/>
      <c r="E266" s="159"/>
      <c r="F266" s="196"/>
      <c r="G266" s="119"/>
      <c r="H266" s="120" t="s">
        <v>17</v>
      </c>
      <c r="I266" s="110">
        <f>SUM(I15:I265)</f>
        <v>3034353.7499999991</v>
      </c>
    </row>
    <row r="267" spans="2:13" x14ac:dyDescent="0.25">
      <c r="B267" s="107"/>
      <c r="C267" s="31"/>
      <c r="D267" s="32" t="s">
        <v>18</v>
      </c>
      <c r="E267" s="161">
        <f>SUM(G185:G265)</f>
        <v>0</v>
      </c>
      <c r="F267" s="197"/>
      <c r="G267" s="33"/>
      <c r="H267" s="28" t="s">
        <v>19</v>
      </c>
      <c r="I267" s="112">
        <v>0</v>
      </c>
    </row>
    <row r="268" spans="2:13" x14ac:dyDescent="0.25">
      <c r="B268" s="107"/>
      <c r="C268" s="31"/>
      <c r="D268" s="32" t="s">
        <v>20</v>
      </c>
      <c r="E268" s="161">
        <f>SUM(I185:I265)</f>
        <v>2477416.9699999997</v>
      </c>
      <c r="F268" s="197"/>
      <c r="G268" s="33"/>
      <c r="H268" s="35" t="s">
        <v>21</v>
      </c>
      <c r="I268" s="112">
        <v>0</v>
      </c>
    </row>
    <row r="269" spans="2:13" x14ac:dyDescent="0.25">
      <c r="B269" s="107"/>
      <c r="C269" s="31"/>
      <c r="D269" s="32" t="s">
        <v>22</v>
      </c>
      <c r="E269" s="179">
        <f>E267-E268</f>
        <v>-2477416.9699999997</v>
      </c>
      <c r="F269" s="203"/>
      <c r="G269" s="36"/>
      <c r="H269" s="28" t="s">
        <v>23</v>
      </c>
      <c r="I269" s="114">
        <f>SUM(I266:I268)</f>
        <v>3034353.7499999991</v>
      </c>
    </row>
    <row r="270" spans="2:13" x14ac:dyDescent="0.25">
      <c r="B270" s="107"/>
      <c r="C270" s="31"/>
      <c r="D270" s="32"/>
      <c r="E270" s="181"/>
      <c r="F270" s="204"/>
      <c r="G270" s="38"/>
      <c r="H270" s="28" t="s">
        <v>24</v>
      </c>
      <c r="I270" s="114">
        <f>I269*0.05</f>
        <v>151717.68749999997</v>
      </c>
      <c r="M270" s="56"/>
    </row>
    <row r="271" spans="2:13" x14ac:dyDescent="0.25">
      <c r="B271" s="107"/>
      <c r="C271" s="31"/>
      <c r="D271" s="39"/>
      <c r="E271" s="39"/>
      <c r="F271" s="40"/>
      <c r="G271" s="40"/>
      <c r="H271" s="28" t="s">
        <v>25</v>
      </c>
      <c r="I271" s="112"/>
      <c r="M271" s="55"/>
    </row>
    <row r="272" spans="2:13" ht="16.5" thickBot="1" x14ac:dyDescent="0.3">
      <c r="B272" s="173" t="s">
        <v>26</v>
      </c>
      <c r="C272" s="174"/>
      <c r="D272" s="174"/>
      <c r="E272" s="174"/>
      <c r="F272" s="202"/>
      <c r="G272" s="121"/>
      <c r="H272" s="122" t="s">
        <v>27</v>
      </c>
      <c r="I272" s="116">
        <f>SUM(I269:I271)</f>
        <v>3186071.4374999991</v>
      </c>
    </row>
    <row r="273" spans="9:9" x14ac:dyDescent="0.25">
      <c r="I273" s="47"/>
    </row>
    <row r="274" spans="9:9" x14ac:dyDescent="0.25">
      <c r="I274" s="47"/>
    </row>
    <row r="275" spans="9:9" x14ac:dyDescent="0.25">
      <c r="I275" s="47"/>
    </row>
    <row r="276" spans="9:9" x14ac:dyDescent="0.25">
      <c r="I276" s="47"/>
    </row>
    <row r="277" spans="9:9" x14ac:dyDescent="0.25">
      <c r="I277" s="47"/>
    </row>
    <row r="278" spans="9:9" x14ac:dyDescent="0.25">
      <c r="I278" s="47"/>
    </row>
    <row r="279" spans="9:9" x14ac:dyDescent="0.25">
      <c r="I279" s="47"/>
    </row>
    <row r="280" spans="9:9" x14ac:dyDescent="0.25">
      <c r="I280" s="47"/>
    </row>
    <row r="281" spans="9:9" x14ac:dyDescent="0.25">
      <c r="I281" s="47"/>
    </row>
    <row r="282" spans="9:9" x14ac:dyDescent="0.25">
      <c r="I282" s="47"/>
    </row>
    <row r="283" spans="9:9" x14ac:dyDescent="0.25">
      <c r="I283" s="47"/>
    </row>
    <row r="284" spans="9:9" x14ac:dyDescent="0.25">
      <c r="I284" s="47"/>
    </row>
    <row r="285" spans="9:9" x14ac:dyDescent="0.25">
      <c r="I285" s="47"/>
    </row>
    <row r="286" spans="9:9" x14ac:dyDescent="0.25">
      <c r="I286" s="47"/>
    </row>
    <row r="287" spans="9:9" x14ac:dyDescent="0.25">
      <c r="I287" s="47"/>
    </row>
    <row r="288" spans="9:9" x14ac:dyDescent="0.25">
      <c r="I288" s="47"/>
    </row>
  </sheetData>
  <mergeCells count="25">
    <mergeCell ref="B272:F272"/>
    <mergeCell ref="F13:I13"/>
    <mergeCell ref="B266:F266"/>
    <mergeCell ref="E267:F267"/>
    <mergeCell ref="E268:F268"/>
    <mergeCell ref="E269:F269"/>
    <mergeCell ref="E270:F270"/>
    <mergeCell ref="E11:F11"/>
    <mergeCell ref="H11:I11"/>
    <mergeCell ref="E12:F12"/>
    <mergeCell ref="H12:I12"/>
    <mergeCell ref="C11:D11"/>
    <mergeCell ref="C12:D12"/>
    <mergeCell ref="E9:F9"/>
    <mergeCell ref="H9:I9"/>
    <mergeCell ref="E10:F10"/>
    <mergeCell ref="H10:I10"/>
    <mergeCell ref="C9:D9"/>
    <mergeCell ref="C10:D10"/>
    <mergeCell ref="E1:F5"/>
    <mergeCell ref="H1:I5"/>
    <mergeCell ref="E8:F8"/>
    <mergeCell ref="H8:I8"/>
    <mergeCell ref="C7:D7"/>
    <mergeCell ref="C8:D8"/>
  </mergeCells>
  <phoneticPr fontId="16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CA8376-DD3C-4FED-B721-B7ABE66EF7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MOQ Batteries</vt:lpstr>
      <vt:lpstr>MOQ Engine</vt:lpstr>
      <vt:lpstr>MOQ Filters Q1</vt:lpstr>
      <vt:lpstr>MOQ Filters Q2</vt:lpstr>
      <vt:lpstr>MOQ Filters Q3</vt:lpstr>
      <vt:lpstr>MOQ Filters Q4</vt:lpstr>
      <vt:lpstr>MOQ GET Parts</vt:lpstr>
      <vt:lpstr>MOQ Injectors</vt:lpstr>
      <vt:lpstr>MOQ Seats</vt:lpstr>
      <vt:lpstr>MOQ Tires</vt:lpstr>
      <vt:lpstr>MOQ Turbos</vt:lpstr>
      <vt:lpstr>MOQ Undercarriages</vt:lpstr>
      <vt:lpstr>MOQ Grand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Budgen</dc:creator>
  <cp:lastModifiedBy>Tska0734</cp:lastModifiedBy>
  <cp:lastPrinted>2024-06-05T20:54:10Z</cp:lastPrinted>
  <dcterms:created xsi:type="dcterms:W3CDTF">2024-03-27T02:49:14Z</dcterms:created>
  <dcterms:modified xsi:type="dcterms:W3CDTF">2025-09-19T13:17:53Z</dcterms:modified>
</cp:coreProperties>
</file>