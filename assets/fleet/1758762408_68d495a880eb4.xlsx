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mair A\Downloads\"/>
    </mc:Choice>
  </mc:AlternateContent>
  <xr:revisionPtr revIDLastSave="0" documentId="13_ncr:1_{D90014DB-985B-4427-86E4-13F2515304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1" r:id="rId1"/>
    <sheet name="CAT 16G MOTOR GRADER" sheetId="2" r:id="rId2"/>
    <sheet name="CAT 140H MOTOR GRADER" sheetId="3" r:id="rId3"/>
    <sheet name="CAT 259D COMPACT TRACK LOADER" sheetId="4" r:id="rId4"/>
    <sheet name="CAT 305.E2 EXCAVATOR" sheetId="5" r:id="rId5"/>
    <sheet name="CAT 325F LCR EXCAVATOR" sheetId="6" r:id="rId6"/>
    <sheet name="CAT 325F LCR EXCAVATOR 2" sheetId="7" r:id="rId7"/>
    <sheet name="CAT 336 EXCAVATOR" sheetId="8" r:id="rId8"/>
    <sheet name="CAT 336 EXCAVATOR 2" sheetId="9" r:id="rId9"/>
    <sheet name="CAT 336 EXCAVATOR 3" sheetId="10" r:id="rId10"/>
    <sheet name="CAT 349 EXCAVATOR" sheetId="11" r:id="rId11"/>
    <sheet name="CAT 349 EXCAVATOR 2" sheetId="12" r:id="rId12"/>
    <sheet name="CAT 730 ARTICULATED TRUCK" sheetId="13" r:id="rId13"/>
    <sheet name="CAT 730 ARTICULATED TRUCK 2" sheetId="14" r:id="rId14"/>
    <sheet name="CAT 730 ARTICULATED TRUCK 3" sheetId="15" r:id="rId15"/>
    <sheet name="CAT 730 ARTICULATED TRUCK 4" sheetId="16" r:id="rId16"/>
    <sheet name="CAT 730C2 ARTICULATED TRUCK" sheetId="17" r:id="rId17"/>
    <sheet name="CAT 730C2 ARTICULATED TRUCK 3" sheetId="18" r:id="rId18"/>
    <sheet name="CAT 740 ARTICULATED TRUCK" sheetId="19" r:id="rId19"/>
    <sheet name="CAT 740 ARTICULATED TRUCK 2" sheetId="20" r:id="rId20"/>
    <sheet name="CAT 740 ARTICULATED TRUCK 3" sheetId="21" r:id="rId21"/>
    <sheet name="CAT 740 ARTICULATED TRUCK 4" sheetId="22" r:id="rId22"/>
    <sheet name="CAT 740B ARTICULATED TRUCK" sheetId="23" r:id="rId23"/>
    <sheet name="CAT 740B ARTICULATED TRUCK 2" sheetId="24" r:id="rId24"/>
    <sheet name="CAT 740B ARTICULATED TRUCK 3" sheetId="25" r:id="rId25"/>
    <sheet name="CAT 930K WHEEL LOADER" sheetId="26" r:id="rId26"/>
    <sheet name="CAT 930K WHEEL LOADER 2" sheetId="27" r:id="rId27"/>
    <sheet name="CAT 962G WHEEL LOADER" sheetId="28" r:id="rId28"/>
    <sheet name="CAT 966H WHEEL LOADER" sheetId="29" r:id="rId29"/>
    <sheet name="CAT 980H WHEEL LOADER" sheetId="30" r:id="rId30"/>
    <sheet name="CAT D6T DOZER" sheetId="31" r:id="rId31"/>
    <sheet name="CAT D6R DOZER" sheetId="32" r:id="rId32"/>
    <sheet name="CAT D8R DOZER" sheetId="33" r:id="rId33"/>
    <sheet name="CAT D8R II DOZER" sheetId="34" r:id="rId34"/>
    <sheet name="CAT IT62H INTEGRATED " sheetId="35" r:id="rId35"/>
    <sheet name="CAT M320F WHEELED EXCAVATOR" sheetId="36" r:id="rId36"/>
    <sheet name="JD 135G EXCAVATOR" sheetId="37" r:id="rId37"/>
    <sheet name="JD 135G EXCAVATOR 2" sheetId="38" r:id="rId38"/>
    <sheet name="JD 135G EXCAVATOR 3" sheetId="39" r:id="rId39"/>
    <sheet name="JD 245G LC EXCAVATOR" sheetId="40" r:id="rId40"/>
    <sheet name="JD 245G LC EXCAVATOR 2" sheetId="41" r:id="rId41"/>
    <sheet name="JD 245G LC EXCAVATOR 3" sheetId="42" r:id="rId42"/>
    <sheet name="JD 245G LC EXCAVATOR 4" sheetId="43" r:id="rId43"/>
    <sheet name="JD 245G LC EXCAVATOR 5" sheetId="44" r:id="rId44"/>
    <sheet name="JD 245G LC EXCAVATOR 6" sheetId="45" r:id="rId45"/>
    <sheet name="JD 325G SKID STEER" sheetId="46" r:id="rId46"/>
    <sheet name="JD 325G CTL SKID STEER" sheetId="47" r:id="rId47"/>
    <sheet name="JD 325G HF SKID STEER" sheetId="48" r:id="rId48"/>
    <sheet name="JD 329D TRACK LOADER" sheetId="49" r:id="rId49"/>
    <sheet name="JD 333E TRACK LOADER" sheetId="50" r:id="rId50"/>
    <sheet name="JD 345GLC EXCAVATOR " sheetId="51" r:id="rId51"/>
    <sheet name="JD 345GLC EXCAVATOR 2" sheetId="52" r:id="rId52"/>
    <sheet name="JD 345GLC EXCAVATOR 3" sheetId="53" r:id="rId53"/>
    <sheet name="JD 350GLC EXCAVATOR" sheetId="54" r:id="rId54"/>
    <sheet name="JD 35P EXCAVATOR " sheetId="55" r:id="rId55"/>
    <sheet name="JD 470GLC EXCAVATOR" sheetId="56" r:id="rId56"/>
    <sheet name="JD 470GLC EXCAVATOR 2" sheetId="57" r:id="rId57"/>
    <sheet name="JD 50G EXCAVATOR" sheetId="58" r:id="rId58"/>
    <sheet name="JD 75P EXACAVATOR" sheetId="59" r:id="rId59"/>
    <sheet name="JD 524K WHEEL LOADER" sheetId="60" r:id="rId60"/>
    <sheet name="JD 524L WHEEL LOADER" sheetId="61" r:id="rId61"/>
    <sheet name="JD 544G WHEEL LOADER" sheetId="62" r:id="rId62"/>
    <sheet name="JD 544G WHEEL LOADER 2" sheetId="63" r:id="rId63"/>
    <sheet name="JD 544K WHEEL LOADER" sheetId="64" r:id="rId64"/>
    <sheet name="JD 544K WHEEL LOADER 2" sheetId="65" r:id="rId65"/>
    <sheet name="JD 650J DOZER" sheetId="66" r:id="rId66"/>
    <sheet name="JD 650J DOZER 2" sheetId="67" r:id="rId67"/>
    <sheet name="JD650K DOZER" sheetId="68" r:id="rId68"/>
    <sheet name="JD 650P DOZER" sheetId="69" r:id="rId69"/>
    <sheet name="JD 700L DOZER" sheetId="70" r:id="rId70"/>
    <sheet name="JD 750K DOZER" sheetId="71" r:id="rId71"/>
    <sheet name="JD 764 HSD" sheetId="72" r:id="rId72"/>
    <sheet name="JD 872G MOTOR GRADER" sheetId="73" r:id="rId73"/>
    <sheet name="Sheet1" sheetId="74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73" l="1"/>
  <c r="G50" i="73"/>
  <c r="F50" i="73"/>
  <c r="K49" i="73"/>
  <c r="H49" i="73"/>
  <c r="L49" i="73" s="1"/>
  <c r="L48" i="73"/>
  <c r="K48" i="73"/>
  <c r="M48" i="73" s="1"/>
  <c r="H48" i="73"/>
  <c r="L47" i="73"/>
  <c r="K47" i="73"/>
  <c r="H47" i="73"/>
  <c r="R46" i="73"/>
  <c r="L46" i="73"/>
  <c r="K46" i="73"/>
  <c r="H46" i="73"/>
  <c r="R45" i="73"/>
  <c r="L45" i="73"/>
  <c r="K45" i="73"/>
  <c r="H45" i="73"/>
  <c r="R44" i="73"/>
  <c r="L44" i="73"/>
  <c r="K44" i="73"/>
  <c r="H44" i="73"/>
  <c r="V43" i="73"/>
  <c r="R43" i="73"/>
  <c r="K43" i="73"/>
  <c r="I43" i="73"/>
  <c r="H43" i="73"/>
  <c r="L43" i="73" s="1"/>
  <c r="R42" i="73"/>
  <c r="L42" i="73"/>
  <c r="K42" i="73"/>
  <c r="M42" i="73" s="1"/>
  <c r="H42" i="73"/>
  <c r="U41" i="73"/>
  <c r="R41" i="73"/>
  <c r="L41" i="73"/>
  <c r="K41" i="73"/>
  <c r="H41" i="73"/>
  <c r="L40" i="73"/>
  <c r="K40" i="73"/>
  <c r="M40" i="73" s="1"/>
  <c r="H40" i="73"/>
  <c r="K39" i="73"/>
  <c r="H39" i="73"/>
  <c r="L39" i="73" s="1"/>
  <c r="R38" i="73"/>
  <c r="L38" i="73"/>
  <c r="K38" i="73"/>
  <c r="H38" i="73"/>
  <c r="R37" i="73"/>
  <c r="L37" i="73"/>
  <c r="K37" i="73"/>
  <c r="H37" i="73"/>
  <c r="R36" i="73"/>
  <c r="L36" i="73"/>
  <c r="K36" i="73"/>
  <c r="I36" i="73"/>
  <c r="H36" i="73"/>
  <c r="R35" i="73"/>
  <c r="V35" i="73" s="1"/>
  <c r="K35" i="73"/>
  <c r="I35" i="73"/>
  <c r="H35" i="73"/>
  <c r="L35" i="73" s="1"/>
  <c r="R34" i="73"/>
  <c r="L34" i="73"/>
  <c r="K34" i="73"/>
  <c r="M34" i="73" s="1"/>
  <c r="H34" i="73"/>
  <c r="U33" i="73"/>
  <c r="R33" i="73"/>
  <c r="L33" i="73"/>
  <c r="K33" i="73"/>
  <c r="H33" i="73"/>
  <c r="L32" i="73"/>
  <c r="K32" i="73"/>
  <c r="M32" i="73" s="1"/>
  <c r="H32" i="73"/>
  <c r="L31" i="73"/>
  <c r="K31" i="73"/>
  <c r="H31" i="73"/>
  <c r="R30" i="73"/>
  <c r="L30" i="73"/>
  <c r="K30" i="73"/>
  <c r="H30" i="73"/>
  <c r="U29" i="73"/>
  <c r="R29" i="73"/>
  <c r="K29" i="73"/>
  <c r="H29" i="73"/>
  <c r="L29" i="73" s="1"/>
  <c r="R28" i="73"/>
  <c r="L28" i="73"/>
  <c r="K28" i="73"/>
  <c r="I28" i="73"/>
  <c r="H28" i="73"/>
  <c r="R27" i="73"/>
  <c r="V27" i="73" s="1"/>
  <c r="K27" i="73"/>
  <c r="H27" i="73"/>
  <c r="L27" i="73" s="1"/>
  <c r="R26" i="73"/>
  <c r="L26" i="73"/>
  <c r="K26" i="73"/>
  <c r="M26" i="73" s="1"/>
  <c r="I26" i="73"/>
  <c r="T26" i="73" s="1"/>
  <c r="S26" i="73" s="1"/>
  <c r="H26" i="73"/>
  <c r="R25" i="73"/>
  <c r="L25" i="73"/>
  <c r="K25" i="73"/>
  <c r="H25" i="73"/>
  <c r="L24" i="73"/>
  <c r="K24" i="73"/>
  <c r="H24" i="73"/>
  <c r="L23" i="73"/>
  <c r="K23" i="73"/>
  <c r="H23" i="73"/>
  <c r="R22" i="73"/>
  <c r="L22" i="73"/>
  <c r="K22" i="73"/>
  <c r="H22" i="73"/>
  <c r="U21" i="73"/>
  <c r="R21" i="73"/>
  <c r="K21" i="73"/>
  <c r="H21" i="73"/>
  <c r="L21" i="73" s="1"/>
  <c r="M21" i="73" s="1"/>
  <c r="R20" i="73"/>
  <c r="L20" i="73"/>
  <c r="K20" i="73"/>
  <c r="H20" i="73"/>
  <c r="R19" i="73"/>
  <c r="K19" i="73"/>
  <c r="H19" i="73"/>
  <c r="R18" i="73"/>
  <c r="R49" i="73" s="1"/>
  <c r="I18" i="73"/>
  <c r="H18" i="73"/>
  <c r="E16" i="73"/>
  <c r="P11" i="73"/>
  <c r="P1" i="73"/>
  <c r="P8" i="73" s="1"/>
  <c r="Q50" i="72"/>
  <c r="G50" i="72"/>
  <c r="F50" i="72"/>
  <c r="K49" i="72"/>
  <c r="H49" i="72"/>
  <c r="L49" i="72" s="1"/>
  <c r="R48" i="72"/>
  <c r="L48" i="72"/>
  <c r="K48" i="72"/>
  <c r="M48" i="72" s="1"/>
  <c r="H48" i="72"/>
  <c r="L47" i="72"/>
  <c r="M47" i="72" s="1"/>
  <c r="K47" i="72"/>
  <c r="I47" i="72"/>
  <c r="T47" i="72" s="1"/>
  <c r="S47" i="72" s="1"/>
  <c r="H47" i="72"/>
  <c r="R46" i="72"/>
  <c r="V46" i="72" s="1"/>
  <c r="L46" i="72"/>
  <c r="K46" i="72"/>
  <c r="I46" i="72"/>
  <c r="H46" i="72"/>
  <c r="M45" i="72"/>
  <c r="K45" i="72"/>
  <c r="I45" i="72"/>
  <c r="T45" i="72" s="1"/>
  <c r="S45" i="72" s="1"/>
  <c r="H45" i="72"/>
  <c r="L45" i="72" s="1"/>
  <c r="R44" i="72"/>
  <c r="L44" i="72"/>
  <c r="K44" i="72"/>
  <c r="M44" i="72" s="1"/>
  <c r="H44" i="72"/>
  <c r="L43" i="72"/>
  <c r="K43" i="72"/>
  <c r="I43" i="72"/>
  <c r="H43" i="72"/>
  <c r="L42" i="72"/>
  <c r="K42" i="72"/>
  <c r="M42" i="72" s="1"/>
  <c r="I42" i="72"/>
  <c r="T42" i="72" s="1"/>
  <c r="S42" i="72" s="1"/>
  <c r="H42" i="72"/>
  <c r="M41" i="72"/>
  <c r="K41" i="72"/>
  <c r="H41" i="72"/>
  <c r="L41" i="72" s="1"/>
  <c r="L40" i="72"/>
  <c r="K40" i="72"/>
  <c r="H40" i="72"/>
  <c r="U39" i="72"/>
  <c r="R39" i="72"/>
  <c r="V39" i="72" s="1"/>
  <c r="L39" i="72"/>
  <c r="M39" i="72" s="1"/>
  <c r="K39" i="72"/>
  <c r="I39" i="72"/>
  <c r="T39" i="72" s="1"/>
  <c r="S39" i="72" s="1"/>
  <c r="H39" i="72"/>
  <c r="R38" i="72"/>
  <c r="V38" i="72" s="1"/>
  <c r="L38" i="72"/>
  <c r="K38" i="72"/>
  <c r="I38" i="72"/>
  <c r="H38" i="72"/>
  <c r="M37" i="72"/>
  <c r="K37" i="72"/>
  <c r="I37" i="72"/>
  <c r="T37" i="72" s="1"/>
  <c r="S37" i="72" s="1"/>
  <c r="H37" i="72"/>
  <c r="L37" i="72" s="1"/>
  <c r="L36" i="72"/>
  <c r="K36" i="72"/>
  <c r="M36" i="72" s="1"/>
  <c r="H36" i="72"/>
  <c r="L35" i="72"/>
  <c r="K35" i="72"/>
  <c r="I35" i="72"/>
  <c r="H35" i="72"/>
  <c r="L34" i="72"/>
  <c r="K34" i="72"/>
  <c r="M34" i="72" s="1"/>
  <c r="I34" i="72"/>
  <c r="T34" i="72" s="1"/>
  <c r="S34" i="72" s="1"/>
  <c r="H34" i="72"/>
  <c r="K33" i="72"/>
  <c r="H33" i="72"/>
  <c r="L33" i="72" s="1"/>
  <c r="L32" i="72"/>
  <c r="K32" i="72"/>
  <c r="H32" i="72"/>
  <c r="R31" i="72"/>
  <c r="L31" i="72"/>
  <c r="M31" i="72" s="1"/>
  <c r="K31" i="72"/>
  <c r="I31" i="72"/>
  <c r="T31" i="72" s="1"/>
  <c r="S31" i="72" s="1"/>
  <c r="H31" i="72"/>
  <c r="L30" i="72"/>
  <c r="K30" i="72"/>
  <c r="I30" i="72"/>
  <c r="H30" i="72"/>
  <c r="M29" i="72"/>
  <c r="T29" i="72" s="1"/>
  <c r="S29" i="72" s="1"/>
  <c r="K29" i="72"/>
  <c r="I29" i="72"/>
  <c r="H29" i="72"/>
  <c r="L29" i="72" s="1"/>
  <c r="R28" i="72"/>
  <c r="L28" i="72"/>
  <c r="K28" i="72"/>
  <c r="H28" i="72"/>
  <c r="L27" i="72"/>
  <c r="K27" i="72"/>
  <c r="H27" i="72"/>
  <c r="L26" i="72"/>
  <c r="K26" i="72"/>
  <c r="I26" i="72"/>
  <c r="H26" i="72"/>
  <c r="V25" i="72"/>
  <c r="R25" i="72"/>
  <c r="K25" i="72"/>
  <c r="I25" i="72"/>
  <c r="H25" i="72"/>
  <c r="L25" i="72" s="1"/>
  <c r="L24" i="72"/>
  <c r="K24" i="72"/>
  <c r="M24" i="72" s="1"/>
  <c r="I24" i="72"/>
  <c r="T24" i="72" s="1"/>
  <c r="S24" i="72" s="1"/>
  <c r="H24" i="72"/>
  <c r="L23" i="72"/>
  <c r="K23" i="72"/>
  <c r="H23" i="72"/>
  <c r="L22" i="72"/>
  <c r="K22" i="72"/>
  <c r="M22" i="72" s="1"/>
  <c r="T22" i="72" s="1"/>
  <c r="S22" i="72" s="1"/>
  <c r="I22" i="72"/>
  <c r="H22" i="72"/>
  <c r="K21" i="72"/>
  <c r="H21" i="72"/>
  <c r="L21" i="72" s="1"/>
  <c r="R20" i="72"/>
  <c r="L20" i="72"/>
  <c r="K20" i="72"/>
  <c r="H20" i="72"/>
  <c r="K19" i="72"/>
  <c r="H19" i="72"/>
  <c r="R18" i="72"/>
  <c r="I18" i="72"/>
  <c r="H18" i="72"/>
  <c r="E16" i="72"/>
  <c r="P11" i="72"/>
  <c r="P1" i="72"/>
  <c r="P8" i="72" s="1"/>
  <c r="Q50" i="71"/>
  <c r="G50" i="71"/>
  <c r="F50" i="71"/>
  <c r="R49" i="71"/>
  <c r="L49" i="71"/>
  <c r="K49" i="71"/>
  <c r="H49" i="71"/>
  <c r="L48" i="71"/>
  <c r="K48" i="71"/>
  <c r="I48" i="71"/>
  <c r="H48" i="71"/>
  <c r="K47" i="71"/>
  <c r="H47" i="71"/>
  <c r="L47" i="71" s="1"/>
  <c r="V46" i="71"/>
  <c r="R46" i="71"/>
  <c r="L46" i="71"/>
  <c r="K46" i="71"/>
  <c r="M46" i="71" s="1"/>
  <c r="H46" i="71"/>
  <c r="U45" i="71"/>
  <c r="R45" i="71"/>
  <c r="M45" i="71"/>
  <c r="K45" i="71"/>
  <c r="I45" i="71"/>
  <c r="H45" i="71"/>
  <c r="L45" i="71" s="1"/>
  <c r="V45" i="71" s="1"/>
  <c r="R44" i="71"/>
  <c r="L44" i="71"/>
  <c r="K44" i="71"/>
  <c r="I44" i="71"/>
  <c r="H44" i="71"/>
  <c r="R43" i="71"/>
  <c r="M43" i="71"/>
  <c r="K43" i="71"/>
  <c r="H43" i="71"/>
  <c r="L43" i="71" s="1"/>
  <c r="U43" i="71" s="1"/>
  <c r="R42" i="71"/>
  <c r="L42" i="71"/>
  <c r="K42" i="71"/>
  <c r="M42" i="71" s="1"/>
  <c r="I42" i="71"/>
  <c r="T42" i="71" s="1"/>
  <c r="S42" i="71" s="1"/>
  <c r="H42" i="71"/>
  <c r="U41" i="71"/>
  <c r="R41" i="71"/>
  <c r="L41" i="71"/>
  <c r="K41" i="71"/>
  <c r="I41" i="71"/>
  <c r="H41" i="71"/>
  <c r="L40" i="71"/>
  <c r="K40" i="71"/>
  <c r="I40" i="71"/>
  <c r="H40" i="71"/>
  <c r="K39" i="71"/>
  <c r="H39" i="71"/>
  <c r="L39" i="71" s="1"/>
  <c r="R38" i="71"/>
  <c r="L38" i="71"/>
  <c r="K38" i="71"/>
  <c r="H38" i="71"/>
  <c r="R37" i="71"/>
  <c r="K37" i="71"/>
  <c r="H37" i="71"/>
  <c r="R36" i="71"/>
  <c r="L36" i="71"/>
  <c r="K36" i="71"/>
  <c r="I36" i="71"/>
  <c r="H36" i="71"/>
  <c r="V35" i="71"/>
  <c r="R35" i="71"/>
  <c r="K35" i="71"/>
  <c r="H35" i="71"/>
  <c r="L35" i="71" s="1"/>
  <c r="T34" i="71"/>
  <c r="S34" i="71" s="1"/>
  <c r="R34" i="71"/>
  <c r="L34" i="71"/>
  <c r="K34" i="71"/>
  <c r="M34" i="71" s="1"/>
  <c r="I34" i="71"/>
  <c r="H34" i="71"/>
  <c r="U33" i="71"/>
  <c r="R33" i="71"/>
  <c r="L33" i="71"/>
  <c r="K33" i="71"/>
  <c r="I33" i="71"/>
  <c r="H33" i="71"/>
  <c r="L32" i="71"/>
  <c r="K32" i="71"/>
  <c r="I32" i="71"/>
  <c r="H32" i="71"/>
  <c r="M31" i="71"/>
  <c r="L31" i="71"/>
  <c r="K31" i="71"/>
  <c r="H31" i="71"/>
  <c r="V30" i="71"/>
  <c r="R30" i="71"/>
  <c r="L30" i="71"/>
  <c r="K30" i="71"/>
  <c r="M30" i="71" s="1"/>
  <c r="H30" i="71"/>
  <c r="U29" i="71"/>
  <c r="R29" i="71"/>
  <c r="M29" i="71"/>
  <c r="K29" i="71"/>
  <c r="I29" i="71"/>
  <c r="H29" i="71"/>
  <c r="L29" i="71" s="1"/>
  <c r="V29" i="71" s="1"/>
  <c r="R28" i="71"/>
  <c r="L28" i="71"/>
  <c r="K28" i="71"/>
  <c r="I28" i="71"/>
  <c r="H28" i="71"/>
  <c r="R27" i="71"/>
  <c r="M27" i="71"/>
  <c r="K27" i="71"/>
  <c r="H27" i="71"/>
  <c r="L27" i="71" s="1"/>
  <c r="U27" i="71" s="1"/>
  <c r="R26" i="71"/>
  <c r="L26" i="71"/>
  <c r="K26" i="71"/>
  <c r="M26" i="71" s="1"/>
  <c r="I26" i="71"/>
  <c r="T26" i="71" s="1"/>
  <c r="S26" i="71" s="1"/>
  <c r="H26" i="71"/>
  <c r="R25" i="71"/>
  <c r="U25" i="71" s="1"/>
  <c r="L25" i="71"/>
  <c r="K25" i="71"/>
  <c r="I25" i="71"/>
  <c r="H25" i="71"/>
  <c r="L24" i="71"/>
  <c r="K24" i="71"/>
  <c r="I24" i="71"/>
  <c r="H24" i="71"/>
  <c r="L23" i="71"/>
  <c r="K23" i="71"/>
  <c r="H23" i="71"/>
  <c r="R22" i="71"/>
  <c r="L22" i="71"/>
  <c r="K22" i="71"/>
  <c r="M22" i="71" s="1"/>
  <c r="H22" i="71"/>
  <c r="R21" i="71"/>
  <c r="K21" i="71"/>
  <c r="H21" i="71"/>
  <c r="R20" i="71"/>
  <c r="L20" i="71"/>
  <c r="K20" i="71"/>
  <c r="I20" i="71"/>
  <c r="H20" i="71"/>
  <c r="R19" i="71"/>
  <c r="K19" i="71"/>
  <c r="K50" i="71" s="1"/>
  <c r="H19" i="71"/>
  <c r="R18" i="71"/>
  <c r="R48" i="71" s="1"/>
  <c r="I18" i="71"/>
  <c r="H18" i="71"/>
  <c r="E16" i="71"/>
  <c r="P11" i="71"/>
  <c r="P1" i="71"/>
  <c r="P8" i="71" s="1"/>
  <c r="Q50" i="70"/>
  <c r="G50" i="70"/>
  <c r="F50" i="70"/>
  <c r="L49" i="70"/>
  <c r="K49" i="70"/>
  <c r="M49" i="70" s="1"/>
  <c r="H49" i="70"/>
  <c r="K48" i="70"/>
  <c r="M48" i="70" s="1"/>
  <c r="H48" i="70"/>
  <c r="L48" i="70" s="1"/>
  <c r="K47" i="70"/>
  <c r="H47" i="70"/>
  <c r="L47" i="70" s="1"/>
  <c r="K46" i="70"/>
  <c r="M46" i="70" s="1"/>
  <c r="H46" i="70"/>
  <c r="L46" i="70" s="1"/>
  <c r="K45" i="70"/>
  <c r="M45" i="70" s="1"/>
  <c r="H45" i="70"/>
  <c r="L45" i="70" s="1"/>
  <c r="R44" i="70"/>
  <c r="V44" i="70" s="1"/>
  <c r="K44" i="70"/>
  <c r="H44" i="70"/>
  <c r="L44" i="70" s="1"/>
  <c r="L43" i="70"/>
  <c r="K43" i="70"/>
  <c r="H43" i="70"/>
  <c r="M42" i="70"/>
  <c r="K42" i="70"/>
  <c r="H42" i="70"/>
  <c r="L42" i="70" s="1"/>
  <c r="M41" i="70"/>
  <c r="L41" i="70"/>
  <c r="K41" i="70"/>
  <c r="H41" i="70"/>
  <c r="K40" i="70"/>
  <c r="M40" i="70" s="1"/>
  <c r="I40" i="70"/>
  <c r="T40" i="70" s="1"/>
  <c r="S40" i="70" s="1"/>
  <c r="H40" i="70"/>
  <c r="L40" i="70" s="1"/>
  <c r="K39" i="70"/>
  <c r="M39" i="70" s="1"/>
  <c r="H39" i="70"/>
  <c r="L39" i="70" s="1"/>
  <c r="U38" i="70"/>
  <c r="R38" i="70"/>
  <c r="K38" i="70"/>
  <c r="M38" i="70" s="1"/>
  <c r="H38" i="70"/>
  <c r="L38" i="70" s="1"/>
  <c r="K37" i="70"/>
  <c r="H37" i="70"/>
  <c r="L37" i="70" s="1"/>
  <c r="M36" i="70"/>
  <c r="K36" i="70"/>
  <c r="H36" i="70"/>
  <c r="L36" i="70" s="1"/>
  <c r="M35" i="70"/>
  <c r="K35" i="70"/>
  <c r="H35" i="70"/>
  <c r="L35" i="70" s="1"/>
  <c r="R34" i="70"/>
  <c r="V34" i="70" s="1"/>
  <c r="K34" i="70"/>
  <c r="M34" i="70" s="1"/>
  <c r="H34" i="70"/>
  <c r="L34" i="70" s="1"/>
  <c r="M33" i="70"/>
  <c r="L33" i="70"/>
  <c r="K33" i="70"/>
  <c r="H33" i="70"/>
  <c r="M32" i="70"/>
  <c r="K32" i="70"/>
  <c r="H32" i="70"/>
  <c r="L32" i="70" s="1"/>
  <c r="K31" i="70"/>
  <c r="M31" i="70" s="1"/>
  <c r="H31" i="70"/>
  <c r="L31" i="70" s="1"/>
  <c r="L30" i="70"/>
  <c r="K30" i="70"/>
  <c r="H30" i="70"/>
  <c r="R29" i="70"/>
  <c r="K29" i="70"/>
  <c r="H29" i="70"/>
  <c r="L29" i="70" s="1"/>
  <c r="R28" i="70"/>
  <c r="L28" i="70"/>
  <c r="K28" i="70"/>
  <c r="M28" i="70" s="1"/>
  <c r="H28" i="70"/>
  <c r="R27" i="70"/>
  <c r="L27" i="70"/>
  <c r="K27" i="70"/>
  <c r="H27" i="70"/>
  <c r="L26" i="70"/>
  <c r="K26" i="70"/>
  <c r="H26" i="70"/>
  <c r="L25" i="70"/>
  <c r="K25" i="70"/>
  <c r="H25" i="70"/>
  <c r="R24" i="70"/>
  <c r="L24" i="70"/>
  <c r="K24" i="70"/>
  <c r="H24" i="70"/>
  <c r="K23" i="70"/>
  <c r="H23" i="70"/>
  <c r="L23" i="70" s="1"/>
  <c r="R22" i="70"/>
  <c r="L22" i="70"/>
  <c r="K22" i="70"/>
  <c r="H22" i="70"/>
  <c r="R21" i="70"/>
  <c r="M21" i="70"/>
  <c r="K21" i="70"/>
  <c r="H21" i="70"/>
  <c r="L21" i="70" s="1"/>
  <c r="V21" i="70" s="1"/>
  <c r="V20" i="70"/>
  <c r="R20" i="70"/>
  <c r="L20" i="70"/>
  <c r="U20" i="70" s="1"/>
  <c r="K20" i="70"/>
  <c r="H20" i="70"/>
  <c r="R19" i="70"/>
  <c r="K19" i="70"/>
  <c r="H19" i="70"/>
  <c r="R18" i="70"/>
  <c r="I18" i="70"/>
  <c r="H18" i="70"/>
  <c r="E16" i="70"/>
  <c r="P11" i="70"/>
  <c r="P1" i="70"/>
  <c r="P8" i="70" s="1"/>
  <c r="Q50" i="69"/>
  <c r="G50" i="69"/>
  <c r="F50" i="69"/>
  <c r="K49" i="69"/>
  <c r="H49" i="69"/>
  <c r="L49" i="69" s="1"/>
  <c r="L48" i="69"/>
  <c r="K48" i="69"/>
  <c r="H48" i="69"/>
  <c r="R47" i="69"/>
  <c r="L47" i="69"/>
  <c r="K47" i="69"/>
  <c r="H47" i="69"/>
  <c r="L46" i="69"/>
  <c r="K46" i="69"/>
  <c r="H46" i="69"/>
  <c r="R45" i="69"/>
  <c r="K45" i="69"/>
  <c r="H45" i="69"/>
  <c r="L45" i="69" s="1"/>
  <c r="R44" i="69"/>
  <c r="L44" i="69"/>
  <c r="K44" i="69"/>
  <c r="M44" i="69" s="1"/>
  <c r="H44" i="69"/>
  <c r="L43" i="69"/>
  <c r="K43" i="69"/>
  <c r="H43" i="69"/>
  <c r="L42" i="69"/>
  <c r="K42" i="69"/>
  <c r="M42" i="69" s="1"/>
  <c r="H42" i="69"/>
  <c r="K41" i="69"/>
  <c r="H41" i="69"/>
  <c r="L41" i="69" s="1"/>
  <c r="L40" i="69"/>
  <c r="K40" i="69"/>
  <c r="M40" i="69" s="1"/>
  <c r="H40" i="69"/>
  <c r="R39" i="69"/>
  <c r="L39" i="69"/>
  <c r="K39" i="69"/>
  <c r="H39" i="69"/>
  <c r="V38" i="69"/>
  <c r="R38" i="69"/>
  <c r="L38" i="69"/>
  <c r="K38" i="69"/>
  <c r="H38" i="69"/>
  <c r="K37" i="69"/>
  <c r="H37" i="69"/>
  <c r="L36" i="69"/>
  <c r="K36" i="69"/>
  <c r="M36" i="69" s="1"/>
  <c r="H36" i="69"/>
  <c r="L35" i="69"/>
  <c r="K35" i="69"/>
  <c r="H35" i="69"/>
  <c r="L34" i="69"/>
  <c r="K34" i="69"/>
  <c r="M34" i="69" s="1"/>
  <c r="H34" i="69"/>
  <c r="K33" i="69"/>
  <c r="H33" i="69"/>
  <c r="L33" i="69" s="1"/>
  <c r="L32" i="69"/>
  <c r="K32" i="69"/>
  <c r="M32" i="69" s="1"/>
  <c r="H32" i="69"/>
  <c r="L31" i="69"/>
  <c r="K31" i="69"/>
  <c r="H31" i="69"/>
  <c r="R30" i="69"/>
  <c r="V30" i="69" s="1"/>
  <c r="L30" i="69"/>
  <c r="K30" i="69"/>
  <c r="H30" i="69"/>
  <c r="R29" i="69"/>
  <c r="K29" i="69"/>
  <c r="H29" i="69"/>
  <c r="R28" i="69"/>
  <c r="L28" i="69"/>
  <c r="K28" i="69"/>
  <c r="M28" i="69" s="1"/>
  <c r="H28" i="69"/>
  <c r="L27" i="69"/>
  <c r="K27" i="69"/>
  <c r="I27" i="69"/>
  <c r="H27" i="69"/>
  <c r="L26" i="69"/>
  <c r="K26" i="69"/>
  <c r="M26" i="69" s="1"/>
  <c r="H26" i="69"/>
  <c r="K25" i="69"/>
  <c r="H25" i="69"/>
  <c r="L25" i="69" s="1"/>
  <c r="L24" i="69"/>
  <c r="K24" i="69"/>
  <c r="H24" i="69"/>
  <c r="R23" i="69"/>
  <c r="U23" i="69" s="1"/>
  <c r="L23" i="69"/>
  <c r="K23" i="69"/>
  <c r="H23" i="69"/>
  <c r="R22" i="69"/>
  <c r="V22" i="69" s="1"/>
  <c r="L22" i="69"/>
  <c r="K22" i="69"/>
  <c r="H22" i="69"/>
  <c r="R21" i="69"/>
  <c r="K21" i="69"/>
  <c r="H21" i="69"/>
  <c r="L21" i="69" s="1"/>
  <c r="R20" i="69"/>
  <c r="L20" i="69"/>
  <c r="K20" i="69"/>
  <c r="M20" i="69" s="1"/>
  <c r="H20" i="69"/>
  <c r="L19" i="69"/>
  <c r="K19" i="69"/>
  <c r="H19" i="69"/>
  <c r="R18" i="69"/>
  <c r="I18" i="69"/>
  <c r="H18" i="69"/>
  <c r="E16" i="69"/>
  <c r="P11" i="69"/>
  <c r="P8" i="69"/>
  <c r="P1" i="69"/>
  <c r="Q50" i="68"/>
  <c r="G50" i="68"/>
  <c r="F50" i="68"/>
  <c r="M49" i="68"/>
  <c r="K49" i="68"/>
  <c r="H49" i="68"/>
  <c r="L49" i="68" s="1"/>
  <c r="L48" i="68"/>
  <c r="K48" i="68"/>
  <c r="H48" i="68"/>
  <c r="M47" i="68"/>
  <c r="K47" i="68"/>
  <c r="I47" i="68"/>
  <c r="T47" i="68" s="1"/>
  <c r="S47" i="68" s="1"/>
  <c r="H47" i="68"/>
  <c r="L47" i="68" s="1"/>
  <c r="L46" i="68"/>
  <c r="K46" i="68"/>
  <c r="M46" i="68" s="1"/>
  <c r="H46" i="68"/>
  <c r="L45" i="68"/>
  <c r="K45" i="68"/>
  <c r="I45" i="68"/>
  <c r="H45" i="68"/>
  <c r="L44" i="68"/>
  <c r="K44" i="68"/>
  <c r="M44" i="68" s="1"/>
  <c r="H44" i="68"/>
  <c r="M43" i="68"/>
  <c r="L43" i="68"/>
  <c r="K43" i="68"/>
  <c r="H43" i="68"/>
  <c r="L42" i="68"/>
  <c r="K42" i="68"/>
  <c r="M42" i="68" s="1"/>
  <c r="H42" i="68"/>
  <c r="M41" i="68"/>
  <c r="K41" i="68"/>
  <c r="I41" i="68"/>
  <c r="T41" i="68" s="1"/>
  <c r="S41" i="68" s="1"/>
  <c r="H41" i="68"/>
  <c r="L41" i="68" s="1"/>
  <c r="L40" i="68"/>
  <c r="K40" i="68"/>
  <c r="H40" i="68"/>
  <c r="M39" i="68"/>
  <c r="K39" i="68"/>
  <c r="H39" i="68"/>
  <c r="L39" i="68" s="1"/>
  <c r="L38" i="68"/>
  <c r="K38" i="68"/>
  <c r="M38" i="68" s="1"/>
  <c r="H38" i="68"/>
  <c r="L37" i="68"/>
  <c r="K37" i="68"/>
  <c r="H37" i="68"/>
  <c r="L36" i="68"/>
  <c r="K36" i="68"/>
  <c r="H36" i="68"/>
  <c r="M35" i="68"/>
  <c r="L35" i="68"/>
  <c r="K35" i="68"/>
  <c r="H35" i="68"/>
  <c r="L34" i="68"/>
  <c r="K34" i="68"/>
  <c r="M34" i="68" s="1"/>
  <c r="H34" i="68"/>
  <c r="K33" i="68"/>
  <c r="H33" i="68"/>
  <c r="L33" i="68" s="1"/>
  <c r="L32" i="68"/>
  <c r="K32" i="68"/>
  <c r="H32" i="68"/>
  <c r="M31" i="68"/>
  <c r="K31" i="68"/>
  <c r="I31" i="68"/>
  <c r="T31" i="68" s="1"/>
  <c r="S31" i="68" s="1"/>
  <c r="H31" i="68"/>
  <c r="L31" i="68" s="1"/>
  <c r="L30" i="68"/>
  <c r="K30" i="68"/>
  <c r="M30" i="68" s="1"/>
  <c r="H30" i="68"/>
  <c r="L29" i="68"/>
  <c r="K29" i="68"/>
  <c r="I29" i="68"/>
  <c r="H29" i="68"/>
  <c r="L28" i="68"/>
  <c r="K28" i="68"/>
  <c r="M28" i="68" s="1"/>
  <c r="H28" i="68"/>
  <c r="L27" i="68"/>
  <c r="K27" i="68"/>
  <c r="H27" i="68"/>
  <c r="L26" i="68"/>
  <c r="K26" i="68"/>
  <c r="H26" i="68"/>
  <c r="K25" i="68"/>
  <c r="H25" i="68"/>
  <c r="L24" i="68"/>
  <c r="K24" i="68"/>
  <c r="M24" i="68" s="1"/>
  <c r="H24" i="68"/>
  <c r="L23" i="68"/>
  <c r="K23" i="68"/>
  <c r="H23" i="68"/>
  <c r="L22" i="68"/>
  <c r="K22" i="68"/>
  <c r="M22" i="68" s="1"/>
  <c r="H22" i="68"/>
  <c r="K21" i="68"/>
  <c r="H21" i="68"/>
  <c r="L21" i="68" s="1"/>
  <c r="L20" i="68"/>
  <c r="K20" i="68"/>
  <c r="M20" i="68" s="1"/>
  <c r="H20" i="68"/>
  <c r="L19" i="68"/>
  <c r="K19" i="68"/>
  <c r="H19" i="68"/>
  <c r="R18" i="68"/>
  <c r="I18" i="68"/>
  <c r="H18" i="68"/>
  <c r="E16" i="68"/>
  <c r="P11" i="68"/>
  <c r="P1" i="68"/>
  <c r="P8" i="68" s="1"/>
  <c r="Q50" i="67"/>
  <c r="G50" i="67"/>
  <c r="F50" i="67"/>
  <c r="U49" i="67"/>
  <c r="R49" i="67"/>
  <c r="L49" i="67"/>
  <c r="K49" i="67"/>
  <c r="I49" i="67"/>
  <c r="H49" i="67"/>
  <c r="L48" i="67"/>
  <c r="K48" i="67"/>
  <c r="M48" i="67" s="1"/>
  <c r="H48" i="67"/>
  <c r="M47" i="67"/>
  <c r="K47" i="67"/>
  <c r="H47" i="67"/>
  <c r="L47" i="67" s="1"/>
  <c r="R46" i="67"/>
  <c r="L46" i="67"/>
  <c r="K46" i="67"/>
  <c r="H46" i="67"/>
  <c r="V45" i="67"/>
  <c r="U45" i="67"/>
  <c r="R45" i="67"/>
  <c r="L45" i="67"/>
  <c r="M45" i="67" s="1"/>
  <c r="K45" i="67"/>
  <c r="H45" i="67"/>
  <c r="R44" i="67"/>
  <c r="V44" i="67" s="1"/>
  <c r="L44" i="67"/>
  <c r="K44" i="67"/>
  <c r="H44" i="67"/>
  <c r="R43" i="67"/>
  <c r="M43" i="67"/>
  <c r="K43" i="67"/>
  <c r="H43" i="67"/>
  <c r="L43" i="67" s="1"/>
  <c r="R42" i="67"/>
  <c r="L42" i="67"/>
  <c r="K42" i="67"/>
  <c r="M42" i="67" s="1"/>
  <c r="H42" i="67"/>
  <c r="U41" i="67"/>
  <c r="R41" i="67"/>
  <c r="L41" i="67"/>
  <c r="K41" i="67"/>
  <c r="H41" i="67"/>
  <c r="L40" i="67"/>
  <c r="K40" i="67"/>
  <c r="M40" i="67" s="1"/>
  <c r="H40" i="67"/>
  <c r="M39" i="67"/>
  <c r="K39" i="67"/>
  <c r="H39" i="67"/>
  <c r="L39" i="67" s="1"/>
  <c r="V38" i="67"/>
  <c r="R38" i="67"/>
  <c r="L38" i="67"/>
  <c r="K38" i="67"/>
  <c r="M38" i="67" s="1"/>
  <c r="H38" i="67"/>
  <c r="V37" i="67"/>
  <c r="R37" i="67"/>
  <c r="L37" i="67"/>
  <c r="K37" i="67"/>
  <c r="H37" i="67"/>
  <c r="V36" i="67"/>
  <c r="R36" i="67"/>
  <c r="L36" i="67"/>
  <c r="K36" i="67"/>
  <c r="H36" i="67"/>
  <c r="R35" i="67"/>
  <c r="K35" i="67"/>
  <c r="H35" i="67"/>
  <c r="L35" i="67" s="1"/>
  <c r="R34" i="67"/>
  <c r="L34" i="67"/>
  <c r="K34" i="67"/>
  <c r="M34" i="67" s="1"/>
  <c r="H34" i="67"/>
  <c r="R33" i="67"/>
  <c r="L33" i="67"/>
  <c r="K33" i="67"/>
  <c r="H33" i="67"/>
  <c r="L32" i="67"/>
  <c r="K32" i="67"/>
  <c r="M32" i="67" s="1"/>
  <c r="H32" i="67"/>
  <c r="K31" i="67"/>
  <c r="H31" i="67"/>
  <c r="L31" i="67" s="1"/>
  <c r="R30" i="67"/>
  <c r="L30" i="67"/>
  <c r="K30" i="67"/>
  <c r="H30" i="67"/>
  <c r="R29" i="67"/>
  <c r="L29" i="67"/>
  <c r="K29" i="67"/>
  <c r="H29" i="67"/>
  <c r="V28" i="67"/>
  <c r="R28" i="67"/>
  <c r="L28" i="67"/>
  <c r="K28" i="67"/>
  <c r="H28" i="67"/>
  <c r="R27" i="67"/>
  <c r="K27" i="67"/>
  <c r="H27" i="67"/>
  <c r="L27" i="67" s="1"/>
  <c r="R26" i="67"/>
  <c r="L26" i="67"/>
  <c r="K26" i="67"/>
  <c r="M26" i="67" s="1"/>
  <c r="H26" i="67"/>
  <c r="U25" i="67"/>
  <c r="R25" i="67"/>
  <c r="L25" i="67"/>
  <c r="K25" i="67"/>
  <c r="H25" i="67"/>
  <c r="L24" i="67"/>
  <c r="K24" i="67"/>
  <c r="M24" i="67" s="1"/>
  <c r="H24" i="67"/>
  <c r="K23" i="67"/>
  <c r="H23" i="67"/>
  <c r="L23" i="67" s="1"/>
  <c r="R22" i="67"/>
  <c r="L22" i="67"/>
  <c r="K22" i="67"/>
  <c r="M22" i="67" s="1"/>
  <c r="H22" i="67"/>
  <c r="R21" i="67"/>
  <c r="L21" i="67"/>
  <c r="M21" i="67" s="1"/>
  <c r="K21" i="67"/>
  <c r="H21" i="67"/>
  <c r="R20" i="67"/>
  <c r="V20" i="67" s="1"/>
  <c r="L20" i="67"/>
  <c r="K20" i="67"/>
  <c r="H20" i="67"/>
  <c r="R19" i="67"/>
  <c r="M19" i="67"/>
  <c r="K19" i="67"/>
  <c r="H19" i="67"/>
  <c r="L19" i="67" s="1"/>
  <c r="R18" i="67"/>
  <c r="R48" i="67" s="1"/>
  <c r="V48" i="67" s="1"/>
  <c r="I18" i="67"/>
  <c r="H18" i="67"/>
  <c r="E16" i="67"/>
  <c r="P11" i="67"/>
  <c r="P1" i="67"/>
  <c r="P8" i="67" s="1"/>
  <c r="Q50" i="66"/>
  <c r="G50" i="66"/>
  <c r="F50" i="66"/>
  <c r="M49" i="66"/>
  <c r="K49" i="66"/>
  <c r="H49" i="66"/>
  <c r="L49" i="66" s="1"/>
  <c r="L48" i="66"/>
  <c r="K48" i="66"/>
  <c r="M48" i="66" s="1"/>
  <c r="H48" i="66"/>
  <c r="R47" i="66"/>
  <c r="M47" i="66"/>
  <c r="K47" i="66"/>
  <c r="H47" i="66"/>
  <c r="L47" i="66" s="1"/>
  <c r="V47" i="66" s="1"/>
  <c r="R46" i="66"/>
  <c r="L46" i="66"/>
  <c r="K46" i="66"/>
  <c r="I46" i="66"/>
  <c r="H46" i="66"/>
  <c r="R45" i="66"/>
  <c r="M45" i="66"/>
  <c r="K45" i="66"/>
  <c r="H45" i="66"/>
  <c r="L45" i="66" s="1"/>
  <c r="L44" i="66"/>
  <c r="K44" i="66"/>
  <c r="M44" i="66" s="1"/>
  <c r="H44" i="66"/>
  <c r="U43" i="66"/>
  <c r="R43" i="66"/>
  <c r="L43" i="66"/>
  <c r="K43" i="66"/>
  <c r="H43" i="66"/>
  <c r="L42" i="66"/>
  <c r="K42" i="66"/>
  <c r="I42" i="66"/>
  <c r="H42" i="66"/>
  <c r="M41" i="66"/>
  <c r="L41" i="66"/>
  <c r="K41" i="66"/>
  <c r="H41" i="66"/>
  <c r="L40" i="66"/>
  <c r="K40" i="66"/>
  <c r="M40" i="66" s="1"/>
  <c r="H40" i="66"/>
  <c r="U39" i="66"/>
  <c r="R39" i="66"/>
  <c r="M39" i="66"/>
  <c r="K39" i="66"/>
  <c r="I39" i="66"/>
  <c r="T39" i="66" s="1"/>
  <c r="S39" i="66" s="1"/>
  <c r="H39" i="66"/>
  <c r="L39" i="66" s="1"/>
  <c r="V39" i="66" s="1"/>
  <c r="R38" i="66"/>
  <c r="L38" i="66"/>
  <c r="K38" i="66"/>
  <c r="H38" i="66"/>
  <c r="V37" i="66"/>
  <c r="R37" i="66"/>
  <c r="K37" i="66"/>
  <c r="H37" i="66"/>
  <c r="L37" i="66" s="1"/>
  <c r="L36" i="66"/>
  <c r="K36" i="66"/>
  <c r="M36" i="66" s="1"/>
  <c r="H36" i="66"/>
  <c r="U35" i="66"/>
  <c r="R35" i="66"/>
  <c r="L35" i="66"/>
  <c r="K35" i="66"/>
  <c r="I35" i="66"/>
  <c r="H35" i="66"/>
  <c r="L34" i="66"/>
  <c r="K34" i="66"/>
  <c r="H34" i="66"/>
  <c r="L33" i="66"/>
  <c r="K33" i="66"/>
  <c r="H33" i="66"/>
  <c r="L32" i="66"/>
  <c r="K32" i="66"/>
  <c r="H32" i="66"/>
  <c r="R31" i="66"/>
  <c r="K31" i="66"/>
  <c r="I31" i="66"/>
  <c r="H31" i="66"/>
  <c r="L31" i="66" s="1"/>
  <c r="R30" i="66"/>
  <c r="L30" i="66"/>
  <c r="K30" i="66"/>
  <c r="H30" i="66"/>
  <c r="R29" i="66"/>
  <c r="V29" i="66" s="1"/>
  <c r="K29" i="66"/>
  <c r="H29" i="66"/>
  <c r="L29" i="66" s="1"/>
  <c r="L28" i="66"/>
  <c r="K28" i="66"/>
  <c r="M28" i="66" s="1"/>
  <c r="T28" i="66" s="1"/>
  <c r="S28" i="66" s="1"/>
  <c r="I28" i="66"/>
  <c r="H28" i="66"/>
  <c r="R27" i="66"/>
  <c r="U27" i="66" s="1"/>
  <c r="L27" i="66"/>
  <c r="K27" i="66"/>
  <c r="I27" i="66"/>
  <c r="H27" i="66"/>
  <c r="L26" i="66"/>
  <c r="K26" i="66"/>
  <c r="H26" i="66"/>
  <c r="K25" i="66"/>
  <c r="H25" i="66"/>
  <c r="L25" i="66" s="1"/>
  <c r="L24" i="66"/>
  <c r="K24" i="66"/>
  <c r="H24" i="66"/>
  <c r="R23" i="66"/>
  <c r="M23" i="66"/>
  <c r="K23" i="66"/>
  <c r="H23" i="66"/>
  <c r="L23" i="66" s="1"/>
  <c r="R22" i="66"/>
  <c r="L22" i="66"/>
  <c r="K22" i="66"/>
  <c r="I22" i="66"/>
  <c r="H22" i="66"/>
  <c r="R21" i="66"/>
  <c r="K21" i="66"/>
  <c r="H21" i="66"/>
  <c r="L20" i="66"/>
  <c r="K20" i="66"/>
  <c r="M20" i="66" s="1"/>
  <c r="I20" i="66"/>
  <c r="T20" i="66" s="1"/>
  <c r="S20" i="66" s="1"/>
  <c r="H20" i="66"/>
  <c r="R19" i="66"/>
  <c r="L19" i="66"/>
  <c r="K19" i="66"/>
  <c r="H19" i="66"/>
  <c r="R18" i="66"/>
  <c r="I18" i="66"/>
  <c r="H18" i="66"/>
  <c r="E16" i="66"/>
  <c r="P11" i="66"/>
  <c r="P8" i="66"/>
  <c r="P1" i="66"/>
  <c r="Q50" i="65"/>
  <c r="H50" i="65"/>
  <c r="G50" i="65"/>
  <c r="F50" i="65"/>
  <c r="K49" i="65"/>
  <c r="H49" i="65"/>
  <c r="L49" i="65" s="1"/>
  <c r="M49" i="65" s="1"/>
  <c r="L48" i="65"/>
  <c r="K48" i="65"/>
  <c r="H48" i="65"/>
  <c r="K47" i="65"/>
  <c r="I47" i="65"/>
  <c r="H47" i="65"/>
  <c r="L47" i="65" s="1"/>
  <c r="L46" i="65"/>
  <c r="K46" i="65"/>
  <c r="M46" i="65" s="1"/>
  <c r="H46" i="65"/>
  <c r="L45" i="65"/>
  <c r="K45" i="65"/>
  <c r="H45" i="65"/>
  <c r="L44" i="65"/>
  <c r="K44" i="65"/>
  <c r="M44" i="65" s="1"/>
  <c r="I44" i="65"/>
  <c r="H44" i="65"/>
  <c r="K43" i="65"/>
  <c r="H43" i="65"/>
  <c r="L43" i="65" s="1"/>
  <c r="L42" i="65"/>
  <c r="K42" i="65"/>
  <c r="H42" i="65"/>
  <c r="L41" i="65"/>
  <c r="K41" i="65"/>
  <c r="H41" i="65"/>
  <c r="L40" i="65"/>
  <c r="K40" i="65"/>
  <c r="I40" i="65"/>
  <c r="H40" i="65"/>
  <c r="L39" i="65"/>
  <c r="K39" i="65"/>
  <c r="H39" i="65"/>
  <c r="L38" i="65"/>
  <c r="K38" i="65"/>
  <c r="H38" i="65"/>
  <c r="L37" i="65"/>
  <c r="K37" i="65"/>
  <c r="M37" i="65" s="1"/>
  <c r="H37" i="65"/>
  <c r="R36" i="65"/>
  <c r="K36" i="65"/>
  <c r="H36" i="65"/>
  <c r="R35" i="65"/>
  <c r="L35" i="65"/>
  <c r="K35" i="65"/>
  <c r="H35" i="65"/>
  <c r="M34" i="65"/>
  <c r="K34" i="65"/>
  <c r="H34" i="65"/>
  <c r="L34" i="65" s="1"/>
  <c r="L33" i="65"/>
  <c r="K33" i="65"/>
  <c r="M33" i="65" s="1"/>
  <c r="T33" i="65" s="1"/>
  <c r="S33" i="65" s="1"/>
  <c r="I33" i="65"/>
  <c r="H33" i="65"/>
  <c r="R32" i="65"/>
  <c r="U32" i="65" s="1"/>
  <c r="L32" i="65"/>
  <c r="K32" i="65"/>
  <c r="I32" i="65"/>
  <c r="H32" i="65"/>
  <c r="L31" i="65"/>
  <c r="K31" i="65"/>
  <c r="H31" i="65"/>
  <c r="L30" i="65"/>
  <c r="K30" i="65"/>
  <c r="H30" i="65"/>
  <c r="L29" i="65"/>
  <c r="K29" i="65"/>
  <c r="M29" i="65" s="1"/>
  <c r="H29" i="65"/>
  <c r="M28" i="65"/>
  <c r="K28" i="65"/>
  <c r="H28" i="65"/>
  <c r="L28" i="65" s="1"/>
  <c r="R27" i="65"/>
  <c r="L27" i="65"/>
  <c r="K27" i="65"/>
  <c r="H27" i="65"/>
  <c r="M26" i="65"/>
  <c r="K26" i="65"/>
  <c r="H26" i="65"/>
  <c r="L26" i="65" s="1"/>
  <c r="S25" i="65"/>
  <c r="L25" i="65"/>
  <c r="K25" i="65"/>
  <c r="M25" i="65" s="1"/>
  <c r="I25" i="65"/>
  <c r="T25" i="65" s="1"/>
  <c r="H25" i="65"/>
  <c r="L24" i="65"/>
  <c r="K24" i="65"/>
  <c r="I24" i="65"/>
  <c r="H24" i="65"/>
  <c r="L23" i="65"/>
  <c r="K23" i="65"/>
  <c r="H23" i="65"/>
  <c r="M22" i="65"/>
  <c r="L22" i="65"/>
  <c r="K22" i="65"/>
  <c r="H22" i="65"/>
  <c r="L21" i="65"/>
  <c r="K21" i="65"/>
  <c r="M21" i="65" s="1"/>
  <c r="H21" i="65"/>
  <c r="M20" i="65"/>
  <c r="K20" i="65"/>
  <c r="I20" i="65"/>
  <c r="T20" i="65" s="1"/>
  <c r="S20" i="65" s="1"/>
  <c r="H20" i="65"/>
  <c r="L20" i="65" s="1"/>
  <c r="L19" i="65"/>
  <c r="K19" i="65"/>
  <c r="H19" i="65"/>
  <c r="R18" i="65"/>
  <c r="I18" i="65"/>
  <c r="H18" i="65"/>
  <c r="I48" i="65" s="1"/>
  <c r="E16" i="65"/>
  <c r="P11" i="65"/>
  <c r="P1" i="65"/>
  <c r="P8" i="65" s="1"/>
  <c r="Q50" i="64"/>
  <c r="G50" i="64"/>
  <c r="F50" i="64"/>
  <c r="P11" i="64" s="1"/>
  <c r="L49" i="64"/>
  <c r="K49" i="64"/>
  <c r="H49" i="64"/>
  <c r="T48" i="64"/>
  <c r="S48" i="64" s="1"/>
  <c r="M48" i="64"/>
  <c r="K48" i="64"/>
  <c r="I48" i="64"/>
  <c r="H48" i="64"/>
  <c r="L48" i="64" s="1"/>
  <c r="R47" i="64"/>
  <c r="L47" i="64"/>
  <c r="K47" i="64"/>
  <c r="M47" i="64" s="1"/>
  <c r="I47" i="64"/>
  <c r="T47" i="64" s="1"/>
  <c r="S47" i="64" s="1"/>
  <c r="H47" i="64"/>
  <c r="L46" i="64"/>
  <c r="K46" i="64"/>
  <c r="I46" i="64"/>
  <c r="H46" i="64"/>
  <c r="L45" i="64"/>
  <c r="K45" i="64"/>
  <c r="M45" i="64" s="1"/>
  <c r="H45" i="64"/>
  <c r="L44" i="64"/>
  <c r="K44" i="64"/>
  <c r="H44" i="64"/>
  <c r="R43" i="64"/>
  <c r="V43" i="64" s="1"/>
  <c r="L43" i="64"/>
  <c r="K43" i="64"/>
  <c r="M43" i="64" s="1"/>
  <c r="H43" i="64"/>
  <c r="K42" i="64"/>
  <c r="H42" i="64"/>
  <c r="L41" i="64"/>
  <c r="K41" i="64"/>
  <c r="H41" i="64"/>
  <c r="T40" i="64"/>
  <c r="S40" i="64" s="1"/>
  <c r="M40" i="64"/>
  <c r="K40" i="64"/>
  <c r="I40" i="64"/>
  <c r="H40" i="64"/>
  <c r="L40" i="64" s="1"/>
  <c r="R39" i="64"/>
  <c r="L39" i="64"/>
  <c r="K39" i="64"/>
  <c r="M39" i="64" s="1"/>
  <c r="I39" i="64"/>
  <c r="T39" i="64" s="1"/>
  <c r="S39" i="64" s="1"/>
  <c r="H39" i="64"/>
  <c r="L38" i="64"/>
  <c r="K38" i="64"/>
  <c r="I38" i="64"/>
  <c r="H38" i="64"/>
  <c r="L37" i="64"/>
  <c r="K37" i="64"/>
  <c r="M37" i="64" s="1"/>
  <c r="H37" i="64"/>
  <c r="L36" i="64"/>
  <c r="K36" i="64"/>
  <c r="H36" i="64"/>
  <c r="R35" i="64"/>
  <c r="V35" i="64" s="1"/>
  <c r="L35" i="64"/>
  <c r="K35" i="64"/>
  <c r="M35" i="64" s="1"/>
  <c r="H35" i="64"/>
  <c r="K34" i="64"/>
  <c r="H34" i="64"/>
  <c r="L33" i="64"/>
  <c r="K33" i="64"/>
  <c r="H33" i="64"/>
  <c r="T32" i="64"/>
  <c r="S32" i="64" s="1"/>
  <c r="M32" i="64"/>
  <c r="K32" i="64"/>
  <c r="I32" i="64"/>
  <c r="H32" i="64"/>
  <c r="L32" i="64" s="1"/>
  <c r="R31" i="64"/>
  <c r="L31" i="64"/>
  <c r="K31" i="64"/>
  <c r="M31" i="64" s="1"/>
  <c r="I31" i="64"/>
  <c r="T31" i="64" s="1"/>
  <c r="S31" i="64" s="1"/>
  <c r="H31" i="64"/>
  <c r="L30" i="64"/>
  <c r="K30" i="64"/>
  <c r="I30" i="64"/>
  <c r="H30" i="64"/>
  <c r="L29" i="64"/>
  <c r="K29" i="64"/>
  <c r="M29" i="64" s="1"/>
  <c r="H29" i="64"/>
  <c r="L28" i="64"/>
  <c r="K28" i="64"/>
  <c r="H28" i="64"/>
  <c r="R27" i="64"/>
  <c r="K27" i="64"/>
  <c r="H27" i="64"/>
  <c r="L27" i="64" s="1"/>
  <c r="R26" i="64"/>
  <c r="K26" i="64"/>
  <c r="H26" i="64"/>
  <c r="L25" i="64"/>
  <c r="K25" i="64"/>
  <c r="H25" i="64"/>
  <c r="K24" i="64"/>
  <c r="M24" i="64" s="1"/>
  <c r="H24" i="64"/>
  <c r="L24" i="64" s="1"/>
  <c r="L23" i="64"/>
  <c r="K23" i="64"/>
  <c r="H23" i="64"/>
  <c r="S22" i="64"/>
  <c r="K22" i="64"/>
  <c r="M22" i="64" s="1"/>
  <c r="I22" i="64"/>
  <c r="T22" i="64" s="1"/>
  <c r="H22" i="64"/>
  <c r="L22" i="64" s="1"/>
  <c r="K21" i="64"/>
  <c r="H21" i="64"/>
  <c r="L21" i="64" s="1"/>
  <c r="K20" i="64"/>
  <c r="H20" i="64"/>
  <c r="K19" i="64"/>
  <c r="H19" i="64"/>
  <c r="R18" i="64"/>
  <c r="I18" i="64"/>
  <c r="H18" i="64"/>
  <c r="E16" i="64"/>
  <c r="P8" i="64"/>
  <c r="P1" i="64"/>
  <c r="Q50" i="63"/>
  <c r="G50" i="63"/>
  <c r="F50" i="63"/>
  <c r="K49" i="63"/>
  <c r="M49" i="63" s="1"/>
  <c r="H49" i="63"/>
  <c r="L49" i="63" s="1"/>
  <c r="R48" i="63"/>
  <c r="K48" i="63"/>
  <c r="M48" i="63" s="1"/>
  <c r="H48" i="63"/>
  <c r="L48" i="63" s="1"/>
  <c r="M47" i="63"/>
  <c r="K47" i="63"/>
  <c r="H47" i="63"/>
  <c r="L47" i="63" s="1"/>
  <c r="R46" i="63"/>
  <c r="K46" i="63"/>
  <c r="H46" i="63"/>
  <c r="L46" i="63" s="1"/>
  <c r="L45" i="63"/>
  <c r="K45" i="63"/>
  <c r="H45" i="63"/>
  <c r="K44" i="63"/>
  <c r="M44" i="63" s="1"/>
  <c r="H44" i="63"/>
  <c r="L44" i="63" s="1"/>
  <c r="L43" i="63"/>
  <c r="K43" i="63"/>
  <c r="H43" i="63"/>
  <c r="K42" i="63"/>
  <c r="M42" i="63" s="1"/>
  <c r="H42" i="63"/>
  <c r="L42" i="63" s="1"/>
  <c r="K41" i="63"/>
  <c r="H41" i="63"/>
  <c r="L41" i="63" s="1"/>
  <c r="R40" i="63"/>
  <c r="K40" i="63"/>
  <c r="H40" i="63"/>
  <c r="K39" i="63"/>
  <c r="H39" i="63"/>
  <c r="L39" i="63" s="1"/>
  <c r="R38" i="63"/>
  <c r="M38" i="63"/>
  <c r="K38" i="63"/>
  <c r="H38" i="63"/>
  <c r="L38" i="63" s="1"/>
  <c r="L37" i="63"/>
  <c r="K37" i="63"/>
  <c r="H37" i="63"/>
  <c r="K36" i="63"/>
  <c r="M36" i="63" s="1"/>
  <c r="H36" i="63"/>
  <c r="L36" i="63" s="1"/>
  <c r="L35" i="63"/>
  <c r="K35" i="63"/>
  <c r="M35" i="63" s="1"/>
  <c r="H35" i="63"/>
  <c r="K34" i="63"/>
  <c r="M34" i="63" s="1"/>
  <c r="I34" i="63"/>
  <c r="T34" i="63" s="1"/>
  <c r="S34" i="63" s="1"/>
  <c r="H34" i="63"/>
  <c r="L34" i="63" s="1"/>
  <c r="K33" i="63"/>
  <c r="M33" i="63" s="1"/>
  <c r="H33" i="63"/>
  <c r="L33" i="63" s="1"/>
  <c r="R32" i="63"/>
  <c r="K32" i="63"/>
  <c r="M32" i="63" s="1"/>
  <c r="H32" i="63"/>
  <c r="L32" i="63" s="1"/>
  <c r="M31" i="63"/>
  <c r="K31" i="63"/>
  <c r="H31" i="63"/>
  <c r="L31" i="63" s="1"/>
  <c r="R30" i="63"/>
  <c r="V30" i="63" s="1"/>
  <c r="K30" i="63"/>
  <c r="H30" i="63"/>
  <c r="L30" i="63" s="1"/>
  <c r="L29" i="63"/>
  <c r="K29" i="63"/>
  <c r="H29" i="63"/>
  <c r="K28" i="63"/>
  <c r="M28" i="63" s="1"/>
  <c r="H28" i="63"/>
  <c r="L28" i="63" s="1"/>
  <c r="L27" i="63"/>
  <c r="K27" i="63"/>
  <c r="H27" i="63"/>
  <c r="K26" i="63"/>
  <c r="M26" i="63" s="1"/>
  <c r="H26" i="63"/>
  <c r="L26" i="63" s="1"/>
  <c r="K25" i="63"/>
  <c r="H25" i="63"/>
  <c r="L25" i="63" s="1"/>
  <c r="R24" i="63"/>
  <c r="K24" i="63"/>
  <c r="I24" i="63"/>
  <c r="H24" i="63"/>
  <c r="L24" i="63" s="1"/>
  <c r="K23" i="63"/>
  <c r="H23" i="63"/>
  <c r="R22" i="63"/>
  <c r="M22" i="63"/>
  <c r="K22" i="63"/>
  <c r="H22" i="63"/>
  <c r="L22" i="63" s="1"/>
  <c r="M21" i="63"/>
  <c r="L21" i="63"/>
  <c r="K21" i="63"/>
  <c r="H21" i="63"/>
  <c r="K20" i="63"/>
  <c r="M20" i="63" s="1"/>
  <c r="H20" i="63"/>
  <c r="L20" i="63" s="1"/>
  <c r="L19" i="63"/>
  <c r="K19" i="63"/>
  <c r="H19" i="63"/>
  <c r="R18" i="63"/>
  <c r="I18" i="63"/>
  <c r="H18" i="63"/>
  <c r="E16" i="63"/>
  <c r="P11" i="63"/>
  <c r="P8" i="63"/>
  <c r="P1" i="63"/>
  <c r="Q50" i="62"/>
  <c r="G50" i="62"/>
  <c r="F50" i="62"/>
  <c r="P11" i="62" s="1"/>
  <c r="M49" i="62"/>
  <c r="L49" i="62"/>
  <c r="K49" i="62"/>
  <c r="H49" i="62"/>
  <c r="K48" i="62"/>
  <c r="M48" i="62" s="1"/>
  <c r="H48" i="62"/>
  <c r="L48" i="62" s="1"/>
  <c r="L47" i="62"/>
  <c r="K47" i="62"/>
  <c r="M47" i="62" s="1"/>
  <c r="H47" i="62"/>
  <c r="K46" i="62"/>
  <c r="M46" i="62" s="1"/>
  <c r="I46" i="62"/>
  <c r="H46" i="62"/>
  <c r="L46" i="62" s="1"/>
  <c r="K45" i="62"/>
  <c r="H45" i="62"/>
  <c r="L45" i="62" s="1"/>
  <c r="R44" i="62"/>
  <c r="K44" i="62"/>
  <c r="H44" i="62"/>
  <c r="K43" i="62"/>
  <c r="H43" i="62"/>
  <c r="L43" i="62" s="1"/>
  <c r="K42" i="62"/>
  <c r="H42" i="62"/>
  <c r="L41" i="62"/>
  <c r="K41" i="62"/>
  <c r="H41" i="62"/>
  <c r="M40" i="62"/>
  <c r="K40" i="62"/>
  <c r="H40" i="62"/>
  <c r="L40" i="62" s="1"/>
  <c r="L39" i="62"/>
  <c r="K39" i="62"/>
  <c r="M39" i="62" s="1"/>
  <c r="H39" i="62"/>
  <c r="K38" i="62"/>
  <c r="M38" i="62" s="1"/>
  <c r="I38" i="62"/>
  <c r="T38" i="62" s="1"/>
  <c r="S38" i="62" s="1"/>
  <c r="H38" i="62"/>
  <c r="L38" i="62" s="1"/>
  <c r="K37" i="62"/>
  <c r="M37" i="62" s="1"/>
  <c r="H37" i="62"/>
  <c r="L37" i="62" s="1"/>
  <c r="K36" i="62"/>
  <c r="M36" i="62" s="1"/>
  <c r="I36" i="62"/>
  <c r="T36" i="62" s="1"/>
  <c r="S36" i="62" s="1"/>
  <c r="H36" i="62"/>
  <c r="L36" i="62" s="1"/>
  <c r="M35" i="62"/>
  <c r="K35" i="62"/>
  <c r="H35" i="62"/>
  <c r="L35" i="62" s="1"/>
  <c r="R34" i="62"/>
  <c r="K34" i="62"/>
  <c r="H34" i="62"/>
  <c r="M33" i="62"/>
  <c r="L33" i="62"/>
  <c r="K33" i="62"/>
  <c r="H33" i="62"/>
  <c r="K32" i="62"/>
  <c r="M32" i="62" s="1"/>
  <c r="H32" i="62"/>
  <c r="L32" i="62" s="1"/>
  <c r="L31" i="62"/>
  <c r="K31" i="62"/>
  <c r="H31" i="62"/>
  <c r="K30" i="62"/>
  <c r="M30" i="62" s="1"/>
  <c r="I30" i="62"/>
  <c r="H30" i="62"/>
  <c r="L30" i="62" s="1"/>
  <c r="K29" i="62"/>
  <c r="H29" i="62"/>
  <c r="L29" i="62" s="1"/>
  <c r="R28" i="62"/>
  <c r="K28" i="62"/>
  <c r="H28" i="62"/>
  <c r="K27" i="62"/>
  <c r="H27" i="62"/>
  <c r="L27" i="62" s="1"/>
  <c r="K26" i="62"/>
  <c r="H26" i="62"/>
  <c r="L25" i="62"/>
  <c r="K25" i="62"/>
  <c r="H25" i="62"/>
  <c r="M24" i="62"/>
  <c r="K24" i="62"/>
  <c r="H24" i="62"/>
  <c r="L24" i="62" s="1"/>
  <c r="L23" i="62"/>
  <c r="K23" i="62"/>
  <c r="M23" i="62" s="1"/>
  <c r="H23" i="62"/>
  <c r="K22" i="62"/>
  <c r="M22" i="62" s="1"/>
  <c r="I22" i="62"/>
  <c r="T22" i="62" s="1"/>
  <c r="S22" i="62" s="1"/>
  <c r="H22" i="62"/>
  <c r="L22" i="62" s="1"/>
  <c r="K21" i="62"/>
  <c r="M21" i="62" s="1"/>
  <c r="H21" i="62"/>
  <c r="L21" i="62" s="1"/>
  <c r="K20" i="62"/>
  <c r="M20" i="62" s="1"/>
  <c r="I20" i="62"/>
  <c r="T20" i="62" s="1"/>
  <c r="S20" i="62" s="1"/>
  <c r="H20" i="62"/>
  <c r="L20" i="62" s="1"/>
  <c r="K19" i="62"/>
  <c r="H19" i="62"/>
  <c r="R18" i="62"/>
  <c r="I18" i="62"/>
  <c r="H18" i="62"/>
  <c r="E16" i="62"/>
  <c r="P8" i="62"/>
  <c r="P1" i="62"/>
  <c r="Q50" i="61"/>
  <c r="G50" i="61"/>
  <c r="F50" i="61"/>
  <c r="K49" i="61"/>
  <c r="H49" i="61"/>
  <c r="L49" i="61" s="1"/>
  <c r="R48" i="61"/>
  <c r="K48" i="61"/>
  <c r="H48" i="61"/>
  <c r="L48" i="61" s="1"/>
  <c r="K47" i="61"/>
  <c r="H47" i="61"/>
  <c r="L47" i="61" s="1"/>
  <c r="K46" i="61"/>
  <c r="H46" i="61"/>
  <c r="L46" i="61" s="1"/>
  <c r="L45" i="61"/>
  <c r="K45" i="61"/>
  <c r="H45" i="61"/>
  <c r="M44" i="61"/>
  <c r="K44" i="61"/>
  <c r="H44" i="61"/>
  <c r="L44" i="61" s="1"/>
  <c r="L43" i="61"/>
  <c r="K43" i="61"/>
  <c r="M43" i="61" s="1"/>
  <c r="H43" i="61"/>
  <c r="K42" i="61"/>
  <c r="M42" i="61" s="1"/>
  <c r="H42" i="61"/>
  <c r="L42" i="61" s="1"/>
  <c r="K41" i="61"/>
  <c r="H41" i="61"/>
  <c r="L41" i="61" s="1"/>
  <c r="K40" i="61"/>
  <c r="M40" i="61" s="1"/>
  <c r="H40" i="61"/>
  <c r="L40" i="61" s="1"/>
  <c r="M39" i="61"/>
  <c r="K39" i="61"/>
  <c r="H39" i="61"/>
  <c r="L39" i="61" s="1"/>
  <c r="M38" i="61"/>
  <c r="K38" i="61"/>
  <c r="I38" i="61"/>
  <c r="T38" i="61" s="1"/>
  <c r="S38" i="61" s="1"/>
  <c r="H38" i="61"/>
  <c r="L38" i="61" s="1"/>
  <c r="M37" i="61"/>
  <c r="K37" i="61"/>
  <c r="H37" i="61"/>
  <c r="L37" i="61" s="1"/>
  <c r="K36" i="61"/>
  <c r="M36" i="61" s="1"/>
  <c r="H36" i="61"/>
  <c r="L36" i="61" s="1"/>
  <c r="M35" i="61"/>
  <c r="L35" i="61"/>
  <c r="K35" i="61"/>
  <c r="H35" i="61"/>
  <c r="M34" i="61"/>
  <c r="K34" i="61"/>
  <c r="H34" i="61"/>
  <c r="L34" i="61" s="1"/>
  <c r="K33" i="61"/>
  <c r="H33" i="61"/>
  <c r="L33" i="61" s="1"/>
  <c r="R32" i="61"/>
  <c r="K32" i="61"/>
  <c r="M32" i="61" s="1"/>
  <c r="H32" i="61"/>
  <c r="L32" i="61" s="1"/>
  <c r="K31" i="61"/>
  <c r="M31" i="61" s="1"/>
  <c r="H31" i="61"/>
  <c r="L31" i="61" s="1"/>
  <c r="M30" i="61"/>
  <c r="K30" i="61"/>
  <c r="H30" i="61"/>
  <c r="L30" i="61" s="1"/>
  <c r="K29" i="61"/>
  <c r="H29" i="61"/>
  <c r="L29" i="61" s="1"/>
  <c r="R28" i="61"/>
  <c r="M28" i="61"/>
  <c r="K28" i="61"/>
  <c r="H28" i="61"/>
  <c r="L28" i="61" s="1"/>
  <c r="L27" i="61"/>
  <c r="K27" i="61"/>
  <c r="M27" i="61" s="1"/>
  <c r="H27" i="61"/>
  <c r="M26" i="61"/>
  <c r="K26" i="61"/>
  <c r="H26" i="61"/>
  <c r="L26" i="61" s="1"/>
  <c r="L25" i="61"/>
  <c r="K25" i="61"/>
  <c r="H25" i="61"/>
  <c r="R24" i="61"/>
  <c r="K24" i="61"/>
  <c r="H24" i="61"/>
  <c r="L24" i="61" s="1"/>
  <c r="K23" i="61"/>
  <c r="M23" i="61" s="1"/>
  <c r="H23" i="61"/>
  <c r="L23" i="61" s="1"/>
  <c r="R22" i="61"/>
  <c r="M22" i="61"/>
  <c r="K22" i="61"/>
  <c r="H22" i="61"/>
  <c r="L22" i="61" s="1"/>
  <c r="L21" i="61"/>
  <c r="K21" i="61"/>
  <c r="H21" i="61"/>
  <c r="R20" i="61"/>
  <c r="U20" i="61" s="1"/>
  <c r="K20" i="61"/>
  <c r="M20" i="61" s="1"/>
  <c r="H20" i="61"/>
  <c r="L20" i="61" s="1"/>
  <c r="L19" i="61"/>
  <c r="K19" i="61"/>
  <c r="H19" i="61"/>
  <c r="R18" i="61"/>
  <c r="I18" i="61"/>
  <c r="H18" i="61"/>
  <c r="E16" i="61"/>
  <c r="P11" i="61"/>
  <c r="P8" i="61"/>
  <c r="P1" i="61"/>
  <c r="Q50" i="60"/>
  <c r="G50" i="60"/>
  <c r="F50" i="60"/>
  <c r="P11" i="60" s="1"/>
  <c r="L49" i="60"/>
  <c r="K49" i="60"/>
  <c r="H49" i="60"/>
  <c r="K48" i="60"/>
  <c r="M48" i="60" s="1"/>
  <c r="H48" i="60"/>
  <c r="L48" i="60" s="1"/>
  <c r="L47" i="60"/>
  <c r="K47" i="60"/>
  <c r="H47" i="60"/>
  <c r="K46" i="60"/>
  <c r="M46" i="60" s="1"/>
  <c r="I46" i="60"/>
  <c r="H46" i="60"/>
  <c r="L46" i="60" s="1"/>
  <c r="K45" i="60"/>
  <c r="H45" i="60"/>
  <c r="L45" i="60" s="1"/>
  <c r="K44" i="60"/>
  <c r="M44" i="60" s="1"/>
  <c r="I44" i="60"/>
  <c r="H44" i="60"/>
  <c r="L44" i="60" s="1"/>
  <c r="M43" i="60"/>
  <c r="K43" i="60"/>
  <c r="H43" i="60"/>
  <c r="L43" i="60" s="1"/>
  <c r="S42" i="60"/>
  <c r="M42" i="60"/>
  <c r="K42" i="60"/>
  <c r="I42" i="60"/>
  <c r="T42" i="60" s="1"/>
  <c r="H42" i="60"/>
  <c r="L42" i="60" s="1"/>
  <c r="K41" i="60"/>
  <c r="H41" i="60"/>
  <c r="L41" i="60" s="1"/>
  <c r="K40" i="60"/>
  <c r="M40" i="60" s="1"/>
  <c r="H40" i="60"/>
  <c r="L40" i="60" s="1"/>
  <c r="M39" i="60"/>
  <c r="L39" i="60"/>
  <c r="K39" i="60"/>
  <c r="H39" i="60"/>
  <c r="K38" i="60"/>
  <c r="M38" i="60" s="1"/>
  <c r="I38" i="60"/>
  <c r="H38" i="60"/>
  <c r="L38" i="60" s="1"/>
  <c r="K37" i="60"/>
  <c r="M37" i="60" s="1"/>
  <c r="H37" i="60"/>
  <c r="L37" i="60" s="1"/>
  <c r="R36" i="60"/>
  <c r="K36" i="60"/>
  <c r="M36" i="60" s="1"/>
  <c r="H36" i="60"/>
  <c r="L36" i="60" s="1"/>
  <c r="K35" i="60"/>
  <c r="H35" i="60"/>
  <c r="L35" i="60" s="1"/>
  <c r="M34" i="60"/>
  <c r="K34" i="60"/>
  <c r="H34" i="60"/>
  <c r="L34" i="60" s="1"/>
  <c r="K33" i="60"/>
  <c r="H33" i="60"/>
  <c r="L33" i="60" s="1"/>
  <c r="R32" i="60"/>
  <c r="M32" i="60"/>
  <c r="K32" i="60"/>
  <c r="H32" i="60"/>
  <c r="L32" i="60" s="1"/>
  <c r="V32" i="60" s="1"/>
  <c r="L31" i="60"/>
  <c r="K31" i="60"/>
  <c r="M31" i="60" s="1"/>
  <c r="H31" i="60"/>
  <c r="M30" i="60"/>
  <c r="K30" i="60"/>
  <c r="I30" i="60"/>
  <c r="H30" i="60"/>
  <c r="L30" i="60" s="1"/>
  <c r="L29" i="60"/>
  <c r="K29" i="60"/>
  <c r="H29" i="60"/>
  <c r="R28" i="60"/>
  <c r="K28" i="60"/>
  <c r="H28" i="60"/>
  <c r="K27" i="60"/>
  <c r="M27" i="60" s="1"/>
  <c r="H27" i="60"/>
  <c r="L27" i="60" s="1"/>
  <c r="R26" i="60"/>
  <c r="K26" i="60"/>
  <c r="H26" i="60"/>
  <c r="L25" i="60"/>
  <c r="K25" i="60"/>
  <c r="H25" i="60"/>
  <c r="R24" i="60"/>
  <c r="U24" i="60" s="1"/>
  <c r="K24" i="60"/>
  <c r="M24" i="60" s="1"/>
  <c r="H24" i="60"/>
  <c r="L24" i="60" s="1"/>
  <c r="L23" i="60"/>
  <c r="K23" i="60"/>
  <c r="H23" i="60"/>
  <c r="K22" i="60"/>
  <c r="M22" i="60" s="1"/>
  <c r="I22" i="60"/>
  <c r="H22" i="60"/>
  <c r="L22" i="60" s="1"/>
  <c r="L21" i="60"/>
  <c r="K21" i="60"/>
  <c r="H21" i="60"/>
  <c r="K20" i="60"/>
  <c r="H20" i="60"/>
  <c r="K19" i="60"/>
  <c r="H19" i="60"/>
  <c r="R18" i="60"/>
  <c r="I18" i="60"/>
  <c r="H18" i="60"/>
  <c r="E16" i="60"/>
  <c r="P8" i="60"/>
  <c r="P1" i="60"/>
  <c r="Q50" i="59"/>
  <c r="G50" i="59"/>
  <c r="F50" i="59"/>
  <c r="L49" i="59"/>
  <c r="K49" i="59"/>
  <c r="H49" i="59"/>
  <c r="R48" i="59"/>
  <c r="K48" i="59"/>
  <c r="H48" i="59"/>
  <c r="L48" i="59" s="1"/>
  <c r="K47" i="59"/>
  <c r="M47" i="59" s="1"/>
  <c r="H47" i="59"/>
  <c r="L47" i="59" s="1"/>
  <c r="R46" i="59"/>
  <c r="M46" i="59"/>
  <c r="K46" i="59"/>
  <c r="H46" i="59"/>
  <c r="L46" i="59" s="1"/>
  <c r="L45" i="59"/>
  <c r="K45" i="59"/>
  <c r="H45" i="59"/>
  <c r="R44" i="59"/>
  <c r="U44" i="59" s="1"/>
  <c r="K44" i="59"/>
  <c r="M44" i="59" s="1"/>
  <c r="H44" i="59"/>
  <c r="L44" i="59" s="1"/>
  <c r="L43" i="59"/>
  <c r="K43" i="59"/>
  <c r="M43" i="59" s="1"/>
  <c r="H43" i="59"/>
  <c r="K42" i="59"/>
  <c r="M42" i="59" s="1"/>
  <c r="H42" i="59"/>
  <c r="L42" i="59" s="1"/>
  <c r="L41" i="59"/>
  <c r="K41" i="59"/>
  <c r="H41" i="59"/>
  <c r="U40" i="59"/>
  <c r="R40" i="59"/>
  <c r="K40" i="59"/>
  <c r="I40" i="59"/>
  <c r="H40" i="59"/>
  <c r="L40" i="59" s="1"/>
  <c r="V40" i="59" s="1"/>
  <c r="K39" i="59"/>
  <c r="M39" i="59" s="1"/>
  <c r="H39" i="59"/>
  <c r="L39" i="59" s="1"/>
  <c r="R38" i="59"/>
  <c r="K38" i="59"/>
  <c r="H38" i="59"/>
  <c r="L38" i="59" s="1"/>
  <c r="L37" i="59"/>
  <c r="K37" i="59"/>
  <c r="H37" i="59"/>
  <c r="R36" i="59"/>
  <c r="K36" i="59"/>
  <c r="H36" i="59"/>
  <c r="L36" i="59" s="1"/>
  <c r="L35" i="59"/>
  <c r="K35" i="59"/>
  <c r="H35" i="59"/>
  <c r="K34" i="59"/>
  <c r="M34" i="59" s="1"/>
  <c r="H34" i="59"/>
  <c r="L34" i="59" s="1"/>
  <c r="K33" i="59"/>
  <c r="H33" i="59"/>
  <c r="L33" i="59" s="1"/>
  <c r="U32" i="59"/>
  <c r="R32" i="59"/>
  <c r="K32" i="59"/>
  <c r="M32" i="59" s="1"/>
  <c r="H32" i="59"/>
  <c r="L32" i="59" s="1"/>
  <c r="K31" i="59"/>
  <c r="H31" i="59"/>
  <c r="L31" i="59" s="1"/>
  <c r="L30" i="59"/>
  <c r="K30" i="59"/>
  <c r="H30" i="59"/>
  <c r="U29" i="59"/>
  <c r="R29" i="59"/>
  <c r="M29" i="59"/>
  <c r="K29" i="59"/>
  <c r="V29" i="59" s="1"/>
  <c r="H29" i="59"/>
  <c r="L29" i="59" s="1"/>
  <c r="L28" i="59"/>
  <c r="K28" i="59"/>
  <c r="M28" i="59" s="1"/>
  <c r="H28" i="59"/>
  <c r="R27" i="59"/>
  <c r="K27" i="59"/>
  <c r="H27" i="59"/>
  <c r="L27" i="59" s="1"/>
  <c r="K26" i="59"/>
  <c r="M26" i="59" s="1"/>
  <c r="H26" i="59"/>
  <c r="L26" i="59" s="1"/>
  <c r="R25" i="59"/>
  <c r="K25" i="59"/>
  <c r="M25" i="59" s="1"/>
  <c r="H25" i="59"/>
  <c r="L25" i="59" s="1"/>
  <c r="M24" i="59"/>
  <c r="K24" i="59"/>
  <c r="H24" i="59"/>
  <c r="L24" i="59" s="1"/>
  <c r="R23" i="59"/>
  <c r="K23" i="59"/>
  <c r="H23" i="59"/>
  <c r="L23" i="59" s="1"/>
  <c r="L22" i="59"/>
  <c r="K22" i="59"/>
  <c r="H22" i="59"/>
  <c r="U21" i="59"/>
  <c r="R21" i="59"/>
  <c r="M21" i="59"/>
  <c r="K21" i="59"/>
  <c r="V21" i="59" s="1"/>
  <c r="H21" i="59"/>
  <c r="L21" i="59" s="1"/>
  <c r="L20" i="59"/>
  <c r="K20" i="59"/>
  <c r="M20" i="59" s="1"/>
  <c r="H20" i="59"/>
  <c r="U19" i="59"/>
  <c r="R19" i="59"/>
  <c r="K19" i="59"/>
  <c r="H19" i="59"/>
  <c r="L19" i="59" s="1"/>
  <c r="R18" i="59"/>
  <c r="I18" i="59"/>
  <c r="I19" i="59" s="1"/>
  <c r="H18" i="59"/>
  <c r="E16" i="59"/>
  <c r="P11" i="59"/>
  <c r="P1" i="59"/>
  <c r="P8" i="59" s="1"/>
  <c r="Q50" i="58"/>
  <c r="G50" i="58"/>
  <c r="F50" i="58"/>
  <c r="U49" i="58"/>
  <c r="R49" i="58"/>
  <c r="K49" i="58"/>
  <c r="H49" i="58"/>
  <c r="L49" i="58" s="1"/>
  <c r="K48" i="58"/>
  <c r="H48" i="58"/>
  <c r="L48" i="58" s="1"/>
  <c r="R47" i="58"/>
  <c r="K47" i="58"/>
  <c r="I47" i="58"/>
  <c r="H47" i="58"/>
  <c r="L47" i="58" s="1"/>
  <c r="K46" i="58"/>
  <c r="H46" i="58"/>
  <c r="L46" i="58" s="1"/>
  <c r="R45" i="58"/>
  <c r="M45" i="58"/>
  <c r="K45" i="58"/>
  <c r="H45" i="58"/>
  <c r="L45" i="58" s="1"/>
  <c r="M44" i="58"/>
  <c r="L44" i="58"/>
  <c r="K44" i="58"/>
  <c r="H44" i="58"/>
  <c r="V43" i="58"/>
  <c r="R43" i="58"/>
  <c r="K43" i="58"/>
  <c r="H43" i="58"/>
  <c r="L43" i="58" s="1"/>
  <c r="L42" i="58"/>
  <c r="K42" i="58"/>
  <c r="H42" i="58"/>
  <c r="U41" i="58"/>
  <c r="R41" i="58"/>
  <c r="K41" i="58"/>
  <c r="H41" i="58"/>
  <c r="L41" i="58" s="1"/>
  <c r="K40" i="58"/>
  <c r="H40" i="58"/>
  <c r="L40" i="58" s="1"/>
  <c r="R39" i="58"/>
  <c r="K39" i="58"/>
  <c r="I39" i="58"/>
  <c r="H39" i="58"/>
  <c r="L39" i="58" s="1"/>
  <c r="K38" i="58"/>
  <c r="H38" i="58"/>
  <c r="L38" i="58" s="1"/>
  <c r="R37" i="58"/>
  <c r="M37" i="58"/>
  <c r="K37" i="58"/>
  <c r="H37" i="58"/>
  <c r="L37" i="58" s="1"/>
  <c r="M36" i="58"/>
  <c r="L36" i="58"/>
  <c r="K36" i="58"/>
  <c r="H36" i="58"/>
  <c r="V35" i="58"/>
  <c r="U35" i="58"/>
  <c r="R35" i="58"/>
  <c r="K35" i="58"/>
  <c r="M35" i="58" s="1"/>
  <c r="H35" i="58"/>
  <c r="L35" i="58" s="1"/>
  <c r="L34" i="58"/>
  <c r="K34" i="58"/>
  <c r="H34" i="58"/>
  <c r="U33" i="58"/>
  <c r="R33" i="58"/>
  <c r="K33" i="58"/>
  <c r="H33" i="58"/>
  <c r="L33" i="58" s="1"/>
  <c r="K32" i="58"/>
  <c r="H32" i="58"/>
  <c r="L32" i="58" s="1"/>
  <c r="R31" i="58"/>
  <c r="K31" i="58"/>
  <c r="H31" i="58"/>
  <c r="K30" i="58"/>
  <c r="H30" i="58"/>
  <c r="L30" i="58" s="1"/>
  <c r="R29" i="58"/>
  <c r="M29" i="58"/>
  <c r="K29" i="58"/>
  <c r="H29" i="58"/>
  <c r="L29" i="58" s="1"/>
  <c r="L28" i="58"/>
  <c r="K28" i="58"/>
  <c r="H28" i="58"/>
  <c r="U27" i="58"/>
  <c r="R27" i="58"/>
  <c r="K27" i="58"/>
  <c r="M27" i="58" s="1"/>
  <c r="H27" i="58"/>
  <c r="L27" i="58" s="1"/>
  <c r="L26" i="58"/>
  <c r="K26" i="58"/>
  <c r="H26" i="58"/>
  <c r="U25" i="58"/>
  <c r="R25" i="58"/>
  <c r="K25" i="58"/>
  <c r="H25" i="58"/>
  <c r="L25" i="58" s="1"/>
  <c r="K24" i="58"/>
  <c r="H24" i="58"/>
  <c r="L24" i="58" s="1"/>
  <c r="R23" i="58"/>
  <c r="K23" i="58"/>
  <c r="I23" i="58"/>
  <c r="H23" i="58"/>
  <c r="L23" i="58" s="1"/>
  <c r="K22" i="58"/>
  <c r="H22" i="58"/>
  <c r="R21" i="58"/>
  <c r="M21" i="58"/>
  <c r="K21" i="58"/>
  <c r="H21" i="58"/>
  <c r="L21" i="58" s="1"/>
  <c r="M20" i="58"/>
  <c r="L20" i="58"/>
  <c r="K20" i="58"/>
  <c r="H20" i="58"/>
  <c r="R19" i="58"/>
  <c r="K19" i="58"/>
  <c r="H19" i="58"/>
  <c r="L19" i="58" s="1"/>
  <c r="R18" i="58"/>
  <c r="R48" i="58" s="1"/>
  <c r="I18" i="58"/>
  <c r="H18" i="58"/>
  <c r="E16" i="58"/>
  <c r="P11" i="58"/>
  <c r="P8" i="58"/>
  <c r="P1" i="58"/>
  <c r="Q50" i="57"/>
  <c r="G50" i="57"/>
  <c r="F50" i="57"/>
  <c r="U49" i="57"/>
  <c r="R49" i="57"/>
  <c r="K49" i="57"/>
  <c r="M49" i="57" s="1"/>
  <c r="H49" i="57"/>
  <c r="L49" i="57" s="1"/>
  <c r="U48" i="57"/>
  <c r="L48" i="57"/>
  <c r="K48" i="57"/>
  <c r="M48" i="57" s="1"/>
  <c r="H48" i="57"/>
  <c r="R47" i="57"/>
  <c r="K47" i="57"/>
  <c r="I47" i="57"/>
  <c r="H47" i="57"/>
  <c r="L47" i="57" s="1"/>
  <c r="K46" i="57"/>
  <c r="H46" i="57"/>
  <c r="L46" i="57" s="1"/>
  <c r="R45" i="57"/>
  <c r="K45" i="57"/>
  <c r="H45" i="57"/>
  <c r="K44" i="57"/>
  <c r="H44" i="57"/>
  <c r="L44" i="57" s="1"/>
  <c r="R43" i="57"/>
  <c r="K43" i="57"/>
  <c r="H43" i="57"/>
  <c r="L43" i="57" s="1"/>
  <c r="V43" i="57" s="1"/>
  <c r="L42" i="57"/>
  <c r="K42" i="57"/>
  <c r="H42" i="57"/>
  <c r="U41" i="57"/>
  <c r="R41" i="57"/>
  <c r="K41" i="57"/>
  <c r="M41" i="57" s="1"/>
  <c r="H41" i="57"/>
  <c r="L41" i="57" s="1"/>
  <c r="L40" i="57"/>
  <c r="K40" i="57"/>
  <c r="M40" i="57" s="1"/>
  <c r="H40" i="57"/>
  <c r="R39" i="57"/>
  <c r="K39" i="57"/>
  <c r="I39" i="57"/>
  <c r="H39" i="57"/>
  <c r="L39" i="57" s="1"/>
  <c r="K38" i="57"/>
  <c r="H38" i="57"/>
  <c r="L38" i="57" s="1"/>
  <c r="R37" i="57"/>
  <c r="K37" i="57"/>
  <c r="H37" i="57"/>
  <c r="K36" i="57"/>
  <c r="H36" i="57"/>
  <c r="L36" i="57" s="1"/>
  <c r="V35" i="57"/>
  <c r="R35" i="57"/>
  <c r="K35" i="57"/>
  <c r="H35" i="57"/>
  <c r="L35" i="57" s="1"/>
  <c r="L34" i="57"/>
  <c r="K34" i="57"/>
  <c r="H34" i="57"/>
  <c r="U33" i="57"/>
  <c r="R33" i="57"/>
  <c r="K33" i="57"/>
  <c r="M33" i="57" s="1"/>
  <c r="H33" i="57"/>
  <c r="L33" i="57" s="1"/>
  <c r="L32" i="57"/>
  <c r="K32" i="57"/>
  <c r="M32" i="57" s="1"/>
  <c r="H32" i="57"/>
  <c r="R31" i="57"/>
  <c r="K31" i="57"/>
  <c r="I31" i="57"/>
  <c r="H31" i="57"/>
  <c r="L31" i="57" s="1"/>
  <c r="K30" i="57"/>
  <c r="H30" i="57"/>
  <c r="L30" i="57" s="1"/>
  <c r="R29" i="57"/>
  <c r="K29" i="57"/>
  <c r="H29" i="57"/>
  <c r="K28" i="57"/>
  <c r="H28" i="57"/>
  <c r="L28" i="57" s="1"/>
  <c r="R27" i="57"/>
  <c r="K27" i="57"/>
  <c r="H27" i="57"/>
  <c r="L27" i="57" s="1"/>
  <c r="V27" i="57" s="1"/>
  <c r="L26" i="57"/>
  <c r="K26" i="57"/>
  <c r="H26" i="57"/>
  <c r="U25" i="57"/>
  <c r="R25" i="57"/>
  <c r="K25" i="57"/>
  <c r="M25" i="57" s="1"/>
  <c r="H25" i="57"/>
  <c r="L25" i="57" s="1"/>
  <c r="L24" i="57"/>
  <c r="K24" i="57"/>
  <c r="M24" i="57" s="1"/>
  <c r="H24" i="57"/>
  <c r="R23" i="57"/>
  <c r="K23" i="57"/>
  <c r="I23" i="57"/>
  <c r="H23" i="57"/>
  <c r="L23" i="57" s="1"/>
  <c r="K22" i="57"/>
  <c r="H22" i="57"/>
  <c r="L22" i="57" s="1"/>
  <c r="R21" i="57"/>
  <c r="K21" i="57"/>
  <c r="H21" i="57"/>
  <c r="K20" i="57"/>
  <c r="H20" i="57"/>
  <c r="L20" i="57" s="1"/>
  <c r="R19" i="57"/>
  <c r="K19" i="57"/>
  <c r="H19" i="57"/>
  <c r="R18" i="57"/>
  <c r="R48" i="57" s="1"/>
  <c r="I18" i="57"/>
  <c r="H18" i="57"/>
  <c r="E16" i="57"/>
  <c r="P11" i="57"/>
  <c r="P1" i="57"/>
  <c r="P8" i="57" s="1"/>
  <c r="Q50" i="56"/>
  <c r="G50" i="56"/>
  <c r="F50" i="56"/>
  <c r="P11" i="56" s="1"/>
  <c r="R49" i="56"/>
  <c r="M49" i="56"/>
  <c r="K49" i="56"/>
  <c r="H49" i="56"/>
  <c r="L49" i="56" s="1"/>
  <c r="K48" i="56"/>
  <c r="H48" i="56"/>
  <c r="L48" i="56" s="1"/>
  <c r="U48" i="56" s="1"/>
  <c r="R47" i="56"/>
  <c r="M47" i="56"/>
  <c r="K47" i="56"/>
  <c r="H47" i="56"/>
  <c r="L47" i="56" s="1"/>
  <c r="V47" i="56" s="1"/>
  <c r="L46" i="56"/>
  <c r="K46" i="56"/>
  <c r="M46" i="56" s="1"/>
  <c r="H46" i="56"/>
  <c r="R45" i="56"/>
  <c r="K45" i="56"/>
  <c r="V45" i="56" s="1"/>
  <c r="H45" i="56"/>
  <c r="L45" i="56" s="1"/>
  <c r="L44" i="56"/>
  <c r="K44" i="56"/>
  <c r="H44" i="56"/>
  <c r="U43" i="56"/>
  <c r="R43" i="56"/>
  <c r="K43" i="56"/>
  <c r="H43" i="56"/>
  <c r="L43" i="56" s="1"/>
  <c r="V43" i="56" s="1"/>
  <c r="K42" i="56"/>
  <c r="M42" i="56" s="1"/>
  <c r="H42" i="56"/>
  <c r="L42" i="56" s="1"/>
  <c r="R41" i="56"/>
  <c r="K41" i="56"/>
  <c r="H41" i="56"/>
  <c r="L41" i="56" s="1"/>
  <c r="L40" i="56"/>
  <c r="K40" i="56"/>
  <c r="H40" i="56"/>
  <c r="U39" i="56"/>
  <c r="R39" i="56"/>
  <c r="K39" i="56"/>
  <c r="M39" i="56" s="1"/>
  <c r="H39" i="56"/>
  <c r="L39" i="56" s="1"/>
  <c r="V39" i="56" s="1"/>
  <c r="L38" i="56"/>
  <c r="K38" i="56"/>
  <c r="H38" i="56"/>
  <c r="R37" i="56"/>
  <c r="K37" i="56"/>
  <c r="H37" i="56"/>
  <c r="L37" i="56" s="1"/>
  <c r="K36" i="56"/>
  <c r="H36" i="56"/>
  <c r="L36" i="56" s="1"/>
  <c r="R35" i="56"/>
  <c r="K35" i="56"/>
  <c r="M35" i="56" s="1"/>
  <c r="H35" i="56"/>
  <c r="L35" i="56" s="1"/>
  <c r="K34" i="56"/>
  <c r="H34" i="56"/>
  <c r="L34" i="56" s="1"/>
  <c r="V33" i="56"/>
  <c r="R33" i="56"/>
  <c r="M33" i="56"/>
  <c r="K33" i="56"/>
  <c r="H33" i="56"/>
  <c r="L33" i="56" s="1"/>
  <c r="U33" i="56" s="1"/>
  <c r="K32" i="56"/>
  <c r="H32" i="56"/>
  <c r="L32" i="56" s="1"/>
  <c r="R31" i="56"/>
  <c r="M31" i="56"/>
  <c r="K31" i="56"/>
  <c r="H31" i="56"/>
  <c r="L31" i="56" s="1"/>
  <c r="V31" i="56" s="1"/>
  <c r="L30" i="56"/>
  <c r="K30" i="56"/>
  <c r="M30" i="56" s="1"/>
  <c r="H30" i="56"/>
  <c r="R29" i="56"/>
  <c r="K29" i="56"/>
  <c r="V29" i="56" s="1"/>
  <c r="H29" i="56"/>
  <c r="L29" i="56" s="1"/>
  <c r="L28" i="56"/>
  <c r="K28" i="56"/>
  <c r="H28" i="56"/>
  <c r="R27" i="56"/>
  <c r="K27" i="56"/>
  <c r="H27" i="56"/>
  <c r="L27" i="56" s="1"/>
  <c r="V27" i="56" s="1"/>
  <c r="M26" i="56"/>
  <c r="K26" i="56"/>
  <c r="H26" i="56"/>
  <c r="L26" i="56" s="1"/>
  <c r="R25" i="56"/>
  <c r="K25" i="56"/>
  <c r="H25" i="56"/>
  <c r="L25" i="56" s="1"/>
  <c r="M24" i="56"/>
  <c r="L24" i="56"/>
  <c r="K24" i="56"/>
  <c r="H24" i="56"/>
  <c r="R23" i="56"/>
  <c r="K23" i="56"/>
  <c r="M23" i="56" s="1"/>
  <c r="H23" i="56"/>
  <c r="L23" i="56" s="1"/>
  <c r="V23" i="56" s="1"/>
  <c r="L22" i="56"/>
  <c r="K22" i="56"/>
  <c r="H22" i="56"/>
  <c r="U21" i="56"/>
  <c r="R21" i="56"/>
  <c r="M21" i="56"/>
  <c r="K21" i="56"/>
  <c r="V21" i="56" s="1"/>
  <c r="H21" i="56"/>
  <c r="L21" i="56" s="1"/>
  <c r="K20" i="56"/>
  <c r="H20" i="56"/>
  <c r="L20" i="56" s="1"/>
  <c r="R19" i="56"/>
  <c r="K19" i="56"/>
  <c r="H19" i="56"/>
  <c r="R18" i="56"/>
  <c r="R48" i="56" s="1"/>
  <c r="I18" i="56"/>
  <c r="H18" i="56"/>
  <c r="E16" i="56"/>
  <c r="P1" i="56"/>
  <c r="P8" i="56" s="1"/>
  <c r="Q50" i="55"/>
  <c r="G50" i="55"/>
  <c r="F50" i="55"/>
  <c r="R49" i="55"/>
  <c r="K49" i="55"/>
  <c r="H49" i="55"/>
  <c r="L49" i="55" s="1"/>
  <c r="K48" i="55"/>
  <c r="H48" i="55"/>
  <c r="L48" i="55" s="1"/>
  <c r="R47" i="55"/>
  <c r="K47" i="55"/>
  <c r="H47" i="55"/>
  <c r="L47" i="55" s="1"/>
  <c r="L46" i="55"/>
  <c r="K46" i="55"/>
  <c r="H46" i="55"/>
  <c r="R45" i="55"/>
  <c r="K45" i="55"/>
  <c r="H45" i="55"/>
  <c r="L45" i="55" s="1"/>
  <c r="L44" i="55"/>
  <c r="K44" i="55"/>
  <c r="H44" i="55"/>
  <c r="R43" i="55"/>
  <c r="K43" i="55"/>
  <c r="I43" i="55"/>
  <c r="H43" i="55"/>
  <c r="L43" i="55" s="1"/>
  <c r="K42" i="55"/>
  <c r="H42" i="55"/>
  <c r="L42" i="55" s="1"/>
  <c r="R41" i="55"/>
  <c r="K41" i="55"/>
  <c r="I41" i="55"/>
  <c r="H41" i="55"/>
  <c r="L41" i="55" s="1"/>
  <c r="M40" i="55"/>
  <c r="K40" i="55"/>
  <c r="H40" i="55"/>
  <c r="L40" i="55" s="1"/>
  <c r="V39" i="55"/>
  <c r="R39" i="55"/>
  <c r="M39" i="55"/>
  <c r="K39" i="55"/>
  <c r="I39" i="55"/>
  <c r="T39" i="55" s="1"/>
  <c r="S39" i="55" s="1"/>
  <c r="H39" i="55"/>
  <c r="L39" i="55" s="1"/>
  <c r="U39" i="55" s="1"/>
  <c r="M38" i="55"/>
  <c r="K38" i="55"/>
  <c r="H38" i="55"/>
  <c r="L38" i="55" s="1"/>
  <c r="R37" i="55"/>
  <c r="M37" i="55"/>
  <c r="K37" i="55"/>
  <c r="V37" i="55" s="1"/>
  <c r="H37" i="55"/>
  <c r="L37" i="55" s="1"/>
  <c r="M36" i="55"/>
  <c r="L36" i="55"/>
  <c r="K36" i="55"/>
  <c r="H36" i="55"/>
  <c r="V35" i="55"/>
  <c r="R35" i="55"/>
  <c r="M35" i="55"/>
  <c r="K35" i="55"/>
  <c r="U35" i="55" s="1"/>
  <c r="H35" i="55"/>
  <c r="L35" i="55" s="1"/>
  <c r="L34" i="55"/>
  <c r="K34" i="55"/>
  <c r="M34" i="55" s="1"/>
  <c r="H34" i="55"/>
  <c r="R33" i="55"/>
  <c r="K33" i="55"/>
  <c r="H33" i="55"/>
  <c r="L33" i="55" s="1"/>
  <c r="K32" i="55"/>
  <c r="H32" i="55"/>
  <c r="L32" i="55" s="1"/>
  <c r="R31" i="55"/>
  <c r="K31" i="55"/>
  <c r="H31" i="55"/>
  <c r="L31" i="55" s="1"/>
  <c r="L30" i="55"/>
  <c r="K30" i="55"/>
  <c r="H30" i="55"/>
  <c r="U29" i="55"/>
  <c r="R29" i="55"/>
  <c r="K29" i="55"/>
  <c r="H29" i="55"/>
  <c r="L29" i="55" s="1"/>
  <c r="V29" i="55" s="1"/>
  <c r="L28" i="55"/>
  <c r="K28" i="55"/>
  <c r="H28" i="55"/>
  <c r="U27" i="55"/>
  <c r="R27" i="55"/>
  <c r="K27" i="55"/>
  <c r="I27" i="55"/>
  <c r="H27" i="55"/>
  <c r="L27" i="55" s="1"/>
  <c r="K26" i="55"/>
  <c r="H26" i="55"/>
  <c r="L26" i="55" s="1"/>
  <c r="R25" i="55"/>
  <c r="K25" i="55"/>
  <c r="I25" i="55"/>
  <c r="H25" i="55"/>
  <c r="L25" i="55" s="1"/>
  <c r="M24" i="55"/>
  <c r="K24" i="55"/>
  <c r="H24" i="55"/>
  <c r="L24" i="55" s="1"/>
  <c r="V23" i="55"/>
  <c r="R23" i="55"/>
  <c r="M23" i="55"/>
  <c r="K23" i="55"/>
  <c r="I23" i="55"/>
  <c r="T23" i="55" s="1"/>
  <c r="S23" i="55" s="1"/>
  <c r="H23" i="55"/>
  <c r="L23" i="55" s="1"/>
  <c r="U23" i="55" s="1"/>
  <c r="M22" i="55"/>
  <c r="K22" i="55"/>
  <c r="H22" i="55"/>
  <c r="L22" i="55" s="1"/>
  <c r="R21" i="55"/>
  <c r="M21" i="55"/>
  <c r="K21" i="55"/>
  <c r="V21" i="55" s="1"/>
  <c r="H21" i="55"/>
  <c r="L21" i="55" s="1"/>
  <c r="M20" i="55"/>
  <c r="L20" i="55"/>
  <c r="K20" i="55"/>
  <c r="H20" i="55"/>
  <c r="V19" i="55"/>
  <c r="R19" i="55"/>
  <c r="M19" i="55"/>
  <c r="K19" i="55"/>
  <c r="U19" i="55" s="1"/>
  <c r="H19" i="55"/>
  <c r="L19" i="55" s="1"/>
  <c r="R18" i="55"/>
  <c r="R48" i="55" s="1"/>
  <c r="I18" i="55"/>
  <c r="H18" i="55"/>
  <c r="E16" i="55"/>
  <c r="P11" i="55"/>
  <c r="P8" i="55"/>
  <c r="P1" i="55"/>
  <c r="Q50" i="54"/>
  <c r="G50" i="54"/>
  <c r="F50" i="54"/>
  <c r="V49" i="54"/>
  <c r="R49" i="54"/>
  <c r="M49" i="54"/>
  <c r="K49" i="54"/>
  <c r="U49" i="54" s="1"/>
  <c r="H49" i="54"/>
  <c r="L49" i="54" s="1"/>
  <c r="U48" i="54"/>
  <c r="L48" i="54"/>
  <c r="V48" i="54" s="1"/>
  <c r="K48" i="54"/>
  <c r="H48" i="54"/>
  <c r="R47" i="54"/>
  <c r="K47" i="54"/>
  <c r="H47" i="54"/>
  <c r="L47" i="54" s="1"/>
  <c r="K46" i="54"/>
  <c r="M46" i="54" s="1"/>
  <c r="H46" i="54"/>
  <c r="L46" i="54" s="1"/>
  <c r="R45" i="54"/>
  <c r="M45" i="54"/>
  <c r="K45" i="54"/>
  <c r="H45" i="54"/>
  <c r="L45" i="54" s="1"/>
  <c r="L44" i="54"/>
  <c r="K44" i="54"/>
  <c r="H44" i="54"/>
  <c r="R43" i="54"/>
  <c r="U43" i="54" s="1"/>
  <c r="K43" i="54"/>
  <c r="M43" i="54" s="1"/>
  <c r="H43" i="54"/>
  <c r="L43" i="54" s="1"/>
  <c r="L42" i="54"/>
  <c r="K42" i="54"/>
  <c r="H42" i="54"/>
  <c r="U41" i="54"/>
  <c r="R41" i="54"/>
  <c r="K41" i="54"/>
  <c r="H41" i="54"/>
  <c r="L41" i="54" s="1"/>
  <c r="K40" i="54"/>
  <c r="H40" i="54"/>
  <c r="L40" i="54" s="1"/>
  <c r="R39" i="54"/>
  <c r="K39" i="54"/>
  <c r="I39" i="54"/>
  <c r="H39" i="54"/>
  <c r="L39" i="54" s="1"/>
  <c r="M38" i="54"/>
  <c r="K38" i="54"/>
  <c r="H38" i="54"/>
  <c r="L38" i="54" s="1"/>
  <c r="V37" i="54"/>
  <c r="R37" i="54"/>
  <c r="M37" i="54"/>
  <c r="K37" i="54"/>
  <c r="H37" i="54"/>
  <c r="L37" i="54" s="1"/>
  <c r="U37" i="54" s="1"/>
  <c r="K36" i="54"/>
  <c r="H36" i="54"/>
  <c r="L36" i="54" s="1"/>
  <c r="R35" i="54"/>
  <c r="K35" i="54"/>
  <c r="H35" i="54"/>
  <c r="L35" i="54" s="1"/>
  <c r="M34" i="54"/>
  <c r="L34" i="54"/>
  <c r="K34" i="54"/>
  <c r="H34" i="54"/>
  <c r="V33" i="54"/>
  <c r="R33" i="54"/>
  <c r="M33" i="54"/>
  <c r="K33" i="54"/>
  <c r="U33" i="54" s="1"/>
  <c r="H33" i="54"/>
  <c r="L33" i="54" s="1"/>
  <c r="L32" i="54"/>
  <c r="K32" i="54"/>
  <c r="H32" i="54"/>
  <c r="R31" i="54"/>
  <c r="K31" i="54"/>
  <c r="H31" i="54"/>
  <c r="L31" i="54" s="1"/>
  <c r="K30" i="54"/>
  <c r="M30" i="54" s="1"/>
  <c r="H30" i="54"/>
  <c r="L30" i="54" s="1"/>
  <c r="R29" i="54"/>
  <c r="M29" i="54"/>
  <c r="K29" i="54"/>
  <c r="H29" i="54"/>
  <c r="L29" i="54" s="1"/>
  <c r="L28" i="54"/>
  <c r="K28" i="54"/>
  <c r="H28" i="54"/>
  <c r="R27" i="54"/>
  <c r="U27" i="54" s="1"/>
  <c r="K27" i="54"/>
  <c r="M27" i="54" s="1"/>
  <c r="H27" i="54"/>
  <c r="L27" i="54" s="1"/>
  <c r="L26" i="54"/>
  <c r="K26" i="54"/>
  <c r="H26" i="54"/>
  <c r="U25" i="54"/>
  <c r="R25" i="54"/>
  <c r="K25" i="54"/>
  <c r="H25" i="54"/>
  <c r="L25" i="54" s="1"/>
  <c r="K24" i="54"/>
  <c r="H24" i="54"/>
  <c r="L24" i="54" s="1"/>
  <c r="R23" i="54"/>
  <c r="K23" i="54"/>
  <c r="I23" i="54"/>
  <c r="H23" i="54"/>
  <c r="L23" i="54" s="1"/>
  <c r="M22" i="54"/>
  <c r="K22" i="54"/>
  <c r="H22" i="54"/>
  <c r="L22" i="54" s="1"/>
  <c r="V21" i="54"/>
  <c r="R21" i="54"/>
  <c r="M21" i="54"/>
  <c r="K21" i="54"/>
  <c r="H21" i="54"/>
  <c r="L21" i="54" s="1"/>
  <c r="U21" i="54" s="1"/>
  <c r="K20" i="54"/>
  <c r="H20" i="54"/>
  <c r="L20" i="54" s="1"/>
  <c r="R19" i="54"/>
  <c r="K19" i="54"/>
  <c r="H19" i="54"/>
  <c r="L19" i="54" s="1"/>
  <c r="R18" i="54"/>
  <c r="R48" i="54" s="1"/>
  <c r="I18" i="54"/>
  <c r="H18" i="54"/>
  <c r="E16" i="54"/>
  <c r="P11" i="54"/>
  <c r="P8" i="54"/>
  <c r="P1" i="54"/>
  <c r="Q50" i="53"/>
  <c r="G50" i="53"/>
  <c r="F50" i="53"/>
  <c r="P11" i="53" s="1"/>
  <c r="V49" i="53"/>
  <c r="R49" i="53"/>
  <c r="K49" i="53"/>
  <c r="H49" i="53"/>
  <c r="L49" i="53" s="1"/>
  <c r="U49" i="53" s="1"/>
  <c r="M48" i="53"/>
  <c r="L48" i="53"/>
  <c r="K48" i="53"/>
  <c r="H48" i="53"/>
  <c r="R47" i="53"/>
  <c r="M47" i="53"/>
  <c r="K47" i="53"/>
  <c r="V47" i="53" s="1"/>
  <c r="H47" i="53"/>
  <c r="L47" i="53" s="1"/>
  <c r="K46" i="53"/>
  <c r="M46" i="53" s="1"/>
  <c r="H46" i="53"/>
  <c r="L46" i="53" s="1"/>
  <c r="R45" i="53"/>
  <c r="K45" i="53"/>
  <c r="M45" i="53" s="1"/>
  <c r="H45" i="53"/>
  <c r="L45" i="53" s="1"/>
  <c r="K44" i="53"/>
  <c r="M44" i="53" s="1"/>
  <c r="H44" i="53"/>
  <c r="L44" i="53" s="1"/>
  <c r="V43" i="53"/>
  <c r="R43" i="53"/>
  <c r="M43" i="53"/>
  <c r="K43" i="53"/>
  <c r="H43" i="53"/>
  <c r="L43" i="53" s="1"/>
  <c r="U43" i="53" s="1"/>
  <c r="K42" i="53"/>
  <c r="H42" i="53"/>
  <c r="L42" i="53" s="1"/>
  <c r="R41" i="53"/>
  <c r="M41" i="53"/>
  <c r="K41" i="53"/>
  <c r="H41" i="53"/>
  <c r="L41" i="53" s="1"/>
  <c r="L40" i="53"/>
  <c r="K40" i="53"/>
  <c r="M40" i="53" s="1"/>
  <c r="H40" i="53"/>
  <c r="R39" i="53"/>
  <c r="K39" i="53"/>
  <c r="V39" i="53" s="1"/>
  <c r="H39" i="53"/>
  <c r="L39" i="53" s="1"/>
  <c r="L38" i="53"/>
  <c r="K38" i="53"/>
  <c r="H38" i="53"/>
  <c r="U37" i="53"/>
  <c r="R37" i="53"/>
  <c r="K37" i="53"/>
  <c r="H37" i="53"/>
  <c r="L37" i="53" s="1"/>
  <c r="V37" i="53" s="1"/>
  <c r="K36" i="53"/>
  <c r="M36" i="53" s="1"/>
  <c r="H36" i="53"/>
  <c r="L36" i="53" s="1"/>
  <c r="R35" i="53"/>
  <c r="K35" i="53"/>
  <c r="H35" i="53"/>
  <c r="L35" i="53" s="1"/>
  <c r="L34" i="53"/>
  <c r="K34" i="53"/>
  <c r="H34" i="53"/>
  <c r="U33" i="53"/>
  <c r="R33" i="53"/>
  <c r="K33" i="53"/>
  <c r="H33" i="53"/>
  <c r="L33" i="53" s="1"/>
  <c r="V33" i="53" s="1"/>
  <c r="M32" i="53"/>
  <c r="L32" i="53"/>
  <c r="K32" i="53"/>
  <c r="H32" i="53"/>
  <c r="V31" i="53"/>
  <c r="R31" i="53"/>
  <c r="M31" i="53"/>
  <c r="K31" i="53"/>
  <c r="U31" i="53" s="1"/>
  <c r="H31" i="53"/>
  <c r="L31" i="53" s="1"/>
  <c r="K30" i="53"/>
  <c r="M30" i="53" s="1"/>
  <c r="H30" i="53"/>
  <c r="L30" i="53" s="1"/>
  <c r="R29" i="53"/>
  <c r="K29" i="53"/>
  <c r="M29" i="53" s="1"/>
  <c r="H29" i="53"/>
  <c r="L29" i="53" s="1"/>
  <c r="K28" i="53"/>
  <c r="H28" i="53"/>
  <c r="L28" i="53" s="1"/>
  <c r="V27" i="53"/>
  <c r="R27" i="53"/>
  <c r="M27" i="53"/>
  <c r="K27" i="53"/>
  <c r="H27" i="53"/>
  <c r="L27" i="53" s="1"/>
  <c r="U27" i="53" s="1"/>
  <c r="K26" i="53"/>
  <c r="H26" i="53"/>
  <c r="L26" i="53" s="1"/>
  <c r="R25" i="53"/>
  <c r="M25" i="53"/>
  <c r="K25" i="53"/>
  <c r="H25" i="53"/>
  <c r="L25" i="53" s="1"/>
  <c r="V25" i="53" s="1"/>
  <c r="L24" i="53"/>
  <c r="K24" i="53"/>
  <c r="M24" i="53" s="1"/>
  <c r="H24" i="53"/>
  <c r="R23" i="53"/>
  <c r="K23" i="53"/>
  <c r="V23" i="53" s="1"/>
  <c r="H23" i="53"/>
  <c r="L23" i="53" s="1"/>
  <c r="L22" i="53"/>
  <c r="K22" i="53"/>
  <c r="H22" i="53"/>
  <c r="U21" i="53"/>
  <c r="R21" i="53"/>
  <c r="K21" i="53"/>
  <c r="H21" i="53"/>
  <c r="L21" i="53" s="1"/>
  <c r="V21" i="53" s="1"/>
  <c r="K20" i="53"/>
  <c r="H20" i="53"/>
  <c r="L20" i="53" s="1"/>
  <c r="R19" i="53"/>
  <c r="K19" i="53"/>
  <c r="H19" i="53"/>
  <c r="L19" i="53" s="1"/>
  <c r="R18" i="53"/>
  <c r="R48" i="53" s="1"/>
  <c r="I18" i="53"/>
  <c r="H18" i="53"/>
  <c r="E16" i="53"/>
  <c r="P1" i="53"/>
  <c r="P8" i="53" s="1"/>
  <c r="Q50" i="52"/>
  <c r="G50" i="52"/>
  <c r="F50" i="52"/>
  <c r="P11" i="52" s="1"/>
  <c r="R49" i="52"/>
  <c r="M49" i="52"/>
  <c r="K49" i="52"/>
  <c r="H49" i="52"/>
  <c r="L49" i="52" s="1"/>
  <c r="L48" i="52"/>
  <c r="K48" i="52"/>
  <c r="H48" i="52"/>
  <c r="R47" i="52"/>
  <c r="K47" i="52"/>
  <c r="M47" i="52" s="1"/>
  <c r="H47" i="52"/>
  <c r="L47" i="52" s="1"/>
  <c r="L46" i="52"/>
  <c r="K46" i="52"/>
  <c r="H46" i="52"/>
  <c r="R45" i="52"/>
  <c r="K45" i="52"/>
  <c r="U45" i="52" s="1"/>
  <c r="I45" i="52"/>
  <c r="H45" i="52"/>
  <c r="L45" i="52" s="1"/>
  <c r="K44" i="52"/>
  <c r="H44" i="52"/>
  <c r="L44" i="52" s="1"/>
  <c r="U43" i="52"/>
  <c r="R43" i="52"/>
  <c r="K43" i="52"/>
  <c r="M43" i="52" s="1"/>
  <c r="I43" i="52"/>
  <c r="T43" i="52" s="1"/>
  <c r="S43" i="52" s="1"/>
  <c r="H43" i="52"/>
  <c r="L43" i="52" s="1"/>
  <c r="M42" i="52"/>
  <c r="K42" i="52"/>
  <c r="H42" i="52"/>
  <c r="L42" i="52" s="1"/>
  <c r="V41" i="52"/>
  <c r="R41" i="52"/>
  <c r="M41" i="52"/>
  <c r="K41" i="52"/>
  <c r="I41" i="52"/>
  <c r="T41" i="52" s="1"/>
  <c r="S41" i="52" s="1"/>
  <c r="H41" i="52"/>
  <c r="L41" i="52" s="1"/>
  <c r="U41" i="52" s="1"/>
  <c r="K40" i="52"/>
  <c r="H40" i="52"/>
  <c r="L40" i="52" s="1"/>
  <c r="V39" i="52"/>
  <c r="R39" i="52"/>
  <c r="K39" i="52"/>
  <c r="M39" i="52" s="1"/>
  <c r="H39" i="52"/>
  <c r="L39" i="52" s="1"/>
  <c r="U39" i="52" s="1"/>
  <c r="M38" i="52"/>
  <c r="L38" i="52"/>
  <c r="K38" i="52"/>
  <c r="H38" i="52"/>
  <c r="V37" i="52"/>
  <c r="R37" i="52"/>
  <c r="M37" i="52"/>
  <c r="K37" i="52"/>
  <c r="U37" i="52" s="1"/>
  <c r="H37" i="52"/>
  <c r="L37" i="52" s="1"/>
  <c r="L36" i="52"/>
  <c r="K36" i="52"/>
  <c r="H36" i="52"/>
  <c r="R35" i="52"/>
  <c r="K35" i="52"/>
  <c r="H35" i="52"/>
  <c r="L35" i="52" s="1"/>
  <c r="K34" i="52"/>
  <c r="M34" i="52" s="1"/>
  <c r="H34" i="52"/>
  <c r="L34" i="52" s="1"/>
  <c r="R33" i="52"/>
  <c r="M33" i="52"/>
  <c r="K33" i="52"/>
  <c r="H33" i="52"/>
  <c r="L33" i="52" s="1"/>
  <c r="L32" i="52"/>
  <c r="K32" i="52"/>
  <c r="H32" i="52"/>
  <c r="R31" i="52"/>
  <c r="K31" i="52"/>
  <c r="M31" i="52" s="1"/>
  <c r="H31" i="52"/>
  <c r="L31" i="52" s="1"/>
  <c r="U31" i="52" s="1"/>
  <c r="L30" i="52"/>
  <c r="K30" i="52"/>
  <c r="M30" i="52" s="1"/>
  <c r="H30" i="52"/>
  <c r="R29" i="52"/>
  <c r="K29" i="52"/>
  <c r="U29" i="52" s="1"/>
  <c r="I29" i="52"/>
  <c r="H29" i="52"/>
  <c r="L29" i="52" s="1"/>
  <c r="K28" i="52"/>
  <c r="H28" i="52"/>
  <c r="L28" i="52" s="1"/>
  <c r="U27" i="52"/>
  <c r="R27" i="52"/>
  <c r="K27" i="52"/>
  <c r="M27" i="52" s="1"/>
  <c r="I27" i="52"/>
  <c r="T27" i="52" s="1"/>
  <c r="S27" i="52" s="1"/>
  <c r="H27" i="52"/>
  <c r="L27" i="52" s="1"/>
  <c r="M26" i="52"/>
  <c r="K26" i="52"/>
  <c r="H26" i="52"/>
  <c r="L26" i="52" s="1"/>
  <c r="V25" i="52"/>
  <c r="R25" i="52"/>
  <c r="M25" i="52"/>
  <c r="K25" i="52"/>
  <c r="I25" i="52"/>
  <c r="T25" i="52" s="1"/>
  <c r="S25" i="52" s="1"/>
  <c r="H25" i="52"/>
  <c r="L25" i="52" s="1"/>
  <c r="U25" i="52" s="1"/>
  <c r="K24" i="52"/>
  <c r="H24" i="52"/>
  <c r="L24" i="52" s="1"/>
  <c r="R23" i="52"/>
  <c r="K23" i="52"/>
  <c r="H23" i="52"/>
  <c r="L23" i="52" s="1"/>
  <c r="M22" i="52"/>
  <c r="L22" i="52"/>
  <c r="K22" i="52"/>
  <c r="H22" i="52"/>
  <c r="V21" i="52"/>
  <c r="R21" i="52"/>
  <c r="M21" i="52"/>
  <c r="K21" i="52"/>
  <c r="U21" i="52" s="1"/>
  <c r="H21" i="52"/>
  <c r="L21" i="52" s="1"/>
  <c r="L20" i="52"/>
  <c r="K20" i="52"/>
  <c r="H20" i="52"/>
  <c r="R19" i="52"/>
  <c r="K19" i="52"/>
  <c r="H19" i="52"/>
  <c r="R18" i="52"/>
  <c r="R48" i="52" s="1"/>
  <c r="I18" i="52"/>
  <c r="H18" i="52"/>
  <c r="I49" i="52" s="1"/>
  <c r="E16" i="52"/>
  <c r="P8" i="52"/>
  <c r="P1" i="52"/>
  <c r="Q50" i="51"/>
  <c r="G50" i="51"/>
  <c r="F50" i="51"/>
  <c r="P11" i="51" s="1"/>
  <c r="U49" i="51"/>
  <c r="R49" i="51"/>
  <c r="K49" i="51"/>
  <c r="H49" i="51"/>
  <c r="L49" i="51" s="1"/>
  <c r="V49" i="51" s="1"/>
  <c r="K48" i="51"/>
  <c r="M48" i="51" s="1"/>
  <c r="H48" i="51"/>
  <c r="L48" i="51" s="1"/>
  <c r="R47" i="51"/>
  <c r="K47" i="51"/>
  <c r="H47" i="51"/>
  <c r="L47" i="51" s="1"/>
  <c r="L46" i="51"/>
  <c r="M46" i="51" s="1"/>
  <c r="K46" i="51"/>
  <c r="H46" i="51"/>
  <c r="U45" i="51"/>
  <c r="R45" i="51"/>
  <c r="K45" i="51"/>
  <c r="H45" i="51"/>
  <c r="L45" i="51" s="1"/>
  <c r="V45" i="51" s="1"/>
  <c r="M44" i="51"/>
  <c r="L44" i="51"/>
  <c r="K44" i="51"/>
  <c r="H44" i="51"/>
  <c r="V43" i="51"/>
  <c r="R43" i="51"/>
  <c r="K43" i="51"/>
  <c r="H43" i="51"/>
  <c r="L43" i="51" s="1"/>
  <c r="K42" i="51"/>
  <c r="M42" i="51" s="1"/>
  <c r="H42" i="51"/>
  <c r="L42" i="51" s="1"/>
  <c r="R41" i="51"/>
  <c r="K41" i="51"/>
  <c r="M41" i="51" s="1"/>
  <c r="H41" i="51"/>
  <c r="L41" i="51" s="1"/>
  <c r="K40" i="51"/>
  <c r="H40" i="51"/>
  <c r="L40" i="51" s="1"/>
  <c r="V39" i="51"/>
  <c r="R39" i="51"/>
  <c r="M39" i="51"/>
  <c r="K39" i="51"/>
  <c r="H39" i="51"/>
  <c r="L39" i="51" s="1"/>
  <c r="U39" i="51" s="1"/>
  <c r="K38" i="51"/>
  <c r="H38" i="51"/>
  <c r="L38" i="51" s="1"/>
  <c r="R37" i="51"/>
  <c r="M37" i="51"/>
  <c r="K37" i="51"/>
  <c r="H37" i="51"/>
  <c r="L37" i="51" s="1"/>
  <c r="V37" i="51" s="1"/>
  <c r="L36" i="51"/>
  <c r="K36" i="51"/>
  <c r="M36" i="51" s="1"/>
  <c r="H36" i="51"/>
  <c r="R35" i="51"/>
  <c r="K35" i="51"/>
  <c r="V35" i="51" s="1"/>
  <c r="H35" i="51"/>
  <c r="L35" i="51" s="1"/>
  <c r="L34" i="51"/>
  <c r="K34" i="51"/>
  <c r="H34" i="51"/>
  <c r="U33" i="51"/>
  <c r="R33" i="51"/>
  <c r="K33" i="51"/>
  <c r="I33" i="51"/>
  <c r="H33" i="51"/>
  <c r="L33" i="51" s="1"/>
  <c r="V33" i="51" s="1"/>
  <c r="K32" i="51"/>
  <c r="M32" i="51" s="1"/>
  <c r="H32" i="51"/>
  <c r="L32" i="51" s="1"/>
  <c r="R31" i="51"/>
  <c r="K31" i="51"/>
  <c r="I31" i="51"/>
  <c r="H31" i="51"/>
  <c r="L31" i="51" s="1"/>
  <c r="L30" i="51"/>
  <c r="K30" i="51"/>
  <c r="H30" i="51"/>
  <c r="U29" i="51"/>
  <c r="R29" i="51"/>
  <c r="K29" i="51"/>
  <c r="M29" i="51" s="1"/>
  <c r="H29" i="51"/>
  <c r="L29" i="51" s="1"/>
  <c r="V29" i="51" s="1"/>
  <c r="L28" i="51"/>
  <c r="K28" i="51"/>
  <c r="H28" i="51"/>
  <c r="V27" i="51"/>
  <c r="U27" i="51"/>
  <c r="R27" i="51"/>
  <c r="K27" i="51"/>
  <c r="M27" i="51" s="1"/>
  <c r="H27" i="51"/>
  <c r="L27" i="51" s="1"/>
  <c r="K26" i="51"/>
  <c r="M26" i="51" s="1"/>
  <c r="H26" i="51"/>
  <c r="L26" i="51" s="1"/>
  <c r="R25" i="51"/>
  <c r="K25" i="51"/>
  <c r="M25" i="51" s="1"/>
  <c r="H25" i="51"/>
  <c r="L25" i="51" s="1"/>
  <c r="K24" i="51"/>
  <c r="H24" i="51"/>
  <c r="L24" i="51" s="1"/>
  <c r="V23" i="51"/>
  <c r="R23" i="51"/>
  <c r="M23" i="51"/>
  <c r="K23" i="51"/>
  <c r="H23" i="51"/>
  <c r="L23" i="51" s="1"/>
  <c r="U23" i="51" s="1"/>
  <c r="K22" i="51"/>
  <c r="H22" i="51"/>
  <c r="R21" i="51"/>
  <c r="M21" i="51"/>
  <c r="K21" i="51"/>
  <c r="H21" i="51"/>
  <c r="L21" i="51" s="1"/>
  <c r="V21" i="51" s="1"/>
  <c r="L20" i="51"/>
  <c r="K20" i="51"/>
  <c r="H20" i="51"/>
  <c r="R19" i="51"/>
  <c r="K19" i="51"/>
  <c r="V19" i="51" s="1"/>
  <c r="H19" i="51"/>
  <c r="L19" i="51" s="1"/>
  <c r="R18" i="51"/>
  <c r="R48" i="51" s="1"/>
  <c r="I18" i="51"/>
  <c r="H18" i="51"/>
  <c r="I49" i="51" s="1"/>
  <c r="E16" i="51"/>
  <c r="P1" i="51"/>
  <c r="P8" i="51" s="1"/>
  <c r="Q50" i="50"/>
  <c r="G50" i="50"/>
  <c r="F50" i="50"/>
  <c r="R49" i="50"/>
  <c r="K49" i="50"/>
  <c r="V49" i="50" s="1"/>
  <c r="I49" i="50"/>
  <c r="H49" i="50"/>
  <c r="L49" i="50" s="1"/>
  <c r="L48" i="50"/>
  <c r="K48" i="50"/>
  <c r="H48" i="50"/>
  <c r="U47" i="50"/>
  <c r="R47" i="50"/>
  <c r="K47" i="50"/>
  <c r="I47" i="50"/>
  <c r="H47" i="50"/>
  <c r="L47" i="50" s="1"/>
  <c r="V47" i="50" s="1"/>
  <c r="M46" i="50"/>
  <c r="K46" i="50"/>
  <c r="H46" i="50"/>
  <c r="L46" i="50" s="1"/>
  <c r="R45" i="50"/>
  <c r="K45" i="50"/>
  <c r="I45" i="50"/>
  <c r="H45" i="50"/>
  <c r="L45" i="50" s="1"/>
  <c r="L44" i="50"/>
  <c r="M44" i="50" s="1"/>
  <c r="K44" i="50"/>
  <c r="H44" i="50"/>
  <c r="U43" i="50"/>
  <c r="R43" i="50"/>
  <c r="K43" i="50"/>
  <c r="H43" i="50"/>
  <c r="L43" i="50" s="1"/>
  <c r="V43" i="50" s="1"/>
  <c r="M42" i="50"/>
  <c r="L42" i="50"/>
  <c r="K42" i="50"/>
  <c r="H42" i="50"/>
  <c r="V41" i="50"/>
  <c r="R41" i="50"/>
  <c r="K41" i="50"/>
  <c r="H41" i="50"/>
  <c r="L41" i="50" s="1"/>
  <c r="K40" i="50"/>
  <c r="M40" i="50" s="1"/>
  <c r="H40" i="50"/>
  <c r="L40" i="50" s="1"/>
  <c r="R39" i="50"/>
  <c r="K39" i="50"/>
  <c r="M39" i="50" s="1"/>
  <c r="H39" i="50"/>
  <c r="L39" i="50" s="1"/>
  <c r="K38" i="50"/>
  <c r="M38" i="50" s="1"/>
  <c r="H38" i="50"/>
  <c r="L38" i="50" s="1"/>
  <c r="V37" i="50"/>
  <c r="R37" i="50"/>
  <c r="M37" i="50"/>
  <c r="K37" i="50"/>
  <c r="H37" i="50"/>
  <c r="L37" i="50" s="1"/>
  <c r="U37" i="50" s="1"/>
  <c r="K36" i="50"/>
  <c r="H36" i="50"/>
  <c r="L36" i="50" s="1"/>
  <c r="R35" i="50"/>
  <c r="M35" i="50"/>
  <c r="K35" i="50"/>
  <c r="H35" i="50"/>
  <c r="L35" i="50" s="1"/>
  <c r="V35" i="50" s="1"/>
  <c r="L34" i="50"/>
  <c r="K34" i="50"/>
  <c r="M34" i="50" s="1"/>
  <c r="H34" i="50"/>
  <c r="R33" i="50"/>
  <c r="K33" i="50"/>
  <c r="V33" i="50" s="1"/>
  <c r="H33" i="50"/>
  <c r="L33" i="50" s="1"/>
  <c r="L32" i="50"/>
  <c r="K32" i="50"/>
  <c r="H32" i="50"/>
  <c r="U31" i="50"/>
  <c r="R31" i="50"/>
  <c r="K31" i="50"/>
  <c r="I31" i="50"/>
  <c r="H31" i="50"/>
  <c r="L31" i="50" s="1"/>
  <c r="V31" i="50" s="1"/>
  <c r="K30" i="50"/>
  <c r="M30" i="50" s="1"/>
  <c r="H30" i="50"/>
  <c r="L30" i="50" s="1"/>
  <c r="R29" i="50"/>
  <c r="K29" i="50"/>
  <c r="I29" i="50"/>
  <c r="H29" i="50"/>
  <c r="L29" i="50" s="1"/>
  <c r="L28" i="50"/>
  <c r="K28" i="50"/>
  <c r="H28" i="50"/>
  <c r="U27" i="50"/>
  <c r="R27" i="50"/>
  <c r="K27" i="50"/>
  <c r="M27" i="50" s="1"/>
  <c r="H27" i="50"/>
  <c r="L27" i="50" s="1"/>
  <c r="V27" i="50" s="1"/>
  <c r="M26" i="50"/>
  <c r="L26" i="50"/>
  <c r="K26" i="50"/>
  <c r="H26" i="50"/>
  <c r="V25" i="50"/>
  <c r="U25" i="50"/>
  <c r="R25" i="50"/>
  <c r="K25" i="50"/>
  <c r="M25" i="50" s="1"/>
  <c r="H25" i="50"/>
  <c r="L25" i="50" s="1"/>
  <c r="K24" i="50"/>
  <c r="M24" i="50" s="1"/>
  <c r="H24" i="50"/>
  <c r="L24" i="50" s="1"/>
  <c r="R23" i="50"/>
  <c r="K23" i="50"/>
  <c r="M23" i="50" s="1"/>
  <c r="H23" i="50"/>
  <c r="L23" i="50" s="1"/>
  <c r="K22" i="50"/>
  <c r="H22" i="50"/>
  <c r="L22" i="50" s="1"/>
  <c r="V21" i="50"/>
  <c r="R21" i="50"/>
  <c r="M21" i="50"/>
  <c r="K21" i="50"/>
  <c r="H21" i="50"/>
  <c r="L21" i="50" s="1"/>
  <c r="U21" i="50" s="1"/>
  <c r="K20" i="50"/>
  <c r="H20" i="50"/>
  <c r="L20" i="50" s="1"/>
  <c r="R19" i="50"/>
  <c r="M19" i="50"/>
  <c r="K19" i="50"/>
  <c r="H19" i="50"/>
  <c r="L19" i="50" s="1"/>
  <c r="R18" i="50"/>
  <c r="R48" i="50" s="1"/>
  <c r="I18" i="50"/>
  <c r="H18" i="50"/>
  <c r="E16" i="50"/>
  <c r="P11" i="50"/>
  <c r="P8" i="50"/>
  <c r="P1" i="50"/>
  <c r="Q50" i="49"/>
  <c r="K50" i="49"/>
  <c r="G50" i="49"/>
  <c r="F50" i="49"/>
  <c r="P11" i="49" s="1"/>
  <c r="V49" i="49"/>
  <c r="R49" i="49"/>
  <c r="K49" i="49"/>
  <c r="M49" i="49" s="1"/>
  <c r="H49" i="49"/>
  <c r="L49" i="49" s="1"/>
  <c r="U49" i="49" s="1"/>
  <c r="M48" i="49"/>
  <c r="L48" i="49"/>
  <c r="K48" i="49"/>
  <c r="H48" i="49"/>
  <c r="V47" i="49"/>
  <c r="R47" i="49"/>
  <c r="M47" i="49"/>
  <c r="K47" i="49"/>
  <c r="U47" i="49" s="1"/>
  <c r="H47" i="49"/>
  <c r="L47" i="49" s="1"/>
  <c r="L46" i="49"/>
  <c r="K46" i="49"/>
  <c r="H46" i="49"/>
  <c r="R45" i="49"/>
  <c r="K45" i="49"/>
  <c r="H45" i="49"/>
  <c r="L45" i="49" s="1"/>
  <c r="K44" i="49"/>
  <c r="M44" i="49" s="1"/>
  <c r="H44" i="49"/>
  <c r="L44" i="49" s="1"/>
  <c r="R43" i="49"/>
  <c r="M43" i="49"/>
  <c r="K43" i="49"/>
  <c r="H43" i="49"/>
  <c r="L43" i="49" s="1"/>
  <c r="L42" i="49"/>
  <c r="K42" i="49"/>
  <c r="H42" i="49"/>
  <c r="R41" i="49"/>
  <c r="K41" i="49"/>
  <c r="M41" i="49" s="1"/>
  <c r="H41" i="49"/>
  <c r="L41" i="49" s="1"/>
  <c r="U41" i="49" s="1"/>
  <c r="L40" i="49"/>
  <c r="K40" i="49"/>
  <c r="M40" i="49" s="1"/>
  <c r="H40" i="49"/>
  <c r="R39" i="49"/>
  <c r="K39" i="49"/>
  <c r="U39" i="49" s="1"/>
  <c r="H39" i="49"/>
  <c r="L39" i="49" s="1"/>
  <c r="K38" i="49"/>
  <c r="H38" i="49"/>
  <c r="L38" i="49" s="1"/>
  <c r="U37" i="49"/>
  <c r="R37" i="49"/>
  <c r="K37" i="49"/>
  <c r="M37" i="49" s="1"/>
  <c r="I37" i="49"/>
  <c r="T37" i="49" s="1"/>
  <c r="S37" i="49" s="1"/>
  <c r="H37" i="49"/>
  <c r="L37" i="49" s="1"/>
  <c r="M36" i="49"/>
  <c r="K36" i="49"/>
  <c r="H36" i="49"/>
  <c r="L36" i="49" s="1"/>
  <c r="V35" i="49"/>
  <c r="R35" i="49"/>
  <c r="M35" i="49"/>
  <c r="K35" i="49"/>
  <c r="H35" i="49"/>
  <c r="L35" i="49" s="1"/>
  <c r="U35" i="49" s="1"/>
  <c r="K34" i="49"/>
  <c r="H34" i="49"/>
  <c r="L34" i="49" s="1"/>
  <c r="V33" i="49"/>
  <c r="R33" i="49"/>
  <c r="K33" i="49"/>
  <c r="M33" i="49" s="1"/>
  <c r="H33" i="49"/>
  <c r="L33" i="49" s="1"/>
  <c r="U33" i="49" s="1"/>
  <c r="M32" i="49"/>
  <c r="L32" i="49"/>
  <c r="K32" i="49"/>
  <c r="H32" i="49"/>
  <c r="V31" i="49"/>
  <c r="R31" i="49"/>
  <c r="M31" i="49"/>
  <c r="K31" i="49"/>
  <c r="U31" i="49" s="1"/>
  <c r="H31" i="49"/>
  <c r="L31" i="49" s="1"/>
  <c r="L30" i="49"/>
  <c r="K30" i="49"/>
  <c r="H30" i="49"/>
  <c r="R29" i="49"/>
  <c r="K29" i="49"/>
  <c r="H29" i="49"/>
  <c r="L29" i="49" s="1"/>
  <c r="K28" i="49"/>
  <c r="M28" i="49" s="1"/>
  <c r="H28" i="49"/>
  <c r="L28" i="49" s="1"/>
  <c r="R27" i="49"/>
  <c r="M27" i="49"/>
  <c r="K27" i="49"/>
  <c r="H27" i="49"/>
  <c r="L27" i="49" s="1"/>
  <c r="L26" i="49"/>
  <c r="K26" i="49"/>
  <c r="H26" i="49"/>
  <c r="R25" i="49"/>
  <c r="K25" i="49"/>
  <c r="M25" i="49" s="1"/>
  <c r="H25" i="49"/>
  <c r="L25" i="49" s="1"/>
  <c r="U25" i="49" s="1"/>
  <c r="L24" i="49"/>
  <c r="K24" i="49"/>
  <c r="M24" i="49" s="1"/>
  <c r="H24" i="49"/>
  <c r="R23" i="49"/>
  <c r="K23" i="49"/>
  <c r="U23" i="49" s="1"/>
  <c r="H23" i="49"/>
  <c r="L23" i="49" s="1"/>
  <c r="K22" i="49"/>
  <c r="H22" i="49"/>
  <c r="L22" i="49" s="1"/>
  <c r="U21" i="49"/>
  <c r="R21" i="49"/>
  <c r="K21" i="49"/>
  <c r="M21" i="49" s="1"/>
  <c r="I21" i="49"/>
  <c r="T21" i="49" s="1"/>
  <c r="S21" i="49" s="1"/>
  <c r="H21" i="49"/>
  <c r="L21" i="49" s="1"/>
  <c r="M20" i="49"/>
  <c r="K20" i="49"/>
  <c r="H20" i="49"/>
  <c r="L20" i="49" s="1"/>
  <c r="V19" i="49"/>
  <c r="R19" i="49"/>
  <c r="M19" i="49"/>
  <c r="K19" i="49"/>
  <c r="H19" i="49"/>
  <c r="L19" i="49" s="1"/>
  <c r="R18" i="49"/>
  <c r="R48" i="49" s="1"/>
  <c r="U48" i="49" s="1"/>
  <c r="I18" i="49"/>
  <c r="H18" i="49"/>
  <c r="E16" i="49"/>
  <c r="P1" i="49"/>
  <c r="P8" i="49" s="1"/>
  <c r="Q50" i="48"/>
  <c r="G50" i="48"/>
  <c r="F50" i="48"/>
  <c r="P11" i="48" s="1"/>
  <c r="R49" i="48"/>
  <c r="K49" i="48"/>
  <c r="I49" i="48"/>
  <c r="H49" i="48"/>
  <c r="L49" i="48" s="1"/>
  <c r="L48" i="48"/>
  <c r="K48" i="48"/>
  <c r="H48" i="48"/>
  <c r="K47" i="48"/>
  <c r="M47" i="48" s="1"/>
  <c r="H47" i="48"/>
  <c r="L47" i="48" s="1"/>
  <c r="L46" i="48"/>
  <c r="K46" i="48"/>
  <c r="H46" i="48"/>
  <c r="K45" i="48"/>
  <c r="M45" i="48" s="1"/>
  <c r="H45" i="48"/>
  <c r="L45" i="48" s="1"/>
  <c r="K44" i="48"/>
  <c r="H44" i="48"/>
  <c r="L44" i="48" s="1"/>
  <c r="U43" i="48"/>
  <c r="R43" i="48"/>
  <c r="K43" i="48"/>
  <c r="M43" i="48" s="1"/>
  <c r="I43" i="48"/>
  <c r="T43" i="48" s="1"/>
  <c r="S43" i="48" s="1"/>
  <c r="H43" i="48"/>
  <c r="L43" i="48" s="1"/>
  <c r="M42" i="48"/>
  <c r="K42" i="48"/>
  <c r="H42" i="48"/>
  <c r="L42" i="48" s="1"/>
  <c r="M41" i="48"/>
  <c r="K41" i="48"/>
  <c r="I41" i="48"/>
  <c r="T41" i="48" s="1"/>
  <c r="S41" i="48" s="1"/>
  <c r="H41" i="48"/>
  <c r="L41" i="48" s="1"/>
  <c r="M40" i="48"/>
  <c r="K40" i="48"/>
  <c r="H40" i="48"/>
  <c r="L40" i="48" s="1"/>
  <c r="V39" i="48"/>
  <c r="R39" i="48"/>
  <c r="M39" i="48"/>
  <c r="K39" i="48"/>
  <c r="H39" i="48"/>
  <c r="L39" i="48" s="1"/>
  <c r="U39" i="48" s="1"/>
  <c r="M38" i="48"/>
  <c r="L38" i="48"/>
  <c r="K38" i="48"/>
  <c r="H38" i="48"/>
  <c r="K37" i="48"/>
  <c r="M37" i="48" s="1"/>
  <c r="H37" i="48"/>
  <c r="L37" i="48" s="1"/>
  <c r="K36" i="48"/>
  <c r="H36" i="48"/>
  <c r="L36" i="48" s="1"/>
  <c r="R35" i="48"/>
  <c r="K35" i="48"/>
  <c r="M35" i="48" s="1"/>
  <c r="H35" i="48"/>
  <c r="L35" i="48" s="1"/>
  <c r="K34" i="48"/>
  <c r="H34" i="48"/>
  <c r="L34" i="48" s="1"/>
  <c r="V33" i="48"/>
  <c r="R33" i="48"/>
  <c r="M33" i="48"/>
  <c r="K33" i="48"/>
  <c r="H33" i="48"/>
  <c r="L33" i="48" s="1"/>
  <c r="U33" i="48" s="1"/>
  <c r="K32" i="48"/>
  <c r="H32" i="48"/>
  <c r="L32" i="48" s="1"/>
  <c r="R31" i="48"/>
  <c r="M31" i="48"/>
  <c r="K31" i="48"/>
  <c r="H31" i="48"/>
  <c r="L31" i="48" s="1"/>
  <c r="V31" i="48" s="1"/>
  <c r="L30" i="48"/>
  <c r="K30" i="48"/>
  <c r="M30" i="48" s="1"/>
  <c r="H30" i="48"/>
  <c r="M29" i="48"/>
  <c r="K29" i="48"/>
  <c r="H29" i="48"/>
  <c r="L29" i="48" s="1"/>
  <c r="L28" i="48"/>
  <c r="K28" i="48"/>
  <c r="H28" i="48"/>
  <c r="R27" i="48"/>
  <c r="K27" i="48"/>
  <c r="H27" i="48"/>
  <c r="L27" i="48" s="1"/>
  <c r="K26" i="48"/>
  <c r="H26" i="48"/>
  <c r="L26" i="48" s="1"/>
  <c r="R25" i="48"/>
  <c r="K25" i="48"/>
  <c r="H25" i="48"/>
  <c r="L25" i="48" s="1"/>
  <c r="L24" i="48"/>
  <c r="K24" i="48"/>
  <c r="H24" i="48"/>
  <c r="R23" i="48"/>
  <c r="K23" i="48"/>
  <c r="H23" i="48"/>
  <c r="L23" i="48" s="1"/>
  <c r="L22" i="48"/>
  <c r="K22" i="48"/>
  <c r="M22" i="48" s="1"/>
  <c r="H22" i="48"/>
  <c r="K21" i="48"/>
  <c r="M21" i="48" s="1"/>
  <c r="I21" i="48"/>
  <c r="H21" i="48"/>
  <c r="L21" i="48" s="1"/>
  <c r="L20" i="48"/>
  <c r="K20" i="48"/>
  <c r="H20" i="48"/>
  <c r="R19" i="48"/>
  <c r="K19" i="48"/>
  <c r="H19" i="48"/>
  <c r="R18" i="48"/>
  <c r="I18" i="48"/>
  <c r="H18" i="48"/>
  <c r="E16" i="48"/>
  <c r="P1" i="48"/>
  <c r="P8" i="48" s="1"/>
  <c r="Q50" i="47"/>
  <c r="G50" i="47"/>
  <c r="F50" i="47"/>
  <c r="R49" i="47"/>
  <c r="L49" i="47"/>
  <c r="K49" i="47"/>
  <c r="H49" i="47"/>
  <c r="L48" i="47"/>
  <c r="K48" i="47"/>
  <c r="M48" i="47" s="1"/>
  <c r="H48" i="47"/>
  <c r="L47" i="47"/>
  <c r="K47" i="47"/>
  <c r="H47" i="47"/>
  <c r="V46" i="47"/>
  <c r="R46" i="47"/>
  <c r="L46" i="47"/>
  <c r="K46" i="47"/>
  <c r="M46" i="47" s="1"/>
  <c r="H46" i="47"/>
  <c r="R45" i="47"/>
  <c r="K45" i="47"/>
  <c r="H45" i="47"/>
  <c r="L45" i="47" s="1"/>
  <c r="R44" i="47"/>
  <c r="L44" i="47"/>
  <c r="K44" i="47"/>
  <c r="H44" i="47"/>
  <c r="R43" i="47"/>
  <c r="K43" i="47"/>
  <c r="H43" i="47"/>
  <c r="L43" i="47" s="1"/>
  <c r="R42" i="47"/>
  <c r="L42" i="47"/>
  <c r="K42" i="47"/>
  <c r="M42" i="47" s="1"/>
  <c r="I42" i="47"/>
  <c r="T42" i="47" s="1"/>
  <c r="S42" i="47" s="1"/>
  <c r="H42" i="47"/>
  <c r="R41" i="47"/>
  <c r="L41" i="47"/>
  <c r="V41" i="47" s="1"/>
  <c r="K41" i="47"/>
  <c r="H41" i="47"/>
  <c r="L40" i="47"/>
  <c r="K40" i="47"/>
  <c r="M40" i="47" s="1"/>
  <c r="H40" i="47"/>
  <c r="L39" i="47"/>
  <c r="K39" i="47"/>
  <c r="H39" i="47"/>
  <c r="R38" i="47"/>
  <c r="L38" i="47"/>
  <c r="K38" i="47"/>
  <c r="M38" i="47" s="1"/>
  <c r="H38" i="47"/>
  <c r="R37" i="47"/>
  <c r="K37" i="47"/>
  <c r="H37" i="47"/>
  <c r="L37" i="47" s="1"/>
  <c r="V36" i="47"/>
  <c r="R36" i="47"/>
  <c r="L36" i="47"/>
  <c r="K36" i="47"/>
  <c r="H36" i="47"/>
  <c r="V35" i="47"/>
  <c r="R35" i="47"/>
  <c r="M35" i="47"/>
  <c r="K35" i="47"/>
  <c r="H35" i="47"/>
  <c r="L35" i="47" s="1"/>
  <c r="U35" i="47" s="1"/>
  <c r="R34" i="47"/>
  <c r="L34" i="47"/>
  <c r="K34" i="47"/>
  <c r="M34" i="47" s="1"/>
  <c r="I34" i="47"/>
  <c r="T34" i="47" s="1"/>
  <c r="S34" i="47" s="1"/>
  <c r="H34" i="47"/>
  <c r="R33" i="47"/>
  <c r="L33" i="47"/>
  <c r="V33" i="47" s="1"/>
  <c r="K33" i="47"/>
  <c r="H33" i="47"/>
  <c r="L32" i="47"/>
  <c r="K32" i="47"/>
  <c r="M32" i="47" s="1"/>
  <c r="H32" i="47"/>
  <c r="L31" i="47"/>
  <c r="K31" i="47"/>
  <c r="H31" i="47"/>
  <c r="R30" i="47"/>
  <c r="L30" i="47"/>
  <c r="U30" i="47" s="1"/>
  <c r="K30" i="47"/>
  <c r="H30" i="47"/>
  <c r="V29" i="47"/>
  <c r="R29" i="47"/>
  <c r="L29" i="47"/>
  <c r="U29" i="47" s="1"/>
  <c r="K29" i="47"/>
  <c r="H29" i="47"/>
  <c r="R28" i="47"/>
  <c r="V28" i="47" s="1"/>
  <c r="L28" i="47"/>
  <c r="K28" i="47"/>
  <c r="H28" i="47"/>
  <c r="V27" i="47"/>
  <c r="R27" i="47"/>
  <c r="K27" i="47"/>
  <c r="H27" i="47"/>
  <c r="L27" i="47" s="1"/>
  <c r="U27" i="47" s="1"/>
  <c r="R26" i="47"/>
  <c r="L26" i="47"/>
  <c r="K26" i="47"/>
  <c r="M26" i="47" s="1"/>
  <c r="H26" i="47"/>
  <c r="R25" i="47"/>
  <c r="L25" i="47"/>
  <c r="K25" i="47"/>
  <c r="I25" i="47"/>
  <c r="H25" i="47"/>
  <c r="L24" i="47"/>
  <c r="K24" i="47"/>
  <c r="M24" i="47" s="1"/>
  <c r="H24" i="47"/>
  <c r="L23" i="47"/>
  <c r="K23" i="47"/>
  <c r="H23" i="47"/>
  <c r="R22" i="47"/>
  <c r="L22" i="47"/>
  <c r="K22" i="47"/>
  <c r="H22" i="47"/>
  <c r="R21" i="47"/>
  <c r="L21" i="47"/>
  <c r="K21" i="47"/>
  <c r="H21" i="47"/>
  <c r="R20" i="47"/>
  <c r="L20" i="47"/>
  <c r="K20" i="47"/>
  <c r="H20" i="47"/>
  <c r="R19" i="47"/>
  <c r="K19" i="47"/>
  <c r="H19" i="47"/>
  <c r="R18" i="47"/>
  <c r="R48" i="47" s="1"/>
  <c r="I18" i="47"/>
  <c r="H18" i="47"/>
  <c r="E16" i="47"/>
  <c r="P11" i="47"/>
  <c r="P1" i="47"/>
  <c r="P8" i="47" s="1"/>
  <c r="Q50" i="46"/>
  <c r="G50" i="46"/>
  <c r="F50" i="46"/>
  <c r="L49" i="46"/>
  <c r="K49" i="46"/>
  <c r="H49" i="46"/>
  <c r="L48" i="46"/>
  <c r="K48" i="46"/>
  <c r="H48" i="46"/>
  <c r="K47" i="46"/>
  <c r="H47" i="46"/>
  <c r="L47" i="46" s="1"/>
  <c r="M47" i="46" s="1"/>
  <c r="R46" i="46"/>
  <c r="L46" i="46"/>
  <c r="K46" i="46"/>
  <c r="H46" i="46"/>
  <c r="R45" i="46"/>
  <c r="M45" i="46"/>
  <c r="K45" i="46"/>
  <c r="H45" i="46"/>
  <c r="L45" i="46" s="1"/>
  <c r="R44" i="46"/>
  <c r="L44" i="46"/>
  <c r="K44" i="46"/>
  <c r="M44" i="46" s="1"/>
  <c r="I44" i="46"/>
  <c r="T44" i="46" s="1"/>
  <c r="S44" i="46" s="1"/>
  <c r="H44" i="46"/>
  <c r="R43" i="46"/>
  <c r="L43" i="46"/>
  <c r="K43" i="46"/>
  <c r="H43" i="46"/>
  <c r="T42" i="46"/>
  <c r="S42" i="46" s="1"/>
  <c r="L42" i="46"/>
  <c r="K42" i="46"/>
  <c r="M42" i="46" s="1"/>
  <c r="I42" i="46"/>
  <c r="H42" i="46"/>
  <c r="L41" i="46"/>
  <c r="K41" i="46"/>
  <c r="H41" i="46"/>
  <c r="L40" i="46"/>
  <c r="K40" i="46"/>
  <c r="H40" i="46"/>
  <c r="L39" i="46"/>
  <c r="K39" i="46"/>
  <c r="H39" i="46"/>
  <c r="R38" i="46"/>
  <c r="L38" i="46"/>
  <c r="K38" i="46"/>
  <c r="H38" i="46"/>
  <c r="R37" i="46"/>
  <c r="K37" i="46"/>
  <c r="H37" i="46"/>
  <c r="L37" i="46" s="1"/>
  <c r="R36" i="46"/>
  <c r="L36" i="46"/>
  <c r="K36" i="46"/>
  <c r="M36" i="46" s="1"/>
  <c r="H36" i="46"/>
  <c r="R35" i="46"/>
  <c r="L35" i="46"/>
  <c r="K35" i="46"/>
  <c r="I35" i="46"/>
  <c r="H35" i="46"/>
  <c r="L34" i="46"/>
  <c r="K34" i="46"/>
  <c r="M34" i="46" s="1"/>
  <c r="H34" i="46"/>
  <c r="L33" i="46"/>
  <c r="K33" i="46"/>
  <c r="H33" i="46"/>
  <c r="L32" i="46"/>
  <c r="K32" i="46"/>
  <c r="M32" i="46" s="1"/>
  <c r="H32" i="46"/>
  <c r="L31" i="46"/>
  <c r="K31" i="46"/>
  <c r="H31" i="46"/>
  <c r="R30" i="46"/>
  <c r="V30" i="46" s="1"/>
  <c r="L30" i="46"/>
  <c r="K30" i="46"/>
  <c r="H30" i="46"/>
  <c r="V29" i="46"/>
  <c r="R29" i="46"/>
  <c r="K29" i="46"/>
  <c r="I29" i="46"/>
  <c r="H29" i="46"/>
  <c r="L29" i="46" s="1"/>
  <c r="U29" i="46" s="1"/>
  <c r="R28" i="46"/>
  <c r="L28" i="46"/>
  <c r="K28" i="46"/>
  <c r="M28" i="46" s="1"/>
  <c r="H28" i="46"/>
  <c r="R27" i="46"/>
  <c r="L27" i="46"/>
  <c r="K27" i="46"/>
  <c r="I27" i="46"/>
  <c r="H27" i="46"/>
  <c r="L26" i="46"/>
  <c r="K26" i="46"/>
  <c r="M26" i="46" s="1"/>
  <c r="H26" i="46"/>
  <c r="L25" i="46"/>
  <c r="K25" i="46"/>
  <c r="H25" i="46"/>
  <c r="L24" i="46"/>
  <c r="K24" i="46"/>
  <c r="M24" i="46" s="1"/>
  <c r="H24" i="46"/>
  <c r="K23" i="46"/>
  <c r="H23" i="46"/>
  <c r="L23" i="46" s="1"/>
  <c r="V22" i="46"/>
  <c r="R22" i="46"/>
  <c r="L22" i="46"/>
  <c r="K22" i="46"/>
  <c r="H22" i="46"/>
  <c r="V21" i="46"/>
  <c r="R21" i="46"/>
  <c r="M21" i="46"/>
  <c r="K21" i="46"/>
  <c r="H21" i="46"/>
  <c r="L21" i="46" s="1"/>
  <c r="U21" i="46" s="1"/>
  <c r="R20" i="46"/>
  <c r="L20" i="46"/>
  <c r="K20" i="46"/>
  <c r="M20" i="46" s="1"/>
  <c r="I20" i="46"/>
  <c r="T20" i="46" s="1"/>
  <c r="S20" i="46" s="1"/>
  <c r="H20" i="46"/>
  <c r="R19" i="46"/>
  <c r="L19" i="46"/>
  <c r="K19" i="46"/>
  <c r="H19" i="46"/>
  <c r="R18" i="46"/>
  <c r="R49" i="46" s="1"/>
  <c r="I18" i="46"/>
  <c r="H18" i="46"/>
  <c r="I45" i="46" s="1"/>
  <c r="E16" i="46"/>
  <c r="P11" i="46"/>
  <c r="P8" i="46"/>
  <c r="P1" i="46"/>
  <c r="Q50" i="45"/>
  <c r="G50" i="45"/>
  <c r="F50" i="45"/>
  <c r="L49" i="45"/>
  <c r="K49" i="45"/>
  <c r="H49" i="45"/>
  <c r="I49" i="45" s="1"/>
  <c r="R48" i="45"/>
  <c r="L48" i="45"/>
  <c r="K48" i="45"/>
  <c r="I48" i="45"/>
  <c r="H48" i="45"/>
  <c r="K47" i="45"/>
  <c r="I47" i="45"/>
  <c r="H47" i="45"/>
  <c r="L47" i="45" s="1"/>
  <c r="M47" i="45" s="1"/>
  <c r="R46" i="45"/>
  <c r="L46" i="45"/>
  <c r="K46" i="45"/>
  <c r="M46" i="45" s="1"/>
  <c r="I46" i="45"/>
  <c r="T46" i="45" s="1"/>
  <c r="S46" i="45" s="1"/>
  <c r="H46" i="45"/>
  <c r="L45" i="45"/>
  <c r="K45" i="45"/>
  <c r="I45" i="45"/>
  <c r="H45" i="45"/>
  <c r="L44" i="45"/>
  <c r="K44" i="45"/>
  <c r="M44" i="45" s="1"/>
  <c r="I44" i="45"/>
  <c r="T44" i="45" s="1"/>
  <c r="S44" i="45" s="1"/>
  <c r="H44" i="45"/>
  <c r="L43" i="45"/>
  <c r="K43" i="45"/>
  <c r="H43" i="45"/>
  <c r="L42" i="45"/>
  <c r="K42" i="45"/>
  <c r="M42" i="45" s="1"/>
  <c r="H42" i="45"/>
  <c r="K41" i="45"/>
  <c r="H41" i="45"/>
  <c r="L40" i="45"/>
  <c r="K40" i="45"/>
  <c r="I40" i="45"/>
  <c r="H40" i="45"/>
  <c r="R39" i="45"/>
  <c r="K39" i="45"/>
  <c r="H39" i="45"/>
  <c r="S38" i="45"/>
  <c r="L38" i="45"/>
  <c r="K38" i="45"/>
  <c r="M38" i="45" s="1"/>
  <c r="I38" i="45"/>
  <c r="T38" i="45" s="1"/>
  <c r="H38" i="45"/>
  <c r="R37" i="45"/>
  <c r="L37" i="45"/>
  <c r="V37" i="45" s="1"/>
  <c r="K37" i="45"/>
  <c r="I37" i="45"/>
  <c r="H37" i="45"/>
  <c r="T36" i="45"/>
  <c r="S36" i="45" s="1"/>
  <c r="L36" i="45"/>
  <c r="K36" i="45"/>
  <c r="M36" i="45" s="1"/>
  <c r="I36" i="45"/>
  <c r="H36" i="45"/>
  <c r="L35" i="45"/>
  <c r="K35" i="45"/>
  <c r="H35" i="45"/>
  <c r="L34" i="45"/>
  <c r="K34" i="45"/>
  <c r="H34" i="45"/>
  <c r="L33" i="45"/>
  <c r="K33" i="45"/>
  <c r="H33" i="45"/>
  <c r="I33" i="45" s="1"/>
  <c r="R32" i="45"/>
  <c r="L32" i="45"/>
  <c r="K32" i="45"/>
  <c r="I32" i="45"/>
  <c r="H32" i="45"/>
  <c r="K31" i="45"/>
  <c r="I31" i="45"/>
  <c r="H31" i="45"/>
  <c r="L31" i="45" s="1"/>
  <c r="M31" i="45" s="1"/>
  <c r="R30" i="45"/>
  <c r="L30" i="45"/>
  <c r="K30" i="45"/>
  <c r="M30" i="45" s="1"/>
  <c r="I30" i="45"/>
  <c r="T30" i="45" s="1"/>
  <c r="S30" i="45" s="1"/>
  <c r="H30" i="45"/>
  <c r="L29" i="45"/>
  <c r="K29" i="45"/>
  <c r="I29" i="45"/>
  <c r="H29" i="45"/>
  <c r="L28" i="45"/>
  <c r="K28" i="45"/>
  <c r="M28" i="45" s="1"/>
  <c r="I28" i="45"/>
  <c r="T28" i="45" s="1"/>
  <c r="S28" i="45" s="1"/>
  <c r="H28" i="45"/>
  <c r="L27" i="45"/>
  <c r="K27" i="45"/>
  <c r="H27" i="45"/>
  <c r="L26" i="45"/>
  <c r="K26" i="45"/>
  <c r="M26" i="45" s="1"/>
  <c r="H26" i="45"/>
  <c r="K25" i="45"/>
  <c r="H25" i="45"/>
  <c r="L24" i="45"/>
  <c r="K24" i="45"/>
  <c r="I24" i="45"/>
  <c r="H24" i="45"/>
  <c r="R23" i="45"/>
  <c r="K23" i="45"/>
  <c r="H23" i="45"/>
  <c r="S22" i="45"/>
  <c r="L22" i="45"/>
  <c r="K22" i="45"/>
  <c r="M22" i="45" s="1"/>
  <c r="I22" i="45"/>
  <c r="T22" i="45" s="1"/>
  <c r="H22" i="45"/>
  <c r="R21" i="45"/>
  <c r="L21" i="45"/>
  <c r="V21" i="45" s="1"/>
  <c r="K21" i="45"/>
  <c r="I21" i="45"/>
  <c r="H21" i="45"/>
  <c r="T20" i="45"/>
  <c r="S20" i="45" s="1"/>
  <c r="L20" i="45"/>
  <c r="K20" i="45"/>
  <c r="M20" i="45" s="1"/>
  <c r="I20" i="45"/>
  <c r="H20" i="45"/>
  <c r="L19" i="45"/>
  <c r="K19" i="45"/>
  <c r="H19" i="45"/>
  <c r="R18" i="45"/>
  <c r="I18" i="45"/>
  <c r="H18" i="45"/>
  <c r="I43" i="45" s="1"/>
  <c r="E16" i="45"/>
  <c r="P11" i="45"/>
  <c r="P1" i="45"/>
  <c r="P8" i="45" s="1"/>
  <c r="Q50" i="44"/>
  <c r="G50" i="44"/>
  <c r="F50" i="44"/>
  <c r="M49" i="44"/>
  <c r="K49" i="44"/>
  <c r="I49" i="44"/>
  <c r="H49" i="44"/>
  <c r="L49" i="44" s="1"/>
  <c r="L48" i="44"/>
  <c r="K48" i="44"/>
  <c r="M48" i="44" s="1"/>
  <c r="I48" i="44"/>
  <c r="T48" i="44" s="1"/>
  <c r="S48" i="44" s="1"/>
  <c r="H48" i="44"/>
  <c r="L47" i="44"/>
  <c r="K47" i="44"/>
  <c r="I47" i="44"/>
  <c r="H47" i="44"/>
  <c r="T46" i="44"/>
  <c r="S46" i="44" s="1"/>
  <c r="L46" i="44"/>
  <c r="K46" i="44"/>
  <c r="M46" i="44" s="1"/>
  <c r="I46" i="44"/>
  <c r="H46" i="44"/>
  <c r="L45" i="44"/>
  <c r="K45" i="44"/>
  <c r="H45" i="44"/>
  <c r="L44" i="44"/>
  <c r="K44" i="44"/>
  <c r="H44" i="44"/>
  <c r="K43" i="44"/>
  <c r="H43" i="44"/>
  <c r="L43" i="44" s="1"/>
  <c r="L42" i="44"/>
  <c r="K42" i="44"/>
  <c r="H42" i="44"/>
  <c r="K41" i="44"/>
  <c r="H41" i="44"/>
  <c r="L40" i="44"/>
  <c r="K40" i="44"/>
  <c r="M40" i="44" s="1"/>
  <c r="I40" i="44"/>
  <c r="T40" i="44" s="1"/>
  <c r="S40" i="44" s="1"/>
  <c r="H40" i="44"/>
  <c r="L39" i="44"/>
  <c r="K39" i="44"/>
  <c r="I39" i="44"/>
  <c r="H39" i="44"/>
  <c r="L38" i="44"/>
  <c r="K38" i="44"/>
  <c r="M38" i="44" s="1"/>
  <c r="T38" i="44" s="1"/>
  <c r="S38" i="44" s="1"/>
  <c r="I38" i="44"/>
  <c r="H38" i="44"/>
  <c r="L37" i="44"/>
  <c r="K37" i="44"/>
  <c r="H37" i="44"/>
  <c r="L36" i="44"/>
  <c r="K36" i="44"/>
  <c r="H36" i="44"/>
  <c r="L35" i="44"/>
  <c r="K35" i="44"/>
  <c r="H35" i="44"/>
  <c r="L34" i="44"/>
  <c r="K34" i="44"/>
  <c r="H34" i="44"/>
  <c r="K33" i="44"/>
  <c r="H33" i="44"/>
  <c r="L33" i="44" s="1"/>
  <c r="L32" i="44"/>
  <c r="K32" i="44"/>
  <c r="M32" i="44" s="1"/>
  <c r="I32" i="44"/>
  <c r="T32" i="44" s="1"/>
  <c r="S32" i="44" s="1"/>
  <c r="H32" i="44"/>
  <c r="L31" i="44"/>
  <c r="K31" i="44"/>
  <c r="I31" i="44"/>
  <c r="H31" i="44"/>
  <c r="L30" i="44"/>
  <c r="K30" i="44"/>
  <c r="M30" i="44" s="1"/>
  <c r="I30" i="44"/>
  <c r="H30" i="44"/>
  <c r="L29" i="44"/>
  <c r="K29" i="44"/>
  <c r="H29" i="44"/>
  <c r="L28" i="44"/>
  <c r="K28" i="44"/>
  <c r="M28" i="44" s="1"/>
  <c r="H28" i="44"/>
  <c r="M27" i="44"/>
  <c r="L27" i="44"/>
  <c r="K27" i="44"/>
  <c r="H27" i="44"/>
  <c r="L26" i="44"/>
  <c r="K26" i="44"/>
  <c r="H26" i="44"/>
  <c r="K25" i="44"/>
  <c r="I25" i="44"/>
  <c r="H25" i="44"/>
  <c r="L25" i="44" s="1"/>
  <c r="M25" i="44" s="1"/>
  <c r="L24" i="44"/>
  <c r="K24" i="44"/>
  <c r="M24" i="44" s="1"/>
  <c r="I24" i="44"/>
  <c r="T24" i="44" s="1"/>
  <c r="S24" i="44" s="1"/>
  <c r="H24" i="44"/>
  <c r="L23" i="44"/>
  <c r="K23" i="44"/>
  <c r="I23" i="44"/>
  <c r="H23" i="44"/>
  <c r="S22" i="44"/>
  <c r="L22" i="44"/>
  <c r="K22" i="44"/>
  <c r="M22" i="44" s="1"/>
  <c r="I22" i="44"/>
  <c r="T22" i="44" s="1"/>
  <c r="H22" i="44"/>
  <c r="L21" i="44"/>
  <c r="K21" i="44"/>
  <c r="H21" i="44"/>
  <c r="L20" i="44"/>
  <c r="K20" i="44"/>
  <c r="H20" i="44"/>
  <c r="K19" i="44"/>
  <c r="H19" i="44"/>
  <c r="R18" i="44"/>
  <c r="R41" i="44" s="1"/>
  <c r="I18" i="44"/>
  <c r="H18" i="44"/>
  <c r="I45" i="44" s="1"/>
  <c r="E16" i="44"/>
  <c r="P11" i="44"/>
  <c r="P1" i="44"/>
  <c r="P8" i="44" s="1"/>
  <c r="Q50" i="43"/>
  <c r="G50" i="43"/>
  <c r="F50" i="43"/>
  <c r="R49" i="43"/>
  <c r="L49" i="43"/>
  <c r="V49" i="43" s="1"/>
  <c r="K49" i="43"/>
  <c r="H49" i="43"/>
  <c r="T48" i="43"/>
  <c r="S48" i="43" s="1"/>
  <c r="L48" i="43"/>
  <c r="K48" i="43"/>
  <c r="M48" i="43" s="1"/>
  <c r="I48" i="43"/>
  <c r="H48" i="43"/>
  <c r="L47" i="43"/>
  <c r="K47" i="43"/>
  <c r="H47" i="43"/>
  <c r="R46" i="43"/>
  <c r="L46" i="43"/>
  <c r="K46" i="43"/>
  <c r="M46" i="43" s="1"/>
  <c r="H46" i="43"/>
  <c r="R45" i="43"/>
  <c r="K45" i="43"/>
  <c r="H45" i="43"/>
  <c r="L45" i="43" s="1"/>
  <c r="R44" i="43"/>
  <c r="L44" i="43"/>
  <c r="K44" i="43"/>
  <c r="H44" i="43"/>
  <c r="V43" i="43"/>
  <c r="R43" i="43"/>
  <c r="M43" i="43"/>
  <c r="K43" i="43"/>
  <c r="H43" i="43"/>
  <c r="L43" i="43" s="1"/>
  <c r="U43" i="43" s="1"/>
  <c r="R42" i="43"/>
  <c r="L42" i="43"/>
  <c r="K42" i="43"/>
  <c r="M42" i="43" s="1"/>
  <c r="I42" i="43"/>
  <c r="T42" i="43" s="1"/>
  <c r="S42" i="43" s="1"/>
  <c r="H42" i="43"/>
  <c r="R41" i="43"/>
  <c r="L41" i="43"/>
  <c r="U41" i="43" s="1"/>
  <c r="K41" i="43"/>
  <c r="I41" i="43"/>
  <c r="H41" i="43"/>
  <c r="L40" i="43"/>
  <c r="K40" i="43"/>
  <c r="H40" i="43"/>
  <c r="M39" i="43"/>
  <c r="L39" i="43"/>
  <c r="K39" i="43"/>
  <c r="H39" i="43"/>
  <c r="V38" i="43"/>
  <c r="R38" i="43"/>
  <c r="L38" i="43"/>
  <c r="K38" i="43"/>
  <c r="M38" i="43" s="1"/>
  <c r="H38" i="43"/>
  <c r="R37" i="43"/>
  <c r="M37" i="43"/>
  <c r="K37" i="43"/>
  <c r="H37" i="43"/>
  <c r="L37" i="43" s="1"/>
  <c r="R36" i="43"/>
  <c r="L36" i="43"/>
  <c r="K36" i="43"/>
  <c r="H36" i="43"/>
  <c r="V35" i="43"/>
  <c r="R35" i="43"/>
  <c r="M35" i="43"/>
  <c r="K35" i="43"/>
  <c r="H35" i="43"/>
  <c r="L35" i="43" s="1"/>
  <c r="U35" i="43" s="1"/>
  <c r="T34" i="43"/>
  <c r="S34" i="43" s="1"/>
  <c r="R34" i="43"/>
  <c r="L34" i="43"/>
  <c r="K34" i="43"/>
  <c r="M34" i="43" s="1"/>
  <c r="I34" i="43"/>
  <c r="H34" i="43"/>
  <c r="R33" i="43"/>
  <c r="L33" i="43"/>
  <c r="K33" i="43"/>
  <c r="I33" i="43"/>
  <c r="H33" i="43"/>
  <c r="L32" i="43"/>
  <c r="K32" i="43"/>
  <c r="H32" i="43"/>
  <c r="L31" i="43"/>
  <c r="K31" i="43"/>
  <c r="H31" i="43"/>
  <c r="R30" i="43"/>
  <c r="L30" i="43"/>
  <c r="K30" i="43"/>
  <c r="M30" i="43" s="1"/>
  <c r="H30" i="43"/>
  <c r="R29" i="43"/>
  <c r="K29" i="43"/>
  <c r="H29" i="43"/>
  <c r="L29" i="43" s="1"/>
  <c r="R28" i="43"/>
  <c r="L28" i="43"/>
  <c r="K28" i="43"/>
  <c r="H28" i="43"/>
  <c r="V27" i="43"/>
  <c r="R27" i="43"/>
  <c r="M27" i="43"/>
  <c r="K27" i="43"/>
  <c r="H27" i="43"/>
  <c r="L27" i="43" s="1"/>
  <c r="U27" i="43" s="1"/>
  <c r="R26" i="43"/>
  <c r="L26" i="43"/>
  <c r="K26" i="43"/>
  <c r="M26" i="43" s="1"/>
  <c r="I26" i="43"/>
  <c r="T26" i="43" s="1"/>
  <c r="S26" i="43" s="1"/>
  <c r="H26" i="43"/>
  <c r="R25" i="43"/>
  <c r="L25" i="43"/>
  <c r="U25" i="43" s="1"/>
  <c r="K25" i="43"/>
  <c r="I25" i="43"/>
  <c r="H25" i="43"/>
  <c r="L24" i="43"/>
  <c r="K24" i="43"/>
  <c r="H24" i="43"/>
  <c r="M23" i="43"/>
  <c r="L23" i="43"/>
  <c r="K23" i="43"/>
  <c r="H23" i="43"/>
  <c r="V22" i="43"/>
  <c r="R22" i="43"/>
  <c r="L22" i="43"/>
  <c r="K22" i="43"/>
  <c r="M22" i="43" s="1"/>
  <c r="H22" i="43"/>
  <c r="R21" i="43"/>
  <c r="M21" i="43"/>
  <c r="K21" i="43"/>
  <c r="H21" i="43"/>
  <c r="L21" i="43" s="1"/>
  <c r="R20" i="43"/>
  <c r="L20" i="43"/>
  <c r="K20" i="43"/>
  <c r="H20" i="43"/>
  <c r="R19" i="43"/>
  <c r="K19" i="43"/>
  <c r="H19" i="43"/>
  <c r="R18" i="43"/>
  <c r="R48" i="43" s="1"/>
  <c r="I18" i="43"/>
  <c r="H18" i="43"/>
  <c r="I44" i="43" s="1"/>
  <c r="E16" i="43"/>
  <c r="P11" i="43"/>
  <c r="P1" i="43"/>
  <c r="P8" i="43" s="1"/>
  <c r="Q50" i="42"/>
  <c r="H50" i="42"/>
  <c r="G50" i="42"/>
  <c r="F50" i="42"/>
  <c r="L49" i="42"/>
  <c r="M49" i="42" s="1"/>
  <c r="K49" i="42"/>
  <c r="H49" i="42"/>
  <c r="L48" i="42"/>
  <c r="K48" i="42"/>
  <c r="H48" i="42"/>
  <c r="L47" i="42"/>
  <c r="K47" i="42"/>
  <c r="H47" i="42"/>
  <c r="L46" i="42"/>
  <c r="K46" i="42"/>
  <c r="I46" i="42"/>
  <c r="H46" i="42"/>
  <c r="T45" i="42"/>
  <c r="S45" i="42" s="1"/>
  <c r="K45" i="42"/>
  <c r="I45" i="42"/>
  <c r="H45" i="42"/>
  <c r="L45" i="42" s="1"/>
  <c r="M45" i="42" s="1"/>
  <c r="S44" i="42"/>
  <c r="L44" i="42"/>
  <c r="K44" i="42"/>
  <c r="M44" i="42" s="1"/>
  <c r="I44" i="42"/>
  <c r="T44" i="42" s="1"/>
  <c r="H44" i="42"/>
  <c r="L43" i="42"/>
  <c r="K43" i="42"/>
  <c r="H43" i="42"/>
  <c r="L42" i="42"/>
  <c r="K42" i="42"/>
  <c r="I42" i="42"/>
  <c r="H42" i="42"/>
  <c r="L41" i="42"/>
  <c r="M41" i="42" s="1"/>
  <c r="K41" i="42"/>
  <c r="H41" i="42"/>
  <c r="L40" i="42"/>
  <c r="K40" i="42"/>
  <c r="H40" i="42"/>
  <c r="L39" i="42"/>
  <c r="K39" i="42"/>
  <c r="H39" i="42"/>
  <c r="L38" i="42"/>
  <c r="K38" i="42"/>
  <c r="I38" i="42"/>
  <c r="H38" i="42"/>
  <c r="K37" i="42"/>
  <c r="I37" i="42"/>
  <c r="H37" i="42"/>
  <c r="L37" i="42" s="1"/>
  <c r="M37" i="42" s="1"/>
  <c r="T37" i="42" s="1"/>
  <c r="S37" i="42" s="1"/>
  <c r="L36" i="42"/>
  <c r="K36" i="42"/>
  <c r="M36" i="42" s="1"/>
  <c r="I36" i="42"/>
  <c r="T36" i="42" s="1"/>
  <c r="S36" i="42" s="1"/>
  <c r="H36" i="42"/>
  <c r="L35" i="42"/>
  <c r="K35" i="42"/>
  <c r="H35" i="42"/>
  <c r="L34" i="42"/>
  <c r="K34" i="42"/>
  <c r="M34" i="42" s="1"/>
  <c r="I34" i="42"/>
  <c r="H34" i="42"/>
  <c r="L33" i="42"/>
  <c r="M33" i="42" s="1"/>
  <c r="K33" i="42"/>
  <c r="H33" i="42"/>
  <c r="L32" i="42"/>
  <c r="K32" i="42"/>
  <c r="H32" i="42"/>
  <c r="L31" i="42"/>
  <c r="K31" i="42"/>
  <c r="H31" i="42"/>
  <c r="L30" i="42"/>
  <c r="K30" i="42"/>
  <c r="I30" i="42"/>
  <c r="H30" i="42"/>
  <c r="T29" i="42"/>
  <c r="S29" i="42" s="1"/>
  <c r="K29" i="42"/>
  <c r="I29" i="42"/>
  <c r="H29" i="42"/>
  <c r="L29" i="42" s="1"/>
  <c r="M29" i="42" s="1"/>
  <c r="S28" i="42"/>
  <c r="L28" i="42"/>
  <c r="K28" i="42"/>
  <c r="M28" i="42" s="1"/>
  <c r="I28" i="42"/>
  <c r="T28" i="42" s="1"/>
  <c r="H28" i="42"/>
  <c r="L27" i="42"/>
  <c r="K27" i="42"/>
  <c r="H27" i="42"/>
  <c r="L26" i="42"/>
  <c r="K26" i="42"/>
  <c r="M26" i="42" s="1"/>
  <c r="I26" i="42"/>
  <c r="H26" i="42"/>
  <c r="L25" i="42"/>
  <c r="M25" i="42" s="1"/>
  <c r="K25" i="42"/>
  <c r="H25" i="42"/>
  <c r="L24" i="42"/>
  <c r="K24" i="42"/>
  <c r="H24" i="42"/>
  <c r="L23" i="42"/>
  <c r="K23" i="42"/>
  <c r="H23" i="42"/>
  <c r="L22" i="42"/>
  <c r="K22" i="42"/>
  <c r="I22" i="42"/>
  <c r="H22" i="42"/>
  <c r="T21" i="42"/>
  <c r="S21" i="42" s="1"/>
  <c r="K21" i="42"/>
  <c r="I21" i="42"/>
  <c r="H21" i="42"/>
  <c r="L21" i="42" s="1"/>
  <c r="M21" i="42" s="1"/>
  <c r="S20" i="42"/>
  <c r="L20" i="42"/>
  <c r="K20" i="42"/>
  <c r="M20" i="42" s="1"/>
  <c r="I20" i="42"/>
  <c r="T20" i="42" s="1"/>
  <c r="H20" i="42"/>
  <c r="L19" i="42"/>
  <c r="K19" i="42"/>
  <c r="H19" i="42"/>
  <c r="R18" i="42"/>
  <c r="I18" i="42"/>
  <c r="H18" i="42"/>
  <c r="E16" i="42"/>
  <c r="P11" i="42"/>
  <c r="P8" i="42"/>
  <c r="P1" i="42"/>
  <c r="Q50" i="41"/>
  <c r="H50" i="41"/>
  <c r="G50" i="41"/>
  <c r="F50" i="41"/>
  <c r="R49" i="41"/>
  <c r="K49" i="41"/>
  <c r="I49" i="41"/>
  <c r="H49" i="41"/>
  <c r="L49" i="41" s="1"/>
  <c r="L48" i="41"/>
  <c r="K48" i="41"/>
  <c r="I48" i="41"/>
  <c r="H48" i="41"/>
  <c r="K47" i="41"/>
  <c r="H47" i="41"/>
  <c r="L46" i="41"/>
  <c r="K46" i="41"/>
  <c r="M46" i="41" s="1"/>
  <c r="T46" i="41" s="1"/>
  <c r="S46" i="41" s="1"/>
  <c r="I46" i="41"/>
  <c r="H46" i="41"/>
  <c r="L45" i="41"/>
  <c r="K45" i="41"/>
  <c r="I45" i="41"/>
  <c r="H45" i="41"/>
  <c r="L44" i="41"/>
  <c r="K44" i="41"/>
  <c r="I44" i="41"/>
  <c r="H44" i="41"/>
  <c r="M43" i="41"/>
  <c r="K43" i="41"/>
  <c r="H43" i="41"/>
  <c r="L43" i="41" s="1"/>
  <c r="L42" i="41"/>
  <c r="K42" i="41"/>
  <c r="H42" i="41"/>
  <c r="K41" i="41"/>
  <c r="I41" i="41"/>
  <c r="H41" i="41"/>
  <c r="L41" i="41" s="1"/>
  <c r="L40" i="41"/>
  <c r="K40" i="41"/>
  <c r="I40" i="41"/>
  <c r="H40" i="41"/>
  <c r="K39" i="41"/>
  <c r="H39" i="41"/>
  <c r="L38" i="41"/>
  <c r="K38" i="41"/>
  <c r="M38" i="41" s="1"/>
  <c r="T38" i="41" s="1"/>
  <c r="S38" i="41" s="1"/>
  <c r="I38" i="41"/>
  <c r="H38" i="41"/>
  <c r="L37" i="41"/>
  <c r="K37" i="41"/>
  <c r="I37" i="41"/>
  <c r="H37" i="41"/>
  <c r="L36" i="41"/>
  <c r="K36" i="41"/>
  <c r="I36" i="41"/>
  <c r="H36" i="41"/>
  <c r="M35" i="41"/>
  <c r="K35" i="41"/>
  <c r="H35" i="41"/>
  <c r="L35" i="41" s="1"/>
  <c r="L34" i="41"/>
  <c r="K34" i="41"/>
  <c r="H34" i="41"/>
  <c r="R33" i="41"/>
  <c r="K33" i="41"/>
  <c r="I33" i="41"/>
  <c r="H33" i="41"/>
  <c r="L33" i="41" s="1"/>
  <c r="L32" i="41"/>
  <c r="K32" i="41"/>
  <c r="I32" i="41"/>
  <c r="H32" i="41"/>
  <c r="K31" i="41"/>
  <c r="H31" i="41"/>
  <c r="L30" i="41"/>
  <c r="K30" i="41"/>
  <c r="M30" i="41" s="1"/>
  <c r="T30" i="41" s="1"/>
  <c r="S30" i="41" s="1"/>
  <c r="I30" i="41"/>
  <c r="H30" i="41"/>
  <c r="L29" i="41"/>
  <c r="K29" i="41"/>
  <c r="I29" i="41"/>
  <c r="H29" i="41"/>
  <c r="L28" i="41"/>
  <c r="K28" i="41"/>
  <c r="I28" i="41"/>
  <c r="H28" i="41"/>
  <c r="M27" i="41"/>
  <c r="K27" i="41"/>
  <c r="H27" i="41"/>
  <c r="L27" i="41" s="1"/>
  <c r="L26" i="41"/>
  <c r="K26" i="41"/>
  <c r="H26" i="41"/>
  <c r="R25" i="41"/>
  <c r="K25" i="41"/>
  <c r="I25" i="41"/>
  <c r="H25" i="41"/>
  <c r="L25" i="41" s="1"/>
  <c r="L24" i="41"/>
  <c r="K24" i="41"/>
  <c r="I24" i="41"/>
  <c r="H24" i="41"/>
  <c r="K23" i="41"/>
  <c r="H23" i="41"/>
  <c r="L22" i="41"/>
  <c r="K22" i="41"/>
  <c r="M22" i="41" s="1"/>
  <c r="T22" i="41" s="1"/>
  <c r="S22" i="41" s="1"/>
  <c r="I22" i="41"/>
  <c r="H22" i="41"/>
  <c r="L21" i="41"/>
  <c r="K21" i="41"/>
  <c r="I21" i="41"/>
  <c r="H21" i="41"/>
  <c r="L20" i="41"/>
  <c r="K20" i="41"/>
  <c r="I20" i="41"/>
  <c r="H20" i="41"/>
  <c r="M19" i="41"/>
  <c r="K19" i="41"/>
  <c r="H19" i="41"/>
  <c r="L19" i="41" s="1"/>
  <c r="R18" i="41"/>
  <c r="I18" i="41"/>
  <c r="H18" i="41"/>
  <c r="E16" i="41"/>
  <c r="P11" i="41"/>
  <c r="P1" i="41"/>
  <c r="P8" i="41" s="1"/>
  <c r="Q50" i="40"/>
  <c r="G50" i="40"/>
  <c r="F50" i="40"/>
  <c r="R49" i="40"/>
  <c r="K49" i="40"/>
  <c r="H49" i="40"/>
  <c r="L49" i="40" s="1"/>
  <c r="L48" i="40"/>
  <c r="K48" i="40"/>
  <c r="M48" i="40" s="1"/>
  <c r="H48" i="40"/>
  <c r="U47" i="40"/>
  <c r="R47" i="40"/>
  <c r="L47" i="40"/>
  <c r="K47" i="40"/>
  <c r="I47" i="40"/>
  <c r="H47" i="40"/>
  <c r="L46" i="40"/>
  <c r="K46" i="40"/>
  <c r="I46" i="40"/>
  <c r="H46" i="40"/>
  <c r="M45" i="40"/>
  <c r="K45" i="40"/>
  <c r="H45" i="40"/>
  <c r="L45" i="40" s="1"/>
  <c r="L44" i="40"/>
  <c r="K44" i="40"/>
  <c r="H44" i="40"/>
  <c r="R43" i="40"/>
  <c r="K43" i="40"/>
  <c r="H43" i="40"/>
  <c r="L43" i="40" s="1"/>
  <c r="R42" i="40"/>
  <c r="L42" i="40"/>
  <c r="K42" i="40"/>
  <c r="I42" i="40"/>
  <c r="H42" i="40"/>
  <c r="R41" i="40"/>
  <c r="K41" i="40"/>
  <c r="H41" i="40"/>
  <c r="L41" i="40" s="1"/>
  <c r="L40" i="40"/>
  <c r="K40" i="40"/>
  <c r="M40" i="40" s="1"/>
  <c r="H40" i="40"/>
  <c r="U39" i="40"/>
  <c r="R39" i="40"/>
  <c r="L39" i="40"/>
  <c r="K39" i="40"/>
  <c r="I39" i="40"/>
  <c r="H39" i="40"/>
  <c r="L38" i="40"/>
  <c r="K38" i="40"/>
  <c r="I38" i="40"/>
  <c r="H38" i="40"/>
  <c r="M37" i="40"/>
  <c r="K37" i="40"/>
  <c r="H37" i="40"/>
  <c r="L37" i="40" s="1"/>
  <c r="L36" i="40"/>
  <c r="K36" i="40"/>
  <c r="H36" i="40"/>
  <c r="R35" i="40"/>
  <c r="K35" i="40"/>
  <c r="H35" i="40"/>
  <c r="L35" i="40" s="1"/>
  <c r="R34" i="40"/>
  <c r="L34" i="40"/>
  <c r="K34" i="40"/>
  <c r="I34" i="40"/>
  <c r="H34" i="40"/>
  <c r="R33" i="40"/>
  <c r="K33" i="40"/>
  <c r="H33" i="40"/>
  <c r="L33" i="40" s="1"/>
  <c r="L32" i="40"/>
  <c r="K32" i="40"/>
  <c r="M32" i="40" s="1"/>
  <c r="H32" i="40"/>
  <c r="U31" i="40"/>
  <c r="R31" i="40"/>
  <c r="L31" i="40"/>
  <c r="K31" i="40"/>
  <c r="I31" i="40"/>
  <c r="H31" i="40"/>
  <c r="L30" i="40"/>
  <c r="K30" i="40"/>
  <c r="I30" i="40"/>
  <c r="H30" i="40"/>
  <c r="M29" i="40"/>
  <c r="K29" i="40"/>
  <c r="H29" i="40"/>
  <c r="L29" i="40" s="1"/>
  <c r="L28" i="40"/>
  <c r="K28" i="40"/>
  <c r="H28" i="40"/>
  <c r="R27" i="40"/>
  <c r="U27" i="40" s="1"/>
  <c r="K27" i="40"/>
  <c r="H27" i="40"/>
  <c r="L27" i="40" s="1"/>
  <c r="R26" i="40"/>
  <c r="L26" i="40"/>
  <c r="K26" i="40"/>
  <c r="I26" i="40"/>
  <c r="H26" i="40"/>
  <c r="R25" i="40"/>
  <c r="K25" i="40"/>
  <c r="H25" i="40"/>
  <c r="L25" i="40" s="1"/>
  <c r="L24" i="40"/>
  <c r="K24" i="40"/>
  <c r="M24" i="40" s="1"/>
  <c r="H24" i="40"/>
  <c r="U23" i="40"/>
  <c r="R23" i="40"/>
  <c r="L23" i="40"/>
  <c r="K23" i="40"/>
  <c r="I23" i="40"/>
  <c r="H23" i="40"/>
  <c r="L22" i="40"/>
  <c r="K22" i="40"/>
  <c r="I22" i="40"/>
  <c r="H22" i="40"/>
  <c r="M21" i="40"/>
  <c r="K21" i="40"/>
  <c r="H21" i="40"/>
  <c r="L21" i="40" s="1"/>
  <c r="L20" i="40"/>
  <c r="K20" i="40"/>
  <c r="H20" i="40"/>
  <c r="R19" i="40"/>
  <c r="K19" i="40"/>
  <c r="H19" i="40"/>
  <c r="L19" i="40" s="1"/>
  <c r="R18" i="40"/>
  <c r="I18" i="40"/>
  <c r="H18" i="40"/>
  <c r="E16" i="40"/>
  <c r="P11" i="40"/>
  <c r="P1" i="40"/>
  <c r="P8" i="40" s="1"/>
  <c r="Q50" i="39"/>
  <c r="G50" i="39"/>
  <c r="F50" i="39"/>
  <c r="U49" i="39"/>
  <c r="R49" i="39"/>
  <c r="L49" i="39"/>
  <c r="K49" i="39"/>
  <c r="I49" i="39"/>
  <c r="H49" i="39"/>
  <c r="L48" i="39"/>
  <c r="K48" i="39"/>
  <c r="I48" i="39"/>
  <c r="H48" i="39"/>
  <c r="M47" i="39"/>
  <c r="K47" i="39"/>
  <c r="H47" i="39"/>
  <c r="L47" i="39" s="1"/>
  <c r="V46" i="39"/>
  <c r="R46" i="39"/>
  <c r="L46" i="39"/>
  <c r="K46" i="39"/>
  <c r="M46" i="39" s="1"/>
  <c r="H46" i="39"/>
  <c r="R45" i="39"/>
  <c r="K45" i="39"/>
  <c r="I45" i="39"/>
  <c r="H45" i="39"/>
  <c r="L45" i="39" s="1"/>
  <c r="R44" i="39"/>
  <c r="L44" i="39"/>
  <c r="V44" i="39" s="1"/>
  <c r="K44" i="39"/>
  <c r="I44" i="39"/>
  <c r="H44" i="39"/>
  <c r="R43" i="39"/>
  <c r="M43" i="39"/>
  <c r="K43" i="39"/>
  <c r="H43" i="39"/>
  <c r="L43" i="39" s="1"/>
  <c r="T42" i="39"/>
  <c r="S42" i="39" s="1"/>
  <c r="R42" i="39"/>
  <c r="L42" i="39"/>
  <c r="K42" i="39"/>
  <c r="M42" i="39" s="1"/>
  <c r="I42" i="39"/>
  <c r="H42" i="39"/>
  <c r="U41" i="39"/>
  <c r="R41" i="39"/>
  <c r="L41" i="39"/>
  <c r="K41" i="39"/>
  <c r="I41" i="39"/>
  <c r="H41" i="39"/>
  <c r="L40" i="39"/>
  <c r="K40" i="39"/>
  <c r="I40" i="39"/>
  <c r="H40" i="39"/>
  <c r="M39" i="39"/>
  <c r="K39" i="39"/>
  <c r="H39" i="39"/>
  <c r="L39" i="39" s="1"/>
  <c r="R38" i="39"/>
  <c r="L38" i="39"/>
  <c r="K38" i="39"/>
  <c r="H38" i="39"/>
  <c r="R37" i="39"/>
  <c r="K37" i="39"/>
  <c r="I37" i="39"/>
  <c r="H37" i="39"/>
  <c r="L37" i="39" s="1"/>
  <c r="R36" i="39"/>
  <c r="L36" i="39"/>
  <c r="V36" i="39" s="1"/>
  <c r="K36" i="39"/>
  <c r="I36" i="39"/>
  <c r="H36" i="39"/>
  <c r="R35" i="39"/>
  <c r="M35" i="39"/>
  <c r="K35" i="39"/>
  <c r="H35" i="39"/>
  <c r="L35" i="39" s="1"/>
  <c r="T34" i="39"/>
  <c r="S34" i="39" s="1"/>
  <c r="R34" i="39"/>
  <c r="L34" i="39"/>
  <c r="K34" i="39"/>
  <c r="M34" i="39" s="1"/>
  <c r="I34" i="39"/>
  <c r="H34" i="39"/>
  <c r="U33" i="39"/>
  <c r="R33" i="39"/>
  <c r="L33" i="39"/>
  <c r="K33" i="39"/>
  <c r="I33" i="39"/>
  <c r="H33" i="39"/>
  <c r="L32" i="39"/>
  <c r="K32" i="39"/>
  <c r="I32" i="39"/>
  <c r="H32" i="39"/>
  <c r="K31" i="39"/>
  <c r="H31" i="39"/>
  <c r="L31" i="39" s="1"/>
  <c r="R30" i="39"/>
  <c r="L30" i="39"/>
  <c r="K30" i="39"/>
  <c r="H30" i="39"/>
  <c r="R29" i="39"/>
  <c r="K29" i="39"/>
  <c r="I29" i="39"/>
  <c r="H29" i="39"/>
  <c r="L29" i="39" s="1"/>
  <c r="R28" i="39"/>
  <c r="L28" i="39"/>
  <c r="K28" i="39"/>
  <c r="I28" i="39"/>
  <c r="H28" i="39"/>
  <c r="R27" i="39"/>
  <c r="K27" i="39"/>
  <c r="H27" i="39"/>
  <c r="L27" i="39" s="1"/>
  <c r="R26" i="39"/>
  <c r="L26" i="39"/>
  <c r="K26" i="39"/>
  <c r="M26" i="39" s="1"/>
  <c r="T26" i="39" s="1"/>
  <c r="S26" i="39" s="1"/>
  <c r="I26" i="39"/>
  <c r="H26" i="39"/>
  <c r="U25" i="39"/>
  <c r="R25" i="39"/>
  <c r="L25" i="39"/>
  <c r="K25" i="39"/>
  <c r="I25" i="39"/>
  <c r="H25" i="39"/>
  <c r="L24" i="39"/>
  <c r="K24" i="39"/>
  <c r="I24" i="39"/>
  <c r="H24" i="39"/>
  <c r="K23" i="39"/>
  <c r="H23" i="39"/>
  <c r="L23" i="39" s="1"/>
  <c r="V22" i="39"/>
  <c r="R22" i="39"/>
  <c r="L22" i="39"/>
  <c r="K22" i="39"/>
  <c r="M22" i="39" s="1"/>
  <c r="H22" i="39"/>
  <c r="R21" i="39"/>
  <c r="K21" i="39"/>
  <c r="I21" i="39"/>
  <c r="H21" i="39"/>
  <c r="L21" i="39" s="1"/>
  <c r="R20" i="39"/>
  <c r="L20" i="39"/>
  <c r="V20" i="39" s="1"/>
  <c r="K20" i="39"/>
  <c r="I20" i="39"/>
  <c r="H20" i="39"/>
  <c r="R19" i="39"/>
  <c r="K19" i="39"/>
  <c r="H19" i="39"/>
  <c r="L19" i="39" s="1"/>
  <c r="R18" i="39"/>
  <c r="R48" i="39" s="1"/>
  <c r="I18" i="39"/>
  <c r="H18" i="39"/>
  <c r="E16" i="39"/>
  <c r="P11" i="39"/>
  <c r="P1" i="39"/>
  <c r="P8" i="39" s="1"/>
  <c r="Q50" i="38"/>
  <c r="G50" i="38"/>
  <c r="F50" i="38"/>
  <c r="M49" i="38"/>
  <c r="L49" i="38"/>
  <c r="K49" i="38"/>
  <c r="H49" i="38"/>
  <c r="L48" i="38"/>
  <c r="K48" i="38"/>
  <c r="M48" i="38" s="1"/>
  <c r="H48" i="38"/>
  <c r="R47" i="38"/>
  <c r="K47" i="38"/>
  <c r="H47" i="38"/>
  <c r="L47" i="38" s="1"/>
  <c r="R46" i="38"/>
  <c r="L46" i="38"/>
  <c r="K46" i="38"/>
  <c r="H46" i="38"/>
  <c r="M45" i="38"/>
  <c r="K45" i="38"/>
  <c r="H45" i="38"/>
  <c r="L45" i="38" s="1"/>
  <c r="L44" i="38"/>
  <c r="K44" i="38"/>
  <c r="M44" i="38" s="1"/>
  <c r="H44" i="38"/>
  <c r="R43" i="38"/>
  <c r="L43" i="38"/>
  <c r="K43" i="38"/>
  <c r="I43" i="38"/>
  <c r="H43" i="38"/>
  <c r="L42" i="38"/>
  <c r="K42" i="38"/>
  <c r="H42" i="38"/>
  <c r="L41" i="38"/>
  <c r="K41" i="38"/>
  <c r="H41" i="38"/>
  <c r="L40" i="38"/>
  <c r="K40" i="38"/>
  <c r="M40" i="38" s="1"/>
  <c r="H40" i="38"/>
  <c r="R39" i="38"/>
  <c r="M39" i="38"/>
  <c r="K39" i="38"/>
  <c r="H39" i="38"/>
  <c r="L39" i="38" s="1"/>
  <c r="R38" i="38"/>
  <c r="L38" i="38"/>
  <c r="K38" i="38"/>
  <c r="H38" i="38"/>
  <c r="M37" i="38"/>
  <c r="K37" i="38"/>
  <c r="H37" i="38"/>
  <c r="L37" i="38" s="1"/>
  <c r="T36" i="38"/>
  <c r="S36" i="38" s="1"/>
  <c r="L36" i="38"/>
  <c r="K36" i="38"/>
  <c r="M36" i="38" s="1"/>
  <c r="I36" i="38"/>
  <c r="H36" i="38"/>
  <c r="R35" i="38"/>
  <c r="L35" i="38"/>
  <c r="K35" i="38"/>
  <c r="H35" i="38"/>
  <c r="L34" i="38"/>
  <c r="K34" i="38"/>
  <c r="H34" i="38"/>
  <c r="L33" i="38"/>
  <c r="K33" i="38"/>
  <c r="H33" i="38"/>
  <c r="L32" i="38"/>
  <c r="K32" i="38"/>
  <c r="M32" i="38" s="1"/>
  <c r="H32" i="38"/>
  <c r="R31" i="38"/>
  <c r="M31" i="38"/>
  <c r="K31" i="38"/>
  <c r="H31" i="38"/>
  <c r="L31" i="38" s="1"/>
  <c r="R30" i="38"/>
  <c r="L30" i="38"/>
  <c r="K30" i="38"/>
  <c r="H30" i="38"/>
  <c r="M29" i="38"/>
  <c r="K29" i="38"/>
  <c r="H29" i="38"/>
  <c r="L29" i="38" s="1"/>
  <c r="L28" i="38"/>
  <c r="K28" i="38"/>
  <c r="M28" i="38" s="1"/>
  <c r="I28" i="38"/>
  <c r="T28" i="38" s="1"/>
  <c r="S28" i="38" s="1"/>
  <c r="H28" i="38"/>
  <c r="R27" i="38"/>
  <c r="L27" i="38"/>
  <c r="U27" i="38" s="1"/>
  <c r="K27" i="38"/>
  <c r="H27" i="38"/>
  <c r="L26" i="38"/>
  <c r="K26" i="38"/>
  <c r="H26" i="38"/>
  <c r="M25" i="38"/>
  <c r="L25" i="38"/>
  <c r="K25" i="38"/>
  <c r="H25" i="38"/>
  <c r="L24" i="38"/>
  <c r="K24" i="38"/>
  <c r="M24" i="38" s="1"/>
  <c r="H24" i="38"/>
  <c r="R23" i="38"/>
  <c r="K23" i="38"/>
  <c r="I23" i="38"/>
  <c r="H23" i="38"/>
  <c r="R22" i="38"/>
  <c r="L22" i="38"/>
  <c r="K22" i="38"/>
  <c r="H22" i="38"/>
  <c r="M21" i="38"/>
  <c r="K21" i="38"/>
  <c r="H21" i="38"/>
  <c r="L21" i="38" s="1"/>
  <c r="L20" i="38"/>
  <c r="K20" i="38"/>
  <c r="M20" i="38" s="1"/>
  <c r="H20" i="38"/>
  <c r="R19" i="38"/>
  <c r="L19" i="38"/>
  <c r="U19" i="38" s="1"/>
  <c r="K19" i="38"/>
  <c r="H19" i="38"/>
  <c r="R18" i="38"/>
  <c r="R45" i="38" s="1"/>
  <c r="V45" i="38" s="1"/>
  <c r="I18" i="38"/>
  <c r="H18" i="38"/>
  <c r="E16" i="38"/>
  <c r="P11" i="38"/>
  <c r="P8" i="38"/>
  <c r="P1" i="38"/>
  <c r="Q50" i="37"/>
  <c r="G50" i="37"/>
  <c r="F50" i="37"/>
  <c r="L49" i="37"/>
  <c r="M49" i="37" s="1"/>
  <c r="K49" i="37"/>
  <c r="I49" i="37"/>
  <c r="H49" i="37"/>
  <c r="L48" i="37"/>
  <c r="K48" i="37"/>
  <c r="I48" i="37"/>
  <c r="H48" i="37"/>
  <c r="R47" i="37"/>
  <c r="K47" i="37"/>
  <c r="H47" i="37"/>
  <c r="L47" i="37" s="1"/>
  <c r="R46" i="37"/>
  <c r="L46" i="37"/>
  <c r="K46" i="37"/>
  <c r="M46" i="37" s="1"/>
  <c r="T46" i="37" s="1"/>
  <c r="S46" i="37" s="1"/>
  <c r="I46" i="37"/>
  <c r="H46" i="37"/>
  <c r="L45" i="37"/>
  <c r="K45" i="37"/>
  <c r="I45" i="37"/>
  <c r="H45" i="37"/>
  <c r="T44" i="37"/>
  <c r="S44" i="37" s="1"/>
  <c r="L44" i="37"/>
  <c r="K44" i="37"/>
  <c r="M44" i="37" s="1"/>
  <c r="I44" i="37"/>
  <c r="H44" i="37"/>
  <c r="K43" i="37"/>
  <c r="H43" i="37"/>
  <c r="L43" i="37" s="1"/>
  <c r="R42" i="37"/>
  <c r="L42" i="37"/>
  <c r="K42" i="37"/>
  <c r="H42" i="37"/>
  <c r="L41" i="37"/>
  <c r="K41" i="37"/>
  <c r="I41" i="37"/>
  <c r="H41" i="37"/>
  <c r="L40" i="37"/>
  <c r="K40" i="37"/>
  <c r="I40" i="37"/>
  <c r="H40" i="37"/>
  <c r="R39" i="37"/>
  <c r="K39" i="37"/>
  <c r="I39" i="37"/>
  <c r="H39" i="37"/>
  <c r="L39" i="37" s="1"/>
  <c r="R38" i="37"/>
  <c r="L38" i="37"/>
  <c r="K38" i="37"/>
  <c r="M38" i="37" s="1"/>
  <c r="T38" i="37" s="1"/>
  <c r="S38" i="37" s="1"/>
  <c r="I38" i="37"/>
  <c r="H38" i="37"/>
  <c r="L37" i="37"/>
  <c r="K37" i="37"/>
  <c r="I37" i="37"/>
  <c r="H37" i="37"/>
  <c r="L36" i="37"/>
  <c r="K36" i="37"/>
  <c r="M36" i="37" s="1"/>
  <c r="I36" i="37"/>
  <c r="T36" i="37" s="1"/>
  <c r="S36" i="37" s="1"/>
  <c r="H36" i="37"/>
  <c r="K35" i="37"/>
  <c r="H35" i="37"/>
  <c r="L35" i="37" s="1"/>
  <c r="R34" i="37"/>
  <c r="L34" i="37"/>
  <c r="K34" i="37"/>
  <c r="H34" i="37"/>
  <c r="L33" i="37"/>
  <c r="K33" i="37"/>
  <c r="I33" i="37"/>
  <c r="H33" i="37"/>
  <c r="L32" i="37"/>
  <c r="K32" i="37"/>
  <c r="I32" i="37"/>
  <c r="H32" i="37"/>
  <c r="R31" i="37"/>
  <c r="K31" i="37"/>
  <c r="H31" i="37"/>
  <c r="L31" i="37" s="1"/>
  <c r="R30" i="37"/>
  <c r="L30" i="37"/>
  <c r="K30" i="37"/>
  <c r="M30" i="37" s="1"/>
  <c r="T30" i="37" s="1"/>
  <c r="S30" i="37" s="1"/>
  <c r="I30" i="37"/>
  <c r="H30" i="37"/>
  <c r="L29" i="37"/>
  <c r="K29" i="37"/>
  <c r="I29" i="37"/>
  <c r="H29" i="37"/>
  <c r="L28" i="37"/>
  <c r="K28" i="37"/>
  <c r="M28" i="37" s="1"/>
  <c r="T28" i="37" s="1"/>
  <c r="S28" i="37" s="1"/>
  <c r="I28" i="37"/>
  <c r="H28" i="37"/>
  <c r="K27" i="37"/>
  <c r="H27" i="37"/>
  <c r="L27" i="37" s="1"/>
  <c r="R26" i="37"/>
  <c r="L26" i="37"/>
  <c r="K26" i="37"/>
  <c r="H26" i="37"/>
  <c r="L25" i="37"/>
  <c r="M25" i="37" s="1"/>
  <c r="K25" i="37"/>
  <c r="I25" i="37"/>
  <c r="H25" i="37"/>
  <c r="L24" i="37"/>
  <c r="K24" i="37"/>
  <c r="I24" i="37"/>
  <c r="H24" i="37"/>
  <c r="R23" i="37"/>
  <c r="K23" i="37"/>
  <c r="H23" i="37"/>
  <c r="R22" i="37"/>
  <c r="L22" i="37"/>
  <c r="K22" i="37"/>
  <c r="M22" i="37" s="1"/>
  <c r="T22" i="37" s="1"/>
  <c r="S22" i="37" s="1"/>
  <c r="I22" i="37"/>
  <c r="H22" i="37"/>
  <c r="L21" i="37"/>
  <c r="K21" i="37"/>
  <c r="I21" i="37"/>
  <c r="H21" i="37"/>
  <c r="T20" i="37"/>
  <c r="S20" i="37" s="1"/>
  <c r="L20" i="37"/>
  <c r="K20" i="37"/>
  <c r="M20" i="37" s="1"/>
  <c r="I20" i="37"/>
  <c r="H20" i="37"/>
  <c r="K19" i="37"/>
  <c r="H19" i="37"/>
  <c r="R18" i="37"/>
  <c r="R45" i="37" s="1"/>
  <c r="I18" i="37"/>
  <c r="H18" i="37"/>
  <c r="E16" i="37"/>
  <c r="P11" i="37"/>
  <c r="P1" i="37"/>
  <c r="P8" i="37" s="1"/>
  <c r="Q50" i="36"/>
  <c r="L50" i="36"/>
  <c r="G50" i="36"/>
  <c r="F50" i="36"/>
  <c r="T49" i="36"/>
  <c r="S49" i="36" s="1"/>
  <c r="R49" i="36"/>
  <c r="V49" i="36" s="1"/>
  <c r="M49" i="36"/>
  <c r="L49" i="36"/>
  <c r="K49" i="36"/>
  <c r="I49" i="36"/>
  <c r="R48" i="36"/>
  <c r="L48" i="36"/>
  <c r="K48" i="36"/>
  <c r="M48" i="36" s="1"/>
  <c r="I48" i="36"/>
  <c r="T48" i="36" s="1"/>
  <c r="S48" i="36" s="1"/>
  <c r="V47" i="36"/>
  <c r="R47" i="36"/>
  <c r="M47" i="36"/>
  <c r="L47" i="36"/>
  <c r="U47" i="36" s="1"/>
  <c r="K47" i="36"/>
  <c r="H47" i="36"/>
  <c r="R46" i="36"/>
  <c r="L46" i="36"/>
  <c r="K46" i="36"/>
  <c r="M46" i="36" s="1"/>
  <c r="T46" i="36" s="1"/>
  <c r="S46" i="36" s="1"/>
  <c r="I46" i="36"/>
  <c r="R45" i="36"/>
  <c r="V45" i="36" s="1"/>
  <c r="M45" i="36"/>
  <c r="L45" i="36"/>
  <c r="K45" i="36"/>
  <c r="I45" i="36"/>
  <c r="T45" i="36" s="1"/>
  <c r="S45" i="36" s="1"/>
  <c r="R44" i="36"/>
  <c r="L44" i="36"/>
  <c r="K44" i="36"/>
  <c r="M44" i="36" s="1"/>
  <c r="I44" i="36"/>
  <c r="T44" i="36" s="1"/>
  <c r="S44" i="36" s="1"/>
  <c r="V43" i="36"/>
  <c r="R43" i="36"/>
  <c r="M43" i="36"/>
  <c r="L43" i="36"/>
  <c r="U43" i="36" s="1"/>
  <c r="K43" i="36"/>
  <c r="T42" i="36"/>
  <c r="S42" i="36" s="1"/>
  <c r="R42" i="36"/>
  <c r="L42" i="36"/>
  <c r="K42" i="36"/>
  <c r="M42" i="36" s="1"/>
  <c r="I42" i="36"/>
  <c r="T41" i="36"/>
  <c r="S41" i="36" s="1"/>
  <c r="R41" i="36"/>
  <c r="V41" i="36" s="1"/>
  <c r="M41" i="36"/>
  <c r="L41" i="36"/>
  <c r="K41" i="36"/>
  <c r="I41" i="36"/>
  <c r="R40" i="36"/>
  <c r="L40" i="36"/>
  <c r="K40" i="36"/>
  <c r="M40" i="36" s="1"/>
  <c r="I40" i="36"/>
  <c r="T40" i="36" s="1"/>
  <c r="S40" i="36" s="1"/>
  <c r="V39" i="36"/>
  <c r="R39" i="36"/>
  <c r="M39" i="36"/>
  <c r="L39" i="36"/>
  <c r="U39" i="36" s="1"/>
  <c r="K39" i="36"/>
  <c r="H39" i="36"/>
  <c r="R38" i="36"/>
  <c r="L38" i="36"/>
  <c r="K38" i="36"/>
  <c r="M38" i="36" s="1"/>
  <c r="T38" i="36" s="1"/>
  <c r="S38" i="36" s="1"/>
  <c r="I38" i="36"/>
  <c r="R37" i="36"/>
  <c r="V37" i="36" s="1"/>
  <c r="M37" i="36"/>
  <c r="L37" i="36"/>
  <c r="K37" i="36"/>
  <c r="I37" i="36"/>
  <c r="T37" i="36" s="1"/>
  <c r="S37" i="36" s="1"/>
  <c r="R36" i="36"/>
  <c r="L36" i="36"/>
  <c r="K36" i="36"/>
  <c r="M36" i="36" s="1"/>
  <c r="I36" i="36"/>
  <c r="T36" i="36" s="1"/>
  <c r="S36" i="36" s="1"/>
  <c r="V35" i="36"/>
  <c r="R35" i="36"/>
  <c r="M35" i="36"/>
  <c r="L35" i="36"/>
  <c r="U35" i="36" s="1"/>
  <c r="K35" i="36"/>
  <c r="T34" i="36"/>
  <c r="S34" i="36" s="1"/>
  <c r="R34" i="36"/>
  <c r="L34" i="36"/>
  <c r="K34" i="36"/>
  <c r="M34" i="36" s="1"/>
  <c r="I34" i="36"/>
  <c r="T33" i="36"/>
  <c r="S33" i="36" s="1"/>
  <c r="R33" i="36"/>
  <c r="V33" i="36" s="1"/>
  <c r="M33" i="36"/>
  <c r="L33" i="36"/>
  <c r="K33" i="36"/>
  <c r="I33" i="36"/>
  <c r="R32" i="36"/>
  <c r="L32" i="36"/>
  <c r="K32" i="36"/>
  <c r="M32" i="36" s="1"/>
  <c r="I32" i="36"/>
  <c r="T32" i="36" s="1"/>
  <c r="S32" i="36" s="1"/>
  <c r="V31" i="36"/>
  <c r="R31" i="36"/>
  <c r="M31" i="36"/>
  <c r="L31" i="36"/>
  <c r="U31" i="36" s="1"/>
  <c r="K31" i="36"/>
  <c r="H31" i="36"/>
  <c r="R30" i="36"/>
  <c r="L30" i="36"/>
  <c r="K30" i="36"/>
  <c r="M30" i="36" s="1"/>
  <c r="T30" i="36" s="1"/>
  <c r="S30" i="36" s="1"/>
  <c r="I30" i="36"/>
  <c r="R29" i="36"/>
  <c r="V29" i="36" s="1"/>
  <c r="M29" i="36"/>
  <c r="L29" i="36"/>
  <c r="K29" i="36"/>
  <c r="I29" i="36"/>
  <c r="T29" i="36" s="1"/>
  <c r="S29" i="36" s="1"/>
  <c r="R28" i="36"/>
  <c r="L28" i="36"/>
  <c r="K28" i="36"/>
  <c r="M28" i="36" s="1"/>
  <c r="I28" i="36"/>
  <c r="T28" i="36" s="1"/>
  <c r="S28" i="36" s="1"/>
  <c r="V27" i="36"/>
  <c r="R27" i="36"/>
  <c r="M27" i="36"/>
  <c r="L27" i="36"/>
  <c r="U27" i="36" s="1"/>
  <c r="K27" i="36"/>
  <c r="T26" i="36"/>
  <c r="S26" i="36" s="1"/>
  <c r="R26" i="36"/>
  <c r="L26" i="36"/>
  <c r="K26" i="36"/>
  <c r="M26" i="36" s="1"/>
  <c r="I26" i="36"/>
  <c r="T25" i="36"/>
  <c r="S25" i="36" s="1"/>
  <c r="R25" i="36"/>
  <c r="V25" i="36" s="1"/>
  <c r="M25" i="36"/>
  <c r="L25" i="36"/>
  <c r="K25" i="36"/>
  <c r="I25" i="36"/>
  <c r="R24" i="36"/>
  <c r="L24" i="36"/>
  <c r="K24" i="36"/>
  <c r="M24" i="36" s="1"/>
  <c r="I24" i="36"/>
  <c r="T24" i="36" s="1"/>
  <c r="S24" i="36" s="1"/>
  <c r="V23" i="36"/>
  <c r="R23" i="36"/>
  <c r="M23" i="36"/>
  <c r="L23" i="36"/>
  <c r="U23" i="36" s="1"/>
  <c r="K23" i="36"/>
  <c r="H23" i="36"/>
  <c r="R22" i="36"/>
  <c r="L22" i="36"/>
  <c r="K22" i="36"/>
  <c r="M22" i="36" s="1"/>
  <c r="T22" i="36" s="1"/>
  <c r="S22" i="36" s="1"/>
  <c r="I22" i="36"/>
  <c r="R21" i="36"/>
  <c r="V21" i="36" s="1"/>
  <c r="M21" i="36"/>
  <c r="L21" i="36"/>
  <c r="K21" i="36"/>
  <c r="I21" i="36"/>
  <c r="T21" i="36" s="1"/>
  <c r="S21" i="36" s="1"/>
  <c r="R20" i="36"/>
  <c r="L20" i="36"/>
  <c r="K20" i="36"/>
  <c r="M20" i="36" s="1"/>
  <c r="I20" i="36"/>
  <c r="T20" i="36" s="1"/>
  <c r="S20" i="36" s="1"/>
  <c r="V19" i="36"/>
  <c r="R19" i="36"/>
  <c r="M19" i="36"/>
  <c r="M50" i="36" s="1"/>
  <c r="P3" i="36" s="1"/>
  <c r="L19" i="36"/>
  <c r="U19" i="36" s="1"/>
  <c r="K19" i="36"/>
  <c r="R18" i="36"/>
  <c r="I18" i="36"/>
  <c r="H18" i="36"/>
  <c r="I47" i="36" s="1"/>
  <c r="T47" i="36" s="1"/>
  <c r="S47" i="36" s="1"/>
  <c r="E16" i="36"/>
  <c r="P11" i="36"/>
  <c r="P1" i="36"/>
  <c r="P8" i="36" s="1"/>
  <c r="Q50" i="35"/>
  <c r="G50" i="35"/>
  <c r="F50" i="35"/>
  <c r="L49" i="35"/>
  <c r="K49" i="35"/>
  <c r="L48" i="35"/>
  <c r="K48" i="35"/>
  <c r="M48" i="35" s="1"/>
  <c r="L47" i="35"/>
  <c r="K47" i="35"/>
  <c r="L46" i="35"/>
  <c r="K46" i="35"/>
  <c r="M46" i="35" s="1"/>
  <c r="L45" i="35"/>
  <c r="K45" i="35"/>
  <c r="L44" i="35"/>
  <c r="K44" i="35"/>
  <c r="M44" i="35" s="1"/>
  <c r="L43" i="35"/>
  <c r="K43" i="35"/>
  <c r="L42" i="35"/>
  <c r="K42" i="35"/>
  <c r="M42" i="35" s="1"/>
  <c r="L41" i="35"/>
  <c r="K41" i="35"/>
  <c r="L40" i="35"/>
  <c r="K40" i="35"/>
  <c r="M40" i="35" s="1"/>
  <c r="L39" i="35"/>
  <c r="K39" i="35"/>
  <c r="L38" i="35"/>
  <c r="K38" i="35"/>
  <c r="M38" i="35" s="1"/>
  <c r="L37" i="35"/>
  <c r="K37" i="35"/>
  <c r="L36" i="35"/>
  <c r="K36" i="35"/>
  <c r="M36" i="35" s="1"/>
  <c r="L35" i="35"/>
  <c r="K35" i="35"/>
  <c r="L34" i="35"/>
  <c r="K34" i="35"/>
  <c r="M34" i="35" s="1"/>
  <c r="L33" i="35"/>
  <c r="K33" i="35"/>
  <c r="L32" i="35"/>
  <c r="K32" i="35"/>
  <c r="M32" i="35" s="1"/>
  <c r="L31" i="35"/>
  <c r="K31" i="35"/>
  <c r="L30" i="35"/>
  <c r="K30" i="35"/>
  <c r="M30" i="35" s="1"/>
  <c r="L29" i="35"/>
  <c r="K29" i="35"/>
  <c r="L28" i="35"/>
  <c r="K28" i="35"/>
  <c r="M28" i="35" s="1"/>
  <c r="L27" i="35"/>
  <c r="K27" i="35"/>
  <c r="L26" i="35"/>
  <c r="K26" i="35"/>
  <c r="M26" i="35" s="1"/>
  <c r="L25" i="35"/>
  <c r="K25" i="35"/>
  <c r="L24" i="35"/>
  <c r="K24" i="35"/>
  <c r="M24" i="35" s="1"/>
  <c r="L23" i="35"/>
  <c r="K23" i="35"/>
  <c r="L22" i="35"/>
  <c r="K22" i="35"/>
  <c r="M22" i="35" s="1"/>
  <c r="L21" i="35"/>
  <c r="K21" i="35"/>
  <c r="L20" i="35"/>
  <c r="K20" i="35"/>
  <c r="M20" i="35" s="1"/>
  <c r="L19" i="35"/>
  <c r="K19" i="35"/>
  <c r="R18" i="35"/>
  <c r="I18" i="35"/>
  <c r="H18" i="35"/>
  <c r="I49" i="35" s="1"/>
  <c r="E16" i="35"/>
  <c r="P11" i="35"/>
  <c r="P1" i="35"/>
  <c r="P8" i="35" s="1"/>
  <c r="Q50" i="34"/>
  <c r="L50" i="34"/>
  <c r="G50" i="34"/>
  <c r="F50" i="34"/>
  <c r="V49" i="34"/>
  <c r="R49" i="34"/>
  <c r="M49" i="34"/>
  <c r="L49" i="34"/>
  <c r="U49" i="34" s="1"/>
  <c r="K49" i="34"/>
  <c r="H49" i="34"/>
  <c r="R48" i="34"/>
  <c r="L48" i="34"/>
  <c r="K48" i="34"/>
  <c r="M48" i="34" s="1"/>
  <c r="R47" i="34"/>
  <c r="V47" i="34" s="1"/>
  <c r="M47" i="34"/>
  <c r="L47" i="34"/>
  <c r="K47" i="34"/>
  <c r="I47" i="34"/>
  <c r="T47" i="34" s="1"/>
  <c r="S47" i="34" s="1"/>
  <c r="R46" i="34"/>
  <c r="L46" i="34"/>
  <c r="K46" i="34"/>
  <c r="M46" i="34" s="1"/>
  <c r="I46" i="34"/>
  <c r="T46" i="34" s="1"/>
  <c r="S46" i="34" s="1"/>
  <c r="V45" i="34"/>
  <c r="R45" i="34"/>
  <c r="M45" i="34"/>
  <c r="L45" i="34"/>
  <c r="U45" i="34" s="1"/>
  <c r="K45" i="34"/>
  <c r="H45" i="34"/>
  <c r="R44" i="34"/>
  <c r="L44" i="34"/>
  <c r="K44" i="34"/>
  <c r="M44" i="34" s="1"/>
  <c r="T43" i="34"/>
  <c r="S43" i="34" s="1"/>
  <c r="R43" i="34"/>
  <c r="V43" i="34" s="1"/>
  <c r="M43" i="34"/>
  <c r="L43" i="34"/>
  <c r="K43" i="34"/>
  <c r="I43" i="34"/>
  <c r="R42" i="34"/>
  <c r="L42" i="34"/>
  <c r="K42" i="34"/>
  <c r="M42" i="34" s="1"/>
  <c r="V41" i="34"/>
  <c r="R41" i="34"/>
  <c r="M41" i="34"/>
  <c r="L41" i="34"/>
  <c r="U41" i="34" s="1"/>
  <c r="K41" i="34"/>
  <c r="H41" i="34"/>
  <c r="R40" i="34"/>
  <c r="L40" i="34"/>
  <c r="K40" i="34"/>
  <c r="M40" i="34" s="1"/>
  <c r="R39" i="34"/>
  <c r="V39" i="34" s="1"/>
  <c r="M39" i="34"/>
  <c r="L39" i="34"/>
  <c r="K39" i="34"/>
  <c r="R38" i="34"/>
  <c r="L38" i="34"/>
  <c r="K38" i="34"/>
  <c r="M38" i="34" s="1"/>
  <c r="I38" i="34"/>
  <c r="T38" i="34" s="1"/>
  <c r="S38" i="34" s="1"/>
  <c r="V37" i="34"/>
  <c r="R37" i="34"/>
  <c r="M37" i="34"/>
  <c r="L37" i="34"/>
  <c r="U37" i="34" s="1"/>
  <c r="K37" i="34"/>
  <c r="H37" i="34"/>
  <c r="R36" i="34"/>
  <c r="L36" i="34"/>
  <c r="K36" i="34"/>
  <c r="M36" i="34" s="1"/>
  <c r="R35" i="34"/>
  <c r="V35" i="34" s="1"/>
  <c r="M35" i="34"/>
  <c r="L35" i="34"/>
  <c r="K35" i="34"/>
  <c r="I35" i="34"/>
  <c r="T35" i="34" s="1"/>
  <c r="S35" i="34" s="1"/>
  <c r="R34" i="34"/>
  <c r="L34" i="34"/>
  <c r="K34" i="34"/>
  <c r="M34" i="34" s="1"/>
  <c r="I34" i="34"/>
  <c r="T34" i="34" s="1"/>
  <c r="S34" i="34" s="1"/>
  <c r="V33" i="34"/>
  <c r="R33" i="34"/>
  <c r="M33" i="34"/>
  <c r="L33" i="34"/>
  <c r="U33" i="34" s="1"/>
  <c r="K33" i="34"/>
  <c r="H33" i="34"/>
  <c r="R32" i="34"/>
  <c r="L32" i="34"/>
  <c r="K32" i="34"/>
  <c r="M32" i="34" s="1"/>
  <c r="R31" i="34"/>
  <c r="V31" i="34" s="1"/>
  <c r="M31" i="34"/>
  <c r="L31" i="34"/>
  <c r="K31" i="34"/>
  <c r="I31" i="34"/>
  <c r="T31" i="34" s="1"/>
  <c r="S31" i="34" s="1"/>
  <c r="R30" i="34"/>
  <c r="L30" i="34"/>
  <c r="K30" i="34"/>
  <c r="M30" i="34" s="1"/>
  <c r="I30" i="34"/>
  <c r="T30" i="34" s="1"/>
  <c r="S30" i="34" s="1"/>
  <c r="V29" i="34"/>
  <c r="R29" i="34"/>
  <c r="M29" i="34"/>
  <c r="L29" i="34"/>
  <c r="U29" i="34" s="1"/>
  <c r="K29" i="34"/>
  <c r="H29" i="34"/>
  <c r="R28" i="34"/>
  <c r="L28" i="34"/>
  <c r="K28" i="34"/>
  <c r="M28" i="34" s="1"/>
  <c r="T27" i="34"/>
  <c r="S27" i="34" s="1"/>
  <c r="R27" i="34"/>
  <c r="V27" i="34" s="1"/>
  <c r="M27" i="34"/>
  <c r="L27" i="34"/>
  <c r="K27" i="34"/>
  <c r="I27" i="34"/>
  <c r="R26" i="34"/>
  <c r="L26" i="34"/>
  <c r="K26" i="34"/>
  <c r="M26" i="34" s="1"/>
  <c r="V25" i="34"/>
  <c r="R25" i="34"/>
  <c r="M25" i="34"/>
  <c r="L25" i="34"/>
  <c r="U25" i="34" s="1"/>
  <c r="K25" i="34"/>
  <c r="H25" i="34"/>
  <c r="R24" i="34"/>
  <c r="L24" i="34"/>
  <c r="K24" i="34"/>
  <c r="M24" i="34" s="1"/>
  <c r="R23" i="34"/>
  <c r="V23" i="34" s="1"/>
  <c r="M23" i="34"/>
  <c r="L23" i="34"/>
  <c r="K23" i="34"/>
  <c r="R22" i="34"/>
  <c r="L22" i="34"/>
  <c r="K22" i="34"/>
  <c r="M22" i="34" s="1"/>
  <c r="I22" i="34"/>
  <c r="T22" i="34" s="1"/>
  <c r="S22" i="34" s="1"/>
  <c r="V21" i="34"/>
  <c r="R21" i="34"/>
  <c r="M21" i="34"/>
  <c r="L21" i="34"/>
  <c r="U21" i="34" s="1"/>
  <c r="K21" i="34"/>
  <c r="H21" i="34"/>
  <c r="R20" i="34"/>
  <c r="L20" i="34"/>
  <c r="K20" i="34"/>
  <c r="M20" i="34" s="1"/>
  <c r="M50" i="34" s="1"/>
  <c r="P3" i="34" s="1"/>
  <c r="R19" i="34"/>
  <c r="M19" i="34"/>
  <c r="L19" i="34"/>
  <c r="K19" i="34"/>
  <c r="I19" i="34"/>
  <c r="R18" i="34"/>
  <c r="I18" i="34"/>
  <c r="H18" i="34"/>
  <c r="E16" i="34"/>
  <c r="P11" i="34"/>
  <c r="P1" i="34"/>
  <c r="P8" i="34" s="1"/>
  <c r="Q50" i="33"/>
  <c r="G50" i="33"/>
  <c r="F50" i="33"/>
  <c r="L49" i="33"/>
  <c r="M49" i="33" s="1"/>
  <c r="T49" i="33" s="1"/>
  <c r="S49" i="33" s="1"/>
  <c r="K49" i="33"/>
  <c r="R48" i="33"/>
  <c r="L48" i="33"/>
  <c r="K48" i="33"/>
  <c r="L47" i="33"/>
  <c r="M47" i="33" s="1"/>
  <c r="K47" i="33"/>
  <c r="R46" i="33"/>
  <c r="L46" i="33"/>
  <c r="K46" i="33"/>
  <c r="L45" i="33"/>
  <c r="M45" i="33" s="1"/>
  <c r="K45" i="33"/>
  <c r="R44" i="33"/>
  <c r="L44" i="33"/>
  <c r="K44" i="33"/>
  <c r="L43" i="33"/>
  <c r="M43" i="33" s="1"/>
  <c r="K43" i="33"/>
  <c r="R42" i="33"/>
  <c r="L42" i="33"/>
  <c r="K42" i="33"/>
  <c r="L41" i="33"/>
  <c r="M41" i="33" s="1"/>
  <c r="K41" i="33"/>
  <c r="R40" i="33"/>
  <c r="L40" i="33"/>
  <c r="K40" i="33"/>
  <c r="L39" i="33"/>
  <c r="M39" i="33" s="1"/>
  <c r="K39" i="33"/>
  <c r="R38" i="33"/>
  <c r="L38" i="33"/>
  <c r="K38" i="33"/>
  <c r="L37" i="33"/>
  <c r="M37" i="33" s="1"/>
  <c r="K37" i="33"/>
  <c r="R36" i="33"/>
  <c r="L36" i="33"/>
  <c r="K36" i="33"/>
  <c r="L35" i="33"/>
  <c r="M35" i="33" s="1"/>
  <c r="K35" i="33"/>
  <c r="R34" i="33"/>
  <c r="L34" i="33"/>
  <c r="K34" i="33"/>
  <c r="L33" i="33"/>
  <c r="M33" i="33" s="1"/>
  <c r="K33" i="33"/>
  <c r="R32" i="33"/>
  <c r="L32" i="33"/>
  <c r="K32" i="33"/>
  <c r="L31" i="33"/>
  <c r="M31" i="33" s="1"/>
  <c r="K31" i="33"/>
  <c r="R30" i="33"/>
  <c r="L30" i="33"/>
  <c r="K30" i="33"/>
  <c r="L29" i="33"/>
  <c r="M29" i="33" s="1"/>
  <c r="K29" i="33"/>
  <c r="R28" i="33"/>
  <c r="L28" i="33"/>
  <c r="K28" i="33"/>
  <c r="L27" i="33"/>
  <c r="M27" i="33" s="1"/>
  <c r="K27" i="33"/>
  <c r="R26" i="33"/>
  <c r="L26" i="33"/>
  <c r="K26" i="33"/>
  <c r="L25" i="33"/>
  <c r="M25" i="33" s="1"/>
  <c r="K25" i="33"/>
  <c r="R24" i="33"/>
  <c r="L24" i="33"/>
  <c r="K24" i="33"/>
  <c r="L23" i="33"/>
  <c r="M23" i="33" s="1"/>
  <c r="K23" i="33"/>
  <c r="R22" i="33"/>
  <c r="L22" i="33"/>
  <c r="K22" i="33"/>
  <c r="L21" i="33"/>
  <c r="M21" i="33" s="1"/>
  <c r="K21" i="33"/>
  <c r="R20" i="33"/>
  <c r="L20" i="33"/>
  <c r="K20" i="33"/>
  <c r="L19" i="33"/>
  <c r="K19" i="33"/>
  <c r="K50" i="33" s="1"/>
  <c r="R18" i="33"/>
  <c r="I18" i="33"/>
  <c r="H18" i="33"/>
  <c r="I49" i="33" s="1"/>
  <c r="E16" i="33"/>
  <c r="H47" i="33" s="1"/>
  <c r="P11" i="33"/>
  <c r="P1" i="33"/>
  <c r="P8" i="33" s="1"/>
  <c r="Q50" i="32"/>
  <c r="L50" i="32"/>
  <c r="G50" i="32"/>
  <c r="F50" i="32"/>
  <c r="T49" i="32"/>
  <c r="S49" i="32" s="1"/>
  <c r="R49" i="32"/>
  <c r="V49" i="32" s="1"/>
  <c r="M49" i="32"/>
  <c r="L49" i="32"/>
  <c r="K49" i="32"/>
  <c r="I49" i="32"/>
  <c r="R48" i="32"/>
  <c r="L48" i="32"/>
  <c r="K48" i="32"/>
  <c r="M48" i="32" s="1"/>
  <c r="I48" i="32"/>
  <c r="T48" i="32" s="1"/>
  <c r="S48" i="32" s="1"/>
  <c r="V47" i="32"/>
  <c r="R47" i="32"/>
  <c r="M47" i="32"/>
  <c r="L47" i="32"/>
  <c r="U47" i="32" s="1"/>
  <c r="K47" i="32"/>
  <c r="H47" i="32"/>
  <c r="T46" i="32"/>
  <c r="S46" i="32" s="1"/>
  <c r="R46" i="32"/>
  <c r="L46" i="32"/>
  <c r="K46" i="32"/>
  <c r="M46" i="32" s="1"/>
  <c r="T45" i="32"/>
  <c r="S45" i="32" s="1"/>
  <c r="R45" i="32"/>
  <c r="V45" i="32" s="1"/>
  <c r="M45" i="32"/>
  <c r="L45" i="32"/>
  <c r="K45" i="32"/>
  <c r="I45" i="32"/>
  <c r="R44" i="32"/>
  <c r="L44" i="32"/>
  <c r="K44" i="32"/>
  <c r="M44" i="32" s="1"/>
  <c r="I44" i="32"/>
  <c r="T44" i="32" s="1"/>
  <c r="S44" i="32" s="1"/>
  <c r="V43" i="32"/>
  <c r="R43" i="32"/>
  <c r="M43" i="32"/>
  <c r="L43" i="32"/>
  <c r="U43" i="32" s="1"/>
  <c r="K43" i="32"/>
  <c r="H43" i="32"/>
  <c r="R42" i="32"/>
  <c r="L42" i="32"/>
  <c r="K42" i="32"/>
  <c r="M42" i="32" s="1"/>
  <c r="R41" i="32"/>
  <c r="V41" i="32" s="1"/>
  <c r="M41" i="32"/>
  <c r="L41" i="32"/>
  <c r="K41" i="32"/>
  <c r="I41" i="32"/>
  <c r="T41" i="32" s="1"/>
  <c r="S41" i="32" s="1"/>
  <c r="R40" i="32"/>
  <c r="L40" i="32"/>
  <c r="K40" i="32"/>
  <c r="M40" i="32" s="1"/>
  <c r="I40" i="32"/>
  <c r="T40" i="32" s="1"/>
  <c r="S40" i="32" s="1"/>
  <c r="V39" i="32"/>
  <c r="R39" i="32"/>
  <c r="M39" i="32"/>
  <c r="L39" i="32"/>
  <c r="U39" i="32" s="1"/>
  <c r="K39" i="32"/>
  <c r="R38" i="32"/>
  <c r="L38" i="32"/>
  <c r="K38" i="32"/>
  <c r="M38" i="32" s="1"/>
  <c r="R37" i="32"/>
  <c r="V37" i="32" s="1"/>
  <c r="M37" i="32"/>
  <c r="L37" i="32"/>
  <c r="K37" i="32"/>
  <c r="I37" i="32"/>
  <c r="T37" i="32" s="1"/>
  <c r="S37" i="32" s="1"/>
  <c r="R36" i="32"/>
  <c r="L36" i="32"/>
  <c r="K36" i="32"/>
  <c r="M36" i="32" s="1"/>
  <c r="I36" i="32"/>
  <c r="T36" i="32" s="1"/>
  <c r="S36" i="32" s="1"/>
  <c r="V35" i="32"/>
  <c r="R35" i="32"/>
  <c r="M35" i="32"/>
  <c r="L35" i="32"/>
  <c r="U35" i="32" s="1"/>
  <c r="K35" i="32"/>
  <c r="R34" i="32"/>
  <c r="L34" i="32"/>
  <c r="K34" i="32"/>
  <c r="M34" i="32" s="1"/>
  <c r="T33" i="32"/>
  <c r="S33" i="32" s="1"/>
  <c r="R33" i="32"/>
  <c r="V33" i="32" s="1"/>
  <c r="M33" i="32"/>
  <c r="L33" i="32"/>
  <c r="K33" i="32"/>
  <c r="I33" i="32"/>
  <c r="R32" i="32"/>
  <c r="L32" i="32"/>
  <c r="K32" i="32"/>
  <c r="M32" i="32" s="1"/>
  <c r="I32" i="32"/>
  <c r="T32" i="32" s="1"/>
  <c r="S32" i="32" s="1"/>
  <c r="V31" i="32"/>
  <c r="R31" i="32"/>
  <c r="M31" i="32"/>
  <c r="L31" i="32"/>
  <c r="U31" i="32" s="1"/>
  <c r="K31" i="32"/>
  <c r="H31" i="32"/>
  <c r="R30" i="32"/>
  <c r="L30" i="32"/>
  <c r="K30" i="32"/>
  <c r="M30" i="32" s="1"/>
  <c r="T29" i="32"/>
  <c r="S29" i="32" s="1"/>
  <c r="R29" i="32"/>
  <c r="V29" i="32" s="1"/>
  <c r="M29" i="32"/>
  <c r="L29" i="32"/>
  <c r="K29" i="32"/>
  <c r="I29" i="32"/>
  <c r="R28" i="32"/>
  <c r="L28" i="32"/>
  <c r="K28" i="32"/>
  <c r="M28" i="32" s="1"/>
  <c r="I28" i="32"/>
  <c r="T28" i="32" s="1"/>
  <c r="S28" i="32" s="1"/>
  <c r="V27" i="32"/>
  <c r="R27" i="32"/>
  <c r="M27" i="32"/>
  <c r="L27" i="32"/>
  <c r="U27" i="32" s="1"/>
  <c r="K27" i="32"/>
  <c r="H27" i="32"/>
  <c r="R26" i="32"/>
  <c r="L26" i="32"/>
  <c r="K26" i="32"/>
  <c r="M26" i="32" s="1"/>
  <c r="R25" i="32"/>
  <c r="V25" i="32" s="1"/>
  <c r="M25" i="32"/>
  <c r="L25" i="32"/>
  <c r="K25" i="32"/>
  <c r="I25" i="32"/>
  <c r="T25" i="32" s="1"/>
  <c r="S25" i="32" s="1"/>
  <c r="R24" i="32"/>
  <c r="L24" i="32"/>
  <c r="K24" i="32"/>
  <c r="M24" i="32" s="1"/>
  <c r="I24" i="32"/>
  <c r="T24" i="32" s="1"/>
  <c r="S24" i="32" s="1"/>
  <c r="V23" i="32"/>
  <c r="R23" i="32"/>
  <c r="M23" i="32"/>
  <c r="L23" i="32"/>
  <c r="U23" i="32" s="1"/>
  <c r="K23" i="32"/>
  <c r="R22" i="32"/>
  <c r="L22" i="32"/>
  <c r="K22" i="32"/>
  <c r="M22" i="32" s="1"/>
  <c r="R21" i="32"/>
  <c r="V21" i="32" s="1"/>
  <c r="M21" i="32"/>
  <c r="L21" i="32"/>
  <c r="K21" i="32"/>
  <c r="I21" i="32"/>
  <c r="T21" i="32" s="1"/>
  <c r="S21" i="32" s="1"/>
  <c r="R20" i="32"/>
  <c r="L20" i="32"/>
  <c r="K20" i="32"/>
  <c r="M20" i="32" s="1"/>
  <c r="I20" i="32"/>
  <c r="T20" i="32" s="1"/>
  <c r="S20" i="32" s="1"/>
  <c r="V19" i="32"/>
  <c r="R19" i="32"/>
  <c r="M19" i="32"/>
  <c r="L19" i="32"/>
  <c r="U19" i="32" s="1"/>
  <c r="K19" i="32"/>
  <c r="R18" i="32"/>
  <c r="I18" i="32"/>
  <c r="H18" i="32"/>
  <c r="I46" i="32" s="1"/>
  <c r="E16" i="32"/>
  <c r="P11" i="32"/>
  <c r="P1" i="32"/>
  <c r="P8" i="32" s="1"/>
  <c r="Q50" i="31"/>
  <c r="G50" i="31"/>
  <c r="F50" i="31"/>
  <c r="L49" i="31"/>
  <c r="K49" i="31"/>
  <c r="L48" i="31"/>
  <c r="K48" i="31"/>
  <c r="M48" i="31" s="1"/>
  <c r="L47" i="31"/>
  <c r="K47" i="31"/>
  <c r="L46" i="31"/>
  <c r="K46" i="31"/>
  <c r="M46" i="31" s="1"/>
  <c r="L45" i="31"/>
  <c r="K45" i="31"/>
  <c r="L44" i="31"/>
  <c r="K44" i="31"/>
  <c r="M44" i="31" s="1"/>
  <c r="L43" i="31"/>
  <c r="K43" i="31"/>
  <c r="L42" i="31"/>
  <c r="K42" i="31"/>
  <c r="M42" i="31" s="1"/>
  <c r="L41" i="31"/>
  <c r="K41" i="31"/>
  <c r="L40" i="31"/>
  <c r="K40" i="31"/>
  <c r="M40" i="31" s="1"/>
  <c r="L39" i="31"/>
  <c r="K39" i="31"/>
  <c r="L38" i="31"/>
  <c r="K38" i="31"/>
  <c r="M38" i="31" s="1"/>
  <c r="L37" i="31"/>
  <c r="K37" i="31"/>
  <c r="L36" i="31"/>
  <c r="K36" i="31"/>
  <c r="M36" i="31" s="1"/>
  <c r="L35" i="31"/>
  <c r="K35" i="31"/>
  <c r="L34" i="31"/>
  <c r="K34" i="31"/>
  <c r="M34" i="31" s="1"/>
  <c r="L33" i="31"/>
  <c r="K33" i="31"/>
  <c r="L32" i="31"/>
  <c r="K32" i="31"/>
  <c r="M32" i="31" s="1"/>
  <c r="L31" i="31"/>
  <c r="K31" i="31"/>
  <c r="L30" i="31"/>
  <c r="K30" i="31"/>
  <c r="M30" i="31" s="1"/>
  <c r="L29" i="31"/>
  <c r="K29" i="31"/>
  <c r="L28" i="31"/>
  <c r="K28" i="31"/>
  <c r="M28" i="31" s="1"/>
  <c r="L27" i="31"/>
  <c r="K27" i="31"/>
  <c r="L26" i="31"/>
  <c r="K26" i="31"/>
  <c r="M26" i="31" s="1"/>
  <c r="L25" i="31"/>
  <c r="K25" i="31"/>
  <c r="L24" i="31"/>
  <c r="K24" i="31"/>
  <c r="M24" i="31" s="1"/>
  <c r="L23" i="31"/>
  <c r="K23" i="31"/>
  <c r="L22" i="31"/>
  <c r="K22" i="31"/>
  <c r="M22" i="31" s="1"/>
  <c r="L21" i="31"/>
  <c r="K21" i="31"/>
  <c r="L20" i="31"/>
  <c r="K20" i="31"/>
  <c r="M20" i="31" s="1"/>
  <c r="L19" i="31"/>
  <c r="K19" i="31"/>
  <c r="R18" i="31"/>
  <c r="I18" i="31"/>
  <c r="H18" i="31"/>
  <c r="I49" i="31" s="1"/>
  <c r="E16" i="31"/>
  <c r="P11" i="31"/>
  <c r="P1" i="31"/>
  <c r="P8" i="31" s="1"/>
  <c r="Q50" i="30"/>
  <c r="G50" i="30"/>
  <c r="F50" i="30"/>
  <c r="M49" i="30"/>
  <c r="L49" i="30"/>
  <c r="K49" i="30"/>
  <c r="H49" i="30"/>
  <c r="L48" i="30"/>
  <c r="K48" i="30"/>
  <c r="L47" i="30"/>
  <c r="K47" i="30"/>
  <c r="L46" i="30"/>
  <c r="K46" i="30"/>
  <c r="L45" i="30"/>
  <c r="M45" i="30" s="1"/>
  <c r="K45" i="30"/>
  <c r="H45" i="30"/>
  <c r="L44" i="30"/>
  <c r="K44" i="30"/>
  <c r="L43" i="30"/>
  <c r="K43" i="30"/>
  <c r="L42" i="30"/>
  <c r="K42" i="30"/>
  <c r="L41" i="30"/>
  <c r="M41" i="30" s="1"/>
  <c r="K41" i="30"/>
  <c r="H41" i="30"/>
  <c r="L40" i="30"/>
  <c r="K40" i="30"/>
  <c r="L39" i="30"/>
  <c r="K39" i="30"/>
  <c r="L38" i="30"/>
  <c r="K38" i="30"/>
  <c r="L37" i="30"/>
  <c r="M37" i="30" s="1"/>
  <c r="K37" i="30"/>
  <c r="H37" i="30"/>
  <c r="L36" i="30"/>
  <c r="K36" i="30"/>
  <c r="L35" i="30"/>
  <c r="K35" i="30"/>
  <c r="L34" i="30"/>
  <c r="K34" i="30"/>
  <c r="L33" i="30"/>
  <c r="M33" i="30" s="1"/>
  <c r="K33" i="30"/>
  <c r="H33" i="30"/>
  <c r="L32" i="30"/>
  <c r="K32" i="30"/>
  <c r="L31" i="30"/>
  <c r="M31" i="30" s="1"/>
  <c r="K31" i="30"/>
  <c r="L30" i="30"/>
  <c r="K30" i="30"/>
  <c r="L29" i="30"/>
  <c r="M29" i="30" s="1"/>
  <c r="K29" i="30"/>
  <c r="H29" i="30"/>
  <c r="L28" i="30"/>
  <c r="K28" i="30"/>
  <c r="L27" i="30"/>
  <c r="K27" i="30"/>
  <c r="L26" i="30"/>
  <c r="K26" i="30"/>
  <c r="L25" i="30"/>
  <c r="M25" i="30" s="1"/>
  <c r="K25" i="30"/>
  <c r="H25" i="30"/>
  <c r="L24" i="30"/>
  <c r="K24" i="30"/>
  <c r="L23" i="30"/>
  <c r="K23" i="30"/>
  <c r="L22" i="30"/>
  <c r="K22" i="30"/>
  <c r="L21" i="30"/>
  <c r="M21" i="30" s="1"/>
  <c r="K21" i="30"/>
  <c r="H21" i="30"/>
  <c r="L20" i="30"/>
  <c r="K20" i="30"/>
  <c r="L19" i="30"/>
  <c r="K19" i="30"/>
  <c r="K50" i="30" s="1"/>
  <c r="R18" i="30"/>
  <c r="I18" i="30"/>
  <c r="H18" i="30"/>
  <c r="I49" i="30" s="1"/>
  <c r="T49" i="30" s="1"/>
  <c r="S49" i="30" s="1"/>
  <c r="E16" i="30"/>
  <c r="P11" i="30"/>
  <c r="P1" i="30"/>
  <c r="P8" i="30" s="1"/>
  <c r="Q50" i="29"/>
  <c r="L50" i="29"/>
  <c r="G50" i="29"/>
  <c r="F50" i="29"/>
  <c r="R49" i="29"/>
  <c r="L49" i="29"/>
  <c r="V49" i="29" s="1"/>
  <c r="K49" i="29"/>
  <c r="I49" i="29"/>
  <c r="L48" i="29"/>
  <c r="K48" i="29"/>
  <c r="M48" i="29" s="1"/>
  <c r="R47" i="29"/>
  <c r="L47" i="29"/>
  <c r="V47" i="29" s="1"/>
  <c r="K47" i="29"/>
  <c r="I47" i="29"/>
  <c r="L46" i="29"/>
  <c r="K46" i="29"/>
  <c r="M46" i="29" s="1"/>
  <c r="I46" i="29"/>
  <c r="T46" i="29" s="1"/>
  <c r="S46" i="29" s="1"/>
  <c r="R45" i="29"/>
  <c r="L45" i="29"/>
  <c r="V45" i="29" s="1"/>
  <c r="K45" i="29"/>
  <c r="I45" i="29"/>
  <c r="L44" i="29"/>
  <c r="K44" i="29"/>
  <c r="M44" i="29" s="1"/>
  <c r="R43" i="29"/>
  <c r="L43" i="29"/>
  <c r="V43" i="29" s="1"/>
  <c r="K43" i="29"/>
  <c r="I43" i="29"/>
  <c r="L42" i="29"/>
  <c r="K42" i="29"/>
  <c r="M42" i="29" s="1"/>
  <c r="I42" i="29"/>
  <c r="T42" i="29" s="1"/>
  <c r="S42" i="29" s="1"/>
  <c r="R41" i="29"/>
  <c r="L41" i="29"/>
  <c r="V41" i="29" s="1"/>
  <c r="K41" i="29"/>
  <c r="I41" i="29"/>
  <c r="L40" i="29"/>
  <c r="K40" i="29"/>
  <c r="M40" i="29" s="1"/>
  <c r="R39" i="29"/>
  <c r="L39" i="29"/>
  <c r="V39" i="29" s="1"/>
  <c r="K39" i="29"/>
  <c r="I39" i="29"/>
  <c r="L38" i="29"/>
  <c r="K38" i="29"/>
  <c r="M38" i="29" s="1"/>
  <c r="I38" i="29"/>
  <c r="T38" i="29" s="1"/>
  <c r="S38" i="29" s="1"/>
  <c r="R37" i="29"/>
  <c r="L37" i="29"/>
  <c r="V37" i="29" s="1"/>
  <c r="K37" i="29"/>
  <c r="I37" i="29"/>
  <c r="L36" i="29"/>
  <c r="K36" i="29"/>
  <c r="M36" i="29" s="1"/>
  <c r="R35" i="29"/>
  <c r="L35" i="29"/>
  <c r="V35" i="29" s="1"/>
  <c r="K35" i="29"/>
  <c r="I35" i="29"/>
  <c r="L34" i="29"/>
  <c r="K34" i="29"/>
  <c r="M34" i="29" s="1"/>
  <c r="I34" i="29"/>
  <c r="T34" i="29" s="1"/>
  <c r="S34" i="29" s="1"/>
  <c r="R33" i="29"/>
  <c r="L33" i="29"/>
  <c r="V33" i="29" s="1"/>
  <c r="K33" i="29"/>
  <c r="I33" i="29"/>
  <c r="L32" i="29"/>
  <c r="K32" i="29"/>
  <c r="M32" i="29" s="1"/>
  <c r="R31" i="29"/>
  <c r="L31" i="29"/>
  <c r="V31" i="29" s="1"/>
  <c r="K31" i="29"/>
  <c r="I31" i="29"/>
  <c r="L30" i="29"/>
  <c r="K30" i="29"/>
  <c r="M30" i="29" s="1"/>
  <c r="I30" i="29"/>
  <c r="T30" i="29" s="1"/>
  <c r="S30" i="29" s="1"/>
  <c r="R29" i="29"/>
  <c r="L29" i="29"/>
  <c r="V29" i="29" s="1"/>
  <c r="K29" i="29"/>
  <c r="I29" i="29"/>
  <c r="L28" i="29"/>
  <c r="K28" i="29"/>
  <c r="M28" i="29" s="1"/>
  <c r="R27" i="29"/>
  <c r="L27" i="29"/>
  <c r="V27" i="29" s="1"/>
  <c r="K27" i="29"/>
  <c r="I27" i="29"/>
  <c r="L26" i="29"/>
  <c r="K26" i="29"/>
  <c r="M26" i="29" s="1"/>
  <c r="I26" i="29"/>
  <c r="T26" i="29" s="1"/>
  <c r="S26" i="29" s="1"/>
  <c r="R25" i="29"/>
  <c r="L25" i="29"/>
  <c r="V25" i="29" s="1"/>
  <c r="K25" i="29"/>
  <c r="I25" i="29"/>
  <c r="L24" i="29"/>
  <c r="K24" i="29"/>
  <c r="M24" i="29" s="1"/>
  <c r="R23" i="29"/>
  <c r="L23" i="29"/>
  <c r="V23" i="29" s="1"/>
  <c r="K23" i="29"/>
  <c r="I23" i="29"/>
  <c r="L22" i="29"/>
  <c r="K22" i="29"/>
  <c r="M22" i="29" s="1"/>
  <c r="I22" i="29"/>
  <c r="T22" i="29" s="1"/>
  <c r="S22" i="29" s="1"/>
  <c r="R21" i="29"/>
  <c r="L21" i="29"/>
  <c r="V21" i="29" s="1"/>
  <c r="K21" i="29"/>
  <c r="I21" i="29"/>
  <c r="L20" i="29"/>
  <c r="K20" i="29"/>
  <c r="M20" i="29" s="1"/>
  <c r="R19" i="29"/>
  <c r="L19" i="29"/>
  <c r="V19" i="29" s="1"/>
  <c r="K19" i="29"/>
  <c r="I19" i="29"/>
  <c r="R18" i="29"/>
  <c r="R48" i="29" s="1"/>
  <c r="I18" i="29"/>
  <c r="H18" i="29"/>
  <c r="I48" i="29" s="1"/>
  <c r="E16" i="29"/>
  <c r="P11" i="29"/>
  <c r="P8" i="29"/>
  <c r="P1" i="29"/>
  <c r="Q50" i="28"/>
  <c r="G50" i="28"/>
  <c r="F50" i="28"/>
  <c r="L49" i="28"/>
  <c r="K49" i="28"/>
  <c r="L48" i="28"/>
  <c r="K48" i="28"/>
  <c r="M47" i="28"/>
  <c r="L47" i="28"/>
  <c r="K47" i="28"/>
  <c r="L46" i="28"/>
  <c r="K46" i="28"/>
  <c r="L45" i="28"/>
  <c r="K45" i="28"/>
  <c r="L44" i="28"/>
  <c r="K44" i="28"/>
  <c r="M43" i="28"/>
  <c r="L43" i="28"/>
  <c r="K43" i="28"/>
  <c r="L42" i="28"/>
  <c r="K42" i="28"/>
  <c r="L41" i="28"/>
  <c r="K41" i="28"/>
  <c r="L40" i="28"/>
  <c r="K40" i="28"/>
  <c r="M39" i="28"/>
  <c r="L39" i="28"/>
  <c r="K39" i="28"/>
  <c r="L38" i="28"/>
  <c r="K38" i="28"/>
  <c r="L37" i="28"/>
  <c r="K37" i="28"/>
  <c r="L36" i="28"/>
  <c r="K36" i="28"/>
  <c r="M35" i="28"/>
  <c r="L35" i="28"/>
  <c r="K35" i="28"/>
  <c r="L34" i="28"/>
  <c r="K34" i="28"/>
  <c r="L33" i="28"/>
  <c r="K33" i="28"/>
  <c r="L32" i="28"/>
  <c r="K32" i="28"/>
  <c r="M31" i="28"/>
  <c r="L31" i="28"/>
  <c r="K31" i="28"/>
  <c r="L30" i="28"/>
  <c r="K30" i="28"/>
  <c r="L29" i="28"/>
  <c r="K29" i="28"/>
  <c r="L28" i="28"/>
  <c r="K28" i="28"/>
  <c r="M27" i="28"/>
  <c r="L27" i="28"/>
  <c r="K27" i="28"/>
  <c r="L26" i="28"/>
  <c r="K26" i="28"/>
  <c r="L25" i="28"/>
  <c r="K25" i="28"/>
  <c r="L24" i="28"/>
  <c r="K24" i="28"/>
  <c r="M23" i="28"/>
  <c r="L23" i="28"/>
  <c r="K23" i="28"/>
  <c r="L22" i="28"/>
  <c r="K22" i="28"/>
  <c r="L21" i="28"/>
  <c r="K21" i="28"/>
  <c r="L20" i="28"/>
  <c r="K20" i="28"/>
  <c r="M19" i="28"/>
  <c r="L19" i="28"/>
  <c r="K19" i="28"/>
  <c r="K50" i="28" s="1"/>
  <c r="H19" i="28"/>
  <c r="R18" i="28"/>
  <c r="R48" i="28" s="1"/>
  <c r="I18" i="28"/>
  <c r="H18" i="28"/>
  <c r="I49" i="28" s="1"/>
  <c r="E16" i="28"/>
  <c r="P11" i="28"/>
  <c r="P1" i="28"/>
  <c r="P8" i="28" s="1"/>
  <c r="Q50" i="27"/>
  <c r="L50" i="27"/>
  <c r="G50" i="27"/>
  <c r="F50" i="27"/>
  <c r="R49" i="27"/>
  <c r="L49" i="27"/>
  <c r="V49" i="27" s="1"/>
  <c r="K49" i="27"/>
  <c r="L48" i="27"/>
  <c r="K48" i="27"/>
  <c r="M48" i="27" s="1"/>
  <c r="R47" i="27"/>
  <c r="L47" i="27"/>
  <c r="K47" i="27"/>
  <c r="I47" i="27"/>
  <c r="L46" i="27"/>
  <c r="K46" i="27"/>
  <c r="M46" i="27" s="1"/>
  <c r="I46" i="27"/>
  <c r="T46" i="27" s="1"/>
  <c r="S46" i="27" s="1"/>
  <c r="R45" i="27"/>
  <c r="L45" i="27"/>
  <c r="V45" i="27" s="1"/>
  <c r="K45" i="27"/>
  <c r="L44" i="27"/>
  <c r="K44" i="27"/>
  <c r="M44" i="27" s="1"/>
  <c r="R43" i="27"/>
  <c r="L43" i="27"/>
  <c r="K43" i="27"/>
  <c r="I43" i="27"/>
  <c r="T42" i="27"/>
  <c r="S42" i="27" s="1"/>
  <c r="L42" i="27"/>
  <c r="K42" i="27"/>
  <c r="M42" i="27" s="1"/>
  <c r="I42" i="27"/>
  <c r="R41" i="27"/>
  <c r="L41" i="27"/>
  <c r="V41" i="27" s="1"/>
  <c r="K41" i="27"/>
  <c r="L40" i="27"/>
  <c r="K40" i="27"/>
  <c r="M40" i="27" s="1"/>
  <c r="R39" i="27"/>
  <c r="L39" i="27"/>
  <c r="K39" i="27"/>
  <c r="I39" i="27"/>
  <c r="T38" i="27"/>
  <c r="S38" i="27" s="1"/>
  <c r="L38" i="27"/>
  <c r="K38" i="27"/>
  <c r="M38" i="27" s="1"/>
  <c r="I38" i="27"/>
  <c r="R37" i="27"/>
  <c r="L37" i="27"/>
  <c r="V37" i="27" s="1"/>
  <c r="K37" i="27"/>
  <c r="L36" i="27"/>
  <c r="K36" i="27"/>
  <c r="M36" i="27" s="1"/>
  <c r="R35" i="27"/>
  <c r="L35" i="27"/>
  <c r="K35" i="27"/>
  <c r="I35" i="27"/>
  <c r="L34" i="27"/>
  <c r="K34" i="27"/>
  <c r="M34" i="27" s="1"/>
  <c r="T34" i="27" s="1"/>
  <c r="S34" i="27" s="1"/>
  <c r="I34" i="27"/>
  <c r="R33" i="27"/>
  <c r="L33" i="27"/>
  <c r="V33" i="27" s="1"/>
  <c r="K33" i="27"/>
  <c r="L32" i="27"/>
  <c r="K32" i="27"/>
  <c r="M32" i="27" s="1"/>
  <c r="R31" i="27"/>
  <c r="L31" i="27"/>
  <c r="K31" i="27"/>
  <c r="I31" i="27"/>
  <c r="L30" i="27"/>
  <c r="K30" i="27"/>
  <c r="M30" i="27" s="1"/>
  <c r="I30" i="27"/>
  <c r="T30" i="27" s="1"/>
  <c r="S30" i="27" s="1"/>
  <c r="R29" i="27"/>
  <c r="L29" i="27"/>
  <c r="V29" i="27" s="1"/>
  <c r="K29" i="27"/>
  <c r="L28" i="27"/>
  <c r="K28" i="27"/>
  <c r="M28" i="27" s="1"/>
  <c r="R27" i="27"/>
  <c r="L27" i="27"/>
  <c r="K27" i="27"/>
  <c r="I27" i="27"/>
  <c r="T26" i="27"/>
  <c r="S26" i="27" s="1"/>
  <c r="L26" i="27"/>
  <c r="K26" i="27"/>
  <c r="M26" i="27" s="1"/>
  <c r="I26" i="27"/>
  <c r="R25" i="27"/>
  <c r="L25" i="27"/>
  <c r="V25" i="27" s="1"/>
  <c r="K25" i="27"/>
  <c r="L24" i="27"/>
  <c r="K24" i="27"/>
  <c r="M24" i="27" s="1"/>
  <c r="R23" i="27"/>
  <c r="L23" i="27"/>
  <c r="K23" i="27"/>
  <c r="I23" i="27"/>
  <c r="T22" i="27"/>
  <c r="S22" i="27" s="1"/>
  <c r="L22" i="27"/>
  <c r="K22" i="27"/>
  <c r="M22" i="27" s="1"/>
  <c r="I22" i="27"/>
  <c r="R21" i="27"/>
  <c r="L21" i="27"/>
  <c r="V21" i="27" s="1"/>
  <c r="K21" i="27"/>
  <c r="L20" i="27"/>
  <c r="K20" i="27"/>
  <c r="M20" i="27" s="1"/>
  <c r="R19" i="27"/>
  <c r="L19" i="27"/>
  <c r="K19" i="27"/>
  <c r="I19" i="27"/>
  <c r="R18" i="27"/>
  <c r="R48" i="27" s="1"/>
  <c r="I18" i="27"/>
  <c r="H18" i="27"/>
  <c r="I49" i="27" s="1"/>
  <c r="E16" i="27"/>
  <c r="P11" i="27"/>
  <c r="P8" i="27"/>
  <c r="P1" i="27"/>
  <c r="Q50" i="26"/>
  <c r="G50" i="26"/>
  <c r="F50" i="26"/>
  <c r="L49" i="26"/>
  <c r="M49" i="26" s="1"/>
  <c r="K49" i="26"/>
  <c r="R48" i="26"/>
  <c r="V48" i="26" s="1"/>
  <c r="L48" i="26"/>
  <c r="K48" i="26"/>
  <c r="L47" i="26"/>
  <c r="M47" i="26" s="1"/>
  <c r="K47" i="26"/>
  <c r="R46" i="26"/>
  <c r="L46" i="26"/>
  <c r="K46" i="26"/>
  <c r="L45" i="26"/>
  <c r="K45" i="26"/>
  <c r="V44" i="26"/>
  <c r="R44" i="26"/>
  <c r="L44" i="26"/>
  <c r="K44" i="26"/>
  <c r="L43" i="26"/>
  <c r="M43" i="26" s="1"/>
  <c r="K43" i="26"/>
  <c r="H43" i="26"/>
  <c r="R42" i="26"/>
  <c r="L42" i="26"/>
  <c r="K42" i="26"/>
  <c r="M41" i="26"/>
  <c r="L41" i="26"/>
  <c r="K41" i="26"/>
  <c r="R40" i="26"/>
  <c r="V40" i="26" s="1"/>
  <c r="L40" i="26"/>
  <c r="K40" i="26"/>
  <c r="L39" i="26"/>
  <c r="M39" i="26" s="1"/>
  <c r="K39" i="26"/>
  <c r="H39" i="26"/>
  <c r="R38" i="26"/>
  <c r="L38" i="26"/>
  <c r="K38" i="26"/>
  <c r="L37" i="26"/>
  <c r="K37" i="26"/>
  <c r="R36" i="26"/>
  <c r="V36" i="26" s="1"/>
  <c r="L36" i="26"/>
  <c r="K36" i="26"/>
  <c r="L35" i="26"/>
  <c r="M35" i="26" s="1"/>
  <c r="K35" i="26"/>
  <c r="R34" i="26"/>
  <c r="L34" i="26"/>
  <c r="K34" i="26"/>
  <c r="L33" i="26"/>
  <c r="M33" i="26" s="1"/>
  <c r="K33" i="26"/>
  <c r="R32" i="26"/>
  <c r="V32" i="26" s="1"/>
  <c r="L32" i="26"/>
  <c r="K32" i="26"/>
  <c r="L31" i="26"/>
  <c r="M31" i="26" s="1"/>
  <c r="K31" i="26"/>
  <c r="R30" i="26"/>
  <c r="L30" i="26"/>
  <c r="K30" i="26"/>
  <c r="L29" i="26"/>
  <c r="K29" i="26"/>
  <c r="V28" i="26"/>
  <c r="R28" i="26"/>
  <c r="L28" i="26"/>
  <c r="K28" i="26"/>
  <c r="L27" i="26"/>
  <c r="M27" i="26" s="1"/>
  <c r="K27" i="26"/>
  <c r="H27" i="26"/>
  <c r="R26" i="26"/>
  <c r="L26" i="26"/>
  <c r="K26" i="26"/>
  <c r="M25" i="26"/>
  <c r="L25" i="26"/>
  <c r="K25" i="26"/>
  <c r="R24" i="26"/>
  <c r="V24" i="26" s="1"/>
  <c r="L24" i="26"/>
  <c r="K24" i="26"/>
  <c r="L23" i="26"/>
  <c r="M23" i="26" s="1"/>
  <c r="K23" i="26"/>
  <c r="H23" i="26"/>
  <c r="R22" i="26"/>
  <c r="L22" i="26"/>
  <c r="K22" i="26"/>
  <c r="L21" i="26"/>
  <c r="M21" i="26" s="1"/>
  <c r="K21" i="26"/>
  <c r="R20" i="26"/>
  <c r="V20" i="26" s="1"/>
  <c r="L20" i="26"/>
  <c r="K20" i="26"/>
  <c r="L19" i="26"/>
  <c r="K19" i="26"/>
  <c r="K50" i="26" s="1"/>
  <c r="R18" i="26"/>
  <c r="I18" i="26"/>
  <c r="H18" i="26"/>
  <c r="I49" i="26" s="1"/>
  <c r="E16" i="26"/>
  <c r="P11" i="26"/>
  <c r="P1" i="26"/>
  <c r="P8" i="26" s="1"/>
  <c r="Q50" i="25"/>
  <c r="L50" i="25"/>
  <c r="G50" i="25"/>
  <c r="F50" i="25"/>
  <c r="R49" i="25"/>
  <c r="L49" i="25"/>
  <c r="K49" i="25"/>
  <c r="L48" i="25"/>
  <c r="K48" i="25"/>
  <c r="M48" i="25" s="1"/>
  <c r="R47" i="25"/>
  <c r="L47" i="25"/>
  <c r="V47" i="25" s="1"/>
  <c r="K47" i="25"/>
  <c r="L46" i="25"/>
  <c r="K46" i="25"/>
  <c r="M46" i="25" s="1"/>
  <c r="R45" i="25"/>
  <c r="L45" i="25"/>
  <c r="V45" i="25" s="1"/>
  <c r="K45" i="25"/>
  <c r="L44" i="25"/>
  <c r="K44" i="25"/>
  <c r="M44" i="25" s="1"/>
  <c r="R43" i="25"/>
  <c r="L43" i="25"/>
  <c r="V43" i="25" s="1"/>
  <c r="K43" i="25"/>
  <c r="L42" i="25"/>
  <c r="K42" i="25"/>
  <c r="M42" i="25" s="1"/>
  <c r="R41" i="25"/>
  <c r="L41" i="25"/>
  <c r="V41" i="25" s="1"/>
  <c r="K41" i="25"/>
  <c r="L40" i="25"/>
  <c r="K40" i="25"/>
  <c r="M40" i="25" s="1"/>
  <c r="R39" i="25"/>
  <c r="L39" i="25"/>
  <c r="V39" i="25" s="1"/>
  <c r="K39" i="25"/>
  <c r="L38" i="25"/>
  <c r="K38" i="25"/>
  <c r="M38" i="25" s="1"/>
  <c r="R37" i="25"/>
  <c r="L37" i="25"/>
  <c r="V37" i="25" s="1"/>
  <c r="K37" i="25"/>
  <c r="L36" i="25"/>
  <c r="K36" i="25"/>
  <c r="M36" i="25" s="1"/>
  <c r="R35" i="25"/>
  <c r="L35" i="25"/>
  <c r="V35" i="25" s="1"/>
  <c r="K35" i="25"/>
  <c r="L34" i="25"/>
  <c r="K34" i="25"/>
  <c r="M34" i="25" s="1"/>
  <c r="R33" i="25"/>
  <c r="L33" i="25"/>
  <c r="K33" i="25"/>
  <c r="L32" i="25"/>
  <c r="K32" i="25"/>
  <c r="M32" i="25" s="1"/>
  <c r="R31" i="25"/>
  <c r="L31" i="25"/>
  <c r="V31" i="25" s="1"/>
  <c r="K31" i="25"/>
  <c r="L30" i="25"/>
  <c r="K30" i="25"/>
  <c r="M30" i="25" s="1"/>
  <c r="R29" i="25"/>
  <c r="L29" i="25"/>
  <c r="V29" i="25" s="1"/>
  <c r="K29" i="25"/>
  <c r="L28" i="25"/>
  <c r="K28" i="25"/>
  <c r="M28" i="25" s="1"/>
  <c r="R27" i="25"/>
  <c r="L27" i="25"/>
  <c r="V27" i="25" s="1"/>
  <c r="K27" i="25"/>
  <c r="L26" i="25"/>
  <c r="K26" i="25"/>
  <c r="M26" i="25" s="1"/>
  <c r="R25" i="25"/>
  <c r="L25" i="25"/>
  <c r="V25" i="25" s="1"/>
  <c r="K25" i="25"/>
  <c r="L24" i="25"/>
  <c r="K24" i="25"/>
  <c r="M24" i="25" s="1"/>
  <c r="R23" i="25"/>
  <c r="L23" i="25"/>
  <c r="V23" i="25" s="1"/>
  <c r="K23" i="25"/>
  <c r="L22" i="25"/>
  <c r="K22" i="25"/>
  <c r="M22" i="25" s="1"/>
  <c r="R21" i="25"/>
  <c r="L21" i="25"/>
  <c r="V21" i="25" s="1"/>
  <c r="K21" i="25"/>
  <c r="L20" i="25"/>
  <c r="K20" i="25"/>
  <c r="M20" i="25" s="1"/>
  <c r="R19" i="25"/>
  <c r="L19" i="25"/>
  <c r="V19" i="25" s="1"/>
  <c r="K19" i="25"/>
  <c r="K50" i="25" s="1"/>
  <c r="R18" i="25"/>
  <c r="R48" i="25" s="1"/>
  <c r="I18" i="25"/>
  <c r="H18" i="25"/>
  <c r="I44" i="25" s="1"/>
  <c r="T44" i="25" s="1"/>
  <c r="S44" i="25" s="1"/>
  <c r="E16" i="25"/>
  <c r="P11" i="25"/>
  <c r="P8" i="25"/>
  <c r="P1" i="25"/>
  <c r="Q50" i="24"/>
  <c r="G50" i="24"/>
  <c r="F50" i="24"/>
  <c r="M49" i="24"/>
  <c r="L49" i="24"/>
  <c r="K49" i="24"/>
  <c r="H49" i="24"/>
  <c r="L48" i="24"/>
  <c r="K48" i="24"/>
  <c r="L47" i="24"/>
  <c r="K47" i="24"/>
  <c r="R46" i="24"/>
  <c r="L46" i="24"/>
  <c r="K46" i="24"/>
  <c r="M45" i="24"/>
  <c r="L45" i="24"/>
  <c r="K45" i="24"/>
  <c r="H45" i="24"/>
  <c r="L44" i="24"/>
  <c r="K44" i="24"/>
  <c r="L43" i="24"/>
  <c r="K43" i="24"/>
  <c r="R42" i="24"/>
  <c r="L42" i="24"/>
  <c r="K42" i="24"/>
  <c r="M41" i="24"/>
  <c r="L41" i="24"/>
  <c r="K41" i="24"/>
  <c r="H41" i="24"/>
  <c r="L40" i="24"/>
  <c r="K40" i="24"/>
  <c r="L39" i="24"/>
  <c r="K39" i="24"/>
  <c r="R38" i="24"/>
  <c r="L38" i="24"/>
  <c r="K38" i="24"/>
  <c r="M37" i="24"/>
  <c r="L37" i="24"/>
  <c r="K37" i="24"/>
  <c r="H37" i="24"/>
  <c r="L36" i="24"/>
  <c r="K36" i="24"/>
  <c r="L35" i="24"/>
  <c r="K35" i="24"/>
  <c r="R34" i="24"/>
  <c r="L34" i="24"/>
  <c r="K34" i="24"/>
  <c r="M33" i="24"/>
  <c r="L33" i="24"/>
  <c r="K33" i="24"/>
  <c r="H33" i="24"/>
  <c r="L32" i="24"/>
  <c r="K32" i="24"/>
  <c r="L31" i="24"/>
  <c r="K31" i="24"/>
  <c r="R30" i="24"/>
  <c r="L30" i="24"/>
  <c r="K30" i="24"/>
  <c r="M29" i="24"/>
  <c r="L29" i="24"/>
  <c r="K29" i="24"/>
  <c r="H29" i="24"/>
  <c r="L28" i="24"/>
  <c r="K28" i="24"/>
  <c r="L27" i="24"/>
  <c r="K27" i="24"/>
  <c r="R26" i="24"/>
  <c r="L26" i="24"/>
  <c r="K26" i="24"/>
  <c r="M25" i="24"/>
  <c r="L25" i="24"/>
  <c r="K25" i="24"/>
  <c r="H25" i="24"/>
  <c r="L24" i="24"/>
  <c r="K24" i="24"/>
  <c r="L23" i="24"/>
  <c r="K23" i="24"/>
  <c r="R22" i="24"/>
  <c r="L22" i="24"/>
  <c r="K22" i="24"/>
  <c r="M21" i="24"/>
  <c r="L21" i="24"/>
  <c r="K21" i="24"/>
  <c r="H21" i="24"/>
  <c r="L20" i="24"/>
  <c r="K20" i="24"/>
  <c r="L19" i="24"/>
  <c r="K19" i="24"/>
  <c r="K50" i="24" s="1"/>
  <c r="R18" i="24"/>
  <c r="I18" i="24"/>
  <c r="H18" i="24"/>
  <c r="I49" i="24" s="1"/>
  <c r="E16" i="24"/>
  <c r="P11" i="24"/>
  <c r="P1" i="24"/>
  <c r="P8" i="24" s="1"/>
  <c r="Q50" i="23"/>
  <c r="L50" i="23"/>
  <c r="G50" i="23"/>
  <c r="F50" i="23"/>
  <c r="R49" i="23"/>
  <c r="L49" i="23"/>
  <c r="K49" i="23"/>
  <c r="L48" i="23"/>
  <c r="K48" i="23"/>
  <c r="M48" i="23" s="1"/>
  <c r="R47" i="23"/>
  <c r="L47" i="23"/>
  <c r="V47" i="23" s="1"/>
  <c r="K47" i="23"/>
  <c r="L46" i="23"/>
  <c r="K46" i="23"/>
  <c r="M46" i="23" s="1"/>
  <c r="R45" i="23"/>
  <c r="L45" i="23"/>
  <c r="K45" i="23"/>
  <c r="L44" i="23"/>
  <c r="K44" i="23"/>
  <c r="M44" i="23" s="1"/>
  <c r="R43" i="23"/>
  <c r="L43" i="23"/>
  <c r="V43" i="23" s="1"/>
  <c r="K43" i="23"/>
  <c r="L42" i="23"/>
  <c r="K42" i="23"/>
  <c r="M42" i="23" s="1"/>
  <c r="R41" i="23"/>
  <c r="L41" i="23"/>
  <c r="K41" i="23"/>
  <c r="L40" i="23"/>
  <c r="K40" i="23"/>
  <c r="M40" i="23" s="1"/>
  <c r="R39" i="23"/>
  <c r="L39" i="23"/>
  <c r="V39" i="23" s="1"/>
  <c r="K39" i="23"/>
  <c r="L38" i="23"/>
  <c r="K38" i="23"/>
  <c r="M38" i="23" s="1"/>
  <c r="R37" i="23"/>
  <c r="L37" i="23"/>
  <c r="K37" i="23"/>
  <c r="L36" i="23"/>
  <c r="K36" i="23"/>
  <c r="M36" i="23" s="1"/>
  <c r="R35" i="23"/>
  <c r="L35" i="23"/>
  <c r="V35" i="23" s="1"/>
  <c r="K35" i="23"/>
  <c r="L34" i="23"/>
  <c r="K34" i="23"/>
  <c r="M34" i="23" s="1"/>
  <c r="R33" i="23"/>
  <c r="L33" i="23"/>
  <c r="K33" i="23"/>
  <c r="L32" i="23"/>
  <c r="K32" i="23"/>
  <c r="M32" i="23" s="1"/>
  <c r="R31" i="23"/>
  <c r="L31" i="23"/>
  <c r="V31" i="23" s="1"/>
  <c r="K31" i="23"/>
  <c r="L30" i="23"/>
  <c r="K30" i="23"/>
  <c r="M30" i="23" s="1"/>
  <c r="R29" i="23"/>
  <c r="L29" i="23"/>
  <c r="K29" i="23"/>
  <c r="L28" i="23"/>
  <c r="K28" i="23"/>
  <c r="M28" i="23" s="1"/>
  <c r="R27" i="23"/>
  <c r="L27" i="23"/>
  <c r="V27" i="23" s="1"/>
  <c r="K27" i="23"/>
  <c r="L26" i="23"/>
  <c r="K26" i="23"/>
  <c r="M26" i="23" s="1"/>
  <c r="R25" i="23"/>
  <c r="L25" i="23"/>
  <c r="K25" i="23"/>
  <c r="L24" i="23"/>
  <c r="K24" i="23"/>
  <c r="M24" i="23" s="1"/>
  <c r="R23" i="23"/>
  <c r="L23" i="23"/>
  <c r="V23" i="23" s="1"/>
  <c r="K23" i="23"/>
  <c r="L22" i="23"/>
  <c r="K22" i="23"/>
  <c r="M22" i="23" s="1"/>
  <c r="R21" i="23"/>
  <c r="L21" i="23"/>
  <c r="K21" i="23"/>
  <c r="L20" i="23"/>
  <c r="K20" i="23"/>
  <c r="M20" i="23" s="1"/>
  <c r="R19" i="23"/>
  <c r="L19" i="23"/>
  <c r="V19" i="23" s="1"/>
  <c r="K19" i="23"/>
  <c r="R18" i="23"/>
  <c r="R48" i="23" s="1"/>
  <c r="I18" i="23"/>
  <c r="H18" i="23"/>
  <c r="E16" i="23"/>
  <c r="P11" i="23"/>
  <c r="P8" i="23"/>
  <c r="P1" i="23"/>
  <c r="Q50" i="22"/>
  <c r="G50" i="22"/>
  <c r="F50" i="22"/>
  <c r="L49" i="22"/>
  <c r="M49" i="22" s="1"/>
  <c r="K49" i="22"/>
  <c r="R48" i="22"/>
  <c r="L48" i="22"/>
  <c r="K48" i="22"/>
  <c r="L47" i="22"/>
  <c r="K47" i="22"/>
  <c r="V46" i="22"/>
  <c r="R46" i="22"/>
  <c r="L46" i="22"/>
  <c r="K46" i="22"/>
  <c r="L45" i="22"/>
  <c r="M45" i="22" s="1"/>
  <c r="K45" i="22"/>
  <c r="H45" i="22"/>
  <c r="R44" i="22"/>
  <c r="L44" i="22"/>
  <c r="K44" i="22"/>
  <c r="M43" i="22"/>
  <c r="L43" i="22"/>
  <c r="K43" i="22"/>
  <c r="R42" i="22"/>
  <c r="V42" i="22" s="1"/>
  <c r="L42" i="22"/>
  <c r="K42" i="22"/>
  <c r="L41" i="22"/>
  <c r="M41" i="22" s="1"/>
  <c r="K41" i="22"/>
  <c r="H41" i="22"/>
  <c r="R40" i="22"/>
  <c r="L40" i="22"/>
  <c r="K40" i="22"/>
  <c r="L39" i="22"/>
  <c r="K39" i="22"/>
  <c r="R38" i="22"/>
  <c r="V38" i="22" s="1"/>
  <c r="L38" i="22"/>
  <c r="K38" i="22"/>
  <c r="L37" i="22"/>
  <c r="M37" i="22" s="1"/>
  <c r="K37" i="22"/>
  <c r="H37" i="22"/>
  <c r="R36" i="22"/>
  <c r="L36" i="22"/>
  <c r="K36" i="22"/>
  <c r="L35" i="22"/>
  <c r="K35" i="22"/>
  <c r="R34" i="22"/>
  <c r="V34" i="22" s="1"/>
  <c r="L34" i="22"/>
  <c r="K34" i="22"/>
  <c r="L33" i="22"/>
  <c r="M33" i="22" s="1"/>
  <c r="K33" i="22"/>
  <c r="R32" i="22"/>
  <c r="L32" i="22"/>
  <c r="K32" i="22"/>
  <c r="L31" i="22"/>
  <c r="K31" i="22"/>
  <c r="V30" i="22"/>
  <c r="R30" i="22"/>
  <c r="L30" i="22"/>
  <c r="K30" i="22"/>
  <c r="L29" i="22"/>
  <c r="M29" i="22" s="1"/>
  <c r="K29" i="22"/>
  <c r="H29" i="22"/>
  <c r="R28" i="22"/>
  <c r="L28" i="22"/>
  <c r="K28" i="22"/>
  <c r="R27" i="22"/>
  <c r="U27" i="22" s="1"/>
  <c r="M27" i="22"/>
  <c r="L27" i="22"/>
  <c r="K27" i="22"/>
  <c r="R26" i="22"/>
  <c r="L26" i="22"/>
  <c r="K26" i="22"/>
  <c r="L25" i="22"/>
  <c r="M25" i="22" s="1"/>
  <c r="K25" i="22"/>
  <c r="L24" i="22"/>
  <c r="K24" i="22"/>
  <c r="R23" i="22"/>
  <c r="U23" i="22" s="1"/>
  <c r="M23" i="22"/>
  <c r="L23" i="22"/>
  <c r="V23" i="22" s="1"/>
  <c r="K23" i="22"/>
  <c r="H23" i="22"/>
  <c r="R22" i="22"/>
  <c r="L22" i="22"/>
  <c r="K22" i="22"/>
  <c r="L21" i="22"/>
  <c r="M21" i="22" s="1"/>
  <c r="K21" i="22"/>
  <c r="L20" i="22"/>
  <c r="K20" i="22"/>
  <c r="R19" i="22"/>
  <c r="M19" i="22"/>
  <c r="L19" i="22"/>
  <c r="K19" i="22"/>
  <c r="K50" i="22" s="1"/>
  <c r="R18" i="22"/>
  <c r="I18" i="22"/>
  <c r="H18" i="22"/>
  <c r="E16" i="22"/>
  <c r="P11" i="22"/>
  <c r="P1" i="22"/>
  <c r="P8" i="22" s="1"/>
  <c r="Q50" i="21"/>
  <c r="G50" i="21"/>
  <c r="F50" i="21"/>
  <c r="L49" i="21"/>
  <c r="K49" i="21"/>
  <c r="I49" i="21"/>
  <c r="L48" i="21"/>
  <c r="K48" i="21"/>
  <c r="M48" i="21" s="1"/>
  <c r="L47" i="21"/>
  <c r="K47" i="21"/>
  <c r="I47" i="21"/>
  <c r="L46" i="21"/>
  <c r="K46" i="21"/>
  <c r="M46" i="21" s="1"/>
  <c r="L45" i="21"/>
  <c r="K45" i="21"/>
  <c r="I45" i="21"/>
  <c r="L44" i="21"/>
  <c r="K44" i="21"/>
  <c r="M44" i="21" s="1"/>
  <c r="L43" i="21"/>
  <c r="K43" i="21"/>
  <c r="I43" i="21"/>
  <c r="L42" i="21"/>
  <c r="K42" i="21"/>
  <c r="M42" i="21" s="1"/>
  <c r="L41" i="21"/>
  <c r="K41" i="21"/>
  <c r="I41" i="21"/>
  <c r="L40" i="21"/>
  <c r="K40" i="21"/>
  <c r="M40" i="21" s="1"/>
  <c r="L39" i="21"/>
  <c r="K39" i="21"/>
  <c r="I39" i="21"/>
  <c r="L38" i="21"/>
  <c r="K38" i="21"/>
  <c r="M38" i="21" s="1"/>
  <c r="L37" i="21"/>
  <c r="K37" i="21"/>
  <c r="I37" i="21"/>
  <c r="L36" i="21"/>
  <c r="K36" i="21"/>
  <c r="M36" i="21" s="1"/>
  <c r="L35" i="21"/>
  <c r="K35" i="21"/>
  <c r="I35" i="21"/>
  <c r="L34" i="21"/>
  <c r="K34" i="21"/>
  <c r="M34" i="21" s="1"/>
  <c r="L33" i="21"/>
  <c r="K33" i="21"/>
  <c r="I33" i="21"/>
  <c r="L32" i="21"/>
  <c r="K32" i="21"/>
  <c r="M32" i="21" s="1"/>
  <c r="L31" i="21"/>
  <c r="K31" i="21"/>
  <c r="I31" i="21"/>
  <c r="L30" i="21"/>
  <c r="K30" i="21"/>
  <c r="M30" i="21" s="1"/>
  <c r="L29" i="21"/>
  <c r="K29" i="21"/>
  <c r="I29" i="21"/>
  <c r="L28" i="21"/>
  <c r="K28" i="21"/>
  <c r="M28" i="21" s="1"/>
  <c r="L27" i="21"/>
  <c r="K27" i="21"/>
  <c r="I27" i="21"/>
  <c r="L26" i="21"/>
  <c r="K26" i="21"/>
  <c r="M26" i="21" s="1"/>
  <c r="L25" i="21"/>
  <c r="K25" i="21"/>
  <c r="I25" i="21"/>
  <c r="L24" i="21"/>
  <c r="K24" i="21"/>
  <c r="M24" i="21" s="1"/>
  <c r="L23" i="21"/>
  <c r="K23" i="21"/>
  <c r="I23" i="21"/>
  <c r="L22" i="21"/>
  <c r="K22" i="21"/>
  <c r="M22" i="21" s="1"/>
  <c r="L21" i="21"/>
  <c r="K21" i="21"/>
  <c r="I21" i="21"/>
  <c r="L20" i="21"/>
  <c r="K20" i="21"/>
  <c r="M20" i="21" s="1"/>
  <c r="L19" i="21"/>
  <c r="K19" i="21"/>
  <c r="I19" i="21"/>
  <c r="R18" i="21"/>
  <c r="I18" i="21"/>
  <c r="H18" i="21"/>
  <c r="I48" i="21" s="1"/>
  <c r="T48" i="21" s="1"/>
  <c r="S48" i="21" s="1"/>
  <c r="E16" i="21"/>
  <c r="P11" i="21"/>
  <c r="P8" i="21"/>
  <c r="P1" i="21"/>
  <c r="Q50" i="20"/>
  <c r="G50" i="20"/>
  <c r="F50" i="20"/>
  <c r="R49" i="20"/>
  <c r="L49" i="20"/>
  <c r="K49" i="20"/>
  <c r="U48" i="20"/>
  <c r="L48" i="20"/>
  <c r="K48" i="20"/>
  <c r="M48" i="20" s="1"/>
  <c r="R47" i="20"/>
  <c r="L47" i="20"/>
  <c r="K47" i="20"/>
  <c r="L46" i="20"/>
  <c r="K46" i="20"/>
  <c r="M46" i="20" s="1"/>
  <c r="R45" i="20"/>
  <c r="L45" i="20"/>
  <c r="K45" i="20"/>
  <c r="L44" i="20"/>
  <c r="K44" i="20"/>
  <c r="R43" i="20"/>
  <c r="L43" i="20"/>
  <c r="K43" i="20"/>
  <c r="L42" i="20"/>
  <c r="K42" i="20"/>
  <c r="M42" i="20" s="1"/>
  <c r="R41" i="20"/>
  <c r="L41" i="20"/>
  <c r="K41" i="20"/>
  <c r="U41" i="20" s="1"/>
  <c r="L40" i="20"/>
  <c r="K40" i="20"/>
  <c r="M40" i="20" s="1"/>
  <c r="R39" i="20"/>
  <c r="L39" i="20"/>
  <c r="K39" i="20"/>
  <c r="L38" i="20"/>
  <c r="K38" i="20"/>
  <c r="M38" i="20" s="1"/>
  <c r="R37" i="20"/>
  <c r="L37" i="20"/>
  <c r="K37" i="20"/>
  <c r="L36" i="20"/>
  <c r="K36" i="20"/>
  <c r="R35" i="20"/>
  <c r="L35" i="20"/>
  <c r="K35" i="20"/>
  <c r="L34" i="20"/>
  <c r="K34" i="20"/>
  <c r="M34" i="20" s="1"/>
  <c r="R33" i="20"/>
  <c r="L33" i="20"/>
  <c r="K33" i="20"/>
  <c r="U33" i="20" s="1"/>
  <c r="L32" i="20"/>
  <c r="K32" i="20"/>
  <c r="M32" i="20" s="1"/>
  <c r="R31" i="20"/>
  <c r="L31" i="20"/>
  <c r="K31" i="20"/>
  <c r="L30" i="20"/>
  <c r="K30" i="20"/>
  <c r="M30" i="20" s="1"/>
  <c r="R29" i="20"/>
  <c r="L29" i="20"/>
  <c r="K29" i="20"/>
  <c r="L28" i="20"/>
  <c r="K28" i="20"/>
  <c r="R27" i="20"/>
  <c r="L27" i="20"/>
  <c r="K27" i="20"/>
  <c r="L26" i="20"/>
  <c r="K26" i="20"/>
  <c r="M26" i="20" s="1"/>
  <c r="R25" i="20"/>
  <c r="L25" i="20"/>
  <c r="K25" i="20"/>
  <c r="L24" i="20"/>
  <c r="K24" i="20"/>
  <c r="M24" i="20" s="1"/>
  <c r="R23" i="20"/>
  <c r="L23" i="20"/>
  <c r="K23" i="20"/>
  <c r="L22" i="20"/>
  <c r="K22" i="20"/>
  <c r="M22" i="20" s="1"/>
  <c r="R21" i="20"/>
  <c r="L21" i="20"/>
  <c r="K21" i="20"/>
  <c r="L20" i="20"/>
  <c r="K20" i="20"/>
  <c r="R19" i="20"/>
  <c r="L19" i="20"/>
  <c r="K19" i="20"/>
  <c r="R18" i="20"/>
  <c r="R48" i="20" s="1"/>
  <c r="I18" i="20"/>
  <c r="H18" i="20"/>
  <c r="E16" i="20"/>
  <c r="H48" i="20" s="1"/>
  <c r="P11" i="20"/>
  <c r="P8" i="20"/>
  <c r="P1" i="20"/>
  <c r="Q50" i="19"/>
  <c r="G50" i="19"/>
  <c r="F50" i="19"/>
  <c r="P11" i="19" s="1"/>
  <c r="M49" i="19"/>
  <c r="L49" i="19"/>
  <c r="K49" i="19"/>
  <c r="R48" i="19"/>
  <c r="V48" i="19" s="1"/>
  <c r="L48" i="19"/>
  <c r="K48" i="19"/>
  <c r="M48" i="19" s="1"/>
  <c r="I48" i="19"/>
  <c r="T48" i="19" s="1"/>
  <c r="S48" i="19" s="1"/>
  <c r="L47" i="19"/>
  <c r="K47" i="19"/>
  <c r="R46" i="19"/>
  <c r="V46" i="19" s="1"/>
  <c r="L46" i="19"/>
  <c r="K46" i="19"/>
  <c r="M46" i="19" s="1"/>
  <c r="I46" i="19"/>
  <c r="T46" i="19" s="1"/>
  <c r="S46" i="19" s="1"/>
  <c r="L45" i="19"/>
  <c r="M45" i="19" s="1"/>
  <c r="K45" i="19"/>
  <c r="R44" i="19"/>
  <c r="V44" i="19" s="1"/>
  <c r="L44" i="19"/>
  <c r="K44" i="19"/>
  <c r="M44" i="19" s="1"/>
  <c r="I44" i="19"/>
  <c r="T44" i="19" s="1"/>
  <c r="S44" i="19" s="1"/>
  <c r="L43" i="19"/>
  <c r="K43" i="19"/>
  <c r="R42" i="19"/>
  <c r="V42" i="19" s="1"/>
  <c r="L42" i="19"/>
  <c r="K42" i="19"/>
  <c r="M42" i="19" s="1"/>
  <c r="I42" i="19"/>
  <c r="T42" i="19" s="1"/>
  <c r="S42" i="19" s="1"/>
  <c r="L41" i="19"/>
  <c r="K41" i="19"/>
  <c r="R40" i="19"/>
  <c r="V40" i="19" s="1"/>
  <c r="L40" i="19"/>
  <c r="K40" i="19"/>
  <c r="M40" i="19" s="1"/>
  <c r="I40" i="19"/>
  <c r="T40" i="19" s="1"/>
  <c r="S40" i="19" s="1"/>
  <c r="L39" i="19"/>
  <c r="K39" i="19"/>
  <c r="R38" i="19"/>
  <c r="V38" i="19" s="1"/>
  <c r="L38" i="19"/>
  <c r="K38" i="19"/>
  <c r="M38" i="19" s="1"/>
  <c r="I38" i="19"/>
  <c r="T38" i="19" s="1"/>
  <c r="S38" i="19" s="1"/>
  <c r="L37" i="19"/>
  <c r="K37" i="19"/>
  <c r="R36" i="19"/>
  <c r="V36" i="19" s="1"/>
  <c r="L36" i="19"/>
  <c r="K36" i="19"/>
  <c r="M36" i="19" s="1"/>
  <c r="I36" i="19"/>
  <c r="T36" i="19" s="1"/>
  <c r="S36" i="19" s="1"/>
  <c r="L35" i="19"/>
  <c r="K35" i="19"/>
  <c r="R34" i="19"/>
  <c r="V34" i="19" s="1"/>
  <c r="L34" i="19"/>
  <c r="K34" i="19"/>
  <c r="M34" i="19" s="1"/>
  <c r="I34" i="19"/>
  <c r="T34" i="19" s="1"/>
  <c r="S34" i="19" s="1"/>
  <c r="L33" i="19"/>
  <c r="K33" i="19"/>
  <c r="R32" i="19"/>
  <c r="V32" i="19" s="1"/>
  <c r="L32" i="19"/>
  <c r="K32" i="19"/>
  <c r="M32" i="19" s="1"/>
  <c r="I32" i="19"/>
  <c r="T32" i="19" s="1"/>
  <c r="S32" i="19" s="1"/>
  <c r="L31" i="19"/>
  <c r="K31" i="19"/>
  <c r="R30" i="19"/>
  <c r="V30" i="19" s="1"/>
  <c r="L30" i="19"/>
  <c r="K30" i="19"/>
  <c r="M30" i="19" s="1"/>
  <c r="I30" i="19"/>
  <c r="T30" i="19" s="1"/>
  <c r="S30" i="19" s="1"/>
  <c r="L29" i="19"/>
  <c r="M29" i="19" s="1"/>
  <c r="K29" i="19"/>
  <c r="R28" i="19"/>
  <c r="V28" i="19" s="1"/>
  <c r="L28" i="19"/>
  <c r="K28" i="19"/>
  <c r="M28" i="19" s="1"/>
  <c r="I28" i="19"/>
  <c r="T28" i="19" s="1"/>
  <c r="S28" i="19" s="1"/>
  <c r="L27" i="19"/>
  <c r="M27" i="19" s="1"/>
  <c r="K27" i="19"/>
  <c r="R26" i="19"/>
  <c r="V26" i="19" s="1"/>
  <c r="L26" i="19"/>
  <c r="K26" i="19"/>
  <c r="M26" i="19" s="1"/>
  <c r="I26" i="19"/>
  <c r="T26" i="19" s="1"/>
  <c r="S26" i="19" s="1"/>
  <c r="L25" i="19"/>
  <c r="K25" i="19"/>
  <c r="R24" i="19"/>
  <c r="V24" i="19" s="1"/>
  <c r="L24" i="19"/>
  <c r="K24" i="19"/>
  <c r="M24" i="19" s="1"/>
  <c r="I24" i="19"/>
  <c r="T24" i="19" s="1"/>
  <c r="S24" i="19" s="1"/>
  <c r="L23" i="19"/>
  <c r="K23" i="19"/>
  <c r="R22" i="19"/>
  <c r="V22" i="19" s="1"/>
  <c r="L22" i="19"/>
  <c r="K22" i="19"/>
  <c r="M22" i="19" s="1"/>
  <c r="I22" i="19"/>
  <c r="T22" i="19" s="1"/>
  <c r="S22" i="19" s="1"/>
  <c r="L21" i="19"/>
  <c r="K21" i="19"/>
  <c r="R20" i="19"/>
  <c r="V20" i="19" s="1"/>
  <c r="L20" i="19"/>
  <c r="K20" i="19"/>
  <c r="I20" i="19"/>
  <c r="L19" i="19"/>
  <c r="M19" i="19" s="1"/>
  <c r="K19" i="19"/>
  <c r="R18" i="19"/>
  <c r="I18" i="19"/>
  <c r="H18" i="19"/>
  <c r="I33" i="19" s="1"/>
  <c r="E16" i="19"/>
  <c r="P8" i="19"/>
  <c r="P1" i="19"/>
  <c r="Q50" i="18"/>
  <c r="L50" i="18"/>
  <c r="G50" i="18"/>
  <c r="F50" i="18"/>
  <c r="M49" i="18"/>
  <c r="L49" i="18"/>
  <c r="K49" i="18"/>
  <c r="L48" i="18"/>
  <c r="K48" i="18"/>
  <c r="M48" i="18" s="1"/>
  <c r="I48" i="18"/>
  <c r="M47" i="18"/>
  <c r="T47" i="18" s="1"/>
  <c r="S47" i="18" s="1"/>
  <c r="L47" i="18"/>
  <c r="K47" i="18"/>
  <c r="L46" i="18"/>
  <c r="K46" i="18"/>
  <c r="M46" i="18" s="1"/>
  <c r="I46" i="18"/>
  <c r="M45" i="18"/>
  <c r="L45" i="18"/>
  <c r="K45" i="18"/>
  <c r="L44" i="18"/>
  <c r="K44" i="18"/>
  <c r="M44" i="18" s="1"/>
  <c r="I44" i="18"/>
  <c r="M43" i="18"/>
  <c r="L43" i="18"/>
  <c r="K43" i="18"/>
  <c r="L42" i="18"/>
  <c r="K42" i="18"/>
  <c r="M42" i="18" s="1"/>
  <c r="I42" i="18"/>
  <c r="M41" i="18"/>
  <c r="L41" i="18"/>
  <c r="K41" i="18"/>
  <c r="L40" i="18"/>
  <c r="K40" i="18"/>
  <c r="M40" i="18" s="1"/>
  <c r="I40" i="18"/>
  <c r="M39" i="18"/>
  <c r="L39" i="18"/>
  <c r="K39" i="18"/>
  <c r="L38" i="18"/>
  <c r="K38" i="18"/>
  <c r="M38" i="18" s="1"/>
  <c r="I38" i="18"/>
  <c r="M37" i="18"/>
  <c r="L37" i="18"/>
  <c r="K37" i="18"/>
  <c r="L36" i="18"/>
  <c r="K36" i="18"/>
  <c r="M36" i="18" s="1"/>
  <c r="I36" i="18"/>
  <c r="M35" i="18"/>
  <c r="L35" i="18"/>
  <c r="K35" i="18"/>
  <c r="L34" i="18"/>
  <c r="K34" i="18"/>
  <c r="M34" i="18" s="1"/>
  <c r="I34" i="18"/>
  <c r="M33" i="18"/>
  <c r="L33" i="18"/>
  <c r="K33" i="18"/>
  <c r="L32" i="18"/>
  <c r="K32" i="18"/>
  <c r="M32" i="18" s="1"/>
  <c r="I32" i="18"/>
  <c r="M31" i="18"/>
  <c r="L31" i="18"/>
  <c r="K31" i="18"/>
  <c r="L30" i="18"/>
  <c r="K30" i="18"/>
  <c r="M30" i="18" s="1"/>
  <c r="I30" i="18"/>
  <c r="M29" i="18"/>
  <c r="L29" i="18"/>
  <c r="K29" i="18"/>
  <c r="L28" i="18"/>
  <c r="K28" i="18"/>
  <c r="M28" i="18" s="1"/>
  <c r="I28" i="18"/>
  <c r="M27" i="18"/>
  <c r="L27" i="18"/>
  <c r="K27" i="18"/>
  <c r="L26" i="18"/>
  <c r="K26" i="18"/>
  <c r="M26" i="18" s="1"/>
  <c r="I26" i="18"/>
  <c r="M25" i="18"/>
  <c r="L25" i="18"/>
  <c r="K25" i="18"/>
  <c r="L24" i="18"/>
  <c r="K24" i="18"/>
  <c r="M24" i="18" s="1"/>
  <c r="I24" i="18"/>
  <c r="M23" i="18"/>
  <c r="L23" i="18"/>
  <c r="K23" i="18"/>
  <c r="L22" i="18"/>
  <c r="K22" i="18"/>
  <c r="M22" i="18" s="1"/>
  <c r="I22" i="18"/>
  <c r="M21" i="18"/>
  <c r="L21" i="18"/>
  <c r="K21" i="18"/>
  <c r="L20" i="18"/>
  <c r="K20" i="18"/>
  <c r="M20" i="18" s="1"/>
  <c r="I20" i="18"/>
  <c r="M19" i="18"/>
  <c r="M50" i="18" s="1"/>
  <c r="P3" i="18" s="1"/>
  <c r="L19" i="18"/>
  <c r="K19" i="18"/>
  <c r="R18" i="18"/>
  <c r="I18" i="18"/>
  <c r="H18" i="18"/>
  <c r="I47" i="18" s="1"/>
  <c r="E16" i="18"/>
  <c r="P11" i="18"/>
  <c r="P8" i="18"/>
  <c r="P1" i="18"/>
  <c r="Q50" i="17"/>
  <c r="G50" i="17"/>
  <c r="F50" i="17"/>
  <c r="L49" i="17"/>
  <c r="K49" i="17"/>
  <c r="L48" i="17"/>
  <c r="K48" i="17"/>
  <c r="M48" i="17" s="1"/>
  <c r="I48" i="17"/>
  <c r="T48" i="17" s="1"/>
  <c r="S48" i="17" s="1"/>
  <c r="L47" i="17"/>
  <c r="K47" i="17"/>
  <c r="L46" i="17"/>
  <c r="K46" i="17"/>
  <c r="M46" i="17" s="1"/>
  <c r="I46" i="17"/>
  <c r="T46" i="17" s="1"/>
  <c r="S46" i="17" s="1"/>
  <c r="L45" i="17"/>
  <c r="K45" i="17"/>
  <c r="L44" i="17"/>
  <c r="K44" i="17"/>
  <c r="M44" i="17" s="1"/>
  <c r="I44" i="17"/>
  <c r="T44" i="17" s="1"/>
  <c r="S44" i="17" s="1"/>
  <c r="L43" i="17"/>
  <c r="K43" i="17"/>
  <c r="L42" i="17"/>
  <c r="K42" i="17"/>
  <c r="M42" i="17" s="1"/>
  <c r="I42" i="17"/>
  <c r="T42" i="17" s="1"/>
  <c r="S42" i="17" s="1"/>
  <c r="L41" i="17"/>
  <c r="K41" i="17"/>
  <c r="L40" i="17"/>
  <c r="K40" i="17"/>
  <c r="M40" i="17" s="1"/>
  <c r="I40" i="17"/>
  <c r="T40" i="17" s="1"/>
  <c r="S40" i="17" s="1"/>
  <c r="L39" i="17"/>
  <c r="M39" i="17" s="1"/>
  <c r="K39" i="17"/>
  <c r="L38" i="17"/>
  <c r="K38" i="17"/>
  <c r="M38" i="17" s="1"/>
  <c r="I38" i="17"/>
  <c r="T38" i="17" s="1"/>
  <c r="S38" i="17" s="1"/>
  <c r="L37" i="17"/>
  <c r="M37" i="17" s="1"/>
  <c r="K37" i="17"/>
  <c r="L36" i="17"/>
  <c r="K36" i="17"/>
  <c r="M36" i="17" s="1"/>
  <c r="I36" i="17"/>
  <c r="T36" i="17" s="1"/>
  <c r="S36" i="17" s="1"/>
  <c r="L35" i="17"/>
  <c r="K35" i="17"/>
  <c r="L34" i="17"/>
  <c r="K34" i="17"/>
  <c r="M34" i="17" s="1"/>
  <c r="I34" i="17"/>
  <c r="T34" i="17" s="1"/>
  <c r="S34" i="17" s="1"/>
  <c r="L33" i="17"/>
  <c r="K33" i="17"/>
  <c r="L32" i="17"/>
  <c r="K32" i="17"/>
  <c r="M32" i="17" s="1"/>
  <c r="I32" i="17"/>
  <c r="T32" i="17" s="1"/>
  <c r="S32" i="17" s="1"/>
  <c r="L31" i="17"/>
  <c r="K31" i="17"/>
  <c r="L30" i="17"/>
  <c r="K30" i="17"/>
  <c r="M30" i="17" s="1"/>
  <c r="I30" i="17"/>
  <c r="T30" i="17" s="1"/>
  <c r="S30" i="17" s="1"/>
  <c r="L29" i="17"/>
  <c r="K29" i="17"/>
  <c r="L28" i="17"/>
  <c r="K28" i="17"/>
  <c r="M28" i="17" s="1"/>
  <c r="I28" i="17"/>
  <c r="T28" i="17" s="1"/>
  <c r="S28" i="17" s="1"/>
  <c r="L27" i="17"/>
  <c r="K27" i="17"/>
  <c r="L26" i="17"/>
  <c r="K26" i="17"/>
  <c r="M26" i="17" s="1"/>
  <c r="I26" i="17"/>
  <c r="T26" i="17" s="1"/>
  <c r="S26" i="17" s="1"/>
  <c r="L25" i="17"/>
  <c r="K25" i="17"/>
  <c r="L24" i="17"/>
  <c r="K24" i="17"/>
  <c r="M24" i="17" s="1"/>
  <c r="I24" i="17"/>
  <c r="T24" i="17" s="1"/>
  <c r="S24" i="17" s="1"/>
  <c r="L23" i="17"/>
  <c r="K23" i="17"/>
  <c r="L22" i="17"/>
  <c r="K22" i="17"/>
  <c r="M22" i="17" s="1"/>
  <c r="I22" i="17"/>
  <c r="T22" i="17" s="1"/>
  <c r="S22" i="17" s="1"/>
  <c r="L21" i="17"/>
  <c r="K21" i="17"/>
  <c r="L20" i="17"/>
  <c r="K20" i="17"/>
  <c r="M20" i="17" s="1"/>
  <c r="I20" i="17"/>
  <c r="T20" i="17" s="1"/>
  <c r="S20" i="17" s="1"/>
  <c r="L19" i="17"/>
  <c r="K19" i="17"/>
  <c r="R18" i="17"/>
  <c r="I18" i="17"/>
  <c r="H18" i="17"/>
  <c r="I49" i="17" s="1"/>
  <c r="E16" i="17"/>
  <c r="P11" i="17"/>
  <c r="P8" i="17"/>
  <c r="P1" i="17"/>
  <c r="Q50" i="16"/>
  <c r="L50" i="16"/>
  <c r="G50" i="16"/>
  <c r="F50" i="16"/>
  <c r="L49" i="16"/>
  <c r="K49" i="16"/>
  <c r="R48" i="16"/>
  <c r="V48" i="16" s="1"/>
  <c r="L48" i="16"/>
  <c r="K48" i="16"/>
  <c r="M48" i="16" s="1"/>
  <c r="I48" i="16"/>
  <c r="T48" i="16" s="1"/>
  <c r="S48" i="16" s="1"/>
  <c r="L47" i="16"/>
  <c r="K47" i="16"/>
  <c r="R46" i="16"/>
  <c r="V46" i="16" s="1"/>
  <c r="L46" i="16"/>
  <c r="K46" i="16"/>
  <c r="M46" i="16" s="1"/>
  <c r="I46" i="16"/>
  <c r="T46" i="16" s="1"/>
  <c r="S46" i="16" s="1"/>
  <c r="L45" i="16"/>
  <c r="M45" i="16" s="1"/>
  <c r="K45" i="16"/>
  <c r="R44" i="16"/>
  <c r="V44" i="16" s="1"/>
  <c r="L44" i="16"/>
  <c r="K44" i="16"/>
  <c r="M44" i="16" s="1"/>
  <c r="I44" i="16"/>
  <c r="T44" i="16" s="1"/>
  <c r="S44" i="16" s="1"/>
  <c r="L43" i="16"/>
  <c r="K43" i="16"/>
  <c r="R42" i="16"/>
  <c r="V42" i="16" s="1"/>
  <c r="L42" i="16"/>
  <c r="K42" i="16"/>
  <c r="M42" i="16" s="1"/>
  <c r="I42" i="16"/>
  <c r="T42" i="16" s="1"/>
  <c r="S42" i="16" s="1"/>
  <c r="L41" i="16"/>
  <c r="K41" i="16"/>
  <c r="R40" i="16"/>
  <c r="V40" i="16" s="1"/>
  <c r="L40" i="16"/>
  <c r="K40" i="16"/>
  <c r="M40" i="16" s="1"/>
  <c r="I40" i="16"/>
  <c r="T40" i="16" s="1"/>
  <c r="S40" i="16" s="1"/>
  <c r="L39" i="16"/>
  <c r="M39" i="16" s="1"/>
  <c r="K39" i="16"/>
  <c r="R38" i="16"/>
  <c r="V38" i="16" s="1"/>
  <c r="L38" i="16"/>
  <c r="K38" i="16"/>
  <c r="M38" i="16" s="1"/>
  <c r="I38" i="16"/>
  <c r="T38" i="16" s="1"/>
  <c r="S38" i="16" s="1"/>
  <c r="L37" i="16"/>
  <c r="K37" i="16"/>
  <c r="R36" i="16"/>
  <c r="V36" i="16" s="1"/>
  <c r="L36" i="16"/>
  <c r="K36" i="16"/>
  <c r="M36" i="16" s="1"/>
  <c r="I36" i="16"/>
  <c r="T36" i="16" s="1"/>
  <c r="S36" i="16" s="1"/>
  <c r="L35" i="16"/>
  <c r="K35" i="16"/>
  <c r="R34" i="16"/>
  <c r="V34" i="16" s="1"/>
  <c r="L34" i="16"/>
  <c r="K34" i="16"/>
  <c r="M34" i="16" s="1"/>
  <c r="I34" i="16"/>
  <c r="T34" i="16" s="1"/>
  <c r="S34" i="16" s="1"/>
  <c r="L33" i="16"/>
  <c r="K33" i="16"/>
  <c r="R32" i="16"/>
  <c r="V32" i="16" s="1"/>
  <c r="L32" i="16"/>
  <c r="K32" i="16"/>
  <c r="M32" i="16" s="1"/>
  <c r="I32" i="16"/>
  <c r="T32" i="16" s="1"/>
  <c r="S32" i="16" s="1"/>
  <c r="L31" i="16"/>
  <c r="M31" i="16" s="1"/>
  <c r="K31" i="16"/>
  <c r="R30" i="16"/>
  <c r="V30" i="16" s="1"/>
  <c r="L30" i="16"/>
  <c r="K30" i="16"/>
  <c r="M30" i="16" s="1"/>
  <c r="I30" i="16"/>
  <c r="T30" i="16" s="1"/>
  <c r="S30" i="16" s="1"/>
  <c r="L29" i="16"/>
  <c r="K29" i="16"/>
  <c r="R28" i="16"/>
  <c r="V28" i="16" s="1"/>
  <c r="L28" i="16"/>
  <c r="K28" i="16"/>
  <c r="M28" i="16" s="1"/>
  <c r="I28" i="16"/>
  <c r="T28" i="16" s="1"/>
  <c r="S28" i="16" s="1"/>
  <c r="L27" i="16"/>
  <c r="M27" i="16" s="1"/>
  <c r="K27" i="16"/>
  <c r="R26" i="16"/>
  <c r="V26" i="16" s="1"/>
  <c r="L26" i="16"/>
  <c r="K26" i="16"/>
  <c r="M26" i="16" s="1"/>
  <c r="I26" i="16"/>
  <c r="T26" i="16" s="1"/>
  <c r="S26" i="16" s="1"/>
  <c r="L25" i="16"/>
  <c r="M25" i="16" s="1"/>
  <c r="K25" i="16"/>
  <c r="R24" i="16"/>
  <c r="V24" i="16" s="1"/>
  <c r="L24" i="16"/>
  <c r="K24" i="16"/>
  <c r="M24" i="16" s="1"/>
  <c r="I24" i="16"/>
  <c r="T24" i="16" s="1"/>
  <c r="S24" i="16" s="1"/>
  <c r="L23" i="16"/>
  <c r="M23" i="16" s="1"/>
  <c r="K23" i="16"/>
  <c r="R22" i="16"/>
  <c r="V22" i="16" s="1"/>
  <c r="L22" i="16"/>
  <c r="K22" i="16"/>
  <c r="M22" i="16" s="1"/>
  <c r="I22" i="16"/>
  <c r="T22" i="16" s="1"/>
  <c r="S22" i="16" s="1"/>
  <c r="L21" i="16"/>
  <c r="M21" i="16" s="1"/>
  <c r="K21" i="16"/>
  <c r="R20" i="16"/>
  <c r="V20" i="16" s="1"/>
  <c r="L20" i="16"/>
  <c r="K20" i="16"/>
  <c r="M20" i="16" s="1"/>
  <c r="I20" i="16"/>
  <c r="T20" i="16" s="1"/>
  <c r="S20" i="16" s="1"/>
  <c r="L19" i="16"/>
  <c r="K19" i="16"/>
  <c r="K50" i="16" s="1"/>
  <c r="R18" i="16"/>
  <c r="I18" i="16"/>
  <c r="H18" i="16"/>
  <c r="I47" i="16" s="1"/>
  <c r="E16" i="16"/>
  <c r="P11" i="16"/>
  <c r="P8" i="16"/>
  <c r="P1" i="16"/>
  <c r="Q50" i="15"/>
  <c r="L50" i="15"/>
  <c r="G50" i="15"/>
  <c r="F50" i="15"/>
  <c r="L49" i="15"/>
  <c r="K49" i="15"/>
  <c r="R48" i="15"/>
  <c r="V48" i="15" s="1"/>
  <c r="L48" i="15"/>
  <c r="U48" i="15" s="1"/>
  <c r="K48" i="15"/>
  <c r="M48" i="15" s="1"/>
  <c r="I48" i="15"/>
  <c r="T48" i="15" s="1"/>
  <c r="S48" i="15" s="1"/>
  <c r="L47" i="15"/>
  <c r="K47" i="15"/>
  <c r="R46" i="15"/>
  <c r="V46" i="15" s="1"/>
  <c r="L46" i="15"/>
  <c r="U46" i="15" s="1"/>
  <c r="K46" i="15"/>
  <c r="M46" i="15" s="1"/>
  <c r="I46" i="15"/>
  <c r="T46" i="15" s="1"/>
  <c r="S46" i="15" s="1"/>
  <c r="L45" i="15"/>
  <c r="K45" i="15"/>
  <c r="R44" i="15"/>
  <c r="V44" i="15" s="1"/>
  <c r="L44" i="15"/>
  <c r="U44" i="15" s="1"/>
  <c r="K44" i="15"/>
  <c r="M44" i="15" s="1"/>
  <c r="I44" i="15"/>
  <c r="T44" i="15" s="1"/>
  <c r="S44" i="15" s="1"/>
  <c r="L43" i="15"/>
  <c r="K43" i="15"/>
  <c r="R42" i="15"/>
  <c r="V42" i="15" s="1"/>
  <c r="L42" i="15"/>
  <c r="U42" i="15" s="1"/>
  <c r="K42" i="15"/>
  <c r="M42" i="15" s="1"/>
  <c r="I42" i="15"/>
  <c r="T42" i="15" s="1"/>
  <c r="S42" i="15" s="1"/>
  <c r="L41" i="15"/>
  <c r="K41" i="15"/>
  <c r="R40" i="15"/>
  <c r="V40" i="15" s="1"/>
  <c r="L40" i="15"/>
  <c r="U40" i="15" s="1"/>
  <c r="K40" i="15"/>
  <c r="M40" i="15" s="1"/>
  <c r="I40" i="15"/>
  <c r="T40" i="15" s="1"/>
  <c r="S40" i="15" s="1"/>
  <c r="L39" i="15"/>
  <c r="K39" i="15"/>
  <c r="R38" i="15"/>
  <c r="V38" i="15" s="1"/>
  <c r="L38" i="15"/>
  <c r="U38" i="15" s="1"/>
  <c r="K38" i="15"/>
  <c r="M38" i="15" s="1"/>
  <c r="I38" i="15"/>
  <c r="T38" i="15" s="1"/>
  <c r="S38" i="15" s="1"/>
  <c r="L37" i="15"/>
  <c r="K37" i="15"/>
  <c r="R36" i="15"/>
  <c r="V36" i="15" s="1"/>
  <c r="L36" i="15"/>
  <c r="U36" i="15" s="1"/>
  <c r="K36" i="15"/>
  <c r="M36" i="15" s="1"/>
  <c r="I36" i="15"/>
  <c r="T36" i="15" s="1"/>
  <c r="S36" i="15" s="1"/>
  <c r="L35" i="15"/>
  <c r="K35" i="15"/>
  <c r="R34" i="15"/>
  <c r="V34" i="15" s="1"/>
  <c r="L34" i="15"/>
  <c r="U34" i="15" s="1"/>
  <c r="K34" i="15"/>
  <c r="M34" i="15" s="1"/>
  <c r="I34" i="15"/>
  <c r="T34" i="15" s="1"/>
  <c r="S34" i="15" s="1"/>
  <c r="L33" i="15"/>
  <c r="K33" i="15"/>
  <c r="R32" i="15"/>
  <c r="V32" i="15" s="1"/>
  <c r="L32" i="15"/>
  <c r="U32" i="15" s="1"/>
  <c r="K32" i="15"/>
  <c r="M32" i="15" s="1"/>
  <c r="I32" i="15"/>
  <c r="T32" i="15" s="1"/>
  <c r="S32" i="15" s="1"/>
  <c r="L31" i="15"/>
  <c r="K31" i="15"/>
  <c r="R30" i="15"/>
  <c r="V30" i="15" s="1"/>
  <c r="L30" i="15"/>
  <c r="U30" i="15" s="1"/>
  <c r="K30" i="15"/>
  <c r="M30" i="15" s="1"/>
  <c r="I30" i="15"/>
  <c r="T30" i="15" s="1"/>
  <c r="S30" i="15" s="1"/>
  <c r="L29" i="15"/>
  <c r="K29" i="15"/>
  <c r="R28" i="15"/>
  <c r="V28" i="15" s="1"/>
  <c r="L28" i="15"/>
  <c r="U28" i="15" s="1"/>
  <c r="K28" i="15"/>
  <c r="M28" i="15" s="1"/>
  <c r="I28" i="15"/>
  <c r="T28" i="15" s="1"/>
  <c r="S28" i="15" s="1"/>
  <c r="L27" i="15"/>
  <c r="K27" i="15"/>
  <c r="R26" i="15"/>
  <c r="V26" i="15" s="1"/>
  <c r="L26" i="15"/>
  <c r="U26" i="15" s="1"/>
  <c r="K26" i="15"/>
  <c r="M26" i="15" s="1"/>
  <c r="I26" i="15"/>
  <c r="T26" i="15" s="1"/>
  <c r="S26" i="15" s="1"/>
  <c r="L25" i="15"/>
  <c r="K25" i="15"/>
  <c r="R24" i="15"/>
  <c r="V24" i="15" s="1"/>
  <c r="L24" i="15"/>
  <c r="U24" i="15" s="1"/>
  <c r="K24" i="15"/>
  <c r="M24" i="15" s="1"/>
  <c r="I24" i="15"/>
  <c r="T24" i="15" s="1"/>
  <c r="S24" i="15" s="1"/>
  <c r="L23" i="15"/>
  <c r="K23" i="15"/>
  <c r="R22" i="15"/>
  <c r="V22" i="15" s="1"/>
  <c r="L22" i="15"/>
  <c r="U22" i="15" s="1"/>
  <c r="K22" i="15"/>
  <c r="M22" i="15" s="1"/>
  <c r="I22" i="15"/>
  <c r="T22" i="15" s="1"/>
  <c r="S22" i="15" s="1"/>
  <c r="L21" i="15"/>
  <c r="K21" i="15"/>
  <c r="R20" i="15"/>
  <c r="V20" i="15" s="1"/>
  <c r="L20" i="15"/>
  <c r="U20" i="15" s="1"/>
  <c r="K20" i="15"/>
  <c r="M20" i="15" s="1"/>
  <c r="I20" i="15"/>
  <c r="T20" i="15" s="1"/>
  <c r="S20" i="15" s="1"/>
  <c r="L19" i="15"/>
  <c r="K19" i="15"/>
  <c r="K50" i="15" s="1"/>
  <c r="R18" i="15"/>
  <c r="I18" i="15"/>
  <c r="H18" i="15"/>
  <c r="I45" i="15" s="1"/>
  <c r="E16" i="15"/>
  <c r="H49" i="15" s="1"/>
  <c r="P11" i="15"/>
  <c r="P8" i="15"/>
  <c r="P1" i="15"/>
  <c r="Q50" i="14"/>
  <c r="L50" i="14"/>
  <c r="G50" i="14"/>
  <c r="F50" i="14"/>
  <c r="M49" i="14"/>
  <c r="L49" i="14"/>
  <c r="K49" i="14"/>
  <c r="L48" i="14"/>
  <c r="K48" i="14"/>
  <c r="M48" i="14" s="1"/>
  <c r="I48" i="14"/>
  <c r="M47" i="14"/>
  <c r="L47" i="14"/>
  <c r="K47" i="14"/>
  <c r="L46" i="14"/>
  <c r="K46" i="14"/>
  <c r="M46" i="14" s="1"/>
  <c r="I46" i="14"/>
  <c r="M45" i="14"/>
  <c r="T45" i="14" s="1"/>
  <c r="S45" i="14" s="1"/>
  <c r="L45" i="14"/>
  <c r="K45" i="14"/>
  <c r="L44" i="14"/>
  <c r="K44" i="14"/>
  <c r="M44" i="14" s="1"/>
  <c r="I44" i="14"/>
  <c r="M43" i="14"/>
  <c r="L43" i="14"/>
  <c r="K43" i="14"/>
  <c r="L42" i="14"/>
  <c r="K42" i="14"/>
  <c r="M42" i="14" s="1"/>
  <c r="I42" i="14"/>
  <c r="M41" i="14"/>
  <c r="L41" i="14"/>
  <c r="K41" i="14"/>
  <c r="L40" i="14"/>
  <c r="K40" i="14"/>
  <c r="M40" i="14" s="1"/>
  <c r="I40" i="14"/>
  <c r="M39" i="14"/>
  <c r="L39" i="14"/>
  <c r="K39" i="14"/>
  <c r="L38" i="14"/>
  <c r="K38" i="14"/>
  <c r="M38" i="14" s="1"/>
  <c r="I38" i="14"/>
  <c r="M37" i="14"/>
  <c r="L37" i="14"/>
  <c r="K37" i="14"/>
  <c r="L36" i="14"/>
  <c r="K36" i="14"/>
  <c r="M36" i="14" s="1"/>
  <c r="I36" i="14"/>
  <c r="M35" i="14"/>
  <c r="L35" i="14"/>
  <c r="K35" i="14"/>
  <c r="L34" i="14"/>
  <c r="K34" i="14"/>
  <c r="M34" i="14" s="1"/>
  <c r="I34" i="14"/>
  <c r="M33" i="14"/>
  <c r="L33" i="14"/>
  <c r="K33" i="14"/>
  <c r="L32" i="14"/>
  <c r="K32" i="14"/>
  <c r="M32" i="14" s="1"/>
  <c r="I32" i="14"/>
  <c r="M31" i="14"/>
  <c r="L31" i="14"/>
  <c r="K31" i="14"/>
  <c r="L30" i="14"/>
  <c r="K30" i="14"/>
  <c r="M30" i="14" s="1"/>
  <c r="I30" i="14"/>
  <c r="M29" i="14"/>
  <c r="L29" i="14"/>
  <c r="K29" i="14"/>
  <c r="L28" i="14"/>
  <c r="K28" i="14"/>
  <c r="M28" i="14" s="1"/>
  <c r="I28" i="14"/>
  <c r="M27" i="14"/>
  <c r="L27" i="14"/>
  <c r="K27" i="14"/>
  <c r="L26" i="14"/>
  <c r="K26" i="14"/>
  <c r="M26" i="14" s="1"/>
  <c r="I26" i="14"/>
  <c r="M25" i="14"/>
  <c r="L25" i="14"/>
  <c r="K25" i="14"/>
  <c r="L24" i="14"/>
  <c r="K24" i="14"/>
  <c r="M24" i="14" s="1"/>
  <c r="I24" i="14"/>
  <c r="M23" i="14"/>
  <c r="L23" i="14"/>
  <c r="K23" i="14"/>
  <c r="L22" i="14"/>
  <c r="K22" i="14"/>
  <c r="M22" i="14" s="1"/>
  <c r="I22" i="14"/>
  <c r="M21" i="14"/>
  <c r="L21" i="14"/>
  <c r="K21" i="14"/>
  <c r="L20" i="14"/>
  <c r="K20" i="14"/>
  <c r="M20" i="14" s="1"/>
  <c r="I20" i="14"/>
  <c r="M19" i="14"/>
  <c r="M50" i="14" s="1"/>
  <c r="P3" i="14" s="1"/>
  <c r="L19" i="14"/>
  <c r="K19" i="14"/>
  <c r="R18" i="14"/>
  <c r="R48" i="14" s="1"/>
  <c r="V48" i="14" s="1"/>
  <c r="I18" i="14"/>
  <c r="H18" i="14"/>
  <c r="I45" i="14" s="1"/>
  <c r="E16" i="14"/>
  <c r="H49" i="14" s="1"/>
  <c r="P11" i="14"/>
  <c r="P8" i="14"/>
  <c r="P1" i="14"/>
  <c r="Q50" i="13"/>
  <c r="G50" i="13"/>
  <c r="F50" i="13"/>
  <c r="L49" i="13"/>
  <c r="K49" i="13"/>
  <c r="L48" i="13"/>
  <c r="K48" i="13"/>
  <c r="M48" i="13" s="1"/>
  <c r="I48" i="13"/>
  <c r="T48" i="13" s="1"/>
  <c r="S48" i="13" s="1"/>
  <c r="L47" i="13"/>
  <c r="K47" i="13"/>
  <c r="L46" i="13"/>
  <c r="K46" i="13"/>
  <c r="M46" i="13" s="1"/>
  <c r="I46" i="13"/>
  <c r="T46" i="13" s="1"/>
  <c r="S46" i="13" s="1"/>
  <c r="L45" i="13"/>
  <c r="M45" i="13" s="1"/>
  <c r="K45" i="13"/>
  <c r="L44" i="13"/>
  <c r="K44" i="13"/>
  <c r="M44" i="13" s="1"/>
  <c r="I44" i="13"/>
  <c r="T44" i="13" s="1"/>
  <c r="S44" i="13" s="1"/>
  <c r="L43" i="13"/>
  <c r="K43" i="13"/>
  <c r="L42" i="13"/>
  <c r="K42" i="13"/>
  <c r="M42" i="13" s="1"/>
  <c r="I42" i="13"/>
  <c r="T42" i="13" s="1"/>
  <c r="S42" i="13" s="1"/>
  <c r="L41" i="13"/>
  <c r="M41" i="13" s="1"/>
  <c r="K41" i="13"/>
  <c r="L40" i="13"/>
  <c r="K40" i="13"/>
  <c r="M40" i="13" s="1"/>
  <c r="I40" i="13"/>
  <c r="T40" i="13" s="1"/>
  <c r="S40" i="13" s="1"/>
  <c r="L39" i="13"/>
  <c r="K39" i="13"/>
  <c r="L38" i="13"/>
  <c r="K38" i="13"/>
  <c r="M38" i="13" s="1"/>
  <c r="I38" i="13"/>
  <c r="T38" i="13" s="1"/>
  <c r="S38" i="13" s="1"/>
  <c r="L37" i="13"/>
  <c r="K37" i="13"/>
  <c r="L36" i="13"/>
  <c r="K36" i="13"/>
  <c r="M36" i="13" s="1"/>
  <c r="I36" i="13"/>
  <c r="T36" i="13" s="1"/>
  <c r="S36" i="13" s="1"/>
  <c r="L35" i="13"/>
  <c r="K35" i="13"/>
  <c r="L34" i="13"/>
  <c r="K34" i="13"/>
  <c r="M34" i="13" s="1"/>
  <c r="I34" i="13"/>
  <c r="T34" i="13" s="1"/>
  <c r="S34" i="13" s="1"/>
  <c r="L33" i="13"/>
  <c r="K33" i="13"/>
  <c r="L32" i="13"/>
  <c r="K32" i="13"/>
  <c r="M32" i="13" s="1"/>
  <c r="I32" i="13"/>
  <c r="T32" i="13" s="1"/>
  <c r="S32" i="13" s="1"/>
  <c r="L31" i="13"/>
  <c r="K31" i="13"/>
  <c r="L30" i="13"/>
  <c r="K30" i="13"/>
  <c r="M30" i="13" s="1"/>
  <c r="I30" i="13"/>
  <c r="T30" i="13" s="1"/>
  <c r="S30" i="13" s="1"/>
  <c r="L29" i="13"/>
  <c r="K29" i="13"/>
  <c r="L28" i="13"/>
  <c r="K28" i="13"/>
  <c r="M28" i="13" s="1"/>
  <c r="I28" i="13"/>
  <c r="T28" i="13" s="1"/>
  <c r="S28" i="13" s="1"/>
  <c r="L27" i="13"/>
  <c r="K27" i="13"/>
  <c r="L26" i="13"/>
  <c r="K26" i="13"/>
  <c r="M26" i="13" s="1"/>
  <c r="I26" i="13"/>
  <c r="T26" i="13" s="1"/>
  <c r="S26" i="13" s="1"/>
  <c r="L25" i="13"/>
  <c r="K25" i="13"/>
  <c r="L24" i="13"/>
  <c r="K24" i="13"/>
  <c r="M24" i="13" s="1"/>
  <c r="I24" i="13"/>
  <c r="T24" i="13" s="1"/>
  <c r="S24" i="13" s="1"/>
  <c r="L23" i="13"/>
  <c r="K23" i="13"/>
  <c r="L22" i="13"/>
  <c r="K22" i="13"/>
  <c r="M22" i="13" s="1"/>
  <c r="I22" i="13"/>
  <c r="T22" i="13" s="1"/>
  <c r="S22" i="13" s="1"/>
  <c r="L21" i="13"/>
  <c r="M21" i="13" s="1"/>
  <c r="K21" i="13"/>
  <c r="L20" i="13"/>
  <c r="K20" i="13"/>
  <c r="M20" i="13" s="1"/>
  <c r="I20" i="13"/>
  <c r="T20" i="13" s="1"/>
  <c r="S20" i="13" s="1"/>
  <c r="L19" i="13"/>
  <c r="K19" i="13"/>
  <c r="R18" i="13"/>
  <c r="I18" i="13"/>
  <c r="H18" i="13"/>
  <c r="I49" i="13" s="1"/>
  <c r="E16" i="13"/>
  <c r="P11" i="13"/>
  <c r="P8" i="13"/>
  <c r="P1" i="13"/>
  <c r="Q50" i="12"/>
  <c r="L50" i="12"/>
  <c r="G50" i="12"/>
  <c r="F50" i="12"/>
  <c r="L49" i="12"/>
  <c r="K49" i="12"/>
  <c r="R48" i="12"/>
  <c r="V48" i="12" s="1"/>
  <c r="L48" i="12"/>
  <c r="K48" i="12"/>
  <c r="M48" i="12" s="1"/>
  <c r="I48" i="12"/>
  <c r="T48" i="12" s="1"/>
  <c r="S48" i="12" s="1"/>
  <c r="L47" i="12"/>
  <c r="K47" i="12"/>
  <c r="R46" i="12"/>
  <c r="V46" i="12" s="1"/>
  <c r="L46" i="12"/>
  <c r="K46" i="12"/>
  <c r="M46" i="12" s="1"/>
  <c r="I46" i="12"/>
  <c r="T46" i="12" s="1"/>
  <c r="S46" i="12" s="1"/>
  <c r="L45" i="12"/>
  <c r="K45" i="12"/>
  <c r="R44" i="12"/>
  <c r="V44" i="12" s="1"/>
  <c r="L44" i="12"/>
  <c r="K44" i="12"/>
  <c r="M44" i="12" s="1"/>
  <c r="I44" i="12"/>
  <c r="T44" i="12" s="1"/>
  <c r="S44" i="12" s="1"/>
  <c r="L43" i="12"/>
  <c r="M43" i="12" s="1"/>
  <c r="K43" i="12"/>
  <c r="R42" i="12"/>
  <c r="V42" i="12" s="1"/>
  <c r="L42" i="12"/>
  <c r="K42" i="12"/>
  <c r="M42" i="12" s="1"/>
  <c r="I42" i="12"/>
  <c r="T42" i="12" s="1"/>
  <c r="S42" i="12" s="1"/>
  <c r="L41" i="12"/>
  <c r="K41" i="12"/>
  <c r="R40" i="12"/>
  <c r="V40" i="12" s="1"/>
  <c r="L40" i="12"/>
  <c r="K40" i="12"/>
  <c r="M40" i="12" s="1"/>
  <c r="I40" i="12"/>
  <c r="T40" i="12" s="1"/>
  <c r="S40" i="12" s="1"/>
  <c r="L39" i="12"/>
  <c r="K39" i="12"/>
  <c r="R38" i="12"/>
  <c r="V38" i="12" s="1"/>
  <c r="L38" i="12"/>
  <c r="K38" i="12"/>
  <c r="M38" i="12" s="1"/>
  <c r="I38" i="12"/>
  <c r="T38" i="12" s="1"/>
  <c r="S38" i="12" s="1"/>
  <c r="L37" i="12"/>
  <c r="M37" i="12" s="1"/>
  <c r="K37" i="12"/>
  <c r="R36" i="12"/>
  <c r="V36" i="12" s="1"/>
  <c r="L36" i="12"/>
  <c r="K36" i="12"/>
  <c r="M36" i="12" s="1"/>
  <c r="I36" i="12"/>
  <c r="T36" i="12" s="1"/>
  <c r="S36" i="12" s="1"/>
  <c r="L35" i="12"/>
  <c r="K35" i="12"/>
  <c r="R34" i="12"/>
  <c r="V34" i="12" s="1"/>
  <c r="L34" i="12"/>
  <c r="K34" i="12"/>
  <c r="M34" i="12" s="1"/>
  <c r="I34" i="12"/>
  <c r="T34" i="12" s="1"/>
  <c r="S34" i="12" s="1"/>
  <c r="L33" i="12"/>
  <c r="K33" i="12"/>
  <c r="R32" i="12"/>
  <c r="V32" i="12" s="1"/>
  <c r="L32" i="12"/>
  <c r="K32" i="12"/>
  <c r="M32" i="12" s="1"/>
  <c r="I32" i="12"/>
  <c r="T32" i="12" s="1"/>
  <c r="S32" i="12" s="1"/>
  <c r="L31" i="12"/>
  <c r="M31" i="12" s="1"/>
  <c r="K31" i="12"/>
  <c r="R30" i="12"/>
  <c r="V30" i="12" s="1"/>
  <c r="L30" i="12"/>
  <c r="K30" i="12"/>
  <c r="M30" i="12" s="1"/>
  <c r="I30" i="12"/>
  <c r="T30" i="12" s="1"/>
  <c r="S30" i="12" s="1"/>
  <c r="L29" i="12"/>
  <c r="K29" i="12"/>
  <c r="R28" i="12"/>
  <c r="V28" i="12" s="1"/>
  <c r="L28" i="12"/>
  <c r="K28" i="12"/>
  <c r="M28" i="12" s="1"/>
  <c r="I28" i="12"/>
  <c r="T28" i="12" s="1"/>
  <c r="S28" i="12" s="1"/>
  <c r="L27" i="12"/>
  <c r="K27" i="12"/>
  <c r="R26" i="12"/>
  <c r="V26" i="12" s="1"/>
  <c r="L26" i="12"/>
  <c r="K26" i="12"/>
  <c r="M26" i="12" s="1"/>
  <c r="I26" i="12"/>
  <c r="T26" i="12" s="1"/>
  <c r="S26" i="12" s="1"/>
  <c r="L25" i="12"/>
  <c r="M25" i="12" s="1"/>
  <c r="K25" i="12"/>
  <c r="R24" i="12"/>
  <c r="V24" i="12" s="1"/>
  <c r="L24" i="12"/>
  <c r="K24" i="12"/>
  <c r="M24" i="12" s="1"/>
  <c r="I24" i="12"/>
  <c r="T24" i="12" s="1"/>
  <c r="S24" i="12" s="1"/>
  <c r="L23" i="12"/>
  <c r="K23" i="12"/>
  <c r="R22" i="12"/>
  <c r="V22" i="12" s="1"/>
  <c r="L22" i="12"/>
  <c r="K22" i="12"/>
  <c r="M22" i="12" s="1"/>
  <c r="I22" i="12"/>
  <c r="T22" i="12" s="1"/>
  <c r="S22" i="12" s="1"/>
  <c r="L21" i="12"/>
  <c r="M21" i="12" s="1"/>
  <c r="K21" i="12"/>
  <c r="R20" i="12"/>
  <c r="V20" i="12" s="1"/>
  <c r="L20" i="12"/>
  <c r="K20" i="12"/>
  <c r="M20" i="12" s="1"/>
  <c r="I20" i="12"/>
  <c r="T20" i="12" s="1"/>
  <c r="S20" i="12" s="1"/>
  <c r="L19" i="12"/>
  <c r="M19" i="12" s="1"/>
  <c r="K19" i="12"/>
  <c r="K50" i="12" s="1"/>
  <c r="R18" i="12"/>
  <c r="I18" i="12"/>
  <c r="H18" i="12"/>
  <c r="I49" i="12" s="1"/>
  <c r="E16" i="12"/>
  <c r="P11" i="12"/>
  <c r="P8" i="12"/>
  <c r="P1" i="12"/>
  <c r="Q50" i="11"/>
  <c r="L50" i="11"/>
  <c r="G50" i="11"/>
  <c r="F50" i="11"/>
  <c r="L49" i="11"/>
  <c r="K49" i="11"/>
  <c r="R48" i="11"/>
  <c r="V48" i="11" s="1"/>
  <c r="L48" i="11"/>
  <c r="U48" i="11" s="1"/>
  <c r="K48" i="11"/>
  <c r="M48" i="11" s="1"/>
  <c r="I48" i="11"/>
  <c r="T48" i="11" s="1"/>
  <c r="S48" i="11" s="1"/>
  <c r="L47" i="11"/>
  <c r="K47" i="11"/>
  <c r="R46" i="11"/>
  <c r="V46" i="11" s="1"/>
  <c r="L46" i="11"/>
  <c r="U46" i="11" s="1"/>
  <c r="K46" i="11"/>
  <c r="M46" i="11" s="1"/>
  <c r="I46" i="11"/>
  <c r="T46" i="11" s="1"/>
  <c r="S46" i="11" s="1"/>
  <c r="L45" i="11"/>
  <c r="K45" i="11"/>
  <c r="R44" i="11"/>
  <c r="V44" i="11" s="1"/>
  <c r="L44" i="11"/>
  <c r="U44" i="11" s="1"/>
  <c r="K44" i="11"/>
  <c r="M44" i="11" s="1"/>
  <c r="I44" i="11"/>
  <c r="T44" i="11" s="1"/>
  <c r="S44" i="11" s="1"/>
  <c r="L43" i="11"/>
  <c r="K43" i="11"/>
  <c r="R42" i="11"/>
  <c r="V42" i="11" s="1"/>
  <c r="L42" i="11"/>
  <c r="U42" i="11" s="1"/>
  <c r="K42" i="11"/>
  <c r="M42" i="11" s="1"/>
  <c r="I42" i="11"/>
  <c r="T42" i="11" s="1"/>
  <c r="S42" i="11" s="1"/>
  <c r="L41" i="11"/>
  <c r="K41" i="11"/>
  <c r="R40" i="11"/>
  <c r="V40" i="11" s="1"/>
  <c r="L40" i="11"/>
  <c r="U40" i="11" s="1"/>
  <c r="K40" i="11"/>
  <c r="M40" i="11" s="1"/>
  <c r="I40" i="11"/>
  <c r="T40" i="11" s="1"/>
  <c r="S40" i="11" s="1"/>
  <c r="L39" i="11"/>
  <c r="K39" i="11"/>
  <c r="R38" i="11"/>
  <c r="V38" i="11" s="1"/>
  <c r="L38" i="11"/>
  <c r="U38" i="11" s="1"/>
  <c r="K38" i="11"/>
  <c r="M38" i="11" s="1"/>
  <c r="I38" i="11"/>
  <c r="T38" i="11" s="1"/>
  <c r="S38" i="11" s="1"/>
  <c r="L37" i="11"/>
  <c r="K37" i="11"/>
  <c r="R36" i="11"/>
  <c r="V36" i="11" s="1"/>
  <c r="L36" i="11"/>
  <c r="U36" i="11" s="1"/>
  <c r="K36" i="11"/>
  <c r="M36" i="11" s="1"/>
  <c r="I36" i="11"/>
  <c r="T36" i="11" s="1"/>
  <c r="S36" i="11" s="1"/>
  <c r="L35" i="11"/>
  <c r="K35" i="11"/>
  <c r="R34" i="11"/>
  <c r="V34" i="11" s="1"/>
  <c r="L34" i="11"/>
  <c r="U34" i="11" s="1"/>
  <c r="K34" i="11"/>
  <c r="M34" i="11" s="1"/>
  <c r="I34" i="11"/>
  <c r="T34" i="11" s="1"/>
  <c r="S34" i="11" s="1"/>
  <c r="L33" i="11"/>
  <c r="K33" i="11"/>
  <c r="R32" i="11"/>
  <c r="V32" i="11" s="1"/>
  <c r="L32" i="11"/>
  <c r="U32" i="11" s="1"/>
  <c r="K32" i="11"/>
  <c r="M32" i="11" s="1"/>
  <c r="I32" i="11"/>
  <c r="T32" i="11" s="1"/>
  <c r="S32" i="11" s="1"/>
  <c r="L31" i="11"/>
  <c r="K31" i="11"/>
  <c r="R30" i="11"/>
  <c r="V30" i="11" s="1"/>
  <c r="L30" i="11"/>
  <c r="U30" i="11" s="1"/>
  <c r="K30" i="11"/>
  <c r="M30" i="11" s="1"/>
  <c r="I30" i="11"/>
  <c r="T30" i="11" s="1"/>
  <c r="S30" i="11" s="1"/>
  <c r="L29" i="11"/>
  <c r="K29" i="11"/>
  <c r="R28" i="11"/>
  <c r="V28" i="11" s="1"/>
  <c r="L28" i="11"/>
  <c r="U28" i="11" s="1"/>
  <c r="K28" i="11"/>
  <c r="M28" i="11" s="1"/>
  <c r="I28" i="11"/>
  <c r="T28" i="11" s="1"/>
  <c r="S28" i="11" s="1"/>
  <c r="L27" i="11"/>
  <c r="K27" i="11"/>
  <c r="R26" i="11"/>
  <c r="V26" i="11" s="1"/>
  <c r="L26" i="11"/>
  <c r="U26" i="11" s="1"/>
  <c r="K26" i="11"/>
  <c r="M26" i="11" s="1"/>
  <c r="I26" i="11"/>
  <c r="T26" i="11" s="1"/>
  <c r="S26" i="11" s="1"/>
  <c r="L25" i="11"/>
  <c r="K25" i="11"/>
  <c r="R24" i="11"/>
  <c r="V24" i="11" s="1"/>
  <c r="L24" i="11"/>
  <c r="U24" i="11" s="1"/>
  <c r="K24" i="11"/>
  <c r="M24" i="11" s="1"/>
  <c r="I24" i="11"/>
  <c r="T24" i="11" s="1"/>
  <c r="S24" i="11" s="1"/>
  <c r="L23" i="11"/>
  <c r="K23" i="11"/>
  <c r="R22" i="11"/>
  <c r="V22" i="11" s="1"/>
  <c r="L22" i="11"/>
  <c r="U22" i="11" s="1"/>
  <c r="K22" i="11"/>
  <c r="M22" i="11" s="1"/>
  <c r="I22" i="11"/>
  <c r="T22" i="11" s="1"/>
  <c r="S22" i="11" s="1"/>
  <c r="L21" i="11"/>
  <c r="K21" i="11"/>
  <c r="R20" i="11"/>
  <c r="V20" i="11" s="1"/>
  <c r="L20" i="11"/>
  <c r="U20" i="11" s="1"/>
  <c r="K20" i="11"/>
  <c r="M20" i="11" s="1"/>
  <c r="I20" i="11"/>
  <c r="T20" i="11" s="1"/>
  <c r="S20" i="11" s="1"/>
  <c r="L19" i="11"/>
  <c r="K19" i="11"/>
  <c r="K50" i="11" s="1"/>
  <c r="R18" i="11"/>
  <c r="I18" i="11"/>
  <c r="H18" i="11"/>
  <c r="I49" i="11" s="1"/>
  <c r="E16" i="11"/>
  <c r="P11" i="11"/>
  <c r="P8" i="11"/>
  <c r="P1" i="11"/>
  <c r="Q50" i="10"/>
  <c r="L50" i="10"/>
  <c r="G50" i="10"/>
  <c r="F50" i="10"/>
  <c r="M49" i="10"/>
  <c r="L49" i="10"/>
  <c r="K49" i="10"/>
  <c r="L48" i="10"/>
  <c r="K48" i="10"/>
  <c r="M48" i="10" s="1"/>
  <c r="I48" i="10"/>
  <c r="M47" i="10"/>
  <c r="T47" i="10" s="1"/>
  <c r="S47" i="10" s="1"/>
  <c r="L47" i="10"/>
  <c r="K47" i="10"/>
  <c r="L46" i="10"/>
  <c r="K46" i="10"/>
  <c r="M46" i="10" s="1"/>
  <c r="I46" i="10"/>
  <c r="M45" i="10"/>
  <c r="L45" i="10"/>
  <c r="K45" i="10"/>
  <c r="L44" i="10"/>
  <c r="K44" i="10"/>
  <c r="M44" i="10" s="1"/>
  <c r="I44" i="10"/>
  <c r="M43" i="10"/>
  <c r="L43" i="10"/>
  <c r="K43" i="10"/>
  <c r="L42" i="10"/>
  <c r="K42" i="10"/>
  <c r="M42" i="10" s="1"/>
  <c r="I42" i="10"/>
  <c r="M41" i="10"/>
  <c r="L41" i="10"/>
  <c r="K41" i="10"/>
  <c r="L40" i="10"/>
  <c r="K40" i="10"/>
  <c r="M40" i="10" s="1"/>
  <c r="I40" i="10"/>
  <c r="M39" i="10"/>
  <c r="L39" i="10"/>
  <c r="K39" i="10"/>
  <c r="L38" i="10"/>
  <c r="K38" i="10"/>
  <c r="M38" i="10" s="1"/>
  <c r="I38" i="10"/>
  <c r="M37" i="10"/>
  <c r="L37" i="10"/>
  <c r="K37" i="10"/>
  <c r="L36" i="10"/>
  <c r="K36" i="10"/>
  <c r="M36" i="10" s="1"/>
  <c r="I36" i="10"/>
  <c r="M35" i="10"/>
  <c r="L35" i="10"/>
  <c r="K35" i="10"/>
  <c r="L34" i="10"/>
  <c r="K34" i="10"/>
  <c r="M34" i="10" s="1"/>
  <c r="I34" i="10"/>
  <c r="M33" i="10"/>
  <c r="L33" i="10"/>
  <c r="K33" i="10"/>
  <c r="L32" i="10"/>
  <c r="K32" i="10"/>
  <c r="M32" i="10" s="1"/>
  <c r="I32" i="10"/>
  <c r="M31" i="10"/>
  <c r="L31" i="10"/>
  <c r="K31" i="10"/>
  <c r="L30" i="10"/>
  <c r="K30" i="10"/>
  <c r="M30" i="10" s="1"/>
  <c r="I30" i="10"/>
  <c r="M29" i="10"/>
  <c r="L29" i="10"/>
  <c r="K29" i="10"/>
  <c r="L28" i="10"/>
  <c r="K28" i="10"/>
  <c r="M28" i="10" s="1"/>
  <c r="I28" i="10"/>
  <c r="M27" i="10"/>
  <c r="L27" i="10"/>
  <c r="K27" i="10"/>
  <c r="L26" i="10"/>
  <c r="K26" i="10"/>
  <c r="M26" i="10" s="1"/>
  <c r="I26" i="10"/>
  <c r="M25" i="10"/>
  <c r="L25" i="10"/>
  <c r="K25" i="10"/>
  <c r="L24" i="10"/>
  <c r="K24" i="10"/>
  <c r="M24" i="10" s="1"/>
  <c r="I24" i="10"/>
  <c r="M23" i="10"/>
  <c r="L23" i="10"/>
  <c r="K23" i="10"/>
  <c r="L22" i="10"/>
  <c r="K22" i="10"/>
  <c r="M22" i="10" s="1"/>
  <c r="I22" i="10"/>
  <c r="M21" i="10"/>
  <c r="L21" i="10"/>
  <c r="K21" i="10"/>
  <c r="L20" i="10"/>
  <c r="K20" i="10"/>
  <c r="M20" i="10" s="1"/>
  <c r="I20" i="10"/>
  <c r="M19" i="10"/>
  <c r="M50" i="10" s="1"/>
  <c r="P3" i="10" s="1"/>
  <c r="L19" i="10"/>
  <c r="K19" i="10"/>
  <c r="R18" i="10"/>
  <c r="I18" i="10"/>
  <c r="H18" i="10"/>
  <c r="I47" i="10" s="1"/>
  <c r="E16" i="10"/>
  <c r="H49" i="10" s="1"/>
  <c r="P11" i="10"/>
  <c r="P8" i="10"/>
  <c r="P1" i="10"/>
  <c r="Q50" i="9"/>
  <c r="G50" i="9"/>
  <c r="F50" i="9"/>
  <c r="L49" i="9"/>
  <c r="M49" i="9" s="1"/>
  <c r="K49" i="9"/>
  <c r="L48" i="9"/>
  <c r="K48" i="9"/>
  <c r="M48" i="9" s="1"/>
  <c r="I48" i="9"/>
  <c r="T48" i="9" s="1"/>
  <c r="S48" i="9" s="1"/>
  <c r="L47" i="9"/>
  <c r="M47" i="9" s="1"/>
  <c r="T47" i="9" s="1"/>
  <c r="S47" i="9" s="1"/>
  <c r="K47" i="9"/>
  <c r="L46" i="9"/>
  <c r="K46" i="9"/>
  <c r="M46" i="9" s="1"/>
  <c r="I46" i="9"/>
  <c r="T46" i="9" s="1"/>
  <c r="S46" i="9" s="1"/>
  <c r="L45" i="9"/>
  <c r="M45" i="9" s="1"/>
  <c r="K45" i="9"/>
  <c r="L44" i="9"/>
  <c r="K44" i="9"/>
  <c r="M44" i="9" s="1"/>
  <c r="I44" i="9"/>
  <c r="T44" i="9" s="1"/>
  <c r="S44" i="9" s="1"/>
  <c r="L43" i="9"/>
  <c r="K43" i="9"/>
  <c r="L42" i="9"/>
  <c r="K42" i="9"/>
  <c r="M42" i="9" s="1"/>
  <c r="I42" i="9"/>
  <c r="T42" i="9" s="1"/>
  <c r="S42" i="9" s="1"/>
  <c r="L41" i="9"/>
  <c r="M41" i="9" s="1"/>
  <c r="K41" i="9"/>
  <c r="L40" i="9"/>
  <c r="K40" i="9"/>
  <c r="M40" i="9" s="1"/>
  <c r="I40" i="9"/>
  <c r="T40" i="9" s="1"/>
  <c r="S40" i="9" s="1"/>
  <c r="L39" i="9"/>
  <c r="K39" i="9"/>
  <c r="L38" i="9"/>
  <c r="K38" i="9"/>
  <c r="M38" i="9" s="1"/>
  <c r="I38" i="9"/>
  <c r="T38" i="9" s="1"/>
  <c r="S38" i="9" s="1"/>
  <c r="L37" i="9"/>
  <c r="M37" i="9" s="1"/>
  <c r="K37" i="9"/>
  <c r="L36" i="9"/>
  <c r="K36" i="9"/>
  <c r="M36" i="9" s="1"/>
  <c r="I36" i="9"/>
  <c r="T36" i="9" s="1"/>
  <c r="S36" i="9" s="1"/>
  <c r="L35" i="9"/>
  <c r="M35" i="9" s="1"/>
  <c r="K35" i="9"/>
  <c r="L34" i="9"/>
  <c r="K34" i="9"/>
  <c r="M34" i="9" s="1"/>
  <c r="I34" i="9"/>
  <c r="T34" i="9" s="1"/>
  <c r="S34" i="9" s="1"/>
  <c r="L33" i="9"/>
  <c r="M33" i="9" s="1"/>
  <c r="K33" i="9"/>
  <c r="L32" i="9"/>
  <c r="K32" i="9"/>
  <c r="M32" i="9" s="1"/>
  <c r="I32" i="9"/>
  <c r="T32" i="9" s="1"/>
  <c r="S32" i="9" s="1"/>
  <c r="L31" i="9"/>
  <c r="K31" i="9"/>
  <c r="L30" i="9"/>
  <c r="K30" i="9"/>
  <c r="M30" i="9" s="1"/>
  <c r="I30" i="9"/>
  <c r="T30" i="9" s="1"/>
  <c r="S30" i="9" s="1"/>
  <c r="L29" i="9"/>
  <c r="M29" i="9" s="1"/>
  <c r="K29" i="9"/>
  <c r="L28" i="9"/>
  <c r="K28" i="9"/>
  <c r="M28" i="9" s="1"/>
  <c r="I28" i="9"/>
  <c r="T28" i="9" s="1"/>
  <c r="S28" i="9" s="1"/>
  <c r="L27" i="9"/>
  <c r="K27" i="9"/>
  <c r="L26" i="9"/>
  <c r="K26" i="9"/>
  <c r="M26" i="9" s="1"/>
  <c r="I26" i="9"/>
  <c r="T26" i="9" s="1"/>
  <c r="S26" i="9" s="1"/>
  <c r="L25" i="9"/>
  <c r="K25" i="9"/>
  <c r="L24" i="9"/>
  <c r="K24" i="9"/>
  <c r="M24" i="9" s="1"/>
  <c r="I24" i="9"/>
  <c r="T24" i="9" s="1"/>
  <c r="S24" i="9" s="1"/>
  <c r="L23" i="9"/>
  <c r="M23" i="9" s="1"/>
  <c r="K23" i="9"/>
  <c r="L22" i="9"/>
  <c r="K22" i="9"/>
  <c r="M22" i="9" s="1"/>
  <c r="I22" i="9"/>
  <c r="T22" i="9" s="1"/>
  <c r="S22" i="9" s="1"/>
  <c r="L21" i="9"/>
  <c r="K21" i="9"/>
  <c r="L20" i="9"/>
  <c r="K20" i="9"/>
  <c r="M20" i="9" s="1"/>
  <c r="I20" i="9"/>
  <c r="T20" i="9" s="1"/>
  <c r="S20" i="9" s="1"/>
  <c r="L19" i="9"/>
  <c r="K19" i="9"/>
  <c r="R18" i="9"/>
  <c r="I18" i="9"/>
  <c r="H18" i="9"/>
  <c r="I47" i="9" s="1"/>
  <c r="E16" i="9"/>
  <c r="P11" i="9"/>
  <c r="P8" i="9"/>
  <c r="P1" i="9"/>
  <c r="Q50" i="8"/>
  <c r="L50" i="8"/>
  <c r="G50" i="8"/>
  <c r="F50" i="8"/>
  <c r="L49" i="8"/>
  <c r="M49" i="8" s="1"/>
  <c r="K49" i="8"/>
  <c r="R48" i="8"/>
  <c r="V48" i="8" s="1"/>
  <c r="L48" i="8"/>
  <c r="K48" i="8"/>
  <c r="M48" i="8" s="1"/>
  <c r="I48" i="8"/>
  <c r="T48" i="8" s="1"/>
  <c r="S48" i="8" s="1"/>
  <c r="L47" i="8"/>
  <c r="M47" i="8" s="1"/>
  <c r="K47" i="8"/>
  <c r="R46" i="8"/>
  <c r="V46" i="8" s="1"/>
  <c r="L46" i="8"/>
  <c r="K46" i="8"/>
  <c r="M46" i="8" s="1"/>
  <c r="I46" i="8"/>
  <c r="T46" i="8" s="1"/>
  <c r="S46" i="8" s="1"/>
  <c r="L45" i="8"/>
  <c r="M45" i="8" s="1"/>
  <c r="K45" i="8"/>
  <c r="R44" i="8"/>
  <c r="V44" i="8" s="1"/>
  <c r="L44" i="8"/>
  <c r="K44" i="8"/>
  <c r="M44" i="8" s="1"/>
  <c r="I44" i="8"/>
  <c r="T44" i="8" s="1"/>
  <c r="S44" i="8" s="1"/>
  <c r="L43" i="8"/>
  <c r="K43" i="8"/>
  <c r="R42" i="8"/>
  <c r="V42" i="8" s="1"/>
  <c r="L42" i="8"/>
  <c r="K42" i="8"/>
  <c r="M42" i="8" s="1"/>
  <c r="I42" i="8"/>
  <c r="T42" i="8" s="1"/>
  <c r="S42" i="8" s="1"/>
  <c r="L41" i="8"/>
  <c r="M41" i="8" s="1"/>
  <c r="K41" i="8"/>
  <c r="R40" i="8"/>
  <c r="V40" i="8" s="1"/>
  <c r="L40" i="8"/>
  <c r="K40" i="8"/>
  <c r="M40" i="8" s="1"/>
  <c r="I40" i="8"/>
  <c r="T40" i="8" s="1"/>
  <c r="S40" i="8" s="1"/>
  <c r="L39" i="8"/>
  <c r="K39" i="8"/>
  <c r="R38" i="8"/>
  <c r="V38" i="8" s="1"/>
  <c r="L38" i="8"/>
  <c r="K38" i="8"/>
  <c r="M38" i="8" s="1"/>
  <c r="I38" i="8"/>
  <c r="T38" i="8" s="1"/>
  <c r="S38" i="8" s="1"/>
  <c r="L37" i="8"/>
  <c r="K37" i="8"/>
  <c r="R36" i="8"/>
  <c r="V36" i="8" s="1"/>
  <c r="L36" i="8"/>
  <c r="K36" i="8"/>
  <c r="M36" i="8" s="1"/>
  <c r="I36" i="8"/>
  <c r="T36" i="8" s="1"/>
  <c r="S36" i="8" s="1"/>
  <c r="L35" i="8"/>
  <c r="M35" i="8" s="1"/>
  <c r="K35" i="8"/>
  <c r="R34" i="8"/>
  <c r="V34" i="8" s="1"/>
  <c r="L34" i="8"/>
  <c r="K34" i="8"/>
  <c r="M34" i="8" s="1"/>
  <c r="I34" i="8"/>
  <c r="T34" i="8" s="1"/>
  <c r="S34" i="8" s="1"/>
  <c r="L33" i="8"/>
  <c r="K33" i="8"/>
  <c r="R32" i="8"/>
  <c r="V32" i="8" s="1"/>
  <c r="L32" i="8"/>
  <c r="K32" i="8"/>
  <c r="M32" i="8" s="1"/>
  <c r="I32" i="8"/>
  <c r="T32" i="8" s="1"/>
  <c r="S32" i="8" s="1"/>
  <c r="L31" i="8"/>
  <c r="K31" i="8"/>
  <c r="R30" i="8"/>
  <c r="V30" i="8" s="1"/>
  <c r="L30" i="8"/>
  <c r="K30" i="8"/>
  <c r="M30" i="8" s="1"/>
  <c r="I30" i="8"/>
  <c r="T30" i="8" s="1"/>
  <c r="S30" i="8" s="1"/>
  <c r="L29" i="8"/>
  <c r="K29" i="8"/>
  <c r="R28" i="8"/>
  <c r="V28" i="8" s="1"/>
  <c r="L28" i="8"/>
  <c r="K28" i="8"/>
  <c r="M28" i="8" s="1"/>
  <c r="I28" i="8"/>
  <c r="T28" i="8" s="1"/>
  <c r="S28" i="8" s="1"/>
  <c r="L27" i="8"/>
  <c r="M27" i="8" s="1"/>
  <c r="K27" i="8"/>
  <c r="R26" i="8"/>
  <c r="V26" i="8" s="1"/>
  <c r="L26" i="8"/>
  <c r="K26" i="8"/>
  <c r="M26" i="8" s="1"/>
  <c r="I26" i="8"/>
  <c r="T26" i="8" s="1"/>
  <c r="S26" i="8" s="1"/>
  <c r="L25" i="8"/>
  <c r="K25" i="8"/>
  <c r="R24" i="8"/>
  <c r="V24" i="8" s="1"/>
  <c r="L24" i="8"/>
  <c r="K24" i="8"/>
  <c r="M24" i="8" s="1"/>
  <c r="I24" i="8"/>
  <c r="T24" i="8" s="1"/>
  <c r="S24" i="8" s="1"/>
  <c r="L23" i="8"/>
  <c r="M23" i="8" s="1"/>
  <c r="K23" i="8"/>
  <c r="R22" i="8"/>
  <c r="V22" i="8" s="1"/>
  <c r="L22" i="8"/>
  <c r="K22" i="8"/>
  <c r="M22" i="8" s="1"/>
  <c r="I22" i="8"/>
  <c r="T22" i="8" s="1"/>
  <c r="S22" i="8" s="1"/>
  <c r="L21" i="8"/>
  <c r="K21" i="8"/>
  <c r="R20" i="8"/>
  <c r="V20" i="8" s="1"/>
  <c r="L20" i="8"/>
  <c r="K20" i="8"/>
  <c r="M20" i="8" s="1"/>
  <c r="I20" i="8"/>
  <c r="T20" i="8" s="1"/>
  <c r="S20" i="8" s="1"/>
  <c r="L19" i="8"/>
  <c r="M19" i="8" s="1"/>
  <c r="K19" i="8"/>
  <c r="K50" i="8" s="1"/>
  <c r="R18" i="8"/>
  <c r="I18" i="8"/>
  <c r="H18" i="8"/>
  <c r="I47" i="8" s="1"/>
  <c r="T47" i="8" s="1"/>
  <c r="S47" i="8" s="1"/>
  <c r="E16" i="8"/>
  <c r="P11" i="8"/>
  <c r="P8" i="8"/>
  <c r="P1" i="8"/>
  <c r="Q50" i="7"/>
  <c r="L50" i="7"/>
  <c r="G50" i="7"/>
  <c r="F50" i="7"/>
  <c r="L49" i="7"/>
  <c r="K49" i="7"/>
  <c r="R48" i="7"/>
  <c r="V48" i="7" s="1"/>
  <c r="L48" i="7"/>
  <c r="U48" i="7" s="1"/>
  <c r="K48" i="7"/>
  <c r="M48" i="7" s="1"/>
  <c r="I48" i="7"/>
  <c r="T48" i="7" s="1"/>
  <c r="S48" i="7" s="1"/>
  <c r="L47" i="7"/>
  <c r="K47" i="7"/>
  <c r="R46" i="7"/>
  <c r="V46" i="7" s="1"/>
  <c r="L46" i="7"/>
  <c r="U46" i="7" s="1"/>
  <c r="K46" i="7"/>
  <c r="M46" i="7" s="1"/>
  <c r="I46" i="7"/>
  <c r="T46" i="7" s="1"/>
  <c r="S46" i="7" s="1"/>
  <c r="L45" i="7"/>
  <c r="K45" i="7"/>
  <c r="R44" i="7"/>
  <c r="V44" i="7" s="1"/>
  <c r="L44" i="7"/>
  <c r="U44" i="7" s="1"/>
  <c r="K44" i="7"/>
  <c r="M44" i="7" s="1"/>
  <c r="I44" i="7"/>
  <c r="T44" i="7" s="1"/>
  <c r="S44" i="7" s="1"/>
  <c r="L43" i="7"/>
  <c r="K43" i="7"/>
  <c r="R42" i="7"/>
  <c r="V42" i="7" s="1"/>
  <c r="L42" i="7"/>
  <c r="U42" i="7" s="1"/>
  <c r="K42" i="7"/>
  <c r="M42" i="7" s="1"/>
  <c r="I42" i="7"/>
  <c r="T42" i="7" s="1"/>
  <c r="S42" i="7" s="1"/>
  <c r="L41" i="7"/>
  <c r="K41" i="7"/>
  <c r="R40" i="7"/>
  <c r="V40" i="7" s="1"/>
  <c r="L40" i="7"/>
  <c r="U40" i="7" s="1"/>
  <c r="K40" i="7"/>
  <c r="M40" i="7" s="1"/>
  <c r="I40" i="7"/>
  <c r="T40" i="7" s="1"/>
  <c r="S40" i="7" s="1"/>
  <c r="L39" i="7"/>
  <c r="K39" i="7"/>
  <c r="R38" i="7"/>
  <c r="V38" i="7" s="1"/>
  <c r="L38" i="7"/>
  <c r="U38" i="7" s="1"/>
  <c r="K38" i="7"/>
  <c r="M38" i="7" s="1"/>
  <c r="I38" i="7"/>
  <c r="T38" i="7" s="1"/>
  <c r="S38" i="7" s="1"/>
  <c r="L37" i="7"/>
  <c r="K37" i="7"/>
  <c r="R36" i="7"/>
  <c r="V36" i="7" s="1"/>
  <c r="L36" i="7"/>
  <c r="U36" i="7" s="1"/>
  <c r="K36" i="7"/>
  <c r="M36" i="7" s="1"/>
  <c r="I36" i="7"/>
  <c r="T36" i="7" s="1"/>
  <c r="S36" i="7" s="1"/>
  <c r="L35" i="7"/>
  <c r="K35" i="7"/>
  <c r="R34" i="7"/>
  <c r="V34" i="7" s="1"/>
  <c r="L34" i="7"/>
  <c r="U34" i="7" s="1"/>
  <c r="K34" i="7"/>
  <c r="M34" i="7" s="1"/>
  <c r="I34" i="7"/>
  <c r="T34" i="7" s="1"/>
  <c r="S34" i="7" s="1"/>
  <c r="L33" i="7"/>
  <c r="K33" i="7"/>
  <c r="S32" i="7"/>
  <c r="R32" i="7"/>
  <c r="V32" i="7" s="1"/>
  <c r="L32" i="7"/>
  <c r="U32" i="7" s="1"/>
  <c r="K32" i="7"/>
  <c r="M32" i="7" s="1"/>
  <c r="I32" i="7"/>
  <c r="T32" i="7" s="1"/>
  <c r="L31" i="7"/>
  <c r="K31" i="7"/>
  <c r="R30" i="7"/>
  <c r="V30" i="7" s="1"/>
  <c r="L30" i="7"/>
  <c r="U30" i="7" s="1"/>
  <c r="K30" i="7"/>
  <c r="M30" i="7" s="1"/>
  <c r="I30" i="7"/>
  <c r="T30" i="7" s="1"/>
  <c r="S30" i="7" s="1"/>
  <c r="L29" i="7"/>
  <c r="K29" i="7"/>
  <c r="R28" i="7"/>
  <c r="V28" i="7" s="1"/>
  <c r="L28" i="7"/>
  <c r="U28" i="7" s="1"/>
  <c r="K28" i="7"/>
  <c r="M28" i="7" s="1"/>
  <c r="I28" i="7"/>
  <c r="T28" i="7" s="1"/>
  <c r="S28" i="7" s="1"/>
  <c r="L27" i="7"/>
  <c r="K27" i="7"/>
  <c r="R26" i="7"/>
  <c r="V26" i="7" s="1"/>
  <c r="L26" i="7"/>
  <c r="U26" i="7" s="1"/>
  <c r="K26" i="7"/>
  <c r="M26" i="7" s="1"/>
  <c r="I26" i="7"/>
  <c r="T26" i="7" s="1"/>
  <c r="S26" i="7" s="1"/>
  <c r="L25" i="7"/>
  <c r="K25" i="7"/>
  <c r="R24" i="7"/>
  <c r="V24" i="7" s="1"/>
  <c r="L24" i="7"/>
  <c r="U24" i="7" s="1"/>
  <c r="K24" i="7"/>
  <c r="M24" i="7" s="1"/>
  <c r="I24" i="7"/>
  <c r="T24" i="7" s="1"/>
  <c r="S24" i="7" s="1"/>
  <c r="L23" i="7"/>
  <c r="K23" i="7"/>
  <c r="R22" i="7"/>
  <c r="V22" i="7" s="1"/>
  <c r="L22" i="7"/>
  <c r="U22" i="7" s="1"/>
  <c r="K22" i="7"/>
  <c r="M22" i="7" s="1"/>
  <c r="I22" i="7"/>
  <c r="T22" i="7" s="1"/>
  <c r="S22" i="7" s="1"/>
  <c r="L21" i="7"/>
  <c r="K21" i="7"/>
  <c r="R20" i="7"/>
  <c r="V20" i="7" s="1"/>
  <c r="L20" i="7"/>
  <c r="U20" i="7" s="1"/>
  <c r="K20" i="7"/>
  <c r="M20" i="7" s="1"/>
  <c r="I20" i="7"/>
  <c r="T20" i="7" s="1"/>
  <c r="S20" i="7" s="1"/>
  <c r="L19" i="7"/>
  <c r="K19" i="7"/>
  <c r="K50" i="7" s="1"/>
  <c r="R18" i="7"/>
  <c r="I18" i="7"/>
  <c r="H18" i="7"/>
  <c r="I47" i="7" s="1"/>
  <c r="E16" i="7"/>
  <c r="P11" i="7"/>
  <c r="P8" i="7"/>
  <c r="P1" i="7"/>
  <c r="Q50" i="6"/>
  <c r="L50" i="6"/>
  <c r="G50" i="6"/>
  <c r="F50" i="6"/>
  <c r="M49" i="6"/>
  <c r="T49" i="6" s="1"/>
  <c r="S49" i="6" s="1"/>
  <c r="L49" i="6"/>
  <c r="K49" i="6"/>
  <c r="L48" i="6"/>
  <c r="K48" i="6"/>
  <c r="M48" i="6" s="1"/>
  <c r="I48" i="6"/>
  <c r="M47" i="6"/>
  <c r="L47" i="6"/>
  <c r="K47" i="6"/>
  <c r="L46" i="6"/>
  <c r="K46" i="6"/>
  <c r="M46" i="6" s="1"/>
  <c r="I46" i="6"/>
  <c r="M45" i="6"/>
  <c r="L45" i="6"/>
  <c r="K45" i="6"/>
  <c r="L44" i="6"/>
  <c r="K44" i="6"/>
  <c r="M44" i="6" s="1"/>
  <c r="I44" i="6"/>
  <c r="M43" i="6"/>
  <c r="L43" i="6"/>
  <c r="K43" i="6"/>
  <c r="L42" i="6"/>
  <c r="K42" i="6"/>
  <c r="M42" i="6" s="1"/>
  <c r="I42" i="6"/>
  <c r="M41" i="6"/>
  <c r="L41" i="6"/>
  <c r="K41" i="6"/>
  <c r="L40" i="6"/>
  <c r="K40" i="6"/>
  <c r="M40" i="6" s="1"/>
  <c r="I40" i="6"/>
  <c r="M39" i="6"/>
  <c r="L39" i="6"/>
  <c r="K39" i="6"/>
  <c r="L38" i="6"/>
  <c r="K38" i="6"/>
  <c r="M38" i="6" s="1"/>
  <c r="I38" i="6"/>
  <c r="M37" i="6"/>
  <c r="L37" i="6"/>
  <c r="K37" i="6"/>
  <c r="L36" i="6"/>
  <c r="K36" i="6"/>
  <c r="M36" i="6" s="1"/>
  <c r="I36" i="6"/>
  <c r="M35" i="6"/>
  <c r="L35" i="6"/>
  <c r="K35" i="6"/>
  <c r="L34" i="6"/>
  <c r="K34" i="6"/>
  <c r="M34" i="6" s="1"/>
  <c r="I34" i="6"/>
  <c r="M33" i="6"/>
  <c r="L33" i="6"/>
  <c r="K33" i="6"/>
  <c r="L32" i="6"/>
  <c r="K32" i="6"/>
  <c r="M32" i="6" s="1"/>
  <c r="I32" i="6"/>
  <c r="M31" i="6"/>
  <c r="L31" i="6"/>
  <c r="K31" i="6"/>
  <c r="L30" i="6"/>
  <c r="K30" i="6"/>
  <c r="M30" i="6" s="1"/>
  <c r="I30" i="6"/>
  <c r="M29" i="6"/>
  <c r="L29" i="6"/>
  <c r="K29" i="6"/>
  <c r="L28" i="6"/>
  <c r="K28" i="6"/>
  <c r="M28" i="6" s="1"/>
  <c r="I28" i="6"/>
  <c r="M27" i="6"/>
  <c r="L27" i="6"/>
  <c r="K27" i="6"/>
  <c r="L26" i="6"/>
  <c r="K26" i="6"/>
  <c r="M26" i="6" s="1"/>
  <c r="I26" i="6"/>
  <c r="M25" i="6"/>
  <c r="L25" i="6"/>
  <c r="K25" i="6"/>
  <c r="L24" i="6"/>
  <c r="K24" i="6"/>
  <c r="M24" i="6" s="1"/>
  <c r="I24" i="6"/>
  <c r="M23" i="6"/>
  <c r="L23" i="6"/>
  <c r="K23" i="6"/>
  <c r="L22" i="6"/>
  <c r="K22" i="6"/>
  <c r="M22" i="6" s="1"/>
  <c r="I22" i="6"/>
  <c r="M21" i="6"/>
  <c r="L21" i="6"/>
  <c r="K21" i="6"/>
  <c r="L20" i="6"/>
  <c r="K20" i="6"/>
  <c r="M20" i="6" s="1"/>
  <c r="I20" i="6"/>
  <c r="M19" i="6"/>
  <c r="M50" i="6" s="1"/>
  <c r="P3" i="6" s="1"/>
  <c r="L19" i="6"/>
  <c r="K19" i="6"/>
  <c r="R18" i="6"/>
  <c r="R48" i="6" s="1"/>
  <c r="V48" i="6" s="1"/>
  <c r="I18" i="6"/>
  <c r="H18" i="6"/>
  <c r="I49" i="6" s="1"/>
  <c r="E16" i="6"/>
  <c r="P11" i="6"/>
  <c r="P8" i="6"/>
  <c r="P1" i="6"/>
  <c r="Q50" i="5"/>
  <c r="G50" i="5"/>
  <c r="F50" i="5"/>
  <c r="L49" i="5"/>
  <c r="K49" i="5"/>
  <c r="L48" i="5"/>
  <c r="K48" i="5"/>
  <c r="M48" i="5" s="1"/>
  <c r="I48" i="5"/>
  <c r="T48" i="5" s="1"/>
  <c r="S48" i="5" s="1"/>
  <c r="L47" i="5"/>
  <c r="K47" i="5"/>
  <c r="L46" i="5"/>
  <c r="K46" i="5"/>
  <c r="M46" i="5" s="1"/>
  <c r="I46" i="5"/>
  <c r="T46" i="5" s="1"/>
  <c r="S46" i="5" s="1"/>
  <c r="L45" i="5"/>
  <c r="K45" i="5"/>
  <c r="L44" i="5"/>
  <c r="K44" i="5"/>
  <c r="M44" i="5" s="1"/>
  <c r="I44" i="5"/>
  <c r="T44" i="5" s="1"/>
  <c r="S44" i="5" s="1"/>
  <c r="L43" i="5"/>
  <c r="K43" i="5"/>
  <c r="L42" i="5"/>
  <c r="K42" i="5"/>
  <c r="M42" i="5" s="1"/>
  <c r="I42" i="5"/>
  <c r="T42" i="5" s="1"/>
  <c r="S42" i="5" s="1"/>
  <c r="L41" i="5"/>
  <c r="M41" i="5" s="1"/>
  <c r="K41" i="5"/>
  <c r="L40" i="5"/>
  <c r="K40" i="5"/>
  <c r="M40" i="5" s="1"/>
  <c r="I40" i="5"/>
  <c r="T40" i="5" s="1"/>
  <c r="S40" i="5" s="1"/>
  <c r="L39" i="5"/>
  <c r="K39" i="5"/>
  <c r="L38" i="5"/>
  <c r="K38" i="5"/>
  <c r="M38" i="5" s="1"/>
  <c r="I38" i="5"/>
  <c r="T38" i="5" s="1"/>
  <c r="S38" i="5" s="1"/>
  <c r="L37" i="5"/>
  <c r="K37" i="5"/>
  <c r="L36" i="5"/>
  <c r="K36" i="5"/>
  <c r="M36" i="5" s="1"/>
  <c r="I36" i="5"/>
  <c r="T36" i="5" s="1"/>
  <c r="S36" i="5" s="1"/>
  <c r="L35" i="5"/>
  <c r="M35" i="5" s="1"/>
  <c r="K35" i="5"/>
  <c r="L34" i="5"/>
  <c r="K34" i="5"/>
  <c r="M34" i="5" s="1"/>
  <c r="I34" i="5"/>
  <c r="T34" i="5" s="1"/>
  <c r="S34" i="5" s="1"/>
  <c r="L33" i="5"/>
  <c r="K33" i="5"/>
  <c r="L32" i="5"/>
  <c r="K32" i="5"/>
  <c r="M32" i="5" s="1"/>
  <c r="I32" i="5"/>
  <c r="T32" i="5" s="1"/>
  <c r="S32" i="5" s="1"/>
  <c r="L31" i="5"/>
  <c r="M31" i="5" s="1"/>
  <c r="K31" i="5"/>
  <c r="L30" i="5"/>
  <c r="K30" i="5"/>
  <c r="M30" i="5" s="1"/>
  <c r="I30" i="5"/>
  <c r="T30" i="5" s="1"/>
  <c r="S30" i="5" s="1"/>
  <c r="L29" i="5"/>
  <c r="K29" i="5"/>
  <c r="L28" i="5"/>
  <c r="K28" i="5"/>
  <c r="M28" i="5" s="1"/>
  <c r="I28" i="5"/>
  <c r="T28" i="5" s="1"/>
  <c r="S28" i="5" s="1"/>
  <c r="L27" i="5"/>
  <c r="M27" i="5" s="1"/>
  <c r="K27" i="5"/>
  <c r="L26" i="5"/>
  <c r="K26" i="5"/>
  <c r="M26" i="5" s="1"/>
  <c r="I26" i="5"/>
  <c r="T26" i="5" s="1"/>
  <c r="S26" i="5" s="1"/>
  <c r="L25" i="5"/>
  <c r="M25" i="5" s="1"/>
  <c r="K25" i="5"/>
  <c r="L24" i="5"/>
  <c r="K24" i="5"/>
  <c r="M24" i="5" s="1"/>
  <c r="I24" i="5"/>
  <c r="T24" i="5" s="1"/>
  <c r="S24" i="5" s="1"/>
  <c r="L23" i="5"/>
  <c r="K23" i="5"/>
  <c r="L22" i="5"/>
  <c r="K22" i="5"/>
  <c r="M22" i="5" s="1"/>
  <c r="I22" i="5"/>
  <c r="T22" i="5" s="1"/>
  <c r="S22" i="5" s="1"/>
  <c r="L21" i="5"/>
  <c r="K21" i="5"/>
  <c r="L20" i="5"/>
  <c r="K20" i="5"/>
  <c r="M20" i="5" s="1"/>
  <c r="I20" i="5"/>
  <c r="T20" i="5" s="1"/>
  <c r="S20" i="5" s="1"/>
  <c r="L19" i="5"/>
  <c r="K19" i="5"/>
  <c r="R18" i="5"/>
  <c r="I18" i="5"/>
  <c r="H18" i="5"/>
  <c r="I49" i="5" s="1"/>
  <c r="E16" i="5"/>
  <c r="P11" i="5"/>
  <c r="P8" i="5"/>
  <c r="P1" i="5"/>
  <c r="Q50" i="4"/>
  <c r="L50" i="4"/>
  <c r="G50" i="4"/>
  <c r="F50" i="4"/>
  <c r="L49" i="4"/>
  <c r="K49" i="4"/>
  <c r="R48" i="4"/>
  <c r="V48" i="4" s="1"/>
  <c r="L48" i="4"/>
  <c r="K48" i="4"/>
  <c r="M48" i="4" s="1"/>
  <c r="I48" i="4"/>
  <c r="T48" i="4" s="1"/>
  <c r="S48" i="4" s="1"/>
  <c r="L47" i="4"/>
  <c r="M47" i="4" s="1"/>
  <c r="K47" i="4"/>
  <c r="R46" i="4"/>
  <c r="V46" i="4" s="1"/>
  <c r="L46" i="4"/>
  <c r="K46" i="4"/>
  <c r="M46" i="4" s="1"/>
  <c r="I46" i="4"/>
  <c r="T46" i="4" s="1"/>
  <c r="S46" i="4" s="1"/>
  <c r="L45" i="4"/>
  <c r="K45" i="4"/>
  <c r="R44" i="4"/>
  <c r="V44" i="4" s="1"/>
  <c r="L44" i="4"/>
  <c r="K44" i="4"/>
  <c r="M44" i="4" s="1"/>
  <c r="I44" i="4"/>
  <c r="T44" i="4" s="1"/>
  <c r="S44" i="4" s="1"/>
  <c r="L43" i="4"/>
  <c r="K43" i="4"/>
  <c r="R42" i="4"/>
  <c r="V42" i="4" s="1"/>
  <c r="L42" i="4"/>
  <c r="K42" i="4"/>
  <c r="M42" i="4" s="1"/>
  <c r="I42" i="4"/>
  <c r="T42" i="4" s="1"/>
  <c r="S42" i="4" s="1"/>
  <c r="L41" i="4"/>
  <c r="K41" i="4"/>
  <c r="R40" i="4"/>
  <c r="V40" i="4" s="1"/>
  <c r="L40" i="4"/>
  <c r="K40" i="4"/>
  <c r="M40" i="4" s="1"/>
  <c r="I40" i="4"/>
  <c r="T40" i="4" s="1"/>
  <c r="S40" i="4" s="1"/>
  <c r="L39" i="4"/>
  <c r="K39" i="4"/>
  <c r="R38" i="4"/>
  <c r="V38" i="4" s="1"/>
  <c r="L38" i="4"/>
  <c r="K38" i="4"/>
  <c r="M38" i="4" s="1"/>
  <c r="I38" i="4"/>
  <c r="T38" i="4" s="1"/>
  <c r="S38" i="4" s="1"/>
  <c r="L37" i="4"/>
  <c r="K37" i="4"/>
  <c r="R36" i="4"/>
  <c r="V36" i="4" s="1"/>
  <c r="L36" i="4"/>
  <c r="K36" i="4"/>
  <c r="M36" i="4" s="1"/>
  <c r="I36" i="4"/>
  <c r="T36" i="4" s="1"/>
  <c r="S36" i="4" s="1"/>
  <c r="L35" i="4"/>
  <c r="M35" i="4" s="1"/>
  <c r="K35" i="4"/>
  <c r="R34" i="4"/>
  <c r="V34" i="4" s="1"/>
  <c r="L34" i="4"/>
  <c r="K34" i="4"/>
  <c r="M34" i="4" s="1"/>
  <c r="I34" i="4"/>
  <c r="T34" i="4" s="1"/>
  <c r="S34" i="4" s="1"/>
  <c r="L33" i="4"/>
  <c r="K33" i="4"/>
  <c r="R32" i="4"/>
  <c r="V32" i="4" s="1"/>
  <c r="L32" i="4"/>
  <c r="K32" i="4"/>
  <c r="M32" i="4" s="1"/>
  <c r="I32" i="4"/>
  <c r="T32" i="4" s="1"/>
  <c r="S32" i="4" s="1"/>
  <c r="L31" i="4"/>
  <c r="K31" i="4"/>
  <c r="R30" i="4"/>
  <c r="V30" i="4" s="1"/>
  <c r="L30" i="4"/>
  <c r="K30" i="4"/>
  <c r="M30" i="4" s="1"/>
  <c r="I30" i="4"/>
  <c r="T30" i="4" s="1"/>
  <c r="S30" i="4" s="1"/>
  <c r="L29" i="4"/>
  <c r="M29" i="4" s="1"/>
  <c r="K29" i="4"/>
  <c r="R28" i="4"/>
  <c r="V28" i="4" s="1"/>
  <c r="L28" i="4"/>
  <c r="K28" i="4"/>
  <c r="M28" i="4" s="1"/>
  <c r="I28" i="4"/>
  <c r="T28" i="4" s="1"/>
  <c r="S28" i="4" s="1"/>
  <c r="L27" i="4"/>
  <c r="M27" i="4" s="1"/>
  <c r="K27" i="4"/>
  <c r="R26" i="4"/>
  <c r="V26" i="4" s="1"/>
  <c r="L26" i="4"/>
  <c r="K26" i="4"/>
  <c r="M26" i="4" s="1"/>
  <c r="I26" i="4"/>
  <c r="T26" i="4" s="1"/>
  <c r="S26" i="4" s="1"/>
  <c r="L25" i="4"/>
  <c r="K25" i="4"/>
  <c r="R24" i="4"/>
  <c r="V24" i="4" s="1"/>
  <c r="L24" i="4"/>
  <c r="K24" i="4"/>
  <c r="M24" i="4" s="1"/>
  <c r="I24" i="4"/>
  <c r="T24" i="4" s="1"/>
  <c r="S24" i="4" s="1"/>
  <c r="L23" i="4"/>
  <c r="K23" i="4"/>
  <c r="R22" i="4"/>
  <c r="V22" i="4" s="1"/>
  <c r="L22" i="4"/>
  <c r="K22" i="4"/>
  <c r="M22" i="4" s="1"/>
  <c r="I22" i="4"/>
  <c r="T22" i="4" s="1"/>
  <c r="S22" i="4" s="1"/>
  <c r="L21" i="4"/>
  <c r="M21" i="4" s="1"/>
  <c r="K21" i="4"/>
  <c r="R20" i="4"/>
  <c r="V20" i="4" s="1"/>
  <c r="L20" i="4"/>
  <c r="K20" i="4"/>
  <c r="M20" i="4" s="1"/>
  <c r="I20" i="4"/>
  <c r="T20" i="4" s="1"/>
  <c r="S20" i="4" s="1"/>
  <c r="L19" i="4"/>
  <c r="K19" i="4"/>
  <c r="K50" i="4" s="1"/>
  <c r="R18" i="4"/>
  <c r="I18" i="4"/>
  <c r="H18" i="4"/>
  <c r="I47" i="4" s="1"/>
  <c r="T47" i="4" s="1"/>
  <c r="S47" i="4" s="1"/>
  <c r="E16" i="4"/>
  <c r="P11" i="4"/>
  <c r="P8" i="4"/>
  <c r="P1" i="4"/>
  <c r="Q50" i="3"/>
  <c r="L50" i="3"/>
  <c r="G50" i="3"/>
  <c r="F50" i="3"/>
  <c r="L49" i="3"/>
  <c r="K49" i="3"/>
  <c r="R48" i="3"/>
  <c r="V48" i="3" s="1"/>
  <c r="L48" i="3"/>
  <c r="U48" i="3" s="1"/>
  <c r="K48" i="3"/>
  <c r="M48" i="3" s="1"/>
  <c r="I48" i="3"/>
  <c r="T48" i="3" s="1"/>
  <c r="S48" i="3" s="1"/>
  <c r="L47" i="3"/>
  <c r="K47" i="3"/>
  <c r="R46" i="3"/>
  <c r="V46" i="3" s="1"/>
  <c r="L46" i="3"/>
  <c r="U46" i="3" s="1"/>
  <c r="K46" i="3"/>
  <c r="M46" i="3" s="1"/>
  <c r="I46" i="3"/>
  <c r="T46" i="3" s="1"/>
  <c r="S46" i="3" s="1"/>
  <c r="L45" i="3"/>
  <c r="K45" i="3"/>
  <c r="R44" i="3"/>
  <c r="V44" i="3" s="1"/>
  <c r="L44" i="3"/>
  <c r="U44" i="3" s="1"/>
  <c r="K44" i="3"/>
  <c r="M44" i="3" s="1"/>
  <c r="I44" i="3"/>
  <c r="T44" i="3" s="1"/>
  <c r="S44" i="3" s="1"/>
  <c r="L43" i="3"/>
  <c r="K43" i="3"/>
  <c r="R42" i="3"/>
  <c r="V42" i="3" s="1"/>
  <c r="L42" i="3"/>
  <c r="U42" i="3" s="1"/>
  <c r="K42" i="3"/>
  <c r="M42" i="3" s="1"/>
  <c r="I42" i="3"/>
  <c r="T42" i="3" s="1"/>
  <c r="S42" i="3" s="1"/>
  <c r="L41" i="3"/>
  <c r="K41" i="3"/>
  <c r="R40" i="3"/>
  <c r="V40" i="3" s="1"/>
  <c r="L40" i="3"/>
  <c r="U40" i="3" s="1"/>
  <c r="K40" i="3"/>
  <c r="M40" i="3" s="1"/>
  <c r="I40" i="3"/>
  <c r="T40" i="3" s="1"/>
  <c r="S40" i="3" s="1"/>
  <c r="L39" i="3"/>
  <c r="K39" i="3"/>
  <c r="R38" i="3"/>
  <c r="V38" i="3" s="1"/>
  <c r="L38" i="3"/>
  <c r="U38" i="3" s="1"/>
  <c r="K38" i="3"/>
  <c r="M38" i="3" s="1"/>
  <c r="I38" i="3"/>
  <c r="T38" i="3" s="1"/>
  <c r="S38" i="3" s="1"/>
  <c r="L37" i="3"/>
  <c r="K37" i="3"/>
  <c r="R36" i="3"/>
  <c r="V36" i="3" s="1"/>
  <c r="L36" i="3"/>
  <c r="U36" i="3" s="1"/>
  <c r="K36" i="3"/>
  <c r="M36" i="3" s="1"/>
  <c r="I36" i="3"/>
  <c r="T36" i="3" s="1"/>
  <c r="S36" i="3" s="1"/>
  <c r="L35" i="3"/>
  <c r="K35" i="3"/>
  <c r="R34" i="3"/>
  <c r="V34" i="3" s="1"/>
  <c r="L34" i="3"/>
  <c r="U34" i="3" s="1"/>
  <c r="K34" i="3"/>
  <c r="M34" i="3" s="1"/>
  <c r="I34" i="3"/>
  <c r="T34" i="3" s="1"/>
  <c r="S34" i="3" s="1"/>
  <c r="L33" i="3"/>
  <c r="K33" i="3"/>
  <c r="R32" i="3"/>
  <c r="V32" i="3" s="1"/>
  <c r="L32" i="3"/>
  <c r="U32" i="3" s="1"/>
  <c r="K32" i="3"/>
  <c r="M32" i="3" s="1"/>
  <c r="I32" i="3"/>
  <c r="T32" i="3" s="1"/>
  <c r="S32" i="3" s="1"/>
  <c r="L31" i="3"/>
  <c r="K31" i="3"/>
  <c r="R30" i="3"/>
  <c r="V30" i="3" s="1"/>
  <c r="L30" i="3"/>
  <c r="U30" i="3" s="1"/>
  <c r="K30" i="3"/>
  <c r="M30" i="3" s="1"/>
  <c r="I30" i="3"/>
  <c r="T30" i="3" s="1"/>
  <c r="S30" i="3" s="1"/>
  <c r="L29" i="3"/>
  <c r="K29" i="3"/>
  <c r="R28" i="3"/>
  <c r="V28" i="3" s="1"/>
  <c r="L28" i="3"/>
  <c r="U28" i="3" s="1"/>
  <c r="K28" i="3"/>
  <c r="M28" i="3" s="1"/>
  <c r="I28" i="3"/>
  <c r="T28" i="3" s="1"/>
  <c r="S28" i="3" s="1"/>
  <c r="L27" i="3"/>
  <c r="K27" i="3"/>
  <c r="R26" i="3"/>
  <c r="V26" i="3" s="1"/>
  <c r="L26" i="3"/>
  <c r="U26" i="3" s="1"/>
  <c r="K26" i="3"/>
  <c r="M26" i="3" s="1"/>
  <c r="I26" i="3"/>
  <c r="T26" i="3" s="1"/>
  <c r="S26" i="3" s="1"/>
  <c r="L25" i="3"/>
  <c r="K25" i="3"/>
  <c r="R24" i="3"/>
  <c r="V24" i="3" s="1"/>
  <c r="L24" i="3"/>
  <c r="U24" i="3" s="1"/>
  <c r="K24" i="3"/>
  <c r="M24" i="3" s="1"/>
  <c r="I24" i="3"/>
  <c r="T24" i="3" s="1"/>
  <c r="S24" i="3" s="1"/>
  <c r="L23" i="3"/>
  <c r="K23" i="3"/>
  <c r="R22" i="3"/>
  <c r="V22" i="3" s="1"/>
  <c r="L22" i="3"/>
  <c r="U22" i="3" s="1"/>
  <c r="K22" i="3"/>
  <c r="M22" i="3" s="1"/>
  <c r="I22" i="3"/>
  <c r="T22" i="3" s="1"/>
  <c r="S22" i="3" s="1"/>
  <c r="L21" i="3"/>
  <c r="K21" i="3"/>
  <c r="R20" i="3"/>
  <c r="V20" i="3" s="1"/>
  <c r="L20" i="3"/>
  <c r="U20" i="3" s="1"/>
  <c r="K20" i="3"/>
  <c r="M20" i="3" s="1"/>
  <c r="I20" i="3"/>
  <c r="T20" i="3" s="1"/>
  <c r="S20" i="3" s="1"/>
  <c r="L19" i="3"/>
  <c r="K19" i="3"/>
  <c r="K50" i="3" s="1"/>
  <c r="R18" i="3"/>
  <c r="I18" i="3"/>
  <c r="H18" i="3"/>
  <c r="I47" i="3" s="1"/>
  <c r="E16" i="3"/>
  <c r="P11" i="3"/>
  <c r="P8" i="3"/>
  <c r="P1" i="3"/>
  <c r="Q50" i="2"/>
  <c r="G50" i="2"/>
  <c r="F50" i="2"/>
  <c r="M49" i="2"/>
  <c r="L49" i="2"/>
  <c r="K49" i="2"/>
  <c r="H49" i="2"/>
  <c r="L48" i="2"/>
  <c r="K48" i="2"/>
  <c r="M48" i="2" s="1"/>
  <c r="M47" i="2"/>
  <c r="L47" i="2"/>
  <c r="K47" i="2"/>
  <c r="H47" i="2"/>
  <c r="L46" i="2"/>
  <c r="K46" i="2"/>
  <c r="M46" i="2" s="1"/>
  <c r="M45" i="2"/>
  <c r="L45" i="2"/>
  <c r="K45" i="2"/>
  <c r="H45" i="2"/>
  <c r="L44" i="2"/>
  <c r="K44" i="2"/>
  <c r="M44" i="2" s="1"/>
  <c r="M43" i="2"/>
  <c r="L43" i="2"/>
  <c r="K43" i="2"/>
  <c r="H43" i="2"/>
  <c r="L42" i="2"/>
  <c r="K42" i="2"/>
  <c r="M42" i="2" s="1"/>
  <c r="M41" i="2"/>
  <c r="L41" i="2"/>
  <c r="K41" i="2"/>
  <c r="H41" i="2"/>
  <c r="L40" i="2"/>
  <c r="K40" i="2"/>
  <c r="M40" i="2" s="1"/>
  <c r="M39" i="2"/>
  <c r="L39" i="2"/>
  <c r="K39" i="2"/>
  <c r="H39" i="2"/>
  <c r="L38" i="2"/>
  <c r="K38" i="2"/>
  <c r="M38" i="2" s="1"/>
  <c r="M37" i="2"/>
  <c r="L37" i="2"/>
  <c r="K37" i="2"/>
  <c r="H37" i="2"/>
  <c r="L36" i="2"/>
  <c r="K36" i="2"/>
  <c r="M36" i="2" s="1"/>
  <c r="M35" i="2"/>
  <c r="L35" i="2"/>
  <c r="K35" i="2"/>
  <c r="H35" i="2"/>
  <c r="L34" i="2"/>
  <c r="K34" i="2"/>
  <c r="M34" i="2" s="1"/>
  <c r="M33" i="2"/>
  <c r="L33" i="2"/>
  <c r="K33" i="2"/>
  <c r="H33" i="2"/>
  <c r="L32" i="2"/>
  <c r="K32" i="2"/>
  <c r="M32" i="2" s="1"/>
  <c r="M31" i="2"/>
  <c r="L31" i="2"/>
  <c r="K31" i="2"/>
  <c r="H31" i="2"/>
  <c r="L30" i="2"/>
  <c r="K30" i="2"/>
  <c r="M30" i="2" s="1"/>
  <c r="M29" i="2"/>
  <c r="L29" i="2"/>
  <c r="K29" i="2"/>
  <c r="H29" i="2"/>
  <c r="L28" i="2"/>
  <c r="K28" i="2"/>
  <c r="M28" i="2" s="1"/>
  <c r="M27" i="2"/>
  <c r="L27" i="2"/>
  <c r="K27" i="2"/>
  <c r="H27" i="2"/>
  <c r="L26" i="2"/>
  <c r="K26" i="2"/>
  <c r="M26" i="2" s="1"/>
  <c r="M25" i="2"/>
  <c r="L25" i="2"/>
  <c r="K25" i="2"/>
  <c r="H25" i="2"/>
  <c r="L24" i="2"/>
  <c r="K24" i="2"/>
  <c r="M24" i="2" s="1"/>
  <c r="L23" i="2"/>
  <c r="M23" i="2" s="1"/>
  <c r="K23" i="2"/>
  <c r="L22" i="2"/>
  <c r="K22" i="2"/>
  <c r="M22" i="2" s="1"/>
  <c r="L21" i="2"/>
  <c r="K21" i="2"/>
  <c r="L20" i="2"/>
  <c r="K20" i="2"/>
  <c r="M20" i="2" s="1"/>
  <c r="L19" i="2"/>
  <c r="L50" i="2" s="1"/>
  <c r="K19" i="2"/>
  <c r="K50" i="2" s="1"/>
  <c r="R18" i="2"/>
  <c r="R44" i="2" s="1"/>
  <c r="V44" i="2" s="1"/>
  <c r="I18" i="2"/>
  <c r="H18" i="2"/>
  <c r="E16" i="2"/>
  <c r="P11" i="2"/>
  <c r="P1" i="2"/>
  <c r="P8" i="2" s="1"/>
  <c r="T35" i="21" l="1"/>
  <c r="S35" i="21" s="1"/>
  <c r="T43" i="21"/>
  <c r="S43" i="21" s="1"/>
  <c r="T47" i="27"/>
  <c r="S47" i="27" s="1"/>
  <c r="T21" i="21"/>
  <c r="S21" i="21" s="1"/>
  <c r="V22" i="21"/>
  <c r="T37" i="21"/>
  <c r="S37" i="21" s="1"/>
  <c r="V38" i="21"/>
  <c r="T23" i="27"/>
  <c r="S23" i="27" s="1"/>
  <c r="T33" i="29"/>
  <c r="S33" i="29" s="1"/>
  <c r="T32" i="39"/>
  <c r="S32" i="39" s="1"/>
  <c r="T37" i="29"/>
  <c r="S37" i="29" s="1"/>
  <c r="T49" i="12"/>
  <c r="S49" i="12" s="1"/>
  <c r="T49" i="21"/>
  <c r="S49" i="21" s="1"/>
  <c r="T39" i="27"/>
  <c r="S39" i="27" s="1"/>
  <c r="V26" i="41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21" i="3"/>
  <c r="H31" i="3"/>
  <c r="H33" i="3"/>
  <c r="H35" i="3"/>
  <c r="H37" i="3"/>
  <c r="H39" i="3"/>
  <c r="H41" i="3"/>
  <c r="H43" i="3"/>
  <c r="H45" i="3"/>
  <c r="V19" i="5"/>
  <c r="V29" i="5"/>
  <c r="V37" i="5"/>
  <c r="V47" i="5"/>
  <c r="H48" i="7"/>
  <c r="H46" i="7"/>
  <c r="H44" i="7"/>
  <c r="H42" i="7"/>
  <c r="H40" i="7"/>
  <c r="H38" i="7"/>
  <c r="H36" i="7"/>
  <c r="H34" i="7"/>
  <c r="H32" i="7"/>
  <c r="H30" i="7"/>
  <c r="H28" i="7"/>
  <c r="H26" i="7"/>
  <c r="H24" i="7"/>
  <c r="H22" i="7"/>
  <c r="H20" i="7"/>
  <c r="H23" i="7"/>
  <c r="H25" i="7"/>
  <c r="H39" i="7"/>
  <c r="H41" i="7"/>
  <c r="H49" i="7"/>
  <c r="V21" i="9"/>
  <c r="V31" i="9"/>
  <c r="R49" i="10"/>
  <c r="U49" i="10" s="1"/>
  <c r="R47" i="10"/>
  <c r="U47" i="10" s="1"/>
  <c r="R45" i="10"/>
  <c r="U45" i="10" s="1"/>
  <c r="R43" i="10"/>
  <c r="U43" i="10" s="1"/>
  <c r="R41" i="10"/>
  <c r="U41" i="10" s="1"/>
  <c r="R39" i="10"/>
  <c r="U39" i="10" s="1"/>
  <c r="R37" i="10"/>
  <c r="U37" i="10" s="1"/>
  <c r="R33" i="10"/>
  <c r="U33" i="10" s="1"/>
  <c r="R29" i="10"/>
  <c r="U29" i="10" s="1"/>
  <c r="R27" i="10"/>
  <c r="U27" i="10" s="1"/>
  <c r="R21" i="10"/>
  <c r="U21" i="10" s="1"/>
  <c r="R19" i="10"/>
  <c r="R35" i="10"/>
  <c r="U35" i="10" s="1"/>
  <c r="R31" i="10"/>
  <c r="U31" i="10" s="1"/>
  <c r="R25" i="10"/>
  <c r="U25" i="10" s="1"/>
  <c r="R23" i="10"/>
  <c r="U23" i="10" s="1"/>
  <c r="H48" i="11"/>
  <c r="H46" i="11"/>
  <c r="H44" i="11"/>
  <c r="H42" i="11"/>
  <c r="H40" i="11"/>
  <c r="H38" i="11"/>
  <c r="H36" i="11"/>
  <c r="H34" i="11"/>
  <c r="H32" i="11"/>
  <c r="H30" i="11"/>
  <c r="H28" i="11"/>
  <c r="H26" i="11"/>
  <c r="H24" i="11"/>
  <c r="H22" i="11"/>
  <c r="H20" i="11"/>
  <c r="H21" i="11"/>
  <c r="H23" i="11"/>
  <c r="H25" i="11"/>
  <c r="H27" i="11"/>
  <c r="H29" i="11"/>
  <c r="H31" i="11"/>
  <c r="H33" i="11"/>
  <c r="H37" i="11"/>
  <c r="H39" i="11"/>
  <c r="H47" i="11"/>
  <c r="V25" i="13"/>
  <c r="V35" i="13"/>
  <c r="V43" i="13"/>
  <c r="V47" i="13"/>
  <c r="H19" i="15"/>
  <c r="H21" i="15"/>
  <c r="H23" i="15"/>
  <c r="H25" i="15"/>
  <c r="H27" i="15"/>
  <c r="H29" i="15"/>
  <c r="H39" i="15"/>
  <c r="H41" i="15"/>
  <c r="H47" i="15"/>
  <c r="V19" i="17"/>
  <c r="V21" i="17"/>
  <c r="V31" i="17"/>
  <c r="R49" i="18"/>
  <c r="U49" i="18" s="1"/>
  <c r="R47" i="18"/>
  <c r="U47" i="18" s="1"/>
  <c r="R41" i="18"/>
  <c r="U41" i="18" s="1"/>
  <c r="R39" i="18"/>
  <c r="U39" i="18" s="1"/>
  <c r="R37" i="18"/>
  <c r="U37" i="18" s="1"/>
  <c r="R35" i="18"/>
  <c r="U35" i="18" s="1"/>
  <c r="R33" i="18"/>
  <c r="U33" i="18" s="1"/>
  <c r="R25" i="18"/>
  <c r="U25" i="18" s="1"/>
  <c r="R23" i="18"/>
  <c r="U23" i="18" s="1"/>
  <c r="R21" i="18"/>
  <c r="U21" i="18" s="1"/>
  <c r="R19" i="18"/>
  <c r="R45" i="18"/>
  <c r="U45" i="18" s="1"/>
  <c r="R43" i="18"/>
  <c r="U43" i="18" s="1"/>
  <c r="R31" i="18"/>
  <c r="U31" i="18" s="1"/>
  <c r="R29" i="18"/>
  <c r="U29" i="18" s="1"/>
  <c r="R27" i="18"/>
  <c r="U27" i="18" s="1"/>
  <c r="I48" i="20"/>
  <c r="T48" i="20" s="1"/>
  <c r="S48" i="20" s="1"/>
  <c r="I46" i="20"/>
  <c r="T46" i="20" s="1"/>
  <c r="S46" i="20" s="1"/>
  <c r="I44" i="20"/>
  <c r="I42" i="20"/>
  <c r="T42" i="20" s="1"/>
  <c r="S42" i="20" s="1"/>
  <c r="I40" i="20"/>
  <c r="T40" i="20" s="1"/>
  <c r="S40" i="20" s="1"/>
  <c r="I38" i="20"/>
  <c r="T38" i="20" s="1"/>
  <c r="S38" i="20" s="1"/>
  <c r="I36" i="20"/>
  <c r="I34" i="20"/>
  <c r="T34" i="20" s="1"/>
  <c r="S34" i="20" s="1"/>
  <c r="I32" i="20"/>
  <c r="T32" i="20" s="1"/>
  <c r="S32" i="20" s="1"/>
  <c r="I30" i="20"/>
  <c r="T30" i="20" s="1"/>
  <c r="S30" i="20" s="1"/>
  <c r="I28" i="20"/>
  <c r="I26" i="20"/>
  <c r="T26" i="20" s="1"/>
  <c r="S26" i="20" s="1"/>
  <c r="I24" i="20"/>
  <c r="T24" i="20" s="1"/>
  <c r="S24" i="20" s="1"/>
  <c r="I22" i="20"/>
  <c r="T22" i="20" s="1"/>
  <c r="S22" i="20" s="1"/>
  <c r="I20" i="20"/>
  <c r="I49" i="20"/>
  <c r="T49" i="20" s="1"/>
  <c r="S49" i="20" s="1"/>
  <c r="I47" i="20"/>
  <c r="T47" i="20" s="1"/>
  <c r="S47" i="20" s="1"/>
  <c r="I45" i="20"/>
  <c r="T45" i="20" s="1"/>
  <c r="S45" i="20" s="1"/>
  <c r="I43" i="20"/>
  <c r="I41" i="20"/>
  <c r="I39" i="20"/>
  <c r="T39" i="20" s="1"/>
  <c r="S39" i="20" s="1"/>
  <c r="I37" i="20"/>
  <c r="T37" i="20" s="1"/>
  <c r="S37" i="20" s="1"/>
  <c r="I35" i="20"/>
  <c r="I33" i="20"/>
  <c r="I31" i="20"/>
  <c r="I29" i="20"/>
  <c r="T29" i="20" s="1"/>
  <c r="S29" i="20" s="1"/>
  <c r="I27" i="20"/>
  <c r="I25" i="20"/>
  <c r="I23" i="20"/>
  <c r="I21" i="20"/>
  <c r="T21" i="20" s="1"/>
  <c r="S21" i="20" s="1"/>
  <c r="I19" i="20"/>
  <c r="V31" i="20"/>
  <c r="M31" i="20"/>
  <c r="V47" i="20"/>
  <c r="M47" i="20"/>
  <c r="U47" i="20"/>
  <c r="I49" i="22"/>
  <c r="T49" i="22" s="1"/>
  <c r="S49" i="22" s="1"/>
  <c r="I48" i="22"/>
  <c r="I47" i="22"/>
  <c r="I46" i="22"/>
  <c r="T46" i="22" s="1"/>
  <c r="S46" i="22" s="1"/>
  <c r="I45" i="22"/>
  <c r="T45" i="22" s="1"/>
  <c r="S45" i="22" s="1"/>
  <c r="I44" i="22"/>
  <c r="I43" i="22"/>
  <c r="T43" i="22" s="1"/>
  <c r="S43" i="22" s="1"/>
  <c r="I42" i="22"/>
  <c r="I41" i="22"/>
  <c r="T41" i="22" s="1"/>
  <c r="S41" i="22" s="1"/>
  <c r="I40" i="22"/>
  <c r="I39" i="22"/>
  <c r="I38" i="22"/>
  <c r="T38" i="22" s="1"/>
  <c r="S38" i="22" s="1"/>
  <c r="I37" i="22"/>
  <c r="T37" i="22" s="1"/>
  <c r="S37" i="22" s="1"/>
  <c r="I36" i="22"/>
  <c r="I35" i="22"/>
  <c r="I34" i="22"/>
  <c r="I33" i="22"/>
  <c r="T33" i="22" s="1"/>
  <c r="S33" i="22" s="1"/>
  <c r="I32" i="22"/>
  <c r="I31" i="22"/>
  <c r="I30" i="22"/>
  <c r="T30" i="22" s="1"/>
  <c r="S30" i="22" s="1"/>
  <c r="I29" i="22"/>
  <c r="T29" i="22" s="1"/>
  <c r="S29" i="22" s="1"/>
  <c r="I28" i="22"/>
  <c r="I25" i="22"/>
  <c r="T25" i="22" s="1"/>
  <c r="S25" i="22" s="1"/>
  <c r="I21" i="22"/>
  <c r="T21" i="22" s="1"/>
  <c r="S21" i="22" s="1"/>
  <c r="I26" i="22"/>
  <c r="I22" i="22"/>
  <c r="I19" i="22"/>
  <c r="I27" i="22"/>
  <c r="T27" i="22" s="1"/>
  <c r="S27" i="22" s="1"/>
  <c r="U36" i="22"/>
  <c r="V36" i="22"/>
  <c r="I47" i="23"/>
  <c r="I43" i="23"/>
  <c r="I39" i="23"/>
  <c r="T39" i="23" s="1"/>
  <c r="S39" i="23" s="1"/>
  <c r="I35" i="23"/>
  <c r="I31" i="23"/>
  <c r="I27" i="23"/>
  <c r="I23" i="23"/>
  <c r="T23" i="23" s="1"/>
  <c r="S23" i="23" s="1"/>
  <c r="I19" i="23"/>
  <c r="I42" i="23"/>
  <c r="T42" i="23" s="1"/>
  <c r="S42" i="23" s="1"/>
  <c r="I38" i="23"/>
  <c r="T38" i="23" s="1"/>
  <c r="S38" i="23" s="1"/>
  <c r="I46" i="23"/>
  <c r="T46" i="23" s="1"/>
  <c r="S46" i="23" s="1"/>
  <c r="I34" i="23"/>
  <c r="T34" i="23" s="1"/>
  <c r="S34" i="23" s="1"/>
  <c r="I30" i="23"/>
  <c r="T30" i="23" s="1"/>
  <c r="S30" i="23" s="1"/>
  <c r="I26" i="23"/>
  <c r="T26" i="23" s="1"/>
  <c r="S26" i="23" s="1"/>
  <c r="I22" i="23"/>
  <c r="T22" i="23" s="1"/>
  <c r="S22" i="23" s="1"/>
  <c r="I28" i="23"/>
  <c r="T28" i="23" s="1"/>
  <c r="S28" i="23" s="1"/>
  <c r="I29" i="23"/>
  <c r="I44" i="23"/>
  <c r="T44" i="23" s="1"/>
  <c r="S44" i="23" s="1"/>
  <c r="I20" i="25"/>
  <c r="T20" i="25" s="1"/>
  <c r="S20" i="25" s="1"/>
  <c r="I31" i="25"/>
  <c r="I36" i="25"/>
  <c r="T36" i="25" s="1"/>
  <c r="S36" i="25" s="1"/>
  <c r="U37" i="26"/>
  <c r="U25" i="28"/>
  <c r="M25" i="28"/>
  <c r="R28" i="28"/>
  <c r="M41" i="28"/>
  <c r="R44" i="28"/>
  <c r="U44" i="28" s="1"/>
  <c r="T39" i="29"/>
  <c r="S39" i="29" s="1"/>
  <c r="R49" i="30"/>
  <c r="V49" i="30" s="1"/>
  <c r="R47" i="30"/>
  <c r="U47" i="30" s="1"/>
  <c r="R45" i="30"/>
  <c r="R43" i="30"/>
  <c r="R41" i="30"/>
  <c r="R39" i="30"/>
  <c r="V39" i="30" s="1"/>
  <c r="R37" i="30"/>
  <c r="R35" i="30"/>
  <c r="R33" i="30"/>
  <c r="R31" i="30"/>
  <c r="V31" i="30" s="1"/>
  <c r="R29" i="30"/>
  <c r="R27" i="30"/>
  <c r="R25" i="30"/>
  <c r="R23" i="30"/>
  <c r="U23" i="30" s="1"/>
  <c r="R21" i="30"/>
  <c r="R19" i="30"/>
  <c r="R48" i="30"/>
  <c r="R40" i="30"/>
  <c r="R24" i="30"/>
  <c r="U24" i="30" s="1"/>
  <c r="R44" i="30"/>
  <c r="R36" i="30"/>
  <c r="R32" i="30"/>
  <c r="R28" i="30"/>
  <c r="U28" i="30" s="1"/>
  <c r="R20" i="30"/>
  <c r="U39" i="30"/>
  <c r="V47" i="30"/>
  <c r="U26" i="33"/>
  <c r="V26" i="33"/>
  <c r="U34" i="33"/>
  <c r="V34" i="33"/>
  <c r="U38" i="33"/>
  <c r="V38" i="33"/>
  <c r="U46" i="33"/>
  <c r="V46" i="33"/>
  <c r="L50" i="35"/>
  <c r="V19" i="35"/>
  <c r="M19" i="35"/>
  <c r="V23" i="35"/>
  <c r="M23" i="35"/>
  <c r="M27" i="35"/>
  <c r="U31" i="35"/>
  <c r="M31" i="35"/>
  <c r="M33" i="35"/>
  <c r="V37" i="35"/>
  <c r="M37" i="35"/>
  <c r="M41" i="35"/>
  <c r="U45" i="35"/>
  <c r="M45" i="35"/>
  <c r="M49" i="35"/>
  <c r="M43" i="37"/>
  <c r="V43" i="37"/>
  <c r="U43" i="37"/>
  <c r="U30" i="38"/>
  <c r="V30" i="38"/>
  <c r="V47" i="38"/>
  <c r="U47" i="38"/>
  <c r="M47" i="38"/>
  <c r="M37" i="39"/>
  <c r="V37" i="39"/>
  <c r="U28" i="40"/>
  <c r="T40" i="41"/>
  <c r="S40" i="41" s="1"/>
  <c r="L50" i="42"/>
  <c r="M19" i="42"/>
  <c r="U42" i="42"/>
  <c r="U20" i="43"/>
  <c r="V20" i="43"/>
  <c r="U40" i="43"/>
  <c r="L41" i="44"/>
  <c r="I41" i="44"/>
  <c r="U46" i="46"/>
  <c r="V46" i="46"/>
  <c r="L19" i="47"/>
  <c r="H50" i="47"/>
  <c r="V24" i="51"/>
  <c r="M23" i="52"/>
  <c r="V23" i="52"/>
  <c r="V36" i="54"/>
  <c r="M36" i="54"/>
  <c r="U25" i="56"/>
  <c r="M25" i="56"/>
  <c r="V25" i="56"/>
  <c r="M37" i="56"/>
  <c r="V37" i="56"/>
  <c r="U37" i="56"/>
  <c r="V31" i="57"/>
  <c r="M31" i="57"/>
  <c r="T31" i="57" s="1"/>
  <c r="S31" i="57" s="1"/>
  <c r="U31" i="57"/>
  <c r="U27" i="67"/>
  <c r="V27" i="67"/>
  <c r="M27" i="67"/>
  <c r="U30" i="2"/>
  <c r="U34" i="2"/>
  <c r="V31" i="4"/>
  <c r="R49" i="5"/>
  <c r="V49" i="5" s="1"/>
  <c r="R47" i="5"/>
  <c r="R45" i="5"/>
  <c r="V45" i="5" s="1"/>
  <c r="R39" i="5"/>
  <c r="R33" i="5"/>
  <c r="V33" i="5" s="1"/>
  <c r="R31" i="5"/>
  <c r="R29" i="5"/>
  <c r="R27" i="5"/>
  <c r="R25" i="5"/>
  <c r="U25" i="5" s="1"/>
  <c r="R23" i="5"/>
  <c r="R19" i="5"/>
  <c r="R43" i="5"/>
  <c r="V43" i="5" s="1"/>
  <c r="R41" i="5"/>
  <c r="U41" i="5" s="1"/>
  <c r="R37" i="5"/>
  <c r="R35" i="5"/>
  <c r="R21" i="5"/>
  <c r="V21" i="5" s="1"/>
  <c r="M19" i="5"/>
  <c r="M37" i="5"/>
  <c r="M47" i="5"/>
  <c r="H48" i="6"/>
  <c r="H46" i="6"/>
  <c r="H44" i="6"/>
  <c r="H42" i="6"/>
  <c r="H40" i="6"/>
  <c r="H38" i="6"/>
  <c r="H36" i="6"/>
  <c r="H34" i="6"/>
  <c r="H32" i="6"/>
  <c r="H30" i="6"/>
  <c r="H28" i="6"/>
  <c r="H26" i="6"/>
  <c r="H24" i="6"/>
  <c r="H22" i="6"/>
  <c r="H20" i="6"/>
  <c r="U38" i="6"/>
  <c r="H41" i="6"/>
  <c r="H45" i="6"/>
  <c r="U46" i="6"/>
  <c r="H49" i="6"/>
  <c r="V25" i="8"/>
  <c r="V29" i="8"/>
  <c r="V37" i="8"/>
  <c r="V43" i="8"/>
  <c r="R49" i="9"/>
  <c r="R47" i="9"/>
  <c r="R39" i="9"/>
  <c r="U39" i="9" s="1"/>
  <c r="R35" i="9"/>
  <c r="V35" i="9" s="1"/>
  <c r="R31" i="9"/>
  <c r="R27" i="9"/>
  <c r="R25" i="9"/>
  <c r="V25" i="9" s="1"/>
  <c r="R23" i="9"/>
  <c r="V23" i="9" s="1"/>
  <c r="R21" i="9"/>
  <c r="R45" i="9"/>
  <c r="R43" i="9"/>
  <c r="V43" i="9" s="1"/>
  <c r="R41" i="9"/>
  <c r="V41" i="9" s="1"/>
  <c r="R37" i="9"/>
  <c r="R33" i="9"/>
  <c r="R29" i="9"/>
  <c r="R19" i="9"/>
  <c r="R50" i="9" s="1"/>
  <c r="M21" i="9"/>
  <c r="H19" i="10"/>
  <c r="U20" i="10"/>
  <c r="U22" i="10"/>
  <c r="H25" i="10"/>
  <c r="H27" i="10"/>
  <c r="H29" i="10"/>
  <c r="U30" i="10"/>
  <c r="H35" i="10"/>
  <c r="U36" i="10"/>
  <c r="H39" i="10"/>
  <c r="H43" i="10"/>
  <c r="U44" i="10"/>
  <c r="H47" i="10"/>
  <c r="V27" i="12"/>
  <c r="V33" i="12"/>
  <c r="V41" i="12"/>
  <c r="M25" i="13"/>
  <c r="M33" i="13"/>
  <c r="M35" i="13"/>
  <c r="M49" i="13"/>
  <c r="T49" i="13" s="1"/>
  <c r="S49" i="13" s="1"/>
  <c r="H19" i="14"/>
  <c r="H21" i="14"/>
  <c r="H27" i="14"/>
  <c r="H29" i="14"/>
  <c r="H33" i="14"/>
  <c r="H35" i="14"/>
  <c r="U36" i="14"/>
  <c r="H41" i="14"/>
  <c r="H43" i="14"/>
  <c r="U44" i="14"/>
  <c r="V19" i="16"/>
  <c r="V33" i="16"/>
  <c r="V43" i="16"/>
  <c r="M21" i="17"/>
  <c r="M25" i="17"/>
  <c r="M27" i="17"/>
  <c r="M31" i="17"/>
  <c r="M45" i="17"/>
  <c r="H48" i="18"/>
  <c r="H46" i="18"/>
  <c r="H44" i="18"/>
  <c r="H42" i="18"/>
  <c r="H40" i="18"/>
  <c r="H38" i="18"/>
  <c r="H36" i="18"/>
  <c r="H34" i="18"/>
  <c r="H32" i="18"/>
  <c r="H30" i="18"/>
  <c r="H28" i="18"/>
  <c r="H26" i="18"/>
  <c r="H24" i="18"/>
  <c r="H22" i="18"/>
  <c r="H20" i="18"/>
  <c r="H21" i="18"/>
  <c r="H23" i="18"/>
  <c r="H27" i="18"/>
  <c r="H35" i="18"/>
  <c r="H37" i="18"/>
  <c r="H43" i="18"/>
  <c r="H45" i="18"/>
  <c r="H47" i="18"/>
  <c r="U48" i="18"/>
  <c r="H49" i="18"/>
  <c r="V25" i="19"/>
  <c r="V33" i="19"/>
  <c r="V37" i="19"/>
  <c r="V47" i="19"/>
  <c r="V25" i="20"/>
  <c r="M25" i="20"/>
  <c r="V46" i="20"/>
  <c r="V49" i="20"/>
  <c r="M49" i="20"/>
  <c r="U49" i="20"/>
  <c r="L50" i="21"/>
  <c r="U32" i="21"/>
  <c r="U36" i="21"/>
  <c r="U48" i="21"/>
  <c r="U32" i="22"/>
  <c r="V32" i="22"/>
  <c r="U48" i="22"/>
  <c r="V48" i="22"/>
  <c r="U30" i="24"/>
  <c r="V30" i="24"/>
  <c r="I27" i="25"/>
  <c r="I32" i="25"/>
  <c r="T32" i="25" s="1"/>
  <c r="S32" i="25" s="1"/>
  <c r="I43" i="25"/>
  <c r="I48" i="25"/>
  <c r="T48" i="25" s="1"/>
  <c r="S48" i="25" s="1"/>
  <c r="U30" i="26"/>
  <c r="V30" i="26"/>
  <c r="M37" i="26"/>
  <c r="H48" i="28"/>
  <c r="H46" i="28"/>
  <c r="H44" i="28"/>
  <c r="H42" i="28"/>
  <c r="H40" i="28"/>
  <c r="H38" i="28"/>
  <c r="H36" i="28"/>
  <c r="H34" i="28"/>
  <c r="H32" i="28"/>
  <c r="H30" i="28"/>
  <c r="H28" i="28"/>
  <c r="H26" i="28"/>
  <c r="H24" i="28"/>
  <c r="H22" i="28"/>
  <c r="H20" i="28"/>
  <c r="H50" i="28" s="1"/>
  <c r="H49" i="28"/>
  <c r="H45" i="28"/>
  <c r="H41" i="28"/>
  <c r="H37" i="28"/>
  <c r="H33" i="28"/>
  <c r="H29" i="28"/>
  <c r="H25" i="28"/>
  <c r="H21" i="28"/>
  <c r="H35" i="28"/>
  <c r="U48" i="28"/>
  <c r="V48" i="28"/>
  <c r="U20" i="30"/>
  <c r="V20" i="30"/>
  <c r="R22" i="30"/>
  <c r="V22" i="30" s="1"/>
  <c r="V28" i="30"/>
  <c r="R30" i="30"/>
  <c r="V30" i="30" s="1"/>
  <c r="U44" i="30"/>
  <c r="V44" i="30"/>
  <c r="R46" i="30"/>
  <c r="V46" i="30" s="1"/>
  <c r="U47" i="37"/>
  <c r="M47" i="37"/>
  <c r="V47" i="37"/>
  <c r="U22" i="38"/>
  <c r="V22" i="38"/>
  <c r="U27" i="39"/>
  <c r="V27" i="39"/>
  <c r="M27" i="39"/>
  <c r="T48" i="39"/>
  <c r="S48" i="39" s="1"/>
  <c r="H50" i="39"/>
  <c r="M33" i="41"/>
  <c r="V33" i="41"/>
  <c r="V34" i="41"/>
  <c r="U49" i="45"/>
  <c r="M49" i="45"/>
  <c r="U38" i="46"/>
  <c r="V38" i="46"/>
  <c r="U22" i="50"/>
  <c r="I47" i="53"/>
  <c r="T47" i="53" s="1"/>
  <c r="S47" i="53" s="1"/>
  <c r="I45" i="53"/>
  <c r="T45" i="53" s="1"/>
  <c r="S45" i="53" s="1"/>
  <c r="I43" i="53"/>
  <c r="T43" i="53" s="1"/>
  <c r="S43" i="53" s="1"/>
  <c r="I31" i="53"/>
  <c r="T31" i="53" s="1"/>
  <c r="S31" i="53" s="1"/>
  <c r="I29" i="53"/>
  <c r="T29" i="53" s="1"/>
  <c r="S29" i="53" s="1"/>
  <c r="I27" i="53"/>
  <c r="T27" i="53" s="1"/>
  <c r="S27" i="53" s="1"/>
  <c r="I37" i="53"/>
  <c r="I35" i="53"/>
  <c r="I23" i="53"/>
  <c r="T23" i="53" s="1"/>
  <c r="S23" i="53" s="1"/>
  <c r="I39" i="53"/>
  <c r="I21" i="53"/>
  <c r="I19" i="53"/>
  <c r="K50" i="53"/>
  <c r="M20" i="53"/>
  <c r="K50" i="54"/>
  <c r="V19" i="54"/>
  <c r="M19" i="54"/>
  <c r="I48" i="56"/>
  <c r="T48" i="56" s="1"/>
  <c r="S48" i="56" s="1"/>
  <c r="I46" i="56"/>
  <c r="T46" i="56" s="1"/>
  <c r="S46" i="56" s="1"/>
  <c r="I44" i="56"/>
  <c r="I42" i="56"/>
  <c r="T42" i="56" s="1"/>
  <c r="S42" i="56" s="1"/>
  <c r="I40" i="56"/>
  <c r="I38" i="56"/>
  <c r="T38" i="56" s="1"/>
  <c r="S38" i="56" s="1"/>
  <c r="I36" i="56"/>
  <c r="I34" i="56"/>
  <c r="I32" i="56"/>
  <c r="T32" i="56" s="1"/>
  <c r="S32" i="56" s="1"/>
  <c r="I30" i="56"/>
  <c r="T30" i="56" s="1"/>
  <c r="S30" i="56" s="1"/>
  <c r="I28" i="56"/>
  <c r="I26" i="56"/>
  <c r="T26" i="56" s="1"/>
  <c r="S26" i="56" s="1"/>
  <c r="I24" i="56"/>
  <c r="T24" i="56" s="1"/>
  <c r="S24" i="56" s="1"/>
  <c r="I22" i="56"/>
  <c r="I20" i="56"/>
  <c r="I47" i="56"/>
  <c r="T47" i="56" s="1"/>
  <c r="S47" i="56" s="1"/>
  <c r="I39" i="56"/>
  <c r="T39" i="56" s="1"/>
  <c r="S39" i="56" s="1"/>
  <c r="I31" i="56"/>
  <c r="T31" i="56" s="1"/>
  <c r="S31" i="56" s="1"/>
  <c r="I23" i="56"/>
  <c r="T23" i="56" s="1"/>
  <c r="S23" i="56" s="1"/>
  <c r="I49" i="56"/>
  <c r="T49" i="56" s="1"/>
  <c r="S49" i="56" s="1"/>
  <c r="I37" i="56"/>
  <c r="I35" i="56"/>
  <c r="T35" i="56" s="1"/>
  <c r="S35" i="56" s="1"/>
  <c r="I33" i="56"/>
  <c r="T33" i="56" s="1"/>
  <c r="S33" i="56" s="1"/>
  <c r="I21" i="56"/>
  <c r="T21" i="56" s="1"/>
  <c r="S21" i="56" s="1"/>
  <c r="I19" i="56"/>
  <c r="I29" i="56"/>
  <c r="I45" i="56"/>
  <c r="I43" i="56"/>
  <c r="V36" i="56"/>
  <c r="U36" i="56"/>
  <c r="I41" i="56"/>
  <c r="U23" i="59"/>
  <c r="M23" i="59"/>
  <c r="V23" i="59"/>
  <c r="V27" i="59"/>
  <c r="M27" i="59"/>
  <c r="U27" i="59"/>
  <c r="T41" i="71"/>
  <c r="S41" i="71" s="1"/>
  <c r="H48" i="2"/>
  <c r="H46" i="2"/>
  <c r="H44" i="2"/>
  <c r="H42" i="2"/>
  <c r="H40" i="2"/>
  <c r="H38" i="2"/>
  <c r="H36" i="2"/>
  <c r="H34" i="2"/>
  <c r="H32" i="2"/>
  <c r="H30" i="2"/>
  <c r="H28" i="2"/>
  <c r="H26" i="2"/>
  <c r="H24" i="2"/>
  <c r="H22" i="2"/>
  <c r="H20" i="2"/>
  <c r="M19" i="2"/>
  <c r="M50" i="2" s="1"/>
  <c r="P3" i="2" s="1"/>
  <c r="R20" i="2"/>
  <c r="V20" i="2" s="1"/>
  <c r="H23" i="2"/>
  <c r="V23" i="2"/>
  <c r="R32" i="2"/>
  <c r="V32" i="2" s="1"/>
  <c r="V25" i="3"/>
  <c r="V27" i="3"/>
  <c r="V41" i="3"/>
  <c r="V45" i="3"/>
  <c r="R49" i="4"/>
  <c r="U49" i="4" s="1"/>
  <c r="R47" i="4"/>
  <c r="U47" i="4" s="1"/>
  <c r="R45" i="4"/>
  <c r="U45" i="4" s="1"/>
  <c r="R43" i="4"/>
  <c r="U43" i="4" s="1"/>
  <c r="R41" i="4"/>
  <c r="U41" i="4" s="1"/>
  <c r="R39" i="4"/>
  <c r="U39" i="4" s="1"/>
  <c r="R37" i="4"/>
  <c r="U37" i="4" s="1"/>
  <c r="R33" i="4"/>
  <c r="U33" i="4" s="1"/>
  <c r="R31" i="4"/>
  <c r="U31" i="4" s="1"/>
  <c r="R29" i="4"/>
  <c r="U29" i="4" s="1"/>
  <c r="R27" i="4"/>
  <c r="U27" i="4" s="1"/>
  <c r="R23" i="4"/>
  <c r="U23" i="4" s="1"/>
  <c r="R21" i="4"/>
  <c r="U21" i="4" s="1"/>
  <c r="R35" i="4"/>
  <c r="U35" i="4" s="1"/>
  <c r="R25" i="4"/>
  <c r="U25" i="4" s="1"/>
  <c r="R19" i="4"/>
  <c r="V19" i="4" s="1"/>
  <c r="M19" i="4"/>
  <c r="M37" i="4"/>
  <c r="M39" i="4"/>
  <c r="M43" i="4"/>
  <c r="H48" i="5"/>
  <c r="H46" i="5"/>
  <c r="H44" i="5"/>
  <c r="H42" i="5"/>
  <c r="H40" i="5"/>
  <c r="H38" i="5"/>
  <c r="H36" i="5"/>
  <c r="H34" i="5"/>
  <c r="H32" i="5"/>
  <c r="H30" i="5"/>
  <c r="H28" i="5"/>
  <c r="H26" i="5"/>
  <c r="H24" i="5"/>
  <c r="H22" i="5"/>
  <c r="H20" i="5"/>
  <c r="U20" i="5"/>
  <c r="H25" i="5"/>
  <c r="H29" i="5"/>
  <c r="H37" i="5"/>
  <c r="H39" i="5"/>
  <c r="H41" i="5"/>
  <c r="H45" i="5"/>
  <c r="H49" i="5"/>
  <c r="R24" i="6"/>
  <c r="V24" i="6" s="1"/>
  <c r="R34" i="6"/>
  <c r="V34" i="6" s="1"/>
  <c r="R38" i="6"/>
  <c r="V38" i="6" s="1"/>
  <c r="V21" i="7"/>
  <c r="V25" i="7"/>
  <c r="V45" i="7"/>
  <c r="R49" i="8"/>
  <c r="U49" i="8" s="1"/>
  <c r="R47" i="8"/>
  <c r="U47" i="8" s="1"/>
  <c r="R45" i="8"/>
  <c r="U45" i="8" s="1"/>
  <c r="R25" i="8"/>
  <c r="U25" i="8" s="1"/>
  <c r="R43" i="8"/>
  <c r="U43" i="8" s="1"/>
  <c r="R41" i="8"/>
  <c r="U41" i="8" s="1"/>
  <c r="R39" i="8"/>
  <c r="U39" i="8" s="1"/>
  <c r="R37" i="8"/>
  <c r="U37" i="8" s="1"/>
  <c r="R35" i="8"/>
  <c r="U35" i="8" s="1"/>
  <c r="R33" i="8"/>
  <c r="U33" i="8" s="1"/>
  <c r="R31" i="8"/>
  <c r="U31" i="8" s="1"/>
  <c r="R29" i="8"/>
  <c r="U29" i="8" s="1"/>
  <c r="R27" i="8"/>
  <c r="U27" i="8" s="1"/>
  <c r="R23" i="8"/>
  <c r="U23" i="8" s="1"/>
  <c r="R21" i="8"/>
  <c r="U21" i="8" s="1"/>
  <c r="R19" i="8"/>
  <c r="M21" i="8"/>
  <c r="M25" i="8"/>
  <c r="M50" i="8" s="1"/>
  <c r="P3" i="8" s="1"/>
  <c r="M29" i="8"/>
  <c r="M31" i="8"/>
  <c r="M33" i="8"/>
  <c r="M37" i="8"/>
  <c r="M39" i="8"/>
  <c r="M43" i="8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9" i="9"/>
  <c r="H21" i="9"/>
  <c r="U22" i="9"/>
  <c r="H23" i="9"/>
  <c r="H25" i="9"/>
  <c r="U26" i="9"/>
  <c r="H27" i="9"/>
  <c r="H29" i="9"/>
  <c r="U30" i="9"/>
  <c r="H31" i="9"/>
  <c r="H33" i="9"/>
  <c r="U34" i="9"/>
  <c r="H35" i="9"/>
  <c r="H37" i="9"/>
  <c r="U38" i="9"/>
  <c r="H39" i="9"/>
  <c r="H41" i="9"/>
  <c r="U42" i="9"/>
  <c r="H43" i="9"/>
  <c r="H45" i="9"/>
  <c r="U46" i="9"/>
  <c r="H47" i="9"/>
  <c r="H49" i="9"/>
  <c r="K50" i="10"/>
  <c r="R20" i="10"/>
  <c r="V20" i="10" s="1"/>
  <c r="R22" i="10"/>
  <c r="V22" i="10" s="1"/>
  <c r="R24" i="10"/>
  <c r="V24" i="10" s="1"/>
  <c r="R26" i="10"/>
  <c r="V26" i="10" s="1"/>
  <c r="R28" i="10"/>
  <c r="V28" i="10" s="1"/>
  <c r="R30" i="10"/>
  <c r="V30" i="10" s="1"/>
  <c r="R32" i="10"/>
  <c r="V32" i="10" s="1"/>
  <c r="R34" i="10"/>
  <c r="V34" i="10" s="1"/>
  <c r="R36" i="10"/>
  <c r="V36" i="10" s="1"/>
  <c r="R38" i="10"/>
  <c r="V38" i="10" s="1"/>
  <c r="R40" i="10"/>
  <c r="V40" i="10" s="1"/>
  <c r="R42" i="10"/>
  <c r="V42" i="10" s="1"/>
  <c r="R44" i="10"/>
  <c r="V44" i="10" s="1"/>
  <c r="R46" i="10"/>
  <c r="V46" i="10" s="1"/>
  <c r="R48" i="10"/>
  <c r="V48" i="10" s="1"/>
  <c r="V19" i="11"/>
  <c r="V27" i="11"/>
  <c r="V35" i="11"/>
  <c r="V43" i="11"/>
  <c r="R45" i="12"/>
  <c r="U45" i="12" s="1"/>
  <c r="R43" i="12"/>
  <c r="U43" i="12" s="1"/>
  <c r="R41" i="12"/>
  <c r="U41" i="12" s="1"/>
  <c r="R39" i="12"/>
  <c r="U39" i="12" s="1"/>
  <c r="R37" i="12"/>
  <c r="U37" i="12" s="1"/>
  <c r="R33" i="12"/>
  <c r="U33" i="12" s="1"/>
  <c r="R23" i="12"/>
  <c r="U23" i="12" s="1"/>
  <c r="R21" i="12"/>
  <c r="U21" i="12" s="1"/>
  <c r="R49" i="12"/>
  <c r="U49" i="12" s="1"/>
  <c r="R47" i="12"/>
  <c r="U47" i="12" s="1"/>
  <c r="R35" i="12"/>
  <c r="U35" i="12" s="1"/>
  <c r="R31" i="12"/>
  <c r="U31" i="12" s="1"/>
  <c r="R29" i="12"/>
  <c r="U29" i="12" s="1"/>
  <c r="R27" i="12"/>
  <c r="U27" i="12" s="1"/>
  <c r="R25" i="12"/>
  <c r="U25" i="12" s="1"/>
  <c r="R19" i="12"/>
  <c r="M23" i="12"/>
  <c r="M50" i="12" s="1"/>
  <c r="P3" i="12" s="1"/>
  <c r="M27" i="12"/>
  <c r="M29" i="12"/>
  <c r="M33" i="12"/>
  <c r="M35" i="12"/>
  <c r="M39" i="12"/>
  <c r="M41" i="12"/>
  <c r="M45" i="12"/>
  <c r="M47" i="12"/>
  <c r="M49" i="12"/>
  <c r="H48" i="13"/>
  <c r="H46" i="13"/>
  <c r="H44" i="13"/>
  <c r="H42" i="13"/>
  <c r="H40" i="13"/>
  <c r="H38" i="13"/>
  <c r="H36" i="13"/>
  <c r="H34" i="13"/>
  <c r="H32" i="13"/>
  <c r="H30" i="13"/>
  <c r="H28" i="13"/>
  <c r="H26" i="13"/>
  <c r="H24" i="13"/>
  <c r="H22" i="13"/>
  <c r="H20" i="13"/>
  <c r="H19" i="13"/>
  <c r="H21" i="13"/>
  <c r="U22" i="13"/>
  <c r="H23" i="13"/>
  <c r="H25" i="13"/>
  <c r="U26" i="13"/>
  <c r="H27" i="13"/>
  <c r="H29" i="13"/>
  <c r="U30" i="13"/>
  <c r="H31" i="13"/>
  <c r="H33" i="13"/>
  <c r="U34" i="13"/>
  <c r="H35" i="13"/>
  <c r="H37" i="13"/>
  <c r="U38" i="13"/>
  <c r="H39" i="13"/>
  <c r="H41" i="13"/>
  <c r="U42" i="13"/>
  <c r="H43" i="13"/>
  <c r="H45" i="13"/>
  <c r="U46" i="13"/>
  <c r="H47" i="13"/>
  <c r="H49" i="13"/>
  <c r="K50" i="14"/>
  <c r="R20" i="14"/>
  <c r="V20" i="14" s="1"/>
  <c r="R22" i="14"/>
  <c r="V22" i="14" s="1"/>
  <c r="R24" i="14"/>
  <c r="V24" i="14" s="1"/>
  <c r="R26" i="14"/>
  <c r="V26" i="14" s="1"/>
  <c r="R28" i="14"/>
  <c r="V28" i="14" s="1"/>
  <c r="R30" i="14"/>
  <c r="V30" i="14" s="1"/>
  <c r="R32" i="14"/>
  <c r="V32" i="14" s="1"/>
  <c r="R34" i="14"/>
  <c r="V34" i="14" s="1"/>
  <c r="R36" i="14"/>
  <c r="V36" i="14" s="1"/>
  <c r="R38" i="14"/>
  <c r="V38" i="14" s="1"/>
  <c r="R40" i="14"/>
  <c r="V40" i="14" s="1"/>
  <c r="R42" i="14"/>
  <c r="V42" i="14" s="1"/>
  <c r="R44" i="14"/>
  <c r="V44" i="14" s="1"/>
  <c r="R46" i="14"/>
  <c r="V46" i="14" s="1"/>
  <c r="V19" i="15"/>
  <c r="V21" i="15"/>
  <c r="V29" i="15"/>
  <c r="V35" i="15"/>
  <c r="V45" i="15"/>
  <c r="R49" i="16"/>
  <c r="U49" i="16" s="1"/>
  <c r="R47" i="16"/>
  <c r="U47" i="16" s="1"/>
  <c r="R35" i="16"/>
  <c r="U35" i="16" s="1"/>
  <c r="R33" i="16"/>
  <c r="U33" i="16" s="1"/>
  <c r="R29" i="16"/>
  <c r="U29" i="16" s="1"/>
  <c r="R21" i="16"/>
  <c r="U21" i="16" s="1"/>
  <c r="R19" i="16"/>
  <c r="R45" i="16"/>
  <c r="U45" i="16" s="1"/>
  <c r="R43" i="16"/>
  <c r="U43" i="16" s="1"/>
  <c r="R41" i="16"/>
  <c r="U41" i="16" s="1"/>
  <c r="R39" i="16"/>
  <c r="U39" i="16" s="1"/>
  <c r="R37" i="16"/>
  <c r="U37" i="16" s="1"/>
  <c r="R31" i="16"/>
  <c r="U31" i="16" s="1"/>
  <c r="R27" i="16"/>
  <c r="U27" i="16" s="1"/>
  <c r="R25" i="16"/>
  <c r="U25" i="16" s="1"/>
  <c r="R23" i="16"/>
  <c r="U23" i="16" s="1"/>
  <c r="M19" i="16"/>
  <c r="M29" i="16"/>
  <c r="M33" i="16"/>
  <c r="M35" i="16"/>
  <c r="M37" i="16"/>
  <c r="M41" i="16"/>
  <c r="M43" i="16"/>
  <c r="M47" i="16"/>
  <c r="T47" i="16" s="1"/>
  <c r="S47" i="16" s="1"/>
  <c r="M49" i="16"/>
  <c r="H48" i="17"/>
  <c r="H46" i="17"/>
  <c r="H44" i="17"/>
  <c r="H42" i="17"/>
  <c r="H40" i="17"/>
  <c r="H38" i="17"/>
  <c r="H36" i="17"/>
  <c r="H34" i="17"/>
  <c r="H32" i="17"/>
  <c r="H30" i="17"/>
  <c r="H28" i="17"/>
  <c r="H26" i="17"/>
  <c r="H24" i="17"/>
  <c r="H22" i="17"/>
  <c r="H20" i="17"/>
  <c r="H19" i="17"/>
  <c r="U20" i="17"/>
  <c r="H21" i="17"/>
  <c r="H23" i="17"/>
  <c r="U24" i="17"/>
  <c r="H25" i="17"/>
  <c r="H27" i="17"/>
  <c r="U28" i="17"/>
  <c r="H29" i="17"/>
  <c r="H31" i="17"/>
  <c r="U32" i="17"/>
  <c r="H33" i="17"/>
  <c r="H35" i="17"/>
  <c r="U36" i="17"/>
  <c r="H37" i="17"/>
  <c r="H39" i="17"/>
  <c r="U40" i="17"/>
  <c r="H41" i="17"/>
  <c r="H43" i="17"/>
  <c r="U44" i="17"/>
  <c r="H45" i="17"/>
  <c r="H47" i="17"/>
  <c r="U48" i="17"/>
  <c r="H49" i="17"/>
  <c r="K50" i="18"/>
  <c r="R20" i="18"/>
  <c r="V20" i="18" s="1"/>
  <c r="R22" i="18"/>
  <c r="V22" i="18" s="1"/>
  <c r="R24" i="18"/>
  <c r="V24" i="18" s="1"/>
  <c r="R26" i="18"/>
  <c r="V26" i="18" s="1"/>
  <c r="R28" i="18"/>
  <c r="V28" i="18" s="1"/>
  <c r="R30" i="18"/>
  <c r="V30" i="18" s="1"/>
  <c r="R32" i="18"/>
  <c r="V32" i="18" s="1"/>
  <c r="R34" i="18"/>
  <c r="V34" i="18" s="1"/>
  <c r="R36" i="18"/>
  <c r="V36" i="18" s="1"/>
  <c r="R38" i="18"/>
  <c r="V38" i="18" s="1"/>
  <c r="R40" i="18"/>
  <c r="V40" i="18" s="1"/>
  <c r="R42" i="18"/>
  <c r="V42" i="18" s="1"/>
  <c r="R44" i="18"/>
  <c r="V44" i="18" s="1"/>
  <c r="R46" i="18"/>
  <c r="V46" i="18" s="1"/>
  <c r="R48" i="18"/>
  <c r="V48" i="18" s="1"/>
  <c r="R47" i="19"/>
  <c r="U47" i="19" s="1"/>
  <c r="R43" i="19"/>
  <c r="U43" i="19" s="1"/>
  <c r="R39" i="19"/>
  <c r="U39" i="19" s="1"/>
  <c r="R33" i="19"/>
  <c r="U33" i="19" s="1"/>
  <c r="R27" i="19"/>
  <c r="U27" i="19" s="1"/>
  <c r="R25" i="19"/>
  <c r="U25" i="19" s="1"/>
  <c r="R49" i="19"/>
  <c r="R45" i="19"/>
  <c r="U45" i="19" s="1"/>
  <c r="R41" i="19"/>
  <c r="U41" i="19" s="1"/>
  <c r="R37" i="19"/>
  <c r="U37" i="19" s="1"/>
  <c r="R35" i="19"/>
  <c r="U35" i="19" s="1"/>
  <c r="R31" i="19"/>
  <c r="U31" i="19" s="1"/>
  <c r="R29" i="19"/>
  <c r="U29" i="19" s="1"/>
  <c r="R23" i="19"/>
  <c r="U23" i="19" s="1"/>
  <c r="R21" i="19"/>
  <c r="U21" i="19" s="1"/>
  <c r="R19" i="19"/>
  <c r="M20" i="19"/>
  <c r="T20" i="19" s="1"/>
  <c r="S20" i="19" s="1"/>
  <c r="K50" i="19"/>
  <c r="M21" i="19"/>
  <c r="M23" i="19"/>
  <c r="M25" i="19"/>
  <c r="M31" i="19"/>
  <c r="M33" i="19"/>
  <c r="T33" i="19" s="1"/>
  <c r="S33" i="19" s="1"/>
  <c r="M35" i="19"/>
  <c r="M37" i="19"/>
  <c r="M39" i="19"/>
  <c r="M41" i="19"/>
  <c r="M43" i="19"/>
  <c r="M47" i="19"/>
  <c r="K50" i="20"/>
  <c r="M19" i="20"/>
  <c r="V19" i="20"/>
  <c r="U19" i="20"/>
  <c r="V24" i="20"/>
  <c r="V27" i="20"/>
  <c r="M27" i="20"/>
  <c r="U27" i="20"/>
  <c r="V32" i="20"/>
  <c r="V35" i="20"/>
  <c r="M35" i="20"/>
  <c r="U35" i="20"/>
  <c r="V40" i="20"/>
  <c r="V43" i="20"/>
  <c r="M43" i="20"/>
  <c r="U43" i="20"/>
  <c r="V48" i="20"/>
  <c r="R48" i="21"/>
  <c r="R46" i="21"/>
  <c r="V46" i="21" s="1"/>
  <c r="R44" i="21"/>
  <c r="U44" i="21" s="1"/>
  <c r="R42" i="21"/>
  <c r="V42" i="21" s="1"/>
  <c r="R40" i="21"/>
  <c r="V40" i="21" s="1"/>
  <c r="R38" i="21"/>
  <c r="R36" i="21"/>
  <c r="V36" i="21" s="1"/>
  <c r="R34" i="21"/>
  <c r="U34" i="21" s="1"/>
  <c r="R32" i="21"/>
  <c r="R30" i="21"/>
  <c r="V30" i="21" s="1"/>
  <c r="R28" i="21"/>
  <c r="U28" i="21" s="1"/>
  <c r="R26" i="21"/>
  <c r="V26" i="21" s="1"/>
  <c r="R24" i="21"/>
  <c r="U24" i="21" s="1"/>
  <c r="R22" i="21"/>
  <c r="R20" i="21"/>
  <c r="V20" i="21" s="1"/>
  <c r="R19" i="21"/>
  <c r="R21" i="21"/>
  <c r="U21" i="21" s="1"/>
  <c r="R23" i="21"/>
  <c r="U23" i="21" s="1"/>
  <c r="V24" i="21"/>
  <c r="R25" i="21"/>
  <c r="U25" i="21" s="1"/>
  <c r="R27" i="21"/>
  <c r="U27" i="21" s="1"/>
  <c r="V28" i="21"/>
  <c r="R29" i="21"/>
  <c r="U29" i="21" s="1"/>
  <c r="R31" i="21"/>
  <c r="U31" i="21" s="1"/>
  <c r="V32" i="21"/>
  <c r="R33" i="21"/>
  <c r="U33" i="21" s="1"/>
  <c r="R35" i="21"/>
  <c r="U35" i="21" s="1"/>
  <c r="R37" i="21"/>
  <c r="U37" i="21" s="1"/>
  <c r="R39" i="21"/>
  <c r="U39" i="21" s="1"/>
  <c r="R41" i="21"/>
  <c r="U41" i="21" s="1"/>
  <c r="R43" i="21"/>
  <c r="U43" i="21" s="1"/>
  <c r="R45" i="21"/>
  <c r="U45" i="21" s="1"/>
  <c r="R47" i="21"/>
  <c r="U47" i="21" s="1"/>
  <c r="V48" i="21"/>
  <c r="R49" i="21"/>
  <c r="U49" i="21" s="1"/>
  <c r="I23" i="22"/>
  <c r="T23" i="22" s="1"/>
  <c r="S23" i="22" s="1"/>
  <c r="U25" i="22"/>
  <c r="V27" i="22"/>
  <c r="U28" i="22"/>
  <c r="V28" i="22"/>
  <c r="M35" i="22"/>
  <c r="U44" i="22"/>
  <c r="V44" i="22"/>
  <c r="I20" i="23"/>
  <c r="T20" i="23" s="1"/>
  <c r="S20" i="23" s="1"/>
  <c r="I21" i="23"/>
  <c r="T21" i="23" s="1"/>
  <c r="S21" i="23" s="1"/>
  <c r="I36" i="23"/>
  <c r="T36" i="23" s="1"/>
  <c r="S36" i="23" s="1"/>
  <c r="I37" i="23"/>
  <c r="T49" i="24"/>
  <c r="S49" i="24" s="1"/>
  <c r="L50" i="24"/>
  <c r="M19" i="24"/>
  <c r="U27" i="24"/>
  <c r="M27" i="24"/>
  <c r="M35" i="24"/>
  <c r="U43" i="24"/>
  <c r="M43" i="24"/>
  <c r="I23" i="25"/>
  <c r="I28" i="25"/>
  <c r="T28" i="25" s="1"/>
  <c r="S28" i="25" s="1"/>
  <c r="I39" i="25"/>
  <c r="T39" i="25" s="1"/>
  <c r="S39" i="25" s="1"/>
  <c r="H48" i="26"/>
  <c r="H46" i="26"/>
  <c r="H44" i="26"/>
  <c r="H42" i="26"/>
  <c r="H40" i="26"/>
  <c r="H38" i="26"/>
  <c r="H36" i="26"/>
  <c r="H34" i="26"/>
  <c r="H32" i="26"/>
  <c r="H30" i="26"/>
  <c r="H28" i="26"/>
  <c r="H26" i="26"/>
  <c r="H24" i="26"/>
  <c r="H22" i="26"/>
  <c r="H20" i="26"/>
  <c r="H49" i="26"/>
  <c r="H45" i="26"/>
  <c r="H41" i="26"/>
  <c r="H37" i="26"/>
  <c r="H25" i="26"/>
  <c r="H21" i="26"/>
  <c r="H33" i="26"/>
  <c r="H29" i="26"/>
  <c r="H19" i="26"/>
  <c r="U26" i="26"/>
  <c r="V26" i="26"/>
  <c r="H35" i="26"/>
  <c r="U42" i="26"/>
  <c r="V42" i="26"/>
  <c r="U45" i="26"/>
  <c r="M21" i="28"/>
  <c r="R24" i="28"/>
  <c r="V24" i="28" s="1"/>
  <c r="M29" i="28"/>
  <c r="R32" i="28"/>
  <c r="U32" i="28" s="1"/>
  <c r="U37" i="28"/>
  <c r="M37" i="28"/>
  <c r="R40" i="28"/>
  <c r="M45" i="28"/>
  <c r="L50" i="30"/>
  <c r="V19" i="30"/>
  <c r="U19" i="30"/>
  <c r="V27" i="30"/>
  <c r="U27" i="30"/>
  <c r="V35" i="30"/>
  <c r="U35" i="30"/>
  <c r="V43" i="30"/>
  <c r="U43" i="30"/>
  <c r="L50" i="31"/>
  <c r="M19" i="31"/>
  <c r="M21" i="31"/>
  <c r="M23" i="31"/>
  <c r="U25" i="31"/>
  <c r="M25" i="31"/>
  <c r="M27" i="31"/>
  <c r="M29" i="31"/>
  <c r="M31" i="31"/>
  <c r="U33" i="31"/>
  <c r="M33" i="31"/>
  <c r="M35" i="31"/>
  <c r="M37" i="31"/>
  <c r="M39" i="31"/>
  <c r="U41" i="31"/>
  <c r="M41" i="31"/>
  <c r="M43" i="31"/>
  <c r="M45" i="31"/>
  <c r="M47" i="31"/>
  <c r="U49" i="31"/>
  <c r="M49" i="31"/>
  <c r="T49" i="31" s="1"/>
  <c r="S49" i="31" s="1"/>
  <c r="U20" i="33"/>
  <c r="V20" i="33"/>
  <c r="U24" i="33"/>
  <c r="V24" i="33"/>
  <c r="U28" i="33"/>
  <c r="V28" i="33"/>
  <c r="U32" i="33"/>
  <c r="V32" i="33"/>
  <c r="U36" i="33"/>
  <c r="V36" i="33"/>
  <c r="U40" i="33"/>
  <c r="V40" i="33"/>
  <c r="U44" i="33"/>
  <c r="V44" i="33"/>
  <c r="U48" i="33"/>
  <c r="V48" i="33"/>
  <c r="L19" i="37"/>
  <c r="H50" i="37"/>
  <c r="M33" i="37"/>
  <c r="U34" i="37"/>
  <c r="V34" i="37"/>
  <c r="I47" i="37"/>
  <c r="U26" i="38"/>
  <c r="V26" i="38"/>
  <c r="V39" i="38"/>
  <c r="U39" i="38"/>
  <c r="V31" i="39"/>
  <c r="M31" i="39"/>
  <c r="M45" i="39"/>
  <c r="T45" i="39" s="1"/>
  <c r="S45" i="39" s="1"/>
  <c r="V45" i="39"/>
  <c r="U45" i="39"/>
  <c r="U25" i="40"/>
  <c r="V25" i="40"/>
  <c r="M25" i="40"/>
  <c r="T31" i="40"/>
  <c r="S31" i="40" s="1"/>
  <c r="U33" i="40"/>
  <c r="V33" i="40"/>
  <c r="M33" i="40"/>
  <c r="T34" i="40"/>
  <c r="S34" i="40" s="1"/>
  <c r="U41" i="40"/>
  <c r="V41" i="40"/>
  <c r="M41" i="40"/>
  <c r="U49" i="40"/>
  <c r="V49" i="40"/>
  <c r="M49" i="40"/>
  <c r="M25" i="41"/>
  <c r="T25" i="41" s="1"/>
  <c r="S25" i="41" s="1"/>
  <c r="V25" i="41"/>
  <c r="U25" i="41"/>
  <c r="U26" i="42"/>
  <c r="V26" i="42"/>
  <c r="M31" i="42"/>
  <c r="V35" i="42"/>
  <c r="M35" i="42"/>
  <c r="U36" i="43"/>
  <c r="V36" i="43"/>
  <c r="V45" i="43"/>
  <c r="U45" i="43"/>
  <c r="M45" i="43"/>
  <c r="M33" i="44"/>
  <c r="M43" i="44"/>
  <c r="V47" i="44"/>
  <c r="T24" i="45"/>
  <c r="S24" i="45" s="1"/>
  <c r="U32" i="45"/>
  <c r="V32" i="45"/>
  <c r="M33" i="45"/>
  <c r="T33" i="45" s="1"/>
  <c r="S33" i="45" s="1"/>
  <c r="M23" i="46"/>
  <c r="V49" i="46"/>
  <c r="M49" i="46"/>
  <c r="U49" i="46"/>
  <c r="U20" i="47"/>
  <c r="V20" i="47"/>
  <c r="M21" i="47"/>
  <c r="V21" i="47"/>
  <c r="U21" i="47"/>
  <c r="M39" i="47"/>
  <c r="U39" i="47"/>
  <c r="V46" i="48"/>
  <c r="U48" i="48"/>
  <c r="V26" i="49"/>
  <c r="M26" i="49"/>
  <c r="V42" i="49"/>
  <c r="M42" i="49"/>
  <c r="M30" i="51"/>
  <c r="T33" i="51"/>
  <c r="S33" i="51" s="1"/>
  <c r="V40" i="51"/>
  <c r="U43" i="51"/>
  <c r="M43" i="51"/>
  <c r="M24" i="52"/>
  <c r="V28" i="52"/>
  <c r="V35" i="54"/>
  <c r="M35" i="54"/>
  <c r="U31" i="55"/>
  <c r="V31" i="55"/>
  <c r="M31" i="55"/>
  <c r="U47" i="55"/>
  <c r="V47" i="55"/>
  <c r="M47" i="55"/>
  <c r="U20" i="57"/>
  <c r="M20" i="57"/>
  <c r="L37" i="57"/>
  <c r="I37" i="57"/>
  <c r="V41" i="60"/>
  <c r="M41" i="60"/>
  <c r="V21" i="61"/>
  <c r="M21" i="61"/>
  <c r="L25" i="68"/>
  <c r="I25" i="68"/>
  <c r="H19" i="3"/>
  <c r="H23" i="3"/>
  <c r="H25" i="3"/>
  <c r="H27" i="3"/>
  <c r="H29" i="3"/>
  <c r="H47" i="3"/>
  <c r="H49" i="3"/>
  <c r="V23" i="5"/>
  <c r="V27" i="5"/>
  <c r="V31" i="5"/>
  <c r="V35" i="5"/>
  <c r="V39" i="5"/>
  <c r="V41" i="5"/>
  <c r="R31" i="6"/>
  <c r="U31" i="6" s="1"/>
  <c r="R29" i="6"/>
  <c r="U29" i="6" s="1"/>
  <c r="R27" i="6"/>
  <c r="U27" i="6" s="1"/>
  <c r="R21" i="6"/>
  <c r="U21" i="6" s="1"/>
  <c r="R19" i="6"/>
  <c r="R49" i="6"/>
  <c r="U49" i="6" s="1"/>
  <c r="R47" i="6"/>
  <c r="U47" i="6" s="1"/>
  <c r="R45" i="6"/>
  <c r="U45" i="6" s="1"/>
  <c r="R43" i="6"/>
  <c r="U43" i="6" s="1"/>
  <c r="R41" i="6"/>
  <c r="U41" i="6" s="1"/>
  <c r="R39" i="6"/>
  <c r="U39" i="6" s="1"/>
  <c r="R37" i="6"/>
  <c r="U37" i="6" s="1"/>
  <c r="R35" i="6"/>
  <c r="U35" i="6" s="1"/>
  <c r="R33" i="6"/>
  <c r="U33" i="6" s="1"/>
  <c r="R25" i="6"/>
  <c r="U25" i="6" s="1"/>
  <c r="R23" i="6"/>
  <c r="U23" i="6" s="1"/>
  <c r="H19" i="7"/>
  <c r="H21" i="7"/>
  <c r="H27" i="7"/>
  <c r="H29" i="7"/>
  <c r="H31" i="7"/>
  <c r="H33" i="7"/>
  <c r="H35" i="7"/>
  <c r="H37" i="7"/>
  <c r="H43" i="7"/>
  <c r="H45" i="7"/>
  <c r="H47" i="7"/>
  <c r="V27" i="9"/>
  <c r="V29" i="9"/>
  <c r="V33" i="9"/>
  <c r="V37" i="9"/>
  <c r="V39" i="9"/>
  <c r="V45" i="9"/>
  <c r="V47" i="9"/>
  <c r="V49" i="9"/>
  <c r="H19" i="11"/>
  <c r="H35" i="11"/>
  <c r="H41" i="11"/>
  <c r="H43" i="11"/>
  <c r="H45" i="11"/>
  <c r="H49" i="11"/>
  <c r="R49" i="14"/>
  <c r="U49" i="14" s="1"/>
  <c r="R47" i="14"/>
  <c r="U47" i="14" s="1"/>
  <c r="R45" i="14"/>
  <c r="U45" i="14" s="1"/>
  <c r="R41" i="14"/>
  <c r="U41" i="14" s="1"/>
  <c r="R39" i="14"/>
  <c r="U39" i="14" s="1"/>
  <c r="R37" i="14"/>
  <c r="U37" i="14" s="1"/>
  <c r="R27" i="14"/>
  <c r="U27" i="14" s="1"/>
  <c r="R25" i="14"/>
  <c r="U25" i="14" s="1"/>
  <c r="R21" i="14"/>
  <c r="U21" i="14" s="1"/>
  <c r="R19" i="14"/>
  <c r="R43" i="14"/>
  <c r="U43" i="14" s="1"/>
  <c r="R35" i="14"/>
  <c r="U35" i="14" s="1"/>
  <c r="R33" i="14"/>
  <c r="U33" i="14" s="1"/>
  <c r="R31" i="14"/>
  <c r="U31" i="14" s="1"/>
  <c r="R29" i="14"/>
  <c r="U29" i="14" s="1"/>
  <c r="R23" i="14"/>
  <c r="U23" i="14" s="1"/>
  <c r="H48" i="15"/>
  <c r="H46" i="15"/>
  <c r="H44" i="15"/>
  <c r="H42" i="15"/>
  <c r="H40" i="15"/>
  <c r="H38" i="15"/>
  <c r="H36" i="15"/>
  <c r="H34" i="15"/>
  <c r="H32" i="15"/>
  <c r="H30" i="15"/>
  <c r="H28" i="15"/>
  <c r="H26" i="15"/>
  <c r="H24" i="15"/>
  <c r="H22" i="15"/>
  <c r="H20" i="15"/>
  <c r="H31" i="15"/>
  <c r="H33" i="15"/>
  <c r="H35" i="15"/>
  <c r="H37" i="15"/>
  <c r="H43" i="15"/>
  <c r="H45" i="15"/>
  <c r="V37" i="17"/>
  <c r="V49" i="17"/>
  <c r="L50" i="20"/>
  <c r="V23" i="20"/>
  <c r="M23" i="20"/>
  <c r="U23" i="20"/>
  <c r="U31" i="20"/>
  <c r="M39" i="20"/>
  <c r="V39" i="20"/>
  <c r="U39" i="20"/>
  <c r="U19" i="22"/>
  <c r="I45" i="23"/>
  <c r="T45" i="23" s="1"/>
  <c r="S45" i="23" s="1"/>
  <c r="M23" i="24"/>
  <c r="M31" i="24"/>
  <c r="M39" i="24"/>
  <c r="M47" i="24"/>
  <c r="I46" i="25"/>
  <c r="T46" i="25" s="1"/>
  <c r="S46" i="25" s="1"/>
  <c r="I42" i="25"/>
  <c r="T42" i="25" s="1"/>
  <c r="S42" i="25" s="1"/>
  <c r="I38" i="25"/>
  <c r="T38" i="25" s="1"/>
  <c r="S38" i="25" s="1"/>
  <c r="I34" i="25"/>
  <c r="T34" i="25" s="1"/>
  <c r="S34" i="25" s="1"/>
  <c r="I30" i="25"/>
  <c r="T30" i="25" s="1"/>
  <c r="S30" i="25" s="1"/>
  <c r="I26" i="25"/>
  <c r="T26" i="25" s="1"/>
  <c r="S26" i="25" s="1"/>
  <c r="I22" i="25"/>
  <c r="T22" i="25" s="1"/>
  <c r="S22" i="25" s="1"/>
  <c r="I49" i="25"/>
  <c r="I45" i="25"/>
  <c r="I41" i="25"/>
  <c r="I37" i="25"/>
  <c r="I33" i="25"/>
  <c r="T33" i="25" s="1"/>
  <c r="S33" i="25" s="1"/>
  <c r="I29" i="25"/>
  <c r="I25" i="25"/>
  <c r="I21" i="25"/>
  <c r="I47" i="25"/>
  <c r="T47" i="25" s="1"/>
  <c r="S47" i="25" s="1"/>
  <c r="U34" i="26"/>
  <c r="V34" i="26"/>
  <c r="R49" i="28"/>
  <c r="R47" i="28"/>
  <c r="R45" i="28"/>
  <c r="U45" i="28" s="1"/>
  <c r="R43" i="28"/>
  <c r="R41" i="28"/>
  <c r="V41" i="28" s="1"/>
  <c r="R39" i="28"/>
  <c r="R37" i="28"/>
  <c r="R35" i="28"/>
  <c r="R33" i="28"/>
  <c r="R31" i="28"/>
  <c r="R29" i="28"/>
  <c r="U29" i="28" s="1"/>
  <c r="R27" i="28"/>
  <c r="R25" i="28"/>
  <c r="V25" i="28" s="1"/>
  <c r="R23" i="28"/>
  <c r="R21" i="28"/>
  <c r="U21" i="28" s="1"/>
  <c r="R19" i="28"/>
  <c r="R46" i="28"/>
  <c r="V46" i="28" s="1"/>
  <c r="R42" i="28"/>
  <c r="V42" i="28" s="1"/>
  <c r="R38" i="28"/>
  <c r="V38" i="28" s="1"/>
  <c r="R34" i="28"/>
  <c r="V34" i="28" s="1"/>
  <c r="R30" i="28"/>
  <c r="V30" i="28" s="1"/>
  <c r="R26" i="28"/>
  <c r="V26" i="28" s="1"/>
  <c r="R22" i="28"/>
  <c r="V22" i="28" s="1"/>
  <c r="R20" i="28"/>
  <c r="U20" i="28" s="1"/>
  <c r="U33" i="28"/>
  <c r="M33" i="28"/>
  <c r="R36" i="28"/>
  <c r="U36" i="28" s="1"/>
  <c r="U49" i="28"/>
  <c r="M49" i="28"/>
  <c r="V23" i="30"/>
  <c r="U31" i="30"/>
  <c r="U22" i="33"/>
  <c r="V22" i="33"/>
  <c r="U30" i="33"/>
  <c r="V30" i="33"/>
  <c r="U42" i="33"/>
  <c r="V42" i="33"/>
  <c r="T49" i="35"/>
  <c r="S49" i="35" s="1"/>
  <c r="U21" i="35"/>
  <c r="V21" i="35"/>
  <c r="M21" i="35"/>
  <c r="M25" i="35"/>
  <c r="M29" i="35"/>
  <c r="U35" i="35"/>
  <c r="M35" i="35"/>
  <c r="U39" i="35"/>
  <c r="V39" i="35"/>
  <c r="M39" i="35"/>
  <c r="M43" i="35"/>
  <c r="M47" i="35"/>
  <c r="M41" i="38"/>
  <c r="U19" i="39"/>
  <c r="V19" i="39"/>
  <c r="M19" i="39"/>
  <c r="L50" i="39"/>
  <c r="U30" i="39"/>
  <c r="V30" i="39"/>
  <c r="U37" i="39"/>
  <c r="U20" i="40"/>
  <c r="V20" i="40"/>
  <c r="M41" i="41"/>
  <c r="V41" i="41"/>
  <c r="V47" i="42"/>
  <c r="M47" i="42"/>
  <c r="V29" i="43"/>
  <c r="U29" i="43"/>
  <c r="M29" i="43"/>
  <c r="I41" i="45"/>
  <c r="L41" i="45"/>
  <c r="M45" i="47"/>
  <c r="V45" i="47"/>
  <c r="H50" i="48"/>
  <c r="L19" i="48"/>
  <c r="V23" i="48"/>
  <c r="U23" i="48"/>
  <c r="U36" i="48"/>
  <c r="U46" i="52"/>
  <c r="V45" i="55"/>
  <c r="U45" i="55"/>
  <c r="U22" i="56"/>
  <c r="M22" i="56"/>
  <c r="M32" i="56"/>
  <c r="T39" i="58"/>
  <c r="S39" i="58" s="1"/>
  <c r="V31" i="67"/>
  <c r="M31" i="67"/>
  <c r="R49" i="2"/>
  <c r="U49" i="2" s="1"/>
  <c r="R47" i="2"/>
  <c r="U47" i="2" s="1"/>
  <c r="R45" i="2"/>
  <c r="U45" i="2" s="1"/>
  <c r="R43" i="2"/>
  <c r="U43" i="2" s="1"/>
  <c r="R41" i="2"/>
  <c r="U41" i="2" s="1"/>
  <c r="R35" i="2"/>
  <c r="U35" i="2" s="1"/>
  <c r="R33" i="2"/>
  <c r="U33" i="2" s="1"/>
  <c r="R25" i="2"/>
  <c r="U25" i="2" s="1"/>
  <c r="R39" i="2"/>
  <c r="U39" i="2" s="1"/>
  <c r="R37" i="2"/>
  <c r="U37" i="2" s="1"/>
  <c r="R31" i="2"/>
  <c r="U31" i="2" s="1"/>
  <c r="R29" i="2"/>
  <c r="U29" i="2" s="1"/>
  <c r="R27" i="2"/>
  <c r="U27" i="2" s="1"/>
  <c r="U20" i="2"/>
  <c r="U23" i="2"/>
  <c r="U32" i="2"/>
  <c r="U38" i="2"/>
  <c r="U40" i="2"/>
  <c r="U44" i="2"/>
  <c r="U48" i="2"/>
  <c r="V21" i="4"/>
  <c r="V27" i="4"/>
  <c r="V29" i="4"/>
  <c r="V35" i="4"/>
  <c r="V41" i="4"/>
  <c r="V45" i="4"/>
  <c r="V47" i="4"/>
  <c r="V49" i="4"/>
  <c r="M21" i="5"/>
  <c r="M23" i="5"/>
  <c r="M29" i="5"/>
  <c r="M33" i="5"/>
  <c r="M39" i="5"/>
  <c r="M43" i="5"/>
  <c r="M45" i="5"/>
  <c r="M49" i="5"/>
  <c r="T49" i="5" s="1"/>
  <c r="S49" i="5" s="1"/>
  <c r="H19" i="6"/>
  <c r="U20" i="6"/>
  <c r="H21" i="6"/>
  <c r="H23" i="6"/>
  <c r="U24" i="6"/>
  <c r="H25" i="6"/>
  <c r="H27" i="6"/>
  <c r="U28" i="6"/>
  <c r="H29" i="6"/>
  <c r="H31" i="6"/>
  <c r="H33" i="6"/>
  <c r="H35" i="6"/>
  <c r="U36" i="6"/>
  <c r="H37" i="6"/>
  <c r="H39" i="6"/>
  <c r="H43" i="6"/>
  <c r="H47" i="6"/>
  <c r="U48" i="6"/>
  <c r="V19" i="8"/>
  <c r="V23" i="8"/>
  <c r="V27" i="8"/>
  <c r="V35" i="8"/>
  <c r="V41" i="8"/>
  <c r="V45" i="8"/>
  <c r="V49" i="8"/>
  <c r="M19" i="9"/>
  <c r="M25" i="9"/>
  <c r="M27" i="9"/>
  <c r="M31" i="9"/>
  <c r="M39" i="9"/>
  <c r="M43" i="9"/>
  <c r="H48" i="10"/>
  <c r="H46" i="10"/>
  <c r="H44" i="10"/>
  <c r="H42" i="10"/>
  <c r="H40" i="10"/>
  <c r="H38" i="10"/>
  <c r="H36" i="10"/>
  <c r="H34" i="10"/>
  <c r="H32" i="10"/>
  <c r="H30" i="10"/>
  <c r="H28" i="10"/>
  <c r="H26" i="10"/>
  <c r="H24" i="10"/>
  <c r="H22" i="10"/>
  <c r="H20" i="10"/>
  <c r="H21" i="10"/>
  <c r="H23" i="10"/>
  <c r="U28" i="10"/>
  <c r="H31" i="10"/>
  <c r="H33" i="10"/>
  <c r="H37" i="10"/>
  <c r="U38" i="10"/>
  <c r="H41" i="10"/>
  <c r="H45" i="10"/>
  <c r="U46" i="10"/>
  <c r="V19" i="12"/>
  <c r="V21" i="12"/>
  <c r="V25" i="12"/>
  <c r="V43" i="12"/>
  <c r="R49" i="13"/>
  <c r="V49" i="13" s="1"/>
  <c r="R35" i="13"/>
  <c r="R33" i="13"/>
  <c r="U33" i="13" s="1"/>
  <c r="R29" i="13"/>
  <c r="V29" i="13" s="1"/>
  <c r="R27" i="13"/>
  <c r="V27" i="13" s="1"/>
  <c r="R19" i="13"/>
  <c r="R47" i="13"/>
  <c r="R45" i="13"/>
  <c r="U45" i="13" s="1"/>
  <c r="R43" i="13"/>
  <c r="R41" i="13"/>
  <c r="V41" i="13" s="1"/>
  <c r="R39" i="13"/>
  <c r="V39" i="13" s="1"/>
  <c r="R37" i="13"/>
  <c r="V37" i="13" s="1"/>
  <c r="R31" i="13"/>
  <c r="V31" i="13" s="1"/>
  <c r="R25" i="13"/>
  <c r="R23" i="13"/>
  <c r="V23" i="13" s="1"/>
  <c r="R21" i="13"/>
  <c r="U21" i="13" s="1"/>
  <c r="M19" i="13"/>
  <c r="M23" i="13"/>
  <c r="M27" i="13"/>
  <c r="M29" i="13"/>
  <c r="M31" i="13"/>
  <c r="M37" i="13"/>
  <c r="M39" i="13"/>
  <c r="M43" i="13"/>
  <c r="M47" i="13"/>
  <c r="H48" i="14"/>
  <c r="H46" i="14"/>
  <c r="H44" i="14"/>
  <c r="H42" i="14"/>
  <c r="H40" i="14"/>
  <c r="H38" i="14"/>
  <c r="H36" i="14"/>
  <c r="H34" i="14"/>
  <c r="H32" i="14"/>
  <c r="H30" i="14"/>
  <c r="H28" i="14"/>
  <c r="H26" i="14"/>
  <c r="H24" i="14"/>
  <c r="H22" i="14"/>
  <c r="H20" i="14"/>
  <c r="U20" i="14"/>
  <c r="H23" i="14"/>
  <c r="H25" i="14"/>
  <c r="U26" i="14"/>
  <c r="U28" i="14"/>
  <c r="H31" i="14"/>
  <c r="U32" i="14"/>
  <c r="U34" i="14"/>
  <c r="H37" i="14"/>
  <c r="H39" i="14"/>
  <c r="U40" i="14"/>
  <c r="U42" i="14"/>
  <c r="H45" i="14"/>
  <c r="H47" i="14"/>
  <c r="U48" i="14"/>
  <c r="V21" i="16"/>
  <c r="V23" i="16"/>
  <c r="V25" i="16"/>
  <c r="V31" i="16"/>
  <c r="V39" i="16"/>
  <c r="V45" i="16"/>
  <c r="R47" i="17"/>
  <c r="U47" i="17" s="1"/>
  <c r="R45" i="17"/>
  <c r="V45" i="17" s="1"/>
  <c r="R37" i="17"/>
  <c r="R35" i="17"/>
  <c r="V35" i="17" s="1"/>
  <c r="R25" i="17"/>
  <c r="V25" i="17" s="1"/>
  <c r="R23" i="17"/>
  <c r="V23" i="17" s="1"/>
  <c r="R49" i="17"/>
  <c r="R43" i="17"/>
  <c r="V43" i="17" s="1"/>
  <c r="R41" i="17"/>
  <c r="V41" i="17" s="1"/>
  <c r="R39" i="17"/>
  <c r="U39" i="17" s="1"/>
  <c r="R33" i="17"/>
  <c r="V33" i="17" s="1"/>
  <c r="R31" i="17"/>
  <c r="R29" i="17"/>
  <c r="V29" i="17" s="1"/>
  <c r="R27" i="17"/>
  <c r="V27" i="17" s="1"/>
  <c r="R21" i="17"/>
  <c r="R19" i="17"/>
  <c r="M19" i="17"/>
  <c r="M23" i="17"/>
  <c r="M29" i="17"/>
  <c r="M33" i="17"/>
  <c r="M35" i="17"/>
  <c r="M41" i="17"/>
  <c r="M43" i="17"/>
  <c r="M47" i="17"/>
  <c r="M49" i="17"/>
  <c r="T49" i="17" s="1"/>
  <c r="S49" i="17" s="1"/>
  <c r="H19" i="18"/>
  <c r="H50" i="18" s="1"/>
  <c r="H25" i="18"/>
  <c r="U26" i="18"/>
  <c r="H29" i="18"/>
  <c r="H31" i="18"/>
  <c r="H33" i="18"/>
  <c r="U34" i="18"/>
  <c r="H39" i="18"/>
  <c r="H41" i="18"/>
  <c r="U42" i="18"/>
  <c r="L50" i="19"/>
  <c r="V19" i="19"/>
  <c r="V27" i="19"/>
  <c r="V29" i="19"/>
  <c r="V45" i="19"/>
  <c r="U25" i="20"/>
  <c r="V30" i="20"/>
  <c r="V33" i="20"/>
  <c r="M33" i="20"/>
  <c r="V38" i="20"/>
  <c r="V41" i="20"/>
  <c r="M41" i="20"/>
  <c r="U22" i="21"/>
  <c r="U30" i="21"/>
  <c r="U38" i="21"/>
  <c r="U40" i="21"/>
  <c r="U42" i="21"/>
  <c r="U46" i="21"/>
  <c r="I20" i="22"/>
  <c r="U26" i="22"/>
  <c r="V26" i="22"/>
  <c r="M39" i="22"/>
  <c r="I24" i="23"/>
  <c r="T24" i="23" s="1"/>
  <c r="S24" i="23" s="1"/>
  <c r="I25" i="23"/>
  <c r="T25" i="23" s="1"/>
  <c r="S25" i="23" s="1"/>
  <c r="I40" i="23"/>
  <c r="T40" i="23" s="1"/>
  <c r="S40" i="23" s="1"/>
  <c r="I41" i="23"/>
  <c r="U22" i="24"/>
  <c r="V22" i="24"/>
  <c r="U38" i="24"/>
  <c r="V38" i="24"/>
  <c r="U46" i="24"/>
  <c r="V46" i="24"/>
  <c r="U46" i="26"/>
  <c r="V46" i="26"/>
  <c r="U24" i="28"/>
  <c r="H27" i="28"/>
  <c r="V33" i="28"/>
  <c r="U40" i="28"/>
  <c r="V40" i="28"/>
  <c r="H43" i="28"/>
  <c r="V49" i="28"/>
  <c r="T48" i="29"/>
  <c r="S48" i="29" s="1"/>
  <c r="M23" i="30"/>
  <c r="U36" i="30"/>
  <c r="V36" i="30"/>
  <c r="R38" i="30"/>
  <c r="V38" i="30" s="1"/>
  <c r="M39" i="30"/>
  <c r="M47" i="30"/>
  <c r="I47" i="38"/>
  <c r="T47" i="38" s="1"/>
  <c r="S47" i="38" s="1"/>
  <c r="T21" i="39"/>
  <c r="S21" i="39" s="1"/>
  <c r="M23" i="39"/>
  <c r="T24" i="39"/>
  <c r="S24" i="39" s="1"/>
  <c r="U26" i="41"/>
  <c r="U33" i="41"/>
  <c r="U23" i="42"/>
  <c r="V23" i="42"/>
  <c r="M23" i="42"/>
  <c r="M27" i="42"/>
  <c r="U27" i="42"/>
  <c r="I29" i="43"/>
  <c r="V47" i="43"/>
  <c r="U47" i="43"/>
  <c r="M47" i="43"/>
  <c r="R46" i="44"/>
  <c r="R45" i="44"/>
  <c r="V45" i="44" s="1"/>
  <c r="R38" i="44"/>
  <c r="U38" i="44" s="1"/>
  <c r="R37" i="44"/>
  <c r="R30" i="44"/>
  <c r="R29" i="44"/>
  <c r="U29" i="44" s="1"/>
  <c r="R22" i="44"/>
  <c r="U22" i="44" s="1"/>
  <c r="R21" i="44"/>
  <c r="U21" i="44" s="1"/>
  <c r="R44" i="44"/>
  <c r="R43" i="44"/>
  <c r="V43" i="44" s="1"/>
  <c r="R36" i="44"/>
  <c r="V36" i="44" s="1"/>
  <c r="R35" i="44"/>
  <c r="V35" i="44" s="1"/>
  <c r="R28" i="44"/>
  <c r="V28" i="44" s="1"/>
  <c r="R27" i="44"/>
  <c r="V27" i="44" s="1"/>
  <c r="R20" i="44"/>
  <c r="U20" i="44" s="1"/>
  <c r="R19" i="44"/>
  <c r="R40" i="44"/>
  <c r="R25" i="44"/>
  <c r="V25" i="44" s="1"/>
  <c r="R23" i="44"/>
  <c r="U23" i="44" s="1"/>
  <c r="R49" i="44"/>
  <c r="V49" i="44" s="1"/>
  <c r="R47" i="44"/>
  <c r="R42" i="44"/>
  <c r="U42" i="44" s="1"/>
  <c r="R32" i="44"/>
  <c r="V32" i="44" s="1"/>
  <c r="R39" i="44"/>
  <c r="R33" i="44"/>
  <c r="V33" i="44" s="1"/>
  <c r="R26" i="44"/>
  <c r="V26" i="44" s="1"/>
  <c r="R24" i="44"/>
  <c r="V24" i="44" s="1"/>
  <c r="R31" i="44"/>
  <c r="R34" i="44"/>
  <c r="V37" i="44"/>
  <c r="M37" i="44"/>
  <c r="U37" i="44"/>
  <c r="I25" i="45"/>
  <c r="L25" i="45"/>
  <c r="U48" i="45"/>
  <c r="V48" i="45"/>
  <c r="M39" i="46"/>
  <c r="V39" i="46"/>
  <c r="U43" i="47"/>
  <c r="V43" i="47"/>
  <c r="M43" i="47"/>
  <c r="V44" i="50"/>
  <c r="U20" i="52"/>
  <c r="V32" i="52"/>
  <c r="M32" i="52"/>
  <c r="U24" i="54"/>
  <c r="I25" i="56"/>
  <c r="I27" i="56"/>
  <c r="U27" i="56"/>
  <c r="M45" i="59"/>
  <c r="U45" i="59"/>
  <c r="U48" i="71"/>
  <c r="V48" i="71"/>
  <c r="H19" i="2"/>
  <c r="H21" i="2"/>
  <c r="M21" i="2"/>
  <c r="R22" i="2"/>
  <c r="U22" i="2" s="1"/>
  <c r="R24" i="2"/>
  <c r="V24" i="2" s="1"/>
  <c r="R26" i="2"/>
  <c r="V26" i="2" s="1"/>
  <c r="R28" i="2"/>
  <c r="V28" i="2" s="1"/>
  <c r="R30" i="2"/>
  <c r="V30" i="2" s="1"/>
  <c r="R34" i="2"/>
  <c r="V34" i="2" s="1"/>
  <c r="R36" i="2"/>
  <c r="V36" i="2" s="1"/>
  <c r="R38" i="2"/>
  <c r="V38" i="2" s="1"/>
  <c r="R40" i="2"/>
  <c r="V40" i="2" s="1"/>
  <c r="R42" i="2"/>
  <c r="V42" i="2" s="1"/>
  <c r="R46" i="2"/>
  <c r="V46" i="2" s="1"/>
  <c r="R48" i="2"/>
  <c r="V48" i="2" s="1"/>
  <c r="V29" i="3"/>
  <c r="V39" i="3"/>
  <c r="M23" i="4"/>
  <c r="M25" i="4"/>
  <c r="M31" i="4"/>
  <c r="M33" i="4"/>
  <c r="M41" i="4"/>
  <c r="M45" i="4"/>
  <c r="M49" i="4"/>
  <c r="H19" i="5"/>
  <c r="H21" i="5"/>
  <c r="H23" i="5"/>
  <c r="H27" i="5"/>
  <c r="U28" i="5"/>
  <c r="H31" i="5"/>
  <c r="H33" i="5"/>
  <c r="H35" i="5"/>
  <c r="U36" i="5"/>
  <c r="U38" i="5"/>
  <c r="H43" i="5"/>
  <c r="U44" i="5"/>
  <c r="H47" i="5"/>
  <c r="K50" i="6"/>
  <c r="R20" i="6"/>
  <c r="V20" i="6" s="1"/>
  <c r="R22" i="6"/>
  <c r="V22" i="6" s="1"/>
  <c r="R26" i="6"/>
  <c r="V26" i="6" s="1"/>
  <c r="R28" i="6"/>
  <c r="V28" i="6" s="1"/>
  <c r="R30" i="6"/>
  <c r="V30" i="6" s="1"/>
  <c r="R32" i="6"/>
  <c r="V32" i="6" s="1"/>
  <c r="R36" i="6"/>
  <c r="V36" i="6" s="1"/>
  <c r="R40" i="6"/>
  <c r="V40" i="6" s="1"/>
  <c r="R42" i="6"/>
  <c r="V42" i="6" s="1"/>
  <c r="R44" i="6"/>
  <c r="V44" i="6" s="1"/>
  <c r="R46" i="6"/>
  <c r="V46" i="6" s="1"/>
  <c r="V41" i="7"/>
  <c r="I47" i="2"/>
  <c r="T47" i="2" s="1"/>
  <c r="S47" i="2" s="1"/>
  <c r="I45" i="2"/>
  <c r="T45" i="2" s="1"/>
  <c r="S45" i="2" s="1"/>
  <c r="I41" i="2"/>
  <c r="T41" i="2" s="1"/>
  <c r="S41" i="2" s="1"/>
  <c r="I35" i="2"/>
  <c r="T35" i="2" s="1"/>
  <c r="S35" i="2" s="1"/>
  <c r="I33" i="2"/>
  <c r="T33" i="2" s="1"/>
  <c r="S33" i="2" s="1"/>
  <c r="I25" i="2"/>
  <c r="T25" i="2" s="1"/>
  <c r="S25" i="2" s="1"/>
  <c r="I49" i="2"/>
  <c r="T49" i="2" s="1"/>
  <c r="S49" i="2" s="1"/>
  <c r="I43" i="2"/>
  <c r="T43" i="2" s="1"/>
  <c r="S43" i="2" s="1"/>
  <c r="I39" i="2"/>
  <c r="T39" i="2" s="1"/>
  <c r="S39" i="2" s="1"/>
  <c r="I37" i="2"/>
  <c r="T37" i="2" s="1"/>
  <c r="S37" i="2" s="1"/>
  <c r="I31" i="2"/>
  <c r="T31" i="2" s="1"/>
  <c r="S31" i="2" s="1"/>
  <c r="I29" i="2"/>
  <c r="T29" i="2" s="1"/>
  <c r="S29" i="2" s="1"/>
  <c r="I27" i="2"/>
  <c r="T27" i="2" s="1"/>
  <c r="S27" i="2" s="1"/>
  <c r="I19" i="2"/>
  <c r="R19" i="2"/>
  <c r="R50" i="2" s="1"/>
  <c r="I20" i="2"/>
  <c r="T20" i="2" s="1"/>
  <c r="S20" i="2" s="1"/>
  <c r="I21" i="2"/>
  <c r="T21" i="2" s="1"/>
  <c r="S21" i="2" s="1"/>
  <c r="R21" i="2"/>
  <c r="U21" i="2" s="1"/>
  <c r="I22" i="2"/>
  <c r="T22" i="2" s="1"/>
  <c r="S22" i="2" s="1"/>
  <c r="I23" i="2"/>
  <c r="T23" i="2" s="1"/>
  <c r="S23" i="2" s="1"/>
  <c r="R23" i="2"/>
  <c r="I24" i="2"/>
  <c r="T24" i="2" s="1"/>
  <c r="S24" i="2" s="1"/>
  <c r="V25" i="2"/>
  <c r="I26" i="2"/>
  <c r="T26" i="2" s="1"/>
  <c r="S26" i="2" s="1"/>
  <c r="I28" i="2"/>
  <c r="T28" i="2" s="1"/>
  <c r="S28" i="2" s="1"/>
  <c r="V29" i="2"/>
  <c r="I30" i="2"/>
  <c r="T30" i="2" s="1"/>
  <c r="S30" i="2" s="1"/>
  <c r="V31" i="2"/>
  <c r="I32" i="2"/>
  <c r="T32" i="2" s="1"/>
  <c r="S32" i="2" s="1"/>
  <c r="V33" i="2"/>
  <c r="I34" i="2"/>
  <c r="T34" i="2" s="1"/>
  <c r="S34" i="2" s="1"/>
  <c r="I36" i="2"/>
  <c r="T36" i="2" s="1"/>
  <c r="S36" i="2" s="1"/>
  <c r="V37" i="2"/>
  <c r="I38" i="2"/>
  <c r="T38" i="2" s="1"/>
  <c r="S38" i="2" s="1"/>
  <c r="I40" i="2"/>
  <c r="T40" i="2" s="1"/>
  <c r="S40" i="2" s="1"/>
  <c r="V41" i="2"/>
  <c r="I42" i="2"/>
  <c r="T42" i="2" s="1"/>
  <c r="S42" i="2" s="1"/>
  <c r="V43" i="2"/>
  <c r="I44" i="2"/>
  <c r="T44" i="2" s="1"/>
  <c r="S44" i="2" s="1"/>
  <c r="V45" i="2"/>
  <c r="I46" i="2"/>
  <c r="T46" i="2" s="1"/>
  <c r="S46" i="2" s="1"/>
  <c r="I48" i="2"/>
  <c r="T48" i="2" s="1"/>
  <c r="S48" i="2" s="1"/>
  <c r="V49" i="2"/>
  <c r="R49" i="3"/>
  <c r="U49" i="3" s="1"/>
  <c r="R47" i="3"/>
  <c r="U47" i="3" s="1"/>
  <c r="R45" i="3"/>
  <c r="U45" i="3" s="1"/>
  <c r="R43" i="3"/>
  <c r="U43" i="3" s="1"/>
  <c r="R41" i="3"/>
  <c r="U41" i="3" s="1"/>
  <c r="R39" i="3"/>
  <c r="U39" i="3" s="1"/>
  <c r="R37" i="3"/>
  <c r="U37" i="3" s="1"/>
  <c r="R35" i="3"/>
  <c r="U35" i="3" s="1"/>
  <c r="R31" i="3"/>
  <c r="U31" i="3" s="1"/>
  <c r="R29" i="3"/>
  <c r="U29" i="3" s="1"/>
  <c r="R27" i="3"/>
  <c r="U27" i="3" s="1"/>
  <c r="R21" i="3"/>
  <c r="U21" i="3" s="1"/>
  <c r="R33" i="3"/>
  <c r="U33" i="3" s="1"/>
  <c r="R25" i="3"/>
  <c r="U25" i="3" s="1"/>
  <c r="R23" i="3"/>
  <c r="U23" i="3" s="1"/>
  <c r="R19" i="3"/>
  <c r="M19" i="3"/>
  <c r="M21" i="3"/>
  <c r="M23" i="3"/>
  <c r="M25" i="3"/>
  <c r="M27" i="3"/>
  <c r="M29" i="3"/>
  <c r="M31" i="3"/>
  <c r="M33" i="3"/>
  <c r="M35" i="3"/>
  <c r="M37" i="3"/>
  <c r="M39" i="3"/>
  <c r="M41" i="3"/>
  <c r="M43" i="3"/>
  <c r="M45" i="3"/>
  <c r="M47" i="3"/>
  <c r="T47" i="3" s="1"/>
  <c r="S47" i="3" s="1"/>
  <c r="M49" i="3"/>
  <c r="H48" i="4"/>
  <c r="H46" i="4"/>
  <c r="H44" i="4"/>
  <c r="H42" i="4"/>
  <c r="H40" i="4"/>
  <c r="H38" i="4"/>
  <c r="H36" i="4"/>
  <c r="H34" i="4"/>
  <c r="H32" i="4"/>
  <c r="H30" i="4"/>
  <c r="H28" i="4"/>
  <c r="H26" i="4"/>
  <c r="H24" i="4"/>
  <c r="H22" i="4"/>
  <c r="H20" i="4"/>
  <c r="H19" i="4"/>
  <c r="U20" i="4"/>
  <c r="H21" i="4"/>
  <c r="U22" i="4"/>
  <c r="H23" i="4"/>
  <c r="U24" i="4"/>
  <c r="H25" i="4"/>
  <c r="U26" i="4"/>
  <c r="H27" i="4"/>
  <c r="U28" i="4"/>
  <c r="H29" i="4"/>
  <c r="U30" i="4"/>
  <c r="H31" i="4"/>
  <c r="U32" i="4"/>
  <c r="H33" i="4"/>
  <c r="U34" i="4"/>
  <c r="H35" i="4"/>
  <c r="U36" i="4"/>
  <c r="H37" i="4"/>
  <c r="U38" i="4"/>
  <c r="H39" i="4"/>
  <c r="U40" i="4"/>
  <c r="H41" i="4"/>
  <c r="U42" i="4"/>
  <c r="H43" i="4"/>
  <c r="U44" i="4"/>
  <c r="H45" i="4"/>
  <c r="U46" i="4"/>
  <c r="H47" i="4"/>
  <c r="U48" i="4"/>
  <c r="H49" i="4"/>
  <c r="K50" i="5"/>
  <c r="U19" i="5"/>
  <c r="R20" i="5"/>
  <c r="V20" i="5" s="1"/>
  <c r="R22" i="5"/>
  <c r="V22" i="5" s="1"/>
  <c r="U23" i="5"/>
  <c r="R24" i="5"/>
  <c r="V24" i="5" s="1"/>
  <c r="R26" i="5"/>
  <c r="V26" i="5" s="1"/>
  <c r="U27" i="5"/>
  <c r="R28" i="5"/>
  <c r="V28" i="5" s="1"/>
  <c r="U29" i="5"/>
  <c r="R30" i="5"/>
  <c r="V30" i="5" s="1"/>
  <c r="U31" i="5"/>
  <c r="R32" i="5"/>
  <c r="V32" i="5" s="1"/>
  <c r="R34" i="5"/>
  <c r="V34" i="5" s="1"/>
  <c r="U35" i="5"/>
  <c r="R36" i="5"/>
  <c r="V36" i="5" s="1"/>
  <c r="U37" i="5"/>
  <c r="R38" i="5"/>
  <c r="V38" i="5" s="1"/>
  <c r="U39" i="5"/>
  <c r="R40" i="5"/>
  <c r="V40" i="5" s="1"/>
  <c r="R42" i="5"/>
  <c r="V42" i="5" s="1"/>
  <c r="U43" i="5"/>
  <c r="R44" i="5"/>
  <c r="V44" i="5" s="1"/>
  <c r="U45" i="5"/>
  <c r="R46" i="5"/>
  <c r="V46" i="5" s="1"/>
  <c r="U47" i="5"/>
  <c r="R48" i="5"/>
  <c r="V48" i="5" s="1"/>
  <c r="L50" i="5"/>
  <c r="V19" i="6"/>
  <c r="T20" i="6"/>
  <c r="S20" i="6" s="1"/>
  <c r="V21" i="6"/>
  <c r="T22" i="6"/>
  <c r="S22" i="6" s="1"/>
  <c r="V23" i="6"/>
  <c r="T24" i="6"/>
  <c r="S24" i="6" s="1"/>
  <c r="T26" i="6"/>
  <c r="S26" i="6" s="1"/>
  <c r="V27" i="6"/>
  <c r="T28" i="6"/>
  <c r="S28" i="6" s="1"/>
  <c r="T30" i="6"/>
  <c r="S30" i="6" s="1"/>
  <c r="V31" i="6"/>
  <c r="T32" i="6"/>
  <c r="S32" i="6" s="1"/>
  <c r="T34" i="6"/>
  <c r="S34" i="6" s="1"/>
  <c r="V35" i="6"/>
  <c r="T36" i="6"/>
  <c r="S36" i="6" s="1"/>
  <c r="V37" i="6"/>
  <c r="T38" i="6"/>
  <c r="S38" i="6" s="1"/>
  <c r="V39" i="6"/>
  <c r="T40" i="6"/>
  <c r="S40" i="6" s="1"/>
  <c r="T42" i="6"/>
  <c r="S42" i="6" s="1"/>
  <c r="V43" i="6"/>
  <c r="T44" i="6"/>
  <c r="S44" i="6" s="1"/>
  <c r="V45" i="6"/>
  <c r="T46" i="6"/>
  <c r="S46" i="6" s="1"/>
  <c r="V47" i="6"/>
  <c r="T48" i="6"/>
  <c r="S48" i="6" s="1"/>
  <c r="R49" i="7"/>
  <c r="U49" i="7" s="1"/>
  <c r="R47" i="7"/>
  <c r="U47" i="7" s="1"/>
  <c r="R41" i="7"/>
  <c r="U41" i="7" s="1"/>
  <c r="R37" i="7"/>
  <c r="U37" i="7" s="1"/>
  <c r="R27" i="7"/>
  <c r="U27" i="7" s="1"/>
  <c r="R23" i="7"/>
  <c r="U23" i="7" s="1"/>
  <c r="R21" i="7"/>
  <c r="U21" i="7" s="1"/>
  <c r="R45" i="7"/>
  <c r="U45" i="7" s="1"/>
  <c r="R43" i="7"/>
  <c r="U43" i="7" s="1"/>
  <c r="R39" i="7"/>
  <c r="U39" i="7" s="1"/>
  <c r="R35" i="7"/>
  <c r="U35" i="7" s="1"/>
  <c r="R33" i="7"/>
  <c r="U33" i="7" s="1"/>
  <c r="R31" i="7"/>
  <c r="U31" i="7" s="1"/>
  <c r="R29" i="7"/>
  <c r="U29" i="7" s="1"/>
  <c r="R25" i="7"/>
  <c r="U25" i="7" s="1"/>
  <c r="R19" i="7"/>
  <c r="M19" i="7"/>
  <c r="M21" i="7"/>
  <c r="M23" i="7"/>
  <c r="M25" i="7"/>
  <c r="M27" i="7"/>
  <c r="M29" i="7"/>
  <c r="M31" i="7"/>
  <c r="M33" i="7"/>
  <c r="M35" i="7"/>
  <c r="M37" i="7"/>
  <c r="M39" i="7"/>
  <c r="M41" i="7"/>
  <c r="M43" i="7"/>
  <c r="M45" i="7"/>
  <c r="M47" i="7"/>
  <c r="T47" i="7" s="1"/>
  <c r="S47" i="7" s="1"/>
  <c r="M49" i="7"/>
  <c r="H48" i="8"/>
  <c r="H46" i="8"/>
  <c r="H44" i="8"/>
  <c r="H42" i="8"/>
  <c r="H40" i="8"/>
  <c r="H38" i="8"/>
  <c r="H36" i="8"/>
  <c r="H34" i="8"/>
  <c r="H32" i="8"/>
  <c r="H30" i="8"/>
  <c r="H28" i="8"/>
  <c r="H26" i="8"/>
  <c r="H24" i="8"/>
  <c r="H22" i="8"/>
  <c r="H20" i="8"/>
  <c r="H19" i="8"/>
  <c r="U20" i="8"/>
  <c r="H21" i="8"/>
  <c r="U22" i="8"/>
  <c r="H23" i="8"/>
  <c r="U24" i="8"/>
  <c r="H25" i="8"/>
  <c r="U26" i="8"/>
  <c r="H27" i="8"/>
  <c r="U28" i="8"/>
  <c r="H29" i="8"/>
  <c r="U30" i="8"/>
  <c r="H31" i="8"/>
  <c r="U32" i="8"/>
  <c r="H33" i="8"/>
  <c r="U34" i="8"/>
  <c r="H35" i="8"/>
  <c r="U36" i="8"/>
  <c r="H37" i="8"/>
  <c r="U38" i="8"/>
  <c r="H39" i="8"/>
  <c r="U40" i="8"/>
  <c r="H41" i="8"/>
  <c r="U42" i="8"/>
  <c r="H43" i="8"/>
  <c r="U44" i="8"/>
  <c r="H45" i="8"/>
  <c r="U46" i="8"/>
  <c r="H47" i="8"/>
  <c r="U48" i="8"/>
  <c r="H49" i="8"/>
  <c r="K50" i="9"/>
  <c r="R20" i="9"/>
  <c r="V20" i="9" s="1"/>
  <c r="U21" i="9"/>
  <c r="R22" i="9"/>
  <c r="V22" i="9" s="1"/>
  <c r="R24" i="9"/>
  <c r="V24" i="9" s="1"/>
  <c r="U25" i="9"/>
  <c r="R26" i="9"/>
  <c r="V26" i="9" s="1"/>
  <c r="U27" i="9"/>
  <c r="R28" i="9"/>
  <c r="V28" i="9" s="1"/>
  <c r="U29" i="9"/>
  <c r="R30" i="9"/>
  <c r="V30" i="9" s="1"/>
  <c r="U31" i="9"/>
  <c r="R32" i="9"/>
  <c r="V32" i="9" s="1"/>
  <c r="U33" i="9"/>
  <c r="R34" i="9"/>
  <c r="V34" i="9" s="1"/>
  <c r="R36" i="9"/>
  <c r="V36" i="9" s="1"/>
  <c r="U37" i="9"/>
  <c r="R38" i="9"/>
  <c r="V38" i="9" s="1"/>
  <c r="R40" i="9"/>
  <c r="V40" i="9" s="1"/>
  <c r="U41" i="9"/>
  <c r="R42" i="9"/>
  <c r="V42" i="9" s="1"/>
  <c r="R44" i="9"/>
  <c r="V44" i="9" s="1"/>
  <c r="U45" i="9"/>
  <c r="R46" i="9"/>
  <c r="V46" i="9" s="1"/>
  <c r="U47" i="9"/>
  <c r="R48" i="9"/>
  <c r="V48" i="9" s="1"/>
  <c r="U49" i="9"/>
  <c r="L50" i="9"/>
  <c r="T20" i="10"/>
  <c r="S20" i="10" s="1"/>
  <c r="V21" i="10"/>
  <c r="T22" i="10"/>
  <c r="S22" i="10" s="1"/>
  <c r="T24" i="10"/>
  <c r="S24" i="10" s="1"/>
  <c r="V25" i="10"/>
  <c r="T26" i="10"/>
  <c r="S26" i="10" s="1"/>
  <c r="V27" i="10"/>
  <c r="T28" i="10"/>
  <c r="S28" i="10" s="1"/>
  <c r="V29" i="10"/>
  <c r="T30" i="10"/>
  <c r="S30" i="10" s="1"/>
  <c r="V31" i="10"/>
  <c r="T32" i="10"/>
  <c r="S32" i="10" s="1"/>
  <c r="V33" i="10"/>
  <c r="T34" i="10"/>
  <c r="S34" i="10" s="1"/>
  <c r="V35" i="10"/>
  <c r="T36" i="10"/>
  <c r="S36" i="10" s="1"/>
  <c r="V37" i="10"/>
  <c r="T38" i="10"/>
  <c r="S38" i="10" s="1"/>
  <c r="V39" i="10"/>
  <c r="T40" i="10"/>
  <c r="S40" i="10" s="1"/>
  <c r="V41" i="10"/>
  <c r="T42" i="10"/>
  <c r="S42" i="10" s="1"/>
  <c r="T44" i="10"/>
  <c r="S44" i="10" s="1"/>
  <c r="V45" i="10"/>
  <c r="T46" i="10"/>
  <c r="S46" i="10" s="1"/>
  <c r="V47" i="10"/>
  <c r="T48" i="10"/>
  <c r="S48" i="10" s="1"/>
  <c r="V49" i="10"/>
  <c r="R39" i="11"/>
  <c r="U39" i="11" s="1"/>
  <c r="R37" i="11"/>
  <c r="U37" i="11" s="1"/>
  <c r="R35" i="11"/>
  <c r="U35" i="11" s="1"/>
  <c r="R33" i="11"/>
  <c r="U33" i="11" s="1"/>
  <c r="R31" i="11"/>
  <c r="U31" i="11" s="1"/>
  <c r="R21" i="11"/>
  <c r="U21" i="11" s="1"/>
  <c r="R19" i="11"/>
  <c r="R49" i="11"/>
  <c r="U49" i="11" s="1"/>
  <c r="R47" i="11"/>
  <c r="U47" i="11" s="1"/>
  <c r="R45" i="11"/>
  <c r="U45" i="11" s="1"/>
  <c r="R43" i="11"/>
  <c r="U43" i="11" s="1"/>
  <c r="R41" i="11"/>
  <c r="U41" i="11" s="1"/>
  <c r="R29" i="11"/>
  <c r="U29" i="11" s="1"/>
  <c r="R27" i="11"/>
  <c r="U27" i="11" s="1"/>
  <c r="R25" i="11"/>
  <c r="U25" i="11" s="1"/>
  <c r="R23" i="11"/>
  <c r="U23" i="11" s="1"/>
  <c r="M19" i="11"/>
  <c r="M21" i="11"/>
  <c r="M23" i="11"/>
  <c r="M25" i="11"/>
  <c r="M27" i="11"/>
  <c r="M29" i="11"/>
  <c r="M31" i="11"/>
  <c r="M33" i="11"/>
  <c r="M35" i="11"/>
  <c r="M37" i="11"/>
  <c r="M39" i="11"/>
  <c r="M41" i="11"/>
  <c r="M43" i="11"/>
  <c r="M45" i="11"/>
  <c r="M47" i="11"/>
  <c r="M49" i="11"/>
  <c r="T49" i="11" s="1"/>
  <c r="S49" i="11" s="1"/>
  <c r="H48" i="12"/>
  <c r="H46" i="12"/>
  <c r="H44" i="12"/>
  <c r="H42" i="12"/>
  <c r="H40" i="12"/>
  <c r="H38" i="12"/>
  <c r="H36" i="12"/>
  <c r="H34" i="12"/>
  <c r="H32" i="12"/>
  <c r="H30" i="12"/>
  <c r="H28" i="12"/>
  <c r="H26" i="12"/>
  <c r="H24" i="12"/>
  <c r="H22" i="12"/>
  <c r="H20" i="12"/>
  <c r="H19" i="12"/>
  <c r="U20" i="12"/>
  <c r="H21" i="12"/>
  <c r="U22" i="12"/>
  <c r="H23" i="12"/>
  <c r="U24" i="12"/>
  <c r="H25" i="12"/>
  <c r="U26" i="12"/>
  <c r="H27" i="12"/>
  <c r="U28" i="12"/>
  <c r="H29" i="12"/>
  <c r="U30" i="12"/>
  <c r="H31" i="12"/>
  <c r="U32" i="12"/>
  <c r="H33" i="12"/>
  <c r="U34" i="12"/>
  <c r="H35" i="12"/>
  <c r="U36" i="12"/>
  <c r="H37" i="12"/>
  <c r="U38" i="12"/>
  <c r="H39" i="12"/>
  <c r="U40" i="12"/>
  <c r="H41" i="12"/>
  <c r="U42" i="12"/>
  <c r="H43" i="12"/>
  <c r="U44" i="12"/>
  <c r="H45" i="12"/>
  <c r="U46" i="12"/>
  <c r="H47" i="12"/>
  <c r="U48" i="12"/>
  <c r="H49" i="12"/>
  <c r="K50" i="13"/>
  <c r="U19" i="13"/>
  <c r="R20" i="13"/>
  <c r="V20" i="13" s="1"/>
  <c r="R22" i="13"/>
  <c r="V22" i="13" s="1"/>
  <c r="U23" i="13"/>
  <c r="R24" i="13"/>
  <c r="V24" i="13" s="1"/>
  <c r="U25" i="13"/>
  <c r="R26" i="13"/>
  <c r="V26" i="13" s="1"/>
  <c r="U27" i="13"/>
  <c r="R28" i="13"/>
  <c r="V28" i="13" s="1"/>
  <c r="R30" i="13"/>
  <c r="V30" i="13" s="1"/>
  <c r="U31" i="13"/>
  <c r="R32" i="13"/>
  <c r="V32" i="13" s="1"/>
  <c r="R34" i="13"/>
  <c r="V34" i="13" s="1"/>
  <c r="U35" i="13"/>
  <c r="R36" i="13"/>
  <c r="V36" i="13" s="1"/>
  <c r="R38" i="13"/>
  <c r="V38" i="13" s="1"/>
  <c r="U39" i="13"/>
  <c r="R40" i="13"/>
  <c r="V40" i="13" s="1"/>
  <c r="U41" i="13"/>
  <c r="R42" i="13"/>
  <c r="V42" i="13" s="1"/>
  <c r="U43" i="13"/>
  <c r="R44" i="13"/>
  <c r="V44" i="13" s="1"/>
  <c r="R46" i="13"/>
  <c r="V46" i="13" s="1"/>
  <c r="U47" i="13"/>
  <c r="R48" i="13"/>
  <c r="V48" i="13" s="1"/>
  <c r="U49" i="13"/>
  <c r="L50" i="13"/>
  <c r="V19" i="14"/>
  <c r="T20" i="14"/>
  <c r="S20" i="14" s="1"/>
  <c r="T22" i="14"/>
  <c r="S22" i="14" s="1"/>
  <c r="V23" i="14"/>
  <c r="T24" i="14"/>
  <c r="S24" i="14" s="1"/>
  <c r="T26" i="14"/>
  <c r="S26" i="14" s="1"/>
  <c r="V27" i="14"/>
  <c r="T28" i="14"/>
  <c r="S28" i="14" s="1"/>
  <c r="V29" i="14"/>
  <c r="T30" i="14"/>
  <c r="S30" i="14" s="1"/>
  <c r="V31" i="14"/>
  <c r="T32" i="14"/>
  <c r="S32" i="14" s="1"/>
  <c r="T34" i="14"/>
  <c r="S34" i="14" s="1"/>
  <c r="V35" i="14"/>
  <c r="T36" i="14"/>
  <c r="S36" i="14" s="1"/>
  <c r="V37" i="14"/>
  <c r="T38" i="14"/>
  <c r="S38" i="14" s="1"/>
  <c r="V39" i="14"/>
  <c r="T40" i="14"/>
  <c r="S40" i="14" s="1"/>
  <c r="T42" i="14"/>
  <c r="S42" i="14" s="1"/>
  <c r="V43" i="14"/>
  <c r="T44" i="14"/>
  <c r="S44" i="14" s="1"/>
  <c r="V45" i="14"/>
  <c r="T46" i="14"/>
  <c r="S46" i="14" s="1"/>
  <c r="V47" i="14"/>
  <c r="T48" i="14"/>
  <c r="S48" i="14" s="1"/>
  <c r="R49" i="15"/>
  <c r="U49" i="15" s="1"/>
  <c r="R47" i="15"/>
  <c r="U47" i="15" s="1"/>
  <c r="R45" i="15"/>
  <c r="U45" i="15" s="1"/>
  <c r="R41" i="15"/>
  <c r="U41" i="15" s="1"/>
  <c r="R39" i="15"/>
  <c r="U39" i="15" s="1"/>
  <c r="R37" i="15"/>
  <c r="U37" i="15" s="1"/>
  <c r="R33" i="15"/>
  <c r="U33" i="15" s="1"/>
  <c r="R29" i="15"/>
  <c r="U29" i="15" s="1"/>
  <c r="R21" i="15"/>
  <c r="U21" i="15" s="1"/>
  <c r="R43" i="15"/>
  <c r="U43" i="15" s="1"/>
  <c r="R35" i="15"/>
  <c r="U35" i="15" s="1"/>
  <c r="R31" i="15"/>
  <c r="U31" i="15" s="1"/>
  <c r="R27" i="15"/>
  <c r="U27" i="15" s="1"/>
  <c r="R25" i="15"/>
  <c r="U25" i="15" s="1"/>
  <c r="R23" i="15"/>
  <c r="U23" i="15" s="1"/>
  <c r="R19" i="15"/>
  <c r="M19" i="15"/>
  <c r="M21" i="15"/>
  <c r="M23" i="15"/>
  <c r="M25" i="15"/>
  <c r="M27" i="15"/>
  <c r="M29" i="15"/>
  <c r="M31" i="15"/>
  <c r="M33" i="15"/>
  <c r="M35" i="15"/>
  <c r="M37" i="15"/>
  <c r="M39" i="15"/>
  <c r="M41" i="15"/>
  <c r="M43" i="15"/>
  <c r="M45" i="15"/>
  <c r="T45" i="15" s="1"/>
  <c r="S45" i="15" s="1"/>
  <c r="M47" i="15"/>
  <c r="M49" i="15"/>
  <c r="H48" i="16"/>
  <c r="H46" i="16"/>
  <c r="H44" i="16"/>
  <c r="H42" i="16"/>
  <c r="H40" i="16"/>
  <c r="H38" i="16"/>
  <c r="H36" i="16"/>
  <c r="H34" i="16"/>
  <c r="H32" i="16"/>
  <c r="H30" i="16"/>
  <c r="H28" i="16"/>
  <c r="H26" i="16"/>
  <c r="H24" i="16"/>
  <c r="H22" i="16"/>
  <c r="H20" i="16"/>
  <c r="H19" i="16"/>
  <c r="U20" i="16"/>
  <c r="H21" i="16"/>
  <c r="U22" i="16"/>
  <c r="H23" i="16"/>
  <c r="U24" i="16"/>
  <c r="H25" i="16"/>
  <c r="U26" i="16"/>
  <c r="H27" i="16"/>
  <c r="U28" i="16"/>
  <c r="H29" i="16"/>
  <c r="U30" i="16"/>
  <c r="H31" i="16"/>
  <c r="U32" i="16"/>
  <c r="H33" i="16"/>
  <c r="U34" i="16"/>
  <c r="H35" i="16"/>
  <c r="U36" i="16"/>
  <c r="H37" i="16"/>
  <c r="U38" i="16"/>
  <c r="H39" i="16"/>
  <c r="U40" i="16"/>
  <c r="H41" i="16"/>
  <c r="U42" i="16"/>
  <c r="H43" i="16"/>
  <c r="U44" i="16"/>
  <c r="H45" i="16"/>
  <c r="U46" i="16"/>
  <c r="H47" i="16"/>
  <c r="U48" i="16"/>
  <c r="H49" i="16"/>
  <c r="K50" i="17"/>
  <c r="U19" i="17"/>
  <c r="R20" i="17"/>
  <c r="V20" i="17" s="1"/>
  <c r="U21" i="17"/>
  <c r="R22" i="17"/>
  <c r="V22" i="17" s="1"/>
  <c r="R24" i="17"/>
  <c r="V24" i="17" s="1"/>
  <c r="U25" i="17"/>
  <c r="R26" i="17"/>
  <c r="V26" i="17" s="1"/>
  <c r="R28" i="17"/>
  <c r="V28" i="17" s="1"/>
  <c r="U29" i="17"/>
  <c r="R30" i="17"/>
  <c r="V30" i="17" s="1"/>
  <c r="U31" i="17"/>
  <c r="R32" i="17"/>
  <c r="V32" i="17" s="1"/>
  <c r="U33" i="17"/>
  <c r="R34" i="17"/>
  <c r="V34" i="17" s="1"/>
  <c r="U35" i="17"/>
  <c r="R36" i="17"/>
  <c r="V36" i="17" s="1"/>
  <c r="U37" i="17"/>
  <c r="R38" i="17"/>
  <c r="V38" i="17" s="1"/>
  <c r="R40" i="17"/>
  <c r="V40" i="17" s="1"/>
  <c r="U41" i="17"/>
  <c r="R42" i="17"/>
  <c r="V42" i="17" s="1"/>
  <c r="U43" i="17"/>
  <c r="R44" i="17"/>
  <c r="V44" i="17" s="1"/>
  <c r="U45" i="17"/>
  <c r="R46" i="17"/>
  <c r="V46" i="17" s="1"/>
  <c r="R48" i="17"/>
  <c r="V48" i="17" s="1"/>
  <c r="U49" i="17"/>
  <c r="L50" i="17"/>
  <c r="V19" i="18"/>
  <c r="T20" i="18"/>
  <c r="S20" i="18" s="1"/>
  <c r="V21" i="18"/>
  <c r="T22" i="18"/>
  <c r="S22" i="18" s="1"/>
  <c r="T24" i="18"/>
  <c r="S24" i="18" s="1"/>
  <c r="V25" i="18"/>
  <c r="T26" i="18"/>
  <c r="S26" i="18" s="1"/>
  <c r="V27" i="18"/>
  <c r="T28" i="18"/>
  <c r="S28" i="18" s="1"/>
  <c r="V29" i="18"/>
  <c r="T30" i="18"/>
  <c r="S30" i="18" s="1"/>
  <c r="T32" i="18"/>
  <c r="S32" i="18" s="1"/>
  <c r="V33" i="18"/>
  <c r="T34" i="18"/>
  <c r="S34" i="18" s="1"/>
  <c r="T36" i="18"/>
  <c r="S36" i="18" s="1"/>
  <c r="V37" i="18"/>
  <c r="T38" i="18"/>
  <c r="S38" i="18" s="1"/>
  <c r="V39" i="18"/>
  <c r="T40" i="18"/>
  <c r="S40" i="18" s="1"/>
  <c r="V41" i="18"/>
  <c r="T42" i="18"/>
  <c r="S42" i="18" s="1"/>
  <c r="T44" i="18"/>
  <c r="S44" i="18" s="1"/>
  <c r="V45" i="18"/>
  <c r="T46" i="18"/>
  <c r="S46" i="18" s="1"/>
  <c r="T48" i="18"/>
  <c r="S48" i="18" s="1"/>
  <c r="V49" i="18"/>
  <c r="H48" i="19"/>
  <c r="H46" i="19"/>
  <c r="H44" i="19"/>
  <c r="H42" i="19"/>
  <c r="H40" i="19"/>
  <c r="H38" i="19"/>
  <c r="H36" i="19"/>
  <c r="H34" i="19"/>
  <c r="H32" i="19"/>
  <c r="H30" i="19"/>
  <c r="H28" i="19"/>
  <c r="H26" i="19"/>
  <c r="H24" i="19"/>
  <c r="H22" i="19"/>
  <c r="H20" i="19"/>
  <c r="H19" i="19"/>
  <c r="U20" i="19"/>
  <c r="H21" i="19"/>
  <c r="U22" i="19"/>
  <c r="H23" i="19"/>
  <c r="U24" i="19"/>
  <c r="H25" i="19"/>
  <c r="U26" i="19"/>
  <c r="H27" i="19"/>
  <c r="U28" i="19"/>
  <c r="H29" i="19"/>
  <c r="U30" i="19"/>
  <c r="H31" i="19"/>
  <c r="U32" i="19"/>
  <c r="H33" i="19"/>
  <c r="U34" i="19"/>
  <c r="H35" i="19"/>
  <c r="U36" i="19"/>
  <c r="H37" i="19"/>
  <c r="U38" i="19"/>
  <c r="H39" i="19"/>
  <c r="U40" i="19"/>
  <c r="H41" i="19"/>
  <c r="U42" i="19"/>
  <c r="H43" i="19"/>
  <c r="U44" i="19"/>
  <c r="H45" i="19"/>
  <c r="U46" i="19"/>
  <c r="H47" i="19"/>
  <c r="U48" i="19"/>
  <c r="H49" i="19"/>
  <c r="M20" i="20"/>
  <c r="V21" i="20"/>
  <c r="M21" i="20"/>
  <c r="U21" i="20"/>
  <c r="U22" i="20"/>
  <c r="V26" i="20"/>
  <c r="M28" i="20"/>
  <c r="V29" i="20"/>
  <c r="M29" i="20"/>
  <c r="U29" i="20"/>
  <c r="M36" i="20"/>
  <c r="V37" i="20"/>
  <c r="M37" i="20"/>
  <c r="U37" i="20"/>
  <c r="U38" i="20"/>
  <c r="V42" i="20"/>
  <c r="M44" i="20"/>
  <c r="V45" i="20"/>
  <c r="M45" i="20"/>
  <c r="U45" i="20"/>
  <c r="T19" i="21"/>
  <c r="H48" i="22"/>
  <c r="H46" i="22"/>
  <c r="H44" i="22"/>
  <c r="H42" i="22"/>
  <c r="H40" i="22"/>
  <c r="H38" i="22"/>
  <c r="H36" i="22"/>
  <c r="H34" i="22"/>
  <c r="H32" i="22"/>
  <c r="H30" i="22"/>
  <c r="H28" i="22"/>
  <c r="H26" i="22"/>
  <c r="H24" i="22"/>
  <c r="H22" i="22"/>
  <c r="H20" i="22"/>
  <c r="H47" i="22"/>
  <c r="H25" i="22"/>
  <c r="H21" i="22"/>
  <c r="H43" i="22"/>
  <c r="H39" i="22"/>
  <c r="H35" i="22"/>
  <c r="H31" i="22"/>
  <c r="H19" i="22"/>
  <c r="U22" i="22"/>
  <c r="V22" i="22"/>
  <c r="I24" i="22"/>
  <c r="H27" i="22"/>
  <c r="M31" i="22"/>
  <c r="H33" i="22"/>
  <c r="U40" i="22"/>
  <c r="V40" i="22"/>
  <c r="M47" i="22"/>
  <c r="H49" i="22"/>
  <c r="K50" i="23"/>
  <c r="I32" i="23"/>
  <c r="T32" i="23" s="1"/>
  <c r="S32" i="23" s="1"/>
  <c r="I33" i="23"/>
  <c r="T33" i="23" s="1"/>
  <c r="S33" i="23" s="1"/>
  <c r="I48" i="23"/>
  <c r="T48" i="23" s="1"/>
  <c r="S48" i="23" s="1"/>
  <c r="I49" i="23"/>
  <c r="U26" i="24"/>
  <c r="V26" i="24"/>
  <c r="U34" i="24"/>
  <c r="V34" i="24"/>
  <c r="V35" i="24"/>
  <c r="U42" i="24"/>
  <c r="V42" i="24"/>
  <c r="V43" i="24"/>
  <c r="I19" i="25"/>
  <c r="I24" i="25"/>
  <c r="T24" i="25" s="1"/>
  <c r="S24" i="25" s="1"/>
  <c r="V33" i="25"/>
  <c r="I35" i="25"/>
  <c r="I40" i="25"/>
  <c r="T40" i="25" s="1"/>
  <c r="S40" i="25" s="1"/>
  <c r="V49" i="25"/>
  <c r="T49" i="26"/>
  <c r="S49" i="26" s="1"/>
  <c r="U22" i="26"/>
  <c r="V22" i="26"/>
  <c r="M29" i="26"/>
  <c r="H31" i="26"/>
  <c r="U38" i="26"/>
  <c r="V38" i="26"/>
  <c r="V41" i="26"/>
  <c r="U41" i="26"/>
  <c r="M45" i="26"/>
  <c r="H47" i="26"/>
  <c r="V21" i="28"/>
  <c r="H23" i="28"/>
  <c r="U28" i="28"/>
  <c r="V28" i="28"/>
  <c r="V29" i="28"/>
  <c r="H31" i="28"/>
  <c r="V37" i="28"/>
  <c r="H39" i="28"/>
  <c r="V45" i="28"/>
  <c r="H47" i="28"/>
  <c r="M19" i="30"/>
  <c r="V24" i="30"/>
  <c r="R26" i="30"/>
  <c r="V26" i="30" s="1"/>
  <c r="M27" i="30"/>
  <c r="U32" i="30"/>
  <c r="V32" i="30"/>
  <c r="R34" i="30"/>
  <c r="V34" i="30" s="1"/>
  <c r="M35" i="30"/>
  <c r="U40" i="30"/>
  <c r="V40" i="30"/>
  <c r="R42" i="30"/>
  <c r="V42" i="30" s="1"/>
  <c r="M43" i="30"/>
  <c r="U48" i="30"/>
  <c r="V48" i="30"/>
  <c r="M50" i="32"/>
  <c r="P3" i="32" s="1"/>
  <c r="L23" i="37"/>
  <c r="I23" i="37"/>
  <c r="U26" i="37"/>
  <c r="V26" i="37"/>
  <c r="T32" i="37"/>
  <c r="S32" i="37" s="1"/>
  <c r="U33" i="37"/>
  <c r="M37" i="37"/>
  <c r="T40" i="37"/>
  <c r="S40" i="37" s="1"/>
  <c r="M41" i="37"/>
  <c r="V45" i="37"/>
  <c r="M45" i="37"/>
  <c r="U45" i="37"/>
  <c r="I49" i="38"/>
  <c r="T49" i="38" s="1"/>
  <c r="S49" i="38" s="1"/>
  <c r="I48" i="38"/>
  <c r="T48" i="38" s="1"/>
  <c r="S48" i="38" s="1"/>
  <c r="I41" i="38"/>
  <c r="I40" i="38"/>
  <c r="T40" i="38" s="1"/>
  <c r="S40" i="38" s="1"/>
  <c r="I33" i="38"/>
  <c r="I32" i="38"/>
  <c r="T32" i="38" s="1"/>
  <c r="S32" i="38" s="1"/>
  <c r="I25" i="38"/>
  <c r="T25" i="38" s="1"/>
  <c r="S25" i="38" s="1"/>
  <c r="I24" i="38"/>
  <c r="T24" i="38" s="1"/>
  <c r="S24" i="38" s="1"/>
  <c r="I45" i="38"/>
  <c r="T45" i="38" s="1"/>
  <c r="S45" i="38" s="1"/>
  <c r="I37" i="38"/>
  <c r="T37" i="38" s="1"/>
  <c r="S37" i="38" s="1"/>
  <c r="I29" i="38"/>
  <c r="T29" i="38" s="1"/>
  <c r="S29" i="38" s="1"/>
  <c r="I21" i="38"/>
  <c r="T21" i="38" s="1"/>
  <c r="S21" i="38" s="1"/>
  <c r="I46" i="38"/>
  <c r="T46" i="38" s="1"/>
  <c r="S46" i="38" s="1"/>
  <c r="I42" i="38"/>
  <c r="T42" i="38" s="1"/>
  <c r="S42" i="38" s="1"/>
  <c r="I38" i="38"/>
  <c r="I34" i="38"/>
  <c r="I30" i="38"/>
  <c r="I26" i="38"/>
  <c r="I22" i="38"/>
  <c r="I44" i="38"/>
  <c r="T44" i="38" s="1"/>
  <c r="S44" i="38" s="1"/>
  <c r="I31" i="38"/>
  <c r="T31" i="38" s="1"/>
  <c r="S31" i="38" s="1"/>
  <c r="I27" i="38"/>
  <c r="T27" i="38" s="1"/>
  <c r="S27" i="38" s="1"/>
  <c r="I39" i="38"/>
  <c r="T39" i="38" s="1"/>
  <c r="S39" i="38" s="1"/>
  <c r="I35" i="38"/>
  <c r="I20" i="38"/>
  <c r="T20" i="38" s="1"/>
  <c r="S20" i="38" s="1"/>
  <c r="I19" i="38"/>
  <c r="U35" i="38"/>
  <c r="V24" i="39"/>
  <c r="M30" i="39"/>
  <c r="T36" i="39"/>
  <c r="S36" i="39" s="1"/>
  <c r="U38" i="39"/>
  <c r="V38" i="39"/>
  <c r="V48" i="39"/>
  <c r="M20" i="40"/>
  <c r="M28" i="40"/>
  <c r="M36" i="40"/>
  <c r="M44" i="40"/>
  <c r="R44" i="41"/>
  <c r="U44" i="41" s="1"/>
  <c r="R43" i="41"/>
  <c r="R36" i="41"/>
  <c r="V36" i="41" s="1"/>
  <c r="R35" i="41"/>
  <c r="U35" i="41" s="1"/>
  <c r="R28" i="41"/>
  <c r="U28" i="41" s="1"/>
  <c r="R27" i="41"/>
  <c r="R20" i="41"/>
  <c r="R19" i="41"/>
  <c r="R45" i="41"/>
  <c r="U45" i="41" s="1"/>
  <c r="R37" i="41"/>
  <c r="U37" i="41" s="1"/>
  <c r="R29" i="41"/>
  <c r="U29" i="41" s="1"/>
  <c r="R21" i="41"/>
  <c r="U21" i="41" s="1"/>
  <c r="R46" i="41"/>
  <c r="U46" i="41" s="1"/>
  <c r="R42" i="41"/>
  <c r="V42" i="41" s="1"/>
  <c r="R38" i="41"/>
  <c r="R34" i="41"/>
  <c r="U34" i="41" s="1"/>
  <c r="R30" i="41"/>
  <c r="U30" i="41" s="1"/>
  <c r="R26" i="41"/>
  <c r="R22" i="41"/>
  <c r="R48" i="41"/>
  <c r="V48" i="41" s="1"/>
  <c r="R40" i="41"/>
  <c r="U40" i="41" s="1"/>
  <c r="R32" i="41"/>
  <c r="R24" i="41"/>
  <c r="R47" i="41"/>
  <c r="R39" i="41"/>
  <c r="R31" i="41"/>
  <c r="R23" i="41"/>
  <c r="V20" i="41"/>
  <c r="T36" i="41"/>
  <c r="S36" i="41" s="1"/>
  <c r="R41" i="41"/>
  <c r="U41" i="41" s="1"/>
  <c r="T48" i="41"/>
  <c r="S48" i="41" s="1"/>
  <c r="M49" i="41"/>
  <c r="T49" i="41" s="1"/>
  <c r="S49" i="41" s="1"/>
  <c r="V49" i="41"/>
  <c r="U49" i="41"/>
  <c r="U39" i="42"/>
  <c r="V39" i="42"/>
  <c r="M39" i="42"/>
  <c r="M42" i="42"/>
  <c r="V43" i="42"/>
  <c r="M43" i="42"/>
  <c r="M31" i="43"/>
  <c r="I45" i="43"/>
  <c r="T45" i="43" s="1"/>
  <c r="S45" i="43" s="1"/>
  <c r="T25" i="44"/>
  <c r="S25" i="44" s="1"/>
  <c r="T31" i="44"/>
  <c r="S31" i="44" s="1"/>
  <c r="I33" i="44"/>
  <c r="R48" i="44"/>
  <c r="M31" i="47"/>
  <c r="V37" i="47"/>
  <c r="U37" i="47"/>
  <c r="M37" i="47"/>
  <c r="V38" i="47"/>
  <c r="U45" i="47"/>
  <c r="T21" i="48"/>
  <c r="S21" i="48" s="1"/>
  <c r="M28" i="48"/>
  <c r="V32" i="48"/>
  <c r="M32" i="48"/>
  <c r="M46" i="48"/>
  <c r="M48" i="48"/>
  <c r="U28" i="50"/>
  <c r="M28" i="50"/>
  <c r="U38" i="50"/>
  <c r="U41" i="50"/>
  <c r="M41" i="50"/>
  <c r="M20" i="51"/>
  <c r="K50" i="51"/>
  <c r="M28" i="51"/>
  <c r="M40" i="51"/>
  <c r="U42" i="51"/>
  <c r="U23" i="52"/>
  <c r="M46" i="52"/>
  <c r="U20" i="54"/>
  <c r="M20" i="54"/>
  <c r="V43" i="55"/>
  <c r="M43" i="55"/>
  <c r="T43" i="55" s="1"/>
  <c r="S43" i="55" s="1"/>
  <c r="U43" i="55"/>
  <c r="V49" i="55"/>
  <c r="U49" i="55"/>
  <c r="L19" i="57"/>
  <c r="H50" i="57"/>
  <c r="M34" i="57"/>
  <c r="L22" i="58"/>
  <c r="H50" i="58"/>
  <c r="U36" i="58"/>
  <c r="V39" i="58"/>
  <c r="U39" i="58"/>
  <c r="V48" i="58"/>
  <c r="U48" i="58"/>
  <c r="K50" i="59"/>
  <c r="M33" i="60"/>
  <c r="L40" i="63"/>
  <c r="I40" i="63"/>
  <c r="U46" i="63"/>
  <c r="M46" i="63"/>
  <c r="V46" i="63"/>
  <c r="U38" i="65"/>
  <c r="M38" i="65"/>
  <c r="H50" i="67"/>
  <c r="R44" i="68"/>
  <c r="U44" i="68" s="1"/>
  <c r="R43" i="68"/>
  <c r="R36" i="68"/>
  <c r="R35" i="68"/>
  <c r="R28" i="68"/>
  <c r="U28" i="68" s="1"/>
  <c r="R47" i="68"/>
  <c r="V47" i="68" s="1"/>
  <c r="R39" i="68"/>
  <c r="V39" i="68" s="1"/>
  <c r="R31" i="68"/>
  <c r="V31" i="68" s="1"/>
  <c r="R22" i="68"/>
  <c r="V22" i="68" s="1"/>
  <c r="R21" i="68"/>
  <c r="U21" i="68" s="1"/>
  <c r="R23" i="68"/>
  <c r="R41" i="68"/>
  <c r="V41" i="68" s="1"/>
  <c r="R38" i="68"/>
  <c r="V38" i="68" s="1"/>
  <c r="R20" i="68"/>
  <c r="V20" i="68" s="1"/>
  <c r="R40" i="68"/>
  <c r="R37" i="68"/>
  <c r="V37" i="68" s="1"/>
  <c r="R34" i="68"/>
  <c r="V34" i="68" s="1"/>
  <c r="R26" i="68"/>
  <c r="V26" i="68" s="1"/>
  <c r="R24" i="68"/>
  <c r="R42" i="68"/>
  <c r="V42" i="68" s="1"/>
  <c r="R33" i="68"/>
  <c r="V33" i="68" s="1"/>
  <c r="R32" i="68"/>
  <c r="R49" i="68"/>
  <c r="R48" i="68"/>
  <c r="U48" i="68" s="1"/>
  <c r="R30" i="68"/>
  <c r="U30" i="68" s="1"/>
  <c r="R25" i="68"/>
  <c r="R45" i="68"/>
  <c r="R29" i="68"/>
  <c r="U29" i="68" s="1"/>
  <c r="R27" i="68"/>
  <c r="V27" i="68" s="1"/>
  <c r="R46" i="68"/>
  <c r="R19" i="68"/>
  <c r="I19" i="3"/>
  <c r="I21" i="3"/>
  <c r="T21" i="3" s="1"/>
  <c r="S21" i="3" s="1"/>
  <c r="I23" i="3"/>
  <c r="I33" i="3"/>
  <c r="I41" i="3"/>
  <c r="I49" i="3"/>
  <c r="T49" i="3" s="1"/>
  <c r="S49" i="3" s="1"/>
  <c r="I19" i="4"/>
  <c r="I21" i="4"/>
  <c r="T21" i="4" s="1"/>
  <c r="S21" i="4" s="1"/>
  <c r="I25" i="4"/>
  <c r="I43" i="4"/>
  <c r="T43" i="4" s="1"/>
  <c r="S43" i="4" s="1"/>
  <c r="I49" i="4"/>
  <c r="T49" i="4" s="1"/>
  <c r="S49" i="4" s="1"/>
  <c r="I21" i="5"/>
  <c r="I35" i="5"/>
  <c r="T35" i="5" s="1"/>
  <c r="S35" i="5" s="1"/>
  <c r="I23" i="6"/>
  <c r="T23" i="6" s="1"/>
  <c r="S23" i="6" s="1"/>
  <c r="I25" i="6"/>
  <c r="T25" i="6" s="1"/>
  <c r="S25" i="6" s="1"/>
  <c r="I33" i="6"/>
  <c r="T33" i="6" s="1"/>
  <c r="S33" i="6" s="1"/>
  <c r="I35" i="6"/>
  <c r="T35" i="6" s="1"/>
  <c r="S35" i="6" s="1"/>
  <c r="I39" i="6"/>
  <c r="T39" i="6" s="1"/>
  <c r="S39" i="6" s="1"/>
  <c r="I41" i="6"/>
  <c r="T41" i="6" s="1"/>
  <c r="S41" i="6" s="1"/>
  <c r="I43" i="6"/>
  <c r="T43" i="6" s="1"/>
  <c r="S43" i="6" s="1"/>
  <c r="I19" i="7"/>
  <c r="I25" i="7"/>
  <c r="T25" i="7" s="1"/>
  <c r="S25" i="7" s="1"/>
  <c r="I29" i="7"/>
  <c r="I31" i="7"/>
  <c r="T31" i="7" s="1"/>
  <c r="S31" i="7" s="1"/>
  <c r="I33" i="7"/>
  <c r="T33" i="7" s="1"/>
  <c r="S33" i="7" s="1"/>
  <c r="I39" i="7"/>
  <c r="T39" i="7" s="1"/>
  <c r="S39" i="7" s="1"/>
  <c r="I43" i="7"/>
  <c r="I49" i="7"/>
  <c r="T49" i="7" s="1"/>
  <c r="S49" i="7" s="1"/>
  <c r="I19" i="8"/>
  <c r="I21" i="8"/>
  <c r="T21" i="8" s="1"/>
  <c r="S21" i="8" s="1"/>
  <c r="I23" i="8"/>
  <c r="T23" i="8" s="1"/>
  <c r="S23" i="8" s="1"/>
  <c r="I27" i="8"/>
  <c r="T27" i="8" s="1"/>
  <c r="S27" i="8" s="1"/>
  <c r="I29" i="8"/>
  <c r="I31" i="8"/>
  <c r="T31" i="8" s="1"/>
  <c r="S31" i="8" s="1"/>
  <c r="I33" i="8"/>
  <c r="T33" i="8" s="1"/>
  <c r="S33" i="8" s="1"/>
  <c r="I37" i="8"/>
  <c r="I39" i="8"/>
  <c r="I41" i="8"/>
  <c r="T41" i="8" s="1"/>
  <c r="S41" i="8" s="1"/>
  <c r="I49" i="8"/>
  <c r="T49" i="8" s="1"/>
  <c r="S49" i="8" s="1"/>
  <c r="I19" i="9"/>
  <c r="I29" i="9"/>
  <c r="T29" i="9" s="1"/>
  <c r="S29" i="9" s="1"/>
  <c r="I33" i="9"/>
  <c r="T33" i="9" s="1"/>
  <c r="S33" i="9" s="1"/>
  <c r="I37" i="9"/>
  <c r="T37" i="9" s="1"/>
  <c r="S37" i="9" s="1"/>
  <c r="I41" i="9"/>
  <c r="T41" i="9" s="1"/>
  <c r="S41" i="9" s="1"/>
  <c r="I43" i="9"/>
  <c r="I45" i="9"/>
  <c r="T45" i="9" s="1"/>
  <c r="S45" i="9" s="1"/>
  <c r="I49" i="9"/>
  <c r="T49" i="9" s="1"/>
  <c r="S49" i="9" s="1"/>
  <c r="I23" i="10"/>
  <c r="T23" i="10" s="1"/>
  <c r="S23" i="10" s="1"/>
  <c r="I25" i="10"/>
  <c r="T25" i="10" s="1"/>
  <c r="S25" i="10" s="1"/>
  <c r="I31" i="10"/>
  <c r="T31" i="10" s="1"/>
  <c r="S31" i="10" s="1"/>
  <c r="I35" i="10"/>
  <c r="T35" i="10" s="1"/>
  <c r="S35" i="10" s="1"/>
  <c r="I39" i="10"/>
  <c r="T39" i="10" s="1"/>
  <c r="S39" i="10" s="1"/>
  <c r="I49" i="10"/>
  <c r="T49" i="10" s="1"/>
  <c r="S49" i="10" s="1"/>
  <c r="I23" i="11"/>
  <c r="T23" i="11" s="1"/>
  <c r="S23" i="11" s="1"/>
  <c r="I25" i="11"/>
  <c r="I27" i="11"/>
  <c r="T27" i="11" s="1"/>
  <c r="S27" i="11" s="1"/>
  <c r="I29" i="11"/>
  <c r="T29" i="11" s="1"/>
  <c r="S29" i="11" s="1"/>
  <c r="I39" i="11"/>
  <c r="T39" i="11" s="1"/>
  <c r="S39" i="11" s="1"/>
  <c r="I41" i="11"/>
  <c r="I45" i="11"/>
  <c r="T45" i="11" s="1"/>
  <c r="S45" i="11" s="1"/>
  <c r="I47" i="11"/>
  <c r="T47" i="11" s="1"/>
  <c r="S47" i="11" s="1"/>
  <c r="I19" i="12"/>
  <c r="I23" i="12"/>
  <c r="I25" i="12"/>
  <c r="T25" i="12" s="1"/>
  <c r="S25" i="12" s="1"/>
  <c r="I27" i="12"/>
  <c r="T27" i="12" s="1"/>
  <c r="S27" i="12" s="1"/>
  <c r="I29" i="12"/>
  <c r="T29" i="12" s="1"/>
  <c r="S29" i="12" s="1"/>
  <c r="I31" i="12"/>
  <c r="T31" i="12" s="1"/>
  <c r="S31" i="12" s="1"/>
  <c r="I35" i="12"/>
  <c r="I43" i="12"/>
  <c r="T43" i="12" s="1"/>
  <c r="S43" i="12" s="1"/>
  <c r="I45" i="12"/>
  <c r="T45" i="12" s="1"/>
  <c r="S45" i="12" s="1"/>
  <c r="I47" i="12"/>
  <c r="I21" i="13"/>
  <c r="T21" i="13" s="1"/>
  <c r="S21" i="13" s="1"/>
  <c r="I23" i="13"/>
  <c r="T23" i="13" s="1"/>
  <c r="S23" i="13" s="1"/>
  <c r="I31" i="13"/>
  <c r="T31" i="13" s="1"/>
  <c r="S31" i="13" s="1"/>
  <c r="I35" i="13"/>
  <c r="T35" i="13" s="1"/>
  <c r="S35" i="13" s="1"/>
  <c r="I39" i="13"/>
  <c r="I43" i="13"/>
  <c r="I45" i="13"/>
  <c r="T45" i="13" s="1"/>
  <c r="S45" i="13" s="1"/>
  <c r="I47" i="13"/>
  <c r="T47" i="13" s="1"/>
  <c r="S47" i="13" s="1"/>
  <c r="I23" i="14"/>
  <c r="T23" i="14" s="1"/>
  <c r="S23" i="14" s="1"/>
  <c r="I27" i="14"/>
  <c r="T27" i="14" s="1"/>
  <c r="S27" i="14" s="1"/>
  <c r="I29" i="14"/>
  <c r="T29" i="14" s="1"/>
  <c r="S29" i="14" s="1"/>
  <c r="I31" i="14"/>
  <c r="T31" i="14" s="1"/>
  <c r="S31" i="14" s="1"/>
  <c r="I33" i="14"/>
  <c r="T33" i="14" s="1"/>
  <c r="S33" i="14" s="1"/>
  <c r="I35" i="14"/>
  <c r="T35" i="14" s="1"/>
  <c r="S35" i="14" s="1"/>
  <c r="I37" i="14"/>
  <c r="T37" i="14" s="1"/>
  <c r="S37" i="14" s="1"/>
  <c r="I39" i="14"/>
  <c r="T39" i="14" s="1"/>
  <c r="S39" i="14" s="1"/>
  <c r="I41" i="14"/>
  <c r="T41" i="14" s="1"/>
  <c r="S41" i="14" s="1"/>
  <c r="I47" i="14"/>
  <c r="T47" i="14" s="1"/>
  <c r="S47" i="14" s="1"/>
  <c r="I49" i="14"/>
  <c r="T49" i="14" s="1"/>
  <c r="S49" i="14" s="1"/>
  <c r="I19" i="15"/>
  <c r="I23" i="15"/>
  <c r="T23" i="15" s="1"/>
  <c r="S23" i="15" s="1"/>
  <c r="I25" i="15"/>
  <c r="T25" i="15" s="1"/>
  <c r="S25" i="15" s="1"/>
  <c r="I27" i="15"/>
  <c r="T27" i="15" s="1"/>
  <c r="S27" i="15" s="1"/>
  <c r="I31" i="15"/>
  <c r="T31" i="15" s="1"/>
  <c r="S31" i="15" s="1"/>
  <c r="I35" i="15"/>
  <c r="I39" i="15"/>
  <c r="T39" i="15" s="1"/>
  <c r="S39" i="15" s="1"/>
  <c r="I43" i="15"/>
  <c r="T43" i="15" s="1"/>
  <c r="S43" i="15" s="1"/>
  <c r="I47" i="15"/>
  <c r="T47" i="15" s="1"/>
  <c r="S47" i="15" s="1"/>
  <c r="I49" i="15"/>
  <c r="T49" i="15" s="1"/>
  <c r="S49" i="15" s="1"/>
  <c r="I23" i="16"/>
  <c r="T23" i="16" s="1"/>
  <c r="S23" i="16" s="1"/>
  <c r="I25" i="16"/>
  <c r="T25" i="16" s="1"/>
  <c r="S25" i="16" s="1"/>
  <c r="I27" i="16"/>
  <c r="T27" i="16" s="1"/>
  <c r="S27" i="16" s="1"/>
  <c r="I31" i="16"/>
  <c r="T31" i="16" s="1"/>
  <c r="S31" i="16" s="1"/>
  <c r="I39" i="16"/>
  <c r="T39" i="16" s="1"/>
  <c r="S39" i="16" s="1"/>
  <c r="I41" i="16"/>
  <c r="T41" i="16" s="1"/>
  <c r="S41" i="16" s="1"/>
  <c r="I43" i="16"/>
  <c r="T43" i="16" s="1"/>
  <c r="S43" i="16" s="1"/>
  <c r="I49" i="16"/>
  <c r="I19" i="17"/>
  <c r="I29" i="17"/>
  <c r="T29" i="17" s="1"/>
  <c r="S29" i="17" s="1"/>
  <c r="I31" i="17"/>
  <c r="T31" i="17" s="1"/>
  <c r="S31" i="17" s="1"/>
  <c r="I33" i="17"/>
  <c r="T33" i="17" s="1"/>
  <c r="S33" i="17" s="1"/>
  <c r="I37" i="17"/>
  <c r="T37" i="17" s="1"/>
  <c r="S37" i="17" s="1"/>
  <c r="I39" i="17"/>
  <c r="T39" i="17" s="1"/>
  <c r="S39" i="17" s="1"/>
  <c r="I41" i="17"/>
  <c r="I25" i="18"/>
  <c r="T25" i="18" s="1"/>
  <c r="S25" i="18" s="1"/>
  <c r="I27" i="18"/>
  <c r="T27" i="18" s="1"/>
  <c r="S27" i="18" s="1"/>
  <c r="I29" i="18"/>
  <c r="T29" i="18" s="1"/>
  <c r="S29" i="18" s="1"/>
  <c r="I37" i="18"/>
  <c r="T37" i="18" s="1"/>
  <c r="S37" i="18" s="1"/>
  <c r="I39" i="18"/>
  <c r="T39" i="18" s="1"/>
  <c r="S39" i="18" s="1"/>
  <c r="I41" i="18"/>
  <c r="T41" i="18" s="1"/>
  <c r="S41" i="18" s="1"/>
  <c r="I43" i="18"/>
  <c r="T43" i="18" s="1"/>
  <c r="S43" i="18" s="1"/>
  <c r="I49" i="18"/>
  <c r="T49" i="18" s="1"/>
  <c r="S49" i="18" s="1"/>
  <c r="I21" i="19"/>
  <c r="I23" i="19"/>
  <c r="T23" i="19" s="1"/>
  <c r="S23" i="19" s="1"/>
  <c r="I27" i="19"/>
  <c r="T27" i="19" s="1"/>
  <c r="S27" i="19" s="1"/>
  <c r="I29" i="19"/>
  <c r="T29" i="19" s="1"/>
  <c r="S29" i="19" s="1"/>
  <c r="I31" i="19"/>
  <c r="I35" i="19"/>
  <c r="T35" i="19" s="1"/>
  <c r="S35" i="19" s="1"/>
  <c r="I37" i="19"/>
  <c r="T37" i="19" s="1"/>
  <c r="S37" i="19" s="1"/>
  <c r="I39" i="19"/>
  <c r="I41" i="19"/>
  <c r="I43" i="19"/>
  <c r="T43" i="19" s="1"/>
  <c r="S43" i="19" s="1"/>
  <c r="I45" i="19"/>
  <c r="T45" i="19" s="1"/>
  <c r="S45" i="19" s="1"/>
  <c r="I47" i="19"/>
  <c r="T47" i="19" s="1"/>
  <c r="S47" i="19" s="1"/>
  <c r="I49" i="19"/>
  <c r="T49" i="19" s="1"/>
  <c r="S49" i="19" s="1"/>
  <c r="H21" i="20"/>
  <c r="H23" i="20"/>
  <c r="H25" i="20"/>
  <c r="H29" i="20"/>
  <c r="H39" i="20"/>
  <c r="H47" i="20"/>
  <c r="R49" i="24"/>
  <c r="R47" i="24"/>
  <c r="V47" i="24" s="1"/>
  <c r="R45" i="24"/>
  <c r="R43" i="24"/>
  <c r="R41" i="24"/>
  <c r="R39" i="24"/>
  <c r="U39" i="24" s="1"/>
  <c r="R37" i="24"/>
  <c r="R35" i="24"/>
  <c r="U35" i="24" s="1"/>
  <c r="R33" i="24"/>
  <c r="R31" i="24"/>
  <c r="V31" i="24" s="1"/>
  <c r="R29" i="24"/>
  <c r="R27" i="24"/>
  <c r="V27" i="24" s="1"/>
  <c r="R25" i="24"/>
  <c r="R23" i="24"/>
  <c r="U23" i="24" s="1"/>
  <c r="R21" i="24"/>
  <c r="R19" i="24"/>
  <c r="V19" i="24" s="1"/>
  <c r="U44" i="24"/>
  <c r="L50" i="26"/>
  <c r="I28" i="27"/>
  <c r="T28" i="27" s="1"/>
  <c r="S28" i="27" s="1"/>
  <c r="I32" i="27"/>
  <c r="T32" i="27" s="1"/>
  <c r="S32" i="27" s="1"/>
  <c r="I36" i="27"/>
  <c r="T36" i="27" s="1"/>
  <c r="S36" i="27" s="1"/>
  <c r="I40" i="27"/>
  <c r="T40" i="27" s="1"/>
  <c r="S40" i="27" s="1"/>
  <c r="I44" i="27"/>
  <c r="T44" i="27" s="1"/>
  <c r="S44" i="27" s="1"/>
  <c r="U22" i="28"/>
  <c r="U34" i="28"/>
  <c r="H48" i="30"/>
  <c r="H46" i="30"/>
  <c r="H44" i="30"/>
  <c r="H42" i="30"/>
  <c r="H40" i="30"/>
  <c r="H38" i="30"/>
  <c r="H36" i="30"/>
  <c r="H34" i="30"/>
  <c r="H32" i="30"/>
  <c r="H30" i="30"/>
  <c r="H28" i="30"/>
  <c r="H26" i="30"/>
  <c r="H24" i="30"/>
  <c r="H22" i="30"/>
  <c r="H20" i="30"/>
  <c r="H19" i="30"/>
  <c r="H23" i="30"/>
  <c r="H27" i="30"/>
  <c r="H31" i="30"/>
  <c r="H35" i="30"/>
  <c r="H47" i="30"/>
  <c r="U49" i="30"/>
  <c r="H48" i="32"/>
  <c r="H46" i="32"/>
  <c r="H44" i="32"/>
  <c r="H42" i="32"/>
  <c r="H40" i="32"/>
  <c r="H38" i="32"/>
  <c r="H36" i="32"/>
  <c r="H34" i="32"/>
  <c r="H32" i="32"/>
  <c r="H30" i="32"/>
  <c r="H28" i="32"/>
  <c r="H26" i="32"/>
  <c r="H24" i="32"/>
  <c r="H22" i="32"/>
  <c r="H20" i="32"/>
  <c r="H49" i="32"/>
  <c r="H45" i="32"/>
  <c r="H41" i="32"/>
  <c r="H37" i="32"/>
  <c r="H33" i="32"/>
  <c r="H29" i="32"/>
  <c r="H25" i="32"/>
  <c r="H21" i="32"/>
  <c r="H19" i="33"/>
  <c r="H27" i="33"/>
  <c r="H35" i="33"/>
  <c r="R50" i="34"/>
  <c r="V19" i="34"/>
  <c r="H48" i="36"/>
  <c r="H46" i="36"/>
  <c r="H44" i="36"/>
  <c r="H42" i="36"/>
  <c r="H40" i="36"/>
  <c r="H38" i="36"/>
  <c r="H36" i="36"/>
  <c r="H34" i="36"/>
  <c r="H32" i="36"/>
  <c r="H30" i="36"/>
  <c r="H28" i="36"/>
  <c r="H26" i="36"/>
  <c r="H24" i="36"/>
  <c r="H22" i="36"/>
  <c r="H20" i="36"/>
  <c r="H49" i="36"/>
  <c r="H45" i="36"/>
  <c r="H41" i="36"/>
  <c r="H37" i="36"/>
  <c r="H33" i="36"/>
  <c r="H29" i="36"/>
  <c r="H25" i="36"/>
  <c r="H21" i="36"/>
  <c r="H19" i="36"/>
  <c r="H50" i="36" s="1"/>
  <c r="H27" i="36"/>
  <c r="H35" i="36"/>
  <c r="H43" i="36"/>
  <c r="I43" i="37"/>
  <c r="T43" i="37" s="1"/>
  <c r="S43" i="37" s="1"/>
  <c r="K50" i="37"/>
  <c r="M21" i="37"/>
  <c r="T21" i="37" s="1"/>
  <c r="S21" i="37" s="1"/>
  <c r="M27" i="37"/>
  <c r="U31" i="37"/>
  <c r="M31" i="37"/>
  <c r="V31" i="37"/>
  <c r="T37" i="37"/>
  <c r="S37" i="37" s="1"/>
  <c r="U42" i="37"/>
  <c r="V42" i="37"/>
  <c r="T48" i="37"/>
  <c r="S48" i="37" s="1"/>
  <c r="V31" i="38"/>
  <c r="U31" i="38"/>
  <c r="U42" i="38"/>
  <c r="U46" i="38"/>
  <c r="V46" i="38"/>
  <c r="T20" i="39"/>
  <c r="S20" i="39" s="1"/>
  <c r="U22" i="39"/>
  <c r="M29" i="39"/>
  <c r="V29" i="39"/>
  <c r="U29" i="39"/>
  <c r="T37" i="39"/>
  <c r="S37" i="39" s="1"/>
  <c r="U43" i="39"/>
  <c r="V43" i="39"/>
  <c r="L50" i="40"/>
  <c r="M19" i="40"/>
  <c r="V19" i="40"/>
  <c r="U19" i="40"/>
  <c r="M27" i="40"/>
  <c r="V27" i="40"/>
  <c r="M35" i="40"/>
  <c r="V35" i="40"/>
  <c r="U35" i="40"/>
  <c r="M43" i="40"/>
  <c r="V43" i="40"/>
  <c r="U43" i="40"/>
  <c r="V19" i="41"/>
  <c r="V24" i="41"/>
  <c r="V27" i="41"/>
  <c r="U27" i="41"/>
  <c r="V32" i="41"/>
  <c r="T33" i="41"/>
  <c r="S33" i="41" s="1"/>
  <c r="V35" i="41"/>
  <c r="T41" i="41"/>
  <c r="S41" i="41" s="1"/>
  <c r="V43" i="41"/>
  <c r="U43" i="41"/>
  <c r="R49" i="42"/>
  <c r="R42" i="42"/>
  <c r="V42" i="42" s="1"/>
  <c r="R41" i="42"/>
  <c r="R34" i="42"/>
  <c r="U34" i="42" s="1"/>
  <c r="R33" i="42"/>
  <c r="R26" i="42"/>
  <c r="R25" i="42"/>
  <c r="R45" i="42"/>
  <c r="V45" i="42" s="1"/>
  <c r="R37" i="42"/>
  <c r="V37" i="42" s="1"/>
  <c r="R29" i="42"/>
  <c r="V29" i="42" s="1"/>
  <c r="R21" i="42"/>
  <c r="V21" i="42" s="1"/>
  <c r="R47" i="42"/>
  <c r="U47" i="42" s="1"/>
  <c r="R46" i="42"/>
  <c r="U46" i="42" s="1"/>
  <c r="R39" i="42"/>
  <c r="R38" i="42"/>
  <c r="U38" i="42" s="1"/>
  <c r="R31" i="42"/>
  <c r="U31" i="42" s="1"/>
  <c r="R30" i="42"/>
  <c r="U30" i="42" s="1"/>
  <c r="R23" i="42"/>
  <c r="R22" i="42"/>
  <c r="U22" i="42" s="1"/>
  <c r="R19" i="42"/>
  <c r="U19" i="42" s="1"/>
  <c r="V24" i="42"/>
  <c r="R27" i="42"/>
  <c r="V27" i="42" s="1"/>
  <c r="R35" i="42"/>
  <c r="U35" i="42" s="1"/>
  <c r="V40" i="42"/>
  <c r="R43" i="42"/>
  <c r="U43" i="42" s="1"/>
  <c r="T44" i="43"/>
  <c r="S44" i="43" s="1"/>
  <c r="K50" i="43"/>
  <c r="V21" i="43"/>
  <c r="U21" i="43"/>
  <c r="U28" i="43"/>
  <c r="V28" i="43"/>
  <c r="V30" i="43"/>
  <c r="V32" i="43"/>
  <c r="V37" i="43"/>
  <c r="U37" i="43"/>
  <c r="U44" i="43"/>
  <c r="V44" i="43"/>
  <c r="V46" i="43"/>
  <c r="H50" i="44"/>
  <c r="L19" i="44"/>
  <c r="V39" i="44"/>
  <c r="U44" i="44"/>
  <c r="V44" i="44"/>
  <c r="M45" i="44"/>
  <c r="U45" i="44"/>
  <c r="V19" i="45"/>
  <c r="M19" i="45"/>
  <c r="M35" i="45"/>
  <c r="U35" i="45"/>
  <c r="T45" i="46"/>
  <c r="S45" i="46" s="1"/>
  <c r="K50" i="46"/>
  <c r="U37" i="46"/>
  <c r="M37" i="46"/>
  <c r="V37" i="46"/>
  <c r="M41" i="46"/>
  <c r="U41" i="46"/>
  <c r="I47" i="47"/>
  <c r="I46" i="47"/>
  <c r="T46" i="47" s="1"/>
  <c r="S46" i="47" s="1"/>
  <c r="I39" i="47"/>
  <c r="T39" i="47" s="1"/>
  <c r="S39" i="47" s="1"/>
  <c r="I38" i="47"/>
  <c r="T38" i="47" s="1"/>
  <c r="S38" i="47" s="1"/>
  <c r="I31" i="47"/>
  <c r="T31" i="47" s="1"/>
  <c r="S31" i="47" s="1"/>
  <c r="I30" i="47"/>
  <c r="I23" i="47"/>
  <c r="T23" i="47" s="1"/>
  <c r="S23" i="47" s="1"/>
  <c r="I22" i="47"/>
  <c r="T22" i="47" s="1"/>
  <c r="S22" i="47" s="1"/>
  <c r="I45" i="47"/>
  <c r="T45" i="47" s="1"/>
  <c r="S45" i="47" s="1"/>
  <c r="I44" i="47"/>
  <c r="I37" i="47"/>
  <c r="T37" i="47" s="1"/>
  <c r="S37" i="47" s="1"/>
  <c r="I36" i="47"/>
  <c r="I29" i="47"/>
  <c r="I28" i="47"/>
  <c r="I21" i="47"/>
  <c r="T21" i="47" s="1"/>
  <c r="S21" i="47" s="1"/>
  <c r="I20" i="47"/>
  <c r="I48" i="47"/>
  <c r="T48" i="47" s="1"/>
  <c r="S48" i="47" s="1"/>
  <c r="I35" i="47"/>
  <c r="T35" i="47" s="1"/>
  <c r="S35" i="47" s="1"/>
  <c r="I33" i="47"/>
  <c r="T33" i="47" s="1"/>
  <c r="S33" i="47" s="1"/>
  <c r="I43" i="47"/>
  <c r="T43" i="47" s="1"/>
  <c r="S43" i="47" s="1"/>
  <c r="I41" i="47"/>
  <c r="I26" i="47"/>
  <c r="T26" i="47" s="1"/>
  <c r="S26" i="47" s="1"/>
  <c r="I24" i="47"/>
  <c r="T24" i="47" s="1"/>
  <c r="S24" i="47" s="1"/>
  <c r="I19" i="47"/>
  <c r="U22" i="47"/>
  <c r="V22" i="47"/>
  <c r="U20" i="48"/>
  <c r="M23" i="48"/>
  <c r="M36" i="48"/>
  <c r="V34" i="49"/>
  <c r="U34" i="49"/>
  <c r="M34" i="49"/>
  <c r="V20" i="50"/>
  <c r="M20" i="50"/>
  <c r="T29" i="50"/>
  <c r="S29" i="50" s="1"/>
  <c r="L22" i="51"/>
  <c r="H50" i="51"/>
  <c r="T31" i="51"/>
  <c r="S31" i="51" s="1"/>
  <c r="M40" i="52"/>
  <c r="U47" i="52"/>
  <c r="U28" i="53"/>
  <c r="I48" i="54"/>
  <c r="I46" i="54"/>
  <c r="T46" i="54" s="1"/>
  <c r="S46" i="54" s="1"/>
  <c r="I44" i="54"/>
  <c r="I42" i="54"/>
  <c r="I40" i="54"/>
  <c r="T40" i="54" s="1"/>
  <c r="S40" i="54" s="1"/>
  <c r="I38" i="54"/>
  <c r="T38" i="54" s="1"/>
  <c r="S38" i="54" s="1"/>
  <c r="I36" i="54"/>
  <c r="T36" i="54" s="1"/>
  <c r="S36" i="54" s="1"/>
  <c r="I34" i="54"/>
  <c r="T34" i="54" s="1"/>
  <c r="S34" i="54" s="1"/>
  <c r="I32" i="54"/>
  <c r="I30" i="54"/>
  <c r="T30" i="54" s="1"/>
  <c r="S30" i="54" s="1"/>
  <c r="I28" i="54"/>
  <c r="I26" i="54"/>
  <c r="I24" i="54"/>
  <c r="I22" i="54"/>
  <c r="T22" i="54" s="1"/>
  <c r="S22" i="54" s="1"/>
  <c r="I20" i="54"/>
  <c r="I43" i="54"/>
  <c r="T43" i="54" s="1"/>
  <c r="S43" i="54" s="1"/>
  <c r="I35" i="54"/>
  <c r="I27" i="54"/>
  <c r="T27" i="54" s="1"/>
  <c r="S27" i="54" s="1"/>
  <c r="I19" i="54"/>
  <c r="I49" i="54"/>
  <c r="T49" i="54" s="1"/>
  <c r="S49" i="54" s="1"/>
  <c r="I47" i="54"/>
  <c r="T47" i="54" s="1"/>
  <c r="S47" i="54" s="1"/>
  <c r="I45" i="54"/>
  <c r="T45" i="54" s="1"/>
  <c r="S45" i="54" s="1"/>
  <c r="I33" i="54"/>
  <c r="T33" i="54" s="1"/>
  <c r="S33" i="54" s="1"/>
  <c r="I31" i="54"/>
  <c r="I29" i="54"/>
  <c r="T29" i="54" s="1"/>
  <c r="S29" i="54" s="1"/>
  <c r="M23" i="54"/>
  <c r="T23" i="54" s="1"/>
  <c r="S23" i="54" s="1"/>
  <c r="U23" i="54"/>
  <c r="V28" i="54"/>
  <c r="M28" i="54"/>
  <c r="M39" i="54"/>
  <c r="T39" i="54" s="1"/>
  <c r="S39" i="54" s="1"/>
  <c r="U39" i="54"/>
  <c r="V44" i="54"/>
  <c r="M44" i="54"/>
  <c r="I49" i="55"/>
  <c r="V27" i="55"/>
  <c r="M27" i="55"/>
  <c r="T27" i="55" s="1"/>
  <c r="S27" i="55" s="1"/>
  <c r="V33" i="55"/>
  <c r="U33" i="55"/>
  <c r="M41" i="55"/>
  <c r="U41" i="55"/>
  <c r="M36" i="56"/>
  <c r="V38" i="56"/>
  <c r="U38" i="56"/>
  <c r="M40" i="56"/>
  <c r="L21" i="57"/>
  <c r="I21" i="57"/>
  <c r="U35" i="57"/>
  <c r="M35" i="57"/>
  <c r="V36" i="57"/>
  <c r="M36" i="57"/>
  <c r="K50" i="58"/>
  <c r="M19" i="58"/>
  <c r="V19" i="58"/>
  <c r="U19" i="58"/>
  <c r="L31" i="58"/>
  <c r="I31" i="58"/>
  <c r="M46" i="58"/>
  <c r="U38" i="59"/>
  <c r="M38" i="59"/>
  <c r="V38" i="59"/>
  <c r="M25" i="60"/>
  <c r="U25" i="60"/>
  <c r="U40" i="60"/>
  <c r="K50" i="61"/>
  <c r="M19" i="61"/>
  <c r="M25" i="62"/>
  <c r="V29" i="64"/>
  <c r="I42" i="64"/>
  <c r="L42" i="64"/>
  <c r="M35" i="69"/>
  <c r="L37" i="69"/>
  <c r="I37" i="69"/>
  <c r="I25" i="3"/>
  <c r="I27" i="3"/>
  <c r="T27" i="3" s="1"/>
  <c r="S27" i="3" s="1"/>
  <c r="I29" i="3"/>
  <c r="T29" i="3" s="1"/>
  <c r="S29" i="3" s="1"/>
  <c r="I31" i="3"/>
  <c r="I35" i="3"/>
  <c r="T35" i="3" s="1"/>
  <c r="S35" i="3" s="1"/>
  <c r="I37" i="3"/>
  <c r="T37" i="3" s="1"/>
  <c r="S37" i="3" s="1"/>
  <c r="I39" i="3"/>
  <c r="I43" i="3"/>
  <c r="T43" i="3" s="1"/>
  <c r="S43" i="3" s="1"/>
  <c r="I45" i="3"/>
  <c r="T45" i="3" s="1"/>
  <c r="S45" i="3" s="1"/>
  <c r="I23" i="4"/>
  <c r="T23" i="4" s="1"/>
  <c r="S23" i="4" s="1"/>
  <c r="I27" i="4"/>
  <c r="T27" i="4" s="1"/>
  <c r="S27" i="4" s="1"/>
  <c r="I29" i="4"/>
  <c r="T29" i="4" s="1"/>
  <c r="S29" i="4" s="1"/>
  <c r="I31" i="4"/>
  <c r="T31" i="4" s="1"/>
  <c r="S31" i="4" s="1"/>
  <c r="I33" i="4"/>
  <c r="T33" i="4" s="1"/>
  <c r="S33" i="4" s="1"/>
  <c r="I35" i="4"/>
  <c r="T35" i="4" s="1"/>
  <c r="S35" i="4" s="1"/>
  <c r="I37" i="4"/>
  <c r="T37" i="4" s="1"/>
  <c r="S37" i="4" s="1"/>
  <c r="I39" i="4"/>
  <c r="T39" i="4" s="1"/>
  <c r="S39" i="4" s="1"/>
  <c r="I41" i="4"/>
  <c r="T41" i="4" s="1"/>
  <c r="S41" i="4" s="1"/>
  <c r="I45" i="4"/>
  <c r="I19" i="5"/>
  <c r="I23" i="5"/>
  <c r="I25" i="5"/>
  <c r="T25" i="5" s="1"/>
  <c r="S25" i="5" s="1"/>
  <c r="I27" i="5"/>
  <c r="T27" i="5" s="1"/>
  <c r="S27" i="5" s="1"/>
  <c r="I29" i="5"/>
  <c r="T29" i="5" s="1"/>
  <c r="S29" i="5" s="1"/>
  <c r="I31" i="5"/>
  <c r="T31" i="5" s="1"/>
  <c r="S31" i="5" s="1"/>
  <c r="I33" i="5"/>
  <c r="T33" i="5" s="1"/>
  <c r="S33" i="5" s="1"/>
  <c r="I37" i="5"/>
  <c r="T37" i="5" s="1"/>
  <c r="S37" i="5" s="1"/>
  <c r="I39" i="5"/>
  <c r="I41" i="5"/>
  <c r="T41" i="5" s="1"/>
  <c r="S41" i="5" s="1"/>
  <c r="I43" i="5"/>
  <c r="T43" i="5" s="1"/>
  <c r="S43" i="5" s="1"/>
  <c r="I45" i="5"/>
  <c r="T45" i="5" s="1"/>
  <c r="S45" i="5" s="1"/>
  <c r="I47" i="5"/>
  <c r="T47" i="5" s="1"/>
  <c r="S47" i="5" s="1"/>
  <c r="I19" i="6"/>
  <c r="I21" i="6"/>
  <c r="T21" i="6" s="1"/>
  <c r="S21" i="6" s="1"/>
  <c r="I27" i="6"/>
  <c r="T27" i="6" s="1"/>
  <c r="S27" i="6" s="1"/>
  <c r="I29" i="6"/>
  <c r="T29" i="6" s="1"/>
  <c r="S29" i="6" s="1"/>
  <c r="I31" i="6"/>
  <c r="T31" i="6" s="1"/>
  <c r="S31" i="6" s="1"/>
  <c r="I37" i="6"/>
  <c r="T37" i="6" s="1"/>
  <c r="S37" i="6" s="1"/>
  <c r="I45" i="6"/>
  <c r="T45" i="6" s="1"/>
  <c r="S45" i="6" s="1"/>
  <c r="I47" i="6"/>
  <c r="T47" i="6" s="1"/>
  <c r="S47" i="6" s="1"/>
  <c r="I21" i="7"/>
  <c r="I23" i="7"/>
  <c r="T23" i="7" s="1"/>
  <c r="S23" i="7" s="1"/>
  <c r="I27" i="7"/>
  <c r="I35" i="7"/>
  <c r="I37" i="7"/>
  <c r="I41" i="7"/>
  <c r="T41" i="7" s="1"/>
  <c r="S41" i="7" s="1"/>
  <c r="I45" i="7"/>
  <c r="I25" i="8"/>
  <c r="I35" i="8"/>
  <c r="T35" i="8" s="1"/>
  <c r="S35" i="8" s="1"/>
  <c r="I43" i="8"/>
  <c r="T43" i="8" s="1"/>
  <c r="S43" i="8" s="1"/>
  <c r="I45" i="8"/>
  <c r="T45" i="8" s="1"/>
  <c r="S45" i="8" s="1"/>
  <c r="I21" i="9"/>
  <c r="T21" i="9" s="1"/>
  <c r="S21" i="9" s="1"/>
  <c r="I23" i="9"/>
  <c r="T23" i="9" s="1"/>
  <c r="S23" i="9" s="1"/>
  <c r="I25" i="9"/>
  <c r="T25" i="9" s="1"/>
  <c r="S25" i="9" s="1"/>
  <c r="I27" i="9"/>
  <c r="T27" i="9" s="1"/>
  <c r="S27" i="9" s="1"/>
  <c r="I31" i="9"/>
  <c r="T31" i="9" s="1"/>
  <c r="S31" i="9" s="1"/>
  <c r="I35" i="9"/>
  <c r="T35" i="9" s="1"/>
  <c r="S35" i="9" s="1"/>
  <c r="I39" i="9"/>
  <c r="T39" i="9" s="1"/>
  <c r="S39" i="9" s="1"/>
  <c r="I19" i="10"/>
  <c r="I21" i="10"/>
  <c r="T21" i="10" s="1"/>
  <c r="S21" i="10" s="1"/>
  <c r="I27" i="10"/>
  <c r="T27" i="10" s="1"/>
  <c r="S27" i="10" s="1"/>
  <c r="I29" i="10"/>
  <c r="T29" i="10" s="1"/>
  <c r="S29" i="10" s="1"/>
  <c r="I33" i="10"/>
  <c r="T33" i="10" s="1"/>
  <c r="S33" i="10" s="1"/>
  <c r="I37" i="10"/>
  <c r="T37" i="10" s="1"/>
  <c r="S37" i="10" s="1"/>
  <c r="I41" i="10"/>
  <c r="T41" i="10" s="1"/>
  <c r="S41" i="10" s="1"/>
  <c r="I43" i="10"/>
  <c r="T43" i="10" s="1"/>
  <c r="S43" i="10" s="1"/>
  <c r="I45" i="10"/>
  <c r="T45" i="10" s="1"/>
  <c r="S45" i="10" s="1"/>
  <c r="I19" i="11"/>
  <c r="I21" i="11"/>
  <c r="T21" i="11" s="1"/>
  <c r="S21" i="11" s="1"/>
  <c r="I31" i="11"/>
  <c r="T31" i="11" s="1"/>
  <c r="S31" i="11" s="1"/>
  <c r="I33" i="11"/>
  <c r="I35" i="11"/>
  <c r="T35" i="11" s="1"/>
  <c r="S35" i="11" s="1"/>
  <c r="I37" i="11"/>
  <c r="T37" i="11" s="1"/>
  <c r="S37" i="11" s="1"/>
  <c r="I43" i="11"/>
  <c r="T43" i="11" s="1"/>
  <c r="S43" i="11" s="1"/>
  <c r="I21" i="12"/>
  <c r="T21" i="12" s="1"/>
  <c r="S21" i="12" s="1"/>
  <c r="I33" i="12"/>
  <c r="I37" i="12"/>
  <c r="T37" i="12" s="1"/>
  <c r="S37" i="12" s="1"/>
  <c r="I39" i="12"/>
  <c r="T39" i="12" s="1"/>
  <c r="S39" i="12" s="1"/>
  <c r="I41" i="12"/>
  <c r="T41" i="12" s="1"/>
  <c r="S41" i="12" s="1"/>
  <c r="I19" i="13"/>
  <c r="I25" i="13"/>
  <c r="T25" i="13" s="1"/>
  <c r="S25" i="13" s="1"/>
  <c r="I27" i="13"/>
  <c r="T27" i="13" s="1"/>
  <c r="S27" i="13" s="1"/>
  <c r="I29" i="13"/>
  <c r="I33" i="13"/>
  <c r="I37" i="13"/>
  <c r="T37" i="13" s="1"/>
  <c r="S37" i="13" s="1"/>
  <c r="I41" i="13"/>
  <c r="T41" i="13" s="1"/>
  <c r="S41" i="13" s="1"/>
  <c r="I19" i="14"/>
  <c r="I21" i="14"/>
  <c r="T21" i="14" s="1"/>
  <c r="S21" i="14" s="1"/>
  <c r="I25" i="14"/>
  <c r="T25" i="14" s="1"/>
  <c r="S25" i="14" s="1"/>
  <c r="I43" i="14"/>
  <c r="T43" i="14" s="1"/>
  <c r="S43" i="14" s="1"/>
  <c r="I21" i="15"/>
  <c r="I29" i="15"/>
  <c r="I33" i="15"/>
  <c r="T33" i="15" s="1"/>
  <c r="S33" i="15" s="1"/>
  <c r="I37" i="15"/>
  <c r="T37" i="15" s="1"/>
  <c r="S37" i="15" s="1"/>
  <c r="I41" i="15"/>
  <c r="T41" i="15" s="1"/>
  <c r="S41" i="15" s="1"/>
  <c r="I19" i="16"/>
  <c r="I21" i="16"/>
  <c r="T21" i="16" s="1"/>
  <c r="S21" i="16" s="1"/>
  <c r="I29" i="16"/>
  <c r="T29" i="16" s="1"/>
  <c r="S29" i="16" s="1"/>
  <c r="I33" i="16"/>
  <c r="T33" i="16" s="1"/>
  <c r="S33" i="16" s="1"/>
  <c r="I35" i="16"/>
  <c r="T35" i="16" s="1"/>
  <c r="S35" i="16" s="1"/>
  <c r="I37" i="16"/>
  <c r="T37" i="16" s="1"/>
  <c r="S37" i="16" s="1"/>
  <c r="I45" i="16"/>
  <c r="T45" i="16" s="1"/>
  <c r="S45" i="16" s="1"/>
  <c r="I21" i="17"/>
  <c r="I23" i="17"/>
  <c r="I25" i="17"/>
  <c r="I27" i="17"/>
  <c r="T27" i="17" s="1"/>
  <c r="S27" i="17" s="1"/>
  <c r="I35" i="17"/>
  <c r="I43" i="17"/>
  <c r="T43" i="17" s="1"/>
  <c r="S43" i="17" s="1"/>
  <c r="I45" i="17"/>
  <c r="T45" i="17" s="1"/>
  <c r="S45" i="17" s="1"/>
  <c r="I47" i="17"/>
  <c r="T47" i="17" s="1"/>
  <c r="S47" i="17" s="1"/>
  <c r="I19" i="18"/>
  <c r="I21" i="18"/>
  <c r="T21" i="18" s="1"/>
  <c r="S21" i="18" s="1"/>
  <c r="I23" i="18"/>
  <c r="T23" i="18" s="1"/>
  <c r="S23" i="18" s="1"/>
  <c r="I31" i="18"/>
  <c r="T31" i="18" s="1"/>
  <c r="S31" i="18" s="1"/>
  <c r="I33" i="18"/>
  <c r="T33" i="18" s="1"/>
  <c r="S33" i="18" s="1"/>
  <c r="I35" i="18"/>
  <c r="T35" i="18" s="1"/>
  <c r="S35" i="18" s="1"/>
  <c r="I45" i="18"/>
  <c r="T45" i="18" s="1"/>
  <c r="S45" i="18" s="1"/>
  <c r="I19" i="19"/>
  <c r="I25" i="19"/>
  <c r="T25" i="19" s="1"/>
  <c r="S25" i="19" s="1"/>
  <c r="H19" i="20"/>
  <c r="H27" i="20"/>
  <c r="H31" i="20"/>
  <c r="H33" i="20"/>
  <c r="H35" i="20"/>
  <c r="H37" i="20"/>
  <c r="H41" i="20"/>
  <c r="H43" i="20"/>
  <c r="H45" i="20"/>
  <c r="H49" i="20"/>
  <c r="K50" i="21"/>
  <c r="U24" i="22"/>
  <c r="U20" i="24"/>
  <c r="U24" i="24"/>
  <c r="K50" i="27"/>
  <c r="I20" i="27"/>
  <c r="T20" i="27" s="1"/>
  <c r="S20" i="27" s="1"/>
  <c r="I24" i="27"/>
  <c r="T24" i="27" s="1"/>
  <c r="S24" i="27" s="1"/>
  <c r="I48" i="27"/>
  <c r="T48" i="27" s="1"/>
  <c r="S48" i="27" s="1"/>
  <c r="T49" i="28"/>
  <c r="S49" i="28" s="1"/>
  <c r="U26" i="28"/>
  <c r="U30" i="28"/>
  <c r="U38" i="28"/>
  <c r="U42" i="28"/>
  <c r="U46" i="28"/>
  <c r="H39" i="30"/>
  <c r="H43" i="30"/>
  <c r="H19" i="32"/>
  <c r="H35" i="32"/>
  <c r="H48" i="33"/>
  <c r="H46" i="33"/>
  <c r="H44" i="33"/>
  <c r="H42" i="33"/>
  <c r="H40" i="33"/>
  <c r="H38" i="33"/>
  <c r="H36" i="33"/>
  <c r="H34" i="33"/>
  <c r="H32" i="33"/>
  <c r="H30" i="33"/>
  <c r="H28" i="33"/>
  <c r="H26" i="33"/>
  <c r="H24" i="33"/>
  <c r="H22" i="33"/>
  <c r="H20" i="33"/>
  <c r="H21" i="33"/>
  <c r="H23" i="33"/>
  <c r="H25" i="33"/>
  <c r="H29" i="33"/>
  <c r="H31" i="33"/>
  <c r="H33" i="33"/>
  <c r="H37" i="33"/>
  <c r="H39" i="33"/>
  <c r="H41" i="33"/>
  <c r="H43" i="33"/>
  <c r="H45" i="33"/>
  <c r="H49" i="33"/>
  <c r="H20" i="20"/>
  <c r="H22" i="20"/>
  <c r="H24" i="20"/>
  <c r="H26" i="20"/>
  <c r="H28" i="20"/>
  <c r="H30" i="20"/>
  <c r="H32" i="20"/>
  <c r="H34" i="20"/>
  <c r="H36" i="20"/>
  <c r="H38" i="20"/>
  <c r="H40" i="20"/>
  <c r="H42" i="20"/>
  <c r="H44" i="20"/>
  <c r="H46" i="20"/>
  <c r="M19" i="21"/>
  <c r="I20" i="21"/>
  <c r="T20" i="21" s="1"/>
  <c r="S20" i="21" s="1"/>
  <c r="V21" i="21"/>
  <c r="M21" i="21"/>
  <c r="I22" i="21"/>
  <c r="T22" i="21" s="1"/>
  <c r="S22" i="21" s="1"/>
  <c r="V23" i="21"/>
  <c r="M23" i="21"/>
  <c r="T23" i="21" s="1"/>
  <c r="S23" i="21" s="1"/>
  <c r="I24" i="21"/>
  <c r="T24" i="21" s="1"/>
  <c r="S24" i="21" s="1"/>
  <c r="V25" i="21"/>
  <c r="M25" i="21"/>
  <c r="T25" i="21" s="1"/>
  <c r="S25" i="21" s="1"/>
  <c r="I26" i="21"/>
  <c r="T26" i="21" s="1"/>
  <c r="S26" i="21" s="1"/>
  <c r="V27" i="21"/>
  <c r="M27" i="21"/>
  <c r="T27" i="21" s="1"/>
  <c r="S27" i="21" s="1"/>
  <c r="I28" i="21"/>
  <c r="T28" i="21" s="1"/>
  <c r="S28" i="21" s="1"/>
  <c r="V29" i="21"/>
  <c r="M29" i="21"/>
  <c r="T29" i="21" s="1"/>
  <c r="S29" i="21" s="1"/>
  <c r="I30" i="21"/>
  <c r="T30" i="21" s="1"/>
  <c r="S30" i="21" s="1"/>
  <c r="V31" i="21"/>
  <c r="M31" i="21"/>
  <c r="T31" i="21" s="1"/>
  <c r="S31" i="21" s="1"/>
  <c r="I32" i="21"/>
  <c r="T32" i="21" s="1"/>
  <c r="S32" i="21" s="1"/>
  <c r="M33" i="21"/>
  <c r="T33" i="21" s="1"/>
  <c r="S33" i="21" s="1"/>
  <c r="I34" i="21"/>
  <c r="T34" i="21" s="1"/>
  <c r="S34" i="21" s="1"/>
  <c r="M35" i="21"/>
  <c r="I36" i="21"/>
  <c r="T36" i="21" s="1"/>
  <c r="S36" i="21" s="1"/>
  <c r="V37" i="21"/>
  <c r="M37" i="21"/>
  <c r="I38" i="21"/>
  <c r="T38" i="21" s="1"/>
  <c r="S38" i="21" s="1"/>
  <c r="V39" i="21"/>
  <c r="M39" i="21"/>
  <c r="T39" i="21" s="1"/>
  <c r="S39" i="21" s="1"/>
  <c r="I40" i="21"/>
  <c r="T40" i="21" s="1"/>
  <c r="S40" i="21" s="1"/>
  <c r="M41" i="21"/>
  <c r="T41" i="21" s="1"/>
  <c r="S41" i="21" s="1"/>
  <c r="I42" i="21"/>
  <c r="T42" i="21" s="1"/>
  <c r="S42" i="21" s="1"/>
  <c r="V43" i="21"/>
  <c r="M43" i="21"/>
  <c r="I44" i="21"/>
  <c r="T44" i="21" s="1"/>
  <c r="S44" i="21" s="1"/>
  <c r="V45" i="21"/>
  <c r="M45" i="21"/>
  <c r="T45" i="21" s="1"/>
  <c r="S45" i="21" s="1"/>
  <c r="I46" i="21"/>
  <c r="T46" i="21" s="1"/>
  <c r="S46" i="21" s="1"/>
  <c r="M47" i="21"/>
  <c r="T47" i="21" s="1"/>
  <c r="S47" i="21" s="1"/>
  <c r="V49" i="21"/>
  <c r="M49" i="21"/>
  <c r="R49" i="22"/>
  <c r="R47" i="22"/>
  <c r="V47" i="22" s="1"/>
  <c r="R45" i="22"/>
  <c r="R43" i="22"/>
  <c r="V43" i="22" s="1"/>
  <c r="R41" i="22"/>
  <c r="R39" i="22"/>
  <c r="V39" i="22" s="1"/>
  <c r="R37" i="22"/>
  <c r="R35" i="22"/>
  <c r="V35" i="22" s="1"/>
  <c r="R33" i="22"/>
  <c r="R31" i="22"/>
  <c r="U31" i="22" s="1"/>
  <c r="R29" i="22"/>
  <c r="L50" i="22"/>
  <c r="V19" i="22"/>
  <c r="R20" i="22"/>
  <c r="V20" i="22" s="1"/>
  <c r="R21" i="22"/>
  <c r="R24" i="22"/>
  <c r="V24" i="22" s="1"/>
  <c r="R25" i="22"/>
  <c r="V25" i="22" s="1"/>
  <c r="U30" i="22"/>
  <c r="U34" i="22"/>
  <c r="U38" i="22"/>
  <c r="U42" i="22"/>
  <c r="U46" i="22"/>
  <c r="V21" i="23"/>
  <c r="V25" i="23"/>
  <c r="V29" i="23"/>
  <c r="V33" i="23"/>
  <c r="V37" i="23"/>
  <c r="V41" i="23"/>
  <c r="V45" i="23"/>
  <c r="V49" i="23"/>
  <c r="H48" i="24"/>
  <c r="H46" i="24"/>
  <c r="H44" i="24"/>
  <c r="H42" i="24"/>
  <c r="H40" i="24"/>
  <c r="H38" i="24"/>
  <c r="H36" i="24"/>
  <c r="H34" i="24"/>
  <c r="H32" i="24"/>
  <c r="H30" i="24"/>
  <c r="H28" i="24"/>
  <c r="H26" i="24"/>
  <c r="H24" i="24"/>
  <c r="H22" i="24"/>
  <c r="H20" i="24"/>
  <c r="H19" i="24"/>
  <c r="R20" i="24"/>
  <c r="V20" i="24" s="1"/>
  <c r="H23" i="24"/>
  <c r="R24" i="24"/>
  <c r="V24" i="24" s="1"/>
  <c r="H27" i="24"/>
  <c r="R28" i="24"/>
  <c r="V28" i="24" s="1"/>
  <c r="H31" i="24"/>
  <c r="R32" i="24"/>
  <c r="V32" i="24" s="1"/>
  <c r="H35" i="24"/>
  <c r="R36" i="24"/>
  <c r="V36" i="24" s="1"/>
  <c r="H39" i="24"/>
  <c r="R40" i="24"/>
  <c r="V40" i="24" s="1"/>
  <c r="H43" i="24"/>
  <c r="R44" i="24"/>
  <c r="V44" i="24" s="1"/>
  <c r="H47" i="24"/>
  <c r="R48" i="24"/>
  <c r="V48" i="24" s="1"/>
  <c r="R49" i="26"/>
  <c r="V49" i="26" s="1"/>
  <c r="R47" i="26"/>
  <c r="R45" i="26"/>
  <c r="V45" i="26" s="1"/>
  <c r="R43" i="26"/>
  <c r="R41" i="26"/>
  <c r="R39" i="26"/>
  <c r="R37" i="26"/>
  <c r="V37" i="26" s="1"/>
  <c r="R35" i="26"/>
  <c r="R33" i="26"/>
  <c r="V33" i="26" s="1"/>
  <c r="R31" i="26"/>
  <c r="R29" i="26"/>
  <c r="V29" i="26" s="1"/>
  <c r="R27" i="26"/>
  <c r="R25" i="26"/>
  <c r="V25" i="26" s="1"/>
  <c r="R23" i="26"/>
  <c r="R21" i="26"/>
  <c r="V21" i="26" s="1"/>
  <c r="R19" i="26"/>
  <c r="M19" i="26"/>
  <c r="U20" i="26"/>
  <c r="U24" i="26"/>
  <c r="U28" i="26"/>
  <c r="U32" i="26"/>
  <c r="U36" i="26"/>
  <c r="U40" i="26"/>
  <c r="U44" i="26"/>
  <c r="U48" i="26"/>
  <c r="V19" i="27"/>
  <c r="I21" i="27"/>
  <c r="I50" i="27" s="1"/>
  <c r="P2" i="27" s="1"/>
  <c r="V23" i="27"/>
  <c r="I25" i="27"/>
  <c r="V27" i="27"/>
  <c r="I29" i="27"/>
  <c r="V31" i="27"/>
  <c r="I33" i="27"/>
  <c r="V35" i="27"/>
  <c r="I37" i="27"/>
  <c r="V39" i="27"/>
  <c r="I41" i="27"/>
  <c r="V43" i="27"/>
  <c r="I45" i="27"/>
  <c r="V47" i="27"/>
  <c r="L50" i="28"/>
  <c r="K50" i="29"/>
  <c r="I20" i="29"/>
  <c r="T20" i="29" s="1"/>
  <c r="S20" i="29" s="1"/>
  <c r="I24" i="29"/>
  <c r="T24" i="29" s="1"/>
  <c r="S24" i="29" s="1"/>
  <c r="I28" i="29"/>
  <c r="T28" i="29" s="1"/>
  <c r="S28" i="29" s="1"/>
  <c r="I32" i="29"/>
  <c r="T32" i="29" s="1"/>
  <c r="S32" i="29" s="1"/>
  <c r="I36" i="29"/>
  <c r="T36" i="29" s="1"/>
  <c r="S36" i="29" s="1"/>
  <c r="I40" i="29"/>
  <c r="T40" i="29" s="1"/>
  <c r="S40" i="29" s="1"/>
  <c r="I44" i="29"/>
  <c r="T44" i="29" s="1"/>
  <c r="S44" i="29" s="1"/>
  <c r="U22" i="30"/>
  <c r="U26" i="30"/>
  <c r="U30" i="30"/>
  <c r="U34" i="30"/>
  <c r="U42" i="30"/>
  <c r="U46" i="30"/>
  <c r="R49" i="31"/>
  <c r="V49" i="31" s="1"/>
  <c r="R47" i="31"/>
  <c r="U47" i="31" s="1"/>
  <c r="R45" i="31"/>
  <c r="U45" i="31" s="1"/>
  <c r="R43" i="31"/>
  <c r="U43" i="31" s="1"/>
  <c r="R41" i="31"/>
  <c r="V41" i="31" s="1"/>
  <c r="R39" i="31"/>
  <c r="U39" i="31" s="1"/>
  <c r="R37" i="31"/>
  <c r="U37" i="31" s="1"/>
  <c r="R35" i="31"/>
  <c r="U35" i="31" s="1"/>
  <c r="R33" i="31"/>
  <c r="V33" i="31" s="1"/>
  <c r="R31" i="31"/>
  <c r="U31" i="31" s="1"/>
  <c r="R29" i="31"/>
  <c r="U29" i="31" s="1"/>
  <c r="R27" i="31"/>
  <c r="U27" i="31" s="1"/>
  <c r="R25" i="31"/>
  <c r="V25" i="31" s="1"/>
  <c r="R23" i="31"/>
  <c r="U23" i="31" s="1"/>
  <c r="R21" i="31"/>
  <c r="U21" i="31" s="1"/>
  <c r="R19" i="31"/>
  <c r="V19" i="31" s="1"/>
  <c r="R48" i="31"/>
  <c r="V48" i="31" s="1"/>
  <c r="R46" i="31"/>
  <c r="V46" i="31" s="1"/>
  <c r="R44" i="31"/>
  <c r="V44" i="31" s="1"/>
  <c r="R42" i="31"/>
  <c r="V42" i="31" s="1"/>
  <c r="R40" i="31"/>
  <c r="V40" i="31" s="1"/>
  <c r="R38" i="31"/>
  <c r="V38" i="31" s="1"/>
  <c r="R36" i="31"/>
  <c r="V36" i="31" s="1"/>
  <c r="R34" i="31"/>
  <c r="V34" i="31" s="1"/>
  <c r="R32" i="31"/>
  <c r="V32" i="31" s="1"/>
  <c r="R30" i="31"/>
  <c r="V30" i="31" s="1"/>
  <c r="R28" i="31"/>
  <c r="V28" i="31" s="1"/>
  <c r="R26" i="31"/>
  <c r="V26" i="31" s="1"/>
  <c r="R24" i="31"/>
  <c r="V24" i="31" s="1"/>
  <c r="R22" i="31"/>
  <c r="V22" i="31" s="1"/>
  <c r="R20" i="31"/>
  <c r="V20" i="31" s="1"/>
  <c r="H23" i="32"/>
  <c r="H39" i="32"/>
  <c r="I48" i="34"/>
  <c r="T48" i="34" s="1"/>
  <c r="S48" i="34" s="1"/>
  <c r="I44" i="34"/>
  <c r="T44" i="34" s="1"/>
  <c r="S44" i="34" s="1"/>
  <c r="I40" i="34"/>
  <c r="T40" i="34" s="1"/>
  <c r="S40" i="34" s="1"/>
  <c r="I36" i="34"/>
  <c r="T36" i="34" s="1"/>
  <c r="S36" i="34" s="1"/>
  <c r="I32" i="34"/>
  <c r="T32" i="34" s="1"/>
  <c r="S32" i="34" s="1"/>
  <c r="I28" i="34"/>
  <c r="T28" i="34" s="1"/>
  <c r="S28" i="34" s="1"/>
  <c r="I24" i="34"/>
  <c r="T24" i="34" s="1"/>
  <c r="S24" i="34" s="1"/>
  <c r="I20" i="34"/>
  <c r="T20" i="34" s="1"/>
  <c r="S20" i="34" s="1"/>
  <c r="I49" i="34"/>
  <c r="T49" i="34" s="1"/>
  <c r="S49" i="34" s="1"/>
  <c r="I45" i="34"/>
  <c r="T45" i="34" s="1"/>
  <c r="S45" i="34" s="1"/>
  <c r="I41" i="34"/>
  <c r="T41" i="34" s="1"/>
  <c r="S41" i="34" s="1"/>
  <c r="I37" i="34"/>
  <c r="T37" i="34" s="1"/>
  <c r="S37" i="34" s="1"/>
  <c r="I33" i="34"/>
  <c r="T33" i="34" s="1"/>
  <c r="S33" i="34" s="1"/>
  <c r="I29" i="34"/>
  <c r="T29" i="34" s="1"/>
  <c r="S29" i="34" s="1"/>
  <c r="I25" i="34"/>
  <c r="T25" i="34" s="1"/>
  <c r="S25" i="34" s="1"/>
  <c r="I21" i="34"/>
  <c r="T21" i="34" s="1"/>
  <c r="S21" i="34" s="1"/>
  <c r="K50" i="34"/>
  <c r="T19" i="34"/>
  <c r="I23" i="34"/>
  <c r="T23" i="34" s="1"/>
  <c r="S23" i="34" s="1"/>
  <c r="I26" i="34"/>
  <c r="T26" i="34" s="1"/>
  <c r="S26" i="34" s="1"/>
  <c r="I39" i="34"/>
  <c r="T39" i="34" s="1"/>
  <c r="S39" i="34" s="1"/>
  <c r="I42" i="34"/>
  <c r="T42" i="34" s="1"/>
  <c r="S42" i="34" s="1"/>
  <c r="R49" i="35"/>
  <c r="U49" i="35" s="1"/>
  <c r="R47" i="35"/>
  <c r="U47" i="35" s="1"/>
  <c r="R45" i="35"/>
  <c r="V45" i="35" s="1"/>
  <c r="R43" i="35"/>
  <c r="U43" i="35" s="1"/>
  <c r="R41" i="35"/>
  <c r="U41" i="35" s="1"/>
  <c r="R39" i="35"/>
  <c r="R37" i="35"/>
  <c r="U37" i="35" s="1"/>
  <c r="R35" i="35"/>
  <c r="V35" i="35" s="1"/>
  <c r="R33" i="35"/>
  <c r="U33" i="35" s="1"/>
  <c r="R31" i="35"/>
  <c r="V31" i="35" s="1"/>
  <c r="R29" i="35"/>
  <c r="U29" i="35" s="1"/>
  <c r="R27" i="35"/>
  <c r="U27" i="35" s="1"/>
  <c r="R25" i="35"/>
  <c r="U25" i="35" s="1"/>
  <c r="R23" i="35"/>
  <c r="U23" i="35" s="1"/>
  <c r="R21" i="35"/>
  <c r="R19" i="35"/>
  <c r="U19" i="35" s="1"/>
  <c r="R48" i="35"/>
  <c r="V48" i="35" s="1"/>
  <c r="R46" i="35"/>
  <c r="V46" i="35" s="1"/>
  <c r="R44" i="35"/>
  <c r="V44" i="35" s="1"/>
  <c r="R42" i="35"/>
  <c r="V42" i="35" s="1"/>
  <c r="R40" i="35"/>
  <c r="V40" i="35" s="1"/>
  <c r="R38" i="35"/>
  <c r="V38" i="35" s="1"/>
  <c r="R36" i="35"/>
  <c r="V36" i="35" s="1"/>
  <c r="R34" i="35"/>
  <c r="V34" i="35" s="1"/>
  <c r="R32" i="35"/>
  <c r="V32" i="35" s="1"/>
  <c r="R30" i="35"/>
  <c r="V30" i="35" s="1"/>
  <c r="R28" i="35"/>
  <c r="V28" i="35" s="1"/>
  <c r="R26" i="35"/>
  <c r="V26" i="35" s="1"/>
  <c r="R24" i="35"/>
  <c r="V24" i="35" s="1"/>
  <c r="R22" i="35"/>
  <c r="V22" i="35" s="1"/>
  <c r="R20" i="35"/>
  <c r="V20" i="35" s="1"/>
  <c r="M29" i="37"/>
  <c r="T29" i="37" s="1"/>
  <c r="S29" i="37" s="1"/>
  <c r="I31" i="37"/>
  <c r="T31" i="37" s="1"/>
  <c r="S31" i="37" s="1"/>
  <c r="M35" i="37"/>
  <c r="U39" i="37"/>
  <c r="M39" i="37"/>
  <c r="T39" i="37" s="1"/>
  <c r="S39" i="37" s="1"/>
  <c r="V39" i="37"/>
  <c r="T45" i="37"/>
  <c r="S45" i="37" s="1"/>
  <c r="H50" i="38"/>
  <c r="L23" i="38"/>
  <c r="M33" i="38"/>
  <c r="U34" i="38"/>
  <c r="U38" i="38"/>
  <c r="V38" i="38"/>
  <c r="U43" i="38"/>
  <c r="M21" i="39"/>
  <c r="V21" i="39"/>
  <c r="U21" i="39"/>
  <c r="V28" i="39"/>
  <c r="T29" i="39"/>
  <c r="S29" i="39" s="1"/>
  <c r="U35" i="39"/>
  <c r="V35" i="39"/>
  <c r="M38" i="39"/>
  <c r="U39" i="39"/>
  <c r="T44" i="39"/>
  <c r="S44" i="39" s="1"/>
  <c r="U46" i="39"/>
  <c r="I45" i="40"/>
  <c r="T45" i="40" s="1"/>
  <c r="S45" i="40" s="1"/>
  <c r="I44" i="40"/>
  <c r="T44" i="40" s="1"/>
  <c r="S44" i="40" s="1"/>
  <c r="I37" i="40"/>
  <c r="T37" i="40" s="1"/>
  <c r="S37" i="40" s="1"/>
  <c r="I36" i="40"/>
  <c r="T36" i="40" s="1"/>
  <c r="S36" i="40" s="1"/>
  <c r="I29" i="40"/>
  <c r="T29" i="40" s="1"/>
  <c r="S29" i="40" s="1"/>
  <c r="I28" i="40"/>
  <c r="T28" i="40" s="1"/>
  <c r="S28" i="40" s="1"/>
  <c r="I21" i="40"/>
  <c r="T21" i="40" s="1"/>
  <c r="S21" i="40" s="1"/>
  <c r="I20" i="40"/>
  <c r="I48" i="40"/>
  <c r="T48" i="40" s="1"/>
  <c r="S48" i="40" s="1"/>
  <c r="I40" i="40"/>
  <c r="T40" i="40" s="1"/>
  <c r="S40" i="40" s="1"/>
  <c r="I32" i="40"/>
  <c r="T32" i="40" s="1"/>
  <c r="S32" i="40" s="1"/>
  <c r="I24" i="40"/>
  <c r="T24" i="40" s="1"/>
  <c r="S24" i="40" s="1"/>
  <c r="I49" i="40"/>
  <c r="T49" i="40" s="1"/>
  <c r="S49" i="40" s="1"/>
  <c r="I41" i="40"/>
  <c r="I33" i="40"/>
  <c r="T33" i="40" s="1"/>
  <c r="S33" i="40" s="1"/>
  <c r="I25" i="40"/>
  <c r="T25" i="40" s="1"/>
  <c r="S25" i="40" s="1"/>
  <c r="I19" i="40"/>
  <c r="V26" i="40"/>
  <c r="I27" i="40"/>
  <c r="V29" i="40"/>
  <c r="U29" i="40"/>
  <c r="V34" i="40"/>
  <c r="I35" i="40"/>
  <c r="V42" i="40"/>
  <c r="I43" i="40"/>
  <c r="V45" i="40"/>
  <c r="U45" i="40"/>
  <c r="L23" i="41"/>
  <c r="I23" i="41"/>
  <c r="M26" i="41"/>
  <c r="L31" i="41"/>
  <c r="I31" i="41"/>
  <c r="M34" i="41"/>
  <c r="L39" i="41"/>
  <c r="I39" i="41"/>
  <c r="M42" i="41"/>
  <c r="L47" i="41"/>
  <c r="I47" i="41"/>
  <c r="R20" i="42"/>
  <c r="U20" i="42" s="1"/>
  <c r="R24" i="42"/>
  <c r="T26" i="42"/>
  <c r="S26" i="42" s="1"/>
  <c r="R28" i="42"/>
  <c r="U28" i="42" s="1"/>
  <c r="R32" i="42"/>
  <c r="V32" i="42" s="1"/>
  <c r="T34" i="42"/>
  <c r="S34" i="42" s="1"/>
  <c r="R36" i="42"/>
  <c r="R40" i="42"/>
  <c r="U40" i="42" s="1"/>
  <c r="T42" i="42"/>
  <c r="S42" i="42" s="1"/>
  <c r="R44" i="42"/>
  <c r="R48" i="42"/>
  <c r="V48" i="42" s="1"/>
  <c r="I21" i="43"/>
  <c r="T21" i="43" s="1"/>
  <c r="S21" i="43" s="1"/>
  <c r="U23" i="43"/>
  <c r="U33" i="43"/>
  <c r="I37" i="43"/>
  <c r="T37" i="43" s="1"/>
  <c r="S37" i="43" s="1"/>
  <c r="U39" i="43"/>
  <c r="T45" i="44"/>
  <c r="S45" i="44" s="1"/>
  <c r="M20" i="44"/>
  <c r="U27" i="44"/>
  <c r="T30" i="44"/>
  <c r="S30" i="44" s="1"/>
  <c r="U34" i="44"/>
  <c r="V34" i="44"/>
  <c r="U35" i="44"/>
  <c r="M35" i="44"/>
  <c r="R44" i="45"/>
  <c r="V44" i="45" s="1"/>
  <c r="R43" i="45"/>
  <c r="U43" i="45" s="1"/>
  <c r="R36" i="45"/>
  <c r="R35" i="45"/>
  <c r="V35" i="45" s="1"/>
  <c r="R28" i="45"/>
  <c r="U28" i="45" s="1"/>
  <c r="R27" i="45"/>
  <c r="U27" i="45" s="1"/>
  <c r="R20" i="45"/>
  <c r="R19" i="45"/>
  <c r="R49" i="45"/>
  <c r="V49" i="45" s="1"/>
  <c r="R42" i="45"/>
  <c r="U42" i="45" s="1"/>
  <c r="R41" i="45"/>
  <c r="R34" i="45"/>
  <c r="V34" i="45" s="1"/>
  <c r="R33" i="45"/>
  <c r="V33" i="45" s="1"/>
  <c r="R26" i="45"/>
  <c r="V26" i="45" s="1"/>
  <c r="R25" i="45"/>
  <c r="R47" i="45"/>
  <c r="V47" i="45" s="1"/>
  <c r="R45" i="45"/>
  <c r="U45" i="45" s="1"/>
  <c r="R40" i="45"/>
  <c r="V40" i="45" s="1"/>
  <c r="R38" i="45"/>
  <c r="R31" i="45"/>
  <c r="V31" i="45" s="1"/>
  <c r="R29" i="45"/>
  <c r="V29" i="45" s="1"/>
  <c r="R24" i="45"/>
  <c r="V24" i="45" s="1"/>
  <c r="R22" i="45"/>
  <c r="L23" i="45"/>
  <c r="H50" i="45"/>
  <c r="I23" i="45"/>
  <c r="T31" i="45"/>
  <c r="S31" i="45" s="1"/>
  <c r="L39" i="45"/>
  <c r="I39" i="45"/>
  <c r="T47" i="45"/>
  <c r="S47" i="45" s="1"/>
  <c r="L50" i="46"/>
  <c r="V24" i="46"/>
  <c r="M31" i="46"/>
  <c r="I37" i="46"/>
  <c r="V43" i="46"/>
  <c r="U45" i="46"/>
  <c r="V45" i="46"/>
  <c r="I27" i="47"/>
  <c r="M29" i="47"/>
  <c r="I32" i="47"/>
  <c r="T32" i="47" s="1"/>
  <c r="S32" i="47" s="1"/>
  <c r="I40" i="47"/>
  <c r="T40" i="47" s="1"/>
  <c r="S40" i="47" s="1"/>
  <c r="U44" i="47"/>
  <c r="V44" i="47"/>
  <c r="U46" i="47"/>
  <c r="I49" i="47"/>
  <c r="U25" i="48"/>
  <c r="V25" i="48"/>
  <c r="M25" i="48"/>
  <c r="M26" i="48"/>
  <c r="V24" i="49"/>
  <c r="U24" i="49"/>
  <c r="U40" i="49"/>
  <c r="V26" i="51"/>
  <c r="U26" i="51"/>
  <c r="V36" i="52"/>
  <c r="V44" i="52"/>
  <c r="V48" i="52"/>
  <c r="M48" i="52"/>
  <c r="U48" i="52"/>
  <c r="M28" i="53"/>
  <c r="M34" i="53"/>
  <c r="M49" i="53"/>
  <c r="I21" i="54"/>
  <c r="T21" i="54" s="1"/>
  <c r="S21" i="54" s="1"/>
  <c r="I25" i="54"/>
  <c r="U28" i="54"/>
  <c r="V31" i="54"/>
  <c r="U31" i="54"/>
  <c r="I37" i="54"/>
  <c r="T37" i="54" s="1"/>
  <c r="S37" i="54" s="1"/>
  <c r="I41" i="54"/>
  <c r="T41" i="54" s="1"/>
  <c r="S41" i="54" s="1"/>
  <c r="V47" i="54"/>
  <c r="U47" i="54"/>
  <c r="M25" i="55"/>
  <c r="U25" i="55"/>
  <c r="V48" i="55"/>
  <c r="U48" i="55"/>
  <c r="M38" i="56"/>
  <c r="V47" i="57"/>
  <c r="M47" i="57"/>
  <c r="U47" i="57"/>
  <c r="M26" i="58"/>
  <c r="V28" i="58"/>
  <c r="M28" i="58"/>
  <c r="M43" i="58"/>
  <c r="U43" i="58"/>
  <c r="M31" i="59"/>
  <c r="V35" i="59"/>
  <c r="M35" i="59"/>
  <c r="I38" i="59"/>
  <c r="T38" i="59" s="1"/>
  <c r="S38" i="59" s="1"/>
  <c r="L20" i="60"/>
  <c r="I20" i="60"/>
  <c r="T44" i="60"/>
  <c r="S44" i="60" s="1"/>
  <c r="M46" i="61"/>
  <c r="H50" i="61"/>
  <c r="L26" i="62"/>
  <c r="I26" i="62"/>
  <c r="L44" i="62"/>
  <c r="I44" i="62"/>
  <c r="K50" i="62"/>
  <c r="L23" i="63"/>
  <c r="H50" i="63"/>
  <c r="L20" i="64"/>
  <c r="I20" i="64"/>
  <c r="T20" i="64" s="1"/>
  <c r="S20" i="64" s="1"/>
  <c r="M19" i="68"/>
  <c r="V19" i="68"/>
  <c r="L50" i="68"/>
  <c r="U19" i="68"/>
  <c r="V23" i="68"/>
  <c r="M23" i="68"/>
  <c r="U23" i="68"/>
  <c r="U19" i="23"/>
  <c r="U21" i="23"/>
  <c r="U23" i="23"/>
  <c r="V24" i="23"/>
  <c r="U25" i="23"/>
  <c r="V26" i="23"/>
  <c r="U27" i="23"/>
  <c r="U29" i="23"/>
  <c r="U31" i="23"/>
  <c r="V32" i="23"/>
  <c r="U33" i="23"/>
  <c r="V34" i="23"/>
  <c r="U35" i="23"/>
  <c r="U37" i="23"/>
  <c r="U39" i="23"/>
  <c r="V40" i="23"/>
  <c r="U41" i="23"/>
  <c r="V42" i="23"/>
  <c r="U43" i="23"/>
  <c r="U45" i="23"/>
  <c r="U47" i="23"/>
  <c r="U48" i="23"/>
  <c r="V48" i="23"/>
  <c r="U49" i="23"/>
  <c r="I19" i="24"/>
  <c r="I20" i="24"/>
  <c r="T20" i="24" s="1"/>
  <c r="S20" i="24" s="1"/>
  <c r="I21" i="24"/>
  <c r="T21" i="24" s="1"/>
  <c r="S21" i="24" s="1"/>
  <c r="I22" i="24"/>
  <c r="I23" i="24"/>
  <c r="T23" i="24" s="1"/>
  <c r="S23" i="24" s="1"/>
  <c r="I24" i="24"/>
  <c r="I25" i="24"/>
  <c r="T25" i="24" s="1"/>
  <c r="S25" i="24" s="1"/>
  <c r="I26" i="24"/>
  <c r="I27" i="24"/>
  <c r="I28" i="24"/>
  <c r="T28" i="24" s="1"/>
  <c r="S28" i="24" s="1"/>
  <c r="I29" i="24"/>
  <c r="T29" i="24" s="1"/>
  <c r="S29" i="24" s="1"/>
  <c r="I30" i="24"/>
  <c r="I31" i="24"/>
  <c r="I32" i="24"/>
  <c r="I33" i="24"/>
  <c r="T33" i="24" s="1"/>
  <c r="S33" i="24" s="1"/>
  <c r="I34" i="24"/>
  <c r="I35" i="24"/>
  <c r="T35" i="24" s="1"/>
  <c r="S35" i="24" s="1"/>
  <c r="I36" i="24"/>
  <c r="T36" i="24" s="1"/>
  <c r="S36" i="24" s="1"/>
  <c r="I37" i="24"/>
  <c r="T37" i="24" s="1"/>
  <c r="S37" i="24" s="1"/>
  <c r="I38" i="24"/>
  <c r="I39" i="24"/>
  <c r="T39" i="24" s="1"/>
  <c r="S39" i="24" s="1"/>
  <c r="I40" i="24"/>
  <c r="I41" i="24"/>
  <c r="T41" i="24" s="1"/>
  <c r="S41" i="24" s="1"/>
  <c r="I42" i="24"/>
  <c r="I43" i="24"/>
  <c r="I44" i="24"/>
  <c r="T44" i="24" s="1"/>
  <c r="S44" i="24" s="1"/>
  <c r="I45" i="24"/>
  <c r="T45" i="24" s="1"/>
  <c r="S45" i="24" s="1"/>
  <c r="I46" i="24"/>
  <c r="I47" i="24"/>
  <c r="I48" i="24"/>
  <c r="U19" i="25"/>
  <c r="U21" i="25"/>
  <c r="U23" i="25"/>
  <c r="V24" i="25"/>
  <c r="U25" i="25"/>
  <c r="V26" i="25"/>
  <c r="U27" i="25"/>
  <c r="U29" i="25"/>
  <c r="U31" i="25"/>
  <c r="V32" i="25"/>
  <c r="U33" i="25"/>
  <c r="V34" i="25"/>
  <c r="U35" i="25"/>
  <c r="U37" i="25"/>
  <c r="U39" i="25"/>
  <c r="V40" i="25"/>
  <c r="U41" i="25"/>
  <c r="V42" i="25"/>
  <c r="U43" i="25"/>
  <c r="U45" i="25"/>
  <c r="U47" i="25"/>
  <c r="U48" i="25"/>
  <c r="V48" i="25"/>
  <c r="U49" i="25"/>
  <c r="I19" i="26"/>
  <c r="I20" i="26"/>
  <c r="T20" i="26" s="1"/>
  <c r="S20" i="26" s="1"/>
  <c r="I21" i="26"/>
  <c r="T21" i="26" s="1"/>
  <c r="S21" i="26" s="1"/>
  <c r="I22" i="26"/>
  <c r="I23" i="26"/>
  <c r="T23" i="26" s="1"/>
  <c r="S23" i="26" s="1"/>
  <c r="I24" i="26"/>
  <c r="I25" i="26"/>
  <c r="T25" i="26" s="1"/>
  <c r="S25" i="26" s="1"/>
  <c r="I26" i="26"/>
  <c r="I27" i="26"/>
  <c r="T27" i="26" s="1"/>
  <c r="S27" i="26" s="1"/>
  <c r="I28" i="26"/>
  <c r="T28" i="26" s="1"/>
  <c r="S28" i="26" s="1"/>
  <c r="I29" i="26"/>
  <c r="T29" i="26" s="1"/>
  <c r="S29" i="26" s="1"/>
  <c r="I30" i="26"/>
  <c r="I31" i="26"/>
  <c r="T31" i="26" s="1"/>
  <c r="S31" i="26" s="1"/>
  <c r="I32" i="26"/>
  <c r="I33" i="26"/>
  <c r="T33" i="26" s="1"/>
  <c r="S33" i="26" s="1"/>
  <c r="I34" i="26"/>
  <c r="I35" i="26"/>
  <c r="T35" i="26" s="1"/>
  <c r="S35" i="26" s="1"/>
  <c r="I36" i="26"/>
  <c r="T36" i="26" s="1"/>
  <c r="S36" i="26" s="1"/>
  <c r="I37" i="26"/>
  <c r="T37" i="26" s="1"/>
  <c r="S37" i="26" s="1"/>
  <c r="I38" i="26"/>
  <c r="I39" i="26"/>
  <c r="T39" i="26" s="1"/>
  <c r="S39" i="26" s="1"/>
  <c r="I40" i="26"/>
  <c r="I41" i="26"/>
  <c r="T41" i="26" s="1"/>
  <c r="S41" i="26" s="1"/>
  <c r="I42" i="26"/>
  <c r="I43" i="26"/>
  <c r="T43" i="26" s="1"/>
  <c r="S43" i="26" s="1"/>
  <c r="I44" i="26"/>
  <c r="T44" i="26" s="1"/>
  <c r="S44" i="26" s="1"/>
  <c r="I45" i="26"/>
  <c r="T45" i="26" s="1"/>
  <c r="S45" i="26" s="1"/>
  <c r="I46" i="26"/>
  <c r="I47" i="26"/>
  <c r="T47" i="26" s="1"/>
  <c r="S47" i="26" s="1"/>
  <c r="I48" i="26"/>
  <c r="U19" i="27"/>
  <c r="U21" i="27"/>
  <c r="U23" i="27"/>
  <c r="V24" i="27"/>
  <c r="U25" i="27"/>
  <c r="V26" i="27"/>
  <c r="U27" i="27"/>
  <c r="U29" i="27"/>
  <c r="U31" i="27"/>
  <c r="V32" i="27"/>
  <c r="U33" i="27"/>
  <c r="V34" i="27"/>
  <c r="U35" i="27"/>
  <c r="U37" i="27"/>
  <c r="U39" i="27"/>
  <c r="V40" i="27"/>
  <c r="U41" i="27"/>
  <c r="V42" i="27"/>
  <c r="U43" i="27"/>
  <c r="U45" i="27"/>
  <c r="U47" i="27"/>
  <c r="U48" i="27"/>
  <c r="V48" i="27"/>
  <c r="U49" i="27"/>
  <c r="I19" i="28"/>
  <c r="I20" i="28"/>
  <c r="T20" i="28" s="1"/>
  <c r="S20" i="28" s="1"/>
  <c r="I21" i="28"/>
  <c r="T21" i="28" s="1"/>
  <c r="S21" i="28" s="1"/>
  <c r="I22" i="28"/>
  <c r="T22" i="28" s="1"/>
  <c r="S22" i="28" s="1"/>
  <c r="I23" i="28"/>
  <c r="T23" i="28" s="1"/>
  <c r="S23" i="28" s="1"/>
  <c r="I24" i="28"/>
  <c r="I25" i="28"/>
  <c r="T25" i="28" s="1"/>
  <c r="S25" i="28" s="1"/>
  <c r="I26" i="28"/>
  <c r="I27" i="28"/>
  <c r="T27" i="28" s="1"/>
  <c r="S27" i="28" s="1"/>
  <c r="I28" i="28"/>
  <c r="T28" i="28" s="1"/>
  <c r="S28" i="28" s="1"/>
  <c r="I29" i="28"/>
  <c r="T29" i="28" s="1"/>
  <c r="S29" i="28" s="1"/>
  <c r="I30" i="28"/>
  <c r="T30" i="28" s="1"/>
  <c r="S30" i="28" s="1"/>
  <c r="I31" i="28"/>
  <c r="T31" i="28" s="1"/>
  <c r="S31" i="28" s="1"/>
  <c r="I32" i="28"/>
  <c r="I33" i="28"/>
  <c r="T33" i="28" s="1"/>
  <c r="S33" i="28" s="1"/>
  <c r="I34" i="28"/>
  <c r="I35" i="28"/>
  <c r="T35" i="28" s="1"/>
  <c r="S35" i="28" s="1"/>
  <c r="I36" i="28"/>
  <c r="T36" i="28" s="1"/>
  <c r="S36" i="28" s="1"/>
  <c r="I37" i="28"/>
  <c r="T37" i="28" s="1"/>
  <c r="S37" i="28" s="1"/>
  <c r="I38" i="28"/>
  <c r="T38" i="28" s="1"/>
  <c r="S38" i="28" s="1"/>
  <c r="I39" i="28"/>
  <c r="T39" i="28" s="1"/>
  <c r="S39" i="28" s="1"/>
  <c r="I40" i="28"/>
  <c r="I41" i="28"/>
  <c r="T41" i="28" s="1"/>
  <c r="S41" i="28" s="1"/>
  <c r="I42" i="28"/>
  <c r="I43" i="28"/>
  <c r="T43" i="28" s="1"/>
  <c r="S43" i="28" s="1"/>
  <c r="I44" i="28"/>
  <c r="T44" i="28" s="1"/>
  <c r="S44" i="28" s="1"/>
  <c r="I45" i="28"/>
  <c r="T45" i="28" s="1"/>
  <c r="S45" i="28" s="1"/>
  <c r="I46" i="28"/>
  <c r="T46" i="28" s="1"/>
  <c r="S46" i="28" s="1"/>
  <c r="I47" i="28"/>
  <c r="T47" i="28" s="1"/>
  <c r="S47" i="28" s="1"/>
  <c r="I48" i="28"/>
  <c r="U19" i="29"/>
  <c r="U21" i="29"/>
  <c r="U23" i="29"/>
  <c r="V24" i="29"/>
  <c r="U25" i="29"/>
  <c r="V26" i="29"/>
  <c r="U27" i="29"/>
  <c r="U29" i="29"/>
  <c r="U31" i="29"/>
  <c r="V32" i="29"/>
  <c r="U33" i="29"/>
  <c r="V34" i="29"/>
  <c r="U35" i="29"/>
  <c r="U37" i="29"/>
  <c r="U39" i="29"/>
  <c r="V40" i="29"/>
  <c r="U41" i="29"/>
  <c r="V42" i="29"/>
  <c r="U43" i="29"/>
  <c r="U45" i="29"/>
  <c r="U47" i="29"/>
  <c r="U48" i="29"/>
  <c r="V48" i="29"/>
  <c r="U49" i="29"/>
  <c r="I19" i="30"/>
  <c r="I20" i="30"/>
  <c r="T20" i="30" s="1"/>
  <c r="S20" i="30" s="1"/>
  <c r="I21" i="30"/>
  <c r="T21" i="30" s="1"/>
  <c r="S21" i="30" s="1"/>
  <c r="I22" i="30"/>
  <c r="T22" i="30" s="1"/>
  <c r="S22" i="30" s="1"/>
  <c r="I23" i="30"/>
  <c r="T23" i="30" s="1"/>
  <c r="S23" i="30" s="1"/>
  <c r="I24" i="30"/>
  <c r="I25" i="30"/>
  <c r="T25" i="30" s="1"/>
  <c r="S25" i="30" s="1"/>
  <c r="I26" i="30"/>
  <c r="I27" i="30"/>
  <c r="T27" i="30" s="1"/>
  <c r="S27" i="30" s="1"/>
  <c r="I28" i="30"/>
  <c r="T28" i="30" s="1"/>
  <c r="S28" i="30" s="1"/>
  <c r="I29" i="30"/>
  <c r="T29" i="30" s="1"/>
  <c r="S29" i="30" s="1"/>
  <c r="I30" i="30"/>
  <c r="T30" i="30" s="1"/>
  <c r="S30" i="30" s="1"/>
  <c r="I31" i="30"/>
  <c r="T31" i="30" s="1"/>
  <c r="S31" i="30" s="1"/>
  <c r="I32" i="30"/>
  <c r="I33" i="30"/>
  <c r="T33" i="30" s="1"/>
  <c r="S33" i="30" s="1"/>
  <c r="I34" i="30"/>
  <c r="I35" i="30"/>
  <c r="T35" i="30" s="1"/>
  <c r="S35" i="30" s="1"/>
  <c r="I36" i="30"/>
  <c r="T36" i="30" s="1"/>
  <c r="S36" i="30" s="1"/>
  <c r="I37" i="30"/>
  <c r="T37" i="30" s="1"/>
  <c r="S37" i="30" s="1"/>
  <c r="I38" i="30"/>
  <c r="T38" i="30" s="1"/>
  <c r="S38" i="30" s="1"/>
  <c r="I39" i="30"/>
  <c r="T39" i="30" s="1"/>
  <c r="S39" i="30" s="1"/>
  <c r="I40" i="30"/>
  <c r="I41" i="30"/>
  <c r="T41" i="30" s="1"/>
  <c r="S41" i="30" s="1"/>
  <c r="I42" i="30"/>
  <c r="I43" i="30"/>
  <c r="T43" i="30" s="1"/>
  <c r="S43" i="30" s="1"/>
  <c r="I44" i="30"/>
  <c r="T44" i="30" s="1"/>
  <c r="S44" i="30" s="1"/>
  <c r="I45" i="30"/>
  <c r="T45" i="30" s="1"/>
  <c r="S45" i="30" s="1"/>
  <c r="I46" i="30"/>
  <c r="T46" i="30" s="1"/>
  <c r="S46" i="30" s="1"/>
  <c r="I47" i="30"/>
  <c r="T47" i="30" s="1"/>
  <c r="S47" i="30" s="1"/>
  <c r="I48" i="30"/>
  <c r="H48" i="31"/>
  <c r="H46" i="31"/>
  <c r="H44" i="31"/>
  <c r="H42" i="31"/>
  <c r="H40" i="31"/>
  <c r="H38" i="31"/>
  <c r="H36" i="31"/>
  <c r="H34" i="31"/>
  <c r="H32" i="31"/>
  <c r="H30" i="31"/>
  <c r="H28" i="31"/>
  <c r="H26" i="31"/>
  <c r="H24" i="31"/>
  <c r="H22" i="31"/>
  <c r="H20" i="31"/>
  <c r="H19" i="31"/>
  <c r="U20" i="31"/>
  <c r="H21" i="31"/>
  <c r="U22" i="31"/>
  <c r="H23" i="31"/>
  <c r="U24" i="31"/>
  <c r="H25" i="31"/>
  <c r="H27" i="31"/>
  <c r="U28" i="31"/>
  <c r="H29" i="31"/>
  <c r="U30" i="31"/>
  <c r="H31" i="31"/>
  <c r="U32" i="31"/>
  <c r="H33" i="31"/>
  <c r="H35" i="31"/>
  <c r="U36" i="31"/>
  <c r="H37" i="31"/>
  <c r="U38" i="31"/>
  <c r="H39" i="31"/>
  <c r="U40" i="31"/>
  <c r="H41" i="31"/>
  <c r="H43" i="31"/>
  <c r="U44" i="31"/>
  <c r="H45" i="31"/>
  <c r="U46" i="31"/>
  <c r="H47" i="31"/>
  <c r="U48" i="31"/>
  <c r="H49" i="31"/>
  <c r="I19" i="32"/>
  <c r="R50" i="32"/>
  <c r="U21" i="32"/>
  <c r="I23" i="32"/>
  <c r="T23" i="32" s="1"/>
  <c r="S23" i="32" s="1"/>
  <c r="U25" i="32"/>
  <c r="I27" i="32"/>
  <c r="T27" i="32" s="1"/>
  <c r="S27" i="32" s="1"/>
  <c r="U29" i="32"/>
  <c r="I31" i="32"/>
  <c r="T31" i="32" s="1"/>
  <c r="S31" i="32" s="1"/>
  <c r="U33" i="32"/>
  <c r="I35" i="32"/>
  <c r="T35" i="32" s="1"/>
  <c r="S35" i="32" s="1"/>
  <c r="U37" i="32"/>
  <c r="I39" i="32"/>
  <c r="T39" i="32" s="1"/>
  <c r="S39" i="32" s="1"/>
  <c r="U41" i="32"/>
  <c r="I43" i="32"/>
  <c r="T43" i="32" s="1"/>
  <c r="S43" i="32" s="1"/>
  <c r="U45" i="32"/>
  <c r="I47" i="32"/>
  <c r="T47" i="32" s="1"/>
  <c r="S47" i="32" s="1"/>
  <c r="U49" i="32"/>
  <c r="L50" i="33"/>
  <c r="V19" i="33"/>
  <c r="V21" i="33"/>
  <c r="V27" i="33"/>
  <c r="V29" i="33"/>
  <c r="V35" i="33"/>
  <c r="V37" i="33"/>
  <c r="V43" i="33"/>
  <c r="V45" i="33"/>
  <c r="U19" i="34"/>
  <c r="U23" i="34"/>
  <c r="U27" i="34"/>
  <c r="U31" i="34"/>
  <c r="U35" i="34"/>
  <c r="U39" i="34"/>
  <c r="U43" i="34"/>
  <c r="U47" i="34"/>
  <c r="H48" i="35"/>
  <c r="H46" i="35"/>
  <c r="H44" i="35"/>
  <c r="H42" i="35"/>
  <c r="H40" i="35"/>
  <c r="H38" i="35"/>
  <c r="H36" i="35"/>
  <c r="H34" i="35"/>
  <c r="H32" i="35"/>
  <c r="H30" i="35"/>
  <c r="H28" i="35"/>
  <c r="H26" i="35"/>
  <c r="H24" i="35"/>
  <c r="H22" i="35"/>
  <c r="H20" i="35"/>
  <c r="H19" i="35"/>
  <c r="U20" i="35"/>
  <c r="H21" i="35"/>
  <c r="U22" i="35"/>
  <c r="H23" i="35"/>
  <c r="U24" i="35"/>
  <c r="H25" i="35"/>
  <c r="H27" i="35"/>
  <c r="U28" i="35"/>
  <c r="H29" i="35"/>
  <c r="U30" i="35"/>
  <c r="H31" i="35"/>
  <c r="U32" i="35"/>
  <c r="H33" i="35"/>
  <c r="H35" i="35"/>
  <c r="U36" i="35"/>
  <c r="H37" i="35"/>
  <c r="U38" i="35"/>
  <c r="H39" i="35"/>
  <c r="U40" i="35"/>
  <c r="H41" i="35"/>
  <c r="H43" i="35"/>
  <c r="U44" i="35"/>
  <c r="H45" i="35"/>
  <c r="U46" i="35"/>
  <c r="H47" i="35"/>
  <c r="U48" i="35"/>
  <c r="H49" i="35"/>
  <c r="I19" i="36"/>
  <c r="R50" i="36"/>
  <c r="U21" i="36"/>
  <c r="I23" i="36"/>
  <c r="T23" i="36" s="1"/>
  <c r="S23" i="36" s="1"/>
  <c r="U25" i="36"/>
  <c r="I27" i="36"/>
  <c r="T27" i="36" s="1"/>
  <c r="S27" i="36" s="1"/>
  <c r="U29" i="36"/>
  <c r="I31" i="36"/>
  <c r="T31" i="36" s="1"/>
  <c r="S31" i="36" s="1"/>
  <c r="U33" i="36"/>
  <c r="I35" i="36"/>
  <c r="T35" i="36" s="1"/>
  <c r="S35" i="36" s="1"/>
  <c r="U37" i="36"/>
  <c r="I39" i="36"/>
  <c r="T39" i="36" s="1"/>
  <c r="S39" i="36" s="1"/>
  <c r="U41" i="36"/>
  <c r="I43" i="36"/>
  <c r="T43" i="36" s="1"/>
  <c r="S43" i="36" s="1"/>
  <c r="U45" i="36"/>
  <c r="U49" i="36"/>
  <c r="R21" i="37"/>
  <c r="U21" i="37" s="1"/>
  <c r="U24" i="37"/>
  <c r="R29" i="37"/>
  <c r="U29" i="37" s="1"/>
  <c r="U32" i="37"/>
  <c r="U36" i="37"/>
  <c r="R37" i="37"/>
  <c r="U37" i="37" s="1"/>
  <c r="U44" i="37"/>
  <c r="U48" i="37"/>
  <c r="K50" i="38"/>
  <c r="R21" i="38"/>
  <c r="V21" i="38" s="1"/>
  <c r="U24" i="38"/>
  <c r="U29" i="38"/>
  <c r="R29" i="38"/>
  <c r="V29" i="38" s="1"/>
  <c r="U37" i="38"/>
  <c r="R37" i="38"/>
  <c r="V37" i="38" s="1"/>
  <c r="U45" i="38"/>
  <c r="U48" i="38"/>
  <c r="I47" i="39"/>
  <c r="T47" i="39" s="1"/>
  <c r="S47" i="39" s="1"/>
  <c r="I46" i="39"/>
  <c r="T46" i="39" s="1"/>
  <c r="S46" i="39" s="1"/>
  <c r="I39" i="39"/>
  <c r="T39" i="39" s="1"/>
  <c r="S39" i="39" s="1"/>
  <c r="I38" i="39"/>
  <c r="T38" i="39" s="1"/>
  <c r="S38" i="39" s="1"/>
  <c r="I31" i="39"/>
  <c r="T31" i="39" s="1"/>
  <c r="S31" i="39" s="1"/>
  <c r="I30" i="39"/>
  <c r="T30" i="39" s="1"/>
  <c r="S30" i="39" s="1"/>
  <c r="I23" i="39"/>
  <c r="T23" i="39" s="1"/>
  <c r="S23" i="39" s="1"/>
  <c r="I22" i="39"/>
  <c r="T22" i="39" s="1"/>
  <c r="S22" i="39" s="1"/>
  <c r="I19" i="39"/>
  <c r="M24" i="39"/>
  <c r="V25" i="39"/>
  <c r="M25" i="39"/>
  <c r="T25" i="39" s="1"/>
  <c r="S25" i="39" s="1"/>
  <c r="I27" i="39"/>
  <c r="T27" i="39" s="1"/>
  <c r="S27" i="39" s="1"/>
  <c r="M32" i="39"/>
  <c r="V33" i="39"/>
  <c r="M33" i="39"/>
  <c r="T33" i="39" s="1"/>
  <c r="S33" i="39" s="1"/>
  <c r="I35" i="39"/>
  <c r="T35" i="39" s="1"/>
  <c r="S35" i="39" s="1"/>
  <c r="M40" i="39"/>
  <c r="T40" i="39" s="1"/>
  <c r="S40" i="39" s="1"/>
  <c r="V41" i="39"/>
  <c r="M41" i="39"/>
  <c r="T41" i="39" s="1"/>
  <c r="S41" i="39" s="1"/>
  <c r="I43" i="39"/>
  <c r="T43" i="39" s="1"/>
  <c r="S43" i="39" s="1"/>
  <c r="M48" i="39"/>
  <c r="V49" i="39"/>
  <c r="M49" i="39"/>
  <c r="T49" i="39" s="1"/>
  <c r="S49" i="39" s="1"/>
  <c r="R46" i="40"/>
  <c r="V46" i="40" s="1"/>
  <c r="R45" i="40"/>
  <c r="R38" i="40"/>
  <c r="U38" i="40" s="1"/>
  <c r="R37" i="40"/>
  <c r="V37" i="40" s="1"/>
  <c r="R30" i="40"/>
  <c r="V30" i="40" s="1"/>
  <c r="R29" i="40"/>
  <c r="R22" i="40"/>
  <c r="U22" i="40" s="1"/>
  <c r="R21" i="40"/>
  <c r="V21" i="40" s="1"/>
  <c r="R20" i="40"/>
  <c r="R50" i="40" s="1"/>
  <c r="M22" i="40"/>
  <c r="T22" i="40" s="1"/>
  <c r="S22" i="40" s="1"/>
  <c r="V23" i="40"/>
  <c r="M23" i="40"/>
  <c r="T23" i="40" s="1"/>
  <c r="S23" i="40" s="1"/>
  <c r="R24" i="40"/>
  <c r="V24" i="40" s="1"/>
  <c r="R28" i="40"/>
  <c r="V28" i="40" s="1"/>
  <c r="M30" i="40"/>
  <c r="T30" i="40" s="1"/>
  <c r="S30" i="40" s="1"/>
  <c r="V31" i="40"/>
  <c r="M31" i="40"/>
  <c r="R32" i="40"/>
  <c r="R36" i="40"/>
  <c r="U36" i="40" s="1"/>
  <c r="M38" i="40"/>
  <c r="T38" i="40" s="1"/>
  <c r="S38" i="40" s="1"/>
  <c r="V39" i="40"/>
  <c r="M39" i="40"/>
  <c r="T39" i="40" s="1"/>
  <c r="S39" i="40" s="1"/>
  <c r="R40" i="40"/>
  <c r="R44" i="40"/>
  <c r="V44" i="40" s="1"/>
  <c r="M46" i="40"/>
  <c r="T46" i="40" s="1"/>
  <c r="S46" i="40" s="1"/>
  <c r="V47" i="40"/>
  <c r="M47" i="40"/>
  <c r="T47" i="40" s="1"/>
  <c r="S47" i="40" s="1"/>
  <c r="R48" i="40"/>
  <c r="V48" i="40" s="1"/>
  <c r="I43" i="41"/>
  <c r="T43" i="41" s="1"/>
  <c r="S43" i="41" s="1"/>
  <c r="K50" i="41"/>
  <c r="M20" i="41"/>
  <c r="V21" i="41"/>
  <c r="M21" i="41"/>
  <c r="T21" i="41" s="1"/>
  <c r="S21" i="41" s="1"/>
  <c r="M28" i="41"/>
  <c r="T28" i="41" s="1"/>
  <c r="S28" i="41" s="1"/>
  <c r="V29" i="41"/>
  <c r="M29" i="41"/>
  <c r="T29" i="41" s="1"/>
  <c r="S29" i="41" s="1"/>
  <c r="M36" i="41"/>
  <c r="V37" i="41"/>
  <c r="M37" i="41"/>
  <c r="T37" i="41" s="1"/>
  <c r="S37" i="41" s="1"/>
  <c r="M44" i="41"/>
  <c r="T44" i="41" s="1"/>
  <c r="S44" i="41" s="1"/>
  <c r="M45" i="41"/>
  <c r="T45" i="41" s="1"/>
  <c r="S45" i="41" s="1"/>
  <c r="I49" i="42"/>
  <c r="T49" i="42" s="1"/>
  <c r="S49" i="42" s="1"/>
  <c r="I48" i="42"/>
  <c r="T48" i="42" s="1"/>
  <c r="S48" i="42" s="1"/>
  <c r="I41" i="42"/>
  <c r="T41" i="42" s="1"/>
  <c r="S41" i="42" s="1"/>
  <c r="I40" i="42"/>
  <c r="I33" i="42"/>
  <c r="T33" i="42" s="1"/>
  <c r="S33" i="42" s="1"/>
  <c r="I32" i="42"/>
  <c r="I25" i="42"/>
  <c r="T25" i="42" s="1"/>
  <c r="S25" i="42" s="1"/>
  <c r="I24" i="42"/>
  <c r="I19" i="42"/>
  <c r="I23" i="42"/>
  <c r="T23" i="42" s="1"/>
  <c r="S23" i="42" s="1"/>
  <c r="M24" i="42"/>
  <c r="I27" i="42"/>
  <c r="I31" i="42"/>
  <c r="T31" i="42" s="1"/>
  <c r="S31" i="42" s="1"/>
  <c r="M32" i="42"/>
  <c r="I35" i="42"/>
  <c r="T35" i="42" s="1"/>
  <c r="S35" i="42" s="1"/>
  <c r="I39" i="42"/>
  <c r="T39" i="42" s="1"/>
  <c r="S39" i="42" s="1"/>
  <c r="M40" i="42"/>
  <c r="I43" i="42"/>
  <c r="T43" i="42" s="1"/>
  <c r="S43" i="42" s="1"/>
  <c r="I47" i="42"/>
  <c r="T47" i="42" s="1"/>
  <c r="S47" i="42" s="1"/>
  <c r="M48" i="42"/>
  <c r="L19" i="43"/>
  <c r="H50" i="43"/>
  <c r="I20" i="43"/>
  <c r="U22" i="43"/>
  <c r="I24" i="43"/>
  <c r="T24" i="43" s="1"/>
  <c r="S24" i="43" s="1"/>
  <c r="I28" i="43"/>
  <c r="U30" i="43"/>
  <c r="I32" i="43"/>
  <c r="T32" i="43" s="1"/>
  <c r="S32" i="43" s="1"/>
  <c r="I36" i="43"/>
  <c r="U38" i="43"/>
  <c r="I40" i="43"/>
  <c r="U46" i="43"/>
  <c r="V21" i="44"/>
  <c r="M21" i="44"/>
  <c r="U28" i="44"/>
  <c r="M36" i="44"/>
  <c r="U49" i="44"/>
  <c r="M27" i="45"/>
  <c r="M34" i="45"/>
  <c r="U40" i="45"/>
  <c r="M43" i="45"/>
  <c r="T43" i="45" s="1"/>
  <c r="S43" i="45" s="1"/>
  <c r="V45" i="45"/>
  <c r="U22" i="46"/>
  <c r="V25" i="46"/>
  <c r="M25" i="46"/>
  <c r="I26" i="46"/>
  <c r="T26" i="46" s="1"/>
  <c r="S26" i="46" s="1"/>
  <c r="V27" i="46"/>
  <c r="I28" i="46"/>
  <c r="T28" i="46" s="1"/>
  <c r="S28" i="46" s="1"/>
  <c r="M29" i="46"/>
  <c r="T29" i="46" s="1"/>
  <c r="S29" i="46" s="1"/>
  <c r="U32" i="46"/>
  <c r="M40" i="46"/>
  <c r="I43" i="46"/>
  <c r="H50" i="46"/>
  <c r="M23" i="47"/>
  <c r="V25" i="47"/>
  <c r="M27" i="47"/>
  <c r="M30" i="47"/>
  <c r="V30" i="47"/>
  <c r="U36" i="47"/>
  <c r="U38" i="47"/>
  <c r="I37" i="48"/>
  <c r="T37" i="48" s="1"/>
  <c r="S37" i="48" s="1"/>
  <c r="I35" i="48"/>
  <c r="T35" i="48" s="1"/>
  <c r="S35" i="48" s="1"/>
  <c r="I33" i="48"/>
  <c r="T33" i="48" s="1"/>
  <c r="S33" i="48" s="1"/>
  <c r="I29" i="48"/>
  <c r="T29" i="48" s="1"/>
  <c r="S29" i="48" s="1"/>
  <c r="I27" i="48"/>
  <c r="I25" i="48"/>
  <c r="T25" i="48" s="1"/>
  <c r="S25" i="48" s="1"/>
  <c r="I20" i="48"/>
  <c r="I19" i="48"/>
  <c r="V22" i="48"/>
  <c r="M24" i="48"/>
  <c r="M34" i="48"/>
  <c r="I45" i="48"/>
  <c r="T45" i="48" s="1"/>
  <c r="S45" i="48" s="1"/>
  <c r="U49" i="48"/>
  <c r="M49" i="48"/>
  <c r="T49" i="48" s="1"/>
  <c r="S49" i="48" s="1"/>
  <c r="V49" i="48"/>
  <c r="I47" i="49"/>
  <c r="T47" i="49" s="1"/>
  <c r="S47" i="49" s="1"/>
  <c r="I45" i="49"/>
  <c r="T45" i="49" s="1"/>
  <c r="S45" i="49" s="1"/>
  <c r="I43" i="49"/>
  <c r="T43" i="49" s="1"/>
  <c r="S43" i="49" s="1"/>
  <c r="I31" i="49"/>
  <c r="T31" i="49" s="1"/>
  <c r="S31" i="49" s="1"/>
  <c r="I29" i="49"/>
  <c r="I27" i="49"/>
  <c r="T27" i="49" s="1"/>
  <c r="S27" i="49" s="1"/>
  <c r="I19" i="49"/>
  <c r="I23" i="49"/>
  <c r="V29" i="49"/>
  <c r="U29" i="49"/>
  <c r="I35" i="49"/>
  <c r="T35" i="49" s="1"/>
  <c r="S35" i="49" s="1"/>
  <c r="I39" i="49"/>
  <c r="V45" i="49"/>
  <c r="U45" i="49"/>
  <c r="I48" i="50"/>
  <c r="I46" i="50"/>
  <c r="T46" i="50" s="1"/>
  <c r="S46" i="50" s="1"/>
  <c r="I44" i="50"/>
  <c r="T44" i="50" s="1"/>
  <c r="S44" i="50" s="1"/>
  <c r="I42" i="50"/>
  <c r="T42" i="50" s="1"/>
  <c r="S42" i="50" s="1"/>
  <c r="I40" i="50"/>
  <c r="T40" i="50" s="1"/>
  <c r="S40" i="50" s="1"/>
  <c r="I38" i="50"/>
  <c r="T38" i="50" s="1"/>
  <c r="S38" i="50" s="1"/>
  <c r="I36" i="50"/>
  <c r="T36" i="50" s="1"/>
  <c r="S36" i="50" s="1"/>
  <c r="I34" i="50"/>
  <c r="T34" i="50" s="1"/>
  <c r="S34" i="50" s="1"/>
  <c r="I32" i="50"/>
  <c r="T32" i="50" s="1"/>
  <c r="S32" i="50" s="1"/>
  <c r="I30" i="50"/>
  <c r="T30" i="50" s="1"/>
  <c r="S30" i="50" s="1"/>
  <c r="I28" i="50"/>
  <c r="I26" i="50"/>
  <c r="T26" i="50" s="1"/>
  <c r="S26" i="50" s="1"/>
  <c r="I24" i="50"/>
  <c r="T24" i="50" s="1"/>
  <c r="S24" i="50" s="1"/>
  <c r="I22" i="50"/>
  <c r="I20" i="50"/>
  <c r="T20" i="50" s="1"/>
  <c r="S20" i="50" s="1"/>
  <c r="I43" i="50"/>
  <c r="I35" i="50"/>
  <c r="T35" i="50" s="1"/>
  <c r="S35" i="50" s="1"/>
  <c r="I27" i="50"/>
  <c r="T27" i="50" s="1"/>
  <c r="S27" i="50" s="1"/>
  <c r="I19" i="50"/>
  <c r="I41" i="50"/>
  <c r="T41" i="50" s="1"/>
  <c r="S41" i="50" s="1"/>
  <c r="I39" i="50"/>
  <c r="T39" i="50" s="1"/>
  <c r="S39" i="50" s="1"/>
  <c r="I37" i="50"/>
  <c r="T37" i="50" s="1"/>
  <c r="S37" i="50" s="1"/>
  <c r="I25" i="50"/>
  <c r="T25" i="50" s="1"/>
  <c r="S25" i="50" s="1"/>
  <c r="I23" i="50"/>
  <c r="T23" i="50" s="1"/>
  <c r="S23" i="50" s="1"/>
  <c r="I21" i="50"/>
  <c r="T21" i="50" s="1"/>
  <c r="S21" i="50" s="1"/>
  <c r="M22" i="50"/>
  <c r="I33" i="50"/>
  <c r="M43" i="50"/>
  <c r="U45" i="50"/>
  <c r="M45" i="50"/>
  <c r="V45" i="50"/>
  <c r="V48" i="50"/>
  <c r="U48" i="50"/>
  <c r="M24" i="51"/>
  <c r="I35" i="51"/>
  <c r="T35" i="51" s="1"/>
  <c r="S35" i="51" s="1"/>
  <c r="M45" i="51"/>
  <c r="U47" i="51"/>
  <c r="M47" i="51"/>
  <c r="V47" i="51"/>
  <c r="L19" i="52"/>
  <c r="H50" i="52"/>
  <c r="V35" i="52"/>
  <c r="U35" i="52"/>
  <c r="M33" i="53"/>
  <c r="U35" i="53"/>
  <c r="M35" i="53"/>
  <c r="V35" i="53"/>
  <c r="V41" i="53"/>
  <c r="M42" i="53"/>
  <c r="U47" i="53"/>
  <c r="V48" i="53"/>
  <c r="U48" i="53"/>
  <c r="V25" i="54"/>
  <c r="M25" i="54"/>
  <c r="V27" i="54"/>
  <c r="U29" i="54"/>
  <c r="V29" i="54"/>
  <c r="M32" i="54"/>
  <c r="V41" i="54"/>
  <c r="M41" i="54"/>
  <c r="V43" i="54"/>
  <c r="U45" i="54"/>
  <c r="V45" i="54"/>
  <c r="M48" i="54"/>
  <c r="K50" i="55"/>
  <c r="U21" i="55"/>
  <c r="M28" i="55"/>
  <c r="M29" i="55"/>
  <c r="M50" i="55" s="1"/>
  <c r="P3" i="55" s="1"/>
  <c r="M32" i="55"/>
  <c r="U37" i="55"/>
  <c r="M44" i="55"/>
  <c r="M45" i="55"/>
  <c r="M48" i="55"/>
  <c r="H50" i="55"/>
  <c r="M20" i="56"/>
  <c r="U23" i="56"/>
  <c r="M34" i="56"/>
  <c r="I43" i="57"/>
  <c r="V23" i="57"/>
  <c r="M23" i="57"/>
  <c r="U23" i="57"/>
  <c r="M26" i="57"/>
  <c r="L29" i="57"/>
  <c r="I29" i="57"/>
  <c r="V39" i="57"/>
  <c r="M39" i="57"/>
  <c r="T39" i="57" s="1"/>
  <c r="S39" i="57" s="1"/>
  <c r="U39" i="57"/>
  <c r="M42" i="57"/>
  <c r="L45" i="57"/>
  <c r="I45" i="57"/>
  <c r="U20" i="58"/>
  <c r="V23" i="58"/>
  <c r="U23" i="58"/>
  <c r="V27" i="58"/>
  <c r="U32" i="58"/>
  <c r="M38" i="58"/>
  <c r="M42" i="58"/>
  <c r="V36" i="59"/>
  <c r="U43" i="59"/>
  <c r="V49" i="59"/>
  <c r="M23" i="60"/>
  <c r="M35" i="60"/>
  <c r="T46" i="60"/>
  <c r="S46" i="60" s="1"/>
  <c r="I49" i="61"/>
  <c r="T49" i="61" s="1"/>
  <c r="S49" i="61" s="1"/>
  <c r="I47" i="61"/>
  <c r="T47" i="61" s="1"/>
  <c r="S47" i="61" s="1"/>
  <c r="I45" i="61"/>
  <c r="I43" i="61"/>
  <c r="T43" i="61" s="1"/>
  <c r="S43" i="61" s="1"/>
  <c r="I41" i="61"/>
  <c r="I39" i="61"/>
  <c r="T39" i="61" s="1"/>
  <c r="S39" i="61" s="1"/>
  <c r="I37" i="61"/>
  <c r="T37" i="61" s="1"/>
  <c r="S37" i="61" s="1"/>
  <c r="I35" i="61"/>
  <c r="T35" i="61" s="1"/>
  <c r="S35" i="61" s="1"/>
  <c r="I33" i="61"/>
  <c r="I31" i="61"/>
  <c r="T31" i="61" s="1"/>
  <c r="S31" i="61" s="1"/>
  <c r="I29" i="61"/>
  <c r="I27" i="61"/>
  <c r="T27" i="61" s="1"/>
  <c r="S27" i="61" s="1"/>
  <c r="I25" i="61"/>
  <c r="T25" i="61" s="1"/>
  <c r="S25" i="61" s="1"/>
  <c r="I23" i="61"/>
  <c r="T23" i="61" s="1"/>
  <c r="S23" i="61" s="1"/>
  <c r="I21" i="61"/>
  <c r="I19" i="61"/>
  <c r="I44" i="61"/>
  <c r="T44" i="61" s="1"/>
  <c r="S44" i="61" s="1"/>
  <c r="I36" i="61"/>
  <c r="T36" i="61" s="1"/>
  <c r="S36" i="61" s="1"/>
  <c r="I28" i="61"/>
  <c r="T28" i="61" s="1"/>
  <c r="S28" i="61" s="1"/>
  <c r="I20" i="61"/>
  <c r="T20" i="61" s="1"/>
  <c r="S20" i="61" s="1"/>
  <c r="I46" i="61"/>
  <c r="T46" i="61" s="1"/>
  <c r="S46" i="61" s="1"/>
  <c r="I34" i="61"/>
  <c r="T34" i="61" s="1"/>
  <c r="S34" i="61" s="1"/>
  <c r="I32" i="61"/>
  <c r="T32" i="61" s="1"/>
  <c r="S32" i="61" s="1"/>
  <c r="I30" i="61"/>
  <c r="T30" i="61" s="1"/>
  <c r="S30" i="61" s="1"/>
  <c r="I48" i="61"/>
  <c r="T48" i="61" s="1"/>
  <c r="S48" i="61" s="1"/>
  <c r="I26" i="61"/>
  <c r="T26" i="61" s="1"/>
  <c r="S26" i="61" s="1"/>
  <c r="I24" i="61"/>
  <c r="I22" i="61"/>
  <c r="T22" i="61" s="1"/>
  <c r="S22" i="61" s="1"/>
  <c r="I42" i="61"/>
  <c r="T42" i="61" s="1"/>
  <c r="S42" i="61" s="1"/>
  <c r="I40" i="61"/>
  <c r="T40" i="61" s="1"/>
  <c r="S40" i="61" s="1"/>
  <c r="L50" i="61"/>
  <c r="U19" i="61"/>
  <c r="M47" i="61"/>
  <c r="U41" i="62"/>
  <c r="M41" i="62"/>
  <c r="U43" i="62"/>
  <c r="M43" i="62"/>
  <c r="V37" i="63"/>
  <c r="U37" i="63"/>
  <c r="M37" i="63"/>
  <c r="M28" i="64"/>
  <c r="V28" i="64"/>
  <c r="U28" i="64"/>
  <c r="R20" i="20"/>
  <c r="V20" i="20" s="1"/>
  <c r="R22" i="20"/>
  <c r="V22" i="20" s="1"/>
  <c r="R24" i="20"/>
  <c r="U24" i="20" s="1"/>
  <c r="R26" i="20"/>
  <c r="U26" i="20" s="1"/>
  <c r="R28" i="20"/>
  <c r="V28" i="20" s="1"/>
  <c r="R30" i="20"/>
  <c r="U30" i="20" s="1"/>
  <c r="R32" i="20"/>
  <c r="U32" i="20" s="1"/>
  <c r="R34" i="20"/>
  <c r="U34" i="20" s="1"/>
  <c r="R36" i="20"/>
  <c r="V36" i="20" s="1"/>
  <c r="R38" i="20"/>
  <c r="R40" i="20"/>
  <c r="U40" i="20" s="1"/>
  <c r="R42" i="20"/>
  <c r="U42" i="20" s="1"/>
  <c r="R44" i="20"/>
  <c r="U44" i="20" s="1"/>
  <c r="R46" i="20"/>
  <c r="U46" i="20" s="1"/>
  <c r="H48" i="21"/>
  <c r="H46" i="21"/>
  <c r="H44" i="21"/>
  <c r="H42" i="21"/>
  <c r="H40" i="21"/>
  <c r="H38" i="21"/>
  <c r="H36" i="21"/>
  <c r="H34" i="21"/>
  <c r="H32" i="21"/>
  <c r="H30" i="21"/>
  <c r="H28" i="21"/>
  <c r="H26" i="21"/>
  <c r="H24" i="21"/>
  <c r="H22" i="21"/>
  <c r="H20" i="21"/>
  <c r="H19" i="21"/>
  <c r="H21" i="21"/>
  <c r="H23" i="21"/>
  <c r="H25" i="21"/>
  <c r="H27" i="21"/>
  <c r="H29" i="21"/>
  <c r="H31" i="21"/>
  <c r="H33" i="21"/>
  <c r="H35" i="21"/>
  <c r="H37" i="21"/>
  <c r="H39" i="21"/>
  <c r="H41" i="21"/>
  <c r="H43" i="21"/>
  <c r="H45" i="21"/>
  <c r="H47" i="21"/>
  <c r="H49" i="21"/>
  <c r="M20" i="22"/>
  <c r="M22" i="22"/>
  <c r="M24" i="22"/>
  <c r="M50" i="22" s="1"/>
  <c r="P3" i="22" s="1"/>
  <c r="M26" i="22"/>
  <c r="M28" i="22"/>
  <c r="M30" i="22"/>
  <c r="M32" i="22"/>
  <c r="M34" i="22"/>
  <c r="M36" i="22"/>
  <c r="M38" i="22"/>
  <c r="M40" i="22"/>
  <c r="M42" i="22"/>
  <c r="M44" i="22"/>
  <c r="M46" i="22"/>
  <c r="M48" i="22"/>
  <c r="H48" i="23"/>
  <c r="H46" i="23"/>
  <c r="H44" i="23"/>
  <c r="H42" i="23"/>
  <c r="H40" i="23"/>
  <c r="H38" i="23"/>
  <c r="H36" i="23"/>
  <c r="H34" i="23"/>
  <c r="H32" i="23"/>
  <c r="H30" i="23"/>
  <c r="H28" i="23"/>
  <c r="H26" i="23"/>
  <c r="H24" i="23"/>
  <c r="H22" i="23"/>
  <c r="H20" i="23"/>
  <c r="H19" i="23"/>
  <c r="M19" i="23"/>
  <c r="R20" i="23"/>
  <c r="U20" i="23" s="1"/>
  <c r="H21" i="23"/>
  <c r="M21" i="23"/>
  <c r="R22" i="23"/>
  <c r="V22" i="23" s="1"/>
  <c r="H23" i="23"/>
  <c r="M23" i="23"/>
  <c r="R24" i="23"/>
  <c r="U24" i="23" s="1"/>
  <c r="H25" i="23"/>
  <c r="M25" i="23"/>
  <c r="R26" i="23"/>
  <c r="U26" i="23" s="1"/>
  <c r="H27" i="23"/>
  <c r="M27" i="23"/>
  <c r="R28" i="23"/>
  <c r="U28" i="23" s="1"/>
  <c r="H29" i="23"/>
  <c r="M29" i="23"/>
  <c r="R30" i="23"/>
  <c r="V30" i="23" s="1"/>
  <c r="H31" i="23"/>
  <c r="M31" i="23"/>
  <c r="R32" i="23"/>
  <c r="U32" i="23" s="1"/>
  <c r="H33" i="23"/>
  <c r="M33" i="23"/>
  <c r="R34" i="23"/>
  <c r="U34" i="23" s="1"/>
  <c r="H35" i="23"/>
  <c r="M35" i="23"/>
  <c r="R36" i="23"/>
  <c r="U36" i="23" s="1"/>
  <c r="H37" i="23"/>
  <c r="M37" i="23"/>
  <c r="R38" i="23"/>
  <c r="V38" i="23" s="1"/>
  <c r="H39" i="23"/>
  <c r="M39" i="23"/>
  <c r="R40" i="23"/>
  <c r="U40" i="23" s="1"/>
  <c r="H41" i="23"/>
  <c r="M41" i="23"/>
  <c r="R42" i="23"/>
  <c r="U42" i="23" s="1"/>
  <c r="H43" i="23"/>
  <c r="M43" i="23"/>
  <c r="R44" i="23"/>
  <c r="U44" i="23" s="1"/>
  <c r="H45" i="23"/>
  <c r="M45" i="23"/>
  <c r="R46" i="23"/>
  <c r="V46" i="23" s="1"/>
  <c r="H47" i="23"/>
  <c r="M47" i="23"/>
  <c r="H49" i="23"/>
  <c r="M49" i="23"/>
  <c r="M20" i="24"/>
  <c r="M22" i="24"/>
  <c r="M24" i="24"/>
  <c r="M26" i="24"/>
  <c r="M28" i="24"/>
  <c r="M30" i="24"/>
  <c r="M32" i="24"/>
  <c r="M34" i="24"/>
  <c r="M36" i="24"/>
  <c r="M38" i="24"/>
  <c r="M40" i="24"/>
  <c r="M42" i="24"/>
  <c r="M44" i="24"/>
  <c r="M46" i="24"/>
  <c r="M48" i="24"/>
  <c r="H48" i="25"/>
  <c r="H46" i="25"/>
  <c r="H44" i="25"/>
  <c r="H42" i="25"/>
  <c r="H40" i="25"/>
  <c r="H38" i="25"/>
  <c r="H36" i="25"/>
  <c r="H34" i="25"/>
  <c r="H32" i="25"/>
  <c r="H30" i="25"/>
  <c r="H28" i="25"/>
  <c r="H26" i="25"/>
  <c r="H24" i="25"/>
  <c r="H22" i="25"/>
  <c r="H20" i="25"/>
  <c r="H19" i="25"/>
  <c r="M19" i="25"/>
  <c r="R20" i="25"/>
  <c r="U20" i="25" s="1"/>
  <c r="H21" i="25"/>
  <c r="M21" i="25"/>
  <c r="R22" i="25"/>
  <c r="V22" i="25" s="1"/>
  <c r="H23" i="25"/>
  <c r="M23" i="25"/>
  <c r="R24" i="25"/>
  <c r="U24" i="25" s="1"/>
  <c r="H25" i="25"/>
  <c r="M25" i="25"/>
  <c r="R26" i="25"/>
  <c r="U26" i="25" s="1"/>
  <c r="H27" i="25"/>
  <c r="M27" i="25"/>
  <c r="R28" i="25"/>
  <c r="U28" i="25" s="1"/>
  <c r="H29" i="25"/>
  <c r="M29" i="25"/>
  <c r="R30" i="25"/>
  <c r="V30" i="25" s="1"/>
  <c r="H31" i="25"/>
  <c r="M31" i="25"/>
  <c r="R32" i="25"/>
  <c r="U32" i="25" s="1"/>
  <c r="H33" i="25"/>
  <c r="M33" i="25"/>
  <c r="R34" i="25"/>
  <c r="U34" i="25" s="1"/>
  <c r="H35" i="25"/>
  <c r="M35" i="25"/>
  <c r="R36" i="25"/>
  <c r="U36" i="25" s="1"/>
  <c r="H37" i="25"/>
  <c r="M37" i="25"/>
  <c r="R38" i="25"/>
  <c r="V38" i="25" s="1"/>
  <c r="H39" i="25"/>
  <c r="M39" i="25"/>
  <c r="R40" i="25"/>
  <c r="U40" i="25" s="1"/>
  <c r="H41" i="25"/>
  <c r="M41" i="25"/>
  <c r="R42" i="25"/>
  <c r="U42" i="25" s="1"/>
  <c r="H43" i="25"/>
  <c r="M43" i="25"/>
  <c r="R44" i="25"/>
  <c r="U44" i="25" s="1"/>
  <c r="H45" i="25"/>
  <c r="M45" i="25"/>
  <c r="R46" i="25"/>
  <c r="V46" i="25" s="1"/>
  <c r="H47" i="25"/>
  <c r="M47" i="25"/>
  <c r="H49" i="25"/>
  <c r="M49" i="25"/>
  <c r="M20" i="26"/>
  <c r="M22" i="26"/>
  <c r="M24" i="26"/>
  <c r="M26" i="26"/>
  <c r="M28" i="26"/>
  <c r="M30" i="26"/>
  <c r="M32" i="26"/>
  <c r="M34" i="26"/>
  <c r="M36" i="26"/>
  <c r="M38" i="26"/>
  <c r="M40" i="26"/>
  <c r="M42" i="26"/>
  <c r="M44" i="26"/>
  <c r="M46" i="26"/>
  <c r="M48" i="26"/>
  <c r="H48" i="27"/>
  <c r="H46" i="27"/>
  <c r="H44" i="27"/>
  <c r="H42" i="27"/>
  <c r="H40" i="27"/>
  <c r="H38" i="27"/>
  <c r="H36" i="27"/>
  <c r="H34" i="27"/>
  <c r="H32" i="27"/>
  <c r="H30" i="27"/>
  <c r="H28" i="27"/>
  <c r="H26" i="27"/>
  <c r="H24" i="27"/>
  <c r="H22" i="27"/>
  <c r="H20" i="27"/>
  <c r="H19" i="27"/>
  <c r="M19" i="27"/>
  <c r="R20" i="27"/>
  <c r="R50" i="27" s="1"/>
  <c r="H21" i="27"/>
  <c r="M21" i="27"/>
  <c r="R22" i="27"/>
  <c r="V22" i="27" s="1"/>
  <c r="H23" i="27"/>
  <c r="M23" i="27"/>
  <c r="R24" i="27"/>
  <c r="U24" i="27" s="1"/>
  <c r="H25" i="27"/>
  <c r="M25" i="27"/>
  <c r="R26" i="27"/>
  <c r="U26" i="27" s="1"/>
  <c r="H27" i="27"/>
  <c r="M27" i="27"/>
  <c r="T27" i="27" s="1"/>
  <c r="S27" i="27" s="1"/>
  <c r="R28" i="27"/>
  <c r="U28" i="27" s="1"/>
  <c r="H29" i="27"/>
  <c r="M29" i="27"/>
  <c r="R30" i="27"/>
  <c r="V30" i="27" s="1"/>
  <c r="H31" i="27"/>
  <c r="M31" i="27"/>
  <c r="T31" i="27" s="1"/>
  <c r="S31" i="27" s="1"/>
  <c r="R32" i="27"/>
  <c r="U32" i="27" s="1"/>
  <c r="H33" i="27"/>
  <c r="M33" i="27"/>
  <c r="R34" i="27"/>
  <c r="U34" i="27" s="1"/>
  <c r="H35" i="27"/>
  <c r="M35" i="27"/>
  <c r="T35" i="27" s="1"/>
  <c r="S35" i="27" s="1"/>
  <c r="R36" i="27"/>
  <c r="U36" i="27" s="1"/>
  <c r="H37" i="27"/>
  <c r="M37" i="27"/>
  <c r="R38" i="27"/>
  <c r="V38" i="27" s="1"/>
  <c r="H39" i="27"/>
  <c r="M39" i="27"/>
  <c r="R40" i="27"/>
  <c r="U40" i="27" s="1"/>
  <c r="H41" i="27"/>
  <c r="M41" i="27"/>
  <c r="R42" i="27"/>
  <c r="U42" i="27" s="1"/>
  <c r="H43" i="27"/>
  <c r="M43" i="27"/>
  <c r="T43" i="27" s="1"/>
  <c r="S43" i="27" s="1"/>
  <c r="R44" i="27"/>
  <c r="U44" i="27" s="1"/>
  <c r="H45" i="27"/>
  <c r="M45" i="27"/>
  <c r="R46" i="27"/>
  <c r="V46" i="27" s="1"/>
  <c r="H47" i="27"/>
  <c r="M47" i="27"/>
  <c r="H49" i="27"/>
  <c r="M49" i="27"/>
  <c r="T49" i="27" s="1"/>
  <c r="S49" i="27" s="1"/>
  <c r="M20" i="28"/>
  <c r="M50" i="28" s="1"/>
  <c r="P3" i="28" s="1"/>
  <c r="M22" i="28"/>
  <c r="M24" i="28"/>
  <c r="M26" i="28"/>
  <c r="M28" i="28"/>
  <c r="M30" i="28"/>
  <c r="M32" i="28"/>
  <c r="M34" i="28"/>
  <c r="M36" i="28"/>
  <c r="M38" i="28"/>
  <c r="M40" i="28"/>
  <c r="M42" i="28"/>
  <c r="M44" i="28"/>
  <c r="M46" i="28"/>
  <c r="M48" i="28"/>
  <c r="H48" i="29"/>
  <c r="H46" i="29"/>
  <c r="H44" i="29"/>
  <c r="H42" i="29"/>
  <c r="H40" i="29"/>
  <c r="H38" i="29"/>
  <c r="H36" i="29"/>
  <c r="H34" i="29"/>
  <c r="H32" i="29"/>
  <c r="H30" i="29"/>
  <c r="H28" i="29"/>
  <c r="H26" i="29"/>
  <c r="H24" i="29"/>
  <c r="H22" i="29"/>
  <c r="H20" i="29"/>
  <c r="H19" i="29"/>
  <c r="M19" i="29"/>
  <c r="R20" i="29"/>
  <c r="R50" i="29" s="1"/>
  <c r="H21" i="29"/>
  <c r="M21" i="29"/>
  <c r="T21" i="29" s="1"/>
  <c r="S21" i="29" s="1"/>
  <c r="R22" i="29"/>
  <c r="V22" i="29" s="1"/>
  <c r="H23" i="29"/>
  <c r="M23" i="29"/>
  <c r="T23" i="29" s="1"/>
  <c r="S23" i="29" s="1"/>
  <c r="R24" i="29"/>
  <c r="U24" i="29" s="1"/>
  <c r="H25" i="29"/>
  <c r="M25" i="29"/>
  <c r="T25" i="29" s="1"/>
  <c r="S25" i="29" s="1"/>
  <c r="R26" i="29"/>
  <c r="U26" i="29" s="1"/>
  <c r="H27" i="29"/>
  <c r="M27" i="29"/>
  <c r="T27" i="29" s="1"/>
  <c r="S27" i="29" s="1"/>
  <c r="R28" i="29"/>
  <c r="U28" i="29" s="1"/>
  <c r="H29" i="29"/>
  <c r="M29" i="29"/>
  <c r="T29" i="29" s="1"/>
  <c r="S29" i="29" s="1"/>
  <c r="R30" i="29"/>
  <c r="V30" i="29" s="1"/>
  <c r="H31" i="29"/>
  <c r="M31" i="29"/>
  <c r="T31" i="29" s="1"/>
  <c r="S31" i="29" s="1"/>
  <c r="R32" i="29"/>
  <c r="U32" i="29" s="1"/>
  <c r="H33" i="29"/>
  <c r="M33" i="29"/>
  <c r="R34" i="29"/>
  <c r="U34" i="29" s="1"/>
  <c r="H35" i="29"/>
  <c r="M35" i="29"/>
  <c r="T35" i="29" s="1"/>
  <c r="S35" i="29" s="1"/>
  <c r="R36" i="29"/>
  <c r="U36" i="29" s="1"/>
  <c r="H37" i="29"/>
  <c r="M37" i="29"/>
  <c r="R38" i="29"/>
  <c r="V38" i="29" s="1"/>
  <c r="H39" i="29"/>
  <c r="M39" i="29"/>
  <c r="R40" i="29"/>
  <c r="U40" i="29" s="1"/>
  <c r="H41" i="29"/>
  <c r="M41" i="29"/>
  <c r="T41" i="29" s="1"/>
  <c r="S41" i="29" s="1"/>
  <c r="R42" i="29"/>
  <c r="U42" i="29" s="1"/>
  <c r="H43" i="29"/>
  <c r="M43" i="29"/>
  <c r="T43" i="29" s="1"/>
  <c r="S43" i="29" s="1"/>
  <c r="R44" i="29"/>
  <c r="U44" i="29" s="1"/>
  <c r="H45" i="29"/>
  <c r="M45" i="29"/>
  <c r="T45" i="29" s="1"/>
  <c r="S45" i="29" s="1"/>
  <c r="R46" i="29"/>
  <c r="V46" i="29" s="1"/>
  <c r="H47" i="29"/>
  <c r="M47" i="29"/>
  <c r="T47" i="29" s="1"/>
  <c r="S47" i="29" s="1"/>
  <c r="H49" i="29"/>
  <c r="M49" i="29"/>
  <c r="T49" i="29" s="1"/>
  <c r="S49" i="29" s="1"/>
  <c r="M20" i="30"/>
  <c r="M22" i="30"/>
  <c r="M24" i="30"/>
  <c r="M26" i="30"/>
  <c r="M28" i="30"/>
  <c r="M30" i="30"/>
  <c r="M32" i="30"/>
  <c r="M34" i="30"/>
  <c r="M36" i="30"/>
  <c r="M38" i="30"/>
  <c r="M40" i="30"/>
  <c r="M42" i="30"/>
  <c r="M44" i="30"/>
  <c r="M46" i="30"/>
  <c r="M48" i="30"/>
  <c r="K50" i="31"/>
  <c r="K50" i="32"/>
  <c r="I22" i="32"/>
  <c r="T22" i="32" s="1"/>
  <c r="S22" i="32" s="1"/>
  <c r="I26" i="32"/>
  <c r="T26" i="32" s="1"/>
  <c r="S26" i="32" s="1"/>
  <c r="I30" i="32"/>
  <c r="T30" i="32" s="1"/>
  <c r="S30" i="32" s="1"/>
  <c r="I34" i="32"/>
  <c r="T34" i="32" s="1"/>
  <c r="S34" i="32" s="1"/>
  <c r="I38" i="32"/>
  <c r="T38" i="32" s="1"/>
  <c r="S38" i="32" s="1"/>
  <c r="I42" i="32"/>
  <c r="T42" i="32" s="1"/>
  <c r="S42" i="32" s="1"/>
  <c r="R49" i="33"/>
  <c r="U49" i="33" s="1"/>
  <c r="R47" i="33"/>
  <c r="U47" i="33" s="1"/>
  <c r="R45" i="33"/>
  <c r="U45" i="33" s="1"/>
  <c r="R43" i="33"/>
  <c r="U43" i="33" s="1"/>
  <c r="R41" i="33"/>
  <c r="U41" i="33" s="1"/>
  <c r="R39" i="33"/>
  <c r="U39" i="33" s="1"/>
  <c r="R37" i="33"/>
  <c r="U37" i="33" s="1"/>
  <c r="R35" i="33"/>
  <c r="U35" i="33" s="1"/>
  <c r="R33" i="33"/>
  <c r="U33" i="33" s="1"/>
  <c r="R31" i="33"/>
  <c r="U31" i="33" s="1"/>
  <c r="R29" i="33"/>
  <c r="U29" i="33" s="1"/>
  <c r="R27" i="33"/>
  <c r="U27" i="33" s="1"/>
  <c r="R25" i="33"/>
  <c r="U25" i="33" s="1"/>
  <c r="R23" i="33"/>
  <c r="U23" i="33" s="1"/>
  <c r="R21" i="33"/>
  <c r="U21" i="33" s="1"/>
  <c r="R19" i="33"/>
  <c r="M19" i="33"/>
  <c r="M20" i="33"/>
  <c r="M22" i="33"/>
  <c r="M24" i="33"/>
  <c r="M26" i="33"/>
  <c r="M28" i="33"/>
  <c r="M30" i="33"/>
  <c r="M32" i="33"/>
  <c r="M34" i="33"/>
  <c r="M36" i="33"/>
  <c r="M38" i="33"/>
  <c r="M40" i="33"/>
  <c r="M42" i="33"/>
  <c r="M44" i="33"/>
  <c r="M46" i="33"/>
  <c r="M48" i="33"/>
  <c r="H48" i="34"/>
  <c r="H46" i="34"/>
  <c r="H44" i="34"/>
  <c r="H42" i="34"/>
  <c r="H40" i="34"/>
  <c r="H38" i="34"/>
  <c r="H36" i="34"/>
  <c r="H34" i="34"/>
  <c r="H32" i="34"/>
  <c r="H30" i="34"/>
  <c r="H28" i="34"/>
  <c r="H26" i="34"/>
  <c r="H24" i="34"/>
  <c r="H22" i="34"/>
  <c r="H20" i="34"/>
  <c r="H19" i="34"/>
  <c r="H23" i="34"/>
  <c r="H27" i="34"/>
  <c r="H31" i="34"/>
  <c r="H35" i="34"/>
  <c r="H39" i="34"/>
  <c r="H43" i="34"/>
  <c r="H47" i="34"/>
  <c r="K50" i="35"/>
  <c r="K50" i="36"/>
  <c r="R44" i="37"/>
  <c r="V44" i="37" s="1"/>
  <c r="R43" i="37"/>
  <c r="R36" i="37"/>
  <c r="V36" i="37" s="1"/>
  <c r="R35" i="37"/>
  <c r="U35" i="37" s="1"/>
  <c r="R28" i="37"/>
  <c r="V28" i="37" s="1"/>
  <c r="R27" i="37"/>
  <c r="U27" i="37" s="1"/>
  <c r="R20" i="37"/>
  <c r="V20" i="37" s="1"/>
  <c r="R19" i="37"/>
  <c r="R50" i="37" s="1"/>
  <c r="R24" i="37"/>
  <c r="V24" i="37" s="1"/>
  <c r="T25" i="37"/>
  <c r="S25" i="37" s="1"/>
  <c r="R25" i="37"/>
  <c r="M26" i="37"/>
  <c r="R32" i="37"/>
  <c r="V32" i="37" s="1"/>
  <c r="T33" i="37"/>
  <c r="S33" i="37" s="1"/>
  <c r="R33" i="37"/>
  <c r="V33" i="37" s="1"/>
  <c r="M34" i="37"/>
  <c r="R40" i="37"/>
  <c r="V40" i="37" s="1"/>
  <c r="T41" i="37"/>
  <c r="S41" i="37" s="1"/>
  <c r="R41" i="37"/>
  <c r="U41" i="37" s="1"/>
  <c r="M42" i="37"/>
  <c r="R48" i="37"/>
  <c r="V48" i="37" s="1"/>
  <c r="T49" i="37"/>
  <c r="S49" i="37" s="1"/>
  <c r="R49" i="37"/>
  <c r="V49" i="37" s="1"/>
  <c r="R49" i="38"/>
  <c r="V49" i="38" s="1"/>
  <c r="R42" i="38"/>
  <c r="V42" i="38" s="1"/>
  <c r="R41" i="38"/>
  <c r="U41" i="38" s="1"/>
  <c r="R34" i="38"/>
  <c r="V34" i="38" s="1"/>
  <c r="R33" i="38"/>
  <c r="V33" i="38" s="1"/>
  <c r="R26" i="38"/>
  <c r="R25" i="38"/>
  <c r="V25" i="38" s="1"/>
  <c r="L50" i="38"/>
  <c r="V19" i="38"/>
  <c r="M19" i="38"/>
  <c r="R20" i="38"/>
  <c r="R24" i="38"/>
  <c r="V24" i="38" s="1"/>
  <c r="M26" i="38"/>
  <c r="V27" i="38"/>
  <c r="M27" i="38"/>
  <c r="R28" i="38"/>
  <c r="U28" i="38" s="1"/>
  <c r="R32" i="38"/>
  <c r="V32" i="38" s="1"/>
  <c r="M34" i="38"/>
  <c r="V35" i="38"/>
  <c r="M35" i="38"/>
  <c r="R36" i="38"/>
  <c r="U36" i="38" s="1"/>
  <c r="R40" i="38"/>
  <c r="V40" i="38" s="1"/>
  <c r="M42" i="38"/>
  <c r="V43" i="38"/>
  <c r="M43" i="38"/>
  <c r="T43" i="38" s="1"/>
  <c r="S43" i="38" s="1"/>
  <c r="R44" i="38"/>
  <c r="R48" i="38"/>
  <c r="V48" i="38" s="1"/>
  <c r="K50" i="39"/>
  <c r="U20" i="39"/>
  <c r="U28" i="39"/>
  <c r="U32" i="39"/>
  <c r="U36" i="39"/>
  <c r="U44" i="39"/>
  <c r="U48" i="39"/>
  <c r="H50" i="40"/>
  <c r="U26" i="40"/>
  <c r="U30" i="40"/>
  <c r="U34" i="40"/>
  <c r="U42" i="40"/>
  <c r="U46" i="40"/>
  <c r="U20" i="41"/>
  <c r="U24" i="41"/>
  <c r="U32" i="41"/>
  <c r="U36" i="41"/>
  <c r="U48" i="41"/>
  <c r="K50" i="42"/>
  <c r="U21" i="42"/>
  <c r="U24" i="42"/>
  <c r="U29" i="42"/>
  <c r="T38" i="42"/>
  <c r="S38" i="42" s="1"/>
  <c r="T46" i="42"/>
  <c r="S46" i="42" s="1"/>
  <c r="U48" i="42"/>
  <c r="I47" i="43"/>
  <c r="T47" i="43" s="1"/>
  <c r="S47" i="43" s="1"/>
  <c r="I46" i="43"/>
  <c r="T46" i="43" s="1"/>
  <c r="S46" i="43" s="1"/>
  <c r="I39" i="43"/>
  <c r="T39" i="43" s="1"/>
  <c r="S39" i="43" s="1"/>
  <c r="I38" i="43"/>
  <c r="T38" i="43" s="1"/>
  <c r="S38" i="43" s="1"/>
  <c r="I31" i="43"/>
  <c r="I30" i="43"/>
  <c r="T30" i="43" s="1"/>
  <c r="S30" i="43" s="1"/>
  <c r="I23" i="43"/>
  <c r="T23" i="43" s="1"/>
  <c r="S23" i="43" s="1"/>
  <c r="I22" i="43"/>
  <c r="T22" i="43" s="1"/>
  <c r="S22" i="43" s="1"/>
  <c r="I19" i="43"/>
  <c r="M24" i="43"/>
  <c r="V25" i="43"/>
  <c r="M25" i="43"/>
  <c r="T25" i="43" s="1"/>
  <c r="S25" i="43" s="1"/>
  <c r="I27" i="43"/>
  <c r="T27" i="43" s="1"/>
  <c r="S27" i="43" s="1"/>
  <c r="M32" i="43"/>
  <c r="V33" i="43"/>
  <c r="M33" i="43"/>
  <c r="T33" i="43" s="1"/>
  <c r="S33" i="43" s="1"/>
  <c r="I35" i="43"/>
  <c r="T35" i="43" s="1"/>
  <c r="S35" i="43" s="1"/>
  <c r="M40" i="43"/>
  <c r="V41" i="43"/>
  <c r="M41" i="43"/>
  <c r="T41" i="43" s="1"/>
  <c r="S41" i="43" s="1"/>
  <c r="I43" i="43"/>
  <c r="T43" i="43" s="1"/>
  <c r="S43" i="43" s="1"/>
  <c r="I49" i="43"/>
  <c r="U25" i="44"/>
  <c r="U26" i="44"/>
  <c r="M29" i="44"/>
  <c r="V31" i="44"/>
  <c r="U36" i="44"/>
  <c r="M44" i="44"/>
  <c r="T49" i="44"/>
  <c r="S49" i="44" s="1"/>
  <c r="K50" i="45"/>
  <c r="U31" i="45"/>
  <c r="U34" i="45"/>
  <c r="U47" i="45"/>
  <c r="T49" i="45"/>
  <c r="S49" i="45" s="1"/>
  <c r="I49" i="46"/>
  <c r="T49" i="46" s="1"/>
  <c r="S49" i="46" s="1"/>
  <c r="I48" i="46"/>
  <c r="I41" i="46"/>
  <c r="T41" i="46" s="1"/>
  <c r="S41" i="46" s="1"/>
  <c r="I40" i="46"/>
  <c r="T40" i="46" s="1"/>
  <c r="S40" i="46" s="1"/>
  <c r="I33" i="46"/>
  <c r="I32" i="46"/>
  <c r="T32" i="46" s="1"/>
  <c r="S32" i="46" s="1"/>
  <c r="I25" i="46"/>
  <c r="I24" i="46"/>
  <c r="T24" i="46" s="1"/>
  <c r="S24" i="46" s="1"/>
  <c r="I47" i="46"/>
  <c r="T47" i="46" s="1"/>
  <c r="S47" i="46" s="1"/>
  <c r="I46" i="46"/>
  <c r="I39" i="46"/>
  <c r="T39" i="46" s="1"/>
  <c r="S39" i="46" s="1"/>
  <c r="I38" i="46"/>
  <c r="T38" i="46" s="1"/>
  <c r="S38" i="46" s="1"/>
  <c r="I31" i="46"/>
  <c r="T31" i="46" s="1"/>
  <c r="S31" i="46" s="1"/>
  <c r="I30" i="46"/>
  <c r="I23" i="46"/>
  <c r="T23" i="46" s="1"/>
  <c r="S23" i="46" s="1"/>
  <c r="I22" i="46"/>
  <c r="T22" i="46" s="1"/>
  <c r="S22" i="46" s="1"/>
  <c r="I19" i="46"/>
  <c r="I21" i="46"/>
  <c r="T21" i="46" s="1"/>
  <c r="S21" i="46" s="1"/>
  <c r="U30" i="46"/>
  <c r="M33" i="46"/>
  <c r="I34" i="46"/>
  <c r="T34" i="46" s="1"/>
  <c r="S34" i="46" s="1"/>
  <c r="V35" i="46"/>
  <c r="I36" i="46"/>
  <c r="T36" i="46" s="1"/>
  <c r="S36" i="46" s="1"/>
  <c r="M48" i="46"/>
  <c r="M22" i="47"/>
  <c r="U28" i="47"/>
  <c r="M47" i="47"/>
  <c r="V49" i="47"/>
  <c r="V27" i="48"/>
  <c r="U27" i="48"/>
  <c r="V23" i="49"/>
  <c r="M23" i="49"/>
  <c r="V25" i="49"/>
  <c r="U27" i="49"/>
  <c r="V27" i="49"/>
  <c r="V28" i="49"/>
  <c r="M30" i="49"/>
  <c r="V39" i="49"/>
  <c r="M39" i="49"/>
  <c r="V41" i="49"/>
  <c r="U43" i="49"/>
  <c r="V43" i="49"/>
  <c r="V44" i="49"/>
  <c r="M46" i="49"/>
  <c r="U29" i="50"/>
  <c r="M29" i="50"/>
  <c r="V29" i="50"/>
  <c r="U32" i="50"/>
  <c r="M36" i="50"/>
  <c r="T45" i="50"/>
  <c r="S45" i="50" s="1"/>
  <c r="I19" i="51"/>
  <c r="U31" i="51"/>
  <c r="M31" i="51"/>
  <c r="V31" i="51"/>
  <c r="V34" i="51"/>
  <c r="M38" i="51"/>
  <c r="V42" i="51"/>
  <c r="I47" i="51"/>
  <c r="T47" i="51" s="1"/>
  <c r="S47" i="51" s="1"/>
  <c r="T49" i="52"/>
  <c r="S49" i="52" s="1"/>
  <c r="M20" i="52"/>
  <c r="V29" i="52"/>
  <c r="M29" i="52"/>
  <c r="T29" i="52" s="1"/>
  <c r="S29" i="52" s="1"/>
  <c r="V31" i="52"/>
  <c r="U33" i="52"/>
  <c r="V33" i="52"/>
  <c r="M36" i="52"/>
  <c r="V45" i="52"/>
  <c r="M45" i="52"/>
  <c r="T45" i="52" s="1"/>
  <c r="S45" i="52" s="1"/>
  <c r="V47" i="52"/>
  <c r="U49" i="52"/>
  <c r="V49" i="52"/>
  <c r="L50" i="53"/>
  <c r="U19" i="53"/>
  <c r="M19" i="53"/>
  <c r="V19" i="53"/>
  <c r="M26" i="53"/>
  <c r="V32" i="53"/>
  <c r="H50" i="53"/>
  <c r="M26" i="54"/>
  <c r="U35" i="54"/>
  <c r="M42" i="54"/>
  <c r="T25" i="55"/>
  <c r="S25" i="55" s="1"/>
  <c r="M30" i="55"/>
  <c r="T41" i="55"/>
  <c r="S41" i="55" s="1"/>
  <c r="M46" i="55"/>
  <c r="K50" i="56"/>
  <c r="U41" i="56"/>
  <c r="M41" i="56"/>
  <c r="V41" i="56"/>
  <c r="V44" i="56"/>
  <c r="U44" i="56"/>
  <c r="V48" i="56"/>
  <c r="M48" i="56"/>
  <c r="U27" i="57"/>
  <c r="M27" i="57"/>
  <c r="M28" i="57"/>
  <c r="U43" i="57"/>
  <c r="M43" i="57"/>
  <c r="M44" i="57"/>
  <c r="V30" i="58"/>
  <c r="M30" i="58"/>
  <c r="M34" i="58"/>
  <c r="U44" i="58"/>
  <c r="V47" i="58"/>
  <c r="U47" i="58"/>
  <c r="I49" i="59"/>
  <c r="I47" i="59"/>
  <c r="T47" i="59" s="1"/>
  <c r="S47" i="59" s="1"/>
  <c r="I45" i="59"/>
  <c r="T45" i="59" s="1"/>
  <c r="S45" i="59" s="1"/>
  <c r="I43" i="59"/>
  <c r="T43" i="59" s="1"/>
  <c r="S43" i="59" s="1"/>
  <c r="I41" i="59"/>
  <c r="I39" i="59"/>
  <c r="T39" i="59" s="1"/>
  <c r="S39" i="59" s="1"/>
  <c r="I37" i="59"/>
  <c r="T37" i="59" s="1"/>
  <c r="S37" i="59" s="1"/>
  <c r="I35" i="59"/>
  <c r="T35" i="59" s="1"/>
  <c r="S35" i="59" s="1"/>
  <c r="I33" i="59"/>
  <c r="I44" i="59"/>
  <c r="T44" i="59" s="1"/>
  <c r="S44" i="59" s="1"/>
  <c r="I36" i="59"/>
  <c r="I30" i="59"/>
  <c r="I28" i="59"/>
  <c r="T28" i="59" s="1"/>
  <c r="S28" i="59" s="1"/>
  <c r="I26" i="59"/>
  <c r="T26" i="59" s="1"/>
  <c r="S26" i="59" s="1"/>
  <c r="I24" i="59"/>
  <c r="T24" i="59" s="1"/>
  <c r="S24" i="59" s="1"/>
  <c r="I22" i="59"/>
  <c r="I20" i="59"/>
  <c r="T20" i="59" s="1"/>
  <c r="S20" i="59" s="1"/>
  <c r="I29" i="59"/>
  <c r="T29" i="59" s="1"/>
  <c r="S29" i="59" s="1"/>
  <c r="I21" i="59"/>
  <c r="T21" i="59" s="1"/>
  <c r="S21" i="59" s="1"/>
  <c r="I48" i="59"/>
  <c r="I46" i="59"/>
  <c r="T46" i="59" s="1"/>
  <c r="S46" i="59" s="1"/>
  <c r="I31" i="59"/>
  <c r="T31" i="59" s="1"/>
  <c r="S31" i="59" s="1"/>
  <c r="I23" i="59"/>
  <c r="T23" i="59" s="1"/>
  <c r="S23" i="59" s="1"/>
  <c r="I42" i="59"/>
  <c r="T42" i="59" s="1"/>
  <c r="S42" i="59" s="1"/>
  <c r="I34" i="59"/>
  <c r="T34" i="59" s="1"/>
  <c r="S34" i="59" s="1"/>
  <c r="I25" i="59"/>
  <c r="T25" i="59" s="1"/>
  <c r="S25" i="59" s="1"/>
  <c r="I32" i="59"/>
  <c r="T32" i="59" s="1"/>
  <c r="S32" i="59" s="1"/>
  <c r="V19" i="59"/>
  <c r="M19" i="59"/>
  <c r="I27" i="59"/>
  <c r="T27" i="59" s="1"/>
  <c r="S27" i="59" s="1"/>
  <c r="M36" i="59"/>
  <c r="U36" i="59"/>
  <c r="V21" i="60"/>
  <c r="V29" i="60"/>
  <c r="V45" i="61"/>
  <c r="U45" i="61"/>
  <c r="M45" i="61"/>
  <c r="U27" i="62"/>
  <c r="M27" i="62"/>
  <c r="M31" i="62"/>
  <c r="U37" i="62"/>
  <c r="V25" i="63"/>
  <c r="I34" i="64"/>
  <c r="L34" i="64"/>
  <c r="U27" i="65"/>
  <c r="V27" i="65"/>
  <c r="M41" i="65"/>
  <c r="U30" i="66"/>
  <c r="V30" i="66"/>
  <c r="V41" i="69"/>
  <c r="M41" i="69"/>
  <c r="M43" i="69"/>
  <c r="U43" i="69"/>
  <c r="U48" i="43"/>
  <c r="V48" i="43"/>
  <c r="U49" i="43"/>
  <c r="I19" i="44"/>
  <c r="I26" i="44"/>
  <c r="T26" i="44" s="1"/>
  <c r="S26" i="44" s="1"/>
  <c r="I27" i="44"/>
  <c r="T27" i="44" s="1"/>
  <c r="S27" i="44" s="1"/>
  <c r="U30" i="44"/>
  <c r="V30" i="44"/>
  <c r="U31" i="44"/>
  <c r="I34" i="44"/>
  <c r="I35" i="44"/>
  <c r="V38" i="44"/>
  <c r="U39" i="44"/>
  <c r="I42" i="44"/>
  <c r="I43" i="44"/>
  <c r="U46" i="44"/>
  <c r="V46" i="44"/>
  <c r="U47" i="44"/>
  <c r="U20" i="45"/>
  <c r="V20" i="45"/>
  <c r="U21" i="45"/>
  <c r="V28" i="45"/>
  <c r="U29" i="45"/>
  <c r="U36" i="45"/>
  <c r="V36" i="45"/>
  <c r="U37" i="45"/>
  <c r="U44" i="45"/>
  <c r="U19" i="46"/>
  <c r="R23" i="46"/>
  <c r="U23" i="46" s="1"/>
  <c r="R24" i="46"/>
  <c r="U24" i="46" s="1"/>
  <c r="U27" i="46"/>
  <c r="R31" i="46"/>
  <c r="V31" i="46" s="1"/>
  <c r="R32" i="46"/>
  <c r="V32" i="46" s="1"/>
  <c r="U34" i="46"/>
  <c r="V34" i="46"/>
  <c r="U35" i="46"/>
  <c r="R39" i="46"/>
  <c r="U39" i="46" s="1"/>
  <c r="R40" i="46"/>
  <c r="V40" i="46" s="1"/>
  <c r="U42" i="46"/>
  <c r="U43" i="46"/>
  <c r="R47" i="46"/>
  <c r="R48" i="46"/>
  <c r="U48" i="46" s="1"/>
  <c r="K50" i="47"/>
  <c r="V24" i="47"/>
  <c r="U25" i="47"/>
  <c r="U33" i="47"/>
  <c r="U40" i="47"/>
  <c r="V40" i="47"/>
  <c r="U41" i="47"/>
  <c r="U48" i="47"/>
  <c r="V48" i="47"/>
  <c r="U49" i="47"/>
  <c r="U31" i="48"/>
  <c r="V35" i="48"/>
  <c r="M44" i="48"/>
  <c r="K50" i="48"/>
  <c r="M22" i="49"/>
  <c r="M50" i="49" s="1"/>
  <c r="P3" i="49" s="1"/>
  <c r="M38" i="49"/>
  <c r="L50" i="50"/>
  <c r="U19" i="50"/>
  <c r="V23" i="50"/>
  <c r="M31" i="50"/>
  <c r="T31" i="50" s="1"/>
  <c r="S31" i="50" s="1"/>
  <c r="U33" i="50"/>
  <c r="U35" i="50"/>
  <c r="V39" i="50"/>
  <c r="M47" i="50"/>
  <c r="T47" i="50" s="1"/>
  <c r="S47" i="50" s="1"/>
  <c r="U49" i="50"/>
  <c r="H50" i="50"/>
  <c r="I48" i="51"/>
  <c r="T48" i="51" s="1"/>
  <c r="S48" i="51" s="1"/>
  <c r="I46" i="51"/>
  <c r="T46" i="51" s="1"/>
  <c r="S46" i="51" s="1"/>
  <c r="I44" i="51"/>
  <c r="T44" i="51" s="1"/>
  <c r="S44" i="51" s="1"/>
  <c r="I42" i="51"/>
  <c r="T42" i="51" s="1"/>
  <c r="S42" i="51" s="1"/>
  <c r="I40" i="51"/>
  <c r="T40" i="51" s="1"/>
  <c r="S40" i="51" s="1"/>
  <c r="I38" i="51"/>
  <c r="T38" i="51" s="1"/>
  <c r="S38" i="51" s="1"/>
  <c r="I36" i="51"/>
  <c r="T36" i="51" s="1"/>
  <c r="S36" i="51" s="1"/>
  <c r="I34" i="51"/>
  <c r="I32" i="51"/>
  <c r="T32" i="51" s="1"/>
  <c r="S32" i="51" s="1"/>
  <c r="I30" i="51"/>
  <c r="T30" i="51" s="1"/>
  <c r="S30" i="51" s="1"/>
  <c r="I28" i="51"/>
  <c r="I26" i="51"/>
  <c r="T26" i="51" s="1"/>
  <c r="S26" i="51" s="1"/>
  <c r="I24" i="51"/>
  <c r="T24" i="51" s="1"/>
  <c r="S24" i="51" s="1"/>
  <c r="I22" i="51"/>
  <c r="I20" i="51"/>
  <c r="T20" i="51" s="1"/>
  <c r="S20" i="51" s="1"/>
  <c r="I45" i="51"/>
  <c r="I37" i="51"/>
  <c r="T37" i="51" s="1"/>
  <c r="S37" i="51" s="1"/>
  <c r="I29" i="51"/>
  <c r="T29" i="51" s="1"/>
  <c r="S29" i="51" s="1"/>
  <c r="I21" i="51"/>
  <c r="T21" i="51" s="1"/>
  <c r="S21" i="51" s="1"/>
  <c r="U19" i="51"/>
  <c r="U21" i="51"/>
  <c r="V25" i="51"/>
  <c r="M33" i="51"/>
  <c r="U35" i="51"/>
  <c r="V36" i="51"/>
  <c r="U37" i="51"/>
  <c r="V41" i="51"/>
  <c r="M49" i="51"/>
  <c r="T49" i="51" s="1"/>
  <c r="S49" i="51" s="1"/>
  <c r="I19" i="52"/>
  <c r="I21" i="52"/>
  <c r="T21" i="52" s="1"/>
  <c r="S21" i="52" s="1"/>
  <c r="M28" i="52"/>
  <c r="I33" i="52"/>
  <c r="T33" i="52" s="1"/>
  <c r="S33" i="52" s="1"/>
  <c r="I35" i="52"/>
  <c r="I37" i="52"/>
  <c r="T37" i="52" s="1"/>
  <c r="S37" i="52" s="1"/>
  <c r="M44" i="52"/>
  <c r="M21" i="53"/>
  <c r="U23" i="53"/>
  <c r="U25" i="53"/>
  <c r="V29" i="53"/>
  <c r="M37" i="53"/>
  <c r="U39" i="53"/>
  <c r="U41" i="53"/>
  <c r="V45" i="53"/>
  <c r="V22" i="54"/>
  <c r="M24" i="54"/>
  <c r="V38" i="54"/>
  <c r="U38" i="54"/>
  <c r="M40" i="54"/>
  <c r="I19" i="55"/>
  <c r="V24" i="55"/>
  <c r="M26" i="55"/>
  <c r="I31" i="55"/>
  <c r="T31" i="55" s="1"/>
  <c r="S31" i="55" s="1"/>
  <c r="I33" i="55"/>
  <c r="T33" i="55" s="1"/>
  <c r="S33" i="55" s="1"/>
  <c r="I35" i="55"/>
  <c r="T35" i="55" s="1"/>
  <c r="S35" i="55" s="1"/>
  <c r="U40" i="55"/>
  <c r="M42" i="55"/>
  <c r="I47" i="55"/>
  <c r="T47" i="55" s="1"/>
  <c r="S47" i="55" s="1"/>
  <c r="L19" i="56"/>
  <c r="H50" i="56"/>
  <c r="M27" i="56"/>
  <c r="U29" i="56"/>
  <c r="U31" i="56"/>
  <c r="V35" i="56"/>
  <c r="M43" i="56"/>
  <c r="U45" i="56"/>
  <c r="V46" i="56"/>
  <c r="U47" i="56"/>
  <c r="U49" i="56"/>
  <c r="V49" i="56"/>
  <c r="K50" i="57"/>
  <c r="V25" i="57"/>
  <c r="V33" i="57"/>
  <c r="V41" i="57"/>
  <c r="V48" i="57"/>
  <c r="V49" i="57"/>
  <c r="I48" i="58"/>
  <c r="T48" i="58" s="1"/>
  <c r="S48" i="58" s="1"/>
  <c r="I46" i="58"/>
  <c r="I44" i="58"/>
  <c r="T44" i="58" s="1"/>
  <c r="S44" i="58" s="1"/>
  <c r="I42" i="58"/>
  <c r="I40" i="58"/>
  <c r="T40" i="58" s="1"/>
  <c r="S40" i="58" s="1"/>
  <c r="I38" i="58"/>
  <c r="I36" i="58"/>
  <c r="T36" i="58" s="1"/>
  <c r="S36" i="58" s="1"/>
  <c r="I34" i="58"/>
  <c r="T34" i="58" s="1"/>
  <c r="S34" i="58" s="1"/>
  <c r="I32" i="58"/>
  <c r="T32" i="58" s="1"/>
  <c r="S32" i="58" s="1"/>
  <c r="I30" i="58"/>
  <c r="T30" i="58" s="1"/>
  <c r="S30" i="58" s="1"/>
  <c r="I28" i="58"/>
  <c r="T28" i="58" s="1"/>
  <c r="S28" i="58" s="1"/>
  <c r="I26" i="58"/>
  <c r="T26" i="58" s="1"/>
  <c r="S26" i="58" s="1"/>
  <c r="I24" i="58"/>
  <c r="I22" i="58"/>
  <c r="I20" i="58"/>
  <c r="T20" i="58" s="1"/>
  <c r="S20" i="58" s="1"/>
  <c r="I43" i="58"/>
  <c r="T43" i="58" s="1"/>
  <c r="S43" i="58" s="1"/>
  <c r="I35" i="58"/>
  <c r="T35" i="58" s="1"/>
  <c r="S35" i="58" s="1"/>
  <c r="I27" i="58"/>
  <c r="T27" i="58" s="1"/>
  <c r="S27" i="58" s="1"/>
  <c r="I19" i="58"/>
  <c r="I45" i="58"/>
  <c r="T45" i="58" s="1"/>
  <c r="S45" i="58" s="1"/>
  <c r="I37" i="58"/>
  <c r="T37" i="58" s="1"/>
  <c r="S37" i="58" s="1"/>
  <c r="I29" i="58"/>
  <c r="T29" i="58" s="1"/>
  <c r="S29" i="58" s="1"/>
  <c r="I21" i="58"/>
  <c r="T21" i="58" s="1"/>
  <c r="S21" i="58" s="1"/>
  <c r="M23" i="58"/>
  <c r="T23" i="58" s="1"/>
  <c r="S23" i="58" s="1"/>
  <c r="M24" i="58"/>
  <c r="I25" i="58"/>
  <c r="T25" i="58" s="1"/>
  <c r="S25" i="58" s="1"/>
  <c r="M32" i="58"/>
  <c r="I33" i="58"/>
  <c r="T33" i="58" s="1"/>
  <c r="S33" i="58" s="1"/>
  <c r="M39" i="58"/>
  <c r="M40" i="58"/>
  <c r="I41" i="58"/>
  <c r="T41" i="58" s="1"/>
  <c r="S41" i="58" s="1"/>
  <c r="M47" i="58"/>
  <c r="T47" i="58" s="1"/>
  <c r="S47" i="58" s="1"/>
  <c r="M48" i="58"/>
  <c r="I49" i="58"/>
  <c r="V22" i="59"/>
  <c r="V25" i="59"/>
  <c r="U25" i="59"/>
  <c r="V30" i="59"/>
  <c r="V37" i="59"/>
  <c r="V48" i="59"/>
  <c r="U48" i="59"/>
  <c r="L28" i="60"/>
  <c r="I28" i="60"/>
  <c r="V49" i="60"/>
  <c r="V24" i="61"/>
  <c r="U24" i="61"/>
  <c r="V33" i="61"/>
  <c r="L42" i="62"/>
  <c r="I42" i="62"/>
  <c r="K50" i="63"/>
  <c r="M19" i="63"/>
  <c r="U30" i="63"/>
  <c r="M30" i="63"/>
  <c r="H50" i="64"/>
  <c r="L19" i="64"/>
  <c r="M36" i="64"/>
  <c r="T47" i="65"/>
  <c r="S47" i="65" s="1"/>
  <c r="U19" i="66"/>
  <c r="U22" i="67"/>
  <c r="V22" i="67"/>
  <c r="L50" i="67"/>
  <c r="M30" i="67"/>
  <c r="V30" i="67"/>
  <c r="V27" i="70"/>
  <c r="M27" i="70"/>
  <c r="U27" i="70"/>
  <c r="U39" i="71"/>
  <c r="M39" i="71"/>
  <c r="V31" i="72"/>
  <c r="U31" i="72"/>
  <c r="I19" i="31"/>
  <c r="I20" i="31"/>
  <c r="T20" i="31" s="1"/>
  <c r="S20" i="31" s="1"/>
  <c r="I21" i="31"/>
  <c r="I22" i="31"/>
  <c r="T22" i="31" s="1"/>
  <c r="S22" i="31" s="1"/>
  <c r="I23" i="31"/>
  <c r="I24" i="31"/>
  <c r="T24" i="31" s="1"/>
  <c r="S24" i="31" s="1"/>
  <c r="I25" i="31"/>
  <c r="T25" i="31" s="1"/>
  <c r="S25" i="31" s="1"/>
  <c r="I26" i="31"/>
  <c r="T26" i="31" s="1"/>
  <c r="S26" i="31" s="1"/>
  <c r="I27" i="31"/>
  <c r="T27" i="31" s="1"/>
  <c r="S27" i="31" s="1"/>
  <c r="I28" i="31"/>
  <c r="T28" i="31" s="1"/>
  <c r="S28" i="31" s="1"/>
  <c r="I29" i="31"/>
  <c r="I30" i="31"/>
  <c r="T30" i="31" s="1"/>
  <c r="S30" i="31" s="1"/>
  <c r="I31" i="31"/>
  <c r="I32" i="31"/>
  <c r="T32" i="31" s="1"/>
  <c r="S32" i="31" s="1"/>
  <c r="I33" i="31"/>
  <c r="T33" i="31" s="1"/>
  <c r="S33" i="31" s="1"/>
  <c r="I34" i="31"/>
  <c r="T34" i="31" s="1"/>
  <c r="S34" i="31" s="1"/>
  <c r="I35" i="31"/>
  <c r="T35" i="31" s="1"/>
  <c r="S35" i="31" s="1"/>
  <c r="I36" i="31"/>
  <c r="T36" i="31" s="1"/>
  <c r="S36" i="31" s="1"/>
  <c r="I37" i="31"/>
  <c r="I38" i="31"/>
  <c r="T38" i="31" s="1"/>
  <c r="S38" i="31" s="1"/>
  <c r="I39" i="31"/>
  <c r="I40" i="31"/>
  <c r="T40" i="31" s="1"/>
  <c r="S40" i="31" s="1"/>
  <c r="I41" i="31"/>
  <c r="T41" i="31" s="1"/>
  <c r="S41" i="31" s="1"/>
  <c r="I42" i="31"/>
  <c r="T42" i="31" s="1"/>
  <c r="S42" i="31" s="1"/>
  <c r="I43" i="31"/>
  <c r="T43" i="31" s="1"/>
  <c r="S43" i="31" s="1"/>
  <c r="I44" i="31"/>
  <c r="T44" i="31" s="1"/>
  <c r="S44" i="31" s="1"/>
  <c r="I45" i="31"/>
  <c r="I46" i="31"/>
  <c r="T46" i="31" s="1"/>
  <c r="S46" i="31" s="1"/>
  <c r="I47" i="31"/>
  <c r="I48" i="31"/>
  <c r="T48" i="31" s="1"/>
  <c r="S48" i="31" s="1"/>
  <c r="U20" i="32"/>
  <c r="V20" i="32"/>
  <c r="U22" i="32"/>
  <c r="V22" i="32"/>
  <c r="U24" i="32"/>
  <c r="V24" i="32"/>
  <c r="U26" i="32"/>
  <c r="V26" i="32"/>
  <c r="U28" i="32"/>
  <c r="V28" i="32"/>
  <c r="U30" i="32"/>
  <c r="V30" i="32"/>
  <c r="U32" i="32"/>
  <c r="V32" i="32"/>
  <c r="U34" i="32"/>
  <c r="V34" i="32"/>
  <c r="U36" i="32"/>
  <c r="V36" i="32"/>
  <c r="U38" i="32"/>
  <c r="V38" i="32"/>
  <c r="U40" i="32"/>
  <c r="V40" i="32"/>
  <c r="U42" i="32"/>
  <c r="V42" i="32"/>
  <c r="U44" i="32"/>
  <c r="V44" i="32"/>
  <c r="U46" i="32"/>
  <c r="V46" i="32"/>
  <c r="U48" i="32"/>
  <c r="V48" i="32"/>
  <c r="I19" i="33"/>
  <c r="I20" i="33"/>
  <c r="I21" i="33"/>
  <c r="T21" i="33" s="1"/>
  <c r="S21" i="33" s="1"/>
  <c r="I22" i="33"/>
  <c r="T22" i="33" s="1"/>
  <c r="S22" i="33" s="1"/>
  <c r="I23" i="33"/>
  <c r="T23" i="33" s="1"/>
  <c r="S23" i="33" s="1"/>
  <c r="I24" i="33"/>
  <c r="I25" i="33"/>
  <c r="T25" i="33" s="1"/>
  <c r="S25" i="33" s="1"/>
  <c r="I26" i="33"/>
  <c r="T26" i="33" s="1"/>
  <c r="S26" i="33" s="1"/>
  <c r="I27" i="33"/>
  <c r="T27" i="33" s="1"/>
  <c r="S27" i="33" s="1"/>
  <c r="I28" i="33"/>
  <c r="I29" i="33"/>
  <c r="T29" i="33" s="1"/>
  <c r="S29" i="33" s="1"/>
  <c r="I30" i="33"/>
  <c r="T30" i="33" s="1"/>
  <c r="S30" i="33" s="1"/>
  <c r="I31" i="33"/>
  <c r="T31" i="33" s="1"/>
  <c r="S31" i="33" s="1"/>
  <c r="I32" i="33"/>
  <c r="I33" i="33"/>
  <c r="T33" i="33" s="1"/>
  <c r="S33" i="33" s="1"/>
  <c r="I34" i="33"/>
  <c r="T34" i="33" s="1"/>
  <c r="S34" i="33" s="1"/>
  <c r="I35" i="33"/>
  <c r="T35" i="33" s="1"/>
  <c r="S35" i="33" s="1"/>
  <c r="I36" i="33"/>
  <c r="I37" i="33"/>
  <c r="T37" i="33" s="1"/>
  <c r="S37" i="33" s="1"/>
  <c r="I38" i="33"/>
  <c r="T38" i="33" s="1"/>
  <c r="S38" i="33" s="1"/>
  <c r="I39" i="33"/>
  <c r="T39" i="33" s="1"/>
  <c r="S39" i="33" s="1"/>
  <c r="I40" i="33"/>
  <c r="I41" i="33"/>
  <c r="T41" i="33" s="1"/>
  <c r="S41" i="33" s="1"/>
  <c r="I42" i="33"/>
  <c r="T42" i="33" s="1"/>
  <c r="S42" i="33" s="1"/>
  <c r="I43" i="33"/>
  <c r="T43" i="33" s="1"/>
  <c r="S43" i="33" s="1"/>
  <c r="I44" i="33"/>
  <c r="I45" i="33"/>
  <c r="T45" i="33" s="1"/>
  <c r="S45" i="33" s="1"/>
  <c r="I46" i="33"/>
  <c r="T46" i="33" s="1"/>
  <c r="S46" i="33" s="1"/>
  <c r="I47" i="33"/>
  <c r="T47" i="33" s="1"/>
  <c r="S47" i="33" s="1"/>
  <c r="I48" i="33"/>
  <c r="U20" i="34"/>
  <c r="V20" i="34"/>
  <c r="U22" i="34"/>
  <c r="V22" i="34"/>
  <c r="U24" i="34"/>
  <c r="V24" i="34"/>
  <c r="U26" i="34"/>
  <c r="V26" i="34"/>
  <c r="U28" i="34"/>
  <c r="V28" i="34"/>
  <c r="U30" i="34"/>
  <c r="V30" i="34"/>
  <c r="U32" i="34"/>
  <c r="V32" i="34"/>
  <c r="U34" i="34"/>
  <c r="V34" i="34"/>
  <c r="U36" i="34"/>
  <c r="V36" i="34"/>
  <c r="U38" i="34"/>
  <c r="V38" i="34"/>
  <c r="U40" i="34"/>
  <c r="V40" i="34"/>
  <c r="U42" i="34"/>
  <c r="V42" i="34"/>
  <c r="U44" i="34"/>
  <c r="V44" i="34"/>
  <c r="U46" i="34"/>
  <c r="V46" i="34"/>
  <c r="U48" i="34"/>
  <c r="V48" i="34"/>
  <c r="I19" i="35"/>
  <c r="I20" i="35"/>
  <c r="T20" i="35" s="1"/>
  <c r="S20" i="35" s="1"/>
  <c r="I21" i="35"/>
  <c r="T21" i="35" s="1"/>
  <c r="S21" i="35" s="1"/>
  <c r="I22" i="35"/>
  <c r="T22" i="35" s="1"/>
  <c r="S22" i="35" s="1"/>
  <c r="I23" i="35"/>
  <c r="I24" i="35"/>
  <c r="T24" i="35" s="1"/>
  <c r="S24" i="35" s="1"/>
  <c r="I25" i="35"/>
  <c r="I26" i="35"/>
  <c r="T26" i="35" s="1"/>
  <c r="S26" i="35" s="1"/>
  <c r="I27" i="35"/>
  <c r="I28" i="35"/>
  <c r="T28" i="35" s="1"/>
  <c r="S28" i="35" s="1"/>
  <c r="I29" i="35"/>
  <c r="T29" i="35" s="1"/>
  <c r="S29" i="35" s="1"/>
  <c r="I30" i="35"/>
  <c r="T30" i="35" s="1"/>
  <c r="S30" i="35" s="1"/>
  <c r="I31" i="35"/>
  <c r="T31" i="35" s="1"/>
  <c r="S31" i="35" s="1"/>
  <c r="I32" i="35"/>
  <c r="T32" i="35" s="1"/>
  <c r="S32" i="35" s="1"/>
  <c r="I33" i="35"/>
  <c r="T33" i="35" s="1"/>
  <c r="S33" i="35" s="1"/>
  <c r="I34" i="35"/>
  <c r="T34" i="35" s="1"/>
  <c r="S34" i="35" s="1"/>
  <c r="I35" i="35"/>
  <c r="T35" i="35" s="1"/>
  <c r="S35" i="35" s="1"/>
  <c r="I36" i="35"/>
  <c r="T36" i="35" s="1"/>
  <c r="S36" i="35" s="1"/>
  <c r="I37" i="35"/>
  <c r="I38" i="35"/>
  <c r="T38" i="35" s="1"/>
  <c r="S38" i="35" s="1"/>
  <c r="I39" i="35"/>
  <c r="T39" i="35" s="1"/>
  <c r="S39" i="35" s="1"/>
  <c r="I40" i="35"/>
  <c r="T40" i="35" s="1"/>
  <c r="S40" i="35" s="1"/>
  <c r="I41" i="35"/>
  <c r="T41" i="35" s="1"/>
  <c r="S41" i="35" s="1"/>
  <c r="I42" i="35"/>
  <c r="T42" i="35" s="1"/>
  <c r="S42" i="35" s="1"/>
  <c r="I43" i="35"/>
  <c r="I44" i="35"/>
  <c r="T44" i="35" s="1"/>
  <c r="S44" i="35" s="1"/>
  <c r="I45" i="35"/>
  <c r="T45" i="35" s="1"/>
  <c r="S45" i="35" s="1"/>
  <c r="I46" i="35"/>
  <c r="T46" i="35" s="1"/>
  <c r="S46" i="35" s="1"/>
  <c r="I47" i="35"/>
  <c r="I48" i="35"/>
  <c r="T48" i="35" s="1"/>
  <c r="S48" i="35" s="1"/>
  <c r="U20" i="36"/>
  <c r="V20" i="36"/>
  <c r="U22" i="36"/>
  <c r="V22" i="36"/>
  <c r="U24" i="36"/>
  <c r="V24" i="36"/>
  <c r="U26" i="36"/>
  <c r="V26" i="36"/>
  <c r="U28" i="36"/>
  <c r="V28" i="36"/>
  <c r="U30" i="36"/>
  <c r="V30" i="36"/>
  <c r="U32" i="36"/>
  <c r="V32" i="36"/>
  <c r="U34" i="36"/>
  <c r="V34" i="36"/>
  <c r="U36" i="36"/>
  <c r="V36" i="36"/>
  <c r="U38" i="36"/>
  <c r="V38" i="36"/>
  <c r="U40" i="36"/>
  <c r="V40" i="36"/>
  <c r="U42" i="36"/>
  <c r="V42" i="36"/>
  <c r="U44" i="36"/>
  <c r="V44" i="36"/>
  <c r="U46" i="36"/>
  <c r="V46" i="36"/>
  <c r="U48" i="36"/>
  <c r="V48" i="36"/>
  <c r="I19" i="37"/>
  <c r="U22" i="37"/>
  <c r="V22" i="37"/>
  <c r="M24" i="37"/>
  <c r="T24" i="37" s="1"/>
  <c r="S24" i="37" s="1"/>
  <c r="I26" i="37"/>
  <c r="I27" i="37"/>
  <c r="U30" i="37"/>
  <c r="V30" i="37"/>
  <c r="M32" i="37"/>
  <c r="I34" i="37"/>
  <c r="I35" i="37"/>
  <c r="U38" i="37"/>
  <c r="V38" i="37"/>
  <c r="M40" i="37"/>
  <c r="I42" i="37"/>
  <c r="U46" i="37"/>
  <c r="V46" i="37"/>
  <c r="M48" i="37"/>
  <c r="U20" i="38"/>
  <c r="V20" i="38"/>
  <c r="M22" i="38"/>
  <c r="V28" i="38"/>
  <c r="M30" i="38"/>
  <c r="M38" i="38"/>
  <c r="U44" i="38"/>
  <c r="V44" i="38"/>
  <c r="M46" i="38"/>
  <c r="M20" i="39"/>
  <c r="R23" i="39"/>
  <c r="V23" i="39" s="1"/>
  <c r="R24" i="39"/>
  <c r="U24" i="39" s="1"/>
  <c r="U26" i="39"/>
  <c r="V26" i="39"/>
  <c r="M28" i="39"/>
  <c r="T28" i="39" s="1"/>
  <c r="S28" i="39" s="1"/>
  <c r="R31" i="39"/>
  <c r="U31" i="39" s="1"/>
  <c r="R32" i="39"/>
  <c r="V32" i="39" s="1"/>
  <c r="U34" i="39"/>
  <c r="V34" i="39"/>
  <c r="M36" i="39"/>
  <c r="R39" i="39"/>
  <c r="V39" i="39" s="1"/>
  <c r="R40" i="39"/>
  <c r="U40" i="39" s="1"/>
  <c r="U42" i="39"/>
  <c r="V42" i="39"/>
  <c r="M44" i="39"/>
  <c r="R47" i="39"/>
  <c r="V47" i="39" s="1"/>
  <c r="K50" i="40"/>
  <c r="U24" i="40"/>
  <c r="M26" i="40"/>
  <c r="T26" i="40" s="1"/>
  <c r="S26" i="40" s="1"/>
  <c r="U32" i="40"/>
  <c r="V32" i="40"/>
  <c r="M34" i="40"/>
  <c r="U40" i="40"/>
  <c r="V40" i="40"/>
  <c r="M42" i="40"/>
  <c r="T42" i="40" s="1"/>
  <c r="S42" i="40" s="1"/>
  <c r="I19" i="41"/>
  <c r="U22" i="41"/>
  <c r="V22" i="41"/>
  <c r="M24" i="41"/>
  <c r="T24" i="41" s="1"/>
  <c r="S24" i="41" s="1"/>
  <c r="I26" i="41"/>
  <c r="T26" i="41" s="1"/>
  <c r="S26" i="41" s="1"/>
  <c r="I27" i="41"/>
  <c r="T27" i="41" s="1"/>
  <c r="S27" i="41" s="1"/>
  <c r="M32" i="41"/>
  <c r="T32" i="41" s="1"/>
  <c r="S32" i="41" s="1"/>
  <c r="I34" i="41"/>
  <c r="T34" i="41" s="1"/>
  <c r="S34" i="41" s="1"/>
  <c r="I35" i="41"/>
  <c r="T35" i="41" s="1"/>
  <c r="S35" i="41" s="1"/>
  <c r="U38" i="41"/>
  <c r="V38" i="41"/>
  <c r="M40" i="41"/>
  <c r="I42" i="41"/>
  <c r="T42" i="41" s="1"/>
  <c r="S42" i="41" s="1"/>
  <c r="V46" i="41"/>
  <c r="M48" i="41"/>
  <c r="M22" i="42"/>
  <c r="T22" i="42" s="1"/>
  <c r="S22" i="42" s="1"/>
  <c r="M30" i="42"/>
  <c r="T30" i="42" s="1"/>
  <c r="S30" i="42" s="1"/>
  <c r="U36" i="42"/>
  <c r="V36" i="42"/>
  <c r="M38" i="42"/>
  <c r="U44" i="42"/>
  <c r="V44" i="42"/>
  <c r="M46" i="42"/>
  <c r="M20" i="43"/>
  <c r="R23" i="43"/>
  <c r="V23" i="43" s="1"/>
  <c r="R24" i="43"/>
  <c r="U24" i="43" s="1"/>
  <c r="U26" i="43"/>
  <c r="V26" i="43"/>
  <c r="M28" i="43"/>
  <c r="R31" i="43"/>
  <c r="U31" i="43" s="1"/>
  <c r="R32" i="43"/>
  <c r="U32" i="43" s="1"/>
  <c r="U34" i="43"/>
  <c r="V34" i="43"/>
  <c r="M36" i="43"/>
  <c r="R39" i="43"/>
  <c r="V39" i="43" s="1"/>
  <c r="R40" i="43"/>
  <c r="V40" i="43" s="1"/>
  <c r="U42" i="43"/>
  <c r="V42" i="43"/>
  <c r="M44" i="43"/>
  <c r="R47" i="43"/>
  <c r="M49" i="43"/>
  <c r="K50" i="44"/>
  <c r="I20" i="44"/>
  <c r="T20" i="44" s="1"/>
  <c r="S20" i="44" s="1"/>
  <c r="I21" i="44"/>
  <c r="M23" i="44"/>
  <c r="T23" i="44" s="1"/>
  <c r="S23" i="44" s="1"/>
  <c r="U24" i="44"/>
  <c r="M26" i="44"/>
  <c r="I28" i="44"/>
  <c r="T28" i="44" s="1"/>
  <c r="S28" i="44" s="1"/>
  <c r="I29" i="44"/>
  <c r="T29" i="44" s="1"/>
  <c r="S29" i="44" s="1"/>
  <c r="M31" i="44"/>
  <c r="M34" i="44"/>
  <c r="I36" i="44"/>
  <c r="I37" i="44"/>
  <c r="M39" i="44"/>
  <c r="T39" i="44" s="1"/>
  <c r="S39" i="44" s="1"/>
  <c r="U40" i="44"/>
  <c r="V40" i="44"/>
  <c r="M42" i="44"/>
  <c r="I44" i="44"/>
  <c r="T44" i="44" s="1"/>
  <c r="S44" i="44" s="1"/>
  <c r="M47" i="44"/>
  <c r="T47" i="44" s="1"/>
  <c r="S47" i="44" s="1"/>
  <c r="U48" i="44"/>
  <c r="V48" i="44"/>
  <c r="I19" i="45"/>
  <c r="M21" i="45"/>
  <c r="T21" i="45" s="1"/>
  <c r="S21" i="45" s="1"/>
  <c r="U22" i="45"/>
  <c r="V22" i="45"/>
  <c r="M24" i="45"/>
  <c r="I26" i="45"/>
  <c r="T26" i="45" s="1"/>
  <c r="S26" i="45" s="1"/>
  <c r="I27" i="45"/>
  <c r="M29" i="45"/>
  <c r="T29" i="45" s="1"/>
  <c r="S29" i="45" s="1"/>
  <c r="U30" i="45"/>
  <c r="V30" i="45"/>
  <c r="M32" i="45"/>
  <c r="T32" i="45" s="1"/>
  <c r="S32" i="45" s="1"/>
  <c r="I34" i="45"/>
  <c r="I35" i="45"/>
  <c r="T35" i="45" s="1"/>
  <c r="S35" i="45" s="1"/>
  <c r="M37" i="45"/>
  <c r="T37" i="45" s="1"/>
  <c r="S37" i="45" s="1"/>
  <c r="U38" i="45"/>
  <c r="V38" i="45"/>
  <c r="M40" i="45"/>
  <c r="T40" i="45" s="1"/>
  <c r="S40" i="45" s="1"/>
  <c r="I42" i="45"/>
  <c r="T42" i="45" s="1"/>
  <c r="S42" i="45" s="1"/>
  <c r="M45" i="45"/>
  <c r="T45" i="45" s="1"/>
  <c r="S45" i="45" s="1"/>
  <c r="U46" i="45"/>
  <c r="V46" i="45"/>
  <c r="M48" i="45"/>
  <c r="T48" i="45" s="1"/>
  <c r="S48" i="45" s="1"/>
  <c r="M19" i="46"/>
  <c r="V19" i="46"/>
  <c r="U20" i="46"/>
  <c r="V20" i="46"/>
  <c r="M22" i="46"/>
  <c r="R25" i="46"/>
  <c r="U25" i="46" s="1"/>
  <c r="R26" i="46"/>
  <c r="V26" i="46" s="1"/>
  <c r="M27" i="46"/>
  <c r="T27" i="46" s="1"/>
  <c r="S27" i="46" s="1"/>
  <c r="U28" i="46"/>
  <c r="V28" i="46"/>
  <c r="M30" i="46"/>
  <c r="R33" i="46"/>
  <c r="U33" i="46" s="1"/>
  <c r="R34" i="46"/>
  <c r="M35" i="46"/>
  <c r="T35" i="46" s="1"/>
  <c r="S35" i="46" s="1"/>
  <c r="U36" i="46"/>
  <c r="V36" i="46"/>
  <c r="M38" i="46"/>
  <c r="R41" i="46"/>
  <c r="V41" i="46" s="1"/>
  <c r="R42" i="46"/>
  <c r="V42" i="46" s="1"/>
  <c r="M43" i="46"/>
  <c r="U44" i="46"/>
  <c r="V44" i="46"/>
  <c r="M46" i="46"/>
  <c r="M20" i="47"/>
  <c r="R23" i="47"/>
  <c r="U23" i="47" s="1"/>
  <c r="R24" i="47"/>
  <c r="U24" i="47" s="1"/>
  <c r="M25" i="47"/>
  <c r="T25" i="47" s="1"/>
  <c r="S25" i="47" s="1"/>
  <c r="U26" i="47"/>
  <c r="V26" i="47"/>
  <c r="M28" i="47"/>
  <c r="R31" i="47"/>
  <c r="V31" i="47" s="1"/>
  <c r="R32" i="47"/>
  <c r="U32" i="47" s="1"/>
  <c r="M33" i="47"/>
  <c r="U34" i="47"/>
  <c r="V34" i="47"/>
  <c r="M36" i="47"/>
  <c r="R39" i="47"/>
  <c r="V39" i="47" s="1"/>
  <c r="R40" i="47"/>
  <c r="M41" i="47"/>
  <c r="U42" i="47"/>
  <c r="V42" i="47"/>
  <c r="M44" i="47"/>
  <c r="R47" i="47"/>
  <c r="U47" i="47" s="1"/>
  <c r="M49" i="47"/>
  <c r="R48" i="48"/>
  <c r="V48" i="48" s="1"/>
  <c r="R46" i="48"/>
  <c r="U46" i="48" s="1"/>
  <c r="R44" i="48"/>
  <c r="V44" i="48" s="1"/>
  <c r="R42" i="48"/>
  <c r="V42" i="48" s="1"/>
  <c r="R40" i="48"/>
  <c r="V40" i="48" s="1"/>
  <c r="R38" i="48"/>
  <c r="U38" i="48" s="1"/>
  <c r="R36" i="48"/>
  <c r="V36" i="48" s="1"/>
  <c r="R34" i="48"/>
  <c r="V34" i="48" s="1"/>
  <c r="R32" i="48"/>
  <c r="U32" i="48" s="1"/>
  <c r="R30" i="48"/>
  <c r="U30" i="48" s="1"/>
  <c r="R28" i="48"/>
  <c r="V28" i="48" s="1"/>
  <c r="R26" i="48"/>
  <c r="V26" i="48" s="1"/>
  <c r="R24" i="48"/>
  <c r="U24" i="48" s="1"/>
  <c r="R22" i="48"/>
  <c r="U22" i="48" s="1"/>
  <c r="R20" i="48"/>
  <c r="R50" i="48" s="1"/>
  <c r="R45" i="48"/>
  <c r="R37" i="48"/>
  <c r="R29" i="48"/>
  <c r="R21" i="48"/>
  <c r="M20" i="48"/>
  <c r="M27" i="48"/>
  <c r="U35" i="48"/>
  <c r="V38" i="48"/>
  <c r="U41" i="48"/>
  <c r="R41" i="48"/>
  <c r="V41" i="48" s="1"/>
  <c r="V43" i="48"/>
  <c r="R47" i="48"/>
  <c r="L50" i="49"/>
  <c r="U19" i="49"/>
  <c r="V21" i="49"/>
  <c r="M29" i="49"/>
  <c r="V32" i="49"/>
  <c r="V37" i="49"/>
  <c r="M45" i="49"/>
  <c r="V48" i="49"/>
  <c r="H50" i="49"/>
  <c r="K50" i="50"/>
  <c r="V19" i="50"/>
  <c r="U23" i="50"/>
  <c r="V30" i="50"/>
  <c r="U30" i="50"/>
  <c r="M32" i="50"/>
  <c r="M33" i="50"/>
  <c r="U39" i="50"/>
  <c r="V46" i="50"/>
  <c r="M48" i="50"/>
  <c r="M49" i="50"/>
  <c r="T49" i="50" s="1"/>
  <c r="S49" i="50" s="1"/>
  <c r="M19" i="51"/>
  <c r="I23" i="51"/>
  <c r="T23" i="51" s="1"/>
  <c r="S23" i="51" s="1"/>
  <c r="I25" i="51"/>
  <c r="T25" i="51" s="1"/>
  <c r="S25" i="51" s="1"/>
  <c r="U25" i="51"/>
  <c r="I27" i="51"/>
  <c r="T27" i="51" s="1"/>
  <c r="S27" i="51" s="1"/>
  <c r="U32" i="51"/>
  <c r="M34" i="51"/>
  <c r="M35" i="51"/>
  <c r="I39" i="51"/>
  <c r="T39" i="51" s="1"/>
  <c r="S39" i="51" s="1"/>
  <c r="I41" i="51"/>
  <c r="T41" i="51" s="1"/>
  <c r="S41" i="51" s="1"/>
  <c r="U41" i="51"/>
  <c r="I43" i="51"/>
  <c r="V48" i="51"/>
  <c r="U48" i="51"/>
  <c r="I48" i="52"/>
  <c r="T48" i="52" s="1"/>
  <c r="S48" i="52" s="1"/>
  <c r="I46" i="52"/>
  <c r="T46" i="52" s="1"/>
  <c r="S46" i="52" s="1"/>
  <c r="I44" i="52"/>
  <c r="T44" i="52" s="1"/>
  <c r="S44" i="52" s="1"/>
  <c r="I42" i="52"/>
  <c r="T42" i="52" s="1"/>
  <c r="S42" i="52" s="1"/>
  <c r="I40" i="52"/>
  <c r="T40" i="52" s="1"/>
  <c r="S40" i="52" s="1"/>
  <c r="I38" i="52"/>
  <c r="T38" i="52" s="1"/>
  <c r="S38" i="52" s="1"/>
  <c r="I36" i="52"/>
  <c r="I34" i="52"/>
  <c r="T34" i="52" s="1"/>
  <c r="S34" i="52" s="1"/>
  <c r="I32" i="52"/>
  <c r="T32" i="52" s="1"/>
  <c r="S32" i="52" s="1"/>
  <c r="I30" i="52"/>
  <c r="T30" i="52" s="1"/>
  <c r="S30" i="52" s="1"/>
  <c r="I28" i="52"/>
  <c r="I26" i="52"/>
  <c r="T26" i="52" s="1"/>
  <c r="S26" i="52" s="1"/>
  <c r="I24" i="52"/>
  <c r="T24" i="52" s="1"/>
  <c r="S24" i="52" s="1"/>
  <c r="I22" i="52"/>
  <c r="T22" i="52" s="1"/>
  <c r="S22" i="52" s="1"/>
  <c r="I20" i="52"/>
  <c r="I47" i="52"/>
  <c r="T47" i="52" s="1"/>
  <c r="S47" i="52" s="1"/>
  <c r="I39" i="52"/>
  <c r="T39" i="52" s="1"/>
  <c r="S39" i="52" s="1"/>
  <c r="I31" i="52"/>
  <c r="T31" i="52" s="1"/>
  <c r="S31" i="52" s="1"/>
  <c r="I23" i="52"/>
  <c r="T23" i="52" s="1"/>
  <c r="S23" i="52" s="1"/>
  <c r="V22" i="52"/>
  <c r="V27" i="52"/>
  <c r="M35" i="52"/>
  <c r="V38" i="52"/>
  <c r="V43" i="52"/>
  <c r="K50" i="52"/>
  <c r="M22" i="53"/>
  <c r="M23" i="53"/>
  <c r="U29" i="53"/>
  <c r="U36" i="53"/>
  <c r="M38" i="53"/>
  <c r="M39" i="53"/>
  <c r="U45" i="53"/>
  <c r="L50" i="54"/>
  <c r="U19" i="54"/>
  <c r="V23" i="54"/>
  <c r="M31" i="54"/>
  <c r="V39" i="54"/>
  <c r="M47" i="54"/>
  <c r="H50" i="54"/>
  <c r="I48" i="55"/>
  <c r="T48" i="55" s="1"/>
  <c r="S48" i="55" s="1"/>
  <c r="I46" i="55"/>
  <c r="T46" i="55" s="1"/>
  <c r="S46" i="55" s="1"/>
  <c r="I44" i="55"/>
  <c r="I42" i="55"/>
  <c r="I40" i="55"/>
  <c r="T40" i="55" s="1"/>
  <c r="S40" i="55" s="1"/>
  <c r="I38" i="55"/>
  <c r="T38" i="55" s="1"/>
  <c r="S38" i="55" s="1"/>
  <c r="I36" i="55"/>
  <c r="T36" i="55" s="1"/>
  <c r="S36" i="55" s="1"/>
  <c r="I34" i="55"/>
  <c r="T34" i="55" s="1"/>
  <c r="S34" i="55" s="1"/>
  <c r="I32" i="55"/>
  <c r="T32" i="55" s="1"/>
  <c r="S32" i="55" s="1"/>
  <c r="I30" i="55"/>
  <c r="T30" i="55" s="1"/>
  <c r="S30" i="55" s="1"/>
  <c r="I28" i="55"/>
  <c r="I26" i="55"/>
  <c r="T26" i="55" s="1"/>
  <c r="S26" i="55" s="1"/>
  <c r="I24" i="55"/>
  <c r="T24" i="55" s="1"/>
  <c r="S24" i="55" s="1"/>
  <c r="I22" i="55"/>
  <c r="T22" i="55" s="1"/>
  <c r="S22" i="55" s="1"/>
  <c r="I20" i="55"/>
  <c r="T20" i="55" s="1"/>
  <c r="S20" i="55" s="1"/>
  <c r="I45" i="55"/>
  <c r="T45" i="55" s="1"/>
  <c r="S45" i="55" s="1"/>
  <c r="I37" i="55"/>
  <c r="T37" i="55" s="1"/>
  <c r="S37" i="55" s="1"/>
  <c r="I29" i="55"/>
  <c r="I21" i="55"/>
  <c r="T21" i="55" s="1"/>
  <c r="S21" i="55" s="1"/>
  <c r="V25" i="55"/>
  <c r="M33" i="55"/>
  <c r="V41" i="55"/>
  <c r="M49" i="55"/>
  <c r="M28" i="56"/>
  <c r="M29" i="56"/>
  <c r="U35" i="56"/>
  <c r="M44" i="56"/>
  <c r="M45" i="56"/>
  <c r="M22" i="57"/>
  <c r="T23" i="57"/>
  <c r="S23" i="57" s="1"/>
  <c r="M30" i="57"/>
  <c r="M37" i="57"/>
  <c r="M38" i="57"/>
  <c r="M46" i="57"/>
  <c r="T47" i="57"/>
  <c r="S47" i="57" s="1"/>
  <c r="U21" i="58"/>
  <c r="V21" i="58"/>
  <c r="V25" i="58"/>
  <c r="M25" i="58"/>
  <c r="U29" i="58"/>
  <c r="V29" i="58"/>
  <c r="V33" i="58"/>
  <c r="M33" i="58"/>
  <c r="U37" i="58"/>
  <c r="V37" i="58"/>
  <c r="V41" i="58"/>
  <c r="M41" i="58"/>
  <c r="U45" i="58"/>
  <c r="V45" i="58"/>
  <c r="V49" i="58"/>
  <c r="M49" i="58"/>
  <c r="V20" i="59"/>
  <c r="M22" i="59"/>
  <c r="V28" i="59"/>
  <c r="M30" i="59"/>
  <c r="M37" i="59"/>
  <c r="V44" i="59"/>
  <c r="U46" i="59"/>
  <c r="V46" i="59"/>
  <c r="M49" i="59"/>
  <c r="K50" i="60"/>
  <c r="T22" i="60"/>
  <c r="S22" i="60" s="1"/>
  <c r="V24" i="60"/>
  <c r="L26" i="60"/>
  <c r="I26" i="60"/>
  <c r="V27" i="60"/>
  <c r="M29" i="60"/>
  <c r="V37" i="60"/>
  <c r="M47" i="60"/>
  <c r="M49" i="60"/>
  <c r="V20" i="61"/>
  <c r="U22" i="61"/>
  <c r="V22" i="61"/>
  <c r="M25" i="61"/>
  <c r="V28" i="61"/>
  <c r="V29" i="61"/>
  <c r="M29" i="61"/>
  <c r="M33" i="61"/>
  <c r="U37" i="61"/>
  <c r="V48" i="61"/>
  <c r="U48" i="61"/>
  <c r="U21" i="62"/>
  <c r="L28" i="62"/>
  <c r="I28" i="62"/>
  <c r="U21" i="63"/>
  <c r="V24" i="63"/>
  <c r="U24" i="63"/>
  <c r="M39" i="63"/>
  <c r="V43" i="63"/>
  <c r="K50" i="64"/>
  <c r="L26" i="64"/>
  <c r="I26" i="64"/>
  <c r="M44" i="64"/>
  <c r="V44" i="64"/>
  <c r="V45" i="64"/>
  <c r="U19" i="65"/>
  <c r="U23" i="65"/>
  <c r="V23" i="65"/>
  <c r="L36" i="65"/>
  <c r="L50" i="65" s="1"/>
  <c r="I36" i="65"/>
  <c r="T22" i="66"/>
  <c r="S22" i="66" s="1"/>
  <c r="U25" i="66"/>
  <c r="M25" i="66"/>
  <c r="U38" i="66"/>
  <c r="V38" i="66"/>
  <c r="I47" i="67"/>
  <c r="T47" i="67" s="1"/>
  <c r="S47" i="67" s="1"/>
  <c r="I46" i="67"/>
  <c r="I39" i="67"/>
  <c r="T39" i="67" s="1"/>
  <c r="S39" i="67" s="1"/>
  <c r="I38" i="67"/>
  <c r="T38" i="67" s="1"/>
  <c r="S38" i="67" s="1"/>
  <c r="I31" i="67"/>
  <c r="T31" i="67" s="1"/>
  <c r="S31" i="67" s="1"/>
  <c r="I30" i="67"/>
  <c r="I23" i="67"/>
  <c r="I22" i="67"/>
  <c r="T22" i="67" s="1"/>
  <c r="S22" i="67" s="1"/>
  <c r="I42" i="67"/>
  <c r="T42" i="67" s="1"/>
  <c r="S42" i="67" s="1"/>
  <c r="I34" i="67"/>
  <c r="T34" i="67" s="1"/>
  <c r="S34" i="67" s="1"/>
  <c r="I26" i="67"/>
  <c r="T26" i="67" s="1"/>
  <c r="S26" i="67" s="1"/>
  <c r="I43" i="67"/>
  <c r="T43" i="67" s="1"/>
  <c r="S43" i="67" s="1"/>
  <c r="I41" i="67"/>
  <c r="I37" i="67"/>
  <c r="I32" i="67"/>
  <c r="T32" i="67" s="1"/>
  <c r="S32" i="67" s="1"/>
  <c r="I28" i="67"/>
  <c r="T28" i="67" s="1"/>
  <c r="S28" i="67" s="1"/>
  <c r="I35" i="67"/>
  <c r="I33" i="67"/>
  <c r="I29" i="67"/>
  <c r="I24" i="67"/>
  <c r="T24" i="67" s="1"/>
  <c r="S24" i="67" s="1"/>
  <c r="I20" i="67"/>
  <c r="I48" i="67"/>
  <c r="T48" i="67" s="1"/>
  <c r="S48" i="67" s="1"/>
  <c r="I44" i="67"/>
  <c r="I40" i="67"/>
  <c r="T40" i="67" s="1"/>
  <c r="S40" i="67" s="1"/>
  <c r="I25" i="67"/>
  <c r="T25" i="67" s="1"/>
  <c r="S25" i="67" s="1"/>
  <c r="I36" i="67"/>
  <c r="I27" i="67"/>
  <c r="T27" i="67" s="1"/>
  <c r="S27" i="67" s="1"/>
  <c r="I21" i="67"/>
  <c r="T21" i="67" s="1"/>
  <c r="S21" i="67" s="1"/>
  <c r="I19" i="67"/>
  <c r="V21" i="67"/>
  <c r="U21" i="67"/>
  <c r="M29" i="67"/>
  <c r="V29" i="67"/>
  <c r="U29" i="67"/>
  <c r="U35" i="67"/>
  <c r="V35" i="67"/>
  <c r="M35" i="67"/>
  <c r="I45" i="67"/>
  <c r="T45" i="67" s="1"/>
  <c r="S45" i="67" s="1"/>
  <c r="U46" i="67"/>
  <c r="V46" i="67"/>
  <c r="M27" i="68"/>
  <c r="U33" i="68"/>
  <c r="M33" i="68"/>
  <c r="L29" i="69"/>
  <c r="H50" i="69"/>
  <c r="M47" i="69"/>
  <c r="V47" i="69"/>
  <c r="U47" i="69"/>
  <c r="U22" i="70"/>
  <c r="V22" i="70"/>
  <c r="I19" i="57"/>
  <c r="I27" i="57"/>
  <c r="I35" i="57"/>
  <c r="T35" i="57" s="1"/>
  <c r="S35" i="57" s="1"/>
  <c r="L50" i="58"/>
  <c r="M33" i="59"/>
  <c r="M40" i="59"/>
  <c r="T40" i="59" s="1"/>
  <c r="S40" i="59" s="1"/>
  <c r="R49" i="60"/>
  <c r="U49" i="60" s="1"/>
  <c r="R47" i="60"/>
  <c r="V47" i="60" s="1"/>
  <c r="R45" i="60"/>
  <c r="V45" i="60" s="1"/>
  <c r="R43" i="60"/>
  <c r="R41" i="60"/>
  <c r="U41" i="60" s="1"/>
  <c r="R39" i="60"/>
  <c r="U39" i="60" s="1"/>
  <c r="R37" i="60"/>
  <c r="U37" i="60" s="1"/>
  <c r="R35" i="60"/>
  <c r="V35" i="60" s="1"/>
  <c r="R33" i="60"/>
  <c r="V33" i="60" s="1"/>
  <c r="R31" i="60"/>
  <c r="U31" i="60" s="1"/>
  <c r="R29" i="60"/>
  <c r="U29" i="60" s="1"/>
  <c r="R27" i="60"/>
  <c r="U27" i="60" s="1"/>
  <c r="R25" i="60"/>
  <c r="V25" i="60" s="1"/>
  <c r="R23" i="60"/>
  <c r="U23" i="60" s="1"/>
  <c r="R21" i="60"/>
  <c r="U21" i="60" s="1"/>
  <c r="R19" i="60"/>
  <c r="R46" i="60"/>
  <c r="R38" i="60"/>
  <c r="R30" i="60"/>
  <c r="R22" i="60"/>
  <c r="T30" i="60"/>
  <c r="S30" i="60" s="1"/>
  <c r="U32" i="60"/>
  <c r="R34" i="60"/>
  <c r="V34" i="60" s="1"/>
  <c r="V36" i="60"/>
  <c r="R40" i="60"/>
  <c r="V40" i="60" s="1"/>
  <c r="V43" i="60"/>
  <c r="U43" i="60"/>
  <c r="R44" i="60"/>
  <c r="U44" i="60" s="1"/>
  <c r="M45" i="60"/>
  <c r="R49" i="61"/>
  <c r="V49" i="61" s="1"/>
  <c r="R47" i="61"/>
  <c r="U47" i="61" s="1"/>
  <c r="R45" i="61"/>
  <c r="R43" i="61"/>
  <c r="U43" i="61" s="1"/>
  <c r="R41" i="61"/>
  <c r="U41" i="61" s="1"/>
  <c r="R39" i="61"/>
  <c r="V39" i="61" s="1"/>
  <c r="R37" i="61"/>
  <c r="V37" i="61" s="1"/>
  <c r="R35" i="61"/>
  <c r="U35" i="61" s="1"/>
  <c r="R33" i="61"/>
  <c r="U33" i="61" s="1"/>
  <c r="R31" i="61"/>
  <c r="U31" i="61" s="1"/>
  <c r="R29" i="61"/>
  <c r="U29" i="61" s="1"/>
  <c r="R27" i="61"/>
  <c r="U27" i="61" s="1"/>
  <c r="R25" i="61"/>
  <c r="U25" i="61" s="1"/>
  <c r="R23" i="61"/>
  <c r="U23" i="61" s="1"/>
  <c r="R21" i="61"/>
  <c r="U21" i="61" s="1"/>
  <c r="R19" i="61"/>
  <c r="R42" i="61"/>
  <c r="R34" i="61"/>
  <c r="R26" i="61"/>
  <c r="R44" i="61"/>
  <c r="V27" i="61"/>
  <c r="U28" i="61"/>
  <c r="U30" i="61"/>
  <c r="R30" i="61"/>
  <c r="V30" i="61" s="1"/>
  <c r="V32" i="61"/>
  <c r="R36" i="61"/>
  <c r="V36" i="61" s="1"/>
  <c r="R40" i="61"/>
  <c r="U40" i="61" s="1"/>
  <c r="M41" i="61"/>
  <c r="R49" i="62"/>
  <c r="U49" i="62" s="1"/>
  <c r="R47" i="62"/>
  <c r="V47" i="62" s="1"/>
  <c r="R45" i="62"/>
  <c r="U45" i="62" s="1"/>
  <c r="R43" i="62"/>
  <c r="V43" i="62" s="1"/>
  <c r="R41" i="62"/>
  <c r="V41" i="62" s="1"/>
  <c r="R39" i="62"/>
  <c r="U39" i="62" s="1"/>
  <c r="R37" i="62"/>
  <c r="V37" i="62" s="1"/>
  <c r="R35" i="62"/>
  <c r="R33" i="62"/>
  <c r="U33" i="62" s="1"/>
  <c r="R31" i="62"/>
  <c r="V31" i="62" s="1"/>
  <c r="R29" i="62"/>
  <c r="R27" i="62"/>
  <c r="V27" i="62" s="1"/>
  <c r="R25" i="62"/>
  <c r="V25" i="62" s="1"/>
  <c r="R23" i="62"/>
  <c r="U23" i="62" s="1"/>
  <c r="R21" i="62"/>
  <c r="V21" i="62" s="1"/>
  <c r="R19" i="62"/>
  <c r="R46" i="62"/>
  <c r="R38" i="62"/>
  <c r="R30" i="62"/>
  <c r="R22" i="62"/>
  <c r="R48" i="62"/>
  <c r="R40" i="62"/>
  <c r="R32" i="62"/>
  <c r="R24" i="62"/>
  <c r="R20" i="62"/>
  <c r="V20" i="62" s="1"/>
  <c r="V29" i="62"/>
  <c r="U29" i="62"/>
  <c r="L34" i="62"/>
  <c r="I34" i="62"/>
  <c r="R36" i="62"/>
  <c r="V36" i="62" s="1"/>
  <c r="V45" i="62"/>
  <c r="I49" i="63"/>
  <c r="T49" i="63" s="1"/>
  <c r="S49" i="63" s="1"/>
  <c r="I47" i="63"/>
  <c r="T47" i="63" s="1"/>
  <c r="S47" i="63" s="1"/>
  <c r="I45" i="63"/>
  <c r="I43" i="63"/>
  <c r="I41" i="63"/>
  <c r="I39" i="63"/>
  <c r="T39" i="63" s="1"/>
  <c r="S39" i="63" s="1"/>
  <c r="I37" i="63"/>
  <c r="T37" i="63" s="1"/>
  <c r="S37" i="63" s="1"/>
  <c r="I35" i="63"/>
  <c r="T35" i="63" s="1"/>
  <c r="S35" i="63" s="1"/>
  <c r="I33" i="63"/>
  <c r="T33" i="63" s="1"/>
  <c r="S33" i="63" s="1"/>
  <c r="I31" i="63"/>
  <c r="T31" i="63" s="1"/>
  <c r="S31" i="63" s="1"/>
  <c r="I29" i="63"/>
  <c r="T29" i="63" s="1"/>
  <c r="S29" i="63" s="1"/>
  <c r="I27" i="63"/>
  <c r="I25" i="63"/>
  <c r="T25" i="63" s="1"/>
  <c r="S25" i="63" s="1"/>
  <c r="I23" i="63"/>
  <c r="I21" i="63"/>
  <c r="T21" i="63" s="1"/>
  <c r="S21" i="63" s="1"/>
  <c r="I19" i="63"/>
  <c r="I44" i="63"/>
  <c r="T44" i="63" s="1"/>
  <c r="S44" i="63" s="1"/>
  <c r="I36" i="63"/>
  <c r="T36" i="63" s="1"/>
  <c r="S36" i="63" s="1"/>
  <c r="I28" i="63"/>
  <c r="T28" i="63" s="1"/>
  <c r="S28" i="63" s="1"/>
  <c r="I20" i="63"/>
  <c r="T20" i="63" s="1"/>
  <c r="S20" i="63" s="1"/>
  <c r="I46" i="63"/>
  <c r="T46" i="63" s="1"/>
  <c r="S46" i="63" s="1"/>
  <c r="I38" i="63"/>
  <c r="T38" i="63" s="1"/>
  <c r="S38" i="63" s="1"/>
  <c r="I30" i="63"/>
  <c r="I22" i="63"/>
  <c r="T22" i="63" s="1"/>
  <c r="S22" i="63" s="1"/>
  <c r="V19" i="63"/>
  <c r="L50" i="63"/>
  <c r="M24" i="63"/>
  <c r="T24" i="63" s="1"/>
  <c r="S24" i="63" s="1"/>
  <c r="M25" i="63"/>
  <c r="I26" i="63"/>
  <c r="T26" i="63" s="1"/>
  <c r="S26" i="63" s="1"/>
  <c r="V29" i="63"/>
  <c r="V32" i="63"/>
  <c r="U32" i="63"/>
  <c r="V35" i="63"/>
  <c r="M41" i="63"/>
  <c r="I42" i="63"/>
  <c r="T42" i="63" s="1"/>
  <c r="S42" i="63" s="1"/>
  <c r="V48" i="63"/>
  <c r="U48" i="63"/>
  <c r="M20" i="64"/>
  <c r="M21" i="64"/>
  <c r="V25" i="64"/>
  <c r="U27" i="64"/>
  <c r="V27" i="64"/>
  <c r="M30" i="64"/>
  <c r="T30" i="64" s="1"/>
  <c r="S30" i="64" s="1"/>
  <c r="V38" i="64"/>
  <c r="M38" i="64"/>
  <c r="T38" i="64" s="1"/>
  <c r="S38" i="64" s="1"/>
  <c r="U38" i="64"/>
  <c r="M46" i="64"/>
  <c r="T46" i="64" s="1"/>
  <c r="S46" i="64" s="1"/>
  <c r="R44" i="65"/>
  <c r="V44" i="65" s="1"/>
  <c r="R43" i="65"/>
  <c r="U43" i="65" s="1"/>
  <c r="R49" i="65"/>
  <c r="R48" i="65"/>
  <c r="R41" i="65"/>
  <c r="V41" i="65" s="1"/>
  <c r="R40" i="65"/>
  <c r="V40" i="65" s="1"/>
  <c r="R39" i="65"/>
  <c r="R38" i="65"/>
  <c r="V38" i="65" s="1"/>
  <c r="R31" i="65"/>
  <c r="V31" i="65" s="1"/>
  <c r="R30" i="65"/>
  <c r="V30" i="65" s="1"/>
  <c r="R23" i="65"/>
  <c r="R22" i="65"/>
  <c r="V22" i="65" s="1"/>
  <c r="R47" i="65"/>
  <c r="U47" i="65" s="1"/>
  <c r="R42" i="65"/>
  <c r="U42" i="65" s="1"/>
  <c r="R37" i="65"/>
  <c r="V37" i="65" s="1"/>
  <c r="R33" i="65"/>
  <c r="R29" i="65"/>
  <c r="V29" i="65" s="1"/>
  <c r="R25" i="65"/>
  <c r="U25" i="65" s="1"/>
  <c r="R21" i="65"/>
  <c r="V21" i="65" s="1"/>
  <c r="R46" i="65"/>
  <c r="R34" i="65"/>
  <c r="V34" i="65" s="1"/>
  <c r="R26" i="65"/>
  <c r="V26" i="65" s="1"/>
  <c r="R19" i="65"/>
  <c r="R24" i="65"/>
  <c r="U24" i="65" s="1"/>
  <c r="V28" i="65"/>
  <c r="U28" i="65"/>
  <c r="R28" i="65"/>
  <c r="U39" i="65"/>
  <c r="V39" i="65"/>
  <c r="M43" i="65"/>
  <c r="R45" i="65"/>
  <c r="U45" i="65" s="1"/>
  <c r="U48" i="65"/>
  <c r="V48" i="65"/>
  <c r="V23" i="66"/>
  <c r="U23" i="66"/>
  <c r="M33" i="66"/>
  <c r="U34" i="66"/>
  <c r="U37" i="66"/>
  <c r="M37" i="66"/>
  <c r="V33" i="67"/>
  <c r="M33" i="67"/>
  <c r="U33" i="67"/>
  <c r="M37" i="67"/>
  <c r="U37" i="67"/>
  <c r="V41" i="67"/>
  <c r="M41" i="67"/>
  <c r="V21" i="68"/>
  <c r="M21" i="68"/>
  <c r="U40" i="68"/>
  <c r="V40" i="68"/>
  <c r="I49" i="69"/>
  <c r="I48" i="69"/>
  <c r="I41" i="69"/>
  <c r="T41" i="69" s="1"/>
  <c r="S41" i="69" s="1"/>
  <c r="I40" i="69"/>
  <c r="T40" i="69" s="1"/>
  <c r="S40" i="69" s="1"/>
  <c r="I33" i="69"/>
  <c r="I32" i="69"/>
  <c r="T32" i="69" s="1"/>
  <c r="S32" i="69" s="1"/>
  <c r="I25" i="69"/>
  <c r="T25" i="69" s="1"/>
  <c r="S25" i="69" s="1"/>
  <c r="I24" i="69"/>
  <c r="I44" i="69"/>
  <c r="T44" i="69" s="1"/>
  <c r="S44" i="69" s="1"/>
  <c r="I36" i="69"/>
  <c r="T36" i="69" s="1"/>
  <c r="S36" i="69" s="1"/>
  <c r="I28" i="69"/>
  <c r="T28" i="69" s="1"/>
  <c r="S28" i="69" s="1"/>
  <c r="I20" i="69"/>
  <c r="T20" i="69" s="1"/>
  <c r="S20" i="69" s="1"/>
  <c r="I46" i="69"/>
  <c r="I42" i="69"/>
  <c r="T42" i="69" s="1"/>
  <c r="S42" i="69" s="1"/>
  <c r="I38" i="69"/>
  <c r="I34" i="69"/>
  <c r="T34" i="69" s="1"/>
  <c r="S34" i="69" s="1"/>
  <c r="I30" i="69"/>
  <c r="I26" i="69"/>
  <c r="T26" i="69" s="1"/>
  <c r="S26" i="69" s="1"/>
  <c r="I22" i="69"/>
  <c r="T22" i="69" s="1"/>
  <c r="S22" i="69" s="1"/>
  <c r="I39" i="69"/>
  <c r="I35" i="69"/>
  <c r="I21" i="69"/>
  <c r="I47" i="69"/>
  <c r="T47" i="69" s="1"/>
  <c r="S47" i="69" s="1"/>
  <c r="I43" i="69"/>
  <c r="I29" i="69"/>
  <c r="I19" i="69"/>
  <c r="U24" i="69"/>
  <c r="I31" i="69"/>
  <c r="M33" i="69"/>
  <c r="I32" i="70"/>
  <c r="T32" i="70" s="1"/>
  <c r="S32" i="70" s="1"/>
  <c r="I25" i="70"/>
  <c r="T25" i="70" s="1"/>
  <c r="S25" i="70" s="1"/>
  <c r="I24" i="70"/>
  <c r="I38" i="70"/>
  <c r="T38" i="70" s="1"/>
  <c r="S38" i="70" s="1"/>
  <c r="I27" i="70"/>
  <c r="T27" i="70" s="1"/>
  <c r="S27" i="70" s="1"/>
  <c r="I23" i="70"/>
  <c r="I22" i="70"/>
  <c r="I29" i="70"/>
  <c r="T29" i="70" s="1"/>
  <c r="S29" i="70" s="1"/>
  <c r="I21" i="70"/>
  <c r="T21" i="70" s="1"/>
  <c r="S21" i="70" s="1"/>
  <c r="I48" i="70"/>
  <c r="T48" i="70" s="1"/>
  <c r="S48" i="70" s="1"/>
  <c r="I36" i="70"/>
  <c r="T36" i="70" s="1"/>
  <c r="S36" i="70" s="1"/>
  <c r="I28" i="70"/>
  <c r="T28" i="70" s="1"/>
  <c r="S28" i="70" s="1"/>
  <c r="I20" i="70"/>
  <c r="T20" i="70" s="1"/>
  <c r="S20" i="70" s="1"/>
  <c r="I44" i="70"/>
  <c r="T44" i="70" s="1"/>
  <c r="S44" i="70" s="1"/>
  <c r="I30" i="70"/>
  <c r="I46" i="70"/>
  <c r="T46" i="70" s="1"/>
  <c r="S46" i="70" s="1"/>
  <c r="I26" i="70"/>
  <c r="T26" i="70" s="1"/>
  <c r="S26" i="70" s="1"/>
  <c r="I19" i="70"/>
  <c r="L37" i="71"/>
  <c r="I37" i="71"/>
  <c r="M21" i="72"/>
  <c r="M39" i="73"/>
  <c r="U39" i="73"/>
  <c r="I48" i="48"/>
  <c r="T48" i="48" s="1"/>
  <c r="S48" i="48" s="1"/>
  <c r="I46" i="48"/>
  <c r="T46" i="48" s="1"/>
  <c r="S46" i="48" s="1"/>
  <c r="I44" i="48"/>
  <c r="I42" i="48"/>
  <c r="T42" i="48" s="1"/>
  <c r="S42" i="48" s="1"/>
  <c r="I40" i="48"/>
  <c r="T40" i="48" s="1"/>
  <c r="S40" i="48" s="1"/>
  <c r="I38" i="48"/>
  <c r="T38" i="48" s="1"/>
  <c r="S38" i="48" s="1"/>
  <c r="I36" i="48"/>
  <c r="I34" i="48"/>
  <c r="I32" i="48"/>
  <c r="I30" i="48"/>
  <c r="T30" i="48" s="1"/>
  <c r="S30" i="48" s="1"/>
  <c r="I28" i="48"/>
  <c r="T28" i="48" s="1"/>
  <c r="S28" i="48" s="1"/>
  <c r="I26" i="48"/>
  <c r="T26" i="48" s="1"/>
  <c r="S26" i="48" s="1"/>
  <c r="I24" i="48"/>
  <c r="T24" i="48" s="1"/>
  <c r="S24" i="48" s="1"/>
  <c r="I22" i="48"/>
  <c r="T22" i="48" s="1"/>
  <c r="S22" i="48" s="1"/>
  <c r="I23" i="48"/>
  <c r="T23" i="48" s="1"/>
  <c r="S23" i="48" s="1"/>
  <c r="I31" i="48"/>
  <c r="T31" i="48" s="1"/>
  <c r="S31" i="48" s="1"/>
  <c r="I39" i="48"/>
  <c r="T39" i="48" s="1"/>
  <c r="S39" i="48" s="1"/>
  <c r="I47" i="48"/>
  <c r="T47" i="48" s="1"/>
  <c r="S47" i="48" s="1"/>
  <c r="I48" i="49"/>
  <c r="T48" i="49" s="1"/>
  <c r="S48" i="49" s="1"/>
  <c r="I46" i="49"/>
  <c r="T46" i="49" s="1"/>
  <c r="S46" i="49" s="1"/>
  <c r="I44" i="49"/>
  <c r="T44" i="49" s="1"/>
  <c r="S44" i="49" s="1"/>
  <c r="I42" i="49"/>
  <c r="T42" i="49" s="1"/>
  <c r="S42" i="49" s="1"/>
  <c r="I40" i="49"/>
  <c r="T40" i="49" s="1"/>
  <c r="S40" i="49" s="1"/>
  <c r="I38" i="49"/>
  <c r="I36" i="49"/>
  <c r="T36" i="49" s="1"/>
  <c r="S36" i="49" s="1"/>
  <c r="I34" i="49"/>
  <c r="T34" i="49" s="1"/>
  <c r="S34" i="49" s="1"/>
  <c r="I32" i="49"/>
  <c r="T32" i="49" s="1"/>
  <c r="S32" i="49" s="1"/>
  <c r="I30" i="49"/>
  <c r="T30" i="49" s="1"/>
  <c r="S30" i="49" s="1"/>
  <c r="I28" i="49"/>
  <c r="T28" i="49" s="1"/>
  <c r="S28" i="49" s="1"/>
  <c r="I26" i="49"/>
  <c r="T26" i="49" s="1"/>
  <c r="S26" i="49" s="1"/>
  <c r="I24" i="49"/>
  <c r="T24" i="49" s="1"/>
  <c r="S24" i="49" s="1"/>
  <c r="I22" i="49"/>
  <c r="I20" i="49"/>
  <c r="T20" i="49" s="1"/>
  <c r="S20" i="49" s="1"/>
  <c r="I25" i="49"/>
  <c r="T25" i="49" s="1"/>
  <c r="S25" i="49" s="1"/>
  <c r="I33" i="49"/>
  <c r="T33" i="49" s="1"/>
  <c r="S33" i="49" s="1"/>
  <c r="I41" i="49"/>
  <c r="T41" i="49" s="1"/>
  <c r="S41" i="49" s="1"/>
  <c r="I49" i="49"/>
  <c r="T49" i="49" s="1"/>
  <c r="S49" i="49" s="1"/>
  <c r="L50" i="51"/>
  <c r="I48" i="53"/>
  <c r="T48" i="53" s="1"/>
  <c r="S48" i="53" s="1"/>
  <c r="I46" i="53"/>
  <c r="T46" i="53" s="1"/>
  <c r="S46" i="53" s="1"/>
  <c r="I44" i="53"/>
  <c r="T44" i="53" s="1"/>
  <c r="S44" i="53" s="1"/>
  <c r="I42" i="53"/>
  <c r="T42" i="53" s="1"/>
  <c r="S42" i="53" s="1"/>
  <c r="I40" i="53"/>
  <c r="T40" i="53" s="1"/>
  <c r="S40" i="53" s="1"/>
  <c r="I38" i="53"/>
  <c r="I36" i="53"/>
  <c r="T36" i="53" s="1"/>
  <c r="S36" i="53" s="1"/>
  <c r="I34" i="53"/>
  <c r="T34" i="53" s="1"/>
  <c r="S34" i="53" s="1"/>
  <c r="I32" i="53"/>
  <c r="T32" i="53" s="1"/>
  <c r="S32" i="53" s="1"/>
  <c r="I30" i="53"/>
  <c r="T30" i="53" s="1"/>
  <c r="S30" i="53" s="1"/>
  <c r="I28" i="53"/>
  <c r="T28" i="53" s="1"/>
  <c r="S28" i="53" s="1"/>
  <c r="I26" i="53"/>
  <c r="T26" i="53" s="1"/>
  <c r="S26" i="53" s="1"/>
  <c r="I24" i="53"/>
  <c r="T24" i="53" s="1"/>
  <c r="S24" i="53" s="1"/>
  <c r="I22" i="53"/>
  <c r="I20" i="53"/>
  <c r="T20" i="53" s="1"/>
  <c r="S20" i="53" s="1"/>
  <c r="I25" i="53"/>
  <c r="T25" i="53" s="1"/>
  <c r="S25" i="53" s="1"/>
  <c r="I33" i="53"/>
  <c r="T33" i="53" s="1"/>
  <c r="S33" i="53" s="1"/>
  <c r="I41" i="53"/>
  <c r="T41" i="53" s="1"/>
  <c r="S41" i="53" s="1"/>
  <c r="I49" i="53"/>
  <c r="L50" i="55"/>
  <c r="I48" i="57"/>
  <c r="T48" i="57" s="1"/>
  <c r="S48" i="57" s="1"/>
  <c r="I46" i="57"/>
  <c r="I44" i="57"/>
  <c r="I42" i="57"/>
  <c r="T42" i="57" s="1"/>
  <c r="S42" i="57" s="1"/>
  <c r="I40" i="57"/>
  <c r="T40" i="57" s="1"/>
  <c r="S40" i="57" s="1"/>
  <c r="I38" i="57"/>
  <c r="I36" i="57"/>
  <c r="T36" i="57" s="1"/>
  <c r="S36" i="57" s="1"/>
  <c r="I34" i="57"/>
  <c r="T34" i="57" s="1"/>
  <c r="S34" i="57" s="1"/>
  <c r="I32" i="57"/>
  <c r="T32" i="57" s="1"/>
  <c r="S32" i="57" s="1"/>
  <c r="I30" i="57"/>
  <c r="T30" i="57" s="1"/>
  <c r="S30" i="57" s="1"/>
  <c r="I28" i="57"/>
  <c r="T28" i="57" s="1"/>
  <c r="S28" i="57" s="1"/>
  <c r="I26" i="57"/>
  <c r="T26" i="57" s="1"/>
  <c r="S26" i="57" s="1"/>
  <c r="I24" i="57"/>
  <c r="T24" i="57" s="1"/>
  <c r="S24" i="57" s="1"/>
  <c r="I22" i="57"/>
  <c r="I20" i="57"/>
  <c r="T20" i="57" s="1"/>
  <c r="S20" i="57" s="1"/>
  <c r="I25" i="57"/>
  <c r="T25" i="57" s="1"/>
  <c r="S25" i="57" s="1"/>
  <c r="I33" i="57"/>
  <c r="T33" i="57" s="1"/>
  <c r="S33" i="57" s="1"/>
  <c r="I41" i="57"/>
  <c r="T41" i="57" s="1"/>
  <c r="S41" i="57" s="1"/>
  <c r="I49" i="57"/>
  <c r="T49" i="57" s="1"/>
  <c r="S49" i="57" s="1"/>
  <c r="L50" i="59"/>
  <c r="V32" i="59"/>
  <c r="M41" i="59"/>
  <c r="M48" i="59"/>
  <c r="H50" i="59"/>
  <c r="H50" i="60"/>
  <c r="L19" i="60"/>
  <c r="R20" i="60"/>
  <c r="M21" i="60"/>
  <c r="I34" i="60"/>
  <c r="T34" i="60" s="1"/>
  <c r="S34" i="60" s="1"/>
  <c r="I36" i="60"/>
  <c r="T36" i="60" s="1"/>
  <c r="S36" i="60" s="1"/>
  <c r="U36" i="60"/>
  <c r="T38" i="60"/>
  <c r="S38" i="60" s="1"/>
  <c r="V39" i="60"/>
  <c r="U42" i="60"/>
  <c r="R42" i="60"/>
  <c r="V42" i="60" s="1"/>
  <c r="V44" i="60"/>
  <c r="R48" i="60"/>
  <c r="V48" i="60" s="1"/>
  <c r="M24" i="61"/>
  <c r="U32" i="61"/>
  <c r="V35" i="61"/>
  <c r="U38" i="61"/>
  <c r="R38" i="61"/>
  <c r="V38" i="61" s="1"/>
  <c r="V43" i="61"/>
  <c r="R46" i="61"/>
  <c r="V46" i="61" s="1"/>
  <c r="M48" i="61"/>
  <c r="M49" i="61"/>
  <c r="H50" i="62"/>
  <c r="L19" i="62"/>
  <c r="R26" i="62"/>
  <c r="M29" i="62"/>
  <c r="T30" i="62"/>
  <c r="S30" i="62" s="1"/>
  <c r="V33" i="62"/>
  <c r="V35" i="62"/>
  <c r="U35" i="62"/>
  <c r="U36" i="62"/>
  <c r="R42" i="62"/>
  <c r="M44" i="62"/>
  <c r="M45" i="62"/>
  <c r="T46" i="62"/>
  <c r="S46" i="62" s="1"/>
  <c r="U22" i="63"/>
  <c r="V22" i="63"/>
  <c r="M27" i="63"/>
  <c r="M29" i="63"/>
  <c r="I32" i="63"/>
  <c r="T32" i="63" s="1"/>
  <c r="S32" i="63" s="1"/>
  <c r="V33" i="63"/>
  <c r="U38" i="63"/>
  <c r="V38" i="63"/>
  <c r="M43" i="63"/>
  <c r="M45" i="63"/>
  <c r="I48" i="63"/>
  <c r="T48" i="63" s="1"/>
  <c r="S48" i="63" s="1"/>
  <c r="U49" i="63"/>
  <c r="R45" i="64"/>
  <c r="U45" i="64" s="1"/>
  <c r="R44" i="64"/>
  <c r="U44" i="64" s="1"/>
  <c r="R37" i="64"/>
  <c r="U37" i="64" s="1"/>
  <c r="R36" i="64"/>
  <c r="V36" i="64" s="1"/>
  <c r="R29" i="64"/>
  <c r="U29" i="64" s="1"/>
  <c r="R28" i="64"/>
  <c r="R25" i="64"/>
  <c r="U25" i="64" s="1"/>
  <c r="R23" i="64"/>
  <c r="V23" i="64" s="1"/>
  <c r="R21" i="64"/>
  <c r="V21" i="64" s="1"/>
  <c r="R19" i="64"/>
  <c r="R48" i="64"/>
  <c r="V48" i="64" s="1"/>
  <c r="R40" i="64"/>
  <c r="V40" i="64" s="1"/>
  <c r="R32" i="64"/>
  <c r="V32" i="64" s="1"/>
  <c r="R22" i="64"/>
  <c r="R49" i="64"/>
  <c r="V49" i="64" s="1"/>
  <c r="R42" i="64"/>
  <c r="R41" i="64"/>
  <c r="U41" i="64" s="1"/>
  <c r="R34" i="64"/>
  <c r="R33" i="64"/>
  <c r="V33" i="64" s="1"/>
  <c r="R24" i="64"/>
  <c r="R20" i="64"/>
  <c r="M23" i="64"/>
  <c r="M25" i="64"/>
  <c r="R30" i="64"/>
  <c r="U30" i="64" s="1"/>
  <c r="R38" i="64"/>
  <c r="V41" i="64"/>
  <c r="R46" i="64"/>
  <c r="U46" i="64" s="1"/>
  <c r="R20" i="65"/>
  <c r="U20" i="65" s="1"/>
  <c r="U22" i="65"/>
  <c r="I28" i="65"/>
  <c r="T28" i="65" s="1"/>
  <c r="S28" i="65" s="1"/>
  <c r="M30" i="65"/>
  <c r="U31" i="65"/>
  <c r="U35" i="65"/>
  <c r="V35" i="65"/>
  <c r="T44" i="65"/>
  <c r="S44" i="65" s="1"/>
  <c r="M47" i="65"/>
  <c r="V47" i="65"/>
  <c r="M24" i="66"/>
  <c r="U29" i="66"/>
  <c r="M29" i="66"/>
  <c r="V31" i="66"/>
  <c r="M31" i="66"/>
  <c r="T31" i="66" s="1"/>
  <c r="S31" i="66" s="1"/>
  <c r="U31" i="66"/>
  <c r="U41" i="66"/>
  <c r="V23" i="67"/>
  <c r="M23" i="67"/>
  <c r="U36" i="68"/>
  <c r="V36" i="68"/>
  <c r="U49" i="68"/>
  <c r="V49" i="68"/>
  <c r="I23" i="69"/>
  <c r="T23" i="69" s="1"/>
  <c r="S23" i="69" s="1"/>
  <c r="M39" i="69"/>
  <c r="V39" i="69"/>
  <c r="U39" i="69"/>
  <c r="I45" i="69"/>
  <c r="M48" i="69"/>
  <c r="M23" i="70"/>
  <c r="U43" i="70"/>
  <c r="M43" i="70"/>
  <c r="U47" i="71"/>
  <c r="M47" i="71"/>
  <c r="R49" i="63"/>
  <c r="V49" i="63" s="1"/>
  <c r="R47" i="63"/>
  <c r="V47" i="63" s="1"/>
  <c r="R45" i="63"/>
  <c r="U45" i="63" s="1"/>
  <c r="R43" i="63"/>
  <c r="U43" i="63" s="1"/>
  <c r="R41" i="63"/>
  <c r="V41" i="63" s="1"/>
  <c r="R39" i="63"/>
  <c r="V39" i="63" s="1"/>
  <c r="R37" i="63"/>
  <c r="R35" i="63"/>
  <c r="U35" i="63" s="1"/>
  <c r="R33" i="63"/>
  <c r="U33" i="63" s="1"/>
  <c r="R31" i="63"/>
  <c r="V31" i="63" s="1"/>
  <c r="R29" i="63"/>
  <c r="U29" i="63" s="1"/>
  <c r="R27" i="63"/>
  <c r="V27" i="63" s="1"/>
  <c r="R25" i="63"/>
  <c r="U25" i="63" s="1"/>
  <c r="R23" i="63"/>
  <c r="R21" i="63"/>
  <c r="V21" i="63" s="1"/>
  <c r="R19" i="63"/>
  <c r="R20" i="63"/>
  <c r="R28" i="63"/>
  <c r="R36" i="63"/>
  <c r="R44" i="63"/>
  <c r="M27" i="64"/>
  <c r="I19" i="65"/>
  <c r="U21" i="65"/>
  <c r="I23" i="65"/>
  <c r="I27" i="65"/>
  <c r="I31" i="65"/>
  <c r="U34" i="65"/>
  <c r="I35" i="65"/>
  <c r="T35" i="65" s="1"/>
  <c r="S35" i="65" s="1"/>
  <c r="U37" i="65"/>
  <c r="I39" i="65"/>
  <c r="V42" i="65"/>
  <c r="I49" i="66"/>
  <c r="T49" i="66" s="1"/>
  <c r="S49" i="66" s="1"/>
  <c r="I48" i="66"/>
  <c r="T48" i="66" s="1"/>
  <c r="S48" i="66" s="1"/>
  <c r="I41" i="66"/>
  <c r="T41" i="66" s="1"/>
  <c r="S41" i="66" s="1"/>
  <c r="I40" i="66"/>
  <c r="T40" i="66" s="1"/>
  <c r="S40" i="66" s="1"/>
  <c r="I33" i="66"/>
  <c r="I32" i="66"/>
  <c r="T32" i="66" s="1"/>
  <c r="S32" i="66" s="1"/>
  <c r="I25" i="66"/>
  <c r="T25" i="66" s="1"/>
  <c r="S25" i="66" s="1"/>
  <c r="I24" i="66"/>
  <c r="I45" i="66"/>
  <c r="T45" i="66" s="1"/>
  <c r="S45" i="66" s="1"/>
  <c r="I37" i="66"/>
  <c r="T37" i="66" s="1"/>
  <c r="S37" i="66" s="1"/>
  <c r="I29" i="66"/>
  <c r="T29" i="66" s="1"/>
  <c r="S29" i="66" s="1"/>
  <c r="I21" i="66"/>
  <c r="I19" i="66"/>
  <c r="L21" i="66"/>
  <c r="H50" i="66"/>
  <c r="U22" i="66"/>
  <c r="V22" i="66"/>
  <c r="I23" i="66"/>
  <c r="T23" i="66" s="1"/>
  <c r="S23" i="66" s="1"/>
  <c r="I34" i="66"/>
  <c r="T34" i="66" s="1"/>
  <c r="S34" i="66" s="1"/>
  <c r="I38" i="66"/>
  <c r="I44" i="66"/>
  <c r="T44" i="66" s="1"/>
  <c r="S44" i="66" s="1"/>
  <c r="U48" i="66"/>
  <c r="U30" i="67"/>
  <c r="U43" i="67"/>
  <c r="V43" i="67"/>
  <c r="V49" i="67"/>
  <c r="M49" i="67"/>
  <c r="T49" i="67" s="1"/>
  <c r="S49" i="67" s="1"/>
  <c r="I43" i="68"/>
  <c r="T43" i="68" s="1"/>
  <c r="S43" i="68" s="1"/>
  <c r="I42" i="68"/>
  <c r="T42" i="68" s="1"/>
  <c r="S42" i="68" s="1"/>
  <c r="I35" i="68"/>
  <c r="T35" i="68" s="1"/>
  <c r="S35" i="68" s="1"/>
  <c r="I34" i="68"/>
  <c r="T34" i="68" s="1"/>
  <c r="S34" i="68" s="1"/>
  <c r="I48" i="68"/>
  <c r="I44" i="68"/>
  <c r="T44" i="68" s="1"/>
  <c r="S44" i="68" s="1"/>
  <c r="I40" i="68"/>
  <c r="I36" i="68"/>
  <c r="I32" i="68"/>
  <c r="T32" i="68" s="1"/>
  <c r="S32" i="68" s="1"/>
  <c r="I28" i="68"/>
  <c r="T28" i="68" s="1"/>
  <c r="S28" i="68" s="1"/>
  <c r="I21" i="68"/>
  <c r="I20" i="68"/>
  <c r="T20" i="68" s="1"/>
  <c r="S20" i="68" s="1"/>
  <c r="I46" i="68"/>
  <c r="T46" i="68" s="1"/>
  <c r="S46" i="68" s="1"/>
  <c r="I38" i="68"/>
  <c r="T38" i="68" s="1"/>
  <c r="S38" i="68" s="1"/>
  <c r="I30" i="68"/>
  <c r="T30" i="68" s="1"/>
  <c r="S30" i="68" s="1"/>
  <c r="I24" i="68"/>
  <c r="T24" i="68" s="1"/>
  <c r="S24" i="68" s="1"/>
  <c r="I19" i="68"/>
  <c r="U20" i="68"/>
  <c r="I23" i="68"/>
  <c r="T23" i="68" s="1"/>
  <c r="S23" i="68" s="1"/>
  <c r="I27" i="68"/>
  <c r="V28" i="68"/>
  <c r="I33" i="68"/>
  <c r="T33" i="68" s="1"/>
  <c r="S33" i="68" s="1"/>
  <c r="I39" i="68"/>
  <c r="T39" i="68" s="1"/>
  <c r="S39" i="68" s="1"/>
  <c r="V44" i="68"/>
  <c r="I49" i="68"/>
  <c r="T49" i="68" s="1"/>
  <c r="S49" i="68" s="1"/>
  <c r="U21" i="69"/>
  <c r="V21" i="69"/>
  <c r="M21" i="69"/>
  <c r="V25" i="69"/>
  <c r="M25" i="69"/>
  <c r="V27" i="69"/>
  <c r="M27" i="69"/>
  <c r="T27" i="69" s="1"/>
  <c r="S27" i="69" s="1"/>
  <c r="M31" i="69"/>
  <c r="U21" i="70"/>
  <c r="U24" i="70"/>
  <c r="V24" i="70"/>
  <c r="M23" i="71"/>
  <c r="U38" i="71"/>
  <c r="V38" i="71"/>
  <c r="V24" i="73"/>
  <c r="M37" i="73"/>
  <c r="V37" i="73"/>
  <c r="U37" i="73"/>
  <c r="R20" i="49"/>
  <c r="R50" i="49" s="1"/>
  <c r="R22" i="49"/>
  <c r="V22" i="49" s="1"/>
  <c r="R24" i="49"/>
  <c r="R26" i="49"/>
  <c r="U26" i="49" s="1"/>
  <c r="R28" i="49"/>
  <c r="U28" i="49" s="1"/>
  <c r="R30" i="49"/>
  <c r="U30" i="49" s="1"/>
  <c r="R32" i="49"/>
  <c r="U32" i="49" s="1"/>
  <c r="R34" i="49"/>
  <c r="R36" i="49"/>
  <c r="V36" i="49" s="1"/>
  <c r="R38" i="49"/>
  <c r="V38" i="49" s="1"/>
  <c r="R40" i="49"/>
  <c r="V40" i="49" s="1"/>
  <c r="R42" i="49"/>
  <c r="U42" i="49" s="1"/>
  <c r="R44" i="49"/>
  <c r="U44" i="49" s="1"/>
  <c r="R46" i="49"/>
  <c r="U46" i="49" s="1"/>
  <c r="R20" i="50"/>
  <c r="U20" i="50" s="1"/>
  <c r="R22" i="50"/>
  <c r="V22" i="50" s="1"/>
  <c r="R24" i="50"/>
  <c r="V24" i="50" s="1"/>
  <c r="R26" i="50"/>
  <c r="U26" i="50" s="1"/>
  <c r="R28" i="50"/>
  <c r="V28" i="50" s="1"/>
  <c r="R30" i="50"/>
  <c r="R32" i="50"/>
  <c r="V32" i="50" s="1"/>
  <c r="R34" i="50"/>
  <c r="U34" i="50" s="1"/>
  <c r="R36" i="50"/>
  <c r="U36" i="50" s="1"/>
  <c r="R38" i="50"/>
  <c r="V38" i="50" s="1"/>
  <c r="R40" i="50"/>
  <c r="U40" i="50" s="1"/>
  <c r="R42" i="50"/>
  <c r="U42" i="50" s="1"/>
  <c r="R44" i="50"/>
  <c r="U44" i="50" s="1"/>
  <c r="R46" i="50"/>
  <c r="U46" i="50" s="1"/>
  <c r="R20" i="51"/>
  <c r="U20" i="51" s="1"/>
  <c r="R22" i="51"/>
  <c r="R24" i="51"/>
  <c r="U24" i="51" s="1"/>
  <c r="R26" i="51"/>
  <c r="R28" i="51"/>
  <c r="V28" i="51" s="1"/>
  <c r="R30" i="51"/>
  <c r="U30" i="51" s="1"/>
  <c r="R32" i="51"/>
  <c r="V32" i="51" s="1"/>
  <c r="R34" i="51"/>
  <c r="U34" i="51" s="1"/>
  <c r="R36" i="51"/>
  <c r="U36" i="51" s="1"/>
  <c r="R38" i="51"/>
  <c r="U38" i="51" s="1"/>
  <c r="R40" i="51"/>
  <c r="U40" i="51" s="1"/>
  <c r="R42" i="51"/>
  <c r="R44" i="51"/>
  <c r="V44" i="51" s="1"/>
  <c r="R46" i="51"/>
  <c r="U46" i="51" s="1"/>
  <c r="R20" i="52"/>
  <c r="V20" i="52" s="1"/>
  <c r="R22" i="52"/>
  <c r="U22" i="52" s="1"/>
  <c r="R24" i="52"/>
  <c r="V24" i="52" s="1"/>
  <c r="R26" i="52"/>
  <c r="U26" i="52" s="1"/>
  <c r="R28" i="52"/>
  <c r="U28" i="52" s="1"/>
  <c r="R30" i="52"/>
  <c r="V30" i="52" s="1"/>
  <c r="R32" i="52"/>
  <c r="U32" i="52" s="1"/>
  <c r="R34" i="52"/>
  <c r="U34" i="52" s="1"/>
  <c r="R36" i="52"/>
  <c r="U36" i="52" s="1"/>
  <c r="R38" i="52"/>
  <c r="U38" i="52" s="1"/>
  <c r="R40" i="52"/>
  <c r="V40" i="52" s="1"/>
  <c r="R42" i="52"/>
  <c r="U42" i="52" s="1"/>
  <c r="R44" i="52"/>
  <c r="U44" i="52" s="1"/>
  <c r="R46" i="52"/>
  <c r="V46" i="52" s="1"/>
  <c r="R20" i="53"/>
  <c r="R50" i="53" s="1"/>
  <c r="R22" i="53"/>
  <c r="V22" i="53" s="1"/>
  <c r="R24" i="53"/>
  <c r="U24" i="53" s="1"/>
  <c r="R26" i="53"/>
  <c r="V26" i="53" s="1"/>
  <c r="R28" i="53"/>
  <c r="V28" i="53" s="1"/>
  <c r="R30" i="53"/>
  <c r="U30" i="53" s="1"/>
  <c r="R32" i="53"/>
  <c r="U32" i="53" s="1"/>
  <c r="R34" i="53"/>
  <c r="V34" i="53" s="1"/>
  <c r="R36" i="53"/>
  <c r="V36" i="53" s="1"/>
  <c r="R38" i="53"/>
  <c r="U38" i="53" s="1"/>
  <c r="R40" i="53"/>
  <c r="U40" i="53" s="1"/>
  <c r="R42" i="53"/>
  <c r="U42" i="53" s="1"/>
  <c r="R44" i="53"/>
  <c r="V44" i="53" s="1"/>
  <c r="R46" i="53"/>
  <c r="U46" i="53" s="1"/>
  <c r="R20" i="54"/>
  <c r="V20" i="54" s="1"/>
  <c r="R22" i="54"/>
  <c r="U22" i="54" s="1"/>
  <c r="R24" i="54"/>
  <c r="R50" i="54" s="1"/>
  <c r="R26" i="54"/>
  <c r="V26" i="54" s="1"/>
  <c r="R28" i="54"/>
  <c r="R30" i="54"/>
  <c r="V30" i="54" s="1"/>
  <c r="R32" i="54"/>
  <c r="U32" i="54" s="1"/>
  <c r="R34" i="54"/>
  <c r="U34" i="54" s="1"/>
  <c r="R36" i="54"/>
  <c r="U36" i="54" s="1"/>
  <c r="R38" i="54"/>
  <c r="R40" i="54"/>
  <c r="V40" i="54" s="1"/>
  <c r="R42" i="54"/>
  <c r="U42" i="54" s="1"/>
  <c r="R44" i="54"/>
  <c r="U44" i="54" s="1"/>
  <c r="R46" i="54"/>
  <c r="V46" i="54" s="1"/>
  <c r="R20" i="55"/>
  <c r="U20" i="55" s="1"/>
  <c r="R22" i="55"/>
  <c r="U22" i="55" s="1"/>
  <c r="R24" i="55"/>
  <c r="U24" i="55" s="1"/>
  <c r="R26" i="55"/>
  <c r="V26" i="55" s="1"/>
  <c r="R28" i="55"/>
  <c r="U28" i="55" s="1"/>
  <c r="R30" i="55"/>
  <c r="U30" i="55" s="1"/>
  <c r="R32" i="55"/>
  <c r="V32" i="55" s="1"/>
  <c r="R34" i="55"/>
  <c r="U34" i="55" s="1"/>
  <c r="R36" i="55"/>
  <c r="U36" i="55" s="1"/>
  <c r="R38" i="55"/>
  <c r="U38" i="55" s="1"/>
  <c r="R40" i="55"/>
  <c r="V40" i="55" s="1"/>
  <c r="R42" i="55"/>
  <c r="V42" i="55" s="1"/>
  <c r="R44" i="55"/>
  <c r="U44" i="55" s="1"/>
  <c r="R46" i="55"/>
  <c r="U46" i="55" s="1"/>
  <c r="R20" i="56"/>
  <c r="U20" i="56" s="1"/>
  <c r="R22" i="56"/>
  <c r="V22" i="56" s="1"/>
  <c r="R24" i="56"/>
  <c r="U24" i="56" s="1"/>
  <c r="R26" i="56"/>
  <c r="V26" i="56" s="1"/>
  <c r="R28" i="56"/>
  <c r="V28" i="56" s="1"/>
  <c r="R30" i="56"/>
  <c r="U30" i="56" s="1"/>
  <c r="R32" i="56"/>
  <c r="V32" i="56" s="1"/>
  <c r="R34" i="56"/>
  <c r="V34" i="56" s="1"/>
  <c r="R36" i="56"/>
  <c r="R38" i="56"/>
  <c r="R40" i="56"/>
  <c r="V40" i="56" s="1"/>
  <c r="R42" i="56"/>
  <c r="U42" i="56" s="1"/>
  <c r="R44" i="56"/>
  <c r="R46" i="56"/>
  <c r="U46" i="56" s="1"/>
  <c r="R20" i="57"/>
  <c r="V20" i="57" s="1"/>
  <c r="R22" i="57"/>
  <c r="U22" i="57" s="1"/>
  <c r="R24" i="57"/>
  <c r="U24" i="57" s="1"/>
  <c r="R26" i="57"/>
  <c r="V26" i="57" s="1"/>
  <c r="R28" i="57"/>
  <c r="V28" i="57" s="1"/>
  <c r="R30" i="57"/>
  <c r="U30" i="57" s="1"/>
  <c r="R32" i="57"/>
  <c r="U32" i="57" s="1"/>
  <c r="R34" i="57"/>
  <c r="V34" i="57" s="1"/>
  <c r="R36" i="57"/>
  <c r="U36" i="57" s="1"/>
  <c r="R38" i="57"/>
  <c r="U38" i="57" s="1"/>
  <c r="R40" i="57"/>
  <c r="U40" i="57" s="1"/>
  <c r="R42" i="57"/>
  <c r="V42" i="57" s="1"/>
  <c r="R44" i="57"/>
  <c r="V44" i="57" s="1"/>
  <c r="R46" i="57"/>
  <c r="U46" i="57" s="1"/>
  <c r="R20" i="58"/>
  <c r="V20" i="58" s="1"/>
  <c r="R22" i="58"/>
  <c r="R24" i="58"/>
  <c r="V24" i="58" s="1"/>
  <c r="R26" i="58"/>
  <c r="U26" i="58" s="1"/>
  <c r="R28" i="58"/>
  <c r="U28" i="58" s="1"/>
  <c r="R30" i="58"/>
  <c r="U30" i="58" s="1"/>
  <c r="R32" i="58"/>
  <c r="V32" i="58" s="1"/>
  <c r="R34" i="58"/>
  <c r="U34" i="58" s="1"/>
  <c r="R36" i="58"/>
  <c r="V36" i="58" s="1"/>
  <c r="R38" i="58"/>
  <c r="V38" i="58" s="1"/>
  <c r="R40" i="58"/>
  <c r="V40" i="58" s="1"/>
  <c r="R42" i="58"/>
  <c r="U42" i="58" s="1"/>
  <c r="R44" i="58"/>
  <c r="V44" i="58" s="1"/>
  <c r="R46" i="58"/>
  <c r="V46" i="58" s="1"/>
  <c r="R49" i="59"/>
  <c r="U49" i="59" s="1"/>
  <c r="R47" i="59"/>
  <c r="V47" i="59" s="1"/>
  <c r="R45" i="59"/>
  <c r="V45" i="59" s="1"/>
  <c r="R43" i="59"/>
  <c r="V43" i="59" s="1"/>
  <c r="R41" i="59"/>
  <c r="V41" i="59" s="1"/>
  <c r="R39" i="59"/>
  <c r="U39" i="59" s="1"/>
  <c r="R37" i="59"/>
  <c r="U37" i="59" s="1"/>
  <c r="R35" i="59"/>
  <c r="U35" i="59" s="1"/>
  <c r="R33" i="59"/>
  <c r="V33" i="59" s="1"/>
  <c r="R31" i="59"/>
  <c r="V31" i="59" s="1"/>
  <c r="R20" i="59"/>
  <c r="U20" i="59" s="1"/>
  <c r="R22" i="59"/>
  <c r="U22" i="59" s="1"/>
  <c r="R24" i="59"/>
  <c r="V24" i="59" s="1"/>
  <c r="R26" i="59"/>
  <c r="V26" i="59" s="1"/>
  <c r="R28" i="59"/>
  <c r="U28" i="59" s="1"/>
  <c r="R30" i="59"/>
  <c r="U30" i="59" s="1"/>
  <c r="R34" i="59"/>
  <c r="R42" i="59"/>
  <c r="I49" i="60"/>
  <c r="I47" i="60"/>
  <c r="I45" i="60"/>
  <c r="T45" i="60" s="1"/>
  <c r="S45" i="60" s="1"/>
  <c r="I43" i="60"/>
  <c r="T43" i="60" s="1"/>
  <c r="S43" i="60" s="1"/>
  <c r="I41" i="60"/>
  <c r="T41" i="60" s="1"/>
  <c r="S41" i="60" s="1"/>
  <c r="I39" i="60"/>
  <c r="T39" i="60" s="1"/>
  <c r="S39" i="60" s="1"/>
  <c r="I37" i="60"/>
  <c r="T37" i="60" s="1"/>
  <c r="S37" i="60" s="1"/>
  <c r="I35" i="60"/>
  <c r="T35" i="60" s="1"/>
  <c r="S35" i="60" s="1"/>
  <c r="I33" i="60"/>
  <c r="T33" i="60" s="1"/>
  <c r="S33" i="60" s="1"/>
  <c r="I31" i="60"/>
  <c r="T31" i="60" s="1"/>
  <c r="S31" i="60" s="1"/>
  <c r="I29" i="60"/>
  <c r="T29" i="60" s="1"/>
  <c r="S29" i="60" s="1"/>
  <c r="I27" i="60"/>
  <c r="T27" i="60" s="1"/>
  <c r="S27" i="60" s="1"/>
  <c r="I25" i="60"/>
  <c r="I23" i="60"/>
  <c r="T23" i="60" s="1"/>
  <c r="S23" i="60" s="1"/>
  <c r="I21" i="60"/>
  <c r="T21" i="60" s="1"/>
  <c r="S21" i="60" s="1"/>
  <c r="I19" i="60"/>
  <c r="I24" i="60"/>
  <c r="T24" i="60" s="1"/>
  <c r="S24" i="60" s="1"/>
  <c r="I32" i="60"/>
  <c r="T32" i="60" s="1"/>
  <c r="S32" i="60" s="1"/>
  <c r="I40" i="60"/>
  <c r="T40" i="60" s="1"/>
  <c r="S40" i="60" s="1"/>
  <c r="I48" i="60"/>
  <c r="T48" i="60" s="1"/>
  <c r="S48" i="60" s="1"/>
  <c r="I49" i="62"/>
  <c r="T49" i="62" s="1"/>
  <c r="S49" i="62" s="1"/>
  <c r="I47" i="62"/>
  <c r="T47" i="62" s="1"/>
  <c r="S47" i="62" s="1"/>
  <c r="I45" i="62"/>
  <c r="I43" i="62"/>
  <c r="T43" i="62" s="1"/>
  <c r="S43" i="62" s="1"/>
  <c r="I41" i="62"/>
  <c r="T41" i="62" s="1"/>
  <c r="S41" i="62" s="1"/>
  <c r="I39" i="62"/>
  <c r="T39" i="62" s="1"/>
  <c r="S39" i="62" s="1"/>
  <c r="I37" i="62"/>
  <c r="T37" i="62" s="1"/>
  <c r="S37" i="62" s="1"/>
  <c r="I35" i="62"/>
  <c r="T35" i="62" s="1"/>
  <c r="S35" i="62" s="1"/>
  <c r="I33" i="62"/>
  <c r="T33" i="62" s="1"/>
  <c r="S33" i="62" s="1"/>
  <c r="I31" i="62"/>
  <c r="T31" i="62" s="1"/>
  <c r="S31" i="62" s="1"/>
  <c r="I29" i="62"/>
  <c r="T29" i="62" s="1"/>
  <c r="S29" i="62" s="1"/>
  <c r="I27" i="62"/>
  <c r="T27" i="62" s="1"/>
  <c r="S27" i="62" s="1"/>
  <c r="I25" i="62"/>
  <c r="I23" i="62"/>
  <c r="T23" i="62" s="1"/>
  <c r="S23" i="62" s="1"/>
  <c r="I21" i="62"/>
  <c r="T21" i="62" s="1"/>
  <c r="S21" i="62" s="1"/>
  <c r="I19" i="62"/>
  <c r="I24" i="62"/>
  <c r="T24" i="62" s="1"/>
  <c r="S24" i="62" s="1"/>
  <c r="I32" i="62"/>
  <c r="T32" i="62" s="1"/>
  <c r="S32" i="62" s="1"/>
  <c r="I40" i="62"/>
  <c r="T40" i="62" s="1"/>
  <c r="S40" i="62" s="1"/>
  <c r="I48" i="62"/>
  <c r="T48" i="62" s="1"/>
  <c r="S48" i="62" s="1"/>
  <c r="R26" i="63"/>
  <c r="R34" i="63"/>
  <c r="R42" i="63"/>
  <c r="I44" i="64"/>
  <c r="T44" i="64" s="1"/>
  <c r="S44" i="64" s="1"/>
  <c r="I43" i="64"/>
  <c r="T43" i="64" s="1"/>
  <c r="S43" i="64" s="1"/>
  <c r="I36" i="64"/>
  <c r="I35" i="64"/>
  <c r="T35" i="64" s="1"/>
  <c r="S35" i="64" s="1"/>
  <c r="I28" i="64"/>
  <c r="T28" i="64" s="1"/>
  <c r="S28" i="64" s="1"/>
  <c r="I27" i="64"/>
  <c r="I25" i="64"/>
  <c r="I23" i="64"/>
  <c r="T23" i="64" s="1"/>
  <c r="S23" i="64" s="1"/>
  <c r="I21" i="64"/>
  <c r="T21" i="64" s="1"/>
  <c r="S21" i="64" s="1"/>
  <c r="I19" i="64"/>
  <c r="I24" i="64"/>
  <c r="T24" i="64" s="1"/>
  <c r="S24" i="64" s="1"/>
  <c r="I29" i="64"/>
  <c r="T29" i="64" s="1"/>
  <c r="S29" i="64" s="1"/>
  <c r="U32" i="64"/>
  <c r="I33" i="64"/>
  <c r="U35" i="64"/>
  <c r="I37" i="64"/>
  <c r="T37" i="64" s="1"/>
  <c r="S37" i="64" s="1"/>
  <c r="U40" i="64"/>
  <c r="I41" i="64"/>
  <c r="U43" i="64"/>
  <c r="I45" i="64"/>
  <c r="T45" i="64" s="1"/>
  <c r="S45" i="64" s="1"/>
  <c r="U48" i="64"/>
  <c r="I49" i="64"/>
  <c r="M23" i="65"/>
  <c r="V24" i="65"/>
  <c r="M24" i="65"/>
  <c r="T24" i="65" s="1"/>
  <c r="S24" i="65" s="1"/>
  <c r="I26" i="65"/>
  <c r="T26" i="65" s="1"/>
  <c r="S26" i="65" s="1"/>
  <c r="M31" i="65"/>
  <c r="V32" i="65"/>
  <c r="M32" i="65"/>
  <c r="T32" i="65" s="1"/>
  <c r="S32" i="65" s="1"/>
  <c r="I34" i="65"/>
  <c r="T34" i="65" s="1"/>
  <c r="S34" i="65" s="1"/>
  <c r="M39" i="65"/>
  <c r="V45" i="65"/>
  <c r="M45" i="65"/>
  <c r="I46" i="65"/>
  <c r="T46" i="65" s="1"/>
  <c r="S46" i="65" s="1"/>
  <c r="K50" i="66"/>
  <c r="I26" i="66"/>
  <c r="I30" i="66"/>
  <c r="M32" i="66"/>
  <c r="I36" i="66"/>
  <c r="T36" i="66" s="1"/>
  <c r="S36" i="66" s="1"/>
  <c r="U40" i="66"/>
  <c r="I43" i="66"/>
  <c r="U45" i="66"/>
  <c r="V45" i="66"/>
  <c r="U46" i="66"/>
  <c r="V46" i="66"/>
  <c r="I47" i="66"/>
  <c r="T47" i="66" s="1"/>
  <c r="S47" i="66" s="1"/>
  <c r="U47" i="66"/>
  <c r="U19" i="67"/>
  <c r="V19" i="67"/>
  <c r="V25" i="67"/>
  <c r="M25" i="67"/>
  <c r="U38" i="67"/>
  <c r="M46" i="67"/>
  <c r="I22" i="68"/>
  <c r="T22" i="68" s="1"/>
  <c r="S22" i="68" s="1"/>
  <c r="I26" i="68"/>
  <c r="U32" i="68"/>
  <c r="V32" i="68"/>
  <c r="M36" i="68"/>
  <c r="I37" i="68"/>
  <c r="T37" i="68" s="1"/>
  <c r="S37" i="68" s="1"/>
  <c r="V48" i="68"/>
  <c r="R49" i="69"/>
  <c r="U49" i="69" s="1"/>
  <c r="R42" i="69"/>
  <c r="V42" i="69" s="1"/>
  <c r="R41" i="69"/>
  <c r="U41" i="69" s="1"/>
  <c r="R34" i="69"/>
  <c r="V34" i="69" s="1"/>
  <c r="R33" i="69"/>
  <c r="U33" i="69" s="1"/>
  <c r="R26" i="69"/>
  <c r="V26" i="69" s="1"/>
  <c r="R25" i="69"/>
  <c r="U25" i="69" s="1"/>
  <c r="R43" i="69"/>
  <c r="V43" i="69" s="1"/>
  <c r="R35" i="69"/>
  <c r="V35" i="69" s="1"/>
  <c r="R27" i="69"/>
  <c r="U27" i="69" s="1"/>
  <c r="R19" i="69"/>
  <c r="R48" i="69"/>
  <c r="U48" i="69" s="1"/>
  <c r="R40" i="69"/>
  <c r="V40" i="69" s="1"/>
  <c r="R32" i="69"/>
  <c r="V32" i="69" s="1"/>
  <c r="R24" i="69"/>
  <c r="V24" i="69" s="1"/>
  <c r="V19" i="69"/>
  <c r="M19" i="69"/>
  <c r="M23" i="69"/>
  <c r="V23" i="69"/>
  <c r="M24" i="69"/>
  <c r="R31" i="69"/>
  <c r="U31" i="69" s="1"/>
  <c r="R36" i="69"/>
  <c r="U36" i="69" s="1"/>
  <c r="R37" i="69"/>
  <c r="U45" i="69"/>
  <c r="V45" i="69"/>
  <c r="M45" i="69"/>
  <c r="R46" i="69"/>
  <c r="V46" i="69" s="1"/>
  <c r="M49" i="69"/>
  <c r="H50" i="70"/>
  <c r="L19" i="70"/>
  <c r="M25" i="70"/>
  <c r="U25" i="70"/>
  <c r="V25" i="70"/>
  <c r="U29" i="70"/>
  <c r="M29" i="70"/>
  <c r="V29" i="70"/>
  <c r="V31" i="70"/>
  <c r="T20" i="71"/>
  <c r="S20" i="71" s="1"/>
  <c r="V32" i="71"/>
  <c r="U36" i="71"/>
  <c r="V36" i="71"/>
  <c r="H50" i="72"/>
  <c r="L19" i="72"/>
  <c r="U40" i="72"/>
  <c r="U22" i="73"/>
  <c r="V22" i="73"/>
  <c r="M23" i="73"/>
  <c r="U31" i="64"/>
  <c r="V31" i="64"/>
  <c r="M33" i="64"/>
  <c r="U39" i="64"/>
  <c r="V39" i="64"/>
  <c r="M41" i="64"/>
  <c r="U47" i="64"/>
  <c r="V47" i="64"/>
  <c r="M49" i="64"/>
  <c r="I43" i="65"/>
  <c r="T43" i="65" s="1"/>
  <c r="S43" i="65" s="1"/>
  <c r="I42" i="65"/>
  <c r="K50" i="65"/>
  <c r="M19" i="65"/>
  <c r="I21" i="65"/>
  <c r="T21" i="65" s="1"/>
  <c r="S21" i="65" s="1"/>
  <c r="I22" i="65"/>
  <c r="T22" i="65" s="1"/>
  <c r="S22" i="65" s="1"/>
  <c r="M27" i="65"/>
  <c r="I29" i="65"/>
  <c r="T29" i="65" s="1"/>
  <c r="S29" i="65" s="1"/>
  <c r="I30" i="65"/>
  <c r="U33" i="65"/>
  <c r="V33" i="65"/>
  <c r="M35" i="65"/>
  <c r="I37" i="65"/>
  <c r="T37" i="65" s="1"/>
  <c r="S37" i="65" s="1"/>
  <c r="I38" i="65"/>
  <c r="T38" i="65" s="1"/>
  <c r="S38" i="65" s="1"/>
  <c r="I41" i="65"/>
  <c r="T41" i="65" s="1"/>
  <c r="S41" i="65" s="1"/>
  <c r="M42" i="65"/>
  <c r="I45" i="65"/>
  <c r="I49" i="65"/>
  <c r="T49" i="65" s="1"/>
  <c r="S49" i="65" s="1"/>
  <c r="R49" i="66"/>
  <c r="V49" i="66" s="1"/>
  <c r="R42" i="66"/>
  <c r="U42" i="66" s="1"/>
  <c r="R41" i="66"/>
  <c r="V41" i="66" s="1"/>
  <c r="R34" i="66"/>
  <c r="V34" i="66" s="1"/>
  <c r="R33" i="66"/>
  <c r="U33" i="66" s="1"/>
  <c r="R26" i="66"/>
  <c r="U26" i="66" s="1"/>
  <c r="R25" i="66"/>
  <c r="V25" i="66" s="1"/>
  <c r="L50" i="66"/>
  <c r="V19" i="66"/>
  <c r="M19" i="66"/>
  <c r="R20" i="66"/>
  <c r="R24" i="66"/>
  <c r="U24" i="66" s="1"/>
  <c r="M26" i="66"/>
  <c r="V27" i="66"/>
  <c r="M27" i="66"/>
  <c r="T27" i="66" s="1"/>
  <c r="S27" i="66" s="1"/>
  <c r="R28" i="66"/>
  <c r="R32" i="66"/>
  <c r="V32" i="66" s="1"/>
  <c r="M34" i="66"/>
  <c r="V35" i="66"/>
  <c r="M35" i="66"/>
  <c r="T35" i="66" s="1"/>
  <c r="S35" i="66" s="1"/>
  <c r="R36" i="66"/>
  <c r="U36" i="66" s="1"/>
  <c r="R40" i="66"/>
  <c r="V40" i="66" s="1"/>
  <c r="M42" i="66"/>
  <c r="T42" i="66" s="1"/>
  <c r="S42" i="66" s="1"/>
  <c r="V43" i="66"/>
  <c r="M43" i="66"/>
  <c r="R44" i="66"/>
  <c r="V44" i="66" s="1"/>
  <c r="R48" i="66"/>
  <c r="V48" i="66" s="1"/>
  <c r="K50" i="67"/>
  <c r="U20" i="67"/>
  <c r="U24" i="67"/>
  <c r="U28" i="67"/>
  <c r="U36" i="67"/>
  <c r="U44" i="67"/>
  <c r="U48" i="67"/>
  <c r="H50" i="68"/>
  <c r="U26" i="68"/>
  <c r="V29" i="68"/>
  <c r="M29" i="68"/>
  <c r="T29" i="68" s="1"/>
  <c r="S29" i="68" s="1"/>
  <c r="M37" i="68"/>
  <c r="U37" i="68"/>
  <c r="V45" i="68"/>
  <c r="M45" i="68"/>
  <c r="T45" i="68" s="1"/>
  <c r="S45" i="68" s="1"/>
  <c r="U45" i="68"/>
  <c r="K50" i="69"/>
  <c r="V37" i="70"/>
  <c r="U37" i="70"/>
  <c r="M37" i="70"/>
  <c r="U47" i="70"/>
  <c r="L21" i="71"/>
  <c r="I21" i="71"/>
  <c r="V22" i="71"/>
  <c r="V27" i="71"/>
  <c r="U28" i="71"/>
  <c r="V28" i="71"/>
  <c r="T29" i="71"/>
  <c r="S29" i="71" s="1"/>
  <c r="U35" i="71"/>
  <c r="M35" i="71"/>
  <c r="V40" i="71"/>
  <c r="M27" i="72"/>
  <c r="V21" i="73"/>
  <c r="M40" i="65"/>
  <c r="T40" i="65" s="1"/>
  <c r="S40" i="65" s="1"/>
  <c r="U46" i="65"/>
  <c r="V46" i="65"/>
  <c r="M48" i="65"/>
  <c r="T48" i="65" s="1"/>
  <c r="S48" i="65" s="1"/>
  <c r="U20" i="66"/>
  <c r="V20" i="66"/>
  <c r="M22" i="66"/>
  <c r="U28" i="66"/>
  <c r="V28" i="66"/>
  <c r="M30" i="66"/>
  <c r="M38" i="66"/>
  <c r="U44" i="66"/>
  <c r="M46" i="66"/>
  <c r="T46" i="66" s="1"/>
  <c r="S46" i="66" s="1"/>
  <c r="M20" i="67"/>
  <c r="M50" i="67" s="1"/>
  <c r="P3" i="67" s="1"/>
  <c r="R23" i="67"/>
  <c r="U23" i="67" s="1"/>
  <c r="R24" i="67"/>
  <c r="V24" i="67" s="1"/>
  <c r="U26" i="67"/>
  <c r="V26" i="67"/>
  <c r="M28" i="67"/>
  <c r="R31" i="67"/>
  <c r="U31" i="67" s="1"/>
  <c r="R32" i="67"/>
  <c r="V32" i="67" s="1"/>
  <c r="U34" i="67"/>
  <c r="V34" i="67"/>
  <c r="M36" i="67"/>
  <c r="R39" i="67"/>
  <c r="V39" i="67" s="1"/>
  <c r="R40" i="67"/>
  <c r="V40" i="67" s="1"/>
  <c r="U42" i="67"/>
  <c r="V42" i="67"/>
  <c r="M44" i="67"/>
  <c r="R47" i="67"/>
  <c r="V47" i="67" s="1"/>
  <c r="K50" i="68"/>
  <c r="U24" i="68"/>
  <c r="V24" i="68"/>
  <c r="M26" i="68"/>
  <c r="U39" i="68"/>
  <c r="U42" i="68"/>
  <c r="U47" i="68"/>
  <c r="U22" i="69"/>
  <c r="U26" i="69"/>
  <c r="U30" i="69"/>
  <c r="U38" i="69"/>
  <c r="U42" i="69"/>
  <c r="U46" i="69"/>
  <c r="M22" i="70"/>
  <c r="M26" i="70"/>
  <c r="V30" i="70"/>
  <c r="U30" i="70"/>
  <c r="U34" i="70"/>
  <c r="V42" i="70"/>
  <c r="U44" i="70"/>
  <c r="M44" i="70"/>
  <c r="V43" i="71"/>
  <c r="U44" i="71"/>
  <c r="V44" i="71"/>
  <c r="T45" i="71"/>
  <c r="S45" i="71" s="1"/>
  <c r="V32" i="72"/>
  <c r="M40" i="72"/>
  <c r="V30" i="68"/>
  <c r="M32" i="68"/>
  <c r="M40" i="68"/>
  <c r="U46" i="68"/>
  <c r="V46" i="68"/>
  <c r="M48" i="68"/>
  <c r="U20" i="69"/>
  <c r="V20" i="69"/>
  <c r="M22" i="69"/>
  <c r="U28" i="69"/>
  <c r="V28" i="69"/>
  <c r="M30" i="69"/>
  <c r="V36" i="69"/>
  <c r="M38" i="69"/>
  <c r="U44" i="69"/>
  <c r="V44" i="69"/>
  <c r="M46" i="69"/>
  <c r="R49" i="70"/>
  <c r="V49" i="70" s="1"/>
  <c r="R47" i="70"/>
  <c r="V47" i="70" s="1"/>
  <c r="R45" i="70"/>
  <c r="R43" i="70"/>
  <c r="V43" i="70" s="1"/>
  <c r="R41" i="70"/>
  <c r="U41" i="70" s="1"/>
  <c r="R39" i="70"/>
  <c r="V39" i="70" s="1"/>
  <c r="R37" i="70"/>
  <c r="R35" i="70"/>
  <c r="V35" i="70" s="1"/>
  <c r="R33" i="70"/>
  <c r="U33" i="70" s="1"/>
  <c r="R31" i="70"/>
  <c r="U31" i="70" s="1"/>
  <c r="R48" i="70"/>
  <c r="R40" i="70"/>
  <c r="R32" i="70"/>
  <c r="R46" i="70"/>
  <c r="R42" i="70"/>
  <c r="U42" i="70" s="1"/>
  <c r="R36" i="70"/>
  <c r="V36" i="70" s="1"/>
  <c r="R26" i="70"/>
  <c r="V26" i="70" s="1"/>
  <c r="R25" i="70"/>
  <c r="M20" i="70"/>
  <c r="R23" i="70"/>
  <c r="V23" i="70" s="1"/>
  <c r="M24" i="70"/>
  <c r="R30" i="70"/>
  <c r="U39" i="70"/>
  <c r="V46" i="70"/>
  <c r="U46" i="70"/>
  <c r="U22" i="71"/>
  <c r="T25" i="71"/>
  <c r="S25" i="71" s="1"/>
  <c r="U46" i="71"/>
  <c r="V23" i="72"/>
  <c r="M23" i="72"/>
  <c r="M33" i="72"/>
  <c r="U20" i="73"/>
  <c r="V20" i="73"/>
  <c r="M24" i="73"/>
  <c r="V25" i="73"/>
  <c r="M25" i="73"/>
  <c r="U25" i="73"/>
  <c r="M29" i="73"/>
  <c r="V29" i="73"/>
  <c r="U44" i="73"/>
  <c r="V44" i="73"/>
  <c r="M45" i="73"/>
  <c r="U45" i="73"/>
  <c r="V45" i="73"/>
  <c r="U28" i="70"/>
  <c r="V28" i="70"/>
  <c r="M30" i="70"/>
  <c r="U36" i="70"/>
  <c r="V38" i="70"/>
  <c r="V45" i="70"/>
  <c r="U45" i="70"/>
  <c r="M47" i="70"/>
  <c r="H50" i="71"/>
  <c r="L19" i="71"/>
  <c r="U20" i="71"/>
  <c r="V20" i="71"/>
  <c r="U30" i="71"/>
  <c r="M38" i="71"/>
  <c r="V49" i="71"/>
  <c r="M49" i="71"/>
  <c r="U49" i="71"/>
  <c r="R49" i="72"/>
  <c r="U49" i="72" s="1"/>
  <c r="R42" i="72"/>
  <c r="V42" i="72" s="1"/>
  <c r="R41" i="72"/>
  <c r="U41" i="72" s="1"/>
  <c r="R34" i="72"/>
  <c r="V34" i="72" s="1"/>
  <c r="R33" i="72"/>
  <c r="U33" i="72" s="1"/>
  <c r="R43" i="72"/>
  <c r="U43" i="72" s="1"/>
  <c r="R35" i="72"/>
  <c r="U35" i="72" s="1"/>
  <c r="R22" i="72"/>
  <c r="V22" i="72" s="1"/>
  <c r="R21" i="72"/>
  <c r="V21" i="72" s="1"/>
  <c r="R45" i="72"/>
  <c r="V45" i="72" s="1"/>
  <c r="R37" i="72"/>
  <c r="R29" i="72"/>
  <c r="U29" i="72" s="1"/>
  <c r="R27" i="72"/>
  <c r="V27" i="72" s="1"/>
  <c r="R26" i="72"/>
  <c r="U26" i="72" s="1"/>
  <c r="R19" i="72"/>
  <c r="R47" i="72"/>
  <c r="R36" i="72"/>
  <c r="U36" i="72" s="1"/>
  <c r="R32" i="72"/>
  <c r="U32" i="72" s="1"/>
  <c r="R30" i="72"/>
  <c r="V30" i="72" s="1"/>
  <c r="R23" i="72"/>
  <c r="U23" i="72" s="1"/>
  <c r="U20" i="72"/>
  <c r="V20" i="72"/>
  <c r="R24" i="72"/>
  <c r="T26" i="72"/>
  <c r="S26" i="72" s="1"/>
  <c r="M32" i="72"/>
  <c r="R40" i="72"/>
  <c r="V40" i="72" s="1"/>
  <c r="M49" i="72"/>
  <c r="U30" i="73"/>
  <c r="V30" i="73"/>
  <c r="M31" i="73"/>
  <c r="V31" i="73"/>
  <c r="U31" i="73"/>
  <c r="T43" i="73"/>
  <c r="S43" i="73" s="1"/>
  <c r="V49" i="73"/>
  <c r="M49" i="73"/>
  <c r="U49" i="73"/>
  <c r="I49" i="70"/>
  <c r="T49" i="70" s="1"/>
  <c r="S49" i="70" s="1"/>
  <c r="I47" i="70"/>
  <c r="I45" i="70"/>
  <c r="T45" i="70" s="1"/>
  <c r="S45" i="70" s="1"/>
  <c r="I43" i="70"/>
  <c r="T43" i="70" s="1"/>
  <c r="S43" i="70" s="1"/>
  <c r="I41" i="70"/>
  <c r="T41" i="70" s="1"/>
  <c r="S41" i="70" s="1"/>
  <c r="I39" i="70"/>
  <c r="T39" i="70" s="1"/>
  <c r="S39" i="70" s="1"/>
  <c r="I37" i="70"/>
  <c r="T37" i="70" s="1"/>
  <c r="S37" i="70" s="1"/>
  <c r="I35" i="70"/>
  <c r="T35" i="70" s="1"/>
  <c r="S35" i="70" s="1"/>
  <c r="I33" i="70"/>
  <c r="T33" i="70" s="1"/>
  <c r="S33" i="70" s="1"/>
  <c r="I31" i="70"/>
  <c r="T31" i="70" s="1"/>
  <c r="S31" i="70" s="1"/>
  <c r="K50" i="70"/>
  <c r="I34" i="70"/>
  <c r="T34" i="70" s="1"/>
  <c r="S34" i="70" s="1"/>
  <c r="I42" i="70"/>
  <c r="T42" i="70" s="1"/>
  <c r="S42" i="70" s="1"/>
  <c r="I49" i="71"/>
  <c r="T49" i="71" s="1"/>
  <c r="S49" i="71" s="1"/>
  <c r="I47" i="71"/>
  <c r="I46" i="71"/>
  <c r="T46" i="71" s="1"/>
  <c r="S46" i="71" s="1"/>
  <c r="I39" i="71"/>
  <c r="T39" i="71" s="1"/>
  <c r="S39" i="71" s="1"/>
  <c r="I38" i="71"/>
  <c r="I31" i="71"/>
  <c r="T31" i="71" s="1"/>
  <c r="S31" i="71" s="1"/>
  <c r="I30" i="71"/>
  <c r="T30" i="71" s="1"/>
  <c r="S30" i="71" s="1"/>
  <c r="I23" i="71"/>
  <c r="I22" i="71"/>
  <c r="T22" i="71" s="1"/>
  <c r="S22" i="71" s="1"/>
  <c r="I19" i="71"/>
  <c r="M24" i="71"/>
  <c r="T24" i="71" s="1"/>
  <c r="S24" i="71" s="1"/>
  <c r="V25" i="71"/>
  <c r="M25" i="71"/>
  <c r="I27" i="71"/>
  <c r="T27" i="71" s="1"/>
  <c r="S27" i="71" s="1"/>
  <c r="M32" i="71"/>
  <c r="T32" i="71" s="1"/>
  <c r="S32" i="71" s="1"/>
  <c r="V33" i="71"/>
  <c r="M33" i="71"/>
  <c r="T33" i="71" s="1"/>
  <c r="S33" i="71" s="1"/>
  <c r="I35" i="71"/>
  <c r="T35" i="71" s="1"/>
  <c r="S35" i="71" s="1"/>
  <c r="M40" i="71"/>
  <c r="T40" i="71" s="1"/>
  <c r="S40" i="71" s="1"/>
  <c r="V41" i="71"/>
  <c r="M41" i="71"/>
  <c r="I43" i="71"/>
  <c r="T43" i="71" s="1"/>
  <c r="S43" i="71" s="1"/>
  <c r="M48" i="71"/>
  <c r="T48" i="71" s="1"/>
  <c r="S48" i="71" s="1"/>
  <c r="U25" i="72"/>
  <c r="M25" i="72"/>
  <c r="T25" i="72" s="1"/>
  <c r="S25" i="72" s="1"/>
  <c r="U28" i="72"/>
  <c r="V28" i="72"/>
  <c r="V41" i="72"/>
  <c r="I49" i="73"/>
  <c r="T49" i="73" s="1"/>
  <c r="S49" i="73" s="1"/>
  <c r="I48" i="73"/>
  <c r="T48" i="73" s="1"/>
  <c r="S48" i="73" s="1"/>
  <c r="I47" i="73"/>
  <c r="I46" i="73"/>
  <c r="I39" i="73"/>
  <c r="I38" i="73"/>
  <c r="T38" i="73" s="1"/>
  <c r="S38" i="73" s="1"/>
  <c r="I31" i="73"/>
  <c r="T31" i="73" s="1"/>
  <c r="S31" i="73" s="1"/>
  <c r="I30" i="73"/>
  <c r="I23" i="73"/>
  <c r="I22" i="73"/>
  <c r="I45" i="73"/>
  <c r="I41" i="73"/>
  <c r="I37" i="73"/>
  <c r="I33" i="73"/>
  <c r="T33" i="73" s="1"/>
  <c r="S33" i="73" s="1"/>
  <c r="I29" i="73"/>
  <c r="T29" i="73" s="1"/>
  <c r="S29" i="73" s="1"/>
  <c r="I25" i="73"/>
  <c r="I21" i="73"/>
  <c r="T21" i="73" s="1"/>
  <c r="S21" i="73" s="1"/>
  <c r="I40" i="73"/>
  <c r="T40" i="73" s="1"/>
  <c r="S40" i="73" s="1"/>
  <c r="I32" i="73"/>
  <c r="T32" i="73" s="1"/>
  <c r="S32" i="73" s="1"/>
  <c r="I24" i="73"/>
  <c r="T24" i="73" s="1"/>
  <c r="S24" i="73" s="1"/>
  <c r="I19" i="73"/>
  <c r="U28" i="73"/>
  <c r="V28" i="73"/>
  <c r="V32" i="73"/>
  <c r="V33" i="73"/>
  <c r="M33" i="73"/>
  <c r="I34" i="73"/>
  <c r="T34" i="73" s="1"/>
  <c r="S34" i="73" s="1"/>
  <c r="U38" i="73"/>
  <c r="V38" i="73"/>
  <c r="I44" i="73"/>
  <c r="T44" i="73" s="1"/>
  <c r="S44" i="73" s="1"/>
  <c r="U48" i="72"/>
  <c r="V48" i="72"/>
  <c r="K50" i="73"/>
  <c r="I20" i="73"/>
  <c r="I27" i="73"/>
  <c r="U36" i="73"/>
  <c r="V36" i="73"/>
  <c r="V41" i="73"/>
  <c r="M41" i="73"/>
  <c r="I42" i="73"/>
  <c r="T42" i="73" s="1"/>
  <c r="S42" i="73" s="1"/>
  <c r="U46" i="73"/>
  <c r="V46" i="73"/>
  <c r="U47" i="73"/>
  <c r="M47" i="73"/>
  <c r="M20" i="71"/>
  <c r="R23" i="71"/>
  <c r="U23" i="71" s="1"/>
  <c r="R24" i="71"/>
  <c r="V24" i="71" s="1"/>
  <c r="U26" i="71"/>
  <c r="V26" i="71"/>
  <c r="M28" i="71"/>
  <c r="T28" i="71" s="1"/>
  <c r="S28" i="71" s="1"/>
  <c r="R31" i="71"/>
  <c r="V31" i="71" s="1"/>
  <c r="R32" i="71"/>
  <c r="U32" i="71" s="1"/>
  <c r="U34" i="71"/>
  <c r="V34" i="71"/>
  <c r="M36" i="71"/>
  <c r="T36" i="71" s="1"/>
  <c r="S36" i="71" s="1"/>
  <c r="R39" i="71"/>
  <c r="V39" i="71" s="1"/>
  <c r="R40" i="71"/>
  <c r="U40" i="71" s="1"/>
  <c r="U42" i="71"/>
  <c r="V42" i="71"/>
  <c r="M44" i="71"/>
  <c r="T44" i="71" s="1"/>
  <c r="S44" i="71" s="1"/>
  <c r="R47" i="71"/>
  <c r="V47" i="71" s="1"/>
  <c r="I44" i="72"/>
  <c r="T44" i="72" s="1"/>
  <c r="S44" i="72" s="1"/>
  <c r="I36" i="72"/>
  <c r="T36" i="72" s="1"/>
  <c r="S36" i="72" s="1"/>
  <c r="I28" i="72"/>
  <c r="I21" i="72"/>
  <c r="I20" i="72"/>
  <c r="T20" i="72" s="1"/>
  <c r="S20" i="72" s="1"/>
  <c r="I19" i="72"/>
  <c r="M20" i="72"/>
  <c r="I23" i="72"/>
  <c r="I27" i="72"/>
  <c r="T27" i="72" s="1"/>
  <c r="S27" i="72" s="1"/>
  <c r="M28" i="72"/>
  <c r="V35" i="72"/>
  <c r="M35" i="72"/>
  <c r="T35" i="72" s="1"/>
  <c r="S35" i="72" s="1"/>
  <c r="U37" i="72"/>
  <c r="V37" i="72"/>
  <c r="V43" i="72"/>
  <c r="M43" i="72"/>
  <c r="T43" i="72" s="1"/>
  <c r="S43" i="72" s="1"/>
  <c r="U45" i="72"/>
  <c r="L19" i="73"/>
  <c r="H50" i="73"/>
  <c r="U27" i="73"/>
  <c r="M27" i="73"/>
  <c r="U35" i="73"/>
  <c r="M35" i="73"/>
  <c r="T35" i="73" s="1"/>
  <c r="S35" i="73" s="1"/>
  <c r="U43" i="73"/>
  <c r="M43" i="73"/>
  <c r="I49" i="72"/>
  <c r="T49" i="72" s="1"/>
  <c r="S49" i="72" s="1"/>
  <c r="U24" i="72"/>
  <c r="V24" i="72"/>
  <c r="M26" i="72"/>
  <c r="U30" i="72"/>
  <c r="U34" i="72"/>
  <c r="U38" i="72"/>
  <c r="U46" i="72"/>
  <c r="M22" i="73"/>
  <c r="M30" i="73"/>
  <c r="M38" i="73"/>
  <c r="M46" i="73"/>
  <c r="K50" i="72"/>
  <c r="M30" i="72"/>
  <c r="T30" i="72" s="1"/>
  <c r="S30" i="72" s="1"/>
  <c r="I32" i="72"/>
  <c r="T32" i="72" s="1"/>
  <c r="S32" i="72" s="1"/>
  <c r="I33" i="72"/>
  <c r="T33" i="72" s="1"/>
  <c r="S33" i="72" s="1"/>
  <c r="M38" i="72"/>
  <c r="T38" i="72" s="1"/>
  <c r="S38" i="72" s="1"/>
  <c r="I40" i="72"/>
  <c r="I41" i="72"/>
  <c r="T41" i="72" s="1"/>
  <c r="S41" i="72" s="1"/>
  <c r="U44" i="72"/>
  <c r="V44" i="72"/>
  <c r="M46" i="72"/>
  <c r="T46" i="72" s="1"/>
  <c r="S46" i="72" s="1"/>
  <c r="I48" i="72"/>
  <c r="T48" i="72" s="1"/>
  <c r="S48" i="72" s="1"/>
  <c r="M20" i="73"/>
  <c r="R23" i="73"/>
  <c r="V23" i="73" s="1"/>
  <c r="R24" i="73"/>
  <c r="U24" i="73" s="1"/>
  <c r="U26" i="73"/>
  <c r="V26" i="73"/>
  <c r="M28" i="73"/>
  <c r="T28" i="73" s="1"/>
  <c r="S28" i="73" s="1"/>
  <c r="R31" i="73"/>
  <c r="R32" i="73"/>
  <c r="U32" i="73" s="1"/>
  <c r="U34" i="73"/>
  <c r="V34" i="73"/>
  <c r="M36" i="73"/>
  <c r="T36" i="73" s="1"/>
  <c r="S36" i="73" s="1"/>
  <c r="R39" i="73"/>
  <c r="V39" i="73" s="1"/>
  <c r="R40" i="73"/>
  <c r="U40" i="73" s="1"/>
  <c r="U42" i="73"/>
  <c r="V42" i="73"/>
  <c r="M44" i="73"/>
  <c r="R47" i="73"/>
  <c r="V47" i="73" s="1"/>
  <c r="R48" i="73"/>
  <c r="V48" i="73" s="1"/>
  <c r="V15" i="54" l="1"/>
  <c r="P9" i="54" s="1"/>
  <c r="P7" i="54"/>
  <c r="S9" i="54" s="1"/>
  <c r="P7" i="29"/>
  <c r="S9" i="29" s="1"/>
  <c r="V15" i="29"/>
  <c r="P9" i="29" s="1"/>
  <c r="V15" i="40"/>
  <c r="P9" i="40" s="1"/>
  <c r="P7" i="40"/>
  <c r="P5" i="27"/>
  <c r="V15" i="53"/>
  <c r="P9" i="53" s="1"/>
  <c r="P7" i="53"/>
  <c r="V15" i="49"/>
  <c r="P9" i="49" s="1"/>
  <c r="P7" i="49"/>
  <c r="P7" i="27"/>
  <c r="S9" i="27" s="1"/>
  <c r="V15" i="27"/>
  <c r="P9" i="27" s="1"/>
  <c r="V15" i="48"/>
  <c r="P9" i="48" s="1"/>
  <c r="P7" i="48"/>
  <c r="T26" i="68"/>
  <c r="S26" i="68" s="1"/>
  <c r="I50" i="62"/>
  <c r="P2" i="62" s="1"/>
  <c r="I50" i="60"/>
  <c r="P2" i="60" s="1"/>
  <c r="T19" i="60"/>
  <c r="V42" i="59"/>
  <c r="U42" i="59"/>
  <c r="V33" i="66"/>
  <c r="V24" i="64"/>
  <c r="U24" i="64"/>
  <c r="T38" i="69"/>
  <c r="S38" i="69" s="1"/>
  <c r="V38" i="62"/>
  <c r="U38" i="62"/>
  <c r="U34" i="61"/>
  <c r="V34" i="61"/>
  <c r="U29" i="69"/>
  <c r="V29" i="69"/>
  <c r="M29" i="69"/>
  <c r="V28" i="62"/>
  <c r="U28" i="62"/>
  <c r="I50" i="41"/>
  <c r="P2" i="41" s="1"/>
  <c r="T19" i="41"/>
  <c r="U47" i="62"/>
  <c r="T24" i="58"/>
  <c r="S24" i="58" s="1"/>
  <c r="V38" i="57"/>
  <c r="V42" i="50"/>
  <c r="M50" i="33"/>
  <c r="P3" i="33" s="1"/>
  <c r="M50" i="23"/>
  <c r="P3" i="23" s="1"/>
  <c r="T33" i="61"/>
  <c r="S33" i="61" s="1"/>
  <c r="V45" i="57"/>
  <c r="U45" i="57"/>
  <c r="L50" i="52"/>
  <c r="V19" i="52"/>
  <c r="U19" i="52"/>
  <c r="I50" i="48"/>
  <c r="P2" i="48" s="1"/>
  <c r="T36" i="43"/>
  <c r="S36" i="43" s="1"/>
  <c r="U22" i="29"/>
  <c r="U22" i="27"/>
  <c r="U30" i="25"/>
  <c r="U46" i="23"/>
  <c r="U30" i="23"/>
  <c r="V46" i="49"/>
  <c r="R50" i="26"/>
  <c r="U19" i="26"/>
  <c r="V19" i="26"/>
  <c r="R50" i="25"/>
  <c r="H50" i="24"/>
  <c r="U35" i="69"/>
  <c r="V21" i="57"/>
  <c r="U21" i="57"/>
  <c r="I50" i="47"/>
  <c r="P2" i="47" s="1"/>
  <c r="T36" i="47"/>
  <c r="S36" i="47" s="1"/>
  <c r="V49" i="42"/>
  <c r="U49" i="42"/>
  <c r="V45" i="24"/>
  <c r="U45" i="24"/>
  <c r="V34" i="58"/>
  <c r="V26" i="50"/>
  <c r="V48" i="46"/>
  <c r="V30" i="42"/>
  <c r="V43" i="3"/>
  <c r="V35" i="28"/>
  <c r="U35" i="28"/>
  <c r="T49" i="25"/>
  <c r="S49" i="25" s="1"/>
  <c r="R50" i="22"/>
  <c r="V30" i="51"/>
  <c r="M50" i="54"/>
  <c r="P3" i="54" s="1"/>
  <c r="U38" i="18"/>
  <c r="U30" i="18"/>
  <c r="V45" i="12"/>
  <c r="V15" i="9"/>
  <c r="P9" i="9" s="1"/>
  <c r="P7" i="9"/>
  <c r="S9" i="9" s="1"/>
  <c r="V31" i="8"/>
  <c r="M50" i="5"/>
  <c r="P3" i="5" s="1"/>
  <c r="U19" i="2"/>
  <c r="U19" i="47"/>
  <c r="M19" i="47"/>
  <c r="M50" i="47" s="1"/>
  <c r="P3" i="47" s="1"/>
  <c r="L50" i="47"/>
  <c r="V19" i="47"/>
  <c r="T41" i="44"/>
  <c r="S41" i="44" s="1"/>
  <c r="U44" i="40"/>
  <c r="V49" i="35"/>
  <c r="V33" i="35"/>
  <c r="U21" i="30"/>
  <c r="V21" i="30"/>
  <c r="U29" i="30"/>
  <c r="V29" i="30"/>
  <c r="V37" i="30"/>
  <c r="U37" i="30"/>
  <c r="U45" i="30"/>
  <c r="V45" i="30"/>
  <c r="T26" i="22"/>
  <c r="S26" i="22" s="1"/>
  <c r="V44" i="20"/>
  <c r="R50" i="10"/>
  <c r="U19" i="10"/>
  <c r="V34" i="21"/>
  <c r="U36" i="20"/>
  <c r="U48" i="73"/>
  <c r="U24" i="71"/>
  <c r="V33" i="72"/>
  <c r="R50" i="67"/>
  <c r="T19" i="65"/>
  <c r="I50" i="65"/>
  <c r="P2" i="65" s="1"/>
  <c r="V19" i="60"/>
  <c r="U19" i="60"/>
  <c r="L50" i="60"/>
  <c r="M19" i="60"/>
  <c r="T37" i="71"/>
  <c r="S37" i="71" s="1"/>
  <c r="U49" i="66"/>
  <c r="V34" i="54"/>
  <c r="V19" i="64"/>
  <c r="U19" i="64"/>
  <c r="L50" i="64"/>
  <c r="M19" i="64"/>
  <c r="V22" i="57"/>
  <c r="V46" i="55"/>
  <c r="V30" i="55"/>
  <c r="U22" i="53"/>
  <c r="T19" i="51"/>
  <c r="I50" i="51"/>
  <c r="P2" i="51" s="1"/>
  <c r="M50" i="27"/>
  <c r="P3" i="27" s="1"/>
  <c r="M50" i="25"/>
  <c r="P3" i="25" s="1"/>
  <c r="T41" i="61"/>
  <c r="S41" i="61" s="1"/>
  <c r="T32" i="42"/>
  <c r="S32" i="42" s="1"/>
  <c r="U38" i="29"/>
  <c r="U30" i="27"/>
  <c r="U38" i="25"/>
  <c r="U38" i="23"/>
  <c r="V20" i="60"/>
  <c r="U20" i="60"/>
  <c r="U34" i="48"/>
  <c r="U31" i="41"/>
  <c r="V31" i="41"/>
  <c r="M31" i="41"/>
  <c r="U37" i="40"/>
  <c r="U43" i="26"/>
  <c r="V43" i="26"/>
  <c r="H50" i="32"/>
  <c r="I50" i="59"/>
  <c r="P2" i="59" s="1"/>
  <c r="M50" i="40"/>
  <c r="P3" i="40" s="1"/>
  <c r="H50" i="33"/>
  <c r="V29" i="24"/>
  <c r="U29" i="24"/>
  <c r="I50" i="25"/>
  <c r="P2" i="25" s="1"/>
  <c r="T19" i="25"/>
  <c r="H50" i="19"/>
  <c r="V46" i="51"/>
  <c r="V41" i="45"/>
  <c r="U41" i="45"/>
  <c r="M41" i="45"/>
  <c r="V44" i="41"/>
  <c r="V27" i="28"/>
  <c r="U27" i="28"/>
  <c r="V21" i="13"/>
  <c r="R50" i="21"/>
  <c r="U19" i="21"/>
  <c r="M50" i="20"/>
  <c r="P3" i="20" s="1"/>
  <c r="U49" i="19"/>
  <c r="V49" i="19"/>
  <c r="V37" i="15"/>
  <c r="T29" i="56"/>
  <c r="S29" i="56" s="1"/>
  <c r="V36" i="72"/>
  <c r="L50" i="73"/>
  <c r="U19" i="73"/>
  <c r="M19" i="73"/>
  <c r="M50" i="73" s="1"/>
  <c r="P3" i="73" s="1"/>
  <c r="V19" i="73"/>
  <c r="I50" i="73"/>
  <c r="P2" i="73" s="1"/>
  <c r="T19" i="73"/>
  <c r="T37" i="73"/>
  <c r="S37" i="73" s="1"/>
  <c r="T39" i="73"/>
  <c r="S39" i="73" s="1"/>
  <c r="T47" i="71"/>
  <c r="S47" i="71" s="1"/>
  <c r="U35" i="70"/>
  <c r="V36" i="66"/>
  <c r="V25" i="65"/>
  <c r="L50" i="72"/>
  <c r="U19" i="72"/>
  <c r="V19" i="72"/>
  <c r="M19" i="72"/>
  <c r="M50" i="72" s="1"/>
  <c r="P3" i="72" s="1"/>
  <c r="L50" i="69"/>
  <c r="V42" i="63"/>
  <c r="U42" i="63"/>
  <c r="U40" i="69"/>
  <c r="U26" i="65"/>
  <c r="T32" i="48"/>
  <c r="S32" i="48" s="1"/>
  <c r="U21" i="72"/>
  <c r="I50" i="69"/>
  <c r="P2" i="69" s="1"/>
  <c r="T19" i="69"/>
  <c r="T48" i="69"/>
  <c r="S48" i="69" s="1"/>
  <c r="V30" i="64"/>
  <c r="U47" i="63"/>
  <c r="T41" i="63"/>
  <c r="S41" i="63" s="1"/>
  <c r="V42" i="61"/>
  <c r="U42" i="61"/>
  <c r="M20" i="60"/>
  <c r="T29" i="67"/>
  <c r="S29" i="67" s="1"/>
  <c r="T23" i="67"/>
  <c r="S23" i="67" s="1"/>
  <c r="U36" i="64"/>
  <c r="T42" i="55"/>
  <c r="S42" i="55" s="1"/>
  <c r="U20" i="53"/>
  <c r="M19" i="52"/>
  <c r="M50" i="52" s="1"/>
  <c r="P3" i="52" s="1"/>
  <c r="T19" i="45"/>
  <c r="I50" i="45"/>
  <c r="P2" i="45" s="1"/>
  <c r="T42" i="37"/>
  <c r="S42" i="37" s="1"/>
  <c r="T25" i="35"/>
  <c r="S25" i="35" s="1"/>
  <c r="T21" i="31"/>
  <c r="S21" i="31" s="1"/>
  <c r="T22" i="73"/>
  <c r="S22" i="73" s="1"/>
  <c r="U31" i="71"/>
  <c r="U27" i="72"/>
  <c r="V21" i="71"/>
  <c r="U21" i="71"/>
  <c r="M21" i="71"/>
  <c r="T26" i="66"/>
  <c r="S26" i="66" s="1"/>
  <c r="U32" i="66"/>
  <c r="U26" i="64"/>
  <c r="M26" i="64"/>
  <c r="V26" i="64"/>
  <c r="R50" i="66"/>
  <c r="V28" i="60"/>
  <c r="U28" i="60"/>
  <c r="V46" i="57"/>
  <c r="I50" i="52"/>
  <c r="P2" i="52" s="1"/>
  <c r="T22" i="51"/>
  <c r="S22" i="51" s="1"/>
  <c r="I50" i="44"/>
  <c r="P2" i="44" s="1"/>
  <c r="T36" i="59"/>
  <c r="S36" i="59" s="1"/>
  <c r="V42" i="58"/>
  <c r="V15" i="37"/>
  <c r="P9" i="37" s="1"/>
  <c r="P7" i="37"/>
  <c r="M50" i="29"/>
  <c r="P3" i="29" s="1"/>
  <c r="U46" i="29"/>
  <c r="U30" i="29"/>
  <c r="U46" i="27"/>
  <c r="U38" i="27"/>
  <c r="U46" i="25"/>
  <c r="V23" i="63"/>
  <c r="U23" i="63"/>
  <c r="M23" i="63"/>
  <c r="T23" i="63" s="1"/>
  <c r="S23" i="63" s="1"/>
  <c r="T23" i="45"/>
  <c r="S23" i="45" s="1"/>
  <c r="U21" i="40"/>
  <c r="R50" i="31"/>
  <c r="U35" i="26"/>
  <c r="V35" i="26"/>
  <c r="T19" i="19"/>
  <c r="I50" i="19"/>
  <c r="P2" i="19" s="1"/>
  <c r="T31" i="58"/>
  <c r="S31" i="58" s="1"/>
  <c r="V33" i="42"/>
  <c r="U33" i="42"/>
  <c r="V21" i="24"/>
  <c r="U21" i="24"/>
  <c r="V40" i="63"/>
  <c r="U40" i="63"/>
  <c r="V22" i="58"/>
  <c r="U22" i="58"/>
  <c r="M22" i="58"/>
  <c r="I50" i="38"/>
  <c r="P2" i="38" s="1"/>
  <c r="T19" i="38"/>
  <c r="T26" i="38"/>
  <c r="S26" i="38" s="1"/>
  <c r="T19" i="27"/>
  <c r="R50" i="3"/>
  <c r="U19" i="3"/>
  <c r="P7" i="2"/>
  <c r="S9" i="2" s="1"/>
  <c r="T9" i="2" s="1"/>
  <c r="V9" i="2" s="1"/>
  <c r="V15" i="2"/>
  <c r="P9" i="2" s="1"/>
  <c r="U44" i="6"/>
  <c r="U26" i="2"/>
  <c r="L50" i="48"/>
  <c r="U19" i="48"/>
  <c r="V19" i="48"/>
  <c r="M19" i="48"/>
  <c r="M50" i="48" s="1"/>
  <c r="P3" i="48" s="1"/>
  <c r="V43" i="28"/>
  <c r="U43" i="28"/>
  <c r="V39" i="17"/>
  <c r="R50" i="52"/>
  <c r="V24" i="43"/>
  <c r="V43" i="31"/>
  <c r="V35" i="31"/>
  <c r="V27" i="31"/>
  <c r="U9" i="2"/>
  <c r="T22" i="56"/>
  <c r="S22" i="56" s="1"/>
  <c r="T23" i="73"/>
  <c r="S23" i="73" s="1"/>
  <c r="U47" i="72"/>
  <c r="V47" i="72"/>
  <c r="R50" i="73"/>
  <c r="R50" i="71"/>
  <c r="T43" i="66"/>
  <c r="S43" i="66" s="1"/>
  <c r="U40" i="65"/>
  <c r="T45" i="62"/>
  <c r="S45" i="62" s="1"/>
  <c r="V34" i="59"/>
  <c r="U34" i="59"/>
  <c r="U49" i="70"/>
  <c r="T19" i="68"/>
  <c r="I50" i="68"/>
  <c r="P2" i="68" s="1"/>
  <c r="U21" i="66"/>
  <c r="V21" i="66"/>
  <c r="M21" i="66"/>
  <c r="U20" i="63"/>
  <c r="V20" i="63"/>
  <c r="V23" i="62"/>
  <c r="M28" i="60"/>
  <c r="V37" i="71"/>
  <c r="M37" i="71"/>
  <c r="U37" i="71"/>
  <c r="T21" i="69"/>
  <c r="S21" i="69" s="1"/>
  <c r="V46" i="62"/>
  <c r="U46" i="62"/>
  <c r="V46" i="60"/>
  <c r="U46" i="60"/>
  <c r="U27" i="68"/>
  <c r="T44" i="67"/>
  <c r="S44" i="67" s="1"/>
  <c r="U39" i="63"/>
  <c r="U26" i="60"/>
  <c r="V26" i="60"/>
  <c r="M26" i="60"/>
  <c r="T26" i="60" s="1"/>
  <c r="S26" i="60" s="1"/>
  <c r="V21" i="48"/>
  <c r="U21" i="48"/>
  <c r="V20" i="42"/>
  <c r="V30" i="41"/>
  <c r="T45" i="31"/>
  <c r="S45" i="31" s="1"/>
  <c r="T37" i="31"/>
  <c r="S37" i="31" s="1"/>
  <c r="V24" i="66"/>
  <c r="U47" i="60"/>
  <c r="U33" i="59"/>
  <c r="R50" i="59"/>
  <c r="T42" i="58"/>
  <c r="S42" i="58" s="1"/>
  <c r="T19" i="55"/>
  <c r="I50" i="55"/>
  <c r="P2" i="55" s="1"/>
  <c r="V47" i="46"/>
  <c r="U47" i="46"/>
  <c r="U41" i="65"/>
  <c r="U41" i="59"/>
  <c r="U24" i="58"/>
  <c r="U44" i="57"/>
  <c r="V44" i="55"/>
  <c r="V28" i="55"/>
  <c r="U44" i="53"/>
  <c r="V30" i="53"/>
  <c r="V34" i="52"/>
  <c r="V40" i="50"/>
  <c r="R50" i="50"/>
  <c r="T25" i="46"/>
  <c r="S25" i="46" s="1"/>
  <c r="U37" i="42"/>
  <c r="H50" i="23"/>
  <c r="V46" i="53"/>
  <c r="T33" i="50"/>
  <c r="S33" i="50" s="1"/>
  <c r="T29" i="49"/>
  <c r="S29" i="49" s="1"/>
  <c r="T20" i="48"/>
  <c r="S20" i="48" s="1"/>
  <c r="T43" i="46"/>
  <c r="S43" i="46" s="1"/>
  <c r="U19" i="43"/>
  <c r="L50" i="43"/>
  <c r="M19" i="43"/>
  <c r="M50" i="43" s="1"/>
  <c r="P3" i="43" s="1"/>
  <c r="V19" i="43"/>
  <c r="T19" i="42"/>
  <c r="I50" i="42"/>
  <c r="P2" i="42" s="1"/>
  <c r="V15" i="36"/>
  <c r="P9" i="36" s="1"/>
  <c r="P7" i="36"/>
  <c r="S9" i="36" s="1"/>
  <c r="H50" i="31"/>
  <c r="T40" i="30"/>
  <c r="S40" i="30" s="1"/>
  <c r="T24" i="30"/>
  <c r="S24" i="30" s="1"/>
  <c r="T40" i="28"/>
  <c r="S40" i="28" s="1"/>
  <c r="T24" i="28"/>
  <c r="S24" i="28" s="1"/>
  <c r="T48" i="26"/>
  <c r="S48" i="26" s="1"/>
  <c r="T40" i="26"/>
  <c r="S40" i="26" s="1"/>
  <c r="T24" i="26"/>
  <c r="S24" i="26" s="1"/>
  <c r="T48" i="24"/>
  <c r="S48" i="24" s="1"/>
  <c r="T24" i="24"/>
  <c r="S24" i="24" s="1"/>
  <c r="U26" i="62"/>
  <c r="M26" i="62"/>
  <c r="T26" i="62" s="1"/>
  <c r="S26" i="62" s="1"/>
  <c r="V26" i="62"/>
  <c r="U46" i="61"/>
  <c r="U26" i="54"/>
  <c r="U39" i="41"/>
  <c r="V39" i="41"/>
  <c r="M39" i="41"/>
  <c r="T39" i="41" s="1"/>
  <c r="S39" i="41" s="1"/>
  <c r="T41" i="40"/>
  <c r="S41" i="40" s="1"/>
  <c r="T37" i="27"/>
  <c r="S37" i="27" s="1"/>
  <c r="T29" i="27"/>
  <c r="S29" i="27" s="1"/>
  <c r="V33" i="22"/>
  <c r="U33" i="22"/>
  <c r="V49" i="22"/>
  <c r="U49" i="22"/>
  <c r="U48" i="24"/>
  <c r="T25" i="17"/>
  <c r="S25" i="17" s="1"/>
  <c r="T37" i="7"/>
  <c r="S37" i="7" s="1"/>
  <c r="T21" i="7"/>
  <c r="S21" i="7" s="1"/>
  <c r="I50" i="6"/>
  <c r="P2" i="6" s="1"/>
  <c r="T19" i="6"/>
  <c r="T23" i="5"/>
  <c r="S23" i="5" s="1"/>
  <c r="T25" i="3"/>
  <c r="S25" i="3" s="1"/>
  <c r="U25" i="62"/>
  <c r="V31" i="58"/>
  <c r="U31" i="58"/>
  <c r="V42" i="54"/>
  <c r="T35" i="54"/>
  <c r="S35" i="54" s="1"/>
  <c r="T24" i="54"/>
  <c r="S24" i="54" s="1"/>
  <c r="T32" i="54"/>
  <c r="S32" i="54" s="1"/>
  <c r="T48" i="54"/>
  <c r="S48" i="54" s="1"/>
  <c r="U38" i="49"/>
  <c r="U26" i="48"/>
  <c r="V20" i="48"/>
  <c r="U26" i="45"/>
  <c r="L50" i="41"/>
  <c r="T43" i="13"/>
  <c r="S43" i="13" s="1"/>
  <c r="T43" i="9"/>
  <c r="S43" i="9" s="1"/>
  <c r="T29" i="8"/>
  <c r="S29" i="8" s="1"/>
  <c r="I50" i="7"/>
  <c r="P2" i="7" s="1"/>
  <c r="T19" i="7"/>
  <c r="T41" i="3"/>
  <c r="S41" i="3" s="1"/>
  <c r="U35" i="68"/>
  <c r="V35" i="68"/>
  <c r="U33" i="60"/>
  <c r="U31" i="47"/>
  <c r="V31" i="43"/>
  <c r="S19" i="21"/>
  <c r="S50" i="21" s="1"/>
  <c r="T50" i="21"/>
  <c r="P6" i="21" s="1"/>
  <c r="R50" i="11"/>
  <c r="U19" i="11"/>
  <c r="I50" i="2"/>
  <c r="P2" i="2" s="1"/>
  <c r="T19" i="2"/>
  <c r="V39" i="7"/>
  <c r="V27" i="7"/>
  <c r="V23" i="3"/>
  <c r="H50" i="2"/>
  <c r="T27" i="56"/>
  <c r="S27" i="56" s="1"/>
  <c r="V24" i="54"/>
  <c r="V25" i="45"/>
  <c r="U25" i="45"/>
  <c r="M25" i="45"/>
  <c r="T25" i="45" s="1"/>
  <c r="S25" i="45" s="1"/>
  <c r="U26" i="21"/>
  <c r="M50" i="17"/>
  <c r="P3" i="17" s="1"/>
  <c r="V27" i="16"/>
  <c r="V37" i="12"/>
  <c r="U42" i="10"/>
  <c r="U34" i="10"/>
  <c r="U26" i="10"/>
  <c r="M50" i="9"/>
  <c r="P3" i="9" s="1"/>
  <c r="U32" i="6"/>
  <c r="H50" i="6"/>
  <c r="U46" i="2"/>
  <c r="U32" i="56"/>
  <c r="T41" i="45"/>
  <c r="S41" i="45" s="1"/>
  <c r="V43" i="35"/>
  <c r="V25" i="35"/>
  <c r="T21" i="25"/>
  <c r="S21" i="25" s="1"/>
  <c r="T37" i="25"/>
  <c r="S37" i="25" s="1"/>
  <c r="U47" i="24"/>
  <c r="U31" i="24"/>
  <c r="U39" i="22"/>
  <c r="V47" i="17"/>
  <c r="V45" i="13"/>
  <c r="V25" i="5"/>
  <c r="T37" i="57"/>
  <c r="S37" i="57" s="1"/>
  <c r="U28" i="51"/>
  <c r="R50" i="47"/>
  <c r="U33" i="45"/>
  <c r="V28" i="41"/>
  <c r="R50" i="39"/>
  <c r="M19" i="37"/>
  <c r="L50" i="37"/>
  <c r="V19" i="37"/>
  <c r="U19" i="37"/>
  <c r="V45" i="31"/>
  <c r="V37" i="31"/>
  <c r="V29" i="31"/>
  <c r="V21" i="31"/>
  <c r="U19" i="31"/>
  <c r="U29" i="26"/>
  <c r="H50" i="26"/>
  <c r="H50" i="17"/>
  <c r="M50" i="16"/>
  <c r="P3" i="16" s="1"/>
  <c r="V43" i="15"/>
  <c r="V27" i="15"/>
  <c r="R50" i="12"/>
  <c r="U19" i="12"/>
  <c r="V49" i="11"/>
  <c r="V41" i="11"/>
  <c r="V33" i="11"/>
  <c r="V25" i="11"/>
  <c r="U42" i="5"/>
  <c r="U34" i="5"/>
  <c r="U26" i="5"/>
  <c r="I50" i="56"/>
  <c r="P2" i="56" s="1"/>
  <c r="T37" i="56"/>
  <c r="S37" i="56" s="1"/>
  <c r="T40" i="56"/>
  <c r="S40" i="56" s="1"/>
  <c r="T19" i="53"/>
  <c r="I50" i="53"/>
  <c r="P2" i="53" s="1"/>
  <c r="T35" i="53"/>
  <c r="S35" i="53" s="1"/>
  <c r="V32" i="28"/>
  <c r="T27" i="25"/>
  <c r="S27" i="25" s="1"/>
  <c r="U20" i="21"/>
  <c r="V43" i="19"/>
  <c r="V35" i="19"/>
  <c r="V23" i="19"/>
  <c r="U44" i="18"/>
  <c r="U28" i="18"/>
  <c r="V41" i="16"/>
  <c r="V29" i="16"/>
  <c r="H50" i="14"/>
  <c r="V29" i="12"/>
  <c r="V39" i="8"/>
  <c r="V43" i="4"/>
  <c r="V25" i="4"/>
  <c r="U40" i="58"/>
  <c r="U28" i="56"/>
  <c r="U28" i="48"/>
  <c r="U41" i="44"/>
  <c r="V41" i="44"/>
  <c r="M41" i="44"/>
  <c r="V36" i="40"/>
  <c r="T27" i="23"/>
  <c r="S27" i="23" s="1"/>
  <c r="T43" i="23"/>
  <c r="S43" i="23" s="1"/>
  <c r="T34" i="22"/>
  <c r="S34" i="22" s="1"/>
  <c r="T42" i="22"/>
  <c r="S42" i="22" s="1"/>
  <c r="T23" i="20"/>
  <c r="S23" i="20" s="1"/>
  <c r="T31" i="20"/>
  <c r="S31" i="20" s="1"/>
  <c r="V33" i="13"/>
  <c r="U28" i="20"/>
  <c r="V21" i="2"/>
  <c r="V23" i="24"/>
  <c r="U42" i="72"/>
  <c r="V29" i="72"/>
  <c r="T23" i="72"/>
  <c r="S23" i="72" s="1"/>
  <c r="T21" i="72"/>
  <c r="S21" i="72" s="1"/>
  <c r="V40" i="73"/>
  <c r="T27" i="73"/>
  <c r="S27" i="73" s="1"/>
  <c r="T25" i="73"/>
  <c r="S25" i="73" s="1"/>
  <c r="T41" i="73"/>
  <c r="S41" i="73" s="1"/>
  <c r="T30" i="73"/>
  <c r="S30" i="73" s="1"/>
  <c r="T46" i="73"/>
  <c r="S46" i="73" s="1"/>
  <c r="T38" i="71"/>
  <c r="S38" i="71" s="1"/>
  <c r="T47" i="70"/>
  <c r="S47" i="70" s="1"/>
  <c r="V49" i="72"/>
  <c r="R50" i="72"/>
  <c r="V33" i="70"/>
  <c r="U22" i="72"/>
  <c r="V48" i="70"/>
  <c r="U48" i="70"/>
  <c r="U38" i="68"/>
  <c r="U34" i="68"/>
  <c r="U26" i="70"/>
  <c r="T45" i="65"/>
  <c r="S45" i="65" s="1"/>
  <c r="T30" i="65"/>
  <c r="S30" i="65" s="1"/>
  <c r="U23" i="73"/>
  <c r="V41" i="70"/>
  <c r="V49" i="69"/>
  <c r="U32" i="69"/>
  <c r="R50" i="69"/>
  <c r="U19" i="69"/>
  <c r="U47" i="67"/>
  <c r="V42" i="66"/>
  <c r="T25" i="64"/>
  <c r="S25" i="64" s="1"/>
  <c r="T36" i="64"/>
  <c r="S36" i="64" s="1"/>
  <c r="V34" i="63"/>
  <c r="U34" i="63"/>
  <c r="T47" i="60"/>
  <c r="S47" i="60" s="1"/>
  <c r="V23" i="71"/>
  <c r="V31" i="69"/>
  <c r="T27" i="68"/>
  <c r="S27" i="68" s="1"/>
  <c r="T36" i="68"/>
  <c r="S36" i="68" s="1"/>
  <c r="U39" i="67"/>
  <c r="T19" i="66"/>
  <c r="I50" i="66"/>
  <c r="P2" i="66" s="1"/>
  <c r="T33" i="66"/>
  <c r="S33" i="66" s="1"/>
  <c r="T39" i="65"/>
  <c r="S39" i="65" s="1"/>
  <c r="T31" i="65"/>
  <c r="S31" i="65" s="1"/>
  <c r="T23" i="65"/>
  <c r="S23" i="65" s="1"/>
  <c r="V44" i="63"/>
  <c r="U44" i="63"/>
  <c r="R50" i="63"/>
  <c r="U19" i="63"/>
  <c r="V26" i="72"/>
  <c r="U23" i="70"/>
  <c r="T45" i="69"/>
  <c r="S45" i="69" s="1"/>
  <c r="V26" i="66"/>
  <c r="V20" i="65"/>
  <c r="V22" i="64"/>
  <c r="U22" i="64"/>
  <c r="R50" i="64"/>
  <c r="V49" i="62"/>
  <c r="U20" i="62"/>
  <c r="V40" i="61"/>
  <c r="V39" i="59"/>
  <c r="T22" i="57"/>
  <c r="S22" i="57" s="1"/>
  <c r="T38" i="57"/>
  <c r="S38" i="57" s="1"/>
  <c r="T46" i="57"/>
  <c r="S46" i="57" s="1"/>
  <c r="T22" i="53"/>
  <c r="S22" i="53" s="1"/>
  <c r="T38" i="53"/>
  <c r="S38" i="53" s="1"/>
  <c r="T22" i="49"/>
  <c r="S22" i="49" s="1"/>
  <c r="T38" i="49"/>
  <c r="S38" i="49" s="1"/>
  <c r="T34" i="48"/>
  <c r="S34" i="48" s="1"/>
  <c r="T30" i="70"/>
  <c r="S30" i="70" s="1"/>
  <c r="T22" i="70"/>
  <c r="S22" i="70" s="1"/>
  <c r="T24" i="70"/>
  <c r="S24" i="70" s="1"/>
  <c r="V33" i="69"/>
  <c r="T29" i="69"/>
  <c r="S29" i="69" s="1"/>
  <c r="T35" i="69"/>
  <c r="S35" i="69" s="1"/>
  <c r="T30" i="69"/>
  <c r="S30" i="69" s="1"/>
  <c r="T46" i="69"/>
  <c r="S46" i="69" s="1"/>
  <c r="T33" i="69"/>
  <c r="S33" i="69" s="1"/>
  <c r="T49" i="69"/>
  <c r="S49" i="69" s="1"/>
  <c r="V43" i="65"/>
  <c r="U30" i="65"/>
  <c r="U49" i="64"/>
  <c r="U33" i="64"/>
  <c r="M40" i="63"/>
  <c r="U31" i="63"/>
  <c r="I50" i="63"/>
  <c r="P2" i="63" s="1"/>
  <c r="T19" i="63"/>
  <c r="T27" i="63"/>
  <c r="S27" i="63" s="1"/>
  <c r="T43" i="63"/>
  <c r="S43" i="63" s="1"/>
  <c r="U34" i="62"/>
  <c r="V34" i="62"/>
  <c r="M34" i="62"/>
  <c r="V24" i="62"/>
  <c r="U24" i="62"/>
  <c r="V22" i="62"/>
  <c r="U22" i="62"/>
  <c r="R50" i="62"/>
  <c r="U49" i="61"/>
  <c r="U39" i="61"/>
  <c r="V44" i="61"/>
  <c r="U44" i="61"/>
  <c r="R50" i="61"/>
  <c r="V22" i="60"/>
  <c r="U22" i="60"/>
  <c r="R50" i="60"/>
  <c r="T27" i="57"/>
  <c r="S27" i="57" s="1"/>
  <c r="V48" i="69"/>
  <c r="T36" i="67"/>
  <c r="S36" i="67" s="1"/>
  <c r="T33" i="67"/>
  <c r="S33" i="67" s="1"/>
  <c r="T37" i="67"/>
  <c r="S37" i="67" s="1"/>
  <c r="T30" i="67"/>
  <c r="S30" i="67" s="1"/>
  <c r="T46" i="67"/>
  <c r="S46" i="67" s="1"/>
  <c r="V31" i="61"/>
  <c r="U45" i="60"/>
  <c r="U47" i="59"/>
  <c r="U26" i="59"/>
  <c r="R50" i="58"/>
  <c r="M21" i="57"/>
  <c r="V42" i="56"/>
  <c r="U26" i="56"/>
  <c r="V36" i="55"/>
  <c r="T28" i="55"/>
  <c r="S28" i="55" s="1"/>
  <c r="T44" i="55"/>
  <c r="S44" i="55" s="1"/>
  <c r="V20" i="53"/>
  <c r="T20" i="52"/>
  <c r="S20" i="52" s="1"/>
  <c r="T28" i="52"/>
  <c r="S28" i="52" s="1"/>
  <c r="T36" i="52"/>
  <c r="S36" i="52" s="1"/>
  <c r="V29" i="48"/>
  <c r="U29" i="48"/>
  <c r="T34" i="45"/>
  <c r="S34" i="45" s="1"/>
  <c r="T37" i="44"/>
  <c r="S37" i="44" s="1"/>
  <c r="U32" i="44"/>
  <c r="T21" i="44"/>
  <c r="S21" i="44" s="1"/>
  <c r="V28" i="42"/>
  <c r="U48" i="40"/>
  <c r="V36" i="38"/>
  <c r="T34" i="37"/>
  <c r="S34" i="37" s="1"/>
  <c r="T27" i="37"/>
  <c r="S27" i="37" s="1"/>
  <c r="T48" i="33"/>
  <c r="S48" i="33" s="1"/>
  <c r="T44" i="33"/>
  <c r="S44" i="33" s="1"/>
  <c r="T40" i="33"/>
  <c r="S40" i="33" s="1"/>
  <c r="T36" i="33"/>
  <c r="S36" i="33" s="1"/>
  <c r="T32" i="33"/>
  <c r="S32" i="33" s="1"/>
  <c r="T28" i="33"/>
  <c r="S28" i="33" s="1"/>
  <c r="T24" i="33"/>
  <c r="S24" i="33" s="1"/>
  <c r="T20" i="33"/>
  <c r="S20" i="33" s="1"/>
  <c r="V37" i="64"/>
  <c r="U23" i="64"/>
  <c r="U41" i="63"/>
  <c r="M50" i="63"/>
  <c r="P3" i="63" s="1"/>
  <c r="U24" i="59"/>
  <c r="T49" i="58"/>
  <c r="S49" i="58" s="1"/>
  <c r="M31" i="58"/>
  <c r="T19" i="58"/>
  <c r="I50" i="58"/>
  <c r="P2" i="58" s="1"/>
  <c r="V40" i="57"/>
  <c r="V32" i="57"/>
  <c r="V24" i="57"/>
  <c r="V30" i="56"/>
  <c r="L50" i="56"/>
  <c r="V19" i="56"/>
  <c r="U19" i="56"/>
  <c r="V40" i="53"/>
  <c r="T35" i="52"/>
  <c r="S35" i="52" s="1"/>
  <c r="V26" i="52"/>
  <c r="T45" i="51"/>
  <c r="S45" i="51" s="1"/>
  <c r="T34" i="51"/>
  <c r="S34" i="51" s="1"/>
  <c r="U36" i="49"/>
  <c r="V20" i="49"/>
  <c r="U42" i="48"/>
  <c r="V30" i="48"/>
  <c r="V32" i="47"/>
  <c r="U26" i="46"/>
  <c r="T42" i="44"/>
  <c r="S42" i="44" s="1"/>
  <c r="T35" i="44"/>
  <c r="S35" i="44" s="1"/>
  <c r="V22" i="44"/>
  <c r="U48" i="60"/>
  <c r="V23" i="60"/>
  <c r="M50" i="59"/>
  <c r="P3" i="59" s="1"/>
  <c r="T33" i="59"/>
  <c r="S33" i="59" s="1"/>
  <c r="T41" i="59"/>
  <c r="S41" i="59" s="1"/>
  <c r="T49" i="59"/>
  <c r="S49" i="59" s="1"/>
  <c r="U28" i="57"/>
  <c r="M19" i="56"/>
  <c r="M50" i="56" s="1"/>
  <c r="P3" i="56" s="1"/>
  <c r="U42" i="55"/>
  <c r="V38" i="55"/>
  <c r="U26" i="55"/>
  <c r="V22" i="55"/>
  <c r="V32" i="54"/>
  <c r="U44" i="51"/>
  <c r="V38" i="51"/>
  <c r="T30" i="46"/>
  <c r="S30" i="46" s="1"/>
  <c r="T46" i="46"/>
  <c r="S46" i="46" s="1"/>
  <c r="T48" i="46"/>
  <c r="S48" i="46" s="1"/>
  <c r="T49" i="43"/>
  <c r="S49" i="43" s="1"/>
  <c r="U45" i="42"/>
  <c r="U32" i="42"/>
  <c r="U27" i="63"/>
  <c r="V41" i="61"/>
  <c r="V19" i="61"/>
  <c r="T24" i="61"/>
  <c r="S24" i="61" s="1"/>
  <c r="T21" i="61"/>
  <c r="S21" i="61" s="1"/>
  <c r="T29" i="61"/>
  <c r="S29" i="61" s="1"/>
  <c r="T45" i="61"/>
  <c r="S45" i="61" s="1"/>
  <c r="U38" i="58"/>
  <c r="U42" i="57"/>
  <c r="U26" i="57"/>
  <c r="V24" i="56"/>
  <c r="V34" i="55"/>
  <c r="U46" i="54"/>
  <c r="U30" i="54"/>
  <c r="V38" i="53"/>
  <c r="T22" i="50"/>
  <c r="S22" i="50" s="1"/>
  <c r="T39" i="49"/>
  <c r="S39" i="49" s="1"/>
  <c r="T23" i="49"/>
  <c r="S23" i="49" s="1"/>
  <c r="U40" i="48"/>
  <c r="V24" i="48"/>
  <c r="U24" i="45"/>
  <c r="V23" i="44"/>
  <c r="T40" i="43"/>
  <c r="S40" i="43" s="1"/>
  <c r="T20" i="43"/>
  <c r="S20" i="43" s="1"/>
  <c r="T27" i="42"/>
  <c r="S27" i="42" s="1"/>
  <c r="T24" i="42"/>
  <c r="S24" i="42" s="1"/>
  <c r="T40" i="42"/>
  <c r="S40" i="42" s="1"/>
  <c r="U40" i="38"/>
  <c r="U21" i="38"/>
  <c r="U40" i="37"/>
  <c r="U20" i="37"/>
  <c r="T19" i="36"/>
  <c r="I50" i="36"/>
  <c r="P2" i="36" s="1"/>
  <c r="U42" i="35"/>
  <c r="U34" i="35"/>
  <c r="U26" i="35"/>
  <c r="V47" i="33"/>
  <c r="V39" i="33"/>
  <c r="V31" i="33"/>
  <c r="V23" i="33"/>
  <c r="T19" i="32"/>
  <c r="I50" i="32"/>
  <c r="P2" i="32" s="1"/>
  <c r="U42" i="31"/>
  <c r="U34" i="31"/>
  <c r="U26" i="31"/>
  <c r="I50" i="30"/>
  <c r="P2" i="30" s="1"/>
  <c r="T19" i="30"/>
  <c r="V44" i="29"/>
  <c r="V36" i="29"/>
  <c r="V28" i="29"/>
  <c r="V20" i="29"/>
  <c r="T19" i="28"/>
  <c r="I50" i="28"/>
  <c r="P2" i="28" s="1"/>
  <c r="V44" i="27"/>
  <c r="V36" i="27"/>
  <c r="V28" i="27"/>
  <c r="V20" i="27"/>
  <c r="T19" i="26"/>
  <c r="I50" i="26"/>
  <c r="P2" i="26" s="1"/>
  <c r="V44" i="25"/>
  <c r="V36" i="25"/>
  <c r="V28" i="25"/>
  <c r="V20" i="25"/>
  <c r="T47" i="24"/>
  <c r="S47" i="24" s="1"/>
  <c r="T43" i="24"/>
  <c r="S43" i="24" s="1"/>
  <c r="T31" i="24"/>
  <c r="S31" i="24" s="1"/>
  <c r="T27" i="24"/>
  <c r="S27" i="24" s="1"/>
  <c r="T19" i="24"/>
  <c r="I50" i="24"/>
  <c r="P2" i="24" s="1"/>
  <c r="V44" i="23"/>
  <c r="V36" i="23"/>
  <c r="V28" i="23"/>
  <c r="V20" i="23"/>
  <c r="V20" i="64"/>
  <c r="U20" i="64"/>
  <c r="T44" i="62"/>
  <c r="S44" i="62" s="1"/>
  <c r="U31" i="59"/>
  <c r="U34" i="56"/>
  <c r="T25" i="54"/>
  <c r="S25" i="54" s="1"/>
  <c r="U30" i="52"/>
  <c r="U24" i="50"/>
  <c r="U44" i="48"/>
  <c r="T27" i="47"/>
  <c r="S27" i="47" s="1"/>
  <c r="T37" i="46"/>
  <c r="S37" i="46" s="1"/>
  <c r="U39" i="45"/>
  <c r="V39" i="45"/>
  <c r="M39" i="45"/>
  <c r="T39" i="45" s="1"/>
  <c r="S39" i="45" s="1"/>
  <c r="U23" i="45"/>
  <c r="V23" i="45"/>
  <c r="M23" i="45"/>
  <c r="R50" i="45"/>
  <c r="V42" i="44"/>
  <c r="U47" i="41"/>
  <c r="V47" i="41"/>
  <c r="M47" i="41"/>
  <c r="T43" i="40"/>
  <c r="S43" i="40" s="1"/>
  <c r="T35" i="40"/>
  <c r="S35" i="40" s="1"/>
  <c r="T27" i="40"/>
  <c r="S27" i="40" s="1"/>
  <c r="T19" i="40"/>
  <c r="I50" i="40"/>
  <c r="P2" i="40" s="1"/>
  <c r="U25" i="38"/>
  <c r="U49" i="37"/>
  <c r="U38" i="30"/>
  <c r="V23" i="26"/>
  <c r="U23" i="26"/>
  <c r="V31" i="26"/>
  <c r="U31" i="26"/>
  <c r="V39" i="26"/>
  <c r="U39" i="26"/>
  <c r="V47" i="26"/>
  <c r="U47" i="26"/>
  <c r="V41" i="21"/>
  <c r="V33" i="21"/>
  <c r="M50" i="21"/>
  <c r="P3" i="21" s="1"/>
  <c r="R50" i="20"/>
  <c r="U36" i="24"/>
  <c r="R50" i="23"/>
  <c r="H50" i="20"/>
  <c r="T23" i="17"/>
  <c r="S23" i="17" s="1"/>
  <c r="I50" i="16"/>
  <c r="P2" i="16" s="1"/>
  <c r="T19" i="16"/>
  <c r="T29" i="15"/>
  <c r="S29" i="15" s="1"/>
  <c r="T33" i="13"/>
  <c r="S33" i="13" s="1"/>
  <c r="I50" i="13"/>
  <c r="P2" i="13" s="1"/>
  <c r="T19" i="13"/>
  <c r="T33" i="12"/>
  <c r="S33" i="12" s="1"/>
  <c r="I50" i="11"/>
  <c r="P2" i="11" s="1"/>
  <c r="T19" i="11"/>
  <c r="T25" i="8"/>
  <c r="S25" i="8" s="1"/>
  <c r="T35" i="7"/>
  <c r="S35" i="7" s="1"/>
  <c r="T39" i="5"/>
  <c r="S39" i="5" s="1"/>
  <c r="I50" i="5"/>
  <c r="P2" i="5" s="1"/>
  <c r="T19" i="5"/>
  <c r="T31" i="3"/>
  <c r="S31" i="3" s="1"/>
  <c r="U35" i="60"/>
  <c r="U46" i="58"/>
  <c r="U40" i="56"/>
  <c r="T49" i="55"/>
  <c r="S49" i="55" s="1"/>
  <c r="T31" i="54"/>
  <c r="S31" i="54" s="1"/>
  <c r="T26" i="54"/>
  <c r="S26" i="54" s="1"/>
  <c r="T42" i="54"/>
  <c r="S42" i="54" s="1"/>
  <c r="U34" i="53"/>
  <c r="U26" i="53"/>
  <c r="U40" i="52"/>
  <c r="V22" i="51"/>
  <c r="M22" i="51"/>
  <c r="U22" i="51"/>
  <c r="U22" i="49"/>
  <c r="T28" i="47"/>
  <c r="S28" i="47" s="1"/>
  <c r="T44" i="47"/>
  <c r="S44" i="47" s="1"/>
  <c r="T30" i="47"/>
  <c r="S30" i="47" s="1"/>
  <c r="U31" i="46"/>
  <c r="V42" i="45"/>
  <c r="L50" i="45"/>
  <c r="L50" i="44"/>
  <c r="V19" i="44"/>
  <c r="U19" i="44"/>
  <c r="M19" i="44"/>
  <c r="M50" i="44" s="1"/>
  <c r="P3" i="44" s="1"/>
  <c r="U25" i="42"/>
  <c r="V25" i="42"/>
  <c r="U41" i="42"/>
  <c r="V41" i="42"/>
  <c r="V40" i="41"/>
  <c r="V38" i="40"/>
  <c r="U47" i="39"/>
  <c r="V40" i="39"/>
  <c r="V21" i="37"/>
  <c r="H50" i="30"/>
  <c r="T19" i="29"/>
  <c r="U28" i="24"/>
  <c r="V25" i="24"/>
  <c r="U25" i="24"/>
  <c r="V33" i="24"/>
  <c r="U33" i="24"/>
  <c r="V41" i="24"/>
  <c r="U41" i="24"/>
  <c r="V49" i="24"/>
  <c r="U49" i="24"/>
  <c r="T41" i="19"/>
  <c r="S41" i="19" s="1"/>
  <c r="T31" i="19"/>
  <c r="S31" i="19" s="1"/>
  <c r="T21" i="19"/>
  <c r="S21" i="19" s="1"/>
  <c r="T49" i="16"/>
  <c r="S49" i="16" s="1"/>
  <c r="T35" i="15"/>
  <c r="S35" i="15" s="1"/>
  <c r="T39" i="13"/>
  <c r="S39" i="13" s="1"/>
  <c r="T35" i="12"/>
  <c r="S35" i="12" s="1"/>
  <c r="I50" i="9"/>
  <c r="P2" i="9" s="1"/>
  <c r="T19" i="9"/>
  <c r="T37" i="8"/>
  <c r="S37" i="8" s="1"/>
  <c r="T21" i="5"/>
  <c r="S21" i="5" s="1"/>
  <c r="T33" i="3"/>
  <c r="S33" i="3" s="1"/>
  <c r="R50" i="68"/>
  <c r="U21" i="64"/>
  <c r="V26" i="58"/>
  <c r="U34" i="57"/>
  <c r="V34" i="42"/>
  <c r="U42" i="41"/>
  <c r="U49" i="38"/>
  <c r="T35" i="38"/>
  <c r="S35" i="38" s="1"/>
  <c r="T34" i="38"/>
  <c r="S34" i="38" s="1"/>
  <c r="V41" i="37"/>
  <c r="M50" i="30"/>
  <c r="P3" i="30" s="1"/>
  <c r="V44" i="28"/>
  <c r="V36" i="28"/>
  <c r="V20" i="28"/>
  <c r="U25" i="26"/>
  <c r="U43" i="22"/>
  <c r="T24" i="22"/>
  <c r="S24" i="22" s="1"/>
  <c r="H50" i="22"/>
  <c r="I50" i="21"/>
  <c r="P2" i="21" s="1"/>
  <c r="V34" i="20"/>
  <c r="V47" i="18"/>
  <c r="V43" i="18"/>
  <c r="V35" i="18"/>
  <c r="V31" i="18"/>
  <c r="V23" i="18"/>
  <c r="U27" i="17"/>
  <c r="U23" i="17"/>
  <c r="H50" i="16"/>
  <c r="R50" i="15"/>
  <c r="U19" i="15"/>
  <c r="V49" i="14"/>
  <c r="V41" i="14"/>
  <c r="V33" i="14"/>
  <c r="V25" i="14"/>
  <c r="V21" i="14"/>
  <c r="U37" i="13"/>
  <c r="U29" i="13"/>
  <c r="V43" i="10"/>
  <c r="V23" i="10"/>
  <c r="V19" i="10"/>
  <c r="U43" i="9"/>
  <c r="U35" i="9"/>
  <c r="U23" i="9"/>
  <c r="U19" i="9"/>
  <c r="H50" i="8"/>
  <c r="R50" i="7"/>
  <c r="U19" i="7"/>
  <c r="V49" i="6"/>
  <c r="V41" i="6"/>
  <c r="V33" i="6"/>
  <c r="V29" i="6"/>
  <c r="V25" i="6"/>
  <c r="U49" i="5"/>
  <c r="U33" i="5"/>
  <c r="U21" i="5"/>
  <c r="V47" i="2"/>
  <c r="V39" i="2"/>
  <c r="V35" i="2"/>
  <c r="V27" i="2"/>
  <c r="V35" i="7"/>
  <c r="V23" i="7"/>
  <c r="H50" i="5"/>
  <c r="V49" i="3"/>
  <c r="V33" i="3"/>
  <c r="V19" i="3"/>
  <c r="T25" i="56"/>
  <c r="S25" i="56" s="1"/>
  <c r="T29" i="43"/>
  <c r="S29" i="43" s="1"/>
  <c r="T20" i="41"/>
  <c r="S20" i="41" s="1"/>
  <c r="U23" i="39"/>
  <c r="U49" i="26"/>
  <c r="U33" i="26"/>
  <c r="V39" i="24"/>
  <c r="T20" i="22"/>
  <c r="S20" i="22" s="1"/>
  <c r="U22" i="18"/>
  <c r="R50" i="17"/>
  <c r="R50" i="13"/>
  <c r="V31" i="12"/>
  <c r="U48" i="10"/>
  <c r="U24" i="10"/>
  <c r="U40" i="6"/>
  <c r="V23" i="4"/>
  <c r="V22" i="2"/>
  <c r="U31" i="62"/>
  <c r="V20" i="44"/>
  <c r="V38" i="42"/>
  <c r="M50" i="39"/>
  <c r="P3" i="39" s="1"/>
  <c r="V41" i="38"/>
  <c r="V47" i="35"/>
  <c r="V29" i="35"/>
  <c r="V23" i="28"/>
  <c r="U23" i="28"/>
  <c r="V31" i="28"/>
  <c r="U31" i="28"/>
  <c r="V39" i="28"/>
  <c r="U39" i="28"/>
  <c r="V47" i="28"/>
  <c r="U47" i="28"/>
  <c r="U21" i="26"/>
  <c r="T25" i="25"/>
  <c r="S25" i="25" s="1"/>
  <c r="T41" i="25"/>
  <c r="S41" i="25" s="1"/>
  <c r="H50" i="11"/>
  <c r="H50" i="7"/>
  <c r="R50" i="6"/>
  <c r="U19" i="6"/>
  <c r="H50" i="3"/>
  <c r="U25" i="68"/>
  <c r="V25" i="68"/>
  <c r="M25" i="68"/>
  <c r="M50" i="68" s="1"/>
  <c r="P3" i="68" s="1"/>
  <c r="V37" i="57"/>
  <c r="U37" i="57"/>
  <c r="U40" i="54"/>
  <c r="U24" i="52"/>
  <c r="V23" i="46"/>
  <c r="U43" i="44"/>
  <c r="U33" i="44"/>
  <c r="V31" i="42"/>
  <c r="V22" i="42"/>
  <c r="T47" i="37"/>
  <c r="S47" i="37" s="1"/>
  <c r="V47" i="31"/>
  <c r="V39" i="31"/>
  <c r="V31" i="31"/>
  <c r="V23" i="31"/>
  <c r="M50" i="24"/>
  <c r="P3" i="24" s="1"/>
  <c r="T37" i="23"/>
  <c r="S37" i="23" s="1"/>
  <c r="U47" i="22"/>
  <c r="V44" i="21"/>
  <c r="U46" i="17"/>
  <c r="U42" i="17"/>
  <c r="U38" i="17"/>
  <c r="U34" i="17"/>
  <c r="U30" i="17"/>
  <c r="U26" i="17"/>
  <c r="U22" i="17"/>
  <c r="V49" i="15"/>
  <c r="V41" i="15"/>
  <c r="V33" i="15"/>
  <c r="V25" i="15"/>
  <c r="U48" i="13"/>
  <c r="U44" i="13"/>
  <c r="U40" i="13"/>
  <c r="U36" i="13"/>
  <c r="U32" i="13"/>
  <c r="U28" i="13"/>
  <c r="U24" i="13"/>
  <c r="U20" i="13"/>
  <c r="V47" i="11"/>
  <c r="V39" i="11"/>
  <c r="V31" i="11"/>
  <c r="V23" i="11"/>
  <c r="U48" i="9"/>
  <c r="U44" i="9"/>
  <c r="U40" i="9"/>
  <c r="U36" i="9"/>
  <c r="U32" i="9"/>
  <c r="U28" i="9"/>
  <c r="U24" i="9"/>
  <c r="U20" i="9"/>
  <c r="V37" i="7"/>
  <c r="V19" i="7"/>
  <c r="U32" i="5"/>
  <c r="V37" i="3"/>
  <c r="V21" i="3"/>
  <c r="T43" i="56"/>
  <c r="S43" i="56" s="1"/>
  <c r="T34" i="56"/>
  <c r="S34" i="56" s="1"/>
  <c r="U32" i="55"/>
  <c r="T21" i="53"/>
  <c r="S21" i="53" s="1"/>
  <c r="T37" i="53"/>
  <c r="S37" i="53" s="1"/>
  <c r="V46" i="42"/>
  <c r="U35" i="22"/>
  <c r="V41" i="19"/>
  <c r="V21" i="19"/>
  <c r="V49" i="16"/>
  <c r="V37" i="16"/>
  <c r="U24" i="14"/>
  <c r="V49" i="12"/>
  <c r="V39" i="12"/>
  <c r="H50" i="10"/>
  <c r="U22" i="6"/>
  <c r="R50" i="5"/>
  <c r="V39" i="4"/>
  <c r="U24" i="2"/>
  <c r="M50" i="42"/>
  <c r="P3" i="42" s="1"/>
  <c r="V41" i="35"/>
  <c r="V27" i="35"/>
  <c r="U25" i="30"/>
  <c r="V25" i="30"/>
  <c r="U33" i="30"/>
  <c r="V33" i="30"/>
  <c r="U41" i="30"/>
  <c r="V41" i="30"/>
  <c r="U41" i="28"/>
  <c r="T29" i="23"/>
  <c r="S29" i="23" s="1"/>
  <c r="T31" i="23"/>
  <c r="S31" i="23" s="1"/>
  <c r="T47" i="23"/>
  <c r="S47" i="23" s="1"/>
  <c r="T19" i="22"/>
  <c r="I50" i="22"/>
  <c r="P2" i="22" s="1"/>
  <c r="T31" i="22"/>
  <c r="S31" i="22" s="1"/>
  <c r="T35" i="22"/>
  <c r="S35" i="22" s="1"/>
  <c r="T39" i="22"/>
  <c r="S39" i="22" s="1"/>
  <c r="T47" i="22"/>
  <c r="S47" i="22" s="1"/>
  <c r="T25" i="20"/>
  <c r="S25" i="20" s="1"/>
  <c r="T33" i="20"/>
  <c r="S33" i="20" s="1"/>
  <c r="T41" i="20"/>
  <c r="S41" i="20" s="1"/>
  <c r="H50" i="15"/>
  <c r="V19" i="13"/>
  <c r="U20" i="20"/>
  <c r="M50" i="19"/>
  <c r="P3" i="19" s="1"/>
  <c r="I50" i="72"/>
  <c r="P2" i="72" s="1"/>
  <c r="T19" i="72"/>
  <c r="U32" i="70"/>
  <c r="V32" i="70"/>
  <c r="T27" i="65"/>
  <c r="S27" i="65" s="1"/>
  <c r="V28" i="63"/>
  <c r="U28" i="63"/>
  <c r="V19" i="62"/>
  <c r="U19" i="62"/>
  <c r="M19" i="62"/>
  <c r="T19" i="62" s="1"/>
  <c r="L50" i="62"/>
  <c r="V40" i="62"/>
  <c r="U40" i="62"/>
  <c r="U38" i="60"/>
  <c r="V38" i="60"/>
  <c r="V23" i="61"/>
  <c r="V45" i="48"/>
  <c r="U45" i="48"/>
  <c r="V30" i="57"/>
  <c r="V42" i="52"/>
  <c r="V33" i="46"/>
  <c r="V47" i="61"/>
  <c r="V29" i="57"/>
  <c r="U29" i="57"/>
  <c r="T43" i="50"/>
  <c r="S43" i="50" s="1"/>
  <c r="U22" i="25"/>
  <c r="U22" i="23"/>
  <c r="U27" i="26"/>
  <c r="V27" i="26"/>
  <c r="M50" i="58"/>
  <c r="P3" i="58" s="1"/>
  <c r="T20" i="47"/>
  <c r="S20" i="47" s="1"/>
  <c r="V37" i="24"/>
  <c r="U37" i="24"/>
  <c r="I50" i="12"/>
  <c r="P2" i="12" s="1"/>
  <c r="T19" i="12"/>
  <c r="T23" i="37"/>
  <c r="S23" i="37" s="1"/>
  <c r="H50" i="12"/>
  <c r="H50" i="4"/>
  <c r="V29" i="7"/>
  <c r="R50" i="28"/>
  <c r="V19" i="28"/>
  <c r="U19" i="28"/>
  <c r="V31" i="22"/>
  <c r="V47" i="7"/>
  <c r="R50" i="4"/>
  <c r="U19" i="4"/>
  <c r="I50" i="71"/>
  <c r="P2" i="71" s="1"/>
  <c r="T19" i="71"/>
  <c r="U40" i="70"/>
  <c r="V40" i="70"/>
  <c r="U32" i="67"/>
  <c r="R50" i="57"/>
  <c r="T48" i="68"/>
  <c r="S48" i="68" s="1"/>
  <c r="T44" i="57"/>
  <c r="S44" i="57" s="1"/>
  <c r="T49" i="53"/>
  <c r="S49" i="53" s="1"/>
  <c r="V46" i="64"/>
  <c r="T34" i="62"/>
  <c r="S34" i="62" s="1"/>
  <c r="U48" i="62"/>
  <c r="V48" i="62"/>
  <c r="U34" i="60"/>
  <c r="M45" i="57"/>
  <c r="V20" i="55"/>
  <c r="V47" i="48"/>
  <c r="U47" i="48"/>
  <c r="T35" i="37"/>
  <c r="S35" i="37" s="1"/>
  <c r="T37" i="35"/>
  <c r="S37" i="35" s="1"/>
  <c r="T29" i="31"/>
  <c r="S29" i="31" s="1"/>
  <c r="V20" i="51"/>
  <c r="U20" i="49"/>
  <c r="T43" i="44"/>
  <c r="S43" i="44" s="1"/>
  <c r="U34" i="64"/>
  <c r="M34" i="64"/>
  <c r="T34" i="64" s="1"/>
  <c r="S34" i="64" s="1"/>
  <c r="V34" i="64"/>
  <c r="U25" i="37"/>
  <c r="V25" i="37"/>
  <c r="H50" i="34"/>
  <c r="R50" i="33"/>
  <c r="U19" i="33"/>
  <c r="H50" i="29"/>
  <c r="H50" i="27"/>
  <c r="H50" i="25"/>
  <c r="I50" i="61"/>
  <c r="P2" i="61" s="1"/>
  <c r="T19" i="61"/>
  <c r="T19" i="50"/>
  <c r="I50" i="50"/>
  <c r="P2" i="50" s="1"/>
  <c r="T28" i="50"/>
  <c r="S28" i="50" s="1"/>
  <c r="V27" i="45"/>
  <c r="U32" i="38"/>
  <c r="H50" i="35"/>
  <c r="V49" i="33"/>
  <c r="V41" i="33"/>
  <c r="V33" i="33"/>
  <c r="V25" i="33"/>
  <c r="V15" i="32"/>
  <c r="P9" i="32" s="1"/>
  <c r="P7" i="32"/>
  <c r="T48" i="30"/>
  <c r="S48" i="30" s="1"/>
  <c r="T32" i="30"/>
  <c r="S32" i="30" s="1"/>
  <c r="T48" i="28"/>
  <c r="S48" i="28" s="1"/>
  <c r="T32" i="28"/>
  <c r="S32" i="28" s="1"/>
  <c r="T32" i="26"/>
  <c r="S32" i="26" s="1"/>
  <c r="T40" i="24"/>
  <c r="S40" i="24" s="1"/>
  <c r="T32" i="24"/>
  <c r="S32" i="24" s="1"/>
  <c r="T47" i="41"/>
  <c r="S47" i="41" s="1"/>
  <c r="R50" i="38"/>
  <c r="R50" i="35"/>
  <c r="S19" i="34"/>
  <c r="S50" i="34" s="1"/>
  <c r="T50" i="34"/>
  <c r="P6" i="34" s="1"/>
  <c r="T45" i="27"/>
  <c r="S45" i="27" s="1"/>
  <c r="T21" i="27"/>
  <c r="S21" i="27" s="1"/>
  <c r="V41" i="22"/>
  <c r="U41" i="22"/>
  <c r="V47" i="21"/>
  <c r="R50" i="42"/>
  <c r="V22" i="40"/>
  <c r="U33" i="38"/>
  <c r="V15" i="34"/>
  <c r="P9" i="34" s="1"/>
  <c r="P7" i="34"/>
  <c r="U40" i="24"/>
  <c r="I50" i="17"/>
  <c r="P2" i="17" s="1"/>
  <c r="T19" i="17"/>
  <c r="T39" i="8"/>
  <c r="S39" i="8" s="1"/>
  <c r="I50" i="8"/>
  <c r="P2" i="8" s="1"/>
  <c r="T19" i="8"/>
  <c r="T25" i="4"/>
  <c r="S25" i="4" s="1"/>
  <c r="I50" i="3"/>
  <c r="P2" i="3" s="1"/>
  <c r="T19" i="3"/>
  <c r="L50" i="57"/>
  <c r="U19" i="57"/>
  <c r="M19" i="57"/>
  <c r="V19" i="57"/>
  <c r="R50" i="41"/>
  <c r="T30" i="38"/>
  <c r="S30" i="38" s="1"/>
  <c r="T33" i="38"/>
  <c r="S33" i="38" s="1"/>
  <c r="U23" i="37"/>
  <c r="M23" i="37"/>
  <c r="V23" i="37"/>
  <c r="T35" i="25"/>
  <c r="S35" i="25" s="1"/>
  <c r="M50" i="15"/>
  <c r="P3" i="15" s="1"/>
  <c r="M50" i="7"/>
  <c r="P3" i="7" s="1"/>
  <c r="T40" i="72"/>
  <c r="S40" i="72" s="1"/>
  <c r="T28" i="72"/>
  <c r="S28" i="72" s="1"/>
  <c r="T20" i="73"/>
  <c r="S20" i="73" s="1"/>
  <c r="T45" i="73"/>
  <c r="S45" i="73" s="1"/>
  <c r="T47" i="73"/>
  <c r="S47" i="73" s="1"/>
  <c r="T23" i="71"/>
  <c r="S23" i="71" s="1"/>
  <c r="U19" i="71"/>
  <c r="L50" i="71"/>
  <c r="V19" i="71"/>
  <c r="M19" i="71"/>
  <c r="M50" i="71" s="1"/>
  <c r="P3" i="71" s="1"/>
  <c r="U34" i="69"/>
  <c r="U31" i="68"/>
  <c r="T21" i="71"/>
  <c r="S21" i="71" s="1"/>
  <c r="R50" i="70"/>
  <c r="U22" i="68"/>
  <c r="U40" i="67"/>
  <c r="M50" i="66"/>
  <c r="P3" i="66" s="1"/>
  <c r="T42" i="65"/>
  <c r="S42" i="65" s="1"/>
  <c r="L50" i="70"/>
  <c r="U19" i="70"/>
  <c r="M19" i="70"/>
  <c r="M50" i="70" s="1"/>
  <c r="P3" i="70" s="1"/>
  <c r="V19" i="70"/>
  <c r="U41" i="68"/>
  <c r="T30" i="66"/>
  <c r="S30" i="66" s="1"/>
  <c r="T49" i="64"/>
  <c r="S49" i="64" s="1"/>
  <c r="T41" i="64"/>
  <c r="S41" i="64" s="1"/>
  <c r="T33" i="64"/>
  <c r="S33" i="64" s="1"/>
  <c r="I50" i="64"/>
  <c r="P2" i="64" s="1"/>
  <c r="T19" i="64"/>
  <c r="T27" i="64"/>
  <c r="S27" i="64" s="1"/>
  <c r="V26" i="63"/>
  <c r="U26" i="63"/>
  <c r="T25" i="62"/>
  <c r="S25" i="62" s="1"/>
  <c r="T25" i="60"/>
  <c r="S25" i="60" s="1"/>
  <c r="T49" i="60"/>
  <c r="S49" i="60" s="1"/>
  <c r="T21" i="68"/>
  <c r="S21" i="68" s="1"/>
  <c r="T40" i="68"/>
  <c r="S40" i="68" s="1"/>
  <c r="T38" i="66"/>
  <c r="S38" i="66" s="1"/>
  <c r="T21" i="66"/>
  <c r="S21" i="66" s="1"/>
  <c r="T24" i="66"/>
  <c r="S24" i="66" s="1"/>
  <c r="U44" i="65"/>
  <c r="U29" i="65"/>
  <c r="V36" i="63"/>
  <c r="U36" i="63"/>
  <c r="V39" i="62"/>
  <c r="M28" i="62"/>
  <c r="T36" i="48"/>
  <c r="S36" i="48" s="1"/>
  <c r="T44" i="48"/>
  <c r="S44" i="48" s="1"/>
  <c r="I50" i="70"/>
  <c r="P2" i="70" s="1"/>
  <c r="T23" i="70"/>
  <c r="S23" i="70" s="1"/>
  <c r="T31" i="69"/>
  <c r="S31" i="69" s="1"/>
  <c r="T43" i="69"/>
  <c r="S43" i="69" s="1"/>
  <c r="T39" i="69"/>
  <c r="S39" i="69" s="1"/>
  <c r="T24" i="69"/>
  <c r="S24" i="69" s="1"/>
  <c r="R50" i="65"/>
  <c r="V49" i="65"/>
  <c r="U49" i="65"/>
  <c r="V45" i="63"/>
  <c r="T30" i="63"/>
  <c r="S30" i="63" s="1"/>
  <c r="T45" i="63"/>
  <c r="S45" i="63" s="1"/>
  <c r="U32" i="62"/>
  <c r="V32" i="62"/>
  <c r="V30" i="62"/>
  <c r="U30" i="62"/>
  <c r="V26" i="61"/>
  <c r="U26" i="61"/>
  <c r="V31" i="60"/>
  <c r="V30" i="60"/>
  <c r="U30" i="60"/>
  <c r="T19" i="57"/>
  <c r="I50" i="57"/>
  <c r="P2" i="57" s="1"/>
  <c r="I50" i="67"/>
  <c r="P2" i="67" s="1"/>
  <c r="T19" i="67"/>
  <c r="T20" i="67"/>
  <c r="S20" i="67" s="1"/>
  <c r="T35" i="67"/>
  <c r="S35" i="67" s="1"/>
  <c r="T41" i="67"/>
  <c r="S41" i="67" s="1"/>
  <c r="V36" i="65"/>
  <c r="U36" i="65"/>
  <c r="M36" i="65"/>
  <c r="M50" i="65" s="1"/>
  <c r="P3" i="65" s="1"/>
  <c r="V19" i="65"/>
  <c r="T26" i="64"/>
  <c r="S26" i="64" s="1"/>
  <c r="T28" i="62"/>
  <c r="S28" i="62" s="1"/>
  <c r="U36" i="61"/>
  <c r="M29" i="57"/>
  <c r="T29" i="55"/>
  <c r="S29" i="55" s="1"/>
  <c r="T43" i="51"/>
  <c r="S43" i="51" s="1"/>
  <c r="M50" i="51"/>
  <c r="P3" i="51" s="1"/>
  <c r="U37" i="48"/>
  <c r="V37" i="48"/>
  <c r="M50" i="46"/>
  <c r="P3" i="46" s="1"/>
  <c r="T27" i="45"/>
  <c r="S27" i="45" s="1"/>
  <c r="T36" i="44"/>
  <c r="S36" i="44" s="1"/>
  <c r="T26" i="37"/>
  <c r="S26" i="37" s="1"/>
  <c r="T19" i="37"/>
  <c r="I50" i="37"/>
  <c r="P2" i="37" s="1"/>
  <c r="T47" i="35"/>
  <c r="S47" i="35" s="1"/>
  <c r="T43" i="35"/>
  <c r="S43" i="35" s="1"/>
  <c r="T27" i="35"/>
  <c r="S27" i="35" s="1"/>
  <c r="T23" i="35"/>
  <c r="S23" i="35" s="1"/>
  <c r="T19" i="35"/>
  <c r="I50" i="35"/>
  <c r="P2" i="35" s="1"/>
  <c r="I50" i="33"/>
  <c r="P2" i="33" s="1"/>
  <c r="T19" i="33"/>
  <c r="T47" i="31"/>
  <c r="S47" i="31" s="1"/>
  <c r="T39" i="31"/>
  <c r="S39" i="31" s="1"/>
  <c r="T31" i="31"/>
  <c r="S31" i="31" s="1"/>
  <c r="T23" i="31"/>
  <c r="S23" i="31" s="1"/>
  <c r="T19" i="31"/>
  <c r="I50" i="31"/>
  <c r="P2" i="31" s="1"/>
  <c r="U42" i="62"/>
  <c r="M42" i="62"/>
  <c r="T42" i="62" s="1"/>
  <c r="S42" i="62" s="1"/>
  <c r="V42" i="62"/>
  <c r="T28" i="60"/>
  <c r="S28" i="60" s="1"/>
  <c r="T22" i="58"/>
  <c r="S22" i="58" s="1"/>
  <c r="T38" i="58"/>
  <c r="S38" i="58" s="1"/>
  <c r="T46" i="58"/>
  <c r="S46" i="58" s="1"/>
  <c r="V24" i="53"/>
  <c r="T28" i="51"/>
  <c r="S28" i="51" s="1"/>
  <c r="V34" i="50"/>
  <c r="T34" i="44"/>
  <c r="S34" i="44" s="1"/>
  <c r="T48" i="59"/>
  <c r="S48" i="59" s="1"/>
  <c r="T22" i="59"/>
  <c r="S22" i="59" s="1"/>
  <c r="T30" i="59"/>
  <c r="S30" i="59" s="1"/>
  <c r="R50" i="55"/>
  <c r="M50" i="53"/>
  <c r="P3" i="53" s="1"/>
  <c r="V36" i="50"/>
  <c r="V47" i="47"/>
  <c r="U40" i="46"/>
  <c r="I50" i="46"/>
  <c r="P2" i="46" s="1"/>
  <c r="T19" i="46"/>
  <c r="T33" i="46"/>
  <c r="S33" i="46" s="1"/>
  <c r="V29" i="44"/>
  <c r="I50" i="43"/>
  <c r="P2" i="43" s="1"/>
  <c r="T19" i="43"/>
  <c r="T31" i="43"/>
  <c r="S31" i="43" s="1"/>
  <c r="H50" i="21"/>
  <c r="V25" i="61"/>
  <c r="T45" i="57"/>
  <c r="S45" i="57" s="1"/>
  <c r="T29" i="57"/>
  <c r="S29" i="57" s="1"/>
  <c r="T43" i="57"/>
  <c r="S43" i="57" s="1"/>
  <c r="V42" i="53"/>
  <c r="T48" i="50"/>
  <c r="S48" i="50" s="1"/>
  <c r="T19" i="49"/>
  <c r="I50" i="49"/>
  <c r="P2" i="49" s="1"/>
  <c r="T27" i="48"/>
  <c r="S27" i="48" s="1"/>
  <c r="V23" i="47"/>
  <c r="R50" i="46"/>
  <c r="V43" i="45"/>
  <c r="T28" i="43"/>
  <c r="S28" i="43" s="1"/>
  <c r="R50" i="43"/>
  <c r="V45" i="41"/>
  <c r="I50" i="39"/>
  <c r="P2" i="39" s="1"/>
  <c r="T19" i="39"/>
  <c r="U28" i="37"/>
  <c r="T42" i="30"/>
  <c r="S42" i="30" s="1"/>
  <c r="T34" i="30"/>
  <c r="S34" i="30" s="1"/>
  <c r="T26" i="30"/>
  <c r="S26" i="30" s="1"/>
  <c r="U20" i="29"/>
  <c r="T42" i="28"/>
  <c r="S42" i="28" s="1"/>
  <c r="T34" i="28"/>
  <c r="S34" i="28" s="1"/>
  <c r="T26" i="28"/>
  <c r="S26" i="28" s="1"/>
  <c r="U20" i="27"/>
  <c r="T46" i="26"/>
  <c r="S46" i="26" s="1"/>
  <c r="T42" i="26"/>
  <c r="S42" i="26" s="1"/>
  <c r="T38" i="26"/>
  <c r="S38" i="26" s="1"/>
  <c r="T34" i="26"/>
  <c r="S34" i="26" s="1"/>
  <c r="T30" i="26"/>
  <c r="S30" i="26" s="1"/>
  <c r="T26" i="26"/>
  <c r="S26" i="26" s="1"/>
  <c r="T22" i="26"/>
  <c r="S22" i="26" s="1"/>
  <c r="T46" i="24"/>
  <c r="S46" i="24" s="1"/>
  <c r="T42" i="24"/>
  <c r="S42" i="24" s="1"/>
  <c r="T38" i="24"/>
  <c r="S38" i="24" s="1"/>
  <c r="T34" i="24"/>
  <c r="S34" i="24" s="1"/>
  <c r="T30" i="24"/>
  <c r="S30" i="24" s="1"/>
  <c r="T26" i="24"/>
  <c r="S26" i="24" s="1"/>
  <c r="T22" i="24"/>
  <c r="S22" i="24" s="1"/>
  <c r="V44" i="62"/>
  <c r="U44" i="62"/>
  <c r="T20" i="60"/>
  <c r="S20" i="60" s="1"/>
  <c r="V30" i="49"/>
  <c r="T49" i="47"/>
  <c r="S49" i="47" s="1"/>
  <c r="T31" i="41"/>
  <c r="S31" i="41" s="1"/>
  <c r="U23" i="41"/>
  <c r="V23" i="41"/>
  <c r="M23" i="41"/>
  <c r="M50" i="41" s="1"/>
  <c r="P3" i="41" s="1"/>
  <c r="T20" i="40"/>
  <c r="S20" i="40" s="1"/>
  <c r="V23" i="38"/>
  <c r="U23" i="38"/>
  <c r="M23" i="38"/>
  <c r="T23" i="38" s="1"/>
  <c r="S23" i="38" s="1"/>
  <c r="V35" i="37"/>
  <c r="V29" i="37"/>
  <c r="T41" i="27"/>
  <c r="S41" i="27" s="1"/>
  <c r="T33" i="27"/>
  <c r="S33" i="27" s="1"/>
  <c r="T25" i="27"/>
  <c r="S25" i="27" s="1"/>
  <c r="M50" i="26"/>
  <c r="P3" i="26" s="1"/>
  <c r="V21" i="22"/>
  <c r="U21" i="22"/>
  <c r="U29" i="22"/>
  <c r="V29" i="22"/>
  <c r="V37" i="22"/>
  <c r="U37" i="22"/>
  <c r="U45" i="22"/>
  <c r="V45" i="22"/>
  <c r="V35" i="21"/>
  <c r="V19" i="21"/>
  <c r="I50" i="34"/>
  <c r="P2" i="34" s="1"/>
  <c r="U32" i="24"/>
  <c r="I50" i="18"/>
  <c r="P2" i="18" s="1"/>
  <c r="T19" i="18"/>
  <c r="T35" i="17"/>
  <c r="S35" i="17" s="1"/>
  <c r="T21" i="17"/>
  <c r="S21" i="17" s="1"/>
  <c r="T21" i="15"/>
  <c r="S21" i="15" s="1"/>
  <c r="I50" i="14"/>
  <c r="P2" i="14" s="1"/>
  <c r="T19" i="14"/>
  <c r="T29" i="13"/>
  <c r="S29" i="13" s="1"/>
  <c r="T33" i="11"/>
  <c r="S33" i="11" s="1"/>
  <c r="I50" i="10"/>
  <c r="P2" i="10" s="1"/>
  <c r="T19" i="10"/>
  <c r="T45" i="7"/>
  <c r="S45" i="7" s="1"/>
  <c r="T27" i="7"/>
  <c r="S27" i="7" s="1"/>
  <c r="T45" i="4"/>
  <c r="S45" i="4" s="1"/>
  <c r="T39" i="3"/>
  <c r="S39" i="3" s="1"/>
  <c r="U37" i="69"/>
  <c r="V37" i="69"/>
  <c r="M37" i="69"/>
  <c r="M50" i="69" s="1"/>
  <c r="P3" i="69" s="1"/>
  <c r="U42" i="64"/>
  <c r="M42" i="64"/>
  <c r="T42" i="64" s="1"/>
  <c r="S42" i="64" s="1"/>
  <c r="V42" i="64"/>
  <c r="M50" i="61"/>
  <c r="P3" i="61" s="1"/>
  <c r="T19" i="59"/>
  <c r="T21" i="57"/>
  <c r="S21" i="57" s="1"/>
  <c r="V20" i="56"/>
  <c r="T19" i="54"/>
  <c r="I50" i="54"/>
  <c r="P2" i="54" s="1"/>
  <c r="T20" i="54"/>
  <c r="S20" i="54" s="1"/>
  <c r="T28" i="54"/>
  <c r="S28" i="54" s="1"/>
  <c r="T44" i="54"/>
  <c r="S44" i="54" s="1"/>
  <c r="R50" i="51"/>
  <c r="M50" i="50"/>
  <c r="P3" i="50" s="1"/>
  <c r="T41" i="47"/>
  <c r="S41" i="47" s="1"/>
  <c r="T29" i="47"/>
  <c r="S29" i="47" s="1"/>
  <c r="T47" i="47"/>
  <c r="S47" i="47" s="1"/>
  <c r="U19" i="45"/>
  <c r="U19" i="41"/>
  <c r="V27" i="37"/>
  <c r="I50" i="29"/>
  <c r="P2" i="29" s="1"/>
  <c r="R50" i="24"/>
  <c r="U20" i="22"/>
  <c r="T39" i="19"/>
  <c r="S39" i="19" s="1"/>
  <c r="T41" i="17"/>
  <c r="S41" i="17" s="1"/>
  <c r="I50" i="15"/>
  <c r="P2" i="15" s="1"/>
  <c r="T19" i="15"/>
  <c r="T47" i="12"/>
  <c r="S47" i="12" s="1"/>
  <c r="T23" i="12"/>
  <c r="S23" i="12" s="1"/>
  <c r="T41" i="11"/>
  <c r="S41" i="11" s="1"/>
  <c r="T25" i="11"/>
  <c r="S25" i="11" s="1"/>
  <c r="T43" i="7"/>
  <c r="S43" i="7" s="1"/>
  <c r="T29" i="7"/>
  <c r="S29" i="7" s="1"/>
  <c r="I50" i="4"/>
  <c r="P2" i="4" s="1"/>
  <c r="T19" i="4"/>
  <c r="T23" i="3"/>
  <c r="S23" i="3" s="1"/>
  <c r="V43" i="68"/>
  <c r="U43" i="68"/>
  <c r="T40" i="63"/>
  <c r="S40" i="63" s="1"/>
  <c r="T33" i="44"/>
  <c r="S33" i="44" s="1"/>
  <c r="T22" i="38"/>
  <c r="S22" i="38" s="1"/>
  <c r="T38" i="38"/>
  <c r="S38" i="38" s="1"/>
  <c r="T41" i="38"/>
  <c r="S41" i="38" s="1"/>
  <c r="V37" i="37"/>
  <c r="T49" i="23"/>
  <c r="S49" i="23" s="1"/>
  <c r="M50" i="11"/>
  <c r="P3" i="11" s="1"/>
  <c r="M50" i="3"/>
  <c r="P3" i="3" s="1"/>
  <c r="V43" i="7"/>
  <c r="V33" i="7"/>
  <c r="U48" i="5"/>
  <c r="U40" i="5"/>
  <c r="U24" i="5"/>
  <c r="V47" i="3"/>
  <c r="V31" i="3"/>
  <c r="R50" i="56"/>
  <c r="R50" i="44"/>
  <c r="T41" i="23"/>
  <c r="S41" i="23" s="1"/>
  <c r="U36" i="18"/>
  <c r="U20" i="18"/>
  <c r="M50" i="13"/>
  <c r="P3" i="13" s="1"/>
  <c r="V47" i="8"/>
  <c r="U34" i="6"/>
  <c r="U30" i="6"/>
  <c r="U26" i="6"/>
  <c r="V33" i="4"/>
  <c r="U42" i="2"/>
  <c r="U28" i="2"/>
  <c r="T29" i="25"/>
  <c r="S29" i="25" s="1"/>
  <c r="T45" i="25"/>
  <c r="S45" i="25" s="1"/>
  <c r="R50" i="14"/>
  <c r="U19" i="14"/>
  <c r="V19" i="9"/>
  <c r="M50" i="31"/>
  <c r="P3" i="31" s="1"/>
  <c r="T23" i="25"/>
  <c r="S23" i="25" s="1"/>
  <c r="U19" i="24"/>
  <c r="R50" i="19"/>
  <c r="U19" i="19"/>
  <c r="R50" i="16"/>
  <c r="U19" i="16"/>
  <c r="V47" i="15"/>
  <c r="V39" i="15"/>
  <c r="V31" i="15"/>
  <c r="V23" i="15"/>
  <c r="H50" i="13"/>
  <c r="V45" i="11"/>
  <c r="V37" i="11"/>
  <c r="V29" i="11"/>
  <c r="V21" i="11"/>
  <c r="H50" i="9"/>
  <c r="R50" i="8"/>
  <c r="U19" i="8"/>
  <c r="V49" i="7"/>
  <c r="V31" i="7"/>
  <c r="U46" i="5"/>
  <c r="U30" i="5"/>
  <c r="U22" i="5"/>
  <c r="M50" i="4"/>
  <c r="P3" i="4" s="1"/>
  <c r="V35" i="3"/>
  <c r="V19" i="2"/>
  <c r="T41" i="56"/>
  <c r="S41" i="56" s="1"/>
  <c r="T45" i="56"/>
  <c r="S45" i="56" s="1"/>
  <c r="T20" i="56"/>
  <c r="S20" i="56" s="1"/>
  <c r="T28" i="56"/>
  <c r="S28" i="56" s="1"/>
  <c r="T36" i="56"/>
  <c r="S36" i="56" s="1"/>
  <c r="T44" i="56"/>
  <c r="S44" i="56" s="1"/>
  <c r="T39" i="53"/>
  <c r="S39" i="53" s="1"/>
  <c r="T43" i="25"/>
  <c r="S43" i="25" s="1"/>
  <c r="V39" i="19"/>
  <c r="V31" i="19"/>
  <c r="U46" i="18"/>
  <c r="U40" i="18"/>
  <c r="U32" i="18"/>
  <c r="U24" i="18"/>
  <c r="V47" i="16"/>
  <c r="V35" i="16"/>
  <c r="U46" i="14"/>
  <c r="U38" i="14"/>
  <c r="U30" i="14"/>
  <c r="U22" i="14"/>
  <c r="V47" i="12"/>
  <c r="V35" i="12"/>
  <c r="V23" i="12"/>
  <c r="U40" i="10"/>
  <c r="U32" i="10"/>
  <c r="V33" i="8"/>
  <c r="V21" i="8"/>
  <c r="U42" i="6"/>
  <c r="V37" i="4"/>
  <c r="U36" i="2"/>
  <c r="V19" i="42"/>
  <c r="M50" i="35"/>
  <c r="P3" i="35" s="1"/>
  <c r="R50" i="30"/>
  <c r="T31" i="25"/>
  <c r="S31" i="25" s="1"/>
  <c r="I50" i="23"/>
  <c r="P2" i="23" s="1"/>
  <c r="T19" i="23"/>
  <c r="T35" i="23"/>
  <c r="S35" i="23" s="1"/>
  <c r="T22" i="22"/>
  <c r="S22" i="22" s="1"/>
  <c r="T28" i="22"/>
  <c r="S28" i="22" s="1"/>
  <c r="T32" i="22"/>
  <c r="S32" i="22" s="1"/>
  <c r="T36" i="22"/>
  <c r="S36" i="22" s="1"/>
  <c r="T40" i="22"/>
  <c r="S40" i="22" s="1"/>
  <c r="T44" i="22"/>
  <c r="S44" i="22" s="1"/>
  <c r="T48" i="22"/>
  <c r="S48" i="22" s="1"/>
  <c r="T19" i="20"/>
  <c r="I50" i="20"/>
  <c r="P2" i="20" s="1"/>
  <c r="T27" i="20"/>
  <c r="S27" i="20" s="1"/>
  <c r="T35" i="20"/>
  <c r="S35" i="20" s="1"/>
  <c r="T43" i="20"/>
  <c r="S43" i="20" s="1"/>
  <c r="T20" i="20"/>
  <c r="S20" i="20" s="1"/>
  <c r="T28" i="20"/>
  <c r="S28" i="20" s="1"/>
  <c r="T36" i="20"/>
  <c r="S36" i="20" s="1"/>
  <c r="T44" i="20"/>
  <c r="S44" i="20" s="1"/>
  <c r="R50" i="18"/>
  <c r="U19" i="18"/>
  <c r="T9" i="65" l="1"/>
  <c r="V9" i="65" s="1"/>
  <c r="T50" i="62"/>
  <c r="P6" i="62" s="1"/>
  <c r="S19" i="62"/>
  <c r="S50" i="62" s="1"/>
  <c r="V15" i="8"/>
  <c r="P9" i="8" s="1"/>
  <c r="P7" i="8"/>
  <c r="S9" i="8" s="1"/>
  <c r="P5" i="14"/>
  <c r="P4" i="14"/>
  <c r="V15" i="43"/>
  <c r="P9" i="43" s="1"/>
  <c r="P7" i="43"/>
  <c r="S9" i="43" s="1"/>
  <c r="P7" i="38"/>
  <c r="V15" i="38"/>
  <c r="P9" i="38" s="1"/>
  <c r="T50" i="50"/>
  <c r="P6" i="50" s="1"/>
  <c r="S19" i="50"/>
  <c r="S50" i="50" s="1"/>
  <c r="S19" i="71"/>
  <c r="S50" i="71" s="1"/>
  <c r="T50" i="71"/>
  <c r="P6" i="71" s="1"/>
  <c r="P7" i="28"/>
  <c r="V15" i="28"/>
  <c r="P9" i="28" s="1"/>
  <c r="P4" i="22"/>
  <c r="P5" i="22"/>
  <c r="V15" i="15"/>
  <c r="P9" i="15" s="1"/>
  <c r="P7" i="15"/>
  <c r="S9" i="15" s="1"/>
  <c r="S19" i="9"/>
  <c r="S50" i="9" s="1"/>
  <c r="T50" i="9"/>
  <c r="P6" i="9" s="1"/>
  <c r="P5" i="5"/>
  <c r="P4" i="5"/>
  <c r="P5" i="13"/>
  <c r="P4" i="13"/>
  <c r="P4" i="40"/>
  <c r="P5" i="40"/>
  <c r="P5" i="36"/>
  <c r="P4" i="36"/>
  <c r="T36" i="65"/>
  <c r="S36" i="65" s="1"/>
  <c r="V15" i="60"/>
  <c r="P9" i="60" s="1"/>
  <c r="P7" i="60"/>
  <c r="P7" i="62"/>
  <c r="S9" i="62" s="1"/>
  <c r="V15" i="62"/>
  <c r="P9" i="62" s="1"/>
  <c r="P5" i="53"/>
  <c r="P4" i="53"/>
  <c r="T25" i="68"/>
  <c r="S25" i="68" s="1"/>
  <c r="S19" i="42"/>
  <c r="S50" i="42" s="1"/>
  <c r="T50" i="42"/>
  <c r="P6" i="42" s="1"/>
  <c r="P4" i="68"/>
  <c r="P5" i="68"/>
  <c r="T50" i="73"/>
  <c r="P6" i="73" s="1"/>
  <c r="S19" i="73"/>
  <c r="S50" i="73" s="1"/>
  <c r="P5" i="25"/>
  <c r="P4" i="25"/>
  <c r="M50" i="45"/>
  <c r="P3" i="45" s="1"/>
  <c r="P4" i="48"/>
  <c r="P5" i="48"/>
  <c r="P5" i="20"/>
  <c r="P4" i="20"/>
  <c r="S19" i="4"/>
  <c r="S50" i="4" s="1"/>
  <c r="T50" i="4"/>
  <c r="P6" i="4" s="1"/>
  <c r="S19" i="15"/>
  <c r="S50" i="15" s="1"/>
  <c r="T50" i="15"/>
  <c r="P6" i="15" s="1"/>
  <c r="P5" i="18"/>
  <c r="P4" i="18"/>
  <c r="S19" i="39"/>
  <c r="S50" i="39" s="1"/>
  <c r="T50" i="39"/>
  <c r="P6" i="39" s="1"/>
  <c r="S19" i="43"/>
  <c r="S50" i="43" s="1"/>
  <c r="T50" i="43"/>
  <c r="P6" i="43" s="1"/>
  <c r="S19" i="46"/>
  <c r="S50" i="46" s="1"/>
  <c r="T50" i="46"/>
  <c r="P6" i="46" s="1"/>
  <c r="P5" i="33"/>
  <c r="P4" i="33"/>
  <c r="S19" i="37"/>
  <c r="S50" i="37" s="1"/>
  <c r="T50" i="37"/>
  <c r="P6" i="37" s="1"/>
  <c r="T50" i="57"/>
  <c r="P6" i="57" s="1"/>
  <c r="S19" i="57"/>
  <c r="S50" i="57" s="1"/>
  <c r="P7" i="41"/>
  <c r="V15" i="41"/>
  <c r="P9" i="41" s="1"/>
  <c r="S19" i="8"/>
  <c r="S50" i="8" s="1"/>
  <c r="T50" i="8"/>
  <c r="P6" i="8" s="1"/>
  <c r="P5" i="17"/>
  <c r="P4" i="17"/>
  <c r="S9" i="32"/>
  <c r="S19" i="61"/>
  <c r="S50" i="61" s="1"/>
  <c r="T50" i="61"/>
  <c r="P6" i="61" s="1"/>
  <c r="P5" i="71"/>
  <c r="P4" i="71"/>
  <c r="S19" i="12"/>
  <c r="S50" i="12" s="1"/>
  <c r="T50" i="12"/>
  <c r="P6" i="12" s="1"/>
  <c r="S19" i="22"/>
  <c r="S50" i="22" s="1"/>
  <c r="T50" i="22"/>
  <c r="P6" i="22" s="1"/>
  <c r="V15" i="5"/>
  <c r="P9" i="5" s="1"/>
  <c r="P7" i="5"/>
  <c r="S9" i="5" s="1"/>
  <c r="U9" i="5" s="1"/>
  <c r="P7" i="6"/>
  <c r="V15" i="6"/>
  <c r="P9" i="6" s="1"/>
  <c r="V15" i="17"/>
  <c r="P9" i="17" s="1"/>
  <c r="P7" i="17"/>
  <c r="P5" i="9"/>
  <c r="P4" i="9"/>
  <c r="U9" i="44"/>
  <c r="T37" i="69"/>
  <c r="S37" i="69" s="1"/>
  <c r="P5" i="11"/>
  <c r="P4" i="11"/>
  <c r="V15" i="20"/>
  <c r="P9" i="20" s="1"/>
  <c r="P7" i="20"/>
  <c r="S9" i="20" s="1"/>
  <c r="S19" i="40"/>
  <c r="S50" i="40" s="1"/>
  <c r="T50" i="40"/>
  <c r="P6" i="40" s="1"/>
  <c r="T23" i="41"/>
  <c r="S23" i="41" s="1"/>
  <c r="S19" i="24"/>
  <c r="S50" i="24" s="1"/>
  <c r="T50" i="24"/>
  <c r="P6" i="24" s="1"/>
  <c r="S19" i="28"/>
  <c r="S50" i="28" s="1"/>
  <c r="T50" i="28"/>
  <c r="P6" i="28" s="1"/>
  <c r="S19" i="36"/>
  <c r="S50" i="36" s="1"/>
  <c r="T50" i="36"/>
  <c r="P6" i="36" s="1"/>
  <c r="T50" i="58"/>
  <c r="P6" i="58" s="1"/>
  <c r="S19" i="58"/>
  <c r="S50" i="58" s="1"/>
  <c r="V15" i="63"/>
  <c r="P9" i="63" s="1"/>
  <c r="P7" i="63"/>
  <c r="S9" i="63" s="1"/>
  <c r="S19" i="66"/>
  <c r="S50" i="66" s="1"/>
  <c r="T50" i="66"/>
  <c r="P6" i="66" s="1"/>
  <c r="P7" i="72"/>
  <c r="V15" i="72"/>
  <c r="P9" i="72" s="1"/>
  <c r="T50" i="53"/>
  <c r="P6" i="53" s="1"/>
  <c r="S19" i="53"/>
  <c r="S50" i="53" s="1"/>
  <c r="T19" i="56"/>
  <c r="M50" i="37"/>
  <c r="P3" i="37" s="1"/>
  <c r="V15" i="47"/>
  <c r="P9" i="47" s="1"/>
  <c r="P7" i="47"/>
  <c r="S9" i="47" s="1"/>
  <c r="T9" i="47" s="1"/>
  <c r="V9" i="47" s="1"/>
  <c r="S19" i="2"/>
  <c r="S50" i="2" s="1"/>
  <c r="T50" i="2"/>
  <c r="P6" i="2" s="1"/>
  <c r="S19" i="7"/>
  <c r="S50" i="7" s="1"/>
  <c r="T50" i="7"/>
  <c r="P6" i="7" s="1"/>
  <c r="S19" i="6"/>
  <c r="S50" i="6" s="1"/>
  <c r="T50" i="6"/>
  <c r="P6" i="6" s="1"/>
  <c r="T9" i="36"/>
  <c r="V9" i="36" s="1"/>
  <c r="U9" i="36"/>
  <c r="V15" i="50"/>
  <c r="P9" i="50" s="1"/>
  <c r="P7" i="50"/>
  <c r="V15" i="59"/>
  <c r="P9" i="59" s="1"/>
  <c r="P7" i="59"/>
  <c r="S9" i="59" s="1"/>
  <c r="U9" i="59" s="1"/>
  <c r="S19" i="68"/>
  <c r="S50" i="68" s="1"/>
  <c r="T50" i="68"/>
  <c r="P6" i="68" s="1"/>
  <c r="V15" i="71"/>
  <c r="P9" i="71" s="1"/>
  <c r="P7" i="71"/>
  <c r="S9" i="71" s="1"/>
  <c r="T9" i="71" s="1"/>
  <c r="V9" i="71" s="1"/>
  <c r="V15" i="52"/>
  <c r="P9" i="52" s="1"/>
  <c r="P7" i="52"/>
  <c r="U9" i="48"/>
  <c r="S19" i="38"/>
  <c r="S50" i="38" s="1"/>
  <c r="T50" i="38"/>
  <c r="P6" i="38" s="1"/>
  <c r="P5" i="19"/>
  <c r="P4" i="19"/>
  <c r="V15" i="31"/>
  <c r="P9" i="31" s="1"/>
  <c r="P7" i="31"/>
  <c r="U9" i="29"/>
  <c r="T9" i="29"/>
  <c r="V9" i="29" s="1"/>
  <c r="P4" i="52"/>
  <c r="P5" i="52"/>
  <c r="S19" i="69"/>
  <c r="S50" i="69" s="1"/>
  <c r="T50" i="69"/>
  <c r="P6" i="69" s="1"/>
  <c r="P5" i="73"/>
  <c r="P4" i="73"/>
  <c r="P7" i="21"/>
  <c r="V15" i="21"/>
  <c r="P9" i="21" s="1"/>
  <c r="P5" i="59"/>
  <c r="P4" i="59"/>
  <c r="S19" i="51"/>
  <c r="S50" i="51" s="1"/>
  <c r="T50" i="51"/>
  <c r="P6" i="51" s="1"/>
  <c r="M50" i="60"/>
  <c r="P3" i="60" s="1"/>
  <c r="P4" i="60" s="1"/>
  <c r="P4" i="65"/>
  <c r="P5" i="65"/>
  <c r="T9" i="54"/>
  <c r="V9" i="54" s="1"/>
  <c r="U9" i="54"/>
  <c r="T19" i="48"/>
  <c r="P5" i="60"/>
  <c r="S9" i="48"/>
  <c r="T9" i="48" s="1"/>
  <c r="V9" i="48" s="1"/>
  <c r="S9" i="53"/>
  <c r="T9" i="53" s="1"/>
  <c r="V9" i="53" s="1"/>
  <c r="S9" i="40"/>
  <c r="P5" i="23"/>
  <c r="P4" i="23"/>
  <c r="P7" i="14"/>
  <c r="S9" i="14" s="1"/>
  <c r="V15" i="14"/>
  <c r="P9" i="14" s="1"/>
  <c r="P5" i="10"/>
  <c r="P4" i="10"/>
  <c r="P4" i="37"/>
  <c r="P5" i="37"/>
  <c r="P5" i="64"/>
  <c r="P4" i="64"/>
  <c r="S19" i="17"/>
  <c r="S50" i="17" s="1"/>
  <c r="T50" i="17"/>
  <c r="P6" i="17" s="1"/>
  <c r="V15" i="57"/>
  <c r="P9" i="57" s="1"/>
  <c r="P7" i="57"/>
  <c r="S9" i="57" s="1"/>
  <c r="P4" i="72"/>
  <c r="P5" i="72"/>
  <c r="V15" i="13"/>
  <c r="P9" i="13" s="1"/>
  <c r="P7" i="13"/>
  <c r="S9" i="13" s="1"/>
  <c r="P7" i="68"/>
  <c r="S9" i="68" s="1"/>
  <c r="U9" i="68" s="1"/>
  <c r="V15" i="68"/>
  <c r="P9" i="68" s="1"/>
  <c r="S19" i="11"/>
  <c r="S50" i="11" s="1"/>
  <c r="T50" i="11"/>
  <c r="P6" i="11" s="1"/>
  <c r="P5" i="16"/>
  <c r="P4" i="16"/>
  <c r="P4" i="24"/>
  <c r="P5" i="24"/>
  <c r="P4" i="28"/>
  <c r="P5" i="28"/>
  <c r="S19" i="32"/>
  <c r="S50" i="32" s="1"/>
  <c r="T50" i="32"/>
  <c r="P6" i="32" s="1"/>
  <c r="P5" i="58"/>
  <c r="P4" i="58"/>
  <c r="P7" i="64"/>
  <c r="V15" i="64"/>
  <c r="P9" i="64" s="1"/>
  <c r="P4" i="66"/>
  <c r="P5" i="66"/>
  <c r="P4" i="56"/>
  <c r="P5" i="56"/>
  <c r="U9" i="9"/>
  <c r="T9" i="9"/>
  <c r="V9" i="9" s="1"/>
  <c r="V15" i="11"/>
  <c r="P9" i="11" s="1"/>
  <c r="P7" i="11"/>
  <c r="U9" i="40"/>
  <c r="T9" i="40"/>
  <c r="V9" i="40" s="1"/>
  <c r="P5" i="51"/>
  <c r="P4" i="51"/>
  <c r="P7" i="25"/>
  <c r="S9" i="25" s="1"/>
  <c r="T9" i="25" s="1"/>
  <c r="V9" i="25" s="1"/>
  <c r="V15" i="25"/>
  <c r="P9" i="25" s="1"/>
  <c r="S19" i="60"/>
  <c r="S50" i="60" s="1"/>
  <c r="T50" i="60"/>
  <c r="P6" i="60" s="1"/>
  <c r="P7" i="18"/>
  <c r="S9" i="18" s="1"/>
  <c r="V15" i="18"/>
  <c r="P9" i="18" s="1"/>
  <c r="T50" i="20"/>
  <c r="P6" i="20" s="1"/>
  <c r="S19" i="20"/>
  <c r="S50" i="20" s="1"/>
  <c r="V15" i="30"/>
  <c r="P9" i="30" s="1"/>
  <c r="P7" i="30"/>
  <c r="V15" i="19"/>
  <c r="P9" i="19" s="1"/>
  <c r="P7" i="19"/>
  <c r="U9" i="13"/>
  <c r="T9" i="13"/>
  <c r="V9" i="13" s="1"/>
  <c r="P7" i="44"/>
  <c r="S9" i="44" s="1"/>
  <c r="T9" i="44" s="1"/>
  <c r="V9" i="44" s="1"/>
  <c r="V15" i="44"/>
  <c r="P9" i="44" s="1"/>
  <c r="P5" i="4"/>
  <c r="P4" i="4"/>
  <c r="P5" i="15"/>
  <c r="P4" i="15"/>
  <c r="V15" i="24"/>
  <c r="P9" i="24" s="1"/>
  <c r="P7" i="24"/>
  <c r="P5" i="39"/>
  <c r="P4" i="39"/>
  <c r="P5" i="49"/>
  <c r="P4" i="49"/>
  <c r="P5" i="43"/>
  <c r="P4" i="43"/>
  <c r="P5" i="46"/>
  <c r="P4" i="46"/>
  <c r="P5" i="31"/>
  <c r="P4" i="31"/>
  <c r="P5" i="35"/>
  <c r="P4" i="35"/>
  <c r="S19" i="67"/>
  <c r="S50" i="67" s="1"/>
  <c r="T50" i="67"/>
  <c r="P6" i="67" s="1"/>
  <c r="P5" i="70"/>
  <c r="P4" i="70"/>
  <c r="U9" i="15"/>
  <c r="T9" i="15"/>
  <c r="V9" i="15" s="1"/>
  <c r="S19" i="3"/>
  <c r="S50" i="3" s="1"/>
  <c r="T50" i="3"/>
  <c r="P6" i="3" s="1"/>
  <c r="P5" i="8"/>
  <c r="P4" i="8"/>
  <c r="P5" i="61"/>
  <c r="P4" i="61"/>
  <c r="P5" i="12"/>
  <c r="P4" i="12"/>
  <c r="P5" i="21"/>
  <c r="P4" i="21"/>
  <c r="S19" i="29"/>
  <c r="S50" i="29" s="1"/>
  <c r="T50" i="29"/>
  <c r="P6" i="29" s="1"/>
  <c r="P7" i="45"/>
  <c r="S9" i="45" s="1"/>
  <c r="V15" i="45"/>
  <c r="P9" i="45" s="1"/>
  <c r="P4" i="26"/>
  <c r="P5" i="26"/>
  <c r="S19" i="30"/>
  <c r="S50" i="30" s="1"/>
  <c r="T50" i="30"/>
  <c r="P6" i="30" s="1"/>
  <c r="T9" i="63"/>
  <c r="V9" i="63" s="1"/>
  <c r="U9" i="63"/>
  <c r="S19" i="63"/>
  <c r="S50" i="63" s="1"/>
  <c r="T50" i="63"/>
  <c r="P6" i="63" s="1"/>
  <c r="V15" i="12"/>
  <c r="P9" i="12" s="1"/>
  <c r="P7" i="12"/>
  <c r="V15" i="39"/>
  <c r="P9" i="39" s="1"/>
  <c r="P7" i="39"/>
  <c r="P5" i="2"/>
  <c r="P4" i="2"/>
  <c r="P5" i="7"/>
  <c r="P4" i="7"/>
  <c r="P5" i="6"/>
  <c r="P4" i="6"/>
  <c r="T9" i="43"/>
  <c r="V9" i="43" s="1"/>
  <c r="U9" i="43"/>
  <c r="P5" i="55"/>
  <c r="P4" i="55"/>
  <c r="V15" i="73"/>
  <c r="P9" i="73" s="1"/>
  <c r="P7" i="73"/>
  <c r="V15" i="3"/>
  <c r="P9" i="3" s="1"/>
  <c r="P7" i="3"/>
  <c r="S19" i="19"/>
  <c r="S50" i="19" s="1"/>
  <c r="T50" i="19"/>
  <c r="P6" i="19" s="1"/>
  <c r="S9" i="37"/>
  <c r="P4" i="44"/>
  <c r="P5" i="44"/>
  <c r="T19" i="52"/>
  <c r="P7" i="66"/>
  <c r="S9" i="66" s="1"/>
  <c r="U9" i="66" s="1"/>
  <c r="V15" i="66"/>
  <c r="P9" i="66" s="1"/>
  <c r="P5" i="45"/>
  <c r="P4" i="45"/>
  <c r="P4" i="69"/>
  <c r="P5" i="69"/>
  <c r="U9" i="25"/>
  <c r="M50" i="64"/>
  <c r="P3" i="64" s="1"/>
  <c r="S19" i="65"/>
  <c r="S50" i="65" s="1"/>
  <c r="T50" i="65"/>
  <c r="P6" i="65" s="1"/>
  <c r="P7" i="10"/>
  <c r="S9" i="10" s="1"/>
  <c r="V15" i="10"/>
  <c r="P9" i="10" s="1"/>
  <c r="T9" i="5"/>
  <c r="V9" i="5" s="1"/>
  <c r="T19" i="47"/>
  <c r="S19" i="41"/>
  <c r="S50" i="41" s="1"/>
  <c r="T50" i="41"/>
  <c r="P6" i="41" s="1"/>
  <c r="P7" i="16"/>
  <c r="S9" i="16" s="1"/>
  <c r="U9" i="16" s="1"/>
  <c r="V15" i="16"/>
  <c r="P9" i="16" s="1"/>
  <c r="T50" i="54"/>
  <c r="P6" i="54" s="1"/>
  <c r="S19" i="54"/>
  <c r="S50" i="54" s="1"/>
  <c r="S19" i="18"/>
  <c r="S50" i="18" s="1"/>
  <c r="T50" i="18"/>
  <c r="P6" i="18" s="1"/>
  <c r="S19" i="33"/>
  <c r="S50" i="33" s="1"/>
  <c r="T50" i="33"/>
  <c r="P6" i="33" s="1"/>
  <c r="P7" i="65"/>
  <c r="S9" i="65" s="1"/>
  <c r="U9" i="65" s="1"/>
  <c r="V15" i="65"/>
  <c r="P9" i="65" s="1"/>
  <c r="S19" i="23"/>
  <c r="S50" i="23" s="1"/>
  <c r="T50" i="23"/>
  <c r="P6" i="23" s="1"/>
  <c r="V15" i="56"/>
  <c r="P9" i="56" s="1"/>
  <c r="P7" i="56"/>
  <c r="P5" i="29"/>
  <c r="P4" i="29"/>
  <c r="V15" i="51"/>
  <c r="P9" i="51" s="1"/>
  <c r="P7" i="51"/>
  <c r="P5" i="54"/>
  <c r="P4" i="54"/>
  <c r="T50" i="59"/>
  <c r="P6" i="59" s="1"/>
  <c r="S19" i="59"/>
  <c r="S50" i="59" s="1"/>
  <c r="S19" i="10"/>
  <c r="S50" i="10" s="1"/>
  <c r="T50" i="10"/>
  <c r="P6" i="10" s="1"/>
  <c r="S19" i="14"/>
  <c r="S50" i="14" s="1"/>
  <c r="T50" i="14"/>
  <c r="P6" i="14" s="1"/>
  <c r="P5" i="34"/>
  <c r="P4" i="34"/>
  <c r="P7" i="46"/>
  <c r="S9" i="46" s="1"/>
  <c r="T9" i="46" s="1"/>
  <c r="V9" i="46" s="1"/>
  <c r="V15" i="46"/>
  <c r="P9" i="46" s="1"/>
  <c r="T50" i="49"/>
  <c r="P6" i="49" s="1"/>
  <c r="S19" i="49"/>
  <c r="S50" i="49" s="1"/>
  <c r="M50" i="38"/>
  <c r="P3" i="38" s="1"/>
  <c r="V15" i="55"/>
  <c r="P9" i="55" s="1"/>
  <c r="P7" i="55"/>
  <c r="S19" i="31"/>
  <c r="S50" i="31" s="1"/>
  <c r="T50" i="31"/>
  <c r="P6" i="31" s="1"/>
  <c r="S19" i="35"/>
  <c r="S50" i="35" s="1"/>
  <c r="T50" i="35"/>
  <c r="P6" i="35" s="1"/>
  <c r="P5" i="67"/>
  <c r="P4" i="67"/>
  <c r="T19" i="70"/>
  <c r="T50" i="64"/>
  <c r="P6" i="64" s="1"/>
  <c r="S19" i="64"/>
  <c r="S50" i="64" s="1"/>
  <c r="V15" i="70"/>
  <c r="P9" i="70" s="1"/>
  <c r="P7" i="70"/>
  <c r="M50" i="57"/>
  <c r="P3" i="57" s="1"/>
  <c r="P5" i="3"/>
  <c r="P4" i="3"/>
  <c r="S9" i="34"/>
  <c r="P7" i="42"/>
  <c r="S9" i="42" s="1"/>
  <c r="T9" i="42" s="1"/>
  <c r="V9" i="42" s="1"/>
  <c r="V15" i="42"/>
  <c r="P9" i="42" s="1"/>
  <c r="V15" i="35"/>
  <c r="P9" i="35" s="1"/>
  <c r="P7" i="35"/>
  <c r="P4" i="50"/>
  <c r="P5" i="50"/>
  <c r="V15" i="33"/>
  <c r="P9" i="33" s="1"/>
  <c r="P7" i="33"/>
  <c r="V15" i="4"/>
  <c r="P9" i="4" s="1"/>
  <c r="P7" i="4"/>
  <c r="M50" i="62"/>
  <c r="P3" i="62" s="1"/>
  <c r="T50" i="72"/>
  <c r="P6" i="72" s="1"/>
  <c r="S19" i="72"/>
  <c r="S50" i="72" s="1"/>
  <c r="V15" i="7"/>
  <c r="P9" i="7" s="1"/>
  <c r="P7" i="7"/>
  <c r="S19" i="5"/>
  <c r="S50" i="5" s="1"/>
  <c r="T50" i="5"/>
  <c r="P6" i="5" s="1"/>
  <c r="S19" i="13"/>
  <c r="S50" i="13" s="1"/>
  <c r="T50" i="13"/>
  <c r="P6" i="13" s="1"/>
  <c r="S19" i="16"/>
  <c r="S50" i="16" s="1"/>
  <c r="T50" i="16"/>
  <c r="P6" i="16" s="1"/>
  <c r="P7" i="23"/>
  <c r="S9" i="23" s="1"/>
  <c r="T9" i="23" s="1"/>
  <c r="V9" i="23" s="1"/>
  <c r="V15" i="23"/>
  <c r="P9" i="23" s="1"/>
  <c r="S19" i="26"/>
  <c r="S50" i="26" s="1"/>
  <c r="T50" i="26"/>
  <c r="P6" i="26" s="1"/>
  <c r="P4" i="30"/>
  <c r="P5" i="30"/>
  <c r="P5" i="32"/>
  <c r="P4" i="32"/>
  <c r="T9" i="59"/>
  <c r="V9" i="59" s="1"/>
  <c r="V15" i="58"/>
  <c r="P9" i="58" s="1"/>
  <c r="P7" i="58"/>
  <c r="S9" i="58" s="1"/>
  <c r="T9" i="58" s="1"/>
  <c r="V9" i="58" s="1"/>
  <c r="V15" i="61"/>
  <c r="P9" i="61" s="1"/>
  <c r="P7" i="61"/>
  <c r="P5" i="63"/>
  <c r="P4" i="63"/>
  <c r="P7" i="69"/>
  <c r="S9" i="69" s="1"/>
  <c r="T9" i="69" s="1"/>
  <c r="V9" i="69" s="1"/>
  <c r="V15" i="69"/>
  <c r="P9" i="69" s="1"/>
  <c r="P5" i="42"/>
  <c r="P4" i="42"/>
  <c r="S19" i="55"/>
  <c r="S50" i="55" s="1"/>
  <c r="T50" i="55"/>
  <c r="P6" i="55" s="1"/>
  <c r="S19" i="27"/>
  <c r="S50" i="27" s="1"/>
  <c r="T50" i="27"/>
  <c r="P6" i="27" s="1"/>
  <c r="T19" i="44"/>
  <c r="S19" i="45"/>
  <c r="S50" i="45" s="1"/>
  <c r="T50" i="45"/>
  <c r="P6" i="45" s="1"/>
  <c r="T9" i="20"/>
  <c r="V9" i="20" s="1"/>
  <c r="U9" i="20"/>
  <c r="S19" i="25"/>
  <c r="S50" i="25" s="1"/>
  <c r="T50" i="25"/>
  <c r="P6" i="25" s="1"/>
  <c r="U9" i="27"/>
  <c r="T9" i="27"/>
  <c r="V9" i="27" s="1"/>
  <c r="V15" i="67"/>
  <c r="P9" i="67" s="1"/>
  <c r="P7" i="67"/>
  <c r="S9" i="67" s="1"/>
  <c r="V15" i="22"/>
  <c r="P9" i="22" s="1"/>
  <c r="P7" i="22"/>
  <c r="S9" i="22" s="1"/>
  <c r="P5" i="47"/>
  <c r="P4" i="47"/>
  <c r="V15" i="26"/>
  <c r="P9" i="26" s="1"/>
  <c r="P7" i="26"/>
  <c r="S9" i="26" s="1"/>
  <c r="U9" i="26" s="1"/>
  <c r="P5" i="41"/>
  <c r="P4" i="41"/>
  <c r="P5" i="62"/>
  <c r="P4" i="62"/>
  <c r="S9" i="49"/>
  <c r="P4" i="27"/>
  <c r="P5" i="38" l="1"/>
  <c r="U9" i="42"/>
  <c r="T9" i="26"/>
  <c r="V9" i="26" s="1"/>
  <c r="U9" i="18"/>
  <c r="T9" i="18"/>
  <c r="V9" i="18" s="1"/>
  <c r="T9" i="14"/>
  <c r="V9" i="14" s="1"/>
  <c r="U9" i="14"/>
  <c r="T9" i="16"/>
  <c r="V9" i="16" s="1"/>
  <c r="T9" i="32"/>
  <c r="V9" i="32" s="1"/>
  <c r="U9" i="32"/>
  <c r="U9" i="46"/>
  <c r="U9" i="23"/>
  <c r="U9" i="47"/>
  <c r="S9" i="33"/>
  <c r="S9" i="35"/>
  <c r="T9" i="34"/>
  <c r="V9" i="34" s="1"/>
  <c r="U9" i="34"/>
  <c r="U9" i="71"/>
  <c r="S9" i="56"/>
  <c r="T50" i="52"/>
  <c r="P6" i="52" s="1"/>
  <c r="S19" i="52"/>
  <c r="S50" i="52" s="1"/>
  <c r="S9" i="3"/>
  <c r="S9" i="39"/>
  <c r="U9" i="58"/>
  <c r="U9" i="53"/>
  <c r="S9" i="19"/>
  <c r="S9" i="11"/>
  <c r="T9" i="66"/>
  <c r="V9" i="66" s="1"/>
  <c r="S9" i="21"/>
  <c r="S19" i="56"/>
  <c r="S50" i="56" s="1"/>
  <c r="T50" i="56"/>
  <c r="P6" i="56" s="1"/>
  <c r="S9" i="72"/>
  <c r="S9" i="6"/>
  <c r="S9" i="28"/>
  <c r="U9" i="69"/>
  <c r="U9" i="67"/>
  <c r="T9" i="67"/>
  <c r="V9" i="67" s="1"/>
  <c r="T9" i="57"/>
  <c r="V9" i="57" s="1"/>
  <c r="U9" i="57"/>
  <c r="P4" i="57"/>
  <c r="T9" i="8"/>
  <c r="V9" i="8" s="1"/>
  <c r="U9" i="8"/>
  <c r="U9" i="49"/>
  <c r="T9" i="49"/>
  <c r="V9" i="49" s="1"/>
  <c r="S9" i="61"/>
  <c r="S9" i="7"/>
  <c r="U9" i="62"/>
  <c r="T9" i="62"/>
  <c r="V9" i="62" s="1"/>
  <c r="S9" i="55"/>
  <c r="U9" i="64"/>
  <c r="S9" i="64"/>
  <c r="T9" i="64" s="1"/>
  <c r="V9" i="64" s="1"/>
  <c r="S19" i="48"/>
  <c r="S50" i="48" s="1"/>
  <c r="T50" i="48"/>
  <c r="P6" i="48" s="1"/>
  <c r="S9" i="31"/>
  <c r="S9" i="52"/>
  <c r="S9" i="50"/>
  <c r="U9" i="37"/>
  <c r="T9" i="37"/>
  <c r="V9" i="37" s="1"/>
  <c r="S9" i="17"/>
  <c r="S9" i="41"/>
  <c r="T9" i="68"/>
  <c r="V9" i="68" s="1"/>
  <c r="U9" i="22"/>
  <c r="T9" i="22"/>
  <c r="V9" i="22" s="1"/>
  <c r="S19" i="44"/>
  <c r="S50" i="44" s="1"/>
  <c r="T50" i="44"/>
  <c r="P6" i="44" s="1"/>
  <c r="S9" i="4"/>
  <c r="S9" i="70"/>
  <c r="T50" i="70"/>
  <c r="P6" i="70" s="1"/>
  <c r="S19" i="70"/>
  <c r="S50" i="70" s="1"/>
  <c r="S9" i="51"/>
  <c r="P5" i="57"/>
  <c r="S19" i="47"/>
  <c r="S50" i="47" s="1"/>
  <c r="T50" i="47"/>
  <c r="P6" i="47" s="1"/>
  <c r="U9" i="10"/>
  <c r="T9" i="10"/>
  <c r="V9" i="10" s="1"/>
  <c r="P4" i="38"/>
  <c r="S9" i="73"/>
  <c r="S9" i="12"/>
  <c r="S9" i="24"/>
  <c r="S9" i="30"/>
  <c r="U9" i="45"/>
  <c r="T9" i="45"/>
  <c r="V9" i="45" s="1"/>
  <c r="S9" i="60"/>
  <c r="T9" i="60" s="1"/>
  <c r="V9" i="60" s="1"/>
  <c r="S9" i="38"/>
  <c r="U9" i="38" s="1"/>
  <c r="U9" i="3" l="1"/>
  <c r="T9" i="3"/>
  <c r="V9" i="3" s="1"/>
  <c r="T9" i="33"/>
  <c r="V9" i="33" s="1"/>
  <c r="U9" i="33"/>
  <c r="U9" i="30"/>
  <c r="T9" i="30"/>
  <c r="V9" i="30" s="1"/>
  <c r="T9" i="50"/>
  <c r="V9" i="50" s="1"/>
  <c r="U9" i="50"/>
  <c r="T9" i="55"/>
  <c r="V9" i="55" s="1"/>
  <c r="U9" i="55"/>
  <c r="T9" i="61"/>
  <c r="V9" i="61" s="1"/>
  <c r="U9" i="61"/>
  <c r="T9" i="6"/>
  <c r="V9" i="6" s="1"/>
  <c r="U9" i="6"/>
  <c r="U9" i="21"/>
  <c r="T9" i="21"/>
  <c r="V9" i="21" s="1"/>
  <c r="U9" i="60"/>
  <c r="T9" i="7"/>
  <c r="V9" i="7" s="1"/>
  <c r="U9" i="7"/>
  <c r="U9" i="70"/>
  <c r="T9" i="70"/>
  <c r="V9" i="70" s="1"/>
  <c r="T9" i="17"/>
  <c r="V9" i="17" s="1"/>
  <c r="U9" i="17"/>
  <c r="U9" i="52"/>
  <c r="T9" i="52"/>
  <c r="V9" i="52" s="1"/>
  <c r="T9" i="72"/>
  <c r="V9" i="72" s="1"/>
  <c r="U9" i="72"/>
  <c r="T9" i="38"/>
  <c r="V9" i="38" s="1"/>
  <c r="U9" i="73"/>
  <c r="T9" i="73"/>
  <c r="V9" i="73" s="1"/>
  <c r="U9" i="28"/>
  <c r="T9" i="28"/>
  <c r="V9" i="28" s="1"/>
  <c r="T9" i="19"/>
  <c r="V9" i="19" s="1"/>
  <c r="U9" i="19"/>
  <c r="U9" i="41"/>
  <c r="T9" i="41"/>
  <c r="V9" i="41" s="1"/>
  <c r="T9" i="24"/>
  <c r="V9" i="24" s="1"/>
  <c r="U9" i="24"/>
  <c r="T9" i="12"/>
  <c r="V9" i="12" s="1"/>
  <c r="U9" i="12"/>
  <c r="T9" i="51"/>
  <c r="V9" i="51" s="1"/>
  <c r="U9" i="51"/>
  <c r="U9" i="4"/>
  <c r="T9" i="4"/>
  <c r="V9" i="4" s="1"/>
  <c r="U9" i="31"/>
  <c r="T9" i="31"/>
  <c r="V9" i="31" s="1"/>
  <c r="U9" i="11"/>
  <c r="T9" i="11"/>
  <c r="V9" i="11" s="1"/>
  <c r="T9" i="39"/>
  <c r="V9" i="39" s="1"/>
  <c r="U9" i="39"/>
  <c r="T9" i="56"/>
  <c r="V9" i="56" s="1"/>
  <c r="U9" i="56"/>
  <c r="T9" i="35"/>
  <c r="V9" i="35" s="1"/>
  <c r="U9" i="35"/>
</calcChain>
</file>

<file path=xl/sharedStrings.xml><?xml version="1.0" encoding="utf-8"?>
<sst xmlns="http://schemas.openxmlformats.org/spreadsheetml/2006/main" count="11472" uniqueCount="1173">
  <si>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</si>
  <si>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</si>
  <si>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</si>
  <si>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</si>
  <si>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</si>
  <si>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</si>
  <si>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</si>
  <si>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</si>
  <si>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</si>
  <si>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</si>
  <si>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</si>
  <si>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</si>
  <si>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</si>
  <si>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</si>
  <si>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</si>
  <si>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</si>
  <si>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</si>
  <si>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</si>
  <si>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</si>
  <si>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</si>
  <si>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</si>
  <si>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</si>
  <si>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</si>
  <si>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</si>
  <si>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</si>
  <si>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</si>
  <si>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</si>
  <si>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</si>
  <si>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</si>
  <si>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</si>
  <si>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</si>
  <si>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</si>
  <si>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</si>
  <si>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</si>
  <si>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</si>
  <si>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</si>
  <si>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GR06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</si>
  <si>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</si>
  <si>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</si>
  <si>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</si>
  <si>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</si>
  <si>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</si>
  <si>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</si>
  <si>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</si>
  <si>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</si>
  <si>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</si>
  <si>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</si>
  <si>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</si>
  <si>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</si>
  <si>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</si>
  <si>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</si>
  <si>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</si>
  <si>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</si>
  <si>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16G MOTOR GRADER</t>
  </si>
  <si>
    <t>HYDRAULIC FILTERS</t>
  </si>
  <si>
    <t>% SAVINGS</t>
  </si>
  <si>
    <t>CUST INVOICE #</t>
  </si>
  <si>
    <t>EMAIL:</t>
  </si>
  <si>
    <t>SERIAL NUMBER</t>
  </si>
  <si>
    <t>93U02745</t>
  </si>
  <si>
    <t>TRANSMISSION FILTERS</t>
  </si>
  <si>
    <t>TOTAL ORDER MARGIN</t>
  </si>
  <si>
    <t>PAYMENT TYPE</t>
  </si>
  <si>
    <t>SALES REP:</t>
  </si>
  <si>
    <t>ENGINE SER NUMBER</t>
  </si>
  <si>
    <t>70V25952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</si>
  <si>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</si>
  <si>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</si>
  <si>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</si>
  <si>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</si>
  <si>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</si>
  <si>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</si>
  <si>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</si>
  <si>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</si>
  <si>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</si>
  <si>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</si>
  <si>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</si>
  <si>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</si>
  <si>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</si>
  <si>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</si>
  <si>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</si>
  <si>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</si>
  <si>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</si>
  <si>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</si>
  <si>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</si>
  <si>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</si>
  <si>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</si>
  <si>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</si>
  <si>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</si>
  <si>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</si>
  <si>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</si>
  <si>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</si>
  <si>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</si>
  <si>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</si>
  <si>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</si>
  <si>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</si>
  <si>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</si>
  <si>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</si>
  <si>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</si>
  <si>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</si>
  <si>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</si>
  <si>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</si>
  <si>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</si>
  <si>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</si>
  <si>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</si>
  <si>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</si>
  <si>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</si>
  <si>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</si>
  <si>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</si>
  <si>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</si>
  <si>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</si>
  <si>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</si>
  <si>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2P-4005</t>
  </si>
  <si>
    <t xml:space="preserve">ENGINE OIL </t>
  </si>
  <si>
    <t>9M-2341</t>
  </si>
  <si>
    <t>FUEL WATER SEPARATOR FILTER</t>
  </si>
  <si>
    <t>GQP</t>
  </si>
  <si>
    <t>1R-0749</t>
  </si>
  <si>
    <t>FUEL FILTER</t>
  </si>
  <si>
    <t>CTP</t>
  </si>
  <si>
    <t>132-8875</t>
  </si>
  <si>
    <t>HYDRAULIC OIL FILTER</t>
  </si>
  <si>
    <t>BLMQ</t>
  </si>
  <si>
    <t>4T-3131</t>
  </si>
  <si>
    <t>435-5142</t>
  </si>
  <si>
    <t>COOLANT FILTER</t>
  </si>
  <si>
    <t>FINNING</t>
  </si>
  <si>
    <t>7W-5495</t>
  </si>
  <si>
    <t>PRIMARY AIR FILTER</t>
  </si>
  <si>
    <t>JD</t>
  </si>
  <si>
    <t>1P-7360</t>
  </si>
  <si>
    <t>SECONDARY AIR FILTER</t>
  </si>
  <si>
    <t>BRANDT</t>
  </si>
  <si>
    <t>5G-1913</t>
  </si>
  <si>
    <t>CABIN AIR FILTER</t>
  </si>
  <si>
    <t>PTI</t>
  </si>
  <si>
    <t>6W-2917</t>
  </si>
  <si>
    <t>SEAT GP-SUSPENSION</t>
  </si>
  <si>
    <t>AS REQ'D</t>
  </si>
  <si>
    <t>CONEQUIP</t>
  </si>
  <si>
    <t>153-5720</t>
  </si>
  <si>
    <t>BATTERY 12V 1500CCA</t>
  </si>
  <si>
    <t>CANDY</t>
  </si>
  <si>
    <t>4W-4257</t>
  </si>
  <si>
    <t>TURBOCHARGER</t>
  </si>
  <si>
    <t>U/C</t>
  </si>
  <si>
    <t>4W-7017</t>
  </si>
  <si>
    <t>FUEL INJECTOR</t>
  </si>
  <si>
    <t>18.00-25 12PR E2</t>
  </si>
  <si>
    <t>18.00-25 12PR E2 TIRE</t>
  </si>
  <si>
    <t xml:space="preserve">                  G.E.T</t>
  </si>
  <si>
    <t>7D-9999</t>
  </si>
  <si>
    <t>END BIT</t>
  </si>
  <si>
    <t>9D-4881</t>
  </si>
  <si>
    <t>9D-4880</t>
  </si>
  <si>
    <t>7D-1949</t>
  </si>
  <si>
    <t>CUTTING EDGE</t>
  </si>
  <si>
    <t>2K-0703</t>
  </si>
  <si>
    <t>BAR</t>
  </si>
  <si>
    <t>9J-3139</t>
  </si>
  <si>
    <t>SHANK</t>
  </si>
  <si>
    <t>6Y-0359</t>
  </si>
  <si>
    <t>RIPPER TIP</t>
  </si>
  <si>
    <t>TOTALS</t>
  </si>
  <si>
    <t>GR03</t>
  </si>
  <si>
    <t>140H Motor Grader</t>
  </si>
  <si>
    <t>CCA02529</t>
  </si>
  <si>
    <t>3PD16523</t>
  </si>
  <si>
    <t>1R-1808</t>
  </si>
  <si>
    <t>ENGINE OIL FILTER</t>
  </si>
  <si>
    <t>1R-0762</t>
  </si>
  <si>
    <t xml:space="preserve">FUEL FILTER </t>
  </si>
  <si>
    <t>513-4490</t>
  </si>
  <si>
    <t>1R-0774</t>
  </si>
  <si>
    <t>HYDRAULIC FILTER</t>
  </si>
  <si>
    <t>328-3655</t>
  </si>
  <si>
    <t xml:space="preserve">TRANSMISSION FILTER </t>
  </si>
  <si>
    <t>6I-0273</t>
  </si>
  <si>
    <t>6i-0274</t>
  </si>
  <si>
    <t>7T-7358</t>
  </si>
  <si>
    <t>231-4487</t>
  </si>
  <si>
    <t>302-8814</t>
  </si>
  <si>
    <t>153-5710</t>
  </si>
  <si>
    <t>BATTERY</t>
  </si>
  <si>
    <t>174-1644</t>
  </si>
  <si>
    <t>317-5278</t>
  </si>
  <si>
    <t xml:space="preserve">FUEL INJECTOR </t>
  </si>
  <si>
    <t>GB02N (17.5R25)</t>
  </si>
  <si>
    <t>17.5R25 TIRE</t>
  </si>
  <si>
    <t xml:space="preserve">      G.E.T</t>
  </si>
  <si>
    <t>8E-5529</t>
  </si>
  <si>
    <t xml:space="preserve">END BIT </t>
  </si>
  <si>
    <t>7D-1158</t>
  </si>
  <si>
    <t>CUTING EDGE</t>
  </si>
  <si>
    <t>5J-4773</t>
  </si>
  <si>
    <t>PLOW BOLT</t>
  </si>
  <si>
    <t>2J-3506</t>
  </si>
  <si>
    <t>FULL NUT</t>
  </si>
  <si>
    <t>9J-6586</t>
  </si>
  <si>
    <t>8J-1434</t>
  </si>
  <si>
    <t>114-0359</t>
  </si>
  <si>
    <t>RETAINER</t>
  </si>
  <si>
    <t>SS07</t>
  </si>
  <si>
    <t>259D Compact Track Loader</t>
  </si>
  <si>
    <t>FTL18438</t>
  </si>
  <si>
    <t>8JG3055</t>
  </si>
  <si>
    <t>377-6969</t>
  </si>
  <si>
    <t>363-5819</t>
  </si>
  <si>
    <t>416-5884</t>
  </si>
  <si>
    <t>348-1862</t>
  </si>
  <si>
    <t xml:space="preserve">HYDRAULIC FILTER </t>
  </si>
  <si>
    <t>421-5479</t>
  </si>
  <si>
    <t>110-6326</t>
  </si>
  <si>
    <t>110-6331</t>
  </si>
  <si>
    <t>265-6618</t>
  </si>
  <si>
    <t>265-6619</t>
  </si>
  <si>
    <t xml:space="preserve">CABIN AIR FILTER </t>
  </si>
  <si>
    <t>436-1068</t>
  </si>
  <si>
    <t>CATALYST KIT</t>
  </si>
  <si>
    <t>437-3520</t>
  </si>
  <si>
    <t>MUFFLER KIT</t>
  </si>
  <si>
    <t>437-3518</t>
  </si>
  <si>
    <t>FILTER KIT</t>
  </si>
  <si>
    <t>526-4160</t>
  </si>
  <si>
    <t>230-6368</t>
  </si>
  <si>
    <t>BATTERY WET 12V 65BCI CCA 850</t>
  </si>
  <si>
    <t>436-1920</t>
  </si>
  <si>
    <t>608-2959</t>
  </si>
  <si>
    <t xml:space="preserve">INJECTOR </t>
  </si>
  <si>
    <t>607-4804</t>
  </si>
  <si>
    <t>RUBBER TRACK 400 MM</t>
  </si>
  <si>
    <t xml:space="preserve">              G.E.T</t>
  </si>
  <si>
    <t>132-4720</t>
  </si>
  <si>
    <t>TOOTH</t>
  </si>
  <si>
    <t>246-4349</t>
  </si>
  <si>
    <t>SCREW</t>
  </si>
  <si>
    <t>8T-4778</t>
  </si>
  <si>
    <t>LOCKNUT</t>
  </si>
  <si>
    <t>149-5437</t>
  </si>
  <si>
    <t>EX56</t>
  </si>
  <si>
    <t>305.5E2 MINI HYD EXCAVATOR</t>
  </si>
  <si>
    <t>CR502356</t>
  </si>
  <si>
    <t>156-1200</t>
  </si>
  <si>
    <t>421-5481</t>
  </si>
  <si>
    <t>262-5689</t>
  </si>
  <si>
    <t>HYDRAULIC TANK STRAINER</t>
  </si>
  <si>
    <t>415-5292</t>
  </si>
  <si>
    <t>454-5034</t>
  </si>
  <si>
    <t>477-7660</t>
  </si>
  <si>
    <t>DPF FILTER KIT</t>
  </si>
  <si>
    <t>486-5209</t>
  </si>
  <si>
    <t>DPF BODY KIT</t>
  </si>
  <si>
    <t>486-5208</t>
  </si>
  <si>
    <t>DOC KIT</t>
  </si>
  <si>
    <t>432-2820</t>
  </si>
  <si>
    <t xml:space="preserve">SEAT </t>
  </si>
  <si>
    <t>153-5656</t>
  </si>
  <si>
    <t>477-7735</t>
  </si>
  <si>
    <t>INJECTOR</t>
  </si>
  <si>
    <t>2C05-40400-01</t>
  </si>
  <si>
    <t>GQP LEVEL 1 FULL UNDERCARRIAGE QUOTE</t>
  </si>
  <si>
    <t xml:space="preserve">                    G.E.T</t>
  </si>
  <si>
    <t>1U-3202</t>
  </si>
  <si>
    <t>TIP-LONG</t>
  </si>
  <si>
    <t>433-3945</t>
  </si>
  <si>
    <t>EDGE</t>
  </si>
  <si>
    <t>119-3205</t>
  </si>
  <si>
    <t>ADAPTER</t>
  </si>
  <si>
    <t>219-9488</t>
  </si>
  <si>
    <t>EX46</t>
  </si>
  <si>
    <t>325F Lcr Excavator</t>
  </si>
  <si>
    <t>XAA10012</t>
  </si>
  <si>
    <t>W7N15586</t>
  </si>
  <si>
    <t>322-3155</t>
  </si>
  <si>
    <t>360-8960</t>
  </si>
  <si>
    <t>479-4131</t>
  </si>
  <si>
    <t>5I-8670</t>
  </si>
  <si>
    <t>179-9806</t>
  </si>
  <si>
    <t>093-7521</t>
  </si>
  <si>
    <t>222-9020</t>
  </si>
  <si>
    <t>222-9021</t>
  </si>
  <si>
    <t>327-6618</t>
  </si>
  <si>
    <t>363-9402</t>
  </si>
  <si>
    <t>543-2858</t>
  </si>
  <si>
    <t>FUMES DISPOSAL FILTER KIT</t>
  </si>
  <si>
    <t>316-8884</t>
  </si>
  <si>
    <t xml:space="preserve">SEAT GP-BREAKDOWN AVAILABLE </t>
  </si>
  <si>
    <t>115-2422</t>
  </si>
  <si>
    <t>421-3007</t>
  </si>
  <si>
    <t>587-3239</t>
  </si>
  <si>
    <t>370-7280</t>
  </si>
  <si>
    <t>2C25-49790-01</t>
  </si>
  <si>
    <t>GQP FULL UNDERCARRIAGE KIT</t>
  </si>
  <si>
    <t xml:space="preserve">             G.E.T</t>
  </si>
  <si>
    <t>347-7580</t>
  </si>
  <si>
    <t>EDGE AS</t>
  </si>
  <si>
    <t>220-9084</t>
  </si>
  <si>
    <t>ADAPTER TIP</t>
  </si>
  <si>
    <t>232-2085</t>
  </si>
  <si>
    <t>232-2086</t>
  </si>
  <si>
    <t>378-2559</t>
  </si>
  <si>
    <t>WEAR PLATE</t>
  </si>
  <si>
    <t>348-3193</t>
  </si>
  <si>
    <t>348-3198</t>
  </si>
  <si>
    <t>EX47</t>
  </si>
  <si>
    <t>XAA00468</t>
  </si>
  <si>
    <t>W7N14293</t>
  </si>
  <si>
    <t>EX52</t>
  </si>
  <si>
    <t>336 EXCAVATOR</t>
  </si>
  <si>
    <t>DKS01774</t>
  </si>
  <si>
    <t>XWE04140</t>
  </si>
  <si>
    <t>500-0483</t>
  </si>
  <si>
    <t>434-3928</t>
  </si>
  <si>
    <t>522-1451</t>
  </si>
  <si>
    <t>590-9787</t>
  </si>
  <si>
    <t>HYDRAULIC RETURN FILTER</t>
  </si>
  <si>
    <t>209-6000</t>
  </si>
  <si>
    <t>HYDRAULIC SCREEN AS</t>
  </si>
  <si>
    <t>496-9841</t>
  </si>
  <si>
    <t>496-9842</t>
  </si>
  <si>
    <t>500-0957</t>
  </si>
  <si>
    <t>580-5439</t>
  </si>
  <si>
    <t>584-8137</t>
  </si>
  <si>
    <t>DEF FILTER</t>
  </si>
  <si>
    <t>522-5574</t>
  </si>
  <si>
    <t xml:space="preserve">DPF OUTLET </t>
  </si>
  <si>
    <t>522-5573</t>
  </si>
  <si>
    <t>DPF INLET</t>
  </si>
  <si>
    <t>522-5572</t>
  </si>
  <si>
    <t>DPF FILTER AS</t>
  </si>
  <si>
    <t>488-6511</t>
  </si>
  <si>
    <t>SUSPENSION SEAT</t>
  </si>
  <si>
    <t>528-1451</t>
  </si>
  <si>
    <t>617-1909</t>
  </si>
  <si>
    <t>2C336-49800-01</t>
  </si>
  <si>
    <t>GQP LEVEL 1 FULL UNDERCARRIAGE KIT</t>
  </si>
  <si>
    <t xml:space="preserve">                 G.E.T</t>
  </si>
  <si>
    <t>329-5958</t>
  </si>
  <si>
    <t>PROTECTOR</t>
  </si>
  <si>
    <t>522-6333</t>
  </si>
  <si>
    <t>SIDECUTTER-RH</t>
  </si>
  <si>
    <t>522-6334</t>
  </si>
  <si>
    <t>SIDECUTTER-LH</t>
  </si>
  <si>
    <t>540-4038</t>
  </si>
  <si>
    <t>505-4150</t>
  </si>
  <si>
    <t>505-4151</t>
  </si>
  <si>
    <t>505-4152</t>
  </si>
  <si>
    <t>8P-8770</t>
  </si>
  <si>
    <t>350-0076</t>
  </si>
  <si>
    <t>350-0077</t>
  </si>
  <si>
    <t>EX64</t>
  </si>
  <si>
    <t>YBN10886</t>
  </si>
  <si>
    <t>EX65</t>
  </si>
  <si>
    <t>YBN20043</t>
  </si>
  <si>
    <t>EX67</t>
  </si>
  <si>
    <t>349 EXCAVATOR</t>
  </si>
  <si>
    <t>RYG20189</t>
  </si>
  <si>
    <t>F4E01080</t>
  </si>
  <si>
    <t>570-1623</t>
  </si>
  <si>
    <t>500-0481</t>
  </si>
  <si>
    <t xml:space="preserve">WATER FUEL SEPARATOR </t>
  </si>
  <si>
    <t>496-9845</t>
  </si>
  <si>
    <t>496-9846</t>
  </si>
  <si>
    <t>390-0696</t>
  </si>
  <si>
    <t>INLET MODULE KIT</t>
  </si>
  <si>
    <t>390-0697</t>
  </si>
  <si>
    <t>OUTLET MODULE KIT</t>
  </si>
  <si>
    <t>582-7467</t>
  </si>
  <si>
    <t>565-5143</t>
  </si>
  <si>
    <t>378-4609</t>
  </si>
  <si>
    <t>2C349-52750-01</t>
  </si>
  <si>
    <t xml:space="preserve">       G.E.T</t>
  </si>
  <si>
    <t>522-6331</t>
  </si>
  <si>
    <t>522-6328</t>
  </si>
  <si>
    <t>326-3407</t>
  </si>
  <si>
    <t>326-3405</t>
  </si>
  <si>
    <t>SIDE CUTTER</t>
  </si>
  <si>
    <t>326-3406</t>
  </si>
  <si>
    <t>505-4113</t>
  </si>
  <si>
    <t>TIP</t>
  </si>
  <si>
    <t>EX68</t>
  </si>
  <si>
    <t>RYG20272</t>
  </si>
  <si>
    <t>F4E01229</t>
  </si>
  <si>
    <t>RT03</t>
  </si>
  <si>
    <t>730 Articulated Truck</t>
  </si>
  <si>
    <t>B1M00335</t>
  </si>
  <si>
    <t>RSX01641</t>
  </si>
  <si>
    <t>144-6691</t>
  </si>
  <si>
    <t>HYDDRAULIC FILTER</t>
  </si>
  <si>
    <t>132-8876</t>
  </si>
  <si>
    <t>142-1339</t>
  </si>
  <si>
    <t>142-1404</t>
  </si>
  <si>
    <t>259-3222</t>
  </si>
  <si>
    <t>421-1230</t>
  </si>
  <si>
    <t>BATTERY 12V</t>
  </si>
  <si>
    <t>255-8862</t>
  </si>
  <si>
    <t>249-0712</t>
  </si>
  <si>
    <t>GB02N (23.5R25)</t>
  </si>
  <si>
    <t>23.5R25 TIRE</t>
  </si>
  <si>
    <t>RT01</t>
  </si>
  <si>
    <t>730 ARTICULATED TRUCK</t>
  </si>
  <si>
    <t>B1M00444</t>
  </si>
  <si>
    <t>RSX01892</t>
  </si>
  <si>
    <t>RT02</t>
  </si>
  <si>
    <t>AGF01195</t>
  </si>
  <si>
    <t>5ED02283</t>
  </si>
  <si>
    <t>WT09</t>
  </si>
  <si>
    <t>AGF00915</t>
  </si>
  <si>
    <t>5ED01533</t>
  </si>
  <si>
    <t>RT24</t>
  </si>
  <si>
    <t>730C2 Articulated Truck</t>
  </si>
  <si>
    <t>2T400511</t>
  </si>
  <si>
    <t>T4F06739</t>
  </si>
  <si>
    <t>328-1643</t>
  </si>
  <si>
    <t>571-5253</t>
  </si>
  <si>
    <t>TRANSMISSION FILTER</t>
  </si>
  <si>
    <t>584-8135</t>
  </si>
  <si>
    <t>142-1340</t>
  </si>
  <si>
    <t>142-1403</t>
  </si>
  <si>
    <t>268-6704</t>
  </si>
  <si>
    <t>390-0666</t>
  </si>
  <si>
    <t>MODULE INLET KIT</t>
  </si>
  <si>
    <t>390-0677</t>
  </si>
  <si>
    <t>MODULE OUTLET KIT</t>
  </si>
  <si>
    <t>421-1231</t>
  </si>
  <si>
    <t>153-5700</t>
  </si>
  <si>
    <t>424-3445</t>
  </si>
  <si>
    <t>GCB5 (750/65R25)</t>
  </si>
  <si>
    <t>750/65R25 TIRE</t>
  </si>
  <si>
    <t>RT25</t>
  </si>
  <si>
    <t>730C2 ARTICULATED TRUCK</t>
  </si>
  <si>
    <t>2T400512</t>
  </si>
  <si>
    <t>T4F06722</t>
  </si>
  <si>
    <t>RT10</t>
  </si>
  <si>
    <t>740 ARTICULATED TRUCK</t>
  </si>
  <si>
    <t>B1P01689</t>
  </si>
  <si>
    <t>LHX08136</t>
  </si>
  <si>
    <t>1R-0716</t>
  </si>
  <si>
    <t>326-1644</t>
  </si>
  <si>
    <t>1G-8878</t>
  </si>
  <si>
    <t>278-7725</t>
  </si>
  <si>
    <t>PRE CLEANER FILTER</t>
  </si>
  <si>
    <t>279-2301</t>
  </si>
  <si>
    <t>362-0857</t>
  </si>
  <si>
    <t>618-0750</t>
  </si>
  <si>
    <t>GLC8S+ (29.5R25)</t>
  </si>
  <si>
    <t>29.5R25 TIRE</t>
  </si>
  <si>
    <t>RT12</t>
  </si>
  <si>
    <t>B1P02926</t>
  </si>
  <si>
    <t>LHX14375</t>
  </si>
  <si>
    <t>RT13</t>
  </si>
  <si>
    <t>B1P02950</t>
  </si>
  <si>
    <t>LHX14512</t>
  </si>
  <si>
    <t>RT14</t>
  </si>
  <si>
    <t>B1P02507</t>
  </si>
  <si>
    <t>LHX12333</t>
  </si>
  <si>
    <t>RT21</t>
  </si>
  <si>
    <t>740B ARTICULATED TRUCK</t>
  </si>
  <si>
    <t>T4R00458</t>
  </si>
  <si>
    <t>TXL00905</t>
  </si>
  <si>
    <t>1R-749</t>
  </si>
  <si>
    <t>326-1643</t>
  </si>
  <si>
    <t>326-4690</t>
  </si>
  <si>
    <t>FUMES DISPOSAL FILTER</t>
  </si>
  <si>
    <t>362-9469</t>
  </si>
  <si>
    <t>362-9532</t>
  </si>
  <si>
    <t>358-3669</t>
  </si>
  <si>
    <t>450-0544</t>
  </si>
  <si>
    <t>359-4020</t>
  </si>
  <si>
    <t>RT22</t>
  </si>
  <si>
    <t>T4R00462</t>
  </si>
  <si>
    <t>TXL00960</t>
  </si>
  <si>
    <t>RT23</t>
  </si>
  <si>
    <t>T4R00466</t>
  </si>
  <si>
    <t>TXL00944</t>
  </si>
  <si>
    <t>WL12</t>
  </si>
  <si>
    <t>930K Wheel Loader</t>
  </si>
  <si>
    <t>RHN01264</t>
  </si>
  <si>
    <t>C8N06318</t>
  </si>
  <si>
    <t>462-1171</t>
  </si>
  <si>
    <t>525-6205</t>
  </si>
  <si>
    <t>348-1861</t>
  </si>
  <si>
    <t>304-8630</t>
  </si>
  <si>
    <t>PRECLEANER GP-CAB AIR</t>
  </si>
  <si>
    <t>353-5058</t>
  </si>
  <si>
    <t>365-7606</t>
  </si>
  <si>
    <t>380-9167</t>
  </si>
  <si>
    <t xml:space="preserve">DPF KIT </t>
  </si>
  <si>
    <t>352-6008</t>
  </si>
  <si>
    <t>563-5964</t>
  </si>
  <si>
    <t>BATTERY 12V 1000 CCA GP31</t>
  </si>
  <si>
    <t>556-7933</t>
  </si>
  <si>
    <t>610-2300</t>
  </si>
  <si>
    <t>GB02N (20.5R25)</t>
  </si>
  <si>
    <t>20.5R25 TIRE</t>
  </si>
  <si>
    <t>1U-3252</t>
  </si>
  <si>
    <t>BUCKET TIP</t>
  </si>
  <si>
    <t>1U-0257</t>
  </si>
  <si>
    <t>6I-9250</t>
  </si>
  <si>
    <t>6I-2951</t>
  </si>
  <si>
    <t>4T-2972</t>
  </si>
  <si>
    <t>6I-8311</t>
  </si>
  <si>
    <t xml:space="preserve">CORNER </t>
  </si>
  <si>
    <t>8A-8580</t>
  </si>
  <si>
    <t>6I-8310</t>
  </si>
  <si>
    <t>4E-0659</t>
  </si>
  <si>
    <t>WL13</t>
  </si>
  <si>
    <t>RHN01267</t>
  </si>
  <si>
    <t>C8N05904</t>
  </si>
  <si>
    <t>WL03</t>
  </si>
  <si>
    <t>962G Wheel Loader</t>
  </si>
  <si>
    <t>6HW00660</t>
  </si>
  <si>
    <t xml:space="preserve">3AK02278	</t>
  </si>
  <si>
    <t>1W-8845</t>
  </si>
  <si>
    <t>1R-0739</t>
  </si>
  <si>
    <t>151-2409</t>
  </si>
  <si>
    <t>1R-0751</t>
  </si>
  <si>
    <t>128-2686</t>
  </si>
  <si>
    <t>6I-2502</t>
  </si>
  <si>
    <t>112-7448</t>
  </si>
  <si>
    <t>107-0266</t>
  </si>
  <si>
    <t>152-4821</t>
  </si>
  <si>
    <t>SEAT SUSPENSION</t>
  </si>
  <si>
    <t>198-1845</t>
  </si>
  <si>
    <t>127-8218</t>
  </si>
  <si>
    <t xml:space="preserve">           G.E.T</t>
  </si>
  <si>
    <t>9W-6747</t>
  </si>
  <si>
    <t>128-9601</t>
  </si>
  <si>
    <t>128-9590</t>
  </si>
  <si>
    <t>8E-5300</t>
  </si>
  <si>
    <t>CORNER BIT RH</t>
  </si>
  <si>
    <t>8E-5301</t>
  </si>
  <si>
    <t>CORNER BIT LH</t>
  </si>
  <si>
    <t>1U-3301</t>
  </si>
  <si>
    <t>132-4766</t>
  </si>
  <si>
    <t>PIN</t>
  </si>
  <si>
    <t>WL07</t>
  </si>
  <si>
    <t>WILLIAM, THIS IS A NOTE</t>
  </si>
  <si>
    <t xml:space="preserve">PLEASE CHECK BACK ON THIS WITH ME, </t>
  </si>
  <si>
    <t>IM NOT ENTIRELY SURE ABOUT THE DPF KITS</t>
  </si>
  <si>
    <t>966H Wheel Loader</t>
  </si>
  <si>
    <t>A6D01512</t>
  </si>
  <si>
    <t>RSX10265</t>
  </si>
  <si>
    <t>225-4118</t>
  </si>
  <si>
    <t>9T-8578</t>
  </si>
  <si>
    <t>245-3818</t>
  </si>
  <si>
    <t>245-3819</t>
  </si>
  <si>
    <t>7X-6041</t>
  </si>
  <si>
    <t>235-3960</t>
  </si>
  <si>
    <t>MODULE AS-CATALYST</t>
  </si>
  <si>
    <t>236-8084</t>
  </si>
  <si>
    <t>CLAMP- V BAND</t>
  </si>
  <si>
    <t>236-8086</t>
  </si>
  <si>
    <t>GASKET</t>
  </si>
  <si>
    <t>266-2519</t>
  </si>
  <si>
    <t>MODULE FILTER</t>
  </si>
  <si>
    <t>266-2518</t>
  </si>
  <si>
    <t>MODULE AS OUTLET</t>
  </si>
  <si>
    <t>266-2520</t>
  </si>
  <si>
    <t>MODULE AS INLET</t>
  </si>
  <si>
    <t>504-4296</t>
  </si>
  <si>
    <t>SEAT GP-SUSPENSION CLOTH</t>
  </si>
  <si>
    <t>247-2957</t>
  </si>
  <si>
    <t>GLC8S+ (26.5R25)</t>
  </si>
  <si>
    <t>26.5R25 TIRE</t>
  </si>
  <si>
    <t xml:space="preserve">        G.E.T</t>
  </si>
  <si>
    <t>9V-6575</t>
  </si>
  <si>
    <t>8E-5310</t>
  </si>
  <si>
    <t>CORNER PLATE</t>
  </si>
  <si>
    <t>137-3863</t>
  </si>
  <si>
    <t>143-3330</t>
  </si>
  <si>
    <t>PLATE</t>
  </si>
  <si>
    <t>161-8573</t>
  </si>
  <si>
    <t>3G-6395</t>
  </si>
  <si>
    <t>EDGE END</t>
  </si>
  <si>
    <t>253-0065</t>
  </si>
  <si>
    <t>GUARD-BUCKET</t>
  </si>
  <si>
    <t>1U-0593</t>
  </si>
  <si>
    <t>253-0064</t>
  </si>
  <si>
    <t>253-0079</t>
  </si>
  <si>
    <t>GUARD-SEGMENT</t>
  </si>
  <si>
    <t>135-8246</t>
  </si>
  <si>
    <t>WL09</t>
  </si>
  <si>
    <t>980H Wheel Loader</t>
  </si>
  <si>
    <t>KZL00636</t>
  </si>
  <si>
    <t>TXG03914</t>
  </si>
  <si>
    <t>465-6506</t>
  </si>
  <si>
    <t>61-2509</t>
  </si>
  <si>
    <t>6I-2510</t>
  </si>
  <si>
    <t>382-7897</t>
  </si>
  <si>
    <t xml:space="preserve">   G.E.T</t>
  </si>
  <si>
    <t>109-9215</t>
  </si>
  <si>
    <t>116-7460</t>
  </si>
  <si>
    <t>EDGE-SEGMENT</t>
  </si>
  <si>
    <t>9J-9600</t>
  </si>
  <si>
    <t>PROTECTOR EDGE</t>
  </si>
  <si>
    <t>286-2110</t>
  </si>
  <si>
    <t>472-7763</t>
  </si>
  <si>
    <t>TIP GP-EXTRA DUTY</t>
  </si>
  <si>
    <t>134-1759</t>
  </si>
  <si>
    <t>4V-1616</t>
  </si>
  <si>
    <t>113-9933</t>
  </si>
  <si>
    <t>134-1754</t>
  </si>
  <si>
    <t>134-1753</t>
  </si>
  <si>
    <t>260-1384</t>
  </si>
  <si>
    <t>EDGE As</t>
  </si>
  <si>
    <t>472-7747</t>
  </si>
  <si>
    <t>BUCKET ADAPTER</t>
  </si>
  <si>
    <t>472-0811</t>
  </si>
  <si>
    <t>BD04</t>
  </si>
  <si>
    <t>D6T</t>
  </si>
  <si>
    <t>JHB00402</t>
  </si>
  <si>
    <t>THX20284</t>
  </si>
  <si>
    <t>1R-0777</t>
  </si>
  <si>
    <t>156-0214</t>
  </si>
  <si>
    <t>6I-2501</t>
  </si>
  <si>
    <t>6T-0988</t>
  </si>
  <si>
    <t>6T-5068</t>
  </si>
  <si>
    <t>160-7186</t>
  </si>
  <si>
    <t>SEAT GP</t>
  </si>
  <si>
    <t>252-5165</t>
  </si>
  <si>
    <t>387-9434</t>
  </si>
  <si>
    <t>1C6R-4124-01</t>
  </si>
  <si>
    <t>9W-8874</t>
  </si>
  <si>
    <t>9W-8875</t>
  </si>
  <si>
    <t>9W-1878</t>
  </si>
  <si>
    <t>6Y-1390</t>
  </si>
  <si>
    <t>SUPPORT</t>
  </si>
  <si>
    <t>8E-5205</t>
  </si>
  <si>
    <t>9J-8923</t>
  </si>
  <si>
    <t>6Y-0352</t>
  </si>
  <si>
    <t>BD11</t>
  </si>
  <si>
    <t>D6R II</t>
  </si>
  <si>
    <t>AAX00514</t>
  </si>
  <si>
    <t>4ZF09695</t>
  </si>
  <si>
    <t>1R-0735</t>
  </si>
  <si>
    <t>504-4289</t>
  </si>
  <si>
    <t>188-5156</t>
  </si>
  <si>
    <t>236-0962</t>
  </si>
  <si>
    <t>484-8282</t>
  </si>
  <si>
    <t>BD02</t>
  </si>
  <si>
    <t>D8R</t>
  </si>
  <si>
    <t>7XM00822</t>
  </si>
  <si>
    <t>41Z02109</t>
  </si>
  <si>
    <t>326-1642</t>
  </si>
  <si>
    <t>FUEL WATER SEPARATOTR FILTER</t>
  </si>
  <si>
    <t>6I-2505</t>
  </si>
  <si>
    <t>6I-2506</t>
  </si>
  <si>
    <t>504-4291</t>
  </si>
  <si>
    <t>SEAT</t>
  </si>
  <si>
    <t>3T-5760</t>
  </si>
  <si>
    <t xml:space="preserve">BATTERY </t>
  </si>
  <si>
    <t>179-5922</t>
  </si>
  <si>
    <t>100-7592</t>
  </si>
  <si>
    <t>1C8R-4422-01</t>
  </si>
  <si>
    <t xml:space="preserve">               G.E.T</t>
  </si>
  <si>
    <t>8E-4193</t>
  </si>
  <si>
    <t>8E-4194</t>
  </si>
  <si>
    <t>6Y-5540</t>
  </si>
  <si>
    <t>4T-6381</t>
  </si>
  <si>
    <t>6I-8403</t>
  </si>
  <si>
    <t>OUTER SUPPORT</t>
  </si>
  <si>
    <t>7T-5936</t>
  </si>
  <si>
    <t>CENTRE SUPPORT</t>
  </si>
  <si>
    <t>9W-2757</t>
  </si>
  <si>
    <t>9W-2760</t>
  </si>
  <si>
    <t>9W-1771</t>
  </si>
  <si>
    <t>9W-2452</t>
  </si>
  <si>
    <t>8E-1848</t>
  </si>
  <si>
    <t>8E-5346</t>
  </si>
  <si>
    <t>SHANK AS</t>
  </si>
  <si>
    <t>BD10</t>
  </si>
  <si>
    <t>D8R II DOZER</t>
  </si>
  <si>
    <t>6YZ01756</t>
  </si>
  <si>
    <t>BET09380</t>
  </si>
  <si>
    <t>1R-0778</t>
  </si>
  <si>
    <t>465-6504</t>
  </si>
  <si>
    <t>SEAT GP- SUSPENSION</t>
  </si>
  <si>
    <t>178-9572</t>
  </si>
  <si>
    <t>211-3025</t>
  </si>
  <si>
    <t xml:space="preserve">     G.E.T</t>
  </si>
  <si>
    <t>6Y-7244</t>
  </si>
  <si>
    <t>6Y-7246</t>
  </si>
  <si>
    <t>WEAR PLATE-LH</t>
  </si>
  <si>
    <t>6Y-7245</t>
  </si>
  <si>
    <t>WEAR PLATE-RH</t>
  </si>
  <si>
    <t>7T-7831</t>
  </si>
  <si>
    <t>8P-9770</t>
  </si>
  <si>
    <t>6I-8402</t>
  </si>
  <si>
    <t>4T-6378</t>
  </si>
  <si>
    <t>9W-5232</t>
  </si>
  <si>
    <t>9W-2451</t>
  </si>
  <si>
    <t>8E-5347</t>
  </si>
  <si>
    <t>WL08</t>
  </si>
  <si>
    <t>IT62H Integrated Toolcarrier</t>
  </si>
  <si>
    <t>M5G00186</t>
  </si>
  <si>
    <t>C7C00776</t>
  </si>
  <si>
    <t>1R-1807</t>
  </si>
  <si>
    <t>1R-1762</t>
  </si>
  <si>
    <t>245-6375</t>
  </si>
  <si>
    <t>245-6376</t>
  </si>
  <si>
    <t>CAB AIR FILTER</t>
  </si>
  <si>
    <t>219-8095</t>
  </si>
  <si>
    <t>SEAT GP-SUSP</t>
  </si>
  <si>
    <t>BATTERY GP</t>
  </si>
  <si>
    <t>250-0841</t>
  </si>
  <si>
    <t xml:space="preserve">TURBOCHARGER </t>
  </si>
  <si>
    <t>387-9428</t>
  </si>
  <si>
    <t>NOT SURE ABOUT GET IT IS A TOOLCARRIER</t>
  </si>
  <si>
    <t xml:space="preserve">IT HAS FORKS </t>
  </si>
  <si>
    <t>WE06</t>
  </si>
  <si>
    <t>M320F Wheeled Excavator</t>
  </si>
  <si>
    <t>FB200836</t>
  </si>
  <si>
    <t>D8T61475</t>
  </si>
  <si>
    <t>442-0109</t>
  </si>
  <si>
    <t>442-0103</t>
  </si>
  <si>
    <t>147-5044</t>
  </si>
  <si>
    <t>378-3187</t>
  </si>
  <si>
    <t>539-6920</t>
  </si>
  <si>
    <t>346-6694</t>
  </si>
  <si>
    <t>546-0006</t>
  </si>
  <si>
    <t>FUMES DISPOSAL FILTER-KIT</t>
  </si>
  <si>
    <t>373-6030</t>
  </si>
  <si>
    <t>615-6123</t>
  </si>
  <si>
    <t>GCAS+(10.00R20)</t>
  </si>
  <si>
    <t>TIRE 10.00R20</t>
  </si>
  <si>
    <t>220-9090</t>
  </si>
  <si>
    <t>475-5470</t>
  </si>
  <si>
    <t>TIP-PENETRATION PLUS</t>
  </si>
  <si>
    <t>358-8602</t>
  </si>
  <si>
    <t>358-8605</t>
  </si>
  <si>
    <t>358-8606</t>
  </si>
  <si>
    <t>353-1607</t>
  </si>
  <si>
    <t>353-2811</t>
  </si>
  <si>
    <t>364-0625</t>
  </si>
  <si>
    <t>HINGE PLATE AS</t>
  </si>
  <si>
    <t>EX54</t>
  </si>
  <si>
    <t>JOHN DEERE</t>
  </si>
  <si>
    <t>135G EXCAVATOR</t>
  </si>
  <si>
    <t>1FF135GXLJF501050</t>
  </si>
  <si>
    <t xml:space="preserve"> 8983020750R</t>
  </si>
  <si>
    <t>AT529833</t>
  </si>
  <si>
    <t>FYA00005785</t>
  </si>
  <si>
    <t>PRIMARY FUEL FILTER</t>
  </si>
  <si>
    <t>AT171853</t>
  </si>
  <si>
    <t>AT171854</t>
  </si>
  <si>
    <t>4S00687</t>
  </si>
  <si>
    <t>FYA00011003</t>
  </si>
  <si>
    <t>AIR FILTER ELEMENT</t>
  </si>
  <si>
    <t>FYA60052521</t>
  </si>
  <si>
    <t>DEF DOSING FILTER</t>
  </si>
  <si>
    <t xml:space="preserve">DOC </t>
  </si>
  <si>
    <t>DOC FILTER</t>
  </si>
  <si>
    <t xml:space="preserve">MUFFLER </t>
  </si>
  <si>
    <t>FYA00009134</t>
  </si>
  <si>
    <t>SEAT GP-MECHANICAL</t>
  </si>
  <si>
    <t>TY26442B</t>
  </si>
  <si>
    <t>BATTERY 12V 800CCA 34BCI</t>
  </si>
  <si>
    <t>FUEL NOZZLE</t>
  </si>
  <si>
    <t>UC</t>
  </si>
  <si>
    <t>CE17748R3</t>
  </si>
  <si>
    <t>END BIT RH</t>
  </si>
  <si>
    <t>CE17748L3</t>
  </si>
  <si>
    <t>END BIT LH</t>
  </si>
  <si>
    <t>TPDE31329</t>
  </si>
  <si>
    <t xml:space="preserve">SHROUD </t>
  </si>
  <si>
    <t>T109X220</t>
  </si>
  <si>
    <t>TF220</t>
  </si>
  <si>
    <t>EX55</t>
  </si>
  <si>
    <t>1FF135GXVGE401381</t>
  </si>
  <si>
    <t>EX60</t>
  </si>
  <si>
    <t>1FF135GXLLF502280</t>
  </si>
  <si>
    <t>EX69</t>
  </si>
  <si>
    <t>245G LC EXCAVATOR</t>
  </si>
  <si>
    <t>1FF245GXPMF802233</t>
  </si>
  <si>
    <t>8983020750R</t>
  </si>
  <si>
    <t>FYA00033065</t>
  </si>
  <si>
    <t>AT280662</t>
  </si>
  <si>
    <t>AT280663</t>
  </si>
  <si>
    <t>FYA00064453</t>
  </si>
  <si>
    <t>FYA00009135</t>
  </si>
  <si>
    <t>TY25879</t>
  </si>
  <si>
    <t>BATTERY 12V 800CCA 31BCI</t>
  </si>
  <si>
    <t>2A45-49800-01</t>
  </si>
  <si>
    <t>GQP FULL UNDERCARRIAGE KIT LEVEL 1</t>
  </si>
  <si>
    <t>T1156A</t>
  </si>
  <si>
    <t>T1157A</t>
  </si>
  <si>
    <t>TK350C150</t>
  </si>
  <si>
    <t>TK350FD</t>
  </si>
  <si>
    <t>EX70</t>
  </si>
  <si>
    <t>1FF245GXJMF802218</t>
  </si>
  <si>
    <t>EX48</t>
  </si>
  <si>
    <t>1FF245GXKHE601093</t>
  </si>
  <si>
    <t>EX61</t>
  </si>
  <si>
    <t>1FF245GXPLF801793</t>
  </si>
  <si>
    <t>EX62</t>
  </si>
  <si>
    <t>1FF245GXJLF801778</t>
  </si>
  <si>
    <t>EX63</t>
  </si>
  <si>
    <t>1FF245GXCLF801796</t>
  </si>
  <si>
    <t>SS10</t>
  </si>
  <si>
    <t>325G SKID STEER</t>
  </si>
  <si>
    <t>1T0325GKHRJ462701</t>
  </si>
  <si>
    <t>MIU800650</t>
  </si>
  <si>
    <t>MIU805005</t>
  </si>
  <si>
    <t>FINAL FUEL FILTER</t>
  </si>
  <si>
    <t>MIU802421</t>
  </si>
  <si>
    <t>AT435649</t>
  </si>
  <si>
    <t>HYDROSTATIC FILTER</t>
  </si>
  <si>
    <t>AT101565</t>
  </si>
  <si>
    <t>HYDRAULIC BREATHER</t>
  </si>
  <si>
    <t>AT338105</t>
  </si>
  <si>
    <t>AT336803</t>
  </si>
  <si>
    <t>AT359416</t>
  </si>
  <si>
    <t>AT441536</t>
  </si>
  <si>
    <t>MIU802901</t>
  </si>
  <si>
    <t>DPF FILTER</t>
  </si>
  <si>
    <t>MIA885320</t>
  </si>
  <si>
    <t>DPF</t>
  </si>
  <si>
    <t>MIU805050</t>
  </si>
  <si>
    <t>DPF CASE</t>
  </si>
  <si>
    <t>AT532015</t>
  </si>
  <si>
    <t>SEAT AS</t>
  </si>
  <si>
    <t>TY25879B</t>
  </si>
  <si>
    <t>MIU804493</t>
  </si>
  <si>
    <t>TRUBOCHARGER</t>
  </si>
  <si>
    <t>MIU802933</t>
  </si>
  <si>
    <t>T445531</t>
  </si>
  <si>
    <t>RUBBER TRACK ZIGZAG</t>
  </si>
  <si>
    <t>T385219</t>
  </si>
  <si>
    <t>T625x230</t>
  </si>
  <si>
    <t>SHANK WELD ON</t>
  </si>
  <si>
    <t>TF23L</t>
  </si>
  <si>
    <t>TF23P</t>
  </si>
  <si>
    <t>TOOTH PIN</t>
  </si>
  <si>
    <t>SS09</t>
  </si>
  <si>
    <t>325G CTL SKID STEER</t>
  </si>
  <si>
    <t>1T0325GKKNJ431045</t>
  </si>
  <si>
    <t>SS08</t>
  </si>
  <si>
    <t>325G HF SKID STEER</t>
  </si>
  <si>
    <t>1T0325GMTMJ407695</t>
  </si>
  <si>
    <t>SS04</t>
  </si>
  <si>
    <t xml:space="preserve">329D COMPACT TRACK LOADER </t>
  </si>
  <si>
    <t>1T0329DMABD202541</t>
  </si>
  <si>
    <t>RE519626</t>
  </si>
  <si>
    <t>ENGINE FUEL FILTER</t>
  </si>
  <si>
    <t>AT365870</t>
  </si>
  <si>
    <t>AT314164</t>
  </si>
  <si>
    <t>AT396132</t>
  </si>
  <si>
    <t>AT332909</t>
  </si>
  <si>
    <t>AT191102</t>
  </si>
  <si>
    <t>AT434492</t>
  </si>
  <si>
    <t>AIR SUSPENSION SEAT</t>
  </si>
  <si>
    <t>RE532722</t>
  </si>
  <si>
    <t>SE501961</t>
  </si>
  <si>
    <t>T445525</t>
  </si>
  <si>
    <t xml:space="preserve">RUBBER TRACK 450MM </t>
  </si>
  <si>
    <t>SS06</t>
  </si>
  <si>
    <t>333E COMPACT TRACK LOADER</t>
  </si>
  <si>
    <t>1T0333EKKGE298111</t>
  </si>
  <si>
    <t>MIU802329</t>
  </si>
  <si>
    <t>DOC</t>
  </si>
  <si>
    <t>MIU802332</t>
  </si>
  <si>
    <t>MIU802334</t>
  </si>
  <si>
    <t>DPF OUTLET FLANGE</t>
  </si>
  <si>
    <t>AT405894</t>
  </si>
  <si>
    <t>MIA884648</t>
  </si>
  <si>
    <t>MIU802382</t>
  </si>
  <si>
    <t>RUBBER TRACK 450MM</t>
  </si>
  <si>
    <t>EX53</t>
  </si>
  <si>
    <t>345GLC EXCAVATOR</t>
  </si>
  <si>
    <t>1FF345GXCJF020278</t>
  </si>
  <si>
    <t>AT175223</t>
  </si>
  <si>
    <t>AT175224</t>
  </si>
  <si>
    <t>4S00686R</t>
  </si>
  <si>
    <t>FYA00001490R</t>
  </si>
  <si>
    <t>FYA00075878</t>
  </si>
  <si>
    <t>FYA60084025</t>
  </si>
  <si>
    <t>SEAT ASSEMBLY</t>
  </si>
  <si>
    <t>TY23020B</t>
  </si>
  <si>
    <t>2A45-48800-01</t>
  </si>
  <si>
    <t>EX57</t>
  </si>
  <si>
    <t>1FF345GXCKF020606</t>
  </si>
  <si>
    <t>EX58</t>
  </si>
  <si>
    <t>1FF345GXCKF020629</t>
  </si>
  <si>
    <t>EX59</t>
  </si>
  <si>
    <t>350GLC EXCAVATOR</t>
  </si>
  <si>
    <t>1FF350GXCMF814959</t>
  </si>
  <si>
    <t>DZ118283</t>
  </si>
  <si>
    <t>RE523236</t>
  </si>
  <si>
    <t>RE523785</t>
  </si>
  <si>
    <t>FYA00033064</t>
  </si>
  <si>
    <t>AT330978</t>
  </si>
  <si>
    <t>AT330980</t>
  </si>
  <si>
    <t>DZ114640</t>
  </si>
  <si>
    <t>DZ102229</t>
  </si>
  <si>
    <t>DZ100484</t>
  </si>
  <si>
    <t>DZ102230</t>
  </si>
  <si>
    <t>AT501053</t>
  </si>
  <si>
    <t>BATTERY 12V 1400CCA  4D BCI</t>
  </si>
  <si>
    <t>RE550227</t>
  </si>
  <si>
    <t>RE555914</t>
  </si>
  <si>
    <t>GQP UC 350GLC</t>
  </si>
  <si>
    <t>T802X400</t>
  </si>
  <si>
    <t>TF400</t>
  </si>
  <si>
    <t>EX79</t>
  </si>
  <si>
    <t>35P EXCAVATOR</t>
  </si>
  <si>
    <t>1FF035PAPPK001212</t>
  </si>
  <si>
    <t>MIU801267</t>
  </si>
  <si>
    <t>MIU801025</t>
  </si>
  <si>
    <t>FYD00011691</t>
  </si>
  <si>
    <t>AT308568</t>
  </si>
  <si>
    <t>FYD00001540R</t>
  </si>
  <si>
    <t>AT542144</t>
  </si>
  <si>
    <t>TY27831B</t>
  </si>
  <si>
    <t>BATTERY 12V 500CCA  51R BCI</t>
  </si>
  <si>
    <t>MIA882450</t>
  </si>
  <si>
    <t>FYD00009804</t>
  </si>
  <si>
    <t>RUBBER TRACK</t>
  </si>
  <si>
    <t>FYD00011968</t>
  </si>
  <si>
    <t>BLADE PLATE</t>
  </si>
  <si>
    <t>T304279</t>
  </si>
  <si>
    <t>T230X156</t>
  </si>
  <si>
    <t>TP156</t>
  </si>
  <si>
    <t>SPRING PIN</t>
  </si>
  <si>
    <t>TX156</t>
  </si>
  <si>
    <t>EX66</t>
  </si>
  <si>
    <t xml:space="preserve">470GLC </t>
  </si>
  <si>
    <t>1FF470GXTMF236709</t>
  </si>
  <si>
    <t>RE572785</t>
  </si>
  <si>
    <t>DZ112918</t>
  </si>
  <si>
    <t>DZ130550</t>
  </si>
  <si>
    <t>AT308575</t>
  </si>
  <si>
    <t>TT220747</t>
  </si>
  <si>
    <t>DZ124403</t>
  </si>
  <si>
    <t>DZ115619</t>
  </si>
  <si>
    <t>DZ100175</t>
  </si>
  <si>
    <t>DZ101400</t>
  </si>
  <si>
    <t>SEAT PREMIUM ASSEMBLY</t>
  </si>
  <si>
    <t>BATTERY 12V 1400CCA 4D BCI</t>
  </si>
  <si>
    <t>DZ102306</t>
  </si>
  <si>
    <t>TURBOCHARGER-HIGH PRESSURE</t>
  </si>
  <si>
    <t>RE550979</t>
  </si>
  <si>
    <t>TURBOCHARGER-LOW PRESSURE</t>
  </si>
  <si>
    <t>RE560656</t>
  </si>
  <si>
    <t>2A47-53900-01</t>
  </si>
  <si>
    <t>TK550C200</t>
  </si>
  <si>
    <t>TK550FD</t>
  </si>
  <si>
    <t>EX74</t>
  </si>
  <si>
    <t>1FF470GXCMF236828</t>
  </si>
  <si>
    <t>EX72</t>
  </si>
  <si>
    <t>50G EXCAVATOR</t>
  </si>
  <si>
    <t>1FF050GXKMH295606</t>
  </si>
  <si>
    <t>MIU802154</t>
  </si>
  <si>
    <t>MIA885596</t>
  </si>
  <si>
    <t>DPF KIT</t>
  </si>
  <si>
    <t>TY24394B</t>
  </si>
  <si>
    <t>MIU802771</t>
  </si>
  <si>
    <t>GQP UC JD50G</t>
  </si>
  <si>
    <t>U43792</t>
  </si>
  <si>
    <t>TF23D</t>
  </si>
  <si>
    <t>T212595</t>
  </si>
  <si>
    <t>EX80</t>
  </si>
  <si>
    <t>75 P EXCAVATOR</t>
  </si>
  <si>
    <t>1FF075PAHRJ000293</t>
  </si>
  <si>
    <t>FYD00015366</t>
  </si>
  <si>
    <t>FYD00015118</t>
  </si>
  <si>
    <t>FYD00014322</t>
  </si>
  <si>
    <t>FYD00009144</t>
  </si>
  <si>
    <t>FYD00009719</t>
  </si>
  <si>
    <t>MIA885822</t>
  </si>
  <si>
    <t>FYD00013134</t>
  </si>
  <si>
    <t>FYD00011652</t>
  </si>
  <si>
    <t>GQP UC JD75P</t>
  </si>
  <si>
    <t>TK225C100</t>
  </si>
  <si>
    <t>TK225FD</t>
  </si>
  <si>
    <t>T161279</t>
  </si>
  <si>
    <t>T162569</t>
  </si>
  <si>
    <t>WL11</t>
  </si>
  <si>
    <t>524K WHEEL LOADER</t>
  </si>
  <si>
    <t>1DW524KZVCD642908</t>
  </si>
  <si>
    <t>RE504836</t>
  </si>
  <si>
    <t>AT526918</t>
  </si>
  <si>
    <t>RE541922</t>
  </si>
  <si>
    <t>AT223493</t>
  </si>
  <si>
    <t>INLINE FUEL FILTER</t>
  </si>
  <si>
    <t>AT367635</t>
  </si>
  <si>
    <t>AXLE FILTER</t>
  </si>
  <si>
    <t>AT336140</t>
  </si>
  <si>
    <t>AT545968</t>
  </si>
  <si>
    <t>AT79590</t>
  </si>
  <si>
    <t>AT300487</t>
  </si>
  <si>
    <t>AT314583</t>
  </si>
  <si>
    <t>AT307501</t>
  </si>
  <si>
    <t>AT527707</t>
  </si>
  <si>
    <t>BATTERY 12V 950 CCA 31 BCI</t>
  </si>
  <si>
    <t>RE550941</t>
  </si>
  <si>
    <t>DZ100212</t>
  </si>
  <si>
    <t>TK250C100B</t>
  </si>
  <si>
    <t>ADAPTER-CENTRE</t>
  </si>
  <si>
    <t>TK250LD</t>
  </si>
  <si>
    <t>T157306</t>
  </si>
  <si>
    <t>TK250E100B</t>
  </si>
  <si>
    <t>ADAPTER-ENDS</t>
  </si>
  <si>
    <t>WL20</t>
  </si>
  <si>
    <t>524L WHEEL LOADER</t>
  </si>
  <si>
    <t>1DW524LZCKF696967</t>
  </si>
  <si>
    <t>RE539279</t>
  </si>
  <si>
    <t>DZ115392</t>
  </si>
  <si>
    <t>DZ115391</t>
  </si>
  <si>
    <t>AT335977</t>
  </si>
  <si>
    <t>AM39653</t>
  </si>
  <si>
    <t>AT468647</t>
  </si>
  <si>
    <t>AT178516</t>
  </si>
  <si>
    <t>AT178517</t>
  </si>
  <si>
    <t>AT502964</t>
  </si>
  <si>
    <t>DZ107430</t>
  </si>
  <si>
    <t>DZ104594</t>
  </si>
  <si>
    <t>RE568888</t>
  </si>
  <si>
    <t>AT471146</t>
  </si>
  <si>
    <t>BATTERY 12V 950CCA 31</t>
  </si>
  <si>
    <t>DZ126597</t>
  </si>
  <si>
    <t>RE557023</t>
  </si>
  <si>
    <t>FUEL NOZZLE KIT</t>
  </si>
  <si>
    <t>TIRE 20.5R25</t>
  </si>
  <si>
    <t>WL21</t>
  </si>
  <si>
    <t>544G WHEEL LOADER</t>
  </si>
  <si>
    <t>1YN544GAANLA00022</t>
  </si>
  <si>
    <t>DZ105100</t>
  </si>
  <si>
    <t xml:space="preserve">CRANKCASE VENT FILTER </t>
  </si>
  <si>
    <t>T365427</t>
  </si>
  <si>
    <t>AT522571</t>
  </si>
  <si>
    <t>TOOTH CENTRE</t>
  </si>
  <si>
    <t>T461732</t>
  </si>
  <si>
    <t>WL22</t>
  </si>
  <si>
    <t>1YN544GAANLA00036</t>
  </si>
  <si>
    <t>WL15</t>
  </si>
  <si>
    <t>544K WHEEL LOADER</t>
  </si>
  <si>
    <t>1DW544KZKCD648942</t>
  </si>
  <si>
    <t>PRIMARY FUEL FILTER WITH WATER SENOR</t>
  </si>
  <si>
    <t>AUX FUEL FILTER</t>
  </si>
  <si>
    <t>AXLE OIL FILTER</t>
  </si>
  <si>
    <t>AT486062</t>
  </si>
  <si>
    <t>BATTERY 12V 950CCA  31 BCI</t>
  </si>
  <si>
    <t>T353446</t>
  </si>
  <si>
    <t>T157457</t>
  </si>
  <si>
    <t>WEARPLATE</t>
  </si>
  <si>
    <t>WL17</t>
  </si>
  <si>
    <t>1DW544KPVGD676264</t>
  </si>
  <si>
    <t>BD15</t>
  </si>
  <si>
    <t>650J  DOZER</t>
  </si>
  <si>
    <t>1T0650JXCCD234816</t>
  </si>
  <si>
    <t>RE522878</t>
  </si>
  <si>
    <t>RE509036</t>
  </si>
  <si>
    <t>AT219961</t>
  </si>
  <si>
    <t>T366738</t>
  </si>
  <si>
    <t>AT341498</t>
  </si>
  <si>
    <t>AT341499</t>
  </si>
  <si>
    <t>AT528017</t>
  </si>
  <si>
    <t>AT525852</t>
  </si>
  <si>
    <t>AIR RIDE SEAT SUSPENSION</t>
  </si>
  <si>
    <t>BATTERY 12V 950 CCA 31BCI</t>
  </si>
  <si>
    <t>RE548751</t>
  </si>
  <si>
    <t>GQP UC JD650J</t>
  </si>
  <si>
    <t>T155646</t>
  </si>
  <si>
    <t>T182280</t>
  </si>
  <si>
    <t>T182281</t>
  </si>
  <si>
    <t>T182304</t>
  </si>
  <si>
    <t>T182253</t>
  </si>
  <si>
    <t>T225929</t>
  </si>
  <si>
    <t>T211749</t>
  </si>
  <si>
    <t>T6Y0309</t>
  </si>
  <si>
    <t>BD08</t>
  </si>
  <si>
    <t>1T0650JXCA0183838</t>
  </si>
  <si>
    <t>BD22</t>
  </si>
  <si>
    <t>650K</t>
  </si>
  <si>
    <t>1T0650KKHHF306805</t>
  </si>
  <si>
    <t>DZ115390</t>
  </si>
  <si>
    <t>DZ128543</t>
  </si>
  <si>
    <t xml:space="preserve">PRIMARY FUEL FILTER </t>
  </si>
  <si>
    <t>AT390262</t>
  </si>
  <si>
    <t>AT390261</t>
  </si>
  <si>
    <t>DEF HEADER INLET FILTER KIT</t>
  </si>
  <si>
    <t>RE568882</t>
  </si>
  <si>
    <t>RE567056</t>
  </si>
  <si>
    <t>RE568884</t>
  </si>
  <si>
    <t>AT522588</t>
  </si>
  <si>
    <t>DZ109306</t>
  </si>
  <si>
    <t>GQP UC JD650K</t>
  </si>
  <si>
    <t>GQP FULL UNDERCARRIAGE LEVEL 1 KIT</t>
  </si>
  <si>
    <t>BD25</t>
  </si>
  <si>
    <t>650P</t>
  </si>
  <si>
    <t>1T0650PALPLX05230</t>
  </si>
  <si>
    <t>AT547426</t>
  </si>
  <si>
    <t>DEF HEADERBINLET FILTER KIT</t>
  </si>
  <si>
    <t>DZ110711</t>
  </si>
  <si>
    <t>DZ104592</t>
  </si>
  <si>
    <t>AT531315</t>
  </si>
  <si>
    <t>GQP UC JD650P</t>
  </si>
  <si>
    <t>BD24</t>
  </si>
  <si>
    <t>700L DOZER</t>
  </si>
  <si>
    <t>1T0700LXCMF399139</t>
  </si>
  <si>
    <t>DZ122688</t>
  </si>
  <si>
    <t>DZ114900</t>
  </si>
  <si>
    <t>DZ101464</t>
  </si>
  <si>
    <t>AT486135</t>
  </si>
  <si>
    <t>DZ127141</t>
  </si>
  <si>
    <t>GQP UC JD700L</t>
  </si>
  <si>
    <t>T224179</t>
  </si>
  <si>
    <t>T223519</t>
  </si>
  <si>
    <t>T223520</t>
  </si>
  <si>
    <t>T225261</t>
  </si>
  <si>
    <t>BD21</t>
  </si>
  <si>
    <t>750K DOZER</t>
  </si>
  <si>
    <t>1T0750KXCEF274520</t>
  </si>
  <si>
    <t>RE556406</t>
  </si>
  <si>
    <t>CRANKCASE FILTER</t>
  </si>
  <si>
    <t>AT318160</t>
  </si>
  <si>
    <t>KV16429</t>
  </si>
  <si>
    <t>AT486844</t>
  </si>
  <si>
    <t>RE563864</t>
  </si>
  <si>
    <t>RE563694</t>
  </si>
  <si>
    <t>RE563892</t>
  </si>
  <si>
    <t>AT424639</t>
  </si>
  <si>
    <t>DZ127140</t>
  </si>
  <si>
    <t>GQP UC JD750K</t>
  </si>
  <si>
    <t>T204082</t>
  </si>
  <si>
    <t>T204083</t>
  </si>
  <si>
    <t>T204080</t>
  </si>
  <si>
    <t>T204081</t>
  </si>
  <si>
    <t>T389752</t>
  </si>
  <si>
    <t>T9J8920</t>
  </si>
  <si>
    <t>BD23</t>
  </si>
  <si>
    <t>764HSD</t>
  </si>
  <si>
    <t>1T00764XEED268545</t>
  </si>
  <si>
    <t>AT355661</t>
  </si>
  <si>
    <t>DZ108160</t>
  </si>
  <si>
    <t>TURNOCHARGER</t>
  </si>
  <si>
    <t>DZ100217</t>
  </si>
  <si>
    <t>AT362792</t>
  </si>
  <si>
    <t>T286316</t>
  </si>
  <si>
    <t>GR07</t>
  </si>
  <si>
    <t>872G MOTOR GRADER</t>
  </si>
  <si>
    <t>1DW872GPCED660118</t>
  </si>
  <si>
    <t>RE525523</t>
  </si>
  <si>
    <t>FINAL FUEL FILTER + PRIMARY FUEL FILTER</t>
  </si>
  <si>
    <t>AT335492</t>
  </si>
  <si>
    <t>AT367840</t>
  </si>
  <si>
    <t>AT522601</t>
  </si>
  <si>
    <t>BATTERY 12V 4D 1400 CCA</t>
  </si>
  <si>
    <t>DZ108134</t>
  </si>
  <si>
    <t>DZ100223</t>
  </si>
  <si>
    <t>T74773</t>
  </si>
  <si>
    <t>T120979</t>
  </si>
  <si>
    <t>T218922</t>
  </si>
  <si>
    <t>T120978</t>
  </si>
  <si>
    <t>T8E6359</t>
  </si>
  <si>
    <t>T9J6586</t>
  </si>
  <si>
    <t>T9F5124</t>
  </si>
  <si>
    <t>SCARIFIER SHANK</t>
  </si>
  <si>
    <t>T6Y5230</t>
  </si>
  <si>
    <t>SCARIFIER TOOTH</t>
  </si>
  <si>
    <t>T225059</t>
  </si>
  <si>
    <t>MID MOUNT SCARIFIER</t>
  </si>
  <si>
    <t>Motor Grader</t>
  </si>
  <si>
    <t>Track Loader</t>
  </si>
  <si>
    <t>Excavator</t>
  </si>
  <si>
    <t>Articulated Truck</t>
  </si>
  <si>
    <t>Wheel Loader</t>
  </si>
  <si>
    <t>Dozers</t>
  </si>
  <si>
    <t>Integrated Toolcarrier</t>
  </si>
  <si>
    <t>Wheeled Excavator</t>
  </si>
  <si>
    <t>Skid Steer</t>
  </si>
  <si>
    <t>HSD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</si>
</sst>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"/>
    <numFmt numFmtId="165" formatCode="&quot;$&quot;#,##0.00"/>
    <numFmt numFmtId="166" formatCode="_(&quot;$&quot;* #,##0.00_);_(&quot;$&quot;* \(#,##0.00\);_(&quot;$&quot;* &quot;-&quot;??_);_(@_)"/>
    <numFmt numFmtId="168" formatCode="&quot;$&quot;#,##0.00_);[Red]\(&quot;$&quot;#,##0.00\)"/>
  </numFmts>
  <fonts count="30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color rgb="FF000000"/>
      <name val="Calibri"/>
    </font>
    <font>
      <sz val="11"/>
      <color rgb="FF242424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166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166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0" borderId="96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166" fontId="5" fillId="0" borderId="44" xfId="0" applyNumberFormat="1" applyFont="1" applyBorder="1"/>
    <xf numFmtId="166" fontId="5" fillId="0" borderId="96" xfId="0" applyNumberFormat="1" applyFont="1" applyBorder="1"/>
    <xf numFmtId="166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166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166" fontId="5" fillId="5" borderId="24" xfId="0" applyNumberFormat="1" applyFont="1" applyFill="1" applyBorder="1"/>
    <xf numFmtId="166" fontId="5" fillId="12" borderId="97" xfId="0" applyNumberFormat="1" applyFont="1" applyFill="1" applyBorder="1"/>
    <xf numFmtId="166" fontId="5" fillId="12" borderId="13" xfId="0" applyNumberFormat="1" applyFont="1" applyFill="1" applyBorder="1"/>
    <xf numFmtId="166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166" fontId="5" fillId="12" borderId="24" xfId="0" applyNumberFormat="1" applyFont="1" applyFill="1" applyBorder="1"/>
    <xf numFmtId="166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166" fontId="8" fillId="12" borderId="24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right"/>
    </xf>
    <xf numFmtId="166" fontId="8" fillId="12" borderId="24" xfId="0" applyNumberFormat="1" applyFont="1" applyFill="1" applyBorder="1"/>
    <xf numFmtId="166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166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164" fontId="5" fillId="5" borderId="13" xfId="0" applyNumberFormat="1" applyFont="1" applyFill="1" applyBorder="1" applyAlignment="1">
      <alignment horizontal="left"/>
    </xf>
    <xf numFmtId="1" fontId="11" fillId="5" borderId="23" xfId="0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right"/>
    </xf>
    <xf numFmtId="11" fontId="5" fillId="5" borderId="24" xfId="0" applyNumberFormat="1" applyFont="1" applyFill="1" applyBorder="1" applyAlignment="1">
      <alignment horizontal="left"/>
    </xf>
    <xf numFmtId="11" fontId="5" fillId="0" borderId="44" xfId="0" applyNumberFormat="1" applyFont="1" applyBorder="1" applyAlignment="1">
      <alignment horizontal="left"/>
    </xf>
    <xf numFmtId="168" fontId="5" fillId="5" borderId="24" xfId="0" applyNumberFormat="1" applyFont="1" applyFill="1" applyBorder="1"/>
    <xf numFmtId="165" fontId="10" fillId="0" borderId="19" xfId="0" applyNumberFormat="1" applyFont="1" applyBorder="1" applyAlignment="1">
      <alignment horizontal="center"/>
    </xf>
    <xf numFmtId="0" fontId="7" fillId="0" borderId="19" xfId="0" applyFont="1" applyBorder="1"/>
    <xf numFmtId="0" fontId="7" fillId="0" borderId="20" xfId="0" applyFont="1" applyBorder="1"/>
    <xf numFmtId="165" fontId="10" fillId="0" borderId="16" xfId="0" applyNumberFormat="1" applyFont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0" fontId="7" fillId="0" borderId="26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7" fillId="0" borderId="29" xfId="0" applyFont="1" applyBorder="1"/>
    <xf numFmtId="0" fontId="8" fillId="6" borderId="18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165" fontId="8" fillId="0" borderId="16" xfId="0" applyNumberFormat="1" applyFont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49" xfId="0" applyFont="1" applyBorder="1"/>
    <xf numFmtId="0" fontId="7" fillId="0" borderId="55" xfId="0" applyFont="1" applyBorder="1"/>
    <xf numFmtId="0" fontId="0" fillId="0" borderId="0" xfId="0"/>
    <xf numFmtId="0" fontId="7" fillId="0" borderId="56" xfId="0" applyFont="1" applyBorder="1"/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20" fillId="4" borderId="2" xfId="0" applyFont="1" applyFill="1" applyBorder="1" applyAlignment="1">
      <alignment horizontal="right" vertical="center"/>
    </xf>
    <xf numFmtId="0" fontId="8" fillId="6" borderId="25" xfId="0" applyFont="1" applyFill="1" applyBorder="1" applyAlignment="1">
      <alignment horizontal="center"/>
    </xf>
    <xf numFmtId="0" fontId="8" fillId="6" borderId="2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17" fillId="11" borderId="70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60" xfId="0" applyFont="1" applyBorder="1"/>
    <xf numFmtId="0" fontId="6" fillId="11" borderId="4" xfId="0" applyFont="1" applyFill="1" applyBorder="1" applyAlignment="1">
      <alignment horizontal="center" vertical="center" wrapText="1"/>
    </xf>
    <xf numFmtId="9" fontId="9" fillId="5" borderId="71" xfId="0" applyNumberFormat="1" applyFont="1" applyFill="1" applyBorder="1" applyAlignment="1">
      <alignment horizontal="center" vertical="center" wrapText="1"/>
    </xf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8" fillId="5" borderId="70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left" wrapText="1"/>
    </xf>
    <xf numFmtId="0" fontId="28" fillId="5" borderId="15" xfId="0" applyFont="1" applyFill="1" applyBorder="1" applyAlignment="1">
      <alignment horizontal="left"/>
    </xf>
    <xf numFmtId="0" fontId="29" fillId="5" borderId="15" xfId="0" applyFont="1" applyFill="1" applyBorder="1" applyAlignment="1">
      <alignment horizontal="left"/>
    </xf>
  </cellXfs>
  <cellStyles count="1">
    <cellStyle name="Normal" xfId="0" builtinId="0"/>
  </cellStyles>
  <dxfs count="28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tabSelected="1" workbookViewId="0">
      <pane ySplit="18" topLeftCell="A19" activePane="bottomLeft" state="frozen"/>
      <selection pane="bottomLeft" activeCell="I10" sqref="I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163" t="s">
        <v>30</v>
      </c>
      <c r="E1" s="164"/>
      <c r="F1" s="164"/>
      <c r="G1" s="164"/>
      <c r="H1" s="165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0"/>
      <c r="D2" s="158" t="s">
        <v>35</v>
      </c>
      <c r="E2" s="142"/>
      <c r="F2" s="143"/>
      <c r="G2" s="159" t="s">
        <v>36</v>
      </c>
      <c r="H2" s="143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46683.759999999995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1"/>
      <c r="D3" s="158" t="s">
        <v>41</v>
      </c>
      <c r="E3" s="142"/>
      <c r="F3" s="143"/>
      <c r="G3" s="159">
        <v>1987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25786.89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20896.869999999995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1"/>
      <c r="D5" s="158" t="s">
        <v>52</v>
      </c>
      <c r="E5" s="142"/>
      <c r="F5" s="143"/>
      <c r="G5" s="159" t="s">
        <v>53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0.44762611237826599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21"/>
      <c r="D6" s="158" t="s">
        <v>58</v>
      </c>
      <c r="E6" s="142"/>
      <c r="F6" s="143"/>
      <c r="G6" s="159" t="s">
        <v>59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20896.869999999995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1"/>
      <c r="D7" s="158" t="s">
        <v>64</v>
      </c>
      <c r="E7" s="142"/>
      <c r="F7" s="143"/>
      <c r="G7" s="25" t="s">
        <v>65</v>
      </c>
      <c r="H7" s="25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28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28"/>
      <c r="D9" s="158" t="s">
        <v>76</v>
      </c>
      <c r="E9" s="142"/>
      <c r="F9" s="143"/>
      <c r="G9" s="159"/>
      <c r="H9" s="143"/>
      <c r="I9" s="35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25786.89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28"/>
      <c r="D10" s="158" t="s">
        <v>78</v>
      </c>
      <c r="E10" s="142"/>
      <c r="F10" s="143"/>
      <c r="G10" s="159" t="s">
        <v>1163</v>
      </c>
      <c r="H10" s="143"/>
      <c r="I10" s="35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52" t="s">
        <v>79</v>
      </c>
      <c r="N11" s="143"/>
      <c r="O11" s="13"/>
      <c r="P11" s="195">
        <f>F50</f>
        <v>38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112</v>
      </c>
      <c r="C19" s="87" t="s">
        <v>113</v>
      </c>
      <c r="D19" s="88"/>
      <c r="E19" s="89">
        <v>500</v>
      </c>
      <c r="F19" s="90">
        <v>1</v>
      </c>
      <c r="G19" s="91">
        <v>32.56</v>
      </c>
      <c r="H19" s="91">
        <f t="shared" ref="H19:H49" si="0">ROUND(IF($G$18="USD $", G19*$F$16,G19*$E$16),2)</f>
        <v>23.59</v>
      </c>
      <c r="I19" s="92">
        <f t="shared" ref="I19:I49" si="1">ROUND(IF($I$18=$H$18,F19*H19,F19*G19),2)</f>
        <v>32.56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16.28</v>
      </c>
      <c r="M19" s="91">
        <f t="shared" ref="M19:M49" si="4">ROUND((K19*L19),2)</f>
        <v>16.28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16.28</v>
      </c>
      <c r="T19" s="96">
        <f t="shared" ref="T19:T49" si="7">ROUND(I19-M19,2)</f>
        <v>16.28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114</v>
      </c>
      <c r="C20" s="101" t="s">
        <v>115</v>
      </c>
      <c r="D20" s="88"/>
      <c r="E20" s="102">
        <v>500</v>
      </c>
      <c r="F20" s="103">
        <v>1</v>
      </c>
      <c r="G20" s="104">
        <v>20.55</v>
      </c>
      <c r="H20" s="105">
        <f t="shared" si="0"/>
        <v>14.89</v>
      </c>
      <c r="I20" s="106">
        <f t="shared" si="1"/>
        <v>20.55</v>
      </c>
      <c r="J20" s="107"/>
      <c r="K20" s="108">
        <f t="shared" si="2"/>
        <v>1</v>
      </c>
      <c r="L20" s="105">
        <f t="shared" si="3"/>
        <v>10.28</v>
      </c>
      <c r="M20" s="105">
        <f t="shared" si="4"/>
        <v>10.28</v>
      </c>
      <c r="N20" s="109"/>
      <c r="O20" s="95"/>
      <c r="P20" s="100"/>
      <c r="Q20" s="104"/>
      <c r="R20" s="110">
        <f t="shared" si="5"/>
        <v>0</v>
      </c>
      <c r="S20" s="111">
        <f t="shared" si="6"/>
        <v>10.27</v>
      </c>
      <c r="T20" s="111">
        <f t="shared" si="7"/>
        <v>10.27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117</v>
      </c>
      <c r="C21" s="114" t="s">
        <v>118</v>
      </c>
      <c r="D21" s="88"/>
      <c r="E21" s="89">
        <v>500</v>
      </c>
      <c r="F21" s="115">
        <v>1</v>
      </c>
      <c r="G21" s="96">
        <v>39.020000000000003</v>
      </c>
      <c r="H21" s="91">
        <f t="shared" si="0"/>
        <v>28.28</v>
      </c>
      <c r="I21" s="92">
        <f t="shared" si="1"/>
        <v>39.020000000000003</v>
      </c>
      <c r="J21" s="107"/>
      <c r="K21" s="90">
        <f t="shared" si="2"/>
        <v>1</v>
      </c>
      <c r="L21" s="91">
        <f t="shared" si="3"/>
        <v>19.510000000000002</v>
      </c>
      <c r="M21" s="91">
        <f t="shared" si="4"/>
        <v>19.510000000000002</v>
      </c>
      <c r="N21" s="116"/>
      <c r="O21" s="95"/>
      <c r="P21" s="117"/>
      <c r="Q21" s="96"/>
      <c r="R21" s="96">
        <f t="shared" si="5"/>
        <v>0</v>
      </c>
      <c r="S21" s="96">
        <f t="shared" si="6"/>
        <v>19.510000000000002</v>
      </c>
      <c r="T21" s="96">
        <f t="shared" si="7"/>
        <v>19.510000000000002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120</v>
      </c>
      <c r="C22" s="101" t="s">
        <v>121</v>
      </c>
      <c r="D22" s="88"/>
      <c r="E22" s="102">
        <v>1000</v>
      </c>
      <c r="F22" s="103">
        <v>1</v>
      </c>
      <c r="G22" s="104">
        <v>89.34</v>
      </c>
      <c r="H22" s="105">
        <f t="shared" si="0"/>
        <v>64.739999999999995</v>
      </c>
      <c r="I22" s="106">
        <f t="shared" si="1"/>
        <v>89.34</v>
      </c>
      <c r="J22" s="107"/>
      <c r="K22" s="108">
        <f t="shared" si="2"/>
        <v>1</v>
      </c>
      <c r="L22" s="105">
        <f t="shared" si="3"/>
        <v>44.67</v>
      </c>
      <c r="M22" s="105">
        <f t="shared" si="4"/>
        <v>44.67</v>
      </c>
      <c r="N22" s="109"/>
      <c r="O22" s="95"/>
      <c r="P22" s="100"/>
      <c r="Q22" s="104"/>
      <c r="R22" s="110">
        <f t="shared" si="5"/>
        <v>0</v>
      </c>
      <c r="S22" s="111">
        <f t="shared" si="6"/>
        <v>44.67</v>
      </c>
      <c r="T22" s="111">
        <f t="shared" si="7"/>
        <v>44.67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123</v>
      </c>
      <c r="C23" s="114" t="s">
        <v>121</v>
      </c>
      <c r="D23" s="88"/>
      <c r="E23" s="89">
        <v>1000</v>
      </c>
      <c r="F23" s="115">
        <v>1</v>
      </c>
      <c r="G23" s="96">
        <v>113.82</v>
      </c>
      <c r="H23" s="91">
        <f t="shared" si="0"/>
        <v>82.48</v>
      </c>
      <c r="I23" s="92">
        <f t="shared" si="1"/>
        <v>113.82</v>
      </c>
      <c r="J23" s="107"/>
      <c r="K23" s="90">
        <f t="shared" si="2"/>
        <v>1</v>
      </c>
      <c r="L23" s="91">
        <f t="shared" si="3"/>
        <v>56.91</v>
      </c>
      <c r="M23" s="91">
        <f t="shared" si="4"/>
        <v>56.91</v>
      </c>
      <c r="N23" s="116"/>
      <c r="O23" s="95"/>
      <c r="P23" s="117"/>
      <c r="Q23" s="96"/>
      <c r="R23" s="96">
        <f t="shared" si="5"/>
        <v>0</v>
      </c>
      <c r="S23" s="96">
        <f t="shared" si="6"/>
        <v>56.91</v>
      </c>
      <c r="T23" s="96">
        <f t="shared" si="7"/>
        <v>56.91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124</v>
      </c>
      <c r="C24" s="101" t="s">
        <v>125</v>
      </c>
      <c r="D24" s="88"/>
      <c r="E24" s="102">
        <v>1000</v>
      </c>
      <c r="F24" s="103">
        <v>1</v>
      </c>
      <c r="G24" s="104">
        <v>27.83</v>
      </c>
      <c r="H24" s="105">
        <f t="shared" si="0"/>
        <v>20.170000000000002</v>
      </c>
      <c r="I24" s="106">
        <f t="shared" si="1"/>
        <v>27.83</v>
      </c>
      <c r="J24" s="107"/>
      <c r="K24" s="108">
        <f t="shared" si="2"/>
        <v>1</v>
      </c>
      <c r="L24" s="105">
        <f t="shared" si="3"/>
        <v>13.92</v>
      </c>
      <c r="M24" s="105">
        <f t="shared" si="4"/>
        <v>13.92</v>
      </c>
      <c r="N24" s="109"/>
      <c r="O24" s="95"/>
      <c r="P24" s="100"/>
      <c r="Q24" s="104"/>
      <c r="R24" s="110">
        <f t="shared" si="5"/>
        <v>0</v>
      </c>
      <c r="S24" s="111">
        <f t="shared" si="6"/>
        <v>13.91</v>
      </c>
      <c r="T24" s="111">
        <f t="shared" si="7"/>
        <v>13.91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127</v>
      </c>
      <c r="C25" s="114" t="s">
        <v>128</v>
      </c>
      <c r="D25" s="88"/>
      <c r="E25" s="89">
        <v>2000</v>
      </c>
      <c r="F25" s="115">
        <v>1</v>
      </c>
      <c r="G25" s="96">
        <v>127.1</v>
      </c>
      <c r="H25" s="91">
        <f t="shared" si="0"/>
        <v>92.1</v>
      </c>
      <c r="I25" s="92">
        <f t="shared" si="1"/>
        <v>127.1</v>
      </c>
      <c r="J25" s="107"/>
      <c r="K25" s="90">
        <f t="shared" si="2"/>
        <v>1</v>
      </c>
      <c r="L25" s="91">
        <f t="shared" si="3"/>
        <v>76.260000000000005</v>
      </c>
      <c r="M25" s="91">
        <f t="shared" si="4"/>
        <v>76.260000000000005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50.84</v>
      </c>
      <c r="T25" s="96">
        <f t="shared" si="7"/>
        <v>50.84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130</v>
      </c>
      <c r="C26" s="101" t="s">
        <v>131</v>
      </c>
      <c r="D26" s="88"/>
      <c r="E26" s="102">
        <v>2000</v>
      </c>
      <c r="F26" s="103">
        <v>1</v>
      </c>
      <c r="G26" s="104">
        <v>124.45</v>
      </c>
      <c r="H26" s="105">
        <f t="shared" si="0"/>
        <v>90.18</v>
      </c>
      <c r="I26" s="106">
        <f t="shared" si="1"/>
        <v>124.45</v>
      </c>
      <c r="J26" s="107"/>
      <c r="K26" s="108">
        <f t="shared" si="2"/>
        <v>1</v>
      </c>
      <c r="L26" s="105">
        <f t="shared" si="3"/>
        <v>74.67</v>
      </c>
      <c r="M26" s="105">
        <f t="shared" si="4"/>
        <v>74.67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49.78</v>
      </c>
      <c r="T26" s="111">
        <f t="shared" si="7"/>
        <v>49.78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133</v>
      </c>
      <c r="C27" s="114" t="s">
        <v>134</v>
      </c>
      <c r="D27" s="88"/>
      <c r="E27" s="89">
        <v>2000</v>
      </c>
      <c r="F27" s="115">
        <v>1</v>
      </c>
      <c r="G27" s="96">
        <v>83.2</v>
      </c>
      <c r="H27" s="91">
        <f t="shared" si="0"/>
        <v>60.29</v>
      </c>
      <c r="I27" s="92">
        <f t="shared" si="1"/>
        <v>83.2</v>
      </c>
      <c r="J27" s="107"/>
      <c r="K27" s="90">
        <f t="shared" si="2"/>
        <v>1</v>
      </c>
      <c r="L27" s="91">
        <f t="shared" si="3"/>
        <v>49.92</v>
      </c>
      <c r="M27" s="91">
        <f t="shared" si="4"/>
        <v>49.92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33.28</v>
      </c>
      <c r="T27" s="96">
        <f t="shared" si="7"/>
        <v>33.28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136</v>
      </c>
      <c r="C28" s="101" t="s">
        <v>137</v>
      </c>
      <c r="D28" s="88"/>
      <c r="E28" s="102" t="s">
        <v>138</v>
      </c>
      <c r="F28" s="103">
        <v>1</v>
      </c>
      <c r="G28" s="104">
        <v>6526.48</v>
      </c>
      <c r="H28" s="105">
        <f t="shared" si="0"/>
        <v>4729.33</v>
      </c>
      <c r="I28" s="106">
        <f t="shared" si="1"/>
        <v>6526.48</v>
      </c>
      <c r="J28" s="107"/>
      <c r="K28" s="108">
        <f t="shared" si="2"/>
        <v>1</v>
      </c>
      <c r="L28" s="105">
        <f t="shared" si="3"/>
        <v>3263.24</v>
      </c>
      <c r="M28" s="105">
        <f t="shared" si="4"/>
        <v>3263.24</v>
      </c>
      <c r="N28" s="109"/>
      <c r="O28" s="95"/>
      <c r="P28" s="100"/>
      <c r="Q28" s="104"/>
      <c r="R28" s="110">
        <f t="shared" si="5"/>
        <v>0</v>
      </c>
      <c r="S28" s="111">
        <f t="shared" si="6"/>
        <v>3263.24</v>
      </c>
      <c r="T28" s="111">
        <f t="shared" si="7"/>
        <v>3263.24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140</v>
      </c>
      <c r="C29" s="114" t="s">
        <v>141</v>
      </c>
      <c r="D29" s="88"/>
      <c r="E29" s="89" t="s">
        <v>138</v>
      </c>
      <c r="F29" s="115">
        <v>2</v>
      </c>
      <c r="G29" s="96">
        <v>645.41999999999996</v>
      </c>
      <c r="H29" s="91">
        <f t="shared" si="0"/>
        <v>467.7</v>
      </c>
      <c r="I29" s="92">
        <f t="shared" si="1"/>
        <v>1290.8399999999999</v>
      </c>
      <c r="J29" s="107"/>
      <c r="K29" s="90">
        <f t="shared" si="2"/>
        <v>2</v>
      </c>
      <c r="L29" s="91">
        <f t="shared" si="3"/>
        <v>322.70999999999998</v>
      </c>
      <c r="M29" s="91">
        <f t="shared" si="4"/>
        <v>645.41999999999996</v>
      </c>
      <c r="N29" s="116"/>
      <c r="O29" s="95"/>
      <c r="P29" s="117"/>
      <c r="Q29" s="96"/>
      <c r="R29" s="96">
        <f t="shared" si="5"/>
        <v>0</v>
      </c>
      <c r="S29" s="96">
        <f t="shared" si="6"/>
        <v>322.70999999999998</v>
      </c>
      <c r="T29" s="96">
        <f t="shared" si="7"/>
        <v>645.41999999999996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143</v>
      </c>
      <c r="C30" s="101" t="s">
        <v>144</v>
      </c>
      <c r="D30" s="88"/>
      <c r="E30" s="102" t="s">
        <v>138</v>
      </c>
      <c r="F30" s="103">
        <v>1</v>
      </c>
      <c r="G30" s="104">
        <v>9031.2099999999991</v>
      </c>
      <c r="H30" s="105">
        <f t="shared" si="0"/>
        <v>6544.36</v>
      </c>
      <c r="I30" s="106">
        <f t="shared" si="1"/>
        <v>9031.2099999999991</v>
      </c>
      <c r="J30" s="107"/>
      <c r="K30" s="108">
        <f t="shared" si="2"/>
        <v>1</v>
      </c>
      <c r="L30" s="105">
        <f t="shared" si="3"/>
        <v>4515.6099999999997</v>
      </c>
      <c r="M30" s="105">
        <f t="shared" si="4"/>
        <v>4515.6099999999997</v>
      </c>
      <c r="N30" s="109"/>
      <c r="O30" s="95"/>
      <c r="P30" s="100"/>
      <c r="Q30" s="104"/>
      <c r="R30" s="110">
        <f t="shared" si="5"/>
        <v>0</v>
      </c>
      <c r="S30" s="111">
        <f t="shared" si="6"/>
        <v>4515.6000000000004</v>
      </c>
      <c r="T30" s="111">
        <f t="shared" si="7"/>
        <v>4515.6000000000004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146</v>
      </c>
      <c r="C31" s="114" t="s">
        <v>147</v>
      </c>
      <c r="D31" s="88"/>
      <c r="E31" s="89" t="s">
        <v>138</v>
      </c>
      <c r="F31" s="115">
        <v>6</v>
      </c>
      <c r="G31" s="96">
        <v>560.99</v>
      </c>
      <c r="H31" s="91">
        <f t="shared" si="0"/>
        <v>406.51</v>
      </c>
      <c r="I31" s="92">
        <f t="shared" si="1"/>
        <v>3365.94</v>
      </c>
      <c r="J31" s="107"/>
      <c r="K31" s="90">
        <f t="shared" si="2"/>
        <v>6</v>
      </c>
      <c r="L31" s="91">
        <f t="shared" si="3"/>
        <v>392.69</v>
      </c>
      <c r="M31" s="91">
        <f t="shared" si="4"/>
        <v>2356.14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168.3</v>
      </c>
      <c r="T31" s="96">
        <f t="shared" si="7"/>
        <v>1009.8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148</v>
      </c>
      <c r="C32" s="101" t="s">
        <v>149</v>
      </c>
      <c r="D32" s="88"/>
      <c r="E32" s="102" t="s">
        <v>138</v>
      </c>
      <c r="F32" s="103">
        <v>6</v>
      </c>
      <c r="G32" s="104">
        <v>2853.33</v>
      </c>
      <c r="H32" s="105">
        <f t="shared" si="0"/>
        <v>2067.63</v>
      </c>
      <c r="I32" s="106">
        <f t="shared" si="1"/>
        <v>17119.98</v>
      </c>
      <c r="J32" s="107"/>
      <c r="K32" s="108">
        <f t="shared" si="2"/>
        <v>6</v>
      </c>
      <c r="L32" s="105">
        <f t="shared" si="3"/>
        <v>1426.67</v>
      </c>
      <c r="M32" s="105">
        <f t="shared" si="4"/>
        <v>8560.02</v>
      </c>
      <c r="N32" s="109"/>
      <c r="O32" s="95"/>
      <c r="P32" s="100"/>
      <c r="Q32" s="104"/>
      <c r="R32" s="110">
        <f t="shared" si="5"/>
        <v>0</v>
      </c>
      <c r="S32" s="111">
        <f t="shared" si="6"/>
        <v>1426.66</v>
      </c>
      <c r="T32" s="111">
        <f t="shared" si="7"/>
        <v>8559.9599999999991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150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151</v>
      </c>
      <c r="C34" s="101" t="s">
        <v>152</v>
      </c>
      <c r="D34" s="88"/>
      <c r="E34" s="102" t="s">
        <v>138</v>
      </c>
      <c r="F34" s="103">
        <v>2</v>
      </c>
      <c r="G34" s="104">
        <v>354.68</v>
      </c>
      <c r="H34" s="105">
        <f t="shared" si="0"/>
        <v>257.01</v>
      </c>
      <c r="I34" s="106">
        <f t="shared" si="1"/>
        <v>709.36</v>
      </c>
      <c r="J34" s="107"/>
      <c r="K34" s="108">
        <f t="shared" si="2"/>
        <v>2</v>
      </c>
      <c r="L34" s="105">
        <f t="shared" si="3"/>
        <v>248.28</v>
      </c>
      <c r="M34" s="105">
        <f t="shared" si="4"/>
        <v>496.56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106.4</v>
      </c>
      <c r="T34" s="111">
        <f t="shared" si="7"/>
        <v>212.8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153</v>
      </c>
      <c r="C35" s="114" t="s">
        <v>152</v>
      </c>
      <c r="D35" s="88"/>
      <c r="E35" s="89" t="s">
        <v>138</v>
      </c>
      <c r="F35" s="115">
        <v>1</v>
      </c>
      <c r="G35" s="96">
        <v>225.25</v>
      </c>
      <c r="H35" s="91">
        <f t="shared" si="0"/>
        <v>163.22</v>
      </c>
      <c r="I35" s="92">
        <f t="shared" si="1"/>
        <v>225.25</v>
      </c>
      <c r="J35" s="107"/>
      <c r="K35" s="90">
        <f t="shared" si="2"/>
        <v>1</v>
      </c>
      <c r="L35" s="91">
        <f t="shared" si="3"/>
        <v>157.68</v>
      </c>
      <c r="M35" s="91">
        <f t="shared" si="4"/>
        <v>157.68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67.569999999999993</v>
      </c>
      <c r="T35" s="96">
        <f t="shared" si="7"/>
        <v>67.569999999999993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154</v>
      </c>
      <c r="C36" s="101" t="s">
        <v>152</v>
      </c>
      <c r="D36" s="88"/>
      <c r="E36" s="102" t="s">
        <v>138</v>
      </c>
      <c r="F36" s="103">
        <v>1</v>
      </c>
      <c r="G36" s="104">
        <v>225.25</v>
      </c>
      <c r="H36" s="105">
        <f t="shared" si="0"/>
        <v>163.22</v>
      </c>
      <c r="I36" s="106">
        <f t="shared" si="1"/>
        <v>225.25</v>
      </c>
      <c r="J36" s="107"/>
      <c r="K36" s="108">
        <f t="shared" si="2"/>
        <v>1</v>
      </c>
      <c r="L36" s="105">
        <f t="shared" si="3"/>
        <v>157.68</v>
      </c>
      <c r="M36" s="105">
        <f t="shared" si="4"/>
        <v>157.68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67.569999999999993</v>
      </c>
      <c r="T36" s="111">
        <f t="shared" si="7"/>
        <v>67.569999999999993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155</v>
      </c>
      <c r="C37" s="114" t="s">
        <v>156</v>
      </c>
      <c r="D37" s="88"/>
      <c r="E37" s="89" t="s">
        <v>138</v>
      </c>
      <c r="F37" s="115">
        <v>2</v>
      </c>
      <c r="G37" s="96">
        <v>318.37</v>
      </c>
      <c r="H37" s="91">
        <f t="shared" si="0"/>
        <v>230.7</v>
      </c>
      <c r="I37" s="92">
        <f t="shared" si="1"/>
        <v>636.74</v>
      </c>
      <c r="J37" s="107"/>
      <c r="K37" s="90">
        <f t="shared" si="2"/>
        <v>2</v>
      </c>
      <c r="L37" s="91">
        <f t="shared" si="3"/>
        <v>222.86</v>
      </c>
      <c r="M37" s="91">
        <f t="shared" si="4"/>
        <v>445.72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95.51</v>
      </c>
      <c r="T37" s="96">
        <f t="shared" si="7"/>
        <v>191.02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157</v>
      </c>
      <c r="C38" s="101" t="s">
        <v>158</v>
      </c>
      <c r="D38" s="88"/>
      <c r="E38" s="102" t="s">
        <v>138</v>
      </c>
      <c r="F38" s="103">
        <v>1</v>
      </c>
      <c r="G38" s="104">
        <v>62.01</v>
      </c>
      <c r="H38" s="105">
        <f t="shared" si="0"/>
        <v>44.93</v>
      </c>
      <c r="I38" s="106">
        <f t="shared" si="1"/>
        <v>62.01</v>
      </c>
      <c r="J38" s="107"/>
      <c r="K38" s="108">
        <f t="shared" si="2"/>
        <v>1</v>
      </c>
      <c r="L38" s="105">
        <f t="shared" si="3"/>
        <v>43.41</v>
      </c>
      <c r="M38" s="105">
        <f t="shared" si="4"/>
        <v>43.41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18.600000000000001</v>
      </c>
      <c r="T38" s="111">
        <f t="shared" si="7"/>
        <v>18.600000000000001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159</v>
      </c>
      <c r="C39" s="114" t="s">
        <v>160</v>
      </c>
      <c r="D39" s="88"/>
      <c r="E39" s="89" t="s">
        <v>138</v>
      </c>
      <c r="F39" s="115">
        <v>3</v>
      </c>
      <c r="G39" s="96">
        <v>2089.04</v>
      </c>
      <c r="H39" s="91">
        <f t="shared" si="0"/>
        <v>1513.8</v>
      </c>
      <c r="I39" s="92">
        <f t="shared" si="1"/>
        <v>6267.12</v>
      </c>
      <c r="J39" s="107"/>
      <c r="K39" s="90">
        <f t="shared" si="2"/>
        <v>3</v>
      </c>
      <c r="L39" s="91">
        <f t="shared" si="3"/>
        <v>1462.33</v>
      </c>
      <c r="M39" s="91">
        <f t="shared" si="4"/>
        <v>4386.99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626.71</v>
      </c>
      <c r="T39" s="96">
        <f t="shared" si="7"/>
        <v>1880.13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161</v>
      </c>
      <c r="C40" s="101" t="s">
        <v>162</v>
      </c>
      <c r="D40" s="88"/>
      <c r="E40" s="102" t="s">
        <v>138</v>
      </c>
      <c r="F40" s="103">
        <v>3</v>
      </c>
      <c r="G40" s="104">
        <v>188.57</v>
      </c>
      <c r="H40" s="105">
        <f t="shared" si="0"/>
        <v>136.63999999999999</v>
      </c>
      <c r="I40" s="106">
        <f t="shared" si="1"/>
        <v>565.71</v>
      </c>
      <c r="J40" s="107"/>
      <c r="K40" s="108">
        <f t="shared" si="2"/>
        <v>3</v>
      </c>
      <c r="L40" s="105">
        <f t="shared" si="3"/>
        <v>132</v>
      </c>
      <c r="M40" s="105">
        <f t="shared" si="4"/>
        <v>396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56.57</v>
      </c>
      <c r="T40" s="111">
        <f t="shared" si="7"/>
        <v>169.71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38</v>
      </c>
      <c r="G50" s="123">
        <f t="shared" si="10"/>
        <v>23738.47</v>
      </c>
      <c r="H50" s="124">
        <f t="shared" si="10"/>
        <v>17201.77</v>
      </c>
      <c r="I50" s="125">
        <f t="shared" si="10"/>
        <v>46683.759999999995</v>
      </c>
      <c r="J50" s="126"/>
      <c r="K50" s="127">
        <f t="shared" ref="K50:M50" si="11">SUM(K19:K49)</f>
        <v>38</v>
      </c>
      <c r="L50" s="124">
        <f t="shared" si="11"/>
        <v>12707.580000000002</v>
      </c>
      <c r="M50" s="125">
        <f t="shared" si="11"/>
        <v>25786.89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11030.89</v>
      </c>
      <c r="T50" s="125">
        <f t="shared" si="12"/>
        <v>20896.869999999995</v>
      </c>
      <c r="U50" s="130"/>
      <c r="V50" s="130"/>
      <c r="W50" s="131"/>
    </row>
  </sheetData>
  <mergeCells count="88">
    <mergeCell ref="D7:F7"/>
    <mergeCell ref="G8:H8"/>
    <mergeCell ref="G4:H4"/>
    <mergeCell ref="I4:K4"/>
    <mergeCell ref="I5:K5"/>
    <mergeCell ref="D4:F4"/>
    <mergeCell ref="D5:F5"/>
    <mergeCell ref="G5:H5"/>
    <mergeCell ref="D6:F6"/>
    <mergeCell ref="G6:H6"/>
    <mergeCell ref="I6:K6"/>
    <mergeCell ref="M6:N6"/>
    <mergeCell ref="M7:N7"/>
    <mergeCell ref="G15:I15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B17:B18"/>
    <mergeCell ref="C17:C18"/>
    <mergeCell ref="E17:E18"/>
    <mergeCell ref="F17:F18"/>
    <mergeCell ref="B12:C16"/>
    <mergeCell ref="E12:F14"/>
    <mergeCell ref="G12:I13"/>
    <mergeCell ref="G14:H14"/>
    <mergeCell ref="D10:F10"/>
    <mergeCell ref="G10:H10"/>
    <mergeCell ref="D8:F8"/>
    <mergeCell ref="D9:F9"/>
    <mergeCell ref="G9:H9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D2:F2"/>
    <mergeCell ref="M2:N2"/>
    <mergeCell ref="G2:H2"/>
    <mergeCell ref="I2:K2"/>
    <mergeCell ref="D3:F3"/>
    <mergeCell ref="G3:H3"/>
    <mergeCell ref="I3:K3"/>
    <mergeCell ref="M3:N3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S2:T2"/>
    <mergeCell ref="U2:V2"/>
    <mergeCell ref="S3:T3"/>
    <mergeCell ref="U3:V3"/>
    <mergeCell ref="S4:T4"/>
    <mergeCell ref="U4:V4"/>
    <mergeCell ref="P2:R2"/>
    <mergeCell ref="P3:R3"/>
    <mergeCell ref="P4:R4"/>
    <mergeCell ref="P5:R5"/>
    <mergeCell ref="P6:R6"/>
  </mergeCells>
  <conditionalFormatting sqref="U9:U11">
    <cfRule type="expression" dxfId="287" priority="1" stopIfTrue="1">
      <formula>$U$9&gt;100%</formula>
    </cfRule>
    <cfRule type="expression" dxfId="286" priority="2">
      <formula>$U$9&lt;50%</formula>
    </cfRule>
  </conditionalFormatting>
  <conditionalFormatting sqref="V9:V11">
    <cfRule type="expression" dxfId="285" priority="3">
      <formula>$V$9&lt;50%</formula>
    </cfRule>
    <cfRule type="expression" dxfId="28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I10" sqref="I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164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65035.089999999982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35968.170000000013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29066.919999999969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165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0.44694210463920286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166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29066.920000000006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167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35968.170000000013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1163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118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171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173</v>
      </c>
      <c r="C22" s="101" t="s">
        <v>174</v>
      </c>
      <c r="D22" s="88"/>
      <c r="E22" s="102">
        <v>1000</v>
      </c>
      <c r="F22" s="103">
        <v>1</v>
      </c>
      <c r="G22" s="104">
        <v>73.53</v>
      </c>
      <c r="H22" s="105">
        <f t="shared" si="0"/>
        <v>53.28</v>
      </c>
      <c r="I22" s="106">
        <f t="shared" si="1"/>
        <v>73.53</v>
      </c>
      <c r="J22" s="107"/>
      <c r="K22" s="108">
        <f t="shared" si="2"/>
        <v>1</v>
      </c>
      <c r="L22" s="105">
        <f t="shared" si="3"/>
        <v>36.770000000000003</v>
      </c>
      <c r="M22" s="105">
        <f t="shared" si="4"/>
        <v>36.770000000000003</v>
      </c>
      <c r="N22" s="109"/>
      <c r="O22" s="95"/>
      <c r="P22" s="100"/>
      <c r="Q22" s="104"/>
      <c r="R22" s="110">
        <f t="shared" si="5"/>
        <v>0</v>
      </c>
      <c r="S22" s="111">
        <f t="shared" si="6"/>
        <v>36.76</v>
      </c>
      <c r="T22" s="111">
        <f t="shared" si="7"/>
        <v>36.76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175</v>
      </c>
      <c r="C23" s="114" t="s">
        <v>176</v>
      </c>
      <c r="D23" s="88"/>
      <c r="E23" s="89">
        <v>1000</v>
      </c>
      <c r="F23" s="115">
        <v>1</v>
      </c>
      <c r="G23" s="96">
        <v>154.76</v>
      </c>
      <c r="H23" s="91">
        <f t="shared" si="0"/>
        <v>112.14</v>
      </c>
      <c r="I23" s="92">
        <f t="shared" si="1"/>
        <v>154.76</v>
      </c>
      <c r="J23" s="107"/>
      <c r="K23" s="90">
        <f t="shared" si="2"/>
        <v>1</v>
      </c>
      <c r="L23" s="91">
        <f t="shared" si="3"/>
        <v>77.38</v>
      </c>
      <c r="M23" s="91">
        <f t="shared" si="4"/>
        <v>77.38</v>
      </c>
      <c r="N23" s="116"/>
      <c r="O23" s="95"/>
      <c r="P23" s="117"/>
      <c r="Q23" s="96"/>
      <c r="R23" s="96">
        <f t="shared" si="5"/>
        <v>0</v>
      </c>
      <c r="S23" s="96">
        <f t="shared" si="6"/>
        <v>77.38</v>
      </c>
      <c r="T23" s="96">
        <f t="shared" si="7"/>
        <v>77.38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177</v>
      </c>
      <c r="C24" s="101" t="s">
        <v>128</v>
      </c>
      <c r="D24" s="88"/>
      <c r="E24" s="102">
        <v>2000</v>
      </c>
      <c r="F24" s="103">
        <v>1</v>
      </c>
      <c r="G24" s="104">
        <v>117.73</v>
      </c>
      <c r="H24" s="105">
        <f t="shared" si="0"/>
        <v>85.31</v>
      </c>
      <c r="I24" s="106">
        <f t="shared" si="1"/>
        <v>117.73</v>
      </c>
      <c r="J24" s="107"/>
      <c r="K24" s="108">
        <f t="shared" si="2"/>
        <v>1</v>
      </c>
      <c r="L24" s="105">
        <f t="shared" si="3"/>
        <v>58.87</v>
      </c>
      <c r="M24" s="105">
        <f t="shared" si="4"/>
        <v>58.87</v>
      </c>
      <c r="N24" s="109"/>
      <c r="O24" s="95"/>
      <c r="P24" s="100"/>
      <c r="Q24" s="104"/>
      <c r="R24" s="110">
        <f t="shared" si="5"/>
        <v>0</v>
      </c>
      <c r="S24" s="111">
        <f t="shared" si="6"/>
        <v>58.86</v>
      </c>
      <c r="T24" s="111">
        <f t="shared" si="7"/>
        <v>58.86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178</v>
      </c>
      <c r="C25" s="114" t="s">
        <v>131</v>
      </c>
      <c r="D25" s="88"/>
      <c r="E25" s="89">
        <v>2000</v>
      </c>
      <c r="F25" s="115">
        <v>1</v>
      </c>
      <c r="G25" s="96">
        <v>90.04</v>
      </c>
      <c r="H25" s="91">
        <f t="shared" si="0"/>
        <v>65.25</v>
      </c>
      <c r="I25" s="92">
        <f t="shared" si="1"/>
        <v>90.04</v>
      </c>
      <c r="J25" s="107"/>
      <c r="K25" s="90">
        <f t="shared" si="2"/>
        <v>1</v>
      </c>
      <c r="L25" s="91">
        <f t="shared" si="3"/>
        <v>54.02</v>
      </c>
      <c r="M25" s="91">
        <f t="shared" si="4"/>
        <v>54.02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36.020000000000003</v>
      </c>
      <c r="T25" s="96">
        <f t="shared" si="7"/>
        <v>36.020000000000003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179</v>
      </c>
      <c r="C26" s="101" t="s">
        <v>134</v>
      </c>
      <c r="D26" s="88"/>
      <c r="E26" s="102">
        <v>2000</v>
      </c>
      <c r="F26" s="103">
        <v>1</v>
      </c>
      <c r="G26" s="104">
        <v>77.98</v>
      </c>
      <c r="H26" s="105">
        <f t="shared" si="0"/>
        <v>56.51</v>
      </c>
      <c r="I26" s="106">
        <f t="shared" si="1"/>
        <v>77.98</v>
      </c>
      <c r="J26" s="107"/>
      <c r="K26" s="108">
        <f t="shared" si="2"/>
        <v>1</v>
      </c>
      <c r="L26" s="105">
        <f t="shared" si="3"/>
        <v>46.79</v>
      </c>
      <c r="M26" s="105">
        <f t="shared" si="4"/>
        <v>46.79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31.19</v>
      </c>
      <c r="T26" s="111">
        <f t="shared" si="7"/>
        <v>31.19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180</v>
      </c>
      <c r="C27" s="114" t="s">
        <v>134</v>
      </c>
      <c r="D27" s="88"/>
      <c r="E27" s="89">
        <v>2000</v>
      </c>
      <c r="F27" s="115">
        <v>1</v>
      </c>
      <c r="G27" s="96">
        <v>83.19</v>
      </c>
      <c r="H27" s="91">
        <f t="shared" si="0"/>
        <v>60.28</v>
      </c>
      <c r="I27" s="92">
        <f t="shared" si="1"/>
        <v>83.19</v>
      </c>
      <c r="J27" s="107"/>
      <c r="K27" s="90">
        <f t="shared" si="2"/>
        <v>1</v>
      </c>
      <c r="L27" s="91">
        <f t="shared" si="3"/>
        <v>49.91</v>
      </c>
      <c r="M27" s="91">
        <f t="shared" si="4"/>
        <v>49.91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33.28</v>
      </c>
      <c r="T27" s="96">
        <f t="shared" si="7"/>
        <v>33.28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181</v>
      </c>
      <c r="C28" s="101" t="s">
        <v>137</v>
      </c>
      <c r="D28" s="88"/>
      <c r="E28" s="102" t="s">
        <v>138</v>
      </c>
      <c r="F28" s="103">
        <v>1</v>
      </c>
      <c r="G28" s="104">
        <v>7486.15</v>
      </c>
      <c r="H28" s="105">
        <f t="shared" si="0"/>
        <v>5424.75</v>
      </c>
      <c r="I28" s="106">
        <f t="shared" si="1"/>
        <v>7486.15</v>
      </c>
      <c r="J28" s="107"/>
      <c r="K28" s="108">
        <f t="shared" si="2"/>
        <v>1</v>
      </c>
      <c r="L28" s="105">
        <f t="shared" si="3"/>
        <v>3743.08</v>
      </c>
      <c r="M28" s="105">
        <f t="shared" si="4"/>
        <v>3743.08</v>
      </c>
      <c r="N28" s="109"/>
      <c r="O28" s="95"/>
      <c r="P28" s="100"/>
      <c r="Q28" s="104"/>
      <c r="R28" s="110">
        <f t="shared" si="5"/>
        <v>0</v>
      </c>
      <c r="S28" s="111">
        <f t="shared" si="6"/>
        <v>3743.07</v>
      </c>
      <c r="T28" s="111">
        <f t="shared" si="7"/>
        <v>3743.07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182</v>
      </c>
      <c r="C29" s="114" t="s">
        <v>183</v>
      </c>
      <c r="D29" s="88"/>
      <c r="E29" s="89" t="s">
        <v>138</v>
      </c>
      <c r="F29" s="115">
        <v>2</v>
      </c>
      <c r="G29" s="96">
        <v>614.62</v>
      </c>
      <c r="H29" s="91">
        <f t="shared" si="0"/>
        <v>445.38</v>
      </c>
      <c r="I29" s="92">
        <f t="shared" si="1"/>
        <v>1229.24</v>
      </c>
      <c r="J29" s="107"/>
      <c r="K29" s="90">
        <f t="shared" si="2"/>
        <v>2</v>
      </c>
      <c r="L29" s="91">
        <f t="shared" si="3"/>
        <v>307.31</v>
      </c>
      <c r="M29" s="91">
        <f t="shared" si="4"/>
        <v>614.62</v>
      </c>
      <c r="N29" s="116"/>
      <c r="O29" s="95"/>
      <c r="P29" s="117"/>
      <c r="Q29" s="96"/>
      <c r="R29" s="96">
        <f t="shared" si="5"/>
        <v>0</v>
      </c>
      <c r="S29" s="96">
        <f t="shared" si="6"/>
        <v>307.31</v>
      </c>
      <c r="T29" s="96">
        <f t="shared" si="7"/>
        <v>614.62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184</v>
      </c>
      <c r="C30" s="101" t="s">
        <v>144</v>
      </c>
      <c r="D30" s="88"/>
      <c r="E30" s="102" t="s">
        <v>138</v>
      </c>
      <c r="F30" s="103">
        <v>1</v>
      </c>
      <c r="G30" s="104">
        <v>7875.6</v>
      </c>
      <c r="H30" s="105">
        <f t="shared" si="0"/>
        <v>5706.96</v>
      </c>
      <c r="I30" s="106">
        <f t="shared" si="1"/>
        <v>7875.6</v>
      </c>
      <c r="J30" s="107"/>
      <c r="K30" s="108">
        <f t="shared" si="2"/>
        <v>1</v>
      </c>
      <c r="L30" s="105">
        <f t="shared" si="3"/>
        <v>3937.8</v>
      </c>
      <c r="M30" s="105">
        <f t="shared" si="4"/>
        <v>3937.8</v>
      </c>
      <c r="N30" s="109"/>
      <c r="O30" s="95"/>
      <c r="P30" s="100"/>
      <c r="Q30" s="104"/>
      <c r="R30" s="110">
        <f t="shared" si="5"/>
        <v>0</v>
      </c>
      <c r="S30" s="111">
        <f t="shared" si="6"/>
        <v>3937.8</v>
      </c>
      <c r="T30" s="111">
        <f t="shared" si="7"/>
        <v>3937.8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185</v>
      </c>
      <c r="C31" s="114" t="s">
        <v>186</v>
      </c>
      <c r="D31" s="88"/>
      <c r="E31" s="89" t="s">
        <v>138</v>
      </c>
      <c r="F31" s="115">
        <v>6</v>
      </c>
      <c r="G31" s="96">
        <v>2114.41</v>
      </c>
      <c r="H31" s="91">
        <f t="shared" si="0"/>
        <v>1532.18</v>
      </c>
      <c r="I31" s="92">
        <f t="shared" si="1"/>
        <v>12686.46</v>
      </c>
      <c r="J31" s="107"/>
      <c r="K31" s="90">
        <f t="shared" si="2"/>
        <v>6</v>
      </c>
      <c r="L31" s="91">
        <f t="shared" si="3"/>
        <v>1480.09</v>
      </c>
      <c r="M31" s="91">
        <f t="shared" si="4"/>
        <v>8880.5400000000009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634.32000000000005</v>
      </c>
      <c r="T31" s="96">
        <f t="shared" si="7"/>
        <v>3805.92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187</v>
      </c>
      <c r="C32" s="101" t="s">
        <v>188</v>
      </c>
      <c r="D32" s="88"/>
      <c r="E32" s="102" t="s">
        <v>138</v>
      </c>
      <c r="F32" s="103">
        <v>6</v>
      </c>
      <c r="G32" s="104">
        <v>5087.8100000000004</v>
      </c>
      <c r="H32" s="105">
        <f t="shared" si="0"/>
        <v>3686.82</v>
      </c>
      <c r="I32" s="106">
        <f t="shared" si="1"/>
        <v>30526.86</v>
      </c>
      <c r="J32" s="107"/>
      <c r="K32" s="108">
        <f t="shared" si="2"/>
        <v>6</v>
      </c>
      <c r="L32" s="105">
        <f t="shared" si="3"/>
        <v>2543.91</v>
      </c>
      <c r="M32" s="105">
        <f t="shared" si="4"/>
        <v>15263.46</v>
      </c>
      <c r="N32" s="109"/>
      <c r="O32" s="95"/>
      <c r="P32" s="100"/>
      <c r="Q32" s="104"/>
      <c r="R32" s="110">
        <f t="shared" si="5"/>
        <v>0</v>
      </c>
      <c r="S32" s="111">
        <f t="shared" si="6"/>
        <v>2543.9</v>
      </c>
      <c r="T32" s="111">
        <f t="shared" si="7"/>
        <v>15263.4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189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35" t="s">
        <v>190</v>
      </c>
      <c r="C34" s="101" t="s">
        <v>191</v>
      </c>
      <c r="D34" s="88"/>
      <c r="E34" s="102" t="s">
        <v>138</v>
      </c>
      <c r="F34" s="103">
        <v>2</v>
      </c>
      <c r="G34" s="104">
        <v>192.63</v>
      </c>
      <c r="H34" s="105">
        <f t="shared" si="0"/>
        <v>139.59</v>
      </c>
      <c r="I34" s="106">
        <f t="shared" si="1"/>
        <v>385.26</v>
      </c>
      <c r="J34" s="107"/>
      <c r="K34" s="108">
        <f t="shared" si="2"/>
        <v>2</v>
      </c>
      <c r="L34" s="105">
        <f t="shared" si="3"/>
        <v>134.84</v>
      </c>
      <c r="M34" s="105">
        <f t="shared" si="4"/>
        <v>269.68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57.79</v>
      </c>
      <c r="T34" s="111">
        <f t="shared" si="7"/>
        <v>115.58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192</v>
      </c>
      <c r="C35" s="114" t="s">
        <v>193</v>
      </c>
      <c r="D35" s="88"/>
      <c r="E35" s="89" t="s">
        <v>138</v>
      </c>
      <c r="F35" s="115">
        <v>2</v>
      </c>
      <c r="G35" s="96">
        <v>237.6</v>
      </c>
      <c r="H35" s="91">
        <f t="shared" si="0"/>
        <v>172.17</v>
      </c>
      <c r="I35" s="92">
        <f t="shared" si="1"/>
        <v>475.2</v>
      </c>
      <c r="J35" s="107"/>
      <c r="K35" s="90">
        <f t="shared" si="2"/>
        <v>2</v>
      </c>
      <c r="L35" s="91">
        <f t="shared" si="3"/>
        <v>166.32</v>
      </c>
      <c r="M35" s="91">
        <f t="shared" si="4"/>
        <v>332.64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71.28</v>
      </c>
      <c r="T35" s="96">
        <f t="shared" si="7"/>
        <v>142.56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194</v>
      </c>
      <c r="C36" s="101" t="s">
        <v>195</v>
      </c>
      <c r="D36" s="88"/>
      <c r="E36" s="102" t="s">
        <v>138</v>
      </c>
      <c r="F36" s="103">
        <v>40</v>
      </c>
      <c r="G36" s="104">
        <v>3.79</v>
      </c>
      <c r="H36" s="105">
        <f t="shared" si="0"/>
        <v>2.75</v>
      </c>
      <c r="I36" s="106">
        <f t="shared" si="1"/>
        <v>151.6</v>
      </c>
      <c r="J36" s="107"/>
      <c r="K36" s="108">
        <f t="shared" si="2"/>
        <v>40</v>
      </c>
      <c r="L36" s="105">
        <f t="shared" si="3"/>
        <v>2.65</v>
      </c>
      <c r="M36" s="105">
        <f t="shared" si="4"/>
        <v>106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1.1399999999999999</v>
      </c>
      <c r="T36" s="111">
        <f t="shared" si="7"/>
        <v>45.6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196</v>
      </c>
      <c r="C37" s="114" t="s">
        <v>197</v>
      </c>
      <c r="D37" s="88"/>
      <c r="E37" s="89" t="s">
        <v>138</v>
      </c>
      <c r="F37" s="115">
        <v>40</v>
      </c>
      <c r="G37" s="96">
        <v>3.53</v>
      </c>
      <c r="H37" s="91">
        <f t="shared" si="0"/>
        <v>2.56</v>
      </c>
      <c r="I37" s="92">
        <f t="shared" si="1"/>
        <v>141.19999999999999</v>
      </c>
      <c r="J37" s="107"/>
      <c r="K37" s="90">
        <f t="shared" si="2"/>
        <v>40</v>
      </c>
      <c r="L37" s="91">
        <f t="shared" si="3"/>
        <v>2.4700000000000002</v>
      </c>
      <c r="M37" s="91">
        <f t="shared" si="4"/>
        <v>98.8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1.06</v>
      </c>
      <c r="T37" s="96">
        <f t="shared" si="7"/>
        <v>42.4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198</v>
      </c>
      <c r="C38" s="101" t="s">
        <v>160</v>
      </c>
      <c r="D38" s="88"/>
      <c r="E38" s="102" t="s">
        <v>138</v>
      </c>
      <c r="F38" s="103">
        <v>3</v>
      </c>
      <c r="G38" s="104">
        <v>955.59</v>
      </c>
      <c r="H38" s="105">
        <f t="shared" si="0"/>
        <v>692.46</v>
      </c>
      <c r="I38" s="106">
        <f t="shared" si="1"/>
        <v>2866.77</v>
      </c>
      <c r="J38" s="107"/>
      <c r="K38" s="108">
        <f t="shared" si="2"/>
        <v>3</v>
      </c>
      <c r="L38" s="105">
        <f t="shared" si="3"/>
        <v>668.91</v>
      </c>
      <c r="M38" s="105">
        <f t="shared" si="4"/>
        <v>2006.73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286.68</v>
      </c>
      <c r="T38" s="111">
        <f t="shared" si="7"/>
        <v>860.04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199</v>
      </c>
      <c r="C39" s="114" t="s">
        <v>162</v>
      </c>
      <c r="D39" s="88"/>
      <c r="E39" s="89" t="s">
        <v>138</v>
      </c>
      <c r="F39" s="115">
        <v>3</v>
      </c>
      <c r="G39" s="96">
        <v>121.65</v>
      </c>
      <c r="H39" s="91">
        <f t="shared" si="0"/>
        <v>88.15</v>
      </c>
      <c r="I39" s="92">
        <f t="shared" si="1"/>
        <v>364.95</v>
      </c>
      <c r="J39" s="107"/>
      <c r="K39" s="90">
        <f t="shared" si="2"/>
        <v>3</v>
      </c>
      <c r="L39" s="91">
        <f t="shared" si="3"/>
        <v>85.16</v>
      </c>
      <c r="M39" s="91">
        <f t="shared" si="4"/>
        <v>255.48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36.49</v>
      </c>
      <c r="T39" s="96">
        <f t="shared" si="7"/>
        <v>109.47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200</v>
      </c>
      <c r="C40" s="101" t="s">
        <v>201</v>
      </c>
      <c r="D40" s="88"/>
      <c r="E40" s="102" t="s">
        <v>138</v>
      </c>
      <c r="F40" s="103">
        <v>3</v>
      </c>
      <c r="G40" s="104">
        <v>18.84</v>
      </c>
      <c r="H40" s="105">
        <f t="shared" si="0"/>
        <v>13.65</v>
      </c>
      <c r="I40" s="106">
        <f t="shared" si="1"/>
        <v>56.52</v>
      </c>
      <c r="J40" s="107"/>
      <c r="K40" s="108">
        <f t="shared" si="2"/>
        <v>3</v>
      </c>
      <c r="L40" s="105">
        <f t="shared" si="3"/>
        <v>13.19</v>
      </c>
      <c r="M40" s="105">
        <f t="shared" si="4"/>
        <v>39.57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5.65</v>
      </c>
      <c r="T40" s="111">
        <f t="shared" si="7"/>
        <v>16.95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118</v>
      </c>
      <c r="G50" s="123">
        <f t="shared" si="10"/>
        <v>25501.500000000004</v>
      </c>
      <c r="H50" s="124">
        <f t="shared" si="10"/>
        <v>18479.36</v>
      </c>
      <c r="I50" s="125">
        <f t="shared" si="10"/>
        <v>65035.089999999982</v>
      </c>
      <c r="J50" s="126"/>
      <c r="K50" s="127">
        <f t="shared" ref="K50:M50" si="11">SUM(K19:K49)</f>
        <v>118</v>
      </c>
      <c r="L50" s="124">
        <f t="shared" si="11"/>
        <v>13505.5</v>
      </c>
      <c r="M50" s="125">
        <f t="shared" si="11"/>
        <v>35968.170000000013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11996</v>
      </c>
      <c r="T50" s="125">
        <f t="shared" si="12"/>
        <v>29066.920000000006</v>
      </c>
      <c r="U50" s="130"/>
      <c r="V50" s="130"/>
      <c r="W50" s="131"/>
    </row>
  </sheetData>
  <mergeCells count="89">
    <mergeCell ref="I4:K4"/>
    <mergeCell ref="I5:K5"/>
    <mergeCell ref="M5:N5"/>
    <mergeCell ref="I6:K6"/>
    <mergeCell ref="M6:N6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B17:B18"/>
    <mergeCell ref="C17:C18"/>
    <mergeCell ref="E17:E18"/>
    <mergeCell ref="F17:F18"/>
    <mergeCell ref="K15:L16"/>
    <mergeCell ref="K17:K18"/>
    <mergeCell ref="G17:H17"/>
    <mergeCell ref="L18:M18"/>
    <mergeCell ref="D4:F4"/>
    <mergeCell ref="D5:F5"/>
    <mergeCell ref="G5:H5"/>
    <mergeCell ref="D6:F6"/>
    <mergeCell ref="G6:H6"/>
    <mergeCell ref="G4:H4"/>
    <mergeCell ref="P8:R8"/>
    <mergeCell ref="M11:N11"/>
    <mergeCell ref="S9:S11"/>
    <mergeCell ref="T9:T11"/>
    <mergeCell ref="U9:U11"/>
    <mergeCell ref="V9:V11"/>
    <mergeCell ref="W9:W11"/>
    <mergeCell ref="P10:R10"/>
    <mergeCell ref="P9:R9"/>
    <mergeCell ref="P11:R11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M3:N3"/>
    <mergeCell ref="M4:N4"/>
    <mergeCell ref="S5:T5"/>
    <mergeCell ref="S6:T6"/>
    <mergeCell ref="S7:T7"/>
    <mergeCell ref="P6:R6"/>
    <mergeCell ref="P7:R7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D8:F8"/>
    <mergeCell ref="G8:H8"/>
    <mergeCell ref="I8:K8"/>
    <mergeCell ref="M8:N8"/>
    <mergeCell ref="D9:F9"/>
    <mergeCell ref="G9:H9"/>
    <mergeCell ref="M9:N9"/>
    <mergeCell ref="P1:R1"/>
    <mergeCell ref="P2:R2"/>
    <mergeCell ref="P3:R3"/>
    <mergeCell ref="P4:R4"/>
    <mergeCell ref="P5:R5"/>
  </mergeCells>
  <conditionalFormatting sqref="U9:U11">
    <cfRule type="expression" dxfId="283" priority="1" stopIfTrue="1">
      <formula>$U$9&gt;100%</formula>
    </cfRule>
    <cfRule type="expression" dxfId="282" priority="2">
      <formula>$U$9&lt;50%</formula>
    </cfRule>
  </conditionalFormatting>
  <conditionalFormatting sqref="V9:V11">
    <cfRule type="expression" dxfId="281" priority="3">
      <formula>$V$9&lt;50%</formula>
    </cfRule>
    <cfRule type="expression" dxfId="280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202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43916.229999999996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2018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26011.02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17905.209999999995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203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0.40771282052216223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204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17905.210000000003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205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26011.02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1164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62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206</v>
      </c>
      <c r="C19" s="87" t="s">
        <v>169</v>
      </c>
      <c r="D19" s="88"/>
      <c r="E19" s="89">
        <v>500</v>
      </c>
      <c r="F19" s="90">
        <v>1</v>
      </c>
      <c r="G19" s="91">
        <v>30.81</v>
      </c>
      <c r="H19" s="91">
        <f t="shared" ref="H19:H49" si="0">ROUND(IF($G$18="USD $", G19*$F$16,G19*$E$16),2)</f>
        <v>22.33</v>
      </c>
      <c r="I19" s="92">
        <f t="shared" ref="I19:I49" si="1">ROUND(IF($I$18=$H$18,F19*H19,F19*G19),2)</f>
        <v>30.81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15.41</v>
      </c>
      <c r="M19" s="91">
        <f t="shared" ref="M19:M49" si="4">ROUND((K19*L19),2)</f>
        <v>15.41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15.4</v>
      </c>
      <c r="T19" s="96">
        <f t="shared" ref="T19:T49" si="7">ROUND(I19-M19,2)</f>
        <v>15.4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207</v>
      </c>
      <c r="C20" s="101" t="s">
        <v>115</v>
      </c>
      <c r="D20" s="88"/>
      <c r="E20" s="102">
        <v>500</v>
      </c>
      <c r="F20" s="103">
        <v>1</v>
      </c>
      <c r="G20" s="104">
        <v>42.6</v>
      </c>
      <c r="H20" s="105">
        <f t="shared" si="0"/>
        <v>30.87</v>
      </c>
      <c r="I20" s="106">
        <f t="shared" si="1"/>
        <v>42.6</v>
      </c>
      <c r="J20" s="107"/>
      <c r="K20" s="108">
        <f t="shared" si="2"/>
        <v>1</v>
      </c>
      <c r="L20" s="105">
        <f t="shared" si="3"/>
        <v>21.3</v>
      </c>
      <c r="M20" s="105">
        <f t="shared" si="4"/>
        <v>21.3</v>
      </c>
      <c r="N20" s="109"/>
      <c r="O20" s="95"/>
      <c r="P20" s="100"/>
      <c r="Q20" s="104"/>
      <c r="R20" s="110">
        <f t="shared" si="5"/>
        <v>0</v>
      </c>
      <c r="S20" s="111">
        <f t="shared" si="6"/>
        <v>21.3</v>
      </c>
      <c r="T20" s="111">
        <f t="shared" si="7"/>
        <v>21.3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208</v>
      </c>
      <c r="C21" s="114" t="s">
        <v>118</v>
      </c>
      <c r="D21" s="88"/>
      <c r="E21" s="89">
        <v>500</v>
      </c>
      <c r="F21" s="115">
        <v>1</v>
      </c>
      <c r="G21" s="96">
        <v>25.7</v>
      </c>
      <c r="H21" s="91">
        <f t="shared" si="0"/>
        <v>18.62</v>
      </c>
      <c r="I21" s="92">
        <f t="shared" si="1"/>
        <v>25.7</v>
      </c>
      <c r="J21" s="107"/>
      <c r="K21" s="90">
        <f t="shared" si="2"/>
        <v>1</v>
      </c>
      <c r="L21" s="91">
        <f t="shared" si="3"/>
        <v>12.85</v>
      </c>
      <c r="M21" s="91">
        <f t="shared" si="4"/>
        <v>12.85</v>
      </c>
      <c r="N21" s="116"/>
      <c r="O21" s="95"/>
      <c r="P21" s="117"/>
      <c r="Q21" s="96"/>
      <c r="R21" s="96">
        <f t="shared" si="5"/>
        <v>0</v>
      </c>
      <c r="S21" s="96">
        <f t="shared" si="6"/>
        <v>12.85</v>
      </c>
      <c r="T21" s="96">
        <f t="shared" si="7"/>
        <v>12.85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209</v>
      </c>
      <c r="C22" s="101" t="s">
        <v>210</v>
      </c>
      <c r="D22" s="88"/>
      <c r="E22" s="102">
        <v>1000</v>
      </c>
      <c r="F22" s="103">
        <v>1</v>
      </c>
      <c r="G22" s="104">
        <v>76.540000000000006</v>
      </c>
      <c r="H22" s="105">
        <f t="shared" si="0"/>
        <v>55.46</v>
      </c>
      <c r="I22" s="106">
        <f t="shared" si="1"/>
        <v>76.540000000000006</v>
      </c>
      <c r="J22" s="107"/>
      <c r="K22" s="108">
        <f t="shared" si="2"/>
        <v>1</v>
      </c>
      <c r="L22" s="105">
        <f t="shared" si="3"/>
        <v>38.270000000000003</v>
      </c>
      <c r="M22" s="105">
        <f t="shared" si="4"/>
        <v>38.270000000000003</v>
      </c>
      <c r="N22" s="109"/>
      <c r="O22" s="95"/>
      <c r="P22" s="100"/>
      <c r="Q22" s="104"/>
      <c r="R22" s="110">
        <f t="shared" si="5"/>
        <v>0</v>
      </c>
      <c r="S22" s="111">
        <f t="shared" si="6"/>
        <v>38.270000000000003</v>
      </c>
      <c r="T22" s="111">
        <f t="shared" si="7"/>
        <v>38.270000000000003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211</v>
      </c>
      <c r="C23" s="114" t="s">
        <v>210</v>
      </c>
      <c r="D23" s="88"/>
      <c r="E23" s="89">
        <v>1000</v>
      </c>
      <c r="F23" s="115">
        <v>1</v>
      </c>
      <c r="G23" s="96">
        <v>72.069999999999993</v>
      </c>
      <c r="H23" s="91">
        <f t="shared" si="0"/>
        <v>52.22</v>
      </c>
      <c r="I23" s="92">
        <f t="shared" si="1"/>
        <v>72.069999999999993</v>
      </c>
      <c r="J23" s="107"/>
      <c r="K23" s="90">
        <f t="shared" si="2"/>
        <v>1</v>
      </c>
      <c r="L23" s="91">
        <f t="shared" si="3"/>
        <v>36.04</v>
      </c>
      <c r="M23" s="91">
        <f t="shared" si="4"/>
        <v>36.04</v>
      </c>
      <c r="N23" s="116"/>
      <c r="O23" s="95"/>
      <c r="P23" s="117"/>
      <c r="Q23" s="96"/>
      <c r="R23" s="96">
        <f t="shared" si="5"/>
        <v>0</v>
      </c>
      <c r="S23" s="96">
        <f t="shared" si="6"/>
        <v>36.03</v>
      </c>
      <c r="T23" s="96">
        <f t="shared" si="7"/>
        <v>36.03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212</v>
      </c>
      <c r="C24" s="101" t="s">
        <v>128</v>
      </c>
      <c r="D24" s="88"/>
      <c r="E24" s="102">
        <v>2000</v>
      </c>
      <c r="F24" s="103">
        <v>1</v>
      </c>
      <c r="G24" s="104">
        <v>76.02</v>
      </c>
      <c r="H24" s="105">
        <f t="shared" si="0"/>
        <v>55.09</v>
      </c>
      <c r="I24" s="106">
        <f t="shared" si="1"/>
        <v>76.02</v>
      </c>
      <c r="J24" s="107"/>
      <c r="K24" s="108">
        <f t="shared" si="2"/>
        <v>1</v>
      </c>
      <c r="L24" s="105">
        <f t="shared" si="3"/>
        <v>45.61</v>
      </c>
      <c r="M24" s="105">
        <f t="shared" si="4"/>
        <v>45.61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30.41</v>
      </c>
      <c r="T24" s="111">
        <f t="shared" si="7"/>
        <v>30.41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213</v>
      </c>
      <c r="C25" s="114" t="s">
        <v>131</v>
      </c>
      <c r="D25" s="88"/>
      <c r="E25" s="89">
        <v>2000</v>
      </c>
      <c r="F25" s="115">
        <v>1</v>
      </c>
      <c r="G25" s="96">
        <v>54.17</v>
      </c>
      <c r="H25" s="91">
        <f t="shared" si="0"/>
        <v>39.25</v>
      </c>
      <c r="I25" s="92">
        <f t="shared" si="1"/>
        <v>54.17</v>
      </c>
      <c r="J25" s="107"/>
      <c r="K25" s="90">
        <f t="shared" si="2"/>
        <v>1</v>
      </c>
      <c r="L25" s="91">
        <f t="shared" si="3"/>
        <v>32.5</v>
      </c>
      <c r="M25" s="91">
        <f t="shared" si="4"/>
        <v>32.5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21.67</v>
      </c>
      <c r="T25" s="96">
        <f t="shared" si="7"/>
        <v>21.67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214</v>
      </c>
      <c r="C26" s="101" t="s">
        <v>134</v>
      </c>
      <c r="D26" s="88"/>
      <c r="E26" s="102">
        <v>2000</v>
      </c>
      <c r="F26" s="103">
        <v>1</v>
      </c>
      <c r="G26" s="104">
        <v>37.51</v>
      </c>
      <c r="H26" s="105">
        <f t="shared" si="0"/>
        <v>27.18</v>
      </c>
      <c r="I26" s="106">
        <f t="shared" si="1"/>
        <v>37.51</v>
      </c>
      <c r="J26" s="107"/>
      <c r="K26" s="108">
        <f t="shared" si="2"/>
        <v>1</v>
      </c>
      <c r="L26" s="105">
        <f t="shared" si="3"/>
        <v>22.51</v>
      </c>
      <c r="M26" s="105">
        <f t="shared" si="4"/>
        <v>22.51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15</v>
      </c>
      <c r="T26" s="111">
        <f t="shared" si="7"/>
        <v>15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215</v>
      </c>
      <c r="C27" s="114" t="s">
        <v>216</v>
      </c>
      <c r="D27" s="88"/>
      <c r="E27" s="89">
        <v>2000</v>
      </c>
      <c r="F27" s="115">
        <v>1</v>
      </c>
      <c r="G27" s="96">
        <v>42.21</v>
      </c>
      <c r="H27" s="91">
        <f t="shared" si="0"/>
        <v>30.59</v>
      </c>
      <c r="I27" s="92">
        <f t="shared" si="1"/>
        <v>42.21</v>
      </c>
      <c r="J27" s="107"/>
      <c r="K27" s="90">
        <f t="shared" si="2"/>
        <v>1</v>
      </c>
      <c r="L27" s="91">
        <f t="shared" si="3"/>
        <v>25.33</v>
      </c>
      <c r="M27" s="91">
        <f t="shared" si="4"/>
        <v>25.33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16.88</v>
      </c>
      <c r="T27" s="96">
        <f t="shared" si="7"/>
        <v>16.88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217</v>
      </c>
      <c r="C28" s="101" t="s">
        <v>218</v>
      </c>
      <c r="D28" s="88"/>
      <c r="E28" s="102" t="s">
        <v>138</v>
      </c>
      <c r="F28" s="103">
        <v>1</v>
      </c>
      <c r="G28" s="104">
        <v>6988.9</v>
      </c>
      <c r="H28" s="105">
        <f t="shared" si="0"/>
        <v>5064.42</v>
      </c>
      <c r="I28" s="106">
        <f t="shared" si="1"/>
        <v>6988.9</v>
      </c>
      <c r="J28" s="107"/>
      <c r="K28" s="108">
        <f t="shared" si="2"/>
        <v>1</v>
      </c>
      <c r="L28" s="105">
        <f t="shared" si="3"/>
        <v>4193.34</v>
      </c>
      <c r="M28" s="105">
        <f t="shared" si="4"/>
        <v>4193.34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2795.56</v>
      </c>
      <c r="T28" s="111">
        <f t="shared" si="7"/>
        <v>2795.56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219</v>
      </c>
      <c r="C29" s="114" t="s">
        <v>220</v>
      </c>
      <c r="D29" s="88"/>
      <c r="E29" s="89" t="s">
        <v>138</v>
      </c>
      <c r="F29" s="115">
        <v>1</v>
      </c>
      <c r="G29" s="96">
        <v>1148.33</v>
      </c>
      <c r="H29" s="91">
        <f t="shared" si="0"/>
        <v>832.12</v>
      </c>
      <c r="I29" s="92">
        <f t="shared" si="1"/>
        <v>1148.33</v>
      </c>
      <c r="J29" s="107"/>
      <c r="K29" s="90">
        <f t="shared" si="2"/>
        <v>1</v>
      </c>
      <c r="L29" s="91">
        <f t="shared" si="3"/>
        <v>689</v>
      </c>
      <c r="M29" s="91">
        <f t="shared" si="4"/>
        <v>689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459.33</v>
      </c>
      <c r="T29" s="96">
        <f t="shared" si="7"/>
        <v>459.33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221</v>
      </c>
      <c r="C30" s="101" t="s">
        <v>222</v>
      </c>
      <c r="D30" s="88"/>
      <c r="E30" s="102" t="s">
        <v>138</v>
      </c>
      <c r="F30" s="103">
        <v>1</v>
      </c>
      <c r="G30" s="104">
        <v>8913.34</v>
      </c>
      <c r="H30" s="105">
        <f t="shared" si="0"/>
        <v>6458.94</v>
      </c>
      <c r="I30" s="106">
        <f t="shared" si="1"/>
        <v>8913.34</v>
      </c>
      <c r="J30" s="107"/>
      <c r="K30" s="108">
        <f t="shared" si="2"/>
        <v>1</v>
      </c>
      <c r="L30" s="105">
        <f t="shared" si="3"/>
        <v>5348</v>
      </c>
      <c r="M30" s="105">
        <f t="shared" si="4"/>
        <v>5348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3565.34</v>
      </c>
      <c r="T30" s="111">
        <f t="shared" si="7"/>
        <v>3565.34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223</v>
      </c>
      <c r="C31" s="114" t="s">
        <v>137</v>
      </c>
      <c r="D31" s="88"/>
      <c r="E31" s="89" t="s">
        <v>138</v>
      </c>
      <c r="F31" s="115">
        <v>1</v>
      </c>
      <c r="G31" s="96">
        <v>6665.94</v>
      </c>
      <c r="H31" s="91">
        <f t="shared" si="0"/>
        <v>4830.3900000000003</v>
      </c>
      <c r="I31" s="92">
        <f t="shared" si="1"/>
        <v>6665.94</v>
      </c>
      <c r="J31" s="107"/>
      <c r="K31" s="90">
        <f t="shared" si="2"/>
        <v>1</v>
      </c>
      <c r="L31" s="91">
        <f t="shared" si="3"/>
        <v>3332.97</v>
      </c>
      <c r="M31" s="91">
        <f t="shared" si="4"/>
        <v>3332.97</v>
      </c>
      <c r="N31" s="116"/>
      <c r="O31" s="95"/>
      <c r="P31" s="117"/>
      <c r="Q31" s="96"/>
      <c r="R31" s="96">
        <f t="shared" si="5"/>
        <v>0</v>
      </c>
      <c r="S31" s="96">
        <f t="shared" si="6"/>
        <v>3332.97</v>
      </c>
      <c r="T31" s="96">
        <f t="shared" si="7"/>
        <v>3332.97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224</v>
      </c>
      <c r="C32" s="101" t="s">
        <v>225</v>
      </c>
      <c r="D32" s="88"/>
      <c r="E32" s="102" t="s">
        <v>138</v>
      </c>
      <c r="F32" s="103">
        <v>1</v>
      </c>
      <c r="G32" s="104">
        <v>308.89999999999998</v>
      </c>
      <c r="H32" s="105">
        <f t="shared" si="0"/>
        <v>223.84</v>
      </c>
      <c r="I32" s="106">
        <f t="shared" si="1"/>
        <v>308.89999999999998</v>
      </c>
      <c r="J32" s="107"/>
      <c r="K32" s="108">
        <f t="shared" si="2"/>
        <v>1</v>
      </c>
      <c r="L32" s="105">
        <f t="shared" si="3"/>
        <v>154.44999999999999</v>
      </c>
      <c r="M32" s="105">
        <f t="shared" si="4"/>
        <v>154.44999999999999</v>
      </c>
      <c r="N32" s="109"/>
      <c r="O32" s="95"/>
      <c r="P32" s="100"/>
      <c r="Q32" s="104"/>
      <c r="R32" s="110">
        <f t="shared" si="5"/>
        <v>0</v>
      </c>
      <c r="S32" s="111">
        <f t="shared" si="6"/>
        <v>154.44999999999999</v>
      </c>
      <c r="T32" s="111">
        <f t="shared" si="7"/>
        <v>154.44999999999999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226</v>
      </c>
      <c r="C33" s="114" t="s">
        <v>144</v>
      </c>
      <c r="D33" s="88"/>
      <c r="E33" s="89" t="s">
        <v>138</v>
      </c>
      <c r="F33" s="115">
        <v>1</v>
      </c>
      <c r="G33" s="96">
        <v>4626.24</v>
      </c>
      <c r="H33" s="91">
        <f t="shared" si="0"/>
        <v>3352.35</v>
      </c>
      <c r="I33" s="92">
        <f t="shared" si="1"/>
        <v>4626.24</v>
      </c>
      <c r="J33" s="107"/>
      <c r="K33" s="90">
        <f t="shared" si="2"/>
        <v>1</v>
      </c>
      <c r="L33" s="91">
        <f t="shared" si="3"/>
        <v>2313.12</v>
      </c>
      <c r="M33" s="91">
        <f t="shared" si="4"/>
        <v>2313.12</v>
      </c>
      <c r="N33" s="116"/>
      <c r="O33" s="95"/>
      <c r="P33" s="117"/>
      <c r="Q33" s="96"/>
      <c r="R33" s="96">
        <f t="shared" si="5"/>
        <v>0</v>
      </c>
      <c r="S33" s="96">
        <f t="shared" si="6"/>
        <v>2313.12</v>
      </c>
      <c r="T33" s="96">
        <f t="shared" si="7"/>
        <v>2313.12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227</v>
      </c>
      <c r="C34" s="101" t="s">
        <v>228</v>
      </c>
      <c r="D34" s="88"/>
      <c r="E34" s="102" t="s">
        <v>138</v>
      </c>
      <c r="F34" s="103">
        <v>4</v>
      </c>
      <c r="G34" s="104">
        <v>1852.3</v>
      </c>
      <c r="H34" s="105">
        <f t="shared" si="0"/>
        <v>1342.25</v>
      </c>
      <c r="I34" s="106">
        <f t="shared" si="1"/>
        <v>7409.2</v>
      </c>
      <c r="J34" s="107"/>
      <c r="K34" s="108">
        <f t="shared" si="2"/>
        <v>4</v>
      </c>
      <c r="L34" s="105">
        <f t="shared" si="3"/>
        <v>1296.6099999999999</v>
      </c>
      <c r="M34" s="105">
        <f t="shared" si="4"/>
        <v>5186.4399999999996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555.69000000000005</v>
      </c>
      <c r="T34" s="111">
        <f t="shared" si="7"/>
        <v>2222.7600000000002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229</v>
      </c>
      <c r="C35" s="114" t="s">
        <v>230</v>
      </c>
      <c r="D35" s="88"/>
      <c r="E35" s="89" t="s">
        <v>138</v>
      </c>
      <c r="F35" s="115">
        <v>2</v>
      </c>
      <c r="G35" s="96">
        <v>3172.64</v>
      </c>
      <c r="H35" s="91">
        <f t="shared" si="0"/>
        <v>2299.0100000000002</v>
      </c>
      <c r="I35" s="92">
        <f t="shared" si="1"/>
        <v>6345.28</v>
      </c>
      <c r="J35" s="107"/>
      <c r="K35" s="90">
        <f t="shared" si="2"/>
        <v>2</v>
      </c>
      <c r="L35" s="91">
        <f t="shared" si="3"/>
        <v>1903.58</v>
      </c>
      <c r="M35" s="91">
        <f t="shared" si="4"/>
        <v>3807.16</v>
      </c>
      <c r="N35" s="116">
        <v>-0.1</v>
      </c>
      <c r="O35" s="95"/>
      <c r="P35" s="117"/>
      <c r="Q35" s="96"/>
      <c r="R35" s="96">
        <f t="shared" si="5"/>
        <v>0</v>
      </c>
      <c r="S35" s="96">
        <f t="shared" si="6"/>
        <v>1269.06</v>
      </c>
      <c r="T35" s="96">
        <f t="shared" si="7"/>
        <v>2538.12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8" t="s">
        <v>231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232</v>
      </c>
      <c r="C37" s="101" t="s">
        <v>233</v>
      </c>
      <c r="D37" s="88"/>
      <c r="E37" s="89" t="s">
        <v>138</v>
      </c>
      <c r="F37" s="115">
        <v>8</v>
      </c>
      <c r="G37" s="96">
        <v>69.849999999999994</v>
      </c>
      <c r="H37" s="91">
        <f t="shared" si="0"/>
        <v>50.62</v>
      </c>
      <c r="I37" s="92">
        <f t="shared" si="1"/>
        <v>558.79999999999995</v>
      </c>
      <c r="J37" s="107"/>
      <c r="K37" s="90">
        <f t="shared" si="2"/>
        <v>8</v>
      </c>
      <c r="L37" s="91">
        <f t="shared" si="3"/>
        <v>48.9</v>
      </c>
      <c r="M37" s="91">
        <f t="shared" si="4"/>
        <v>391.2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20.95</v>
      </c>
      <c r="T37" s="96">
        <f t="shared" si="7"/>
        <v>167.6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234</v>
      </c>
      <c r="C38" s="101" t="s">
        <v>235</v>
      </c>
      <c r="D38" s="88"/>
      <c r="E38" s="102" t="s">
        <v>138</v>
      </c>
      <c r="F38" s="103">
        <v>16</v>
      </c>
      <c r="G38" s="104">
        <v>4.72</v>
      </c>
      <c r="H38" s="105">
        <f t="shared" si="0"/>
        <v>3.42</v>
      </c>
      <c r="I38" s="106">
        <f t="shared" si="1"/>
        <v>75.52</v>
      </c>
      <c r="J38" s="107"/>
      <c r="K38" s="108">
        <f t="shared" si="2"/>
        <v>16</v>
      </c>
      <c r="L38" s="105">
        <f t="shared" si="3"/>
        <v>3.3</v>
      </c>
      <c r="M38" s="105">
        <f t="shared" si="4"/>
        <v>52.8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1.42</v>
      </c>
      <c r="T38" s="111">
        <f t="shared" si="7"/>
        <v>22.72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236</v>
      </c>
      <c r="C39" s="114" t="s">
        <v>237</v>
      </c>
      <c r="D39" s="88"/>
      <c r="E39" s="89" t="s">
        <v>138</v>
      </c>
      <c r="F39" s="115">
        <v>16</v>
      </c>
      <c r="G39" s="96">
        <v>8.8699999999999992</v>
      </c>
      <c r="H39" s="91">
        <f t="shared" si="0"/>
        <v>6.43</v>
      </c>
      <c r="I39" s="92">
        <f t="shared" si="1"/>
        <v>141.91999999999999</v>
      </c>
      <c r="J39" s="107"/>
      <c r="K39" s="90">
        <f t="shared" si="2"/>
        <v>16</v>
      </c>
      <c r="L39" s="91">
        <f t="shared" si="3"/>
        <v>6.21</v>
      </c>
      <c r="M39" s="91">
        <f t="shared" si="4"/>
        <v>99.36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2.66</v>
      </c>
      <c r="T39" s="96">
        <f t="shared" si="7"/>
        <v>42.56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238</v>
      </c>
      <c r="C40" s="101" t="s">
        <v>156</v>
      </c>
      <c r="D40" s="88"/>
      <c r="E40" s="102" t="s">
        <v>138</v>
      </c>
      <c r="F40" s="103">
        <v>1</v>
      </c>
      <c r="G40" s="104">
        <v>276.23</v>
      </c>
      <c r="H40" s="105">
        <f t="shared" si="0"/>
        <v>200.17</v>
      </c>
      <c r="I40" s="106">
        <f t="shared" si="1"/>
        <v>276.23</v>
      </c>
      <c r="J40" s="107"/>
      <c r="K40" s="108">
        <f t="shared" si="2"/>
        <v>1</v>
      </c>
      <c r="L40" s="105">
        <f t="shared" si="3"/>
        <v>193.36</v>
      </c>
      <c r="M40" s="105">
        <f t="shared" si="4"/>
        <v>193.36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82.87</v>
      </c>
      <c r="T40" s="111">
        <f t="shared" si="7"/>
        <v>82.87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62</v>
      </c>
      <c r="G50" s="123">
        <f t="shared" si="10"/>
        <v>34493.890000000007</v>
      </c>
      <c r="H50" s="124">
        <f t="shared" si="10"/>
        <v>24995.569999999996</v>
      </c>
      <c r="I50" s="125">
        <f t="shared" si="10"/>
        <v>43916.229999999996</v>
      </c>
      <c r="J50" s="126"/>
      <c r="K50" s="127">
        <f t="shared" ref="K50:M50" si="11">SUM(K19:K49)</f>
        <v>62</v>
      </c>
      <c r="L50" s="124">
        <f t="shared" si="11"/>
        <v>19732.66</v>
      </c>
      <c r="M50" s="125">
        <f t="shared" si="11"/>
        <v>26011.02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14761.230000000003</v>
      </c>
      <c r="T50" s="125">
        <f t="shared" si="12"/>
        <v>17905.210000000003</v>
      </c>
      <c r="U50" s="130"/>
      <c r="V50" s="130"/>
      <c r="W50" s="131"/>
    </row>
  </sheetData>
  <mergeCells count="89">
    <mergeCell ref="M11:N11"/>
    <mergeCell ref="V9:V11"/>
    <mergeCell ref="W9:W11"/>
    <mergeCell ref="M10:N10"/>
    <mergeCell ref="P10:R10"/>
    <mergeCell ref="T9:T11"/>
    <mergeCell ref="U9:U11"/>
    <mergeCell ref="P9:R9"/>
    <mergeCell ref="P11:R11"/>
    <mergeCell ref="S1:W1"/>
    <mergeCell ref="P1:R1"/>
    <mergeCell ref="P12:V14"/>
    <mergeCell ref="P16:V16"/>
    <mergeCell ref="P17:P18"/>
    <mergeCell ref="R18:V18"/>
    <mergeCell ref="S9:S11"/>
    <mergeCell ref="P8:R8"/>
    <mergeCell ref="D3:F3"/>
    <mergeCell ref="G3:H3"/>
    <mergeCell ref="I3:K3"/>
    <mergeCell ref="M3:N3"/>
    <mergeCell ref="B1:C1"/>
    <mergeCell ref="D1:H1"/>
    <mergeCell ref="I1:L1"/>
    <mergeCell ref="M1:O1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D7:F7"/>
    <mergeCell ref="G7:H7"/>
    <mergeCell ref="P2:R2"/>
    <mergeCell ref="P3:R3"/>
    <mergeCell ref="P4:R4"/>
    <mergeCell ref="P5:R5"/>
    <mergeCell ref="P6:R6"/>
    <mergeCell ref="M4:N4"/>
    <mergeCell ref="P7:R7"/>
    <mergeCell ref="M5:N5"/>
    <mergeCell ref="M6:N6"/>
    <mergeCell ref="M7:N7"/>
    <mergeCell ref="D2:F2"/>
    <mergeCell ref="M2:N2"/>
    <mergeCell ref="G2:H2"/>
    <mergeCell ref="I2:K2"/>
    <mergeCell ref="D4:F4"/>
    <mergeCell ref="D5:F5"/>
    <mergeCell ref="G5:H5"/>
    <mergeCell ref="D6:F6"/>
    <mergeCell ref="G6:H6"/>
    <mergeCell ref="G4:H4"/>
    <mergeCell ref="I4:K4"/>
    <mergeCell ref="I5:K5"/>
    <mergeCell ref="I6:K6"/>
    <mergeCell ref="I7:K7"/>
    <mergeCell ref="G10:H10"/>
    <mergeCell ref="B12:C16"/>
    <mergeCell ref="B17:B18"/>
    <mergeCell ref="C17:C18"/>
    <mergeCell ref="E17:E18"/>
    <mergeCell ref="F17:F18"/>
    <mergeCell ref="E12:F14"/>
    <mergeCell ref="D10:F10"/>
    <mergeCell ref="K15:L16"/>
    <mergeCell ref="K17:K18"/>
    <mergeCell ref="G12:I13"/>
    <mergeCell ref="K12:N14"/>
    <mergeCell ref="G14:H14"/>
    <mergeCell ref="M15:M16"/>
    <mergeCell ref="N16:N18"/>
    <mergeCell ref="G17:H17"/>
    <mergeCell ref="L18:M18"/>
    <mergeCell ref="G15:I15"/>
    <mergeCell ref="G16:I16"/>
  </mergeCells>
  <conditionalFormatting sqref="U9:U11">
    <cfRule type="expression" dxfId="279" priority="1" stopIfTrue="1">
      <formula>$U$9&gt;100%</formula>
    </cfRule>
    <cfRule type="expression" dxfId="278" priority="2">
      <formula>$U$9&lt;50%</formula>
    </cfRule>
  </conditionalFormatting>
  <conditionalFormatting sqref="V9:V11">
    <cfRule type="expression" dxfId="277" priority="3">
      <formula>$V$9&lt;50%</formula>
    </cfRule>
    <cfRule type="expression" dxfId="276" priority="4">
      <formula>$V$9&gt;50%</formula>
    </cfRule>
  </conditionalFormatting>
  <dataValidations count="4">
    <dataValidation type="list" allowBlank="1" showErrorMessage="1" sqref="E19:E49" xr:uid="{00000000-0002-0000-0300-000000000000}">
      <formula1>$Z$19:$Z$30</formula1>
    </dataValidation>
    <dataValidation type="list" allowBlank="1" showErrorMessage="1" sqref="I14" xr:uid="{00000000-0002-0000-0300-000001000000}">
      <formula1>$Y$14:$Y$15</formula1>
    </dataValidation>
    <dataValidation type="list" allowBlank="1" showErrorMessage="1" sqref="J14" xr:uid="{00000000-0002-0000-0300-000002000000}">
      <formula1>$L$9</formula1>
    </dataValidation>
    <dataValidation type="list" allowBlank="1" showErrorMessage="1" sqref="Q15 G18 L18 Q18" xr:uid="{00000000-0002-0000-03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239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51233.1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33799.689999999995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17433.410000000003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240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0.3402763057476515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241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17433.41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33799.689999999995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206</v>
      </c>
      <c r="C19" s="87" t="s">
        <v>169</v>
      </c>
      <c r="D19" s="88"/>
      <c r="E19" s="89">
        <v>500</v>
      </c>
      <c r="F19" s="90">
        <v>1</v>
      </c>
      <c r="G19" s="91">
        <v>30.81</v>
      </c>
      <c r="H19" s="91">
        <f t="shared" ref="H19:H49" si="0">ROUND(IF($G$18="USD $", G19*$F$16,G19*$E$16),2)</f>
        <v>22.33</v>
      </c>
      <c r="I19" s="92">
        <f t="shared" ref="I19:I49" si="1">ROUND(IF($I$18=$H$18,F19*H19,F19*G19),2)</f>
        <v>30.81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15.41</v>
      </c>
      <c r="M19" s="91">
        <f t="shared" ref="M19:M49" si="4">ROUND((K19*L19),2)</f>
        <v>15.41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15.4</v>
      </c>
      <c r="T19" s="96">
        <f t="shared" ref="T19:T49" si="7">ROUND(I19-M19,2)</f>
        <v>15.4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242</v>
      </c>
      <c r="C20" s="101" t="s">
        <v>115</v>
      </c>
      <c r="D20" s="88"/>
      <c r="E20" s="102">
        <v>500</v>
      </c>
      <c r="F20" s="103">
        <v>1</v>
      </c>
      <c r="G20" s="104">
        <v>43.54</v>
      </c>
      <c r="H20" s="105">
        <f t="shared" si="0"/>
        <v>31.55</v>
      </c>
      <c r="I20" s="106">
        <f t="shared" si="1"/>
        <v>43.54</v>
      </c>
      <c r="J20" s="107"/>
      <c r="K20" s="108">
        <f t="shared" si="2"/>
        <v>1</v>
      </c>
      <c r="L20" s="105">
        <f t="shared" si="3"/>
        <v>21.77</v>
      </c>
      <c r="M20" s="105">
        <f t="shared" si="4"/>
        <v>21.77</v>
      </c>
      <c r="N20" s="109"/>
      <c r="O20" s="95"/>
      <c r="P20" s="100"/>
      <c r="Q20" s="104"/>
      <c r="R20" s="110">
        <f t="shared" si="5"/>
        <v>0</v>
      </c>
      <c r="S20" s="111">
        <f t="shared" si="6"/>
        <v>21.77</v>
      </c>
      <c r="T20" s="111">
        <f t="shared" si="7"/>
        <v>21.77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207</v>
      </c>
      <c r="C21" s="114" t="s">
        <v>118</v>
      </c>
      <c r="D21" s="88"/>
      <c r="E21" s="89">
        <v>500</v>
      </c>
      <c r="F21" s="115">
        <v>1</v>
      </c>
      <c r="G21" s="96">
        <v>42.6</v>
      </c>
      <c r="H21" s="91">
        <f t="shared" si="0"/>
        <v>30.87</v>
      </c>
      <c r="I21" s="92">
        <f t="shared" si="1"/>
        <v>42.6</v>
      </c>
      <c r="J21" s="107"/>
      <c r="K21" s="90">
        <f t="shared" si="2"/>
        <v>1</v>
      </c>
      <c r="L21" s="91">
        <f t="shared" si="3"/>
        <v>21.3</v>
      </c>
      <c r="M21" s="91">
        <f t="shared" si="4"/>
        <v>21.3</v>
      </c>
      <c r="N21" s="116"/>
      <c r="O21" s="95"/>
      <c r="P21" s="117"/>
      <c r="Q21" s="96"/>
      <c r="R21" s="96">
        <f t="shared" si="5"/>
        <v>0</v>
      </c>
      <c r="S21" s="96">
        <f t="shared" si="6"/>
        <v>21.3</v>
      </c>
      <c r="T21" s="96">
        <f t="shared" si="7"/>
        <v>21.3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243</v>
      </c>
      <c r="C22" s="101" t="s">
        <v>174</v>
      </c>
      <c r="D22" s="88"/>
      <c r="E22" s="102">
        <v>1000</v>
      </c>
      <c r="F22" s="103">
        <v>1</v>
      </c>
      <c r="G22" s="104">
        <v>93.51</v>
      </c>
      <c r="H22" s="105">
        <f t="shared" si="0"/>
        <v>67.760000000000005</v>
      </c>
      <c r="I22" s="106">
        <f t="shared" si="1"/>
        <v>93.51</v>
      </c>
      <c r="J22" s="107"/>
      <c r="K22" s="108">
        <f t="shared" si="2"/>
        <v>1</v>
      </c>
      <c r="L22" s="105">
        <f t="shared" si="3"/>
        <v>46.76</v>
      </c>
      <c r="M22" s="105">
        <f t="shared" si="4"/>
        <v>46.76</v>
      </c>
      <c r="N22" s="109"/>
      <c r="O22" s="95"/>
      <c r="P22" s="100"/>
      <c r="Q22" s="104"/>
      <c r="R22" s="110">
        <f t="shared" si="5"/>
        <v>0</v>
      </c>
      <c r="S22" s="111">
        <f t="shared" si="6"/>
        <v>46.75</v>
      </c>
      <c r="T22" s="111">
        <f t="shared" si="7"/>
        <v>46.75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244</v>
      </c>
      <c r="C23" s="114" t="s">
        <v>245</v>
      </c>
      <c r="D23" s="88"/>
      <c r="E23" s="89">
        <v>1000</v>
      </c>
      <c r="F23" s="115">
        <v>1</v>
      </c>
      <c r="G23" s="96">
        <v>168.74</v>
      </c>
      <c r="H23" s="91">
        <f t="shared" si="0"/>
        <v>122.28</v>
      </c>
      <c r="I23" s="92">
        <f t="shared" si="1"/>
        <v>168.74</v>
      </c>
      <c r="J23" s="107"/>
      <c r="K23" s="90">
        <f t="shared" si="2"/>
        <v>1</v>
      </c>
      <c r="L23" s="91">
        <f t="shared" si="3"/>
        <v>84.37</v>
      </c>
      <c r="M23" s="91">
        <f t="shared" si="4"/>
        <v>84.37</v>
      </c>
      <c r="N23" s="116"/>
      <c r="O23" s="95"/>
      <c r="P23" s="117"/>
      <c r="Q23" s="96"/>
      <c r="R23" s="96">
        <f t="shared" si="5"/>
        <v>0</v>
      </c>
      <c r="S23" s="96">
        <f t="shared" si="6"/>
        <v>84.37</v>
      </c>
      <c r="T23" s="96">
        <f t="shared" si="7"/>
        <v>84.37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246</v>
      </c>
      <c r="C24" s="101" t="s">
        <v>128</v>
      </c>
      <c r="D24" s="88"/>
      <c r="E24" s="102">
        <v>2000</v>
      </c>
      <c r="F24" s="103">
        <v>1</v>
      </c>
      <c r="G24" s="104">
        <v>50.36</v>
      </c>
      <c r="H24" s="105">
        <f t="shared" si="0"/>
        <v>36.49</v>
      </c>
      <c r="I24" s="106">
        <f t="shared" si="1"/>
        <v>50.36</v>
      </c>
      <c r="J24" s="107"/>
      <c r="K24" s="108">
        <f t="shared" si="2"/>
        <v>1</v>
      </c>
      <c r="L24" s="105">
        <f t="shared" si="3"/>
        <v>30.22</v>
      </c>
      <c r="M24" s="105">
        <f t="shared" si="4"/>
        <v>30.22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20.14</v>
      </c>
      <c r="T24" s="111">
        <f t="shared" si="7"/>
        <v>20.14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247</v>
      </c>
      <c r="C25" s="114" t="s">
        <v>131</v>
      </c>
      <c r="D25" s="88"/>
      <c r="E25" s="89">
        <v>2000</v>
      </c>
      <c r="F25" s="115">
        <v>1</v>
      </c>
      <c r="G25" s="96">
        <v>38.56</v>
      </c>
      <c r="H25" s="91">
        <f t="shared" si="0"/>
        <v>27.94</v>
      </c>
      <c r="I25" s="92">
        <f t="shared" si="1"/>
        <v>38.56</v>
      </c>
      <c r="J25" s="107"/>
      <c r="K25" s="90">
        <f t="shared" si="2"/>
        <v>1</v>
      </c>
      <c r="L25" s="91">
        <f t="shared" si="3"/>
        <v>23.14</v>
      </c>
      <c r="M25" s="91">
        <f t="shared" si="4"/>
        <v>23.14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15.42</v>
      </c>
      <c r="T25" s="96">
        <f t="shared" si="7"/>
        <v>15.42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248</v>
      </c>
      <c r="C26" s="101" t="s">
        <v>249</v>
      </c>
      <c r="D26" s="88"/>
      <c r="E26" s="102" t="s">
        <v>138</v>
      </c>
      <c r="F26" s="103">
        <v>1</v>
      </c>
      <c r="G26" s="104">
        <v>6831.46</v>
      </c>
      <c r="H26" s="105">
        <f t="shared" si="0"/>
        <v>4950.33</v>
      </c>
      <c r="I26" s="106">
        <f t="shared" si="1"/>
        <v>6831.46</v>
      </c>
      <c r="J26" s="107"/>
      <c r="K26" s="108">
        <f t="shared" si="2"/>
        <v>1</v>
      </c>
      <c r="L26" s="105">
        <f t="shared" si="3"/>
        <v>4098.88</v>
      </c>
      <c r="M26" s="105">
        <f t="shared" si="4"/>
        <v>4098.88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2732.58</v>
      </c>
      <c r="T26" s="111">
        <f t="shared" si="7"/>
        <v>2732.58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250</v>
      </c>
      <c r="C27" s="114" t="s">
        <v>251</v>
      </c>
      <c r="D27" s="88"/>
      <c r="E27" s="89" t="s">
        <v>138</v>
      </c>
      <c r="F27" s="115">
        <v>1</v>
      </c>
      <c r="G27" s="96">
        <v>986.57</v>
      </c>
      <c r="H27" s="91">
        <f t="shared" si="0"/>
        <v>714.91</v>
      </c>
      <c r="I27" s="92">
        <f t="shared" si="1"/>
        <v>986.57</v>
      </c>
      <c r="J27" s="107"/>
      <c r="K27" s="90">
        <f t="shared" si="2"/>
        <v>1</v>
      </c>
      <c r="L27" s="91">
        <f t="shared" si="3"/>
        <v>591.94000000000005</v>
      </c>
      <c r="M27" s="91">
        <f t="shared" si="4"/>
        <v>591.94000000000005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394.63</v>
      </c>
      <c r="T27" s="96">
        <f t="shared" si="7"/>
        <v>394.63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252</v>
      </c>
      <c r="C28" s="101" t="s">
        <v>253</v>
      </c>
      <c r="D28" s="88"/>
      <c r="E28" s="102" t="s">
        <v>138</v>
      </c>
      <c r="F28" s="103">
        <v>1</v>
      </c>
      <c r="G28" s="104">
        <v>5457.07</v>
      </c>
      <c r="H28" s="105">
        <f t="shared" si="0"/>
        <v>3954.4</v>
      </c>
      <c r="I28" s="106">
        <f t="shared" si="1"/>
        <v>5457.07</v>
      </c>
      <c r="J28" s="107"/>
      <c r="K28" s="108">
        <f t="shared" si="2"/>
        <v>1</v>
      </c>
      <c r="L28" s="105">
        <f t="shared" si="3"/>
        <v>3274.24</v>
      </c>
      <c r="M28" s="105">
        <f t="shared" si="4"/>
        <v>3274.24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2182.83</v>
      </c>
      <c r="T28" s="111">
        <f t="shared" si="7"/>
        <v>2182.83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254</v>
      </c>
      <c r="C29" s="114" t="s">
        <v>255</v>
      </c>
      <c r="D29" s="88"/>
      <c r="E29" s="89" t="s">
        <v>138</v>
      </c>
      <c r="F29" s="115">
        <v>1</v>
      </c>
      <c r="G29" s="96">
        <v>3026.31</v>
      </c>
      <c r="H29" s="91">
        <f t="shared" si="0"/>
        <v>2192.98</v>
      </c>
      <c r="I29" s="92">
        <f t="shared" si="1"/>
        <v>3026.31</v>
      </c>
      <c r="J29" s="107"/>
      <c r="K29" s="90">
        <f t="shared" si="2"/>
        <v>1</v>
      </c>
      <c r="L29" s="91">
        <f t="shared" si="3"/>
        <v>1513.16</v>
      </c>
      <c r="M29" s="91">
        <f t="shared" si="4"/>
        <v>1513.16</v>
      </c>
      <c r="N29" s="116"/>
      <c r="O29" s="95"/>
      <c r="P29" s="117"/>
      <c r="Q29" s="96"/>
      <c r="R29" s="96">
        <f t="shared" si="5"/>
        <v>0</v>
      </c>
      <c r="S29" s="96">
        <f t="shared" si="6"/>
        <v>1513.15</v>
      </c>
      <c r="T29" s="96">
        <f t="shared" si="7"/>
        <v>1513.15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256</v>
      </c>
      <c r="C30" s="101" t="s">
        <v>183</v>
      </c>
      <c r="D30" s="88"/>
      <c r="E30" s="102" t="s">
        <v>138</v>
      </c>
      <c r="F30" s="103">
        <v>1</v>
      </c>
      <c r="G30" s="104">
        <v>230.01</v>
      </c>
      <c r="H30" s="105">
        <f t="shared" si="0"/>
        <v>166.67</v>
      </c>
      <c r="I30" s="106">
        <f t="shared" si="1"/>
        <v>230.01</v>
      </c>
      <c r="J30" s="107"/>
      <c r="K30" s="108">
        <f t="shared" si="2"/>
        <v>1</v>
      </c>
      <c r="L30" s="105">
        <f t="shared" si="3"/>
        <v>115.01</v>
      </c>
      <c r="M30" s="105">
        <f t="shared" si="4"/>
        <v>115.01</v>
      </c>
      <c r="N30" s="109"/>
      <c r="O30" s="95"/>
      <c r="P30" s="100"/>
      <c r="Q30" s="104"/>
      <c r="R30" s="110">
        <f t="shared" si="5"/>
        <v>0</v>
      </c>
      <c r="S30" s="111">
        <f t="shared" si="6"/>
        <v>115</v>
      </c>
      <c r="T30" s="111">
        <f t="shared" si="7"/>
        <v>115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257</v>
      </c>
      <c r="C31" s="114" t="s">
        <v>258</v>
      </c>
      <c r="D31" s="88"/>
      <c r="E31" s="89" t="s">
        <v>138</v>
      </c>
      <c r="F31" s="115">
        <v>4</v>
      </c>
      <c r="G31" s="96">
        <v>1852.34</v>
      </c>
      <c r="H31" s="91">
        <f t="shared" si="0"/>
        <v>1342.28</v>
      </c>
      <c r="I31" s="92">
        <f t="shared" si="1"/>
        <v>7409.36</v>
      </c>
      <c r="J31" s="107"/>
      <c r="K31" s="90">
        <f t="shared" si="2"/>
        <v>4</v>
      </c>
      <c r="L31" s="91">
        <f t="shared" si="3"/>
        <v>1296.6400000000001</v>
      </c>
      <c r="M31" s="91">
        <f t="shared" si="4"/>
        <v>5186.5600000000004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555.70000000000005</v>
      </c>
      <c r="T31" s="96">
        <f t="shared" si="7"/>
        <v>2222.8000000000002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259</v>
      </c>
      <c r="C32" s="101" t="s">
        <v>260</v>
      </c>
      <c r="D32" s="88"/>
      <c r="E32" s="102">
        <v>4000</v>
      </c>
      <c r="F32" s="103">
        <v>1</v>
      </c>
      <c r="G32" s="104">
        <v>26290.3</v>
      </c>
      <c r="H32" s="105">
        <f t="shared" si="0"/>
        <v>19050.939999999999</v>
      </c>
      <c r="I32" s="106">
        <f t="shared" si="1"/>
        <v>26290.3</v>
      </c>
      <c r="J32" s="107"/>
      <c r="K32" s="108">
        <f t="shared" si="2"/>
        <v>1</v>
      </c>
      <c r="L32" s="105">
        <f t="shared" si="3"/>
        <v>18403.21</v>
      </c>
      <c r="M32" s="105">
        <f t="shared" si="4"/>
        <v>18403.21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7887.09</v>
      </c>
      <c r="T32" s="111">
        <f t="shared" si="7"/>
        <v>7887.09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261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262</v>
      </c>
      <c r="C34" s="101" t="s">
        <v>263</v>
      </c>
      <c r="D34" s="88"/>
      <c r="E34" s="102" t="s">
        <v>138</v>
      </c>
      <c r="F34" s="103">
        <v>4</v>
      </c>
      <c r="G34" s="104">
        <v>31.5</v>
      </c>
      <c r="H34" s="105">
        <f t="shared" si="0"/>
        <v>22.83</v>
      </c>
      <c r="I34" s="106">
        <f t="shared" si="1"/>
        <v>126</v>
      </c>
      <c r="J34" s="107"/>
      <c r="K34" s="108">
        <f t="shared" si="2"/>
        <v>4</v>
      </c>
      <c r="L34" s="105">
        <f t="shared" si="3"/>
        <v>22.05</v>
      </c>
      <c r="M34" s="105">
        <f t="shared" si="4"/>
        <v>88.2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9.4499999999999993</v>
      </c>
      <c r="T34" s="111">
        <f t="shared" si="7"/>
        <v>37.799999999999997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264</v>
      </c>
      <c r="C35" s="114" t="s">
        <v>265</v>
      </c>
      <c r="D35" s="88"/>
      <c r="E35" s="89" t="s">
        <v>138</v>
      </c>
      <c r="F35" s="115">
        <v>1</v>
      </c>
      <c r="G35" s="96">
        <v>120.75</v>
      </c>
      <c r="H35" s="91">
        <f t="shared" si="0"/>
        <v>87.5</v>
      </c>
      <c r="I35" s="92">
        <f t="shared" si="1"/>
        <v>120.75</v>
      </c>
      <c r="J35" s="107"/>
      <c r="K35" s="90">
        <f t="shared" si="2"/>
        <v>1</v>
      </c>
      <c r="L35" s="91">
        <f t="shared" si="3"/>
        <v>84.53</v>
      </c>
      <c r="M35" s="91">
        <f t="shared" si="4"/>
        <v>84.53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36.22</v>
      </c>
      <c r="T35" s="96">
        <f t="shared" si="7"/>
        <v>36.22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266</v>
      </c>
      <c r="C36" s="101" t="s">
        <v>267</v>
      </c>
      <c r="D36" s="88"/>
      <c r="E36" s="102" t="s">
        <v>138</v>
      </c>
      <c r="F36" s="103">
        <v>4</v>
      </c>
      <c r="G36" s="104">
        <v>38.090000000000003</v>
      </c>
      <c r="H36" s="105">
        <f t="shared" si="0"/>
        <v>27.6</v>
      </c>
      <c r="I36" s="106">
        <f t="shared" si="1"/>
        <v>152.36000000000001</v>
      </c>
      <c r="J36" s="107"/>
      <c r="K36" s="108">
        <f t="shared" si="2"/>
        <v>4</v>
      </c>
      <c r="L36" s="105">
        <f t="shared" si="3"/>
        <v>26.66</v>
      </c>
      <c r="M36" s="105">
        <f t="shared" si="4"/>
        <v>106.64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11.43</v>
      </c>
      <c r="T36" s="111">
        <f t="shared" si="7"/>
        <v>45.72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268</v>
      </c>
      <c r="C37" s="114" t="s">
        <v>265</v>
      </c>
      <c r="D37" s="88"/>
      <c r="E37" s="89" t="s">
        <v>138</v>
      </c>
      <c r="F37" s="115">
        <v>1</v>
      </c>
      <c r="G37" s="96">
        <v>134.79</v>
      </c>
      <c r="H37" s="91">
        <f t="shared" si="0"/>
        <v>97.67</v>
      </c>
      <c r="I37" s="92">
        <f t="shared" si="1"/>
        <v>134.79</v>
      </c>
      <c r="J37" s="107"/>
      <c r="K37" s="90">
        <f t="shared" si="2"/>
        <v>1</v>
      </c>
      <c r="L37" s="91">
        <f t="shared" si="3"/>
        <v>94.35</v>
      </c>
      <c r="M37" s="91">
        <f t="shared" si="4"/>
        <v>94.35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40.44</v>
      </c>
      <c r="T37" s="96">
        <f t="shared" si="7"/>
        <v>40.44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27</v>
      </c>
      <c r="G50" s="123">
        <f t="shared" si="10"/>
        <v>45467.30999999999</v>
      </c>
      <c r="H50" s="124">
        <f t="shared" si="10"/>
        <v>32947.329999999994</v>
      </c>
      <c r="I50" s="125">
        <f t="shared" si="10"/>
        <v>51233.1</v>
      </c>
      <c r="J50" s="126"/>
      <c r="K50" s="127">
        <f t="shared" ref="K50:M50" si="11">SUM(K19:K49)</f>
        <v>27</v>
      </c>
      <c r="L50" s="124">
        <f t="shared" si="11"/>
        <v>29763.639999999996</v>
      </c>
      <c r="M50" s="125">
        <f t="shared" si="11"/>
        <v>33799.689999999995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15703.670000000002</v>
      </c>
      <c r="T50" s="125">
        <f t="shared" si="12"/>
        <v>17433.41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75" priority="1" stopIfTrue="1">
      <formula>$U$9&gt;100%</formula>
    </cfRule>
    <cfRule type="expression" dxfId="274" priority="2">
      <formula>$U$9&lt;50%</formula>
    </cfRule>
  </conditionalFormatting>
  <conditionalFormatting sqref="V9:V11">
    <cfRule type="expression" dxfId="273" priority="3">
      <formula>$V$9&lt;50%</formula>
    </cfRule>
    <cfRule type="expression" dxfId="272" priority="4">
      <formula>$V$9&gt;50%</formula>
    </cfRule>
  </conditionalFormatting>
  <dataValidations count="4">
    <dataValidation type="list" allowBlank="1" showErrorMessage="1" sqref="E19:E49" xr:uid="{00000000-0002-0000-0400-000000000000}">
      <formula1>$Z$19:$Z$30</formula1>
    </dataValidation>
    <dataValidation type="list" allowBlank="1" showErrorMessage="1" sqref="I14" xr:uid="{00000000-0002-0000-0400-000001000000}">
      <formula1>$Y$14:$Y$15</formula1>
    </dataValidation>
    <dataValidation type="list" allowBlank="1" showErrorMessage="1" sqref="J14" xr:uid="{00000000-0002-0000-0400-000002000000}">
      <formula1>$L$9</formula1>
    </dataValidation>
    <dataValidation type="list" allowBlank="1" showErrorMessage="1" sqref="Q15 G18 L18 Q18" xr:uid="{00000000-0002-0000-0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269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78380.569999999992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51226.07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8" t="s">
        <v>47</v>
      </c>
      <c r="H4" s="8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27154.499999999993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270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0.34644427821844109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271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27154.5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272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51226.07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273</v>
      </c>
      <c r="C19" s="87" t="s">
        <v>169</v>
      </c>
      <c r="D19" s="88"/>
      <c r="E19" s="89">
        <v>500</v>
      </c>
      <c r="F19" s="90">
        <v>1</v>
      </c>
      <c r="G19" s="91">
        <v>33.43</v>
      </c>
      <c r="H19" s="91">
        <f t="shared" ref="H19:H49" si="0">ROUND(IF($G$18="USD $", G19*$F$16,G19*$E$16),2)</f>
        <v>24.22</v>
      </c>
      <c r="I19" s="92">
        <f t="shared" ref="I19:I49" si="1">ROUND(IF($I$18=$H$18,F19*H19,F19*G19),2)</f>
        <v>33.43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16.72</v>
      </c>
      <c r="M19" s="91">
        <f t="shared" ref="M19:M49" si="4">ROUND((K19*L19),2)</f>
        <v>16.72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16.71</v>
      </c>
      <c r="T19" s="96">
        <f t="shared" ref="T19:T49" si="7">ROUND(I19-M19,2)</f>
        <v>16.71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274</v>
      </c>
      <c r="C20" s="101" t="s">
        <v>118</v>
      </c>
      <c r="D20" s="88"/>
      <c r="E20" s="102">
        <v>500</v>
      </c>
      <c r="F20" s="103">
        <v>1</v>
      </c>
      <c r="G20" s="104">
        <v>39.28</v>
      </c>
      <c r="H20" s="105">
        <f t="shared" si="0"/>
        <v>28.46</v>
      </c>
      <c r="I20" s="106">
        <f t="shared" si="1"/>
        <v>39.28</v>
      </c>
      <c r="J20" s="107"/>
      <c r="K20" s="108">
        <f t="shared" si="2"/>
        <v>1</v>
      </c>
      <c r="L20" s="105">
        <f t="shared" si="3"/>
        <v>19.64</v>
      </c>
      <c r="M20" s="105">
        <f t="shared" si="4"/>
        <v>19.64</v>
      </c>
      <c r="N20" s="109"/>
      <c r="O20" s="95"/>
      <c r="P20" s="100"/>
      <c r="Q20" s="104"/>
      <c r="R20" s="110">
        <f t="shared" si="5"/>
        <v>0</v>
      </c>
      <c r="S20" s="111">
        <f t="shared" si="6"/>
        <v>19.64</v>
      </c>
      <c r="T20" s="111">
        <f t="shared" si="7"/>
        <v>19.64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275</v>
      </c>
      <c r="C21" s="114" t="s">
        <v>115</v>
      </c>
      <c r="D21" s="88"/>
      <c r="E21" s="89">
        <v>500</v>
      </c>
      <c r="F21" s="115">
        <v>1</v>
      </c>
      <c r="G21" s="96">
        <v>59.73</v>
      </c>
      <c r="H21" s="91">
        <f t="shared" si="0"/>
        <v>43.28</v>
      </c>
      <c r="I21" s="92">
        <f t="shared" si="1"/>
        <v>59.73</v>
      </c>
      <c r="J21" s="107"/>
      <c r="K21" s="90">
        <f t="shared" si="2"/>
        <v>1</v>
      </c>
      <c r="L21" s="91">
        <f t="shared" si="3"/>
        <v>29.87</v>
      </c>
      <c r="M21" s="91">
        <f t="shared" si="4"/>
        <v>29.87</v>
      </c>
      <c r="N21" s="116"/>
      <c r="O21" s="95"/>
      <c r="P21" s="117"/>
      <c r="Q21" s="96"/>
      <c r="R21" s="96">
        <f t="shared" si="5"/>
        <v>0</v>
      </c>
      <c r="S21" s="96">
        <f t="shared" si="6"/>
        <v>29.86</v>
      </c>
      <c r="T21" s="96">
        <f t="shared" si="7"/>
        <v>29.86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276</v>
      </c>
      <c r="C22" s="101" t="s">
        <v>121</v>
      </c>
      <c r="D22" s="88"/>
      <c r="E22" s="102">
        <v>1000</v>
      </c>
      <c r="F22" s="103">
        <v>1</v>
      </c>
      <c r="G22" s="104">
        <v>80.7</v>
      </c>
      <c r="H22" s="105">
        <f t="shared" si="0"/>
        <v>58.48</v>
      </c>
      <c r="I22" s="106">
        <f t="shared" si="1"/>
        <v>80.7</v>
      </c>
      <c r="J22" s="107"/>
      <c r="K22" s="108">
        <f t="shared" si="2"/>
        <v>1</v>
      </c>
      <c r="L22" s="105">
        <f t="shared" si="3"/>
        <v>40.35</v>
      </c>
      <c r="M22" s="105">
        <f t="shared" si="4"/>
        <v>40.35</v>
      </c>
      <c r="N22" s="109"/>
      <c r="O22" s="95"/>
      <c r="P22" s="100"/>
      <c r="Q22" s="104"/>
      <c r="R22" s="110">
        <f t="shared" si="5"/>
        <v>0</v>
      </c>
      <c r="S22" s="111">
        <f t="shared" si="6"/>
        <v>40.35</v>
      </c>
      <c r="T22" s="111">
        <f t="shared" si="7"/>
        <v>40.35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277</v>
      </c>
      <c r="C23" s="114" t="s">
        <v>121</v>
      </c>
      <c r="D23" s="88"/>
      <c r="E23" s="89">
        <v>1000</v>
      </c>
      <c r="F23" s="115">
        <v>1</v>
      </c>
      <c r="G23" s="96">
        <v>173.42</v>
      </c>
      <c r="H23" s="91">
        <f t="shared" si="0"/>
        <v>125.67</v>
      </c>
      <c r="I23" s="92">
        <f t="shared" si="1"/>
        <v>173.42</v>
      </c>
      <c r="J23" s="107"/>
      <c r="K23" s="90">
        <f t="shared" si="2"/>
        <v>1</v>
      </c>
      <c r="L23" s="91">
        <f t="shared" si="3"/>
        <v>86.71</v>
      </c>
      <c r="M23" s="91">
        <f t="shared" si="4"/>
        <v>86.71</v>
      </c>
      <c r="N23" s="116"/>
      <c r="O23" s="95"/>
      <c r="P23" s="117"/>
      <c r="Q23" s="96"/>
      <c r="R23" s="96">
        <f t="shared" si="5"/>
        <v>0</v>
      </c>
      <c r="S23" s="96">
        <f t="shared" si="6"/>
        <v>86.71</v>
      </c>
      <c r="T23" s="96">
        <f t="shared" si="7"/>
        <v>86.71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278</v>
      </c>
      <c r="C24" s="101" t="s">
        <v>121</v>
      </c>
      <c r="D24" s="88"/>
      <c r="E24" s="102">
        <v>1000</v>
      </c>
      <c r="F24" s="103">
        <v>1</v>
      </c>
      <c r="G24" s="104">
        <v>77.31</v>
      </c>
      <c r="H24" s="105">
        <f t="shared" si="0"/>
        <v>56.02</v>
      </c>
      <c r="I24" s="106">
        <f t="shared" si="1"/>
        <v>77.31</v>
      </c>
      <c r="J24" s="107"/>
      <c r="K24" s="108">
        <f t="shared" si="2"/>
        <v>1</v>
      </c>
      <c r="L24" s="105">
        <f t="shared" si="3"/>
        <v>38.659999999999997</v>
      </c>
      <c r="M24" s="105">
        <f t="shared" si="4"/>
        <v>38.659999999999997</v>
      </c>
      <c r="N24" s="109"/>
      <c r="O24" s="95"/>
      <c r="P24" s="100"/>
      <c r="Q24" s="104"/>
      <c r="R24" s="110">
        <f t="shared" si="5"/>
        <v>0</v>
      </c>
      <c r="S24" s="111">
        <f t="shared" si="6"/>
        <v>38.65</v>
      </c>
      <c r="T24" s="111">
        <f t="shared" si="7"/>
        <v>38.65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279</v>
      </c>
      <c r="C25" s="114" t="s">
        <v>128</v>
      </c>
      <c r="D25" s="88"/>
      <c r="E25" s="89">
        <v>2000</v>
      </c>
      <c r="F25" s="115">
        <v>1</v>
      </c>
      <c r="G25" s="96">
        <v>78.959999999999994</v>
      </c>
      <c r="H25" s="91">
        <f t="shared" si="0"/>
        <v>57.22</v>
      </c>
      <c r="I25" s="92">
        <f t="shared" si="1"/>
        <v>78.959999999999994</v>
      </c>
      <c r="J25" s="107"/>
      <c r="K25" s="90">
        <f t="shared" si="2"/>
        <v>1</v>
      </c>
      <c r="L25" s="91">
        <f t="shared" si="3"/>
        <v>47.38</v>
      </c>
      <c r="M25" s="91">
        <f t="shared" si="4"/>
        <v>47.38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31.58</v>
      </c>
      <c r="T25" s="96">
        <f t="shared" si="7"/>
        <v>31.58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280</v>
      </c>
      <c r="C26" s="101" t="s">
        <v>131</v>
      </c>
      <c r="D26" s="88"/>
      <c r="E26" s="102">
        <v>2000</v>
      </c>
      <c r="F26" s="103">
        <v>1</v>
      </c>
      <c r="G26" s="104">
        <v>62.82</v>
      </c>
      <c r="H26" s="105">
        <f t="shared" si="0"/>
        <v>45.52</v>
      </c>
      <c r="I26" s="106">
        <f t="shared" si="1"/>
        <v>62.82</v>
      </c>
      <c r="J26" s="107"/>
      <c r="K26" s="108">
        <f t="shared" si="2"/>
        <v>1</v>
      </c>
      <c r="L26" s="105">
        <f t="shared" si="3"/>
        <v>37.69</v>
      </c>
      <c r="M26" s="105">
        <f t="shared" si="4"/>
        <v>37.69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25.13</v>
      </c>
      <c r="T26" s="111">
        <f t="shared" si="7"/>
        <v>25.13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281</v>
      </c>
      <c r="C27" s="114" t="s">
        <v>134</v>
      </c>
      <c r="D27" s="88"/>
      <c r="E27" s="89">
        <v>2000</v>
      </c>
      <c r="F27" s="115">
        <v>1</v>
      </c>
      <c r="G27" s="96">
        <v>64.39</v>
      </c>
      <c r="H27" s="91">
        <f t="shared" si="0"/>
        <v>46.66</v>
      </c>
      <c r="I27" s="92">
        <f t="shared" si="1"/>
        <v>64.39</v>
      </c>
      <c r="J27" s="107"/>
      <c r="K27" s="90">
        <f t="shared" si="2"/>
        <v>1</v>
      </c>
      <c r="L27" s="91">
        <f t="shared" si="3"/>
        <v>38.630000000000003</v>
      </c>
      <c r="M27" s="91">
        <f t="shared" si="4"/>
        <v>38.630000000000003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25.76</v>
      </c>
      <c r="T27" s="96">
        <f t="shared" si="7"/>
        <v>25.76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282</v>
      </c>
      <c r="C28" s="101" t="s">
        <v>134</v>
      </c>
      <c r="D28" s="88"/>
      <c r="E28" s="102">
        <v>2000</v>
      </c>
      <c r="F28" s="103">
        <v>1</v>
      </c>
      <c r="G28" s="104">
        <v>71.5</v>
      </c>
      <c r="H28" s="105">
        <f t="shared" si="0"/>
        <v>51.81</v>
      </c>
      <c r="I28" s="106">
        <f t="shared" si="1"/>
        <v>71.5</v>
      </c>
      <c r="J28" s="107"/>
      <c r="K28" s="108">
        <f t="shared" si="2"/>
        <v>1</v>
      </c>
      <c r="L28" s="105">
        <f t="shared" si="3"/>
        <v>42.9</v>
      </c>
      <c r="M28" s="105">
        <f t="shared" si="4"/>
        <v>42.9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28.6</v>
      </c>
      <c r="T28" s="111">
        <f t="shared" si="7"/>
        <v>28.6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283</v>
      </c>
      <c r="C29" s="114" t="s">
        <v>284</v>
      </c>
      <c r="D29" s="88"/>
      <c r="E29" s="89" t="s">
        <v>138</v>
      </c>
      <c r="F29" s="115">
        <v>1</v>
      </c>
      <c r="G29" s="96">
        <v>1032.48</v>
      </c>
      <c r="H29" s="91">
        <f t="shared" si="0"/>
        <v>748.17</v>
      </c>
      <c r="I29" s="92">
        <f t="shared" si="1"/>
        <v>1032.48</v>
      </c>
      <c r="J29" s="107"/>
      <c r="K29" s="90">
        <f t="shared" si="2"/>
        <v>1</v>
      </c>
      <c r="L29" s="91">
        <f t="shared" si="3"/>
        <v>619.49</v>
      </c>
      <c r="M29" s="91">
        <f t="shared" si="4"/>
        <v>619.49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412.99</v>
      </c>
      <c r="T29" s="96">
        <f t="shared" si="7"/>
        <v>412.99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285</v>
      </c>
      <c r="C30" s="101" t="s">
        <v>286</v>
      </c>
      <c r="D30" s="88"/>
      <c r="E30" s="102" t="s">
        <v>138</v>
      </c>
      <c r="F30" s="103">
        <v>1</v>
      </c>
      <c r="G30" s="104">
        <v>8765</v>
      </c>
      <c r="H30" s="105">
        <f t="shared" si="0"/>
        <v>6351.45</v>
      </c>
      <c r="I30" s="106">
        <f t="shared" si="1"/>
        <v>8765</v>
      </c>
      <c r="J30" s="107"/>
      <c r="K30" s="108">
        <f t="shared" si="2"/>
        <v>1</v>
      </c>
      <c r="L30" s="105">
        <f t="shared" si="3"/>
        <v>4382.5</v>
      </c>
      <c r="M30" s="105">
        <f t="shared" si="4"/>
        <v>4382.5</v>
      </c>
      <c r="N30" s="109"/>
      <c r="O30" s="95"/>
      <c r="P30" s="100"/>
      <c r="Q30" s="104"/>
      <c r="R30" s="110">
        <f t="shared" si="5"/>
        <v>0</v>
      </c>
      <c r="S30" s="111">
        <f t="shared" si="6"/>
        <v>4382.5</v>
      </c>
      <c r="T30" s="111">
        <f t="shared" si="7"/>
        <v>4382.5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287</v>
      </c>
      <c r="C31" s="114" t="s">
        <v>183</v>
      </c>
      <c r="D31" s="88"/>
      <c r="E31" s="89" t="s">
        <v>138</v>
      </c>
      <c r="F31" s="115">
        <v>2</v>
      </c>
      <c r="G31" s="96">
        <v>396.11</v>
      </c>
      <c r="H31" s="91">
        <f t="shared" si="0"/>
        <v>287.04000000000002</v>
      </c>
      <c r="I31" s="92">
        <f t="shared" si="1"/>
        <v>792.22</v>
      </c>
      <c r="J31" s="107"/>
      <c r="K31" s="90">
        <f t="shared" si="2"/>
        <v>2</v>
      </c>
      <c r="L31" s="91">
        <f t="shared" si="3"/>
        <v>198.06</v>
      </c>
      <c r="M31" s="91">
        <f t="shared" si="4"/>
        <v>396.12</v>
      </c>
      <c r="N31" s="116"/>
      <c r="O31" s="95"/>
      <c r="P31" s="117"/>
      <c r="Q31" s="96"/>
      <c r="R31" s="96">
        <f t="shared" si="5"/>
        <v>0</v>
      </c>
      <c r="S31" s="96">
        <f t="shared" si="6"/>
        <v>198.05</v>
      </c>
      <c r="T31" s="96">
        <f t="shared" si="7"/>
        <v>396.1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288</v>
      </c>
      <c r="C32" s="101" t="s">
        <v>144</v>
      </c>
      <c r="D32" s="88"/>
      <c r="E32" s="102" t="s">
        <v>138</v>
      </c>
      <c r="F32" s="103">
        <v>1</v>
      </c>
      <c r="G32" s="104">
        <v>4055.15</v>
      </c>
      <c r="H32" s="105">
        <f t="shared" si="0"/>
        <v>2938.51</v>
      </c>
      <c r="I32" s="106">
        <f t="shared" si="1"/>
        <v>4055.15</v>
      </c>
      <c r="J32" s="107"/>
      <c r="K32" s="108">
        <f t="shared" si="2"/>
        <v>1</v>
      </c>
      <c r="L32" s="105">
        <f t="shared" si="3"/>
        <v>2027.58</v>
      </c>
      <c r="M32" s="105">
        <f t="shared" si="4"/>
        <v>2027.58</v>
      </c>
      <c r="N32" s="109"/>
      <c r="O32" s="95"/>
      <c r="P32" s="100"/>
      <c r="Q32" s="104"/>
      <c r="R32" s="110">
        <f t="shared" si="5"/>
        <v>0</v>
      </c>
      <c r="S32" s="111">
        <f t="shared" si="6"/>
        <v>2027.57</v>
      </c>
      <c r="T32" s="111">
        <f t="shared" si="7"/>
        <v>2027.57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289</v>
      </c>
      <c r="C33" s="114" t="s">
        <v>144</v>
      </c>
      <c r="D33" s="88"/>
      <c r="E33" s="89" t="s">
        <v>138</v>
      </c>
      <c r="F33" s="115">
        <v>1</v>
      </c>
      <c r="G33" s="96">
        <v>3470.47</v>
      </c>
      <c r="H33" s="91">
        <f t="shared" si="0"/>
        <v>2514.83</v>
      </c>
      <c r="I33" s="92">
        <f t="shared" si="1"/>
        <v>3470.47</v>
      </c>
      <c r="J33" s="107"/>
      <c r="K33" s="90">
        <f t="shared" si="2"/>
        <v>1</v>
      </c>
      <c r="L33" s="91">
        <f t="shared" si="3"/>
        <v>1735.24</v>
      </c>
      <c r="M33" s="91">
        <f t="shared" si="4"/>
        <v>1735.24</v>
      </c>
      <c r="N33" s="116"/>
      <c r="O33" s="95"/>
      <c r="P33" s="117"/>
      <c r="Q33" s="96"/>
      <c r="R33" s="96">
        <f t="shared" si="5"/>
        <v>0</v>
      </c>
      <c r="S33" s="96">
        <f t="shared" si="6"/>
        <v>1735.23</v>
      </c>
      <c r="T33" s="96">
        <f t="shared" si="7"/>
        <v>1735.23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290</v>
      </c>
      <c r="C34" s="101" t="s">
        <v>258</v>
      </c>
      <c r="D34" s="88"/>
      <c r="E34" s="102" t="s">
        <v>138</v>
      </c>
      <c r="F34" s="103">
        <v>4</v>
      </c>
      <c r="G34" s="104">
        <v>1606.8</v>
      </c>
      <c r="H34" s="105">
        <f t="shared" si="0"/>
        <v>1164.3499999999999</v>
      </c>
      <c r="I34" s="106">
        <f t="shared" si="1"/>
        <v>6427.2</v>
      </c>
      <c r="J34" s="107"/>
      <c r="K34" s="108">
        <f t="shared" si="2"/>
        <v>4</v>
      </c>
      <c r="L34" s="105">
        <f t="shared" si="3"/>
        <v>1124.76</v>
      </c>
      <c r="M34" s="105">
        <f t="shared" si="4"/>
        <v>4499.04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482.04</v>
      </c>
      <c r="T34" s="111">
        <f t="shared" si="7"/>
        <v>1928.16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291</v>
      </c>
      <c r="C35" s="114" t="s">
        <v>292</v>
      </c>
      <c r="D35" s="88"/>
      <c r="E35" s="89">
        <v>4000</v>
      </c>
      <c r="F35" s="115">
        <v>1</v>
      </c>
      <c r="G35" s="96">
        <v>50580.46</v>
      </c>
      <c r="H35" s="91">
        <f t="shared" si="0"/>
        <v>36652.51</v>
      </c>
      <c r="I35" s="92">
        <f t="shared" si="1"/>
        <v>50580.46</v>
      </c>
      <c r="J35" s="107"/>
      <c r="K35" s="90">
        <f t="shared" si="2"/>
        <v>1</v>
      </c>
      <c r="L35" s="91">
        <f t="shared" si="3"/>
        <v>35406.32</v>
      </c>
      <c r="M35" s="91">
        <f t="shared" si="4"/>
        <v>35406.32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15174.14</v>
      </c>
      <c r="T35" s="96">
        <f t="shared" si="7"/>
        <v>15174.14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293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294</v>
      </c>
      <c r="C37" s="114" t="s">
        <v>295</v>
      </c>
      <c r="D37" s="88"/>
      <c r="E37" s="89" t="s">
        <v>138</v>
      </c>
      <c r="F37" s="115">
        <v>1</v>
      </c>
      <c r="G37" s="96">
        <v>1418.99</v>
      </c>
      <c r="H37" s="91">
        <f t="shared" si="0"/>
        <v>1028.25</v>
      </c>
      <c r="I37" s="92">
        <f t="shared" si="1"/>
        <v>1418.99</v>
      </c>
      <c r="J37" s="107"/>
      <c r="K37" s="90">
        <f t="shared" si="2"/>
        <v>1</v>
      </c>
      <c r="L37" s="91">
        <f t="shared" si="3"/>
        <v>993.29</v>
      </c>
      <c r="M37" s="91">
        <f t="shared" si="4"/>
        <v>993.29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425.7</v>
      </c>
      <c r="T37" s="96">
        <f t="shared" si="7"/>
        <v>425.7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296</v>
      </c>
      <c r="C38" s="101" t="s">
        <v>297</v>
      </c>
      <c r="D38" s="88"/>
      <c r="E38" s="102" t="s">
        <v>138</v>
      </c>
      <c r="F38" s="103">
        <v>1</v>
      </c>
      <c r="G38" s="104">
        <v>176.9</v>
      </c>
      <c r="H38" s="105">
        <f t="shared" si="0"/>
        <v>128.19</v>
      </c>
      <c r="I38" s="106">
        <f t="shared" si="1"/>
        <v>176.9</v>
      </c>
      <c r="J38" s="107"/>
      <c r="K38" s="108">
        <f t="shared" si="2"/>
        <v>1</v>
      </c>
      <c r="L38" s="105">
        <f t="shared" si="3"/>
        <v>123.83</v>
      </c>
      <c r="M38" s="105">
        <f t="shared" si="4"/>
        <v>123.83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53.07</v>
      </c>
      <c r="T38" s="111">
        <f t="shared" si="7"/>
        <v>53.07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298</v>
      </c>
      <c r="C39" s="114" t="s">
        <v>297</v>
      </c>
      <c r="D39" s="88"/>
      <c r="E39" s="89" t="s">
        <v>138</v>
      </c>
      <c r="F39" s="115">
        <v>1</v>
      </c>
      <c r="G39" s="96">
        <v>176.9</v>
      </c>
      <c r="H39" s="91">
        <f t="shared" si="0"/>
        <v>128.19</v>
      </c>
      <c r="I39" s="92">
        <f t="shared" si="1"/>
        <v>176.9</v>
      </c>
      <c r="J39" s="107"/>
      <c r="K39" s="90">
        <f t="shared" si="2"/>
        <v>1</v>
      </c>
      <c r="L39" s="91">
        <f t="shared" si="3"/>
        <v>123.83</v>
      </c>
      <c r="M39" s="91">
        <f t="shared" si="4"/>
        <v>123.83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53.07</v>
      </c>
      <c r="T39" s="96">
        <f t="shared" si="7"/>
        <v>53.07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299</v>
      </c>
      <c r="C40" s="101" t="s">
        <v>297</v>
      </c>
      <c r="D40" s="88"/>
      <c r="E40" s="102" t="s">
        <v>138</v>
      </c>
      <c r="F40" s="103">
        <v>1</v>
      </c>
      <c r="G40" s="104">
        <v>176.9</v>
      </c>
      <c r="H40" s="105">
        <f t="shared" si="0"/>
        <v>128.19</v>
      </c>
      <c r="I40" s="106">
        <f t="shared" si="1"/>
        <v>176.9</v>
      </c>
      <c r="J40" s="107"/>
      <c r="K40" s="108">
        <f t="shared" si="2"/>
        <v>1</v>
      </c>
      <c r="L40" s="105">
        <f t="shared" si="3"/>
        <v>123.83</v>
      </c>
      <c r="M40" s="105">
        <f t="shared" si="4"/>
        <v>123.83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53.07</v>
      </c>
      <c r="T40" s="111">
        <f t="shared" si="7"/>
        <v>53.07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300</v>
      </c>
      <c r="C41" s="114" t="s">
        <v>301</v>
      </c>
      <c r="D41" s="88"/>
      <c r="E41" s="89" t="s">
        <v>138</v>
      </c>
      <c r="F41" s="115">
        <v>2</v>
      </c>
      <c r="G41" s="96">
        <v>201.76</v>
      </c>
      <c r="H41" s="91">
        <f t="shared" si="0"/>
        <v>146.19999999999999</v>
      </c>
      <c r="I41" s="92">
        <f t="shared" si="1"/>
        <v>403.52</v>
      </c>
      <c r="J41" s="107"/>
      <c r="K41" s="90">
        <f t="shared" si="2"/>
        <v>2</v>
      </c>
      <c r="L41" s="91">
        <f t="shared" si="3"/>
        <v>141.22999999999999</v>
      </c>
      <c r="M41" s="91">
        <f t="shared" si="4"/>
        <v>282.45999999999998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60.53</v>
      </c>
      <c r="T41" s="96">
        <f t="shared" si="7"/>
        <v>121.06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302</v>
      </c>
      <c r="C42" s="101" t="s">
        <v>301</v>
      </c>
      <c r="D42" s="88"/>
      <c r="E42" s="102" t="s">
        <v>138</v>
      </c>
      <c r="F42" s="103">
        <v>1</v>
      </c>
      <c r="G42" s="104">
        <v>82.55</v>
      </c>
      <c r="H42" s="105">
        <f t="shared" si="0"/>
        <v>59.82</v>
      </c>
      <c r="I42" s="106">
        <f t="shared" si="1"/>
        <v>82.55</v>
      </c>
      <c r="J42" s="107"/>
      <c r="K42" s="108">
        <f t="shared" si="2"/>
        <v>1</v>
      </c>
      <c r="L42" s="105">
        <f t="shared" si="3"/>
        <v>57.79</v>
      </c>
      <c r="M42" s="105">
        <f t="shared" si="4"/>
        <v>57.79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24.76</v>
      </c>
      <c r="T42" s="111">
        <f t="shared" si="7"/>
        <v>24.76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303</v>
      </c>
      <c r="C43" s="114" t="s">
        <v>301</v>
      </c>
      <c r="D43" s="88"/>
      <c r="E43" s="89" t="s">
        <v>138</v>
      </c>
      <c r="F43" s="115">
        <v>1</v>
      </c>
      <c r="G43" s="96">
        <v>80.290000000000006</v>
      </c>
      <c r="H43" s="91">
        <f t="shared" si="0"/>
        <v>58.18</v>
      </c>
      <c r="I43" s="92">
        <f t="shared" si="1"/>
        <v>80.290000000000006</v>
      </c>
      <c r="J43" s="107"/>
      <c r="K43" s="90">
        <f t="shared" si="2"/>
        <v>1</v>
      </c>
      <c r="L43" s="91">
        <f t="shared" si="3"/>
        <v>56.2</v>
      </c>
      <c r="M43" s="91">
        <f t="shared" si="4"/>
        <v>56.2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24.09</v>
      </c>
      <c r="T43" s="96">
        <f t="shared" si="7"/>
        <v>24.09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29</v>
      </c>
      <c r="G50" s="123">
        <f t="shared" si="10"/>
        <v>72962.299999999974</v>
      </c>
      <c r="H50" s="124">
        <f t="shared" si="10"/>
        <v>52871.22</v>
      </c>
      <c r="I50" s="125">
        <f t="shared" si="10"/>
        <v>78380.569999999992</v>
      </c>
      <c r="J50" s="126"/>
      <c r="K50" s="127">
        <f t="shared" ref="K50:M50" si="11">SUM(K19:K49)</f>
        <v>29</v>
      </c>
      <c r="L50" s="124">
        <f t="shared" si="11"/>
        <v>47512.500000000007</v>
      </c>
      <c r="M50" s="125">
        <f t="shared" si="11"/>
        <v>51226.07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25449.8</v>
      </c>
      <c r="T50" s="125">
        <f t="shared" si="12"/>
        <v>27154.5</v>
      </c>
      <c r="U50" s="130"/>
      <c r="V50" s="130"/>
      <c r="W50" s="131"/>
    </row>
  </sheetData>
  <mergeCells count="88">
    <mergeCell ref="U9:U11"/>
    <mergeCell ref="V9:V11"/>
    <mergeCell ref="W9:W11"/>
    <mergeCell ref="S2:T2"/>
    <mergeCell ref="U2:V2"/>
    <mergeCell ref="S3:T3"/>
    <mergeCell ref="U3:V3"/>
    <mergeCell ref="S4:T4"/>
    <mergeCell ref="U4:V4"/>
    <mergeCell ref="U5:V5"/>
    <mergeCell ref="S5:T5"/>
    <mergeCell ref="S6:T6"/>
    <mergeCell ref="S7:T7"/>
    <mergeCell ref="S9:S11"/>
    <mergeCell ref="T9:T11"/>
    <mergeCell ref="P2:R2"/>
    <mergeCell ref="P3:R3"/>
    <mergeCell ref="P4:R4"/>
    <mergeCell ref="P5:R5"/>
    <mergeCell ref="P6:R6"/>
    <mergeCell ref="D6:F6"/>
    <mergeCell ref="G6:H6"/>
    <mergeCell ref="I6:K6"/>
    <mergeCell ref="P8:R8"/>
    <mergeCell ref="P9:R9"/>
    <mergeCell ref="P7:R7"/>
    <mergeCell ref="B1:C1"/>
    <mergeCell ref="D1:H1"/>
    <mergeCell ref="I1:L1"/>
    <mergeCell ref="M1:O1"/>
    <mergeCell ref="S1:W1"/>
    <mergeCell ref="P1:R1"/>
    <mergeCell ref="D2:F2"/>
    <mergeCell ref="M2:N2"/>
    <mergeCell ref="G2:H2"/>
    <mergeCell ref="I2:K2"/>
    <mergeCell ref="D3:F3"/>
    <mergeCell ref="G3:H3"/>
    <mergeCell ref="I3:K3"/>
    <mergeCell ref="D4:F4"/>
    <mergeCell ref="I4:K4"/>
    <mergeCell ref="U6:V6"/>
    <mergeCell ref="U7:V7"/>
    <mergeCell ref="P12:V14"/>
    <mergeCell ref="E12:F14"/>
    <mergeCell ref="G12:I13"/>
    <mergeCell ref="G14:H14"/>
    <mergeCell ref="D7:F7"/>
    <mergeCell ref="D10:F10"/>
    <mergeCell ref="G10:H10"/>
    <mergeCell ref="G7:H7"/>
    <mergeCell ref="I7:K7"/>
    <mergeCell ref="D5:F5"/>
    <mergeCell ref="G5:H5"/>
    <mergeCell ref="I5:K5"/>
    <mergeCell ref="P16:V16"/>
    <mergeCell ref="R18:V18"/>
    <mergeCell ref="P10:R10"/>
    <mergeCell ref="D8:F8"/>
    <mergeCell ref="G8:H8"/>
    <mergeCell ref="I8:K8"/>
    <mergeCell ref="D9:F9"/>
    <mergeCell ref="G9:H9"/>
    <mergeCell ref="P11:R11"/>
    <mergeCell ref="K12:N14"/>
    <mergeCell ref="K15:L16"/>
    <mergeCell ref="M15:M16"/>
    <mergeCell ref="N16:N18"/>
    <mergeCell ref="K17:K18"/>
    <mergeCell ref="P17:P18"/>
    <mergeCell ref="L18:M18"/>
    <mergeCell ref="B12:C16"/>
    <mergeCell ref="B17:B18"/>
    <mergeCell ref="C17:C18"/>
    <mergeCell ref="E17:E18"/>
    <mergeCell ref="F17:F18"/>
    <mergeCell ref="G17:H17"/>
    <mergeCell ref="M11:N11"/>
    <mergeCell ref="M10:N10"/>
    <mergeCell ref="M3:N3"/>
    <mergeCell ref="M4:N4"/>
    <mergeCell ref="M5:N5"/>
    <mergeCell ref="M6:N6"/>
    <mergeCell ref="M7:N7"/>
    <mergeCell ref="M8:N8"/>
    <mergeCell ref="M9:N9"/>
    <mergeCell ref="G15:I15"/>
    <mergeCell ref="G16:I16"/>
  </mergeCells>
  <conditionalFormatting sqref="U9:U11">
    <cfRule type="expression" dxfId="271" priority="1" stopIfTrue="1">
      <formula>$U$9&gt;100%</formula>
    </cfRule>
    <cfRule type="expression" dxfId="270" priority="2">
      <formula>$U$9&lt;50%</formula>
    </cfRule>
  </conditionalFormatting>
  <conditionalFormatting sqref="V9:V11">
    <cfRule type="expression" dxfId="269" priority="3">
      <formula>$V$9&lt;50%</formula>
    </cfRule>
    <cfRule type="expression" dxfId="268" priority="4">
      <formula>$V$9&gt;50%</formula>
    </cfRule>
  </conditionalFormatting>
  <dataValidations count="4">
    <dataValidation type="list" allowBlank="1" showErrorMessage="1" sqref="E19:E49" xr:uid="{00000000-0002-0000-0500-000000000000}">
      <formula1>$Z$19:$Z$30</formula1>
    </dataValidation>
    <dataValidation type="list" allowBlank="1" showErrorMessage="1" sqref="I14" xr:uid="{00000000-0002-0000-0500-000001000000}">
      <formula1>$Y$14:$Y$15</formula1>
    </dataValidation>
    <dataValidation type="list" allowBlank="1" showErrorMessage="1" sqref="J14" xr:uid="{00000000-0002-0000-0500-000002000000}">
      <formula1>$L$9</formula1>
    </dataValidation>
    <dataValidation type="list" allowBlank="1" showErrorMessage="1" sqref="Q15 G18 L18 Q18" xr:uid="{00000000-0002-0000-05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304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78380.569999999992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51226.07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27154.499999999993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270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0.34644427821844109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305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27154.5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235" t="s">
        <v>306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51226.07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273</v>
      </c>
      <c r="C19" s="87" t="s">
        <v>169</v>
      </c>
      <c r="D19" s="88"/>
      <c r="E19" s="89">
        <v>500</v>
      </c>
      <c r="F19" s="90">
        <v>1</v>
      </c>
      <c r="G19" s="91">
        <v>33.43</v>
      </c>
      <c r="H19" s="91">
        <f t="shared" ref="H19:H49" si="0">ROUND(IF($G$18="USD $", G19*$F$16,G19*$E$16),2)</f>
        <v>24.22</v>
      </c>
      <c r="I19" s="92">
        <f t="shared" ref="I19:I49" si="1">ROUND(IF($I$18=$H$18,F19*H19,F19*G19),2)</f>
        <v>33.43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16.72</v>
      </c>
      <c r="M19" s="91">
        <f t="shared" ref="M19:M49" si="4">ROUND((K19*L19),2)</f>
        <v>16.72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16.71</v>
      </c>
      <c r="T19" s="96">
        <f t="shared" ref="T19:T49" si="7">ROUND(I19-M19,2)</f>
        <v>16.71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274</v>
      </c>
      <c r="C20" s="101" t="s">
        <v>118</v>
      </c>
      <c r="D20" s="88"/>
      <c r="E20" s="102">
        <v>500</v>
      </c>
      <c r="F20" s="103">
        <v>1</v>
      </c>
      <c r="G20" s="104">
        <v>39.28</v>
      </c>
      <c r="H20" s="105">
        <f t="shared" si="0"/>
        <v>28.46</v>
      </c>
      <c r="I20" s="106">
        <f t="shared" si="1"/>
        <v>39.28</v>
      </c>
      <c r="J20" s="107"/>
      <c r="K20" s="108">
        <f t="shared" si="2"/>
        <v>1</v>
      </c>
      <c r="L20" s="105">
        <f t="shared" si="3"/>
        <v>19.64</v>
      </c>
      <c r="M20" s="105">
        <f t="shared" si="4"/>
        <v>19.64</v>
      </c>
      <c r="N20" s="109"/>
      <c r="O20" s="95"/>
      <c r="P20" s="100"/>
      <c r="Q20" s="104"/>
      <c r="R20" s="110">
        <f t="shared" si="5"/>
        <v>0</v>
      </c>
      <c r="S20" s="111">
        <f t="shared" si="6"/>
        <v>19.64</v>
      </c>
      <c r="T20" s="111">
        <f t="shared" si="7"/>
        <v>19.64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275</v>
      </c>
      <c r="C21" s="114" t="s">
        <v>115</v>
      </c>
      <c r="D21" s="88"/>
      <c r="E21" s="89">
        <v>500</v>
      </c>
      <c r="F21" s="115">
        <v>1</v>
      </c>
      <c r="G21" s="96">
        <v>59.73</v>
      </c>
      <c r="H21" s="91">
        <f t="shared" si="0"/>
        <v>43.28</v>
      </c>
      <c r="I21" s="92">
        <f t="shared" si="1"/>
        <v>59.73</v>
      </c>
      <c r="J21" s="107"/>
      <c r="K21" s="90">
        <f t="shared" si="2"/>
        <v>1</v>
      </c>
      <c r="L21" s="91">
        <f t="shared" si="3"/>
        <v>29.87</v>
      </c>
      <c r="M21" s="91">
        <f t="shared" si="4"/>
        <v>29.87</v>
      </c>
      <c r="N21" s="116"/>
      <c r="O21" s="95"/>
      <c r="P21" s="117"/>
      <c r="Q21" s="96"/>
      <c r="R21" s="96">
        <f t="shared" si="5"/>
        <v>0</v>
      </c>
      <c r="S21" s="96">
        <f t="shared" si="6"/>
        <v>29.86</v>
      </c>
      <c r="T21" s="96">
        <f t="shared" si="7"/>
        <v>29.86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276</v>
      </c>
      <c r="C22" s="101" t="s">
        <v>121</v>
      </c>
      <c r="D22" s="88"/>
      <c r="E22" s="102">
        <v>1000</v>
      </c>
      <c r="F22" s="103">
        <v>1</v>
      </c>
      <c r="G22" s="104">
        <v>80.7</v>
      </c>
      <c r="H22" s="105">
        <f t="shared" si="0"/>
        <v>58.48</v>
      </c>
      <c r="I22" s="106">
        <f t="shared" si="1"/>
        <v>80.7</v>
      </c>
      <c r="J22" s="107"/>
      <c r="K22" s="108">
        <f t="shared" si="2"/>
        <v>1</v>
      </c>
      <c r="L22" s="105">
        <f t="shared" si="3"/>
        <v>40.35</v>
      </c>
      <c r="M22" s="105">
        <f t="shared" si="4"/>
        <v>40.35</v>
      </c>
      <c r="N22" s="109"/>
      <c r="O22" s="95"/>
      <c r="P22" s="100"/>
      <c r="Q22" s="104"/>
      <c r="R22" s="110">
        <f t="shared" si="5"/>
        <v>0</v>
      </c>
      <c r="S22" s="111">
        <f t="shared" si="6"/>
        <v>40.35</v>
      </c>
      <c r="T22" s="111">
        <f t="shared" si="7"/>
        <v>40.35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277</v>
      </c>
      <c r="C23" s="114" t="s">
        <v>121</v>
      </c>
      <c r="D23" s="88"/>
      <c r="E23" s="89">
        <v>1000</v>
      </c>
      <c r="F23" s="115">
        <v>1</v>
      </c>
      <c r="G23" s="96">
        <v>173.42</v>
      </c>
      <c r="H23" s="91">
        <f t="shared" si="0"/>
        <v>125.67</v>
      </c>
      <c r="I23" s="92">
        <f t="shared" si="1"/>
        <v>173.42</v>
      </c>
      <c r="J23" s="107"/>
      <c r="K23" s="90">
        <f t="shared" si="2"/>
        <v>1</v>
      </c>
      <c r="L23" s="91">
        <f t="shared" si="3"/>
        <v>86.71</v>
      </c>
      <c r="M23" s="91">
        <f t="shared" si="4"/>
        <v>86.71</v>
      </c>
      <c r="N23" s="116"/>
      <c r="O23" s="95"/>
      <c r="P23" s="117"/>
      <c r="Q23" s="96"/>
      <c r="R23" s="96">
        <f t="shared" si="5"/>
        <v>0</v>
      </c>
      <c r="S23" s="96">
        <f t="shared" si="6"/>
        <v>86.71</v>
      </c>
      <c r="T23" s="96">
        <f t="shared" si="7"/>
        <v>86.71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278</v>
      </c>
      <c r="C24" s="101" t="s">
        <v>121</v>
      </c>
      <c r="D24" s="88"/>
      <c r="E24" s="102">
        <v>1000</v>
      </c>
      <c r="F24" s="103">
        <v>1</v>
      </c>
      <c r="G24" s="104">
        <v>77.31</v>
      </c>
      <c r="H24" s="105">
        <f t="shared" si="0"/>
        <v>56.02</v>
      </c>
      <c r="I24" s="106">
        <f t="shared" si="1"/>
        <v>77.31</v>
      </c>
      <c r="J24" s="107"/>
      <c r="K24" s="108">
        <f t="shared" si="2"/>
        <v>1</v>
      </c>
      <c r="L24" s="105">
        <f t="shared" si="3"/>
        <v>38.659999999999997</v>
      </c>
      <c r="M24" s="105">
        <f t="shared" si="4"/>
        <v>38.659999999999997</v>
      </c>
      <c r="N24" s="109"/>
      <c r="O24" s="95"/>
      <c r="P24" s="100"/>
      <c r="Q24" s="104"/>
      <c r="R24" s="110">
        <f t="shared" si="5"/>
        <v>0</v>
      </c>
      <c r="S24" s="111">
        <f t="shared" si="6"/>
        <v>38.65</v>
      </c>
      <c r="T24" s="111">
        <f t="shared" si="7"/>
        <v>38.65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279</v>
      </c>
      <c r="C25" s="114" t="s">
        <v>128</v>
      </c>
      <c r="D25" s="88"/>
      <c r="E25" s="89">
        <v>2000</v>
      </c>
      <c r="F25" s="115">
        <v>1</v>
      </c>
      <c r="G25" s="96">
        <v>78.959999999999994</v>
      </c>
      <c r="H25" s="91">
        <f t="shared" si="0"/>
        <v>57.22</v>
      </c>
      <c r="I25" s="92">
        <f t="shared" si="1"/>
        <v>78.959999999999994</v>
      </c>
      <c r="J25" s="107"/>
      <c r="K25" s="90">
        <f t="shared" si="2"/>
        <v>1</v>
      </c>
      <c r="L25" s="91">
        <f t="shared" si="3"/>
        <v>47.38</v>
      </c>
      <c r="M25" s="91">
        <f t="shared" si="4"/>
        <v>47.38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31.58</v>
      </c>
      <c r="T25" s="96">
        <f t="shared" si="7"/>
        <v>31.58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280</v>
      </c>
      <c r="C26" s="101" t="s">
        <v>131</v>
      </c>
      <c r="D26" s="88"/>
      <c r="E26" s="102">
        <v>2000</v>
      </c>
      <c r="F26" s="103">
        <v>1</v>
      </c>
      <c r="G26" s="104">
        <v>62.82</v>
      </c>
      <c r="H26" s="105">
        <f t="shared" si="0"/>
        <v>45.52</v>
      </c>
      <c r="I26" s="106">
        <f t="shared" si="1"/>
        <v>62.82</v>
      </c>
      <c r="J26" s="107"/>
      <c r="K26" s="108">
        <f t="shared" si="2"/>
        <v>1</v>
      </c>
      <c r="L26" s="105">
        <f t="shared" si="3"/>
        <v>37.69</v>
      </c>
      <c r="M26" s="105">
        <f t="shared" si="4"/>
        <v>37.69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25.13</v>
      </c>
      <c r="T26" s="111">
        <f t="shared" si="7"/>
        <v>25.13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281</v>
      </c>
      <c r="C27" s="114" t="s">
        <v>134</v>
      </c>
      <c r="D27" s="88"/>
      <c r="E27" s="89">
        <v>2000</v>
      </c>
      <c r="F27" s="115">
        <v>1</v>
      </c>
      <c r="G27" s="96">
        <v>64.39</v>
      </c>
      <c r="H27" s="91">
        <f t="shared" si="0"/>
        <v>46.66</v>
      </c>
      <c r="I27" s="92">
        <f t="shared" si="1"/>
        <v>64.39</v>
      </c>
      <c r="J27" s="107"/>
      <c r="K27" s="90">
        <f t="shared" si="2"/>
        <v>1</v>
      </c>
      <c r="L27" s="91">
        <f t="shared" si="3"/>
        <v>38.630000000000003</v>
      </c>
      <c r="M27" s="91">
        <f t="shared" si="4"/>
        <v>38.630000000000003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25.76</v>
      </c>
      <c r="T27" s="96">
        <f t="shared" si="7"/>
        <v>25.76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282</v>
      </c>
      <c r="C28" s="101" t="s">
        <v>134</v>
      </c>
      <c r="D28" s="88"/>
      <c r="E28" s="102">
        <v>2000</v>
      </c>
      <c r="F28" s="103">
        <v>1</v>
      </c>
      <c r="G28" s="104">
        <v>71.5</v>
      </c>
      <c r="H28" s="105">
        <f t="shared" si="0"/>
        <v>51.81</v>
      </c>
      <c r="I28" s="106">
        <f t="shared" si="1"/>
        <v>71.5</v>
      </c>
      <c r="J28" s="107"/>
      <c r="K28" s="108">
        <f t="shared" si="2"/>
        <v>1</v>
      </c>
      <c r="L28" s="105">
        <f t="shared" si="3"/>
        <v>42.9</v>
      </c>
      <c r="M28" s="105">
        <f t="shared" si="4"/>
        <v>42.9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28.6</v>
      </c>
      <c r="T28" s="111">
        <f t="shared" si="7"/>
        <v>28.6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283</v>
      </c>
      <c r="C29" s="114" t="s">
        <v>284</v>
      </c>
      <c r="D29" s="88"/>
      <c r="E29" s="89" t="s">
        <v>138</v>
      </c>
      <c r="F29" s="115">
        <v>1</v>
      </c>
      <c r="G29" s="96">
        <v>1032.48</v>
      </c>
      <c r="H29" s="91">
        <f t="shared" si="0"/>
        <v>748.17</v>
      </c>
      <c r="I29" s="92">
        <f t="shared" si="1"/>
        <v>1032.48</v>
      </c>
      <c r="J29" s="107"/>
      <c r="K29" s="90">
        <f t="shared" si="2"/>
        <v>1</v>
      </c>
      <c r="L29" s="91">
        <f t="shared" si="3"/>
        <v>619.49</v>
      </c>
      <c r="M29" s="91">
        <f t="shared" si="4"/>
        <v>619.49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412.99</v>
      </c>
      <c r="T29" s="96">
        <f t="shared" si="7"/>
        <v>412.99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285</v>
      </c>
      <c r="C30" s="101" t="s">
        <v>286</v>
      </c>
      <c r="D30" s="88"/>
      <c r="E30" s="102" t="s">
        <v>138</v>
      </c>
      <c r="F30" s="103">
        <v>1</v>
      </c>
      <c r="G30" s="104">
        <v>8765</v>
      </c>
      <c r="H30" s="105">
        <f t="shared" si="0"/>
        <v>6351.45</v>
      </c>
      <c r="I30" s="106">
        <f t="shared" si="1"/>
        <v>8765</v>
      </c>
      <c r="J30" s="107"/>
      <c r="K30" s="108">
        <f t="shared" si="2"/>
        <v>1</v>
      </c>
      <c r="L30" s="105">
        <f t="shared" si="3"/>
        <v>4382.5</v>
      </c>
      <c r="M30" s="105">
        <f t="shared" si="4"/>
        <v>4382.5</v>
      </c>
      <c r="N30" s="109"/>
      <c r="O30" s="95"/>
      <c r="P30" s="100"/>
      <c r="Q30" s="104"/>
      <c r="R30" s="110">
        <f t="shared" si="5"/>
        <v>0</v>
      </c>
      <c r="S30" s="111">
        <f t="shared" si="6"/>
        <v>4382.5</v>
      </c>
      <c r="T30" s="111">
        <f t="shared" si="7"/>
        <v>4382.5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287</v>
      </c>
      <c r="C31" s="114" t="s">
        <v>183</v>
      </c>
      <c r="D31" s="88"/>
      <c r="E31" s="89" t="s">
        <v>138</v>
      </c>
      <c r="F31" s="115">
        <v>2</v>
      </c>
      <c r="G31" s="96">
        <v>396.11</v>
      </c>
      <c r="H31" s="91">
        <f t="shared" si="0"/>
        <v>287.04000000000002</v>
      </c>
      <c r="I31" s="92">
        <f t="shared" si="1"/>
        <v>792.22</v>
      </c>
      <c r="J31" s="107"/>
      <c r="K31" s="90">
        <f t="shared" si="2"/>
        <v>2</v>
      </c>
      <c r="L31" s="91">
        <f t="shared" si="3"/>
        <v>198.06</v>
      </c>
      <c r="M31" s="91">
        <f t="shared" si="4"/>
        <v>396.12</v>
      </c>
      <c r="N31" s="116"/>
      <c r="O31" s="95"/>
      <c r="P31" s="117"/>
      <c r="Q31" s="96"/>
      <c r="R31" s="96">
        <f t="shared" si="5"/>
        <v>0</v>
      </c>
      <c r="S31" s="96">
        <f t="shared" si="6"/>
        <v>198.05</v>
      </c>
      <c r="T31" s="96">
        <f t="shared" si="7"/>
        <v>396.1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288</v>
      </c>
      <c r="C32" s="101" t="s">
        <v>144</v>
      </c>
      <c r="D32" s="88"/>
      <c r="E32" s="102" t="s">
        <v>138</v>
      </c>
      <c r="F32" s="103">
        <v>1</v>
      </c>
      <c r="G32" s="104">
        <v>4055.15</v>
      </c>
      <c r="H32" s="105">
        <f t="shared" si="0"/>
        <v>2938.51</v>
      </c>
      <c r="I32" s="106">
        <f t="shared" si="1"/>
        <v>4055.15</v>
      </c>
      <c r="J32" s="107"/>
      <c r="K32" s="108">
        <f t="shared" si="2"/>
        <v>1</v>
      </c>
      <c r="L32" s="105">
        <f t="shared" si="3"/>
        <v>2027.58</v>
      </c>
      <c r="M32" s="105">
        <f t="shared" si="4"/>
        <v>2027.58</v>
      </c>
      <c r="N32" s="109"/>
      <c r="O32" s="95"/>
      <c r="P32" s="100"/>
      <c r="Q32" s="104"/>
      <c r="R32" s="110">
        <f t="shared" si="5"/>
        <v>0</v>
      </c>
      <c r="S32" s="111">
        <f t="shared" si="6"/>
        <v>2027.57</v>
      </c>
      <c r="T32" s="111">
        <f t="shared" si="7"/>
        <v>2027.57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289</v>
      </c>
      <c r="C33" s="114" t="s">
        <v>144</v>
      </c>
      <c r="D33" s="88"/>
      <c r="E33" s="89" t="s">
        <v>138</v>
      </c>
      <c r="F33" s="115">
        <v>1</v>
      </c>
      <c r="G33" s="96">
        <v>3470.47</v>
      </c>
      <c r="H33" s="91">
        <f t="shared" si="0"/>
        <v>2514.83</v>
      </c>
      <c r="I33" s="92">
        <f t="shared" si="1"/>
        <v>3470.47</v>
      </c>
      <c r="J33" s="107"/>
      <c r="K33" s="90">
        <f t="shared" si="2"/>
        <v>1</v>
      </c>
      <c r="L33" s="91">
        <f t="shared" si="3"/>
        <v>1735.24</v>
      </c>
      <c r="M33" s="91">
        <f t="shared" si="4"/>
        <v>1735.24</v>
      </c>
      <c r="N33" s="116"/>
      <c r="O33" s="95"/>
      <c r="P33" s="117"/>
      <c r="Q33" s="96"/>
      <c r="R33" s="96">
        <f t="shared" si="5"/>
        <v>0</v>
      </c>
      <c r="S33" s="96">
        <f t="shared" si="6"/>
        <v>1735.23</v>
      </c>
      <c r="T33" s="96">
        <f t="shared" si="7"/>
        <v>1735.23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290</v>
      </c>
      <c r="C34" s="101" t="s">
        <v>258</v>
      </c>
      <c r="D34" s="88"/>
      <c r="E34" s="102" t="s">
        <v>138</v>
      </c>
      <c r="F34" s="103">
        <v>4</v>
      </c>
      <c r="G34" s="104">
        <v>1606.8</v>
      </c>
      <c r="H34" s="105">
        <f t="shared" si="0"/>
        <v>1164.3499999999999</v>
      </c>
      <c r="I34" s="106">
        <f t="shared" si="1"/>
        <v>6427.2</v>
      </c>
      <c r="J34" s="107"/>
      <c r="K34" s="108">
        <f t="shared" si="2"/>
        <v>4</v>
      </c>
      <c r="L34" s="105">
        <f t="shared" si="3"/>
        <v>1124.76</v>
      </c>
      <c r="M34" s="105">
        <f t="shared" si="4"/>
        <v>4499.04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482.04</v>
      </c>
      <c r="T34" s="111">
        <f t="shared" si="7"/>
        <v>1928.16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291</v>
      </c>
      <c r="C35" s="114" t="s">
        <v>292</v>
      </c>
      <c r="D35" s="88"/>
      <c r="E35" s="89">
        <v>4000</v>
      </c>
      <c r="F35" s="115">
        <v>1</v>
      </c>
      <c r="G35" s="96">
        <v>50580.46</v>
      </c>
      <c r="H35" s="91">
        <f t="shared" si="0"/>
        <v>36652.51</v>
      </c>
      <c r="I35" s="92">
        <f t="shared" si="1"/>
        <v>50580.46</v>
      </c>
      <c r="J35" s="107"/>
      <c r="K35" s="90">
        <f t="shared" si="2"/>
        <v>1</v>
      </c>
      <c r="L35" s="91">
        <f t="shared" si="3"/>
        <v>35406.32</v>
      </c>
      <c r="M35" s="91">
        <f t="shared" si="4"/>
        <v>35406.32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15174.14</v>
      </c>
      <c r="T35" s="96">
        <f t="shared" si="7"/>
        <v>15174.14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293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294</v>
      </c>
      <c r="C37" s="114" t="s">
        <v>295</v>
      </c>
      <c r="D37" s="88"/>
      <c r="E37" s="89" t="s">
        <v>138</v>
      </c>
      <c r="F37" s="115">
        <v>1</v>
      </c>
      <c r="G37" s="96">
        <v>1418.99</v>
      </c>
      <c r="H37" s="91">
        <f t="shared" si="0"/>
        <v>1028.25</v>
      </c>
      <c r="I37" s="92">
        <f t="shared" si="1"/>
        <v>1418.99</v>
      </c>
      <c r="J37" s="107"/>
      <c r="K37" s="90">
        <f t="shared" si="2"/>
        <v>1</v>
      </c>
      <c r="L37" s="91">
        <f t="shared" si="3"/>
        <v>993.29</v>
      </c>
      <c r="M37" s="91">
        <f t="shared" si="4"/>
        <v>993.29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425.7</v>
      </c>
      <c r="T37" s="96">
        <f t="shared" si="7"/>
        <v>425.7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296</v>
      </c>
      <c r="C38" s="101" t="s">
        <v>297</v>
      </c>
      <c r="D38" s="88"/>
      <c r="E38" s="102" t="s">
        <v>138</v>
      </c>
      <c r="F38" s="103">
        <v>1</v>
      </c>
      <c r="G38" s="104">
        <v>176.9</v>
      </c>
      <c r="H38" s="105">
        <f t="shared" si="0"/>
        <v>128.19</v>
      </c>
      <c r="I38" s="106">
        <f t="shared" si="1"/>
        <v>176.9</v>
      </c>
      <c r="J38" s="107"/>
      <c r="K38" s="108">
        <f t="shared" si="2"/>
        <v>1</v>
      </c>
      <c r="L38" s="105">
        <f t="shared" si="3"/>
        <v>123.83</v>
      </c>
      <c r="M38" s="105">
        <f t="shared" si="4"/>
        <v>123.83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53.07</v>
      </c>
      <c r="T38" s="111">
        <f t="shared" si="7"/>
        <v>53.07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298</v>
      </c>
      <c r="C39" s="114" t="s">
        <v>297</v>
      </c>
      <c r="D39" s="88"/>
      <c r="E39" s="89" t="s">
        <v>138</v>
      </c>
      <c r="F39" s="115">
        <v>1</v>
      </c>
      <c r="G39" s="96">
        <v>176.9</v>
      </c>
      <c r="H39" s="91">
        <f t="shared" si="0"/>
        <v>128.19</v>
      </c>
      <c r="I39" s="92">
        <f t="shared" si="1"/>
        <v>176.9</v>
      </c>
      <c r="J39" s="107"/>
      <c r="K39" s="90">
        <f t="shared" si="2"/>
        <v>1</v>
      </c>
      <c r="L39" s="91">
        <f t="shared" si="3"/>
        <v>123.83</v>
      </c>
      <c r="M39" s="91">
        <f t="shared" si="4"/>
        <v>123.83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53.07</v>
      </c>
      <c r="T39" s="96">
        <f t="shared" si="7"/>
        <v>53.07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299</v>
      </c>
      <c r="C40" s="101" t="s">
        <v>297</v>
      </c>
      <c r="D40" s="88"/>
      <c r="E40" s="102" t="s">
        <v>138</v>
      </c>
      <c r="F40" s="103">
        <v>1</v>
      </c>
      <c r="G40" s="104">
        <v>176.9</v>
      </c>
      <c r="H40" s="105">
        <f t="shared" si="0"/>
        <v>128.19</v>
      </c>
      <c r="I40" s="106">
        <f t="shared" si="1"/>
        <v>176.9</v>
      </c>
      <c r="J40" s="107"/>
      <c r="K40" s="108">
        <f t="shared" si="2"/>
        <v>1</v>
      </c>
      <c r="L40" s="105">
        <f t="shared" si="3"/>
        <v>123.83</v>
      </c>
      <c r="M40" s="105">
        <f t="shared" si="4"/>
        <v>123.83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53.07</v>
      </c>
      <c r="T40" s="111">
        <f t="shared" si="7"/>
        <v>53.07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300</v>
      </c>
      <c r="C41" s="114" t="s">
        <v>301</v>
      </c>
      <c r="D41" s="88"/>
      <c r="E41" s="89" t="s">
        <v>138</v>
      </c>
      <c r="F41" s="115">
        <v>2</v>
      </c>
      <c r="G41" s="96">
        <v>201.76</v>
      </c>
      <c r="H41" s="91">
        <f t="shared" si="0"/>
        <v>146.19999999999999</v>
      </c>
      <c r="I41" s="92">
        <f t="shared" si="1"/>
        <v>403.52</v>
      </c>
      <c r="J41" s="107"/>
      <c r="K41" s="90">
        <f t="shared" si="2"/>
        <v>2</v>
      </c>
      <c r="L41" s="91">
        <f t="shared" si="3"/>
        <v>141.22999999999999</v>
      </c>
      <c r="M41" s="91">
        <f t="shared" si="4"/>
        <v>282.45999999999998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60.53</v>
      </c>
      <c r="T41" s="96">
        <f t="shared" si="7"/>
        <v>121.06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302</v>
      </c>
      <c r="C42" s="101" t="s">
        <v>301</v>
      </c>
      <c r="D42" s="88"/>
      <c r="E42" s="102" t="s">
        <v>138</v>
      </c>
      <c r="F42" s="103">
        <v>1</v>
      </c>
      <c r="G42" s="104">
        <v>82.55</v>
      </c>
      <c r="H42" s="105">
        <f t="shared" si="0"/>
        <v>59.82</v>
      </c>
      <c r="I42" s="106">
        <f t="shared" si="1"/>
        <v>82.55</v>
      </c>
      <c r="J42" s="107"/>
      <c r="K42" s="108">
        <f t="shared" si="2"/>
        <v>1</v>
      </c>
      <c r="L42" s="105">
        <f t="shared" si="3"/>
        <v>57.79</v>
      </c>
      <c r="M42" s="105">
        <f t="shared" si="4"/>
        <v>57.79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24.76</v>
      </c>
      <c r="T42" s="111">
        <f t="shared" si="7"/>
        <v>24.76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303</v>
      </c>
      <c r="C43" s="114" t="s">
        <v>301</v>
      </c>
      <c r="D43" s="88"/>
      <c r="E43" s="89" t="s">
        <v>138</v>
      </c>
      <c r="F43" s="115">
        <v>1</v>
      </c>
      <c r="G43" s="96">
        <v>80.290000000000006</v>
      </c>
      <c r="H43" s="91">
        <f t="shared" si="0"/>
        <v>58.18</v>
      </c>
      <c r="I43" s="92">
        <f t="shared" si="1"/>
        <v>80.290000000000006</v>
      </c>
      <c r="J43" s="107"/>
      <c r="K43" s="90">
        <f t="shared" si="2"/>
        <v>1</v>
      </c>
      <c r="L43" s="91">
        <f t="shared" si="3"/>
        <v>56.2</v>
      </c>
      <c r="M43" s="91">
        <f t="shared" si="4"/>
        <v>56.2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24.09</v>
      </c>
      <c r="T43" s="96">
        <f t="shared" si="7"/>
        <v>24.09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29</v>
      </c>
      <c r="G50" s="123">
        <f t="shared" si="10"/>
        <v>72962.299999999974</v>
      </c>
      <c r="H50" s="124">
        <f t="shared" si="10"/>
        <v>52871.22</v>
      </c>
      <c r="I50" s="125">
        <f t="shared" si="10"/>
        <v>78380.569999999992</v>
      </c>
      <c r="J50" s="126"/>
      <c r="K50" s="127">
        <f t="shared" ref="K50:M50" si="11">SUM(K19:K49)</f>
        <v>29</v>
      </c>
      <c r="L50" s="124">
        <f t="shared" si="11"/>
        <v>47512.500000000007</v>
      </c>
      <c r="M50" s="125">
        <f t="shared" si="11"/>
        <v>51226.07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25449.8</v>
      </c>
      <c r="T50" s="125">
        <f t="shared" si="12"/>
        <v>27154.5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67" priority="1" stopIfTrue="1">
      <formula>$U$9&gt;100%</formula>
    </cfRule>
    <cfRule type="expression" dxfId="266" priority="2">
      <formula>$U$9&lt;50%</formula>
    </cfRule>
  </conditionalFormatting>
  <conditionalFormatting sqref="V9:V11">
    <cfRule type="expression" dxfId="265" priority="3">
      <formula>$V$9&lt;50%</formula>
    </cfRule>
    <cfRule type="expression" dxfId="264" priority="4">
      <formula>$V$9&gt;50%</formula>
    </cfRule>
  </conditionalFormatting>
  <dataValidations count="4">
    <dataValidation type="list" allowBlank="1" showErrorMessage="1" sqref="E19:E49" xr:uid="{00000000-0002-0000-0600-000000000000}">
      <formula1>$Z$19:$Z$30</formula1>
    </dataValidation>
    <dataValidation type="list" allowBlank="1" showErrorMessage="1" sqref="I14" xr:uid="{00000000-0002-0000-0600-000001000000}">
      <formula1>$Y$14:$Y$15</formula1>
    </dataValidation>
    <dataValidation type="list" allowBlank="1" showErrorMessage="1" sqref="J14" xr:uid="{00000000-0002-0000-0600-000002000000}">
      <formula1>$L$9</formula1>
    </dataValidation>
    <dataValidation type="list" allowBlank="1" showErrorMessage="1" sqref="Q15 G18 L18 Q18" xr:uid="{00000000-0002-0000-06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307</v>
      </c>
      <c r="H2" s="140"/>
      <c r="I2" s="160" t="s">
        <v>37</v>
      </c>
      <c r="J2" s="139"/>
      <c r="K2" s="140"/>
      <c r="L2" s="12">
        <v>500</v>
      </c>
      <c r="M2" s="150" t="s">
        <v>38</v>
      </c>
      <c r="N2" s="140"/>
      <c r="O2" s="13"/>
      <c r="P2" s="138">
        <f>I50</f>
        <v>120078.19999999998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2019</v>
      </c>
      <c r="H3" s="143"/>
      <c r="I3" s="158" t="s">
        <v>42</v>
      </c>
      <c r="J3" s="142"/>
      <c r="K3" s="143"/>
      <c r="L3" s="17">
        <v>500</v>
      </c>
      <c r="M3" s="152" t="s">
        <v>43</v>
      </c>
      <c r="N3" s="143"/>
      <c r="O3" s="13"/>
      <c r="P3" s="141">
        <f>M50</f>
        <v>79371.39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>
        <v>500</v>
      </c>
      <c r="M4" s="152" t="s">
        <v>49</v>
      </c>
      <c r="N4" s="143"/>
      <c r="O4" s="13"/>
      <c r="P4" s="141">
        <f>P2-P3</f>
        <v>40706.809999999983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308</v>
      </c>
      <c r="H5" s="143"/>
      <c r="I5" s="158" t="s">
        <v>54</v>
      </c>
      <c r="J5" s="142"/>
      <c r="K5" s="143"/>
      <c r="L5" s="17">
        <v>1000</v>
      </c>
      <c r="M5" s="220" t="s">
        <v>55</v>
      </c>
      <c r="N5" s="146"/>
      <c r="O5" s="13"/>
      <c r="P5" s="144">
        <f>IFERROR((P2-P3)/P2,"")</f>
        <v>0.33900250003747551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309</v>
      </c>
      <c r="H6" s="143"/>
      <c r="I6" s="158" t="s">
        <v>60</v>
      </c>
      <c r="J6" s="142"/>
      <c r="K6" s="143"/>
      <c r="L6" s="17">
        <v>1000</v>
      </c>
      <c r="M6" s="221" t="s">
        <v>61</v>
      </c>
      <c r="N6" s="149"/>
      <c r="O6" s="13"/>
      <c r="P6" s="147">
        <f>T50</f>
        <v>40706.80999999999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310</v>
      </c>
      <c r="H7" s="143"/>
      <c r="I7" s="158" t="s">
        <v>66</v>
      </c>
      <c r="J7" s="142"/>
      <c r="K7" s="143"/>
      <c r="L7" s="17">
        <v>2000</v>
      </c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>
        <v>6000</v>
      </c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79371.39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311</v>
      </c>
      <c r="C19" s="87" t="s">
        <v>169</v>
      </c>
      <c r="D19" s="88"/>
      <c r="E19" s="89">
        <v>500</v>
      </c>
      <c r="F19" s="90">
        <v>1</v>
      </c>
      <c r="G19" s="91">
        <v>59.07</v>
      </c>
      <c r="H19" s="91">
        <f t="shared" ref="H19:H49" si="0">ROUND(IF($G$18="USD $", G19*$F$16,G19*$E$16),2)</f>
        <v>42.8</v>
      </c>
      <c r="I19" s="92">
        <f t="shared" ref="I19:I49" si="1">ROUND(IF($I$18=$H$18,F19*H19,F19*G19),2)</f>
        <v>59.07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29.54</v>
      </c>
      <c r="M19" s="91">
        <f t="shared" ref="M19:M49" si="4">ROUND((K19*L19),2)</f>
        <v>29.54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29.53</v>
      </c>
      <c r="T19" s="96">
        <f t="shared" ref="T19:T49" si="7">ROUND(I19-M19,2)</f>
        <v>29.53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312</v>
      </c>
      <c r="C20" s="101" t="s">
        <v>118</v>
      </c>
      <c r="D20" s="88"/>
      <c r="E20" s="102">
        <v>500</v>
      </c>
      <c r="F20" s="103">
        <v>1</v>
      </c>
      <c r="G20" s="104">
        <v>77.97</v>
      </c>
      <c r="H20" s="105">
        <f t="shared" si="0"/>
        <v>56.5</v>
      </c>
      <c r="I20" s="106">
        <f t="shared" si="1"/>
        <v>77.97</v>
      </c>
      <c r="J20" s="107"/>
      <c r="K20" s="108">
        <f t="shared" si="2"/>
        <v>1</v>
      </c>
      <c r="L20" s="105">
        <f t="shared" si="3"/>
        <v>38.99</v>
      </c>
      <c r="M20" s="105">
        <f t="shared" si="4"/>
        <v>38.99</v>
      </c>
      <c r="N20" s="109"/>
      <c r="O20" s="95"/>
      <c r="P20" s="100"/>
      <c r="Q20" s="104"/>
      <c r="R20" s="110">
        <f t="shared" si="5"/>
        <v>0</v>
      </c>
      <c r="S20" s="111">
        <f t="shared" si="6"/>
        <v>38.979999999999997</v>
      </c>
      <c r="T20" s="111">
        <f t="shared" si="7"/>
        <v>38.979999999999997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313</v>
      </c>
      <c r="C21" s="114" t="s">
        <v>174</v>
      </c>
      <c r="D21" s="88"/>
      <c r="E21" s="89">
        <v>1000</v>
      </c>
      <c r="F21" s="115">
        <v>1</v>
      </c>
      <c r="G21" s="96">
        <v>43.3</v>
      </c>
      <c r="H21" s="91">
        <f t="shared" si="0"/>
        <v>31.38</v>
      </c>
      <c r="I21" s="92">
        <f t="shared" si="1"/>
        <v>43.3</v>
      </c>
      <c r="J21" s="107"/>
      <c r="K21" s="90">
        <f t="shared" si="2"/>
        <v>1</v>
      </c>
      <c r="L21" s="91">
        <f t="shared" si="3"/>
        <v>21.65</v>
      </c>
      <c r="M21" s="91">
        <f t="shared" si="4"/>
        <v>21.65</v>
      </c>
      <c r="N21" s="116"/>
      <c r="O21" s="95"/>
      <c r="P21" s="117"/>
      <c r="Q21" s="96"/>
      <c r="R21" s="96">
        <f t="shared" si="5"/>
        <v>0</v>
      </c>
      <c r="S21" s="96">
        <f t="shared" si="6"/>
        <v>21.65</v>
      </c>
      <c r="T21" s="96">
        <f t="shared" si="7"/>
        <v>21.65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314</v>
      </c>
      <c r="C22" s="101" t="s">
        <v>315</v>
      </c>
      <c r="D22" s="88"/>
      <c r="E22" s="102">
        <v>1000</v>
      </c>
      <c r="F22" s="103">
        <v>1</v>
      </c>
      <c r="G22" s="104">
        <v>214.96</v>
      </c>
      <c r="H22" s="105">
        <f t="shared" si="0"/>
        <v>155.77000000000001</v>
      </c>
      <c r="I22" s="106">
        <f t="shared" si="1"/>
        <v>214.96</v>
      </c>
      <c r="J22" s="107"/>
      <c r="K22" s="108">
        <f t="shared" si="2"/>
        <v>1</v>
      </c>
      <c r="L22" s="105">
        <f t="shared" si="3"/>
        <v>107.48</v>
      </c>
      <c r="M22" s="105">
        <f t="shared" si="4"/>
        <v>107.48</v>
      </c>
      <c r="N22" s="109"/>
      <c r="O22" s="95"/>
      <c r="P22" s="100"/>
      <c r="Q22" s="104"/>
      <c r="R22" s="110">
        <f t="shared" si="5"/>
        <v>0</v>
      </c>
      <c r="S22" s="111">
        <f t="shared" si="6"/>
        <v>107.48</v>
      </c>
      <c r="T22" s="111">
        <f t="shared" si="7"/>
        <v>107.48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316</v>
      </c>
      <c r="C23" s="114" t="s">
        <v>317</v>
      </c>
      <c r="D23" s="88"/>
      <c r="E23" s="89">
        <v>1000</v>
      </c>
      <c r="F23" s="115">
        <v>1</v>
      </c>
      <c r="G23" s="96">
        <v>614.25</v>
      </c>
      <c r="H23" s="91">
        <f t="shared" si="0"/>
        <v>445.11</v>
      </c>
      <c r="I23" s="92">
        <f t="shared" si="1"/>
        <v>614.25</v>
      </c>
      <c r="J23" s="107"/>
      <c r="K23" s="90">
        <f t="shared" si="2"/>
        <v>1</v>
      </c>
      <c r="L23" s="91">
        <f t="shared" si="3"/>
        <v>307.13</v>
      </c>
      <c r="M23" s="91">
        <f t="shared" si="4"/>
        <v>307.13</v>
      </c>
      <c r="N23" s="116"/>
      <c r="O23" s="95"/>
      <c r="P23" s="117"/>
      <c r="Q23" s="96"/>
      <c r="R23" s="96">
        <f t="shared" si="5"/>
        <v>0</v>
      </c>
      <c r="S23" s="96">
        <f t="shared" si="6"/>
        <v>307.12</v>
      </c>
      <c r="T23" s="96">
        <f t="shared" si="7"/>
        <v>307.12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318</v>
      </c>
      <c r="C24" s="101" t="s">
        <v>128</v>
      </c>
      <c r="D24" s="88"/>
      <c r="E24" s="102">
        <v>2000</v>
      </c>
      <c r="F24" s="103">
        <v>1</v>
      </c>
      <c r="G24" s="104">
        <v>282.86</v>
      </c>
      <c r="H24" s="105">
        <f t="shared" si="0"/>
        <v>204.97</v>
      </c>
      <c r="I24" s="106">
        <f t="shared" si="1"/>
        <v>282.86</v>
      </c>
      <c r="J24" s="107"/>
      <c r="K24" s="108">
        <f t="shared" si="2"/>
        <v>1</v>
      </c>
      <c r="L24" s="105">
        <f t="shared" si="3"/>
        <v>169.72</v>
      </c>
      <c r="M24" s="105">
        <f t="shared" si="4"/>
        <v>169.72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113.14</v>
      </c>
      <c r="T24" s="111">
        <f t="shared" si="7"/>
        <v>113.14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319</v>
      </c>
      <c r="C25" s="114" t="s">
        <v>131</v>
      </c>
      <c r="D25" s="88"/>
      <c r="E25" s="89">
        <v>2000</v>
      </c>
      <c r="F25" s="115">
        <v>1</v>
      </c>
      <c r="G25" s="96">
        <v>106.86</v>
      </c>
      <c r="H25" s="91">
        <f t="shared" si="0"/>
        <v>77.430000000000007</v>
      </c>
      <c r="I25" s="92">
        <f t="shared" si="1"/>
        <v>106.86</v>
      </c>
      <c r="J25" s="107"/>
      <c r="K25" s="90">
        <f t="shared" si="2"/>
        <v>1</v>
      </c>
      <c r="L25" s="91">
        <f t="shared" si="3"/>
        <v>64.12</v>
      </c>
      <c r="M25" s="91">
        <f t="shared" si="4"/>
        <v>64.12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42.74</v>
      </c>
      <c r="T25" s="96">
        <f t="shared" si="7"/>
        <v>42.74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320</v>
      </c>
      <c r="C26" s="101" t="s">
        <v>134</v>
      </c>
      <c r="D26" s="88"/>
      <c r="E26" s="102">
        <v>2000</v>
      </c>
      <c r="F26" s="103">
        <v>1</v>
      </c>
      <c r="G26" s="104">
        <v>66.53</v>
      </c>
      <c r="H26" s="105">
        <f t="shared" si="0"/>
        <v>48.21</v>
      </c>
      <c r="I26" s="106">
        <f t="shared" si="1"/>
        <v>66.53</v>
      </c>
      <c r="J26" s="107"/>
      <c r="K26" s="108">
        <f t="shared" si="2"/>
        <v>1</v>
      </c>
      <c r="L26" s="105">
        <f t="shared" si="3"/>
        <v>39.92</v>
      </c>
      <c r="M26" s="105">
        <f t="shared" si="4"/>
        <v>39.92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26.61</v>
      </c>
      <c r="T26" s="111">
        <f t="shared" si="7"/>
        <v>26.61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321</v>
      </c>
      <c r="C27" s="114" t="s">
        <v>134</v>
      </c>
      <c r="D27" s="88"/>
      <c r="E27" s="89">
        <v>2000</v>
      </c>
      <c r="F27" s="115">
        <v>1</v>
      </c>
      <c r="G27" s="96">
        <v>73.53</v>
      </c>
      <c r="H27" s="91">
        <f t="shared" si="0"/>
        <v>53.28</v>
      </c>
      <c r="I27" s="92">
        <f t="shared" si="1"/>
        <v>73.53</v>
      </c>
      <c r="J27" s="107"/>
      <c r="K27" s="90">
        <f t="shared" si="2"/>
        <v>1</v>
      </c>
      <c r="L27" s="91">
        <f t="shared" si="3"/>
        <v>44.12</v>
      </c>
      <c r="M27" s="91">
        <f t="shared" si="4"/>
        <v>44.12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29.41</v>
      </c>
      <c r="T27" s="96">
        <f t="shared" si="7"/>
        <v>29.41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322</v>
      </c>
      <c r="C28" s="101" t="s">
        <v>323</v>
      </c>
      <c r="D28" s="88"/>
      <c r="E28" s="102">
        <v>2000</v>
      </c>
      <c r="F28" s="103">
        <v>1</v>
      </c>
      <c r="G28" s="104">
        <v>81.38</v>
      </c>
      <c r="H28" s="105">
        <f t="shared" si="0"/>
        <v>58.97</v>
      </c>
      <c r="I28" s="106">
        <f t="shared" si="1"/>
        <v>81.38</v>
      </c>
      <c r="J28" s="107"/>
      <c r="K28" s="108">
        <f t="shared" si="2"/>
        <v>1</v>
      </c>
      <c r="L28" s="105">
        <f t="shared" si="3"/>
        <v>48.83</v>
      </c>
      <c r="M28" s="105">
        <f t="shared" si="4"/>
        <v>48.83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32.549999999999997</v>
      </c>
      <c r="T28" s="111">
        <f t="shared" si="7"/>
        <v>32.549999999999997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324</v>
      </c>
      <c r="C29" s="114" t="s">
        <v>325</v>
      </c>
      <c r="D29" s="88"/>
      <c r="E29" s="89" t="s">
        <v>138</v>
      </c>
      <c r="F29" s="115">
        <v>1</v>
      </c>
      <c r="G29" s="96">
        <v>3825.92</v>
      </c>
      <c r="H29" s="91">
        <f t="shared" si="0"/>
        <v>2772.41</v>
      </c>
      <c r="I29" s="92">
        <f t="shared" si="1"/>
        <v>3825.92</v>
      </c>
      <c r="J29" s="107"/>
      <c r="K29" s="90">
        <f t="shared" si="2"/>
        <v>1</v>
      </c>
      <c r="L29" s="91">
        <f t="shared" si="3"/>
        <v>2295.5500000000002</v>
      </c>
      <c r="M29" s="91">
        <f t="shared" si="4"/>
        <v>2295.5500000000002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1530.37</v>
      </c>
      <c r="T29" s="96">
        <f t="shared" si="7"/>
        <v>1530.37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326</v>
      </c>
      <c r="C30" s="101" t="s">
        <v>327</v>
      </c>
      <c r="D30" s="88"/>
      <c r="E30" s="102" t="s">
        <v>138</v>
      </c>
      <c r="F30" s="103">
        <v>1</v>
      </c>
      <c r="G30" s="104">
        <v>2166.62</v>
      </c>
      <c r="H30" s="105">
        <f t="shared" si="0"/>
        <v>1570.01</v>
      </c>
      <c r="I30" s="106">
        <f t="shared" si="1"/>
        <v>2166.62</v>
      </c>
      <c r="J30" s="107"/>
      <c r="K30" s="108">
        <f t="shared" si="2"/>
        <v>1</v>
      </c>
      <c r="L30" s="105">
        <f t="shared" si="3"/>
        <v>1299.97</v>
      </c>
      <c r="M30" s="105">
        <f t="shared" si="4"/>
        <v>1299.97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866.65</v>
      </c>
      <c r="T30" s="111">
        <f t="shared" si="7"/>
        <v>866.65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328</v>
      </c>
      <c r="C31" s="114" t="s">
        <v>329</v>
      </c>
      <c r="D31" s="88"/>
      <c r="E31" s="89" t="s">
        <v>138</v>
      </c>
      <c r="F31" s="115">
        <v>1</v>
      </c>
      <c r="G31" s="96">
        <v>8171.91</v>
      </c>
      <c r="H31" s="91">
        <f t="shared" si="0"/>
        <v>5921.67</v>
      </c>
      <c r="I31" s="92">
        <f t="shared" si="1"/>
        <v>8171.91</v>
      </c>
      <c r="J31" s="107"/>
      <c r="K31" s="90">
        <f t="shared" si="2"/>
        <v>1</v>
      </c>
      <c r="L31" s="91">
        <f t="shared" si="3"/>
        <v>4903.1499999999996</v>
      </c>
      <c r="M31" s="91">
        <f t="shared" si="4"/>
        <v>4903.1499999999996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3268.76</v>
      </c>
      <c r="T31" s="96">
        <f t="shared" si="7"/>
        <v>3268.76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330</v>
      </c>
      <c r="C32" s="101" t="s">
        <v>331</v>
      </c>
      <c r="D32" s="88"/>
      <c r="E32" s="102" t="s">
        <v>138</v>
      </c>
      <c r="F32" s="103">
        <v>1</v>
      </c>
      <c r="G32" s="104">
        <v>8200.49</v>
      </c>
      <c r="H32" s="105">
        <f t="shared" si="0"/>
        <v>5942.38</v>
      </c>
      <c r="I32" s="106">
        <f t="shared" si="1"/>
        <v>8200.49</v>
      </c>
      <c r="J32" s="107"/>
      <c r="K32" s="108">
        <f t="shared" si="2"/>
        <v>1</v>
      </c>
      <c r="L32" s="105">
        <f t="shared" si="3"/>
        <v>4100.25</v>
      </c>
      <c r="M32" s="105">
        <f t="shared" si="4"/>
        <v>4100.25</v>
      </c>
      <c r="N32" s="109"/>
      <c r="O32" s="95"/>
      <c r="P32" s="100"/>
      <c r="Q32" s="104"/>
      <c r="R32" s="110">
        <f t="shared" si="5"/>
        <v>0</v>
      </c>
      <c r="S32" s="111">
        <f t="shared" si="6"/>
        <v>4100.24</v>
      </c>
      <c r="T32" s="111">
        <f t="shared" si="7"/>
        <v>4100.24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287</v>
      </c>
      <c r="C33" s="114" t="s">
        <v>183</v>
      </c>
      <c r="D33" s="88"/>
      <c r="E33" s="89" t="s">
        <v>138</v>
      </c>
      <c r="F33" s="115">
        <v>2</v>
      </c>
      <c r="G33" s="96">
        <v>396.11</v>
      </c>
      <c r="H33" s="91">
        <f t="shared" si="0"/>
        <v>287.04000000000002</v>
      </c>
      <c r="I33" s="92">
        <f t="shared" si="1"/>
        <v>792.22</v>
      </c>
      <c r="J33" s="107"/>
      <c r="K33" s="90">
        <f t="shared" si="2"/>
        <v>2</v>
      </c>
      <c r="L33" s="91">
        <f t="shared" si="3"/>
        <v>198.06</v>
      </c>
      <c r="M33" s="91">
        <f t="shared" si="4"/>
        <v>396.12</v>
      </c>
      <c r="N33" s="116"/>
      <c r="O33" s="95"/>
      <c r="P33" s="117"/>
      <c r="Q33" s="96"/>
      <c r="R33" s="96">
        <f t="shared" si="5"/>
        <v>0</v>
      </c>
      <c r="S33" s="96">
        <f t="shared" si="6"/>
        <v>198.05</v>
      </c>
      <c r="T33" s="96">
        <f t="shared" si="7"/>
        <v>396.1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332</v>
      </c>
      <c r="C34" s="101" t="s">
        <v>144</v>
      </c>
      <c r="D34" s="88"/>
      <c r="E34" s="102" t="s">
        <v>138</v>
      </c>
      <c r="F34" s="103">
        <v>1</v>
      </c>
      <c r="G34" s="104">
        <v>6026.71</v>
      </c>
      <c r="H34" s="105">
        <f t="shared" si="0"/>
        <v>4367.18</v>
      </c>
      <c r="I34" s="106">
        <f t="shared" si="1"/>
        <v>6026.71</v>
      </c>
      <c r="J34" s="107"/>
      <c r="K34" s="108">
        <f t="shared" si="2"/>
        <v>1</v>
      </c>
      <c r="L34" s="105">
        <f t="shared" si="3"/>
        <v>3013.36</v>
      </c>
      <c r="M34" s="105">
        <f t="shared" si="4"/>
        <v>3013.36</v>
      </c>
      <c r="N34" s="109"/>
      <c r="O34" s="95"/>
      <c r="P34" s="100"/>
      <c r="Q34" s="104"/>
      <c r="R34" s="110">
        <f t="shared" si="5"/>
        <v>0</v>
      </c>
      <c r="S34" s="111">
        <f t="shared" si="6"/>
        <v>3013.35</v>
      </c>
      <c r="T34" s="111">
        <f t="shared" si="7"/>
        <v>3013.35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333</v>
      </c>
      <c r="C35" s="114" t="s">
        <v>147</v>
      </c>
      <c r="D35" s="88"/>
      <c r="E35" s="89" t="s">
        <v>138</v>
      </c>
      <c r="F35" s="115">
        <v>6</v>
      </c>
      <c r="G35" s="96">
        <v>1575.3</v>
      </c>
      <c r="H35" s="91">
        <f t="shared" si="0"/>
        <v>1141.52</v>
      </c>
      <c r="I35" s="92">
        <f t="shared" si="1"/>
        <v>9451.7999999999993</v>
      </c>
      <c r="J35" s="107"/>
      <c r="K35" s="90">
        <f t="shared" si="2"/>
        <v>6</v>
      </c>
      <c r="L35" s="91">
        <f t="shared" si="3"/>
        <v>1102.71</v>
      </c>
      <c r="M35" s="91">
        <f t="shared" si="4"/>
        <v>6616.26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472.59</v>
      </c>
      <c r="T35" s="96">
        <f t="shared" si="7"/>
        <v>2835.54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334</v>
      </c>
      <c r="C36" s="101" t="s">
        <v>335</v>
      </c>
      <c r="D36" s="88"/>
      <c r="E36" s="102">
        <v>4000</v>
      </c>
      <c r="F36" s="103">
        <v>1</v>
      </c>
      <c r="G36" s="104">
        <v>63838.66</v>
      </c>
      <c r="H36" s="105">
        <f t="shared" si="0"/>
        <v>46259.9</v>
      </c>
      <c r="I36" s="106">
        <f t="shared" si="1"/>
        <v>63838.66</v>
      </c>
      <c r="J36" s="107"/>
      <c r="K36" s="108">
        <f t="shared" si="2"/>
        <v>1</v>
      </c>
      <c r="L36" s="105">
        <f t="shared" si="3"/>
        <v>44687.06</v>
      </c>
      <c r="M36" s="105">
        <f t="shared" si="4"/>
        <v>44687.06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19151.599999999999</v>
      </c>
      <c r="T36" s="111">
        <f t="shared" si="7"/>
        <v>19151.599999999999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336</v>
      </c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 t="s">
        <v>337</v>
      </c>
      <c r="C38" s="101" t="s">
        <v>338</v>
      </c>
      <c r="D38" s="88"/>
      <c r="E38" s="102" t="s">
        <v>138</v>
      </c>
      <c r="F38" s="103">
        <v>4</v>
      </c>
      <c r="G38" s="104">
        <v>421.69</v>
      </c>
      <c r="H38" s="105">
        <f t="shared" si="0"/>
        <v>305.57</v>
      </c>
      <c r="I38" s="106">
        <f t="shared" si="1"/>
        <v>1686.76</v>
      </c>
      <c r="J38" s="107"/>
      <c r="K38" s="108">
        <f t="shared" si="2"/>
        <v>4</v>
      </c>
      <c r="L38" s="105">
        <f t="shared" si="3"/>
        <v>295.18</v>
      </c>
      <c r="M38" s="105">
        <f t="shared" si="4"/>
        <v>1180.72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126.51</v>
      </c>
      <c r="T38" s="111">
        <f t="shared" si="7"/>
        <v>506.04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339</v>
      </c>
      <c r="C39" s="114" t="s">
        <v>340</v>
      </c>
      <c r="D39" s="88"/>
      <c r="E39" s="89" t="s">
        <v>138</v>
      </c>
      <c r="F39" s="115">
        <v>1</v>
      </c>
      <c r="G39" s="96">
        <v>834.29</v>
      </c>
      <c r="H39" s="91">
        <f t="shared" si="0"/>
        <v>604.55999999999995</v>
      </c>
      <c r="I39" s="92">
        <f t="shared" si="1"/>
        <v>834.29</v>
      </c>
      <c r="J39" s="107"/>
      <c r="K39" s="90">
        <f t="shared" si="2"/>
        <v>1</v>
      </c>
      <c r="L39" s="91">
        <f t="shared" si="3"/>
        <v>584</v>
      </c>
      <c r="M39" s="91">
        <f t="shared" si="4"/>
        <v>584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250.29</v>
      </c>
      <c r="T39" s="96">
        <f t="shared" si="7"/>
        <v>250.29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341</v>
      </c>
      <c r="C40" s="101" t="s">
        <v>342</v>
      </c>
      <c r="D40" s="88"/>
      <c r="E40" s="102" t="s">
        <v>138</v>
      </c>
      <c r="F40" s="103">
        <v>1</v>
      </c>
      <c r="G40" s="104">
        <v>834.29</v>
      </c>
      <c r="H40" s="105">
        <f t="shared" si="0"/>
        <v>604.55999999999995</v>
      </c>
      <c r="I40" s="106">
        <f t="shared" si="1"/>
        <v>834.29</v>
      </c>
      <c r="J40" s="107"/>
      <c r="K40" s="108">
        <f t="shared" si="2"/>
        <v>1</v>
      </c>
      <c r="L40" s="105">
        <f t="shared" si="3"/>
        <v>584</v>
      </c>
      <c r="M40" s="105">
        <f t="shared" si="4"/>
        <v>584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250.29</v>
      </c>
      <c r="T40" s="111">
        <f t="shared" si="7"/>
        <v>250.29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343</v>
      </c>
      <c r="C41" s="114" t="s">
        <v>295</v>
      </c>
      <c r="D41" s="88"/>
      <c r="E41" s="89" t="s">
        <v>138</v>
      </c>
      <c r="F41" s="115">
        <v>1</v>
      </c>
      <c r="G41" s="96">
        <v>5764.03</v>
      </c>
      <c r="H41" s="91">
        <f t="shared" si="0"/>
        <v>4176.83</v>
      </c>
      <c r="I41" s="92">
        <f t="shared" si="1"/>
        <v>5764.03</v>
      </c>
      <c r="J41" s="107"/>
      <c r="K41" s="90">
        <f t="shared" si="2"/>
        <v>1</v>
      </c>
      <c r="L41" s="91">
        <f t="shared" si="3"/>
        <v>4034.82</v>
      </c>
      <c r="M41" s="91">
        <f t="shared" si="4"/>
        <v>4034.82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1729.21</v>
      </c>
      <c r="T41" s="96">
        <f t="shared" si="7"/>
        <v>1729.21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344</v>
      </c>
      <c r="C42" s="101" t="s">
        <v>297</v>
      </c>
      <c r="D42" s="88"/>
      <c r="E42" s="102" t="s">
        <v>138</v>
      </c>
      <c r="F42" s="103">
        <v>5</v>
      </c>
      <c r="G42" s="104">
        <v>400.29</v>
      </c>
      <c r="H42" s="105">
        <f t="shared" si="0"/>
        <v>290.07</v>
      </c>
      <c r="I42" s="106">
        <f t="shared" si="1"/>
        <v>2001.45</v>
      </c>
      <c r="J42" s="107"/>
      <c r="K42" s="108">
        <f t="shared" si="2"/>
        <v>5</v>
      </c>
      <c r="L42" s="105">
        <f t="shared" si="3"/>
        <v>280.2</v>
      </c>
      <c r="M42" s="105">
        <f t="shared" si="4"/>
        <v>1401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120.09</v>
      </c>
      <c r="T42" s="111">
        <f t="shared" si="7"/>
        <v>600.45000000000005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345</v>
      </c>
      <c r="C43" s="114" t="s">
        <v>297</v>
      </c>
      <c r="D43" s="88"/>
      <c r="E43" s="89" t="s">
        <v>138</v>
      </c>
      <c r="F43" s="115">
        <v>1</v>
      </c>
      <c r="G43" s="96">
        <v>400.29</v>
      </c>
      <c r="H43" s="91">
        <f t="shared" si="0"/>
        <v>290.07</v>
      </c>
      <c r="I43" s="92">
        <f t="shared" si="1"/>
        <v>400.29</v>
      </c>
      <c r="J43" s="107"/>
      <c r="K43" s="90">
        <f t="shared" si="2"/>
        <v>1</v>
      </c>
      <c r="L43" s="91">
        <f t="shared" si="3"/>
        <v>280.2</v>
      </c>
      <c r="M43" s="91">
        <f t="shared" si="4"/>
        <v>280.2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120.09</v>
      </c>
      <c r="T43" s="96">
        <f t="shared" si="7"/>
        <v>120.09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346</v>
      </c>
      <c r="C44" s="101" t="s">
        <v>297</v>
      </c>
      <c r="D44" s="88"/>
      <c r="E44" s="102" t="s">
        <v>138</v>
      </c>
      <c r="F44" s="103">
        <v>1</v>
      </c>
      <c r="G44" s="104">
        <v>400.29</v>
      </c>
      <c r="H44" s="105">
        <f t="shared" si="0"/>
        <v>290.07</v>
      </c>
      <c r="I44" s="106">
        <f t="shared" si="1"/>
        <v>400.29</v>
      </c>
      <c r="J44" s="107"/>
      <c r="K44" s="108">
        <f t="shared" si="2"/>
        <v>1</v>
      </c>
      <c r="L44" s="105">
        <f t="shared" si="3"/>
        <v>280.2</v>
      </c>
      <c r="M44" s="105">
        <f t="shared" si="4"/>
        <v>280.2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120.09</v>
      </c>
      <c r="T44" s="111">
        <f t="shared" si="7"/>
        <v>120.09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347</v>
      </c>
      <c r="C45" s="114" t="s">
        <v>301</v>
      </c>
      <c r="D45" s="88"/>
      <c r="E45" s="89" t="s">
        <v>138</v>
      </c>
      <c r="F45" s="115">
        <v>1</v>
      </c>
      <c r="G45" s="96">
        <v>12.78</v>
      </c>
      <c r="H45" s="91">
        <f t="shared" si="0"/>
        <v>9.26</v>
      </c>
      <c r="I45" s="92">
        <f t="shared" si="1"/>
        <v>12.78</v>
      </c>
      <c r="J45" s="107"/>
      <c r="K45" s="90">
        <f t="shared" si="2"/>
        <v>1</v>
      </c>
      <c r="L45" s="91">
        <f t="shared" si="3"/>
        <v>8.9499999999999993</v>
      </c>
      <c r="M45" s="91">
        <f t="shared" si="4"/>
        <v>8.9499999999999993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3.83</v>
      </c>
      <c r="T45" s="96">
        <f t="shared" si="7"/>
        <v>3.83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348</v>
      </c>
      <c r="C46" s="101" t="s">
        <v>301</v>
      </c>
      <c r="D46" s="88"/>
      <c r="E46" s="102" t="s">
        <v>138</v>
      </c>
      <c r="F46" s="103">
        <v>1</v>
      </c>
      <c r="G46" s="104">
        <v>2024.49</v>
      </c>
      <c r="H46" s="105">
        <f t="shared" si="0"/>
        <v>1467.02</v>
      </c>
      <c r="I46" s="106">
        <f t="shared" si="1"/>
        <v>2024.49</v>
      </c>
      <c r="J46" s="107"/>
      <c r="K46" s="108">
        <f t="shared" si="2"/>
        <v>1</v>
      </c>
      <c r="L46" s="105">
        <f t="shared" si="3"/>
        <v>1417.14</v>
      </c>
      <c r="M46" s="105">
        <f t="shared" si="4"/>
        <v>1417.14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607.35</v>
      </c>
      <c r="T46" s="111">
        <f t="shared" si="7"/>
        <v>607.35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349</v>
      </c>
      <c r="C47" s="114" t="s">
        <v>301</v>
      </c>
      <c r="D47" s="88"/>
      <c r="E47" s="89" t="s">
        <v>138</v>
      </c>
      <c r="F47" s="115">
        <v>1</v>
      </c>
      <c r="G47" s="96">
        <v>2024.49</v>
      </c>
      <c r="H47" s="91">
        <f t="shared" si="0"/>
        <v>1467.02</v>
      </c>
      <c r="I47" s="92">
        <f t="shared" si="1"/>
        <v>2024.49</v>
      </c>
      <c r="J47" s="107"/>
      <c r="K47" s="90">
        <f t="shared" si="2"/>
        <v>1</v>
      </c>
      <c r="L47" s="91">
        <f t="shared" si="3"/>
        <v>1417.14</v>
      </c>
      <c r="M47" s="91">
        <f t="shared" si="4"/>
        <v>1417.14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607.35</v>
      </c>
      <c r="T47" s="96">
        <f t="shared" si="7"/>
        <v>607.35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108939.35999999999</v>
      </c>
      <c r="H50" s="124">
        <f t="shared" si="10"/>
        <v>78941.560000000027</v>
      </c>
      <c r="I50" s="125">
        <f t="shared" si="10"/>
        <v>120078.19999999998</v>
      </c>
      <c r="J50" s="126"/>
      <c r="K50" s="127">
        <f t="shared" ref="K50:M50" si="11">SUM(K19:K49)</f>
        <v>41</v>
      </c>
      <c r="L50" s="124">
        <f t="shared" si="11"/>
        <v>71653.439999999988</v>
      </c>
      <c r="M50" s="125">
        <f t="shared" si="11"/>
        <v>79371.39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37285.919999999991</v>
      </c>
      <c r="T50" s="125">
        <f t="shared" si="12"/>
        <v>40706.80999999999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63" priority="1" stopIfTrue="1">
      <formula>$U$9&gt;100%</formula>
    </cfRule>
    <cfRule type="expression" dxfId="262" priority="2">
      <formula>$U$9&lt;50%</formula>
    </cfRule>
  </conditionalFormatting>
  <conditionalFormatting sqref="V9:V11">
    <cfRule type="expression" dxfId="261" priority="3">
      <formula>$V$9&lt;50%</formula>
    </cfRule>
    <cfRule type="expression" dxfId="260" priority="4">
      <formula>$V$9&gt;50%</formula>
    </cfRule>
  </conditionalFormatting>
  <dataValidations count="4">
    <dataValidation type="list" allowBlank="1" showErrorMessage="1" sqref="E19:E49" xr:uid="{00000000-0002-0000-0700-000000000000}">
      <formula1>$Z$19:$Z$30</formula1>
    </dataValidation>
    <dataValidation type="list" allowBlank="1" showErrorMessage="1" sqref="I14" xr:uid="{00000000-0002-0000-0700-000001000000}">
      <formula1>$Y$14:$Y$15</formula1>
    </dataValidation>
    <dataValidation type="list" allowBlank="1" showErrorMessage="1" sqref="J14" xr:uid="{00000000-0002-0000-0700-000002000000}">
      <formula1>$L$9</formula1>
    </dataValidation>
    <dataValidation type="list" allowBlank="1" showErrorMessage="1" sqref="Q15 G18 L18 Q18" xr:uid="{00000000-0002-0000-07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350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120078.19999999998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79371.39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40706.809999999983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308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0.33900250003747551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351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40706.80999999999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79371.39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311</v>
      </c>
      <c r="C19" s="87" t="s">
        <v>169</v>
      </c>
      <c r="D19" s="88"/>
      <c r="E19" s="89">
        <v>500</v>
      </c>
      <c r="F19" s="90">
        <v>1</v>
      </c>
      <c r="G19" s="91">
        <v>59.07</v>
      </c>
      <c r="H19" s="91">
        <f t="shared" ref="H19:H49" si="0">ROUND(IF($G$18="USD $", G19*$F$16,G19*$E$16),2)</f>
        <v>42.8</v>
      </c>
      <c r="I19" s="92">
        <f t="shared" ref="I19:I49" si="1">ROUND(IF($I$18=$H$18,F19*H19,F19*G19),2)</f>
        <v>59.07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29.54</v>
      </c>
      <c r="M19" s="91">
        <f t="shared" ref="M19:M49" si="4">ROUND((K19*L19),2)</f>
        <v>29.54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29.53</v>
      </c>
      <c r="T19" s="96">
        <f t="shared" ref="T19:T49" si="7">ROUND(I19-M19,2)</f>
        <v>29.53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312</v>
      </c>
      <c r="C20" s="101" t="s">
        <v>118</v>
      </c>
      <c r="D20" s="88"/>
      <c r="E20" s="102">
        <v>500</v>
      </c>
      <c r="F20" s="103">
        <v>1</v>
      </c>
      <c r="G20" s="104">
        <v>77.97</v>
      </c>
      <c r="H20" s="105">
        <f t="shared" si="0"/>
        <v>56.5</v>
      </c>
      <c r="I20" s="106">
        <f t="shared" si="1"/>
        <v>77.97</v>
      </c>
      <c r="J20" s="107"/>
      <c r="K20" s="108">
        <f t="shared" si="2"/>
        <v>1</v>
      </c>
      <c r="L20" s="105">
        <f t="shared" si="3"/>
        <v>38.99</v>
      </c>
      <c r="M20" s="105">
        <f t="shared" si="4"/>
        <v>38.99</v>
      </c>
      <c r="N20" s="109"/>
      <c r="O20" s="95"/>
      <c r="P20" s="100"/>
      <c r="Q20" s="104"/>
      <c r="R20" s="110">
        <f t="shared" si="5"/>
        <v>0</v>
      </c>
      <c r="S20" s="111">
        <f t="shared" si="6"/>
        <v>38.979999999999997</v>
      </c>
      <c r="T20" s="111">
        <f t="shared" si="7"/>
        <v>38.979999999999997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313</v>
      </c>
      <c r="C21" s="114" t="s">
        <v>174</v>
      </c>
      <c r="D21" s="88"/>
      <c r="E21" s="89">
        <v>1000</v>
      </c>
      <c r="F21" s="115">
        <v>1</v>
      </c>
      <c r="G21" s="96">
        <v>43.3</v>
      </c>
      <c r="H21" s="91">
        <f t="shared" si="0"/>
        <v>31.38</v>
      </c>
      <c r="I21" s="92">
        <f t="shared" si="1"/>
        <v>43.3</v>
      </c>
      <c r="J21" s="107"/>
      <c r="K21" s="90">
        <f t="shared" si="2"/>
        <v>1</v>
      </c>
      <c r="L21" s="91">
        <f t="shared" si="3"/>
        <v>21.65</v>
      </c>
      <c r="M21" s="91">
        <f t="shared" si="4"/>
        <v>21.65</v>
      </c>
      <c r="N21" s="116"/>
      <c r="O21" s="95"/>
      <c r="P21" s="117"/>
      <c r="Q21" s="96"/>
      <c r="R21" s="96">
        <f t="shared" si="5"/>
        <v>0</v>
      </c>
      <c r="S21" s="96">
        <f t="shared" si="6"/>
        <v>21.65</v>
      </c>
      <c r="T21" s="96">
        <f t="shared" si="7"/>
        <v>21.65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314</v>
      </c>
      <c r="C22" s="101" t="s">
        <v>315</v>
      </c>
      <c r="D22" s="88"/>
      <c r="E22" s="102">
        <v>1000</v>
      </c>
      <c r="F22" s="103">
        <v>1</v>
      </c>
      <c r="G22" s="104">
        <v>214.96</v>
      </c>
      <c r="H22" s="105">
        <f t="shared" si="0"/>
        <v>155.77000000000001</v>
      </c>
      <c r="I22" s="106">
        <f t="shared" si="1"/>
        <v>214.96</v>
      </c>
      <c r="J22" s="107"/>
      <c r="K22" s="108">
        <f t="shared" si="2"/>
        <v>1</v>
      </c>
      <c r="L22" s="105">
        <f t="shared" si="3"/>
        <v>107.48</v>
      </c>
      <c r="M22" s="105">
        <f t="shared" si="4"/>
        <v>107.48</v>
      </c>
      <c r="N22" s="109"/>
      <c r="O22" s="95"/>
      <c r="P22" s="100"/>
      <c r="Q22" s="104"/>
      <c r="R22" s="110">
        <f t="shared" si="5"/>
        <v>0</v>
      </c>
      <c r="S22" s="111">
        <f t="shared" si="6"/>
        <v>107.48</v>
      </c>
      <c r="T22" s="111">
        <f t="shared" si="7"/>
        <v>107.48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316</v>
      </c>
      <c r="C23" s="114" t="s">
        <v>317</v>
      </c>
      <c r="D23" s="88"/>
      <c r="E23" s="89">
        <v>1000</v>
      </c>
      <c r="F23" s="115">
        <v>1</v>
      </c>
      <c r="G23" s="96">
        <v>614.25</v>
      </c>
      <c r="H23" s="91">
        <f t="shared" si="0"/>
        <v>445.11</v>
      </c>
      <c r="I23" s="92">
        <f t="shared" si="1"/>
        <v>614.25</v>
      </c>
      <c r="J23" s="107"/>
      <c r="K23" s="90">
        <f t="shared" si="2"/>
        <v>1</v>
      </c>
      <c r="L23" s="91">
        <f t="shared" si="3"/>
        <v>307.13</v>
      </c>
      <c r="M23" s="91">
        <f t="shared" si="4"/>
        <v>307.13</v>
      </c>
      <c r="N23" s="116"/>
      <c r="O23" s="95"/>
      <c r="P23" s="117"/>
      <c r="Q23" s="96"/>
      <c r="R23" s="96">
        <f t="shared" si="5"/>
        <v>0</v>
      </c>
      <c r="S23" s="96">
        <f t="shared" si="6"/>
        <v>307.12</v>
      </c>
      <c r="T23" s="96">
        <f t="shared" si="7"/>
        <v>307.12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318</v>
      </c>
      <c r="C24" s="101" t="s">
        <v>128</v>
      </c>
      <c r="D24" s="88"/>
      <c r="E24" s="102">
        <v>2000</v>
      </c>
      <c r="F24" s="103">
        <v>1</v>
      </c>
      <c r="G24" s="104">
        <v>282.86</v>
      </c>
      <c r="H24" s="105">
        <f t="shared" si="0"/>
        <v>204.97</v>
      </c>
      <c r="I24" s="106">
        <f t="shared" si="1"/>
        <v>282.86</v>
      </c>
      <c r="J24" s="107"/>
      <c r="K24" s="108">
        <f t="shared" si="2"/>
        <v>1</v>
      </c>
      <c r="L24" s="105">
        <f t="shared" si="3"/>
        <v>169.72</v>
      </c>
      <c r="M24" s="105">
        <f t="shared" si="4"/>
        <v>169.72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113.14</v>
      </c>
      <c r="T24" s="111">
        <f t="shared" si="7"/>
        <v>113.14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319</v>
      </c>
      <c r="C25" s="114" t="s">
        <v>131</v>
      </c>
      <c r="D25" s="88"/>
      <c r="E25" s="89">
        <v>2000</v>
      </c>
      <c r="F25" s="115">
        <v>1</v>
      </c>
      <c r="G25" s="96">
        <v>106.86</v>
      </c>
      <c r="H25" s="91">
        <f t="shared" si="0"/>
        <v>77.430000000000007</v>
      </c>
      <c r="I25" s="92">
        <f t="shared" si="1"/>
        <v>106.86</v>
      </c>
      <c r="J25" s="107"/>
      <c r="K25" s="90">
        <f t="shared" si="2"/>
        <v>1</v>
      </c>
      <c r="L25" s="91">
        <f t="shared" si="3"/>
        <v>64.12</v>
      </c>
      <c r="M25" s="91">
        <f t="shared" si="4"/>
        <v>64.12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42.74</v>
      </c>
      <c r="T25" s="96">
        <f t="shared" si="7"/>
        <v>42.74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320</v>
      </c>
      <c r="C26" s="101" t="s">
        <v>134</v>
      </c>
      <c r="D26" s="88"/>
      <c r="E26" s="102">
        <v>2000</v>
      </c>
      <c r="F26" s="103">
        <v>1</v>
      </c>
      <c r="G26" s="104">
        <v>66.53</v>
      </c>
      <c r="H26" s="105">
        <f t="shared" si="0"/>
        <v>48.21</v>
      </c>
      <c r="I26" s="106">
        <f t="shared" si="1"/>
        <v>66.53</v>
      </c>
      <c r="J26" s="107"/>
      <c r="K26" s="108">
        <f t="shared" si="2"/>
        <v>1</v>
      </c>
      <c r="L26" s="105">
        <f t="shared" si="3"/>
        <v>39.92</v>
      </c>
      <c r="M26" s="105">
        <f t="shared" si="4"/>
        <v>39.92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26.61</v>
      </c>
      <c r="T26" s="111">
        <f t="shared" si="7"/>
        <v>26.61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321</v>
      </c>
      <c r="C27" s="114" t="s">
        <v>134</v>
      </c>
      <c r="D27" s="88"/>
      <c r="E27" s="89">
        <v>2000</v>
      </c>
      <c r="F27" s="115">
        <v>1</v>
      </c>
      <c r="G27" s="96">
        <v>73.53</v>
      </c>
      <c r="H27" s="91">
        <f t="shared" si="0"/>
        <v>53.28</v>
      </c>
      <c r="I27" s="92">
        <f t="shared" si="1"/>
        <v>73.53</v>
      </c>
      <c r="J27" s="107"/>
      <c r="K27" s="90">
        <f t="shared" si="2"/>
        <v>1</v>
      </c>
      <c r="L27" s="91">
        <f t="shared" si="3"/>
        <v>44.12</v>
      </c>
      <c r="M27" s="91">
        <f t="shared" si="4"/>
        <v>44.12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29.41</v>
      </c>
      <c r="T27" s="96">
        <f t="shared" si="7"/>
        <v>29.41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322</v>
      </c>
      <c r="C28" s="101" t="s">
        <v>323</v>
      </c>
      <c r="D28" s="88"/>
      <c r="E28" s="102">
        <v>2000</v>
      </c>
      <c r="F28" s="103">
        <v>1</v>
      </c>
      <c r="G28" s="104">
        <v>81.38</v>
      </c>
      <c r="H28" s="105">
        <f t="shared" si="0"/>
        <v>58.97</v>
      </c>
      <c r="I28" s="106">
        <f t="shared" si="1"/>
        <v>81.38</v>
      </c>
      <c r="J28" s="107"/>
      <c r="K28" s="108">
        <f t="shared" si="2"/>
        <v>1</v>
      </c>
      <c r="L28" s="105">
        <f t="shared" si="3"/>
        <v>48.83</v>
      </c>
      <c r="M28" s="105">
        <f t="shared" si="4"/>
        <v>48.83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32.549999999999997</v>
      </c>
      <c r="T28" s="111">
        <f t="shared" si="7"/>
        <v>32.549999999999997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324</v>
      </c>
      <c r="C29" s="114" t="s">
        <v>325</v>
      </c>
      <c r="D29" s="88"/>
      <c r="E29" s="89" t="s">
        <v>138</v>
      </c>
      <c r="F29" s="115">
        <v>1</v>
      </c>
      <c r="G29" s="96">
        <v>3825.92</v>
      </c>
      <c r="H29" s="91">
        <f t="shared" si="0"/>
        <v>2772.41</v>
      </c>
      <c r="I29" s="92">
        <f t="shared" si="1"/>
        <v>3825.92</v>
      </c>
      <c r="J29" s="107"/>
      <c r="K29" s="90">
        <f t="shared" si="2"/>
        <v>1</v>
      </c>
      <c r="L29" s="91">
        <f t="shared" si="3"/>
        <v>2295.5500000000002</v>
      </c>
      <c r="M29" s="91">
        <f t="shared" si="4"/>
        <v>2295.5500000000002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1530.37</v>
      </c>
      <c r="T29" s="96">
        <f t="shared" si="7"/>
        <v>1530.37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326</v>
      </c>
      <c r="C30" s="101" t="s">
        <v>327</v>
      </c>
      <c r="D30" s="88"/>
      <c r="E30" s="102" t="s">
        <v>138</v>
      </c>
      <c r="F30" s="103">
        <v>1</v>
      </c>
      <c r="G30" s="104">
        <v>2166.62</v>
      </c>
      <c r="H30" s="105">
        <f t="shared" si="0"/>
        <v>1570.01</v>
      </c>
      <c r="I30" s="106">
        <f t="shared" si="1"/>
        <v>2166.62</v>
      </c>
      <c r="J30" s="107"/>
      <c r="K30" s="108">
        <f t="shared" si="2"/>
        <v>1</v>
      </c>
      <c r="L30" s="105">
        <f t="shared" si="3"/>
        <v>1299.97</v>
      </c>
      <c r="M30" s="105">
        <f t="shared" si="4"/>
        <v>1299.97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866.65</v>
      </c>
      <c r="T30" s="111">
        <f t="shared" si="7"/>
        <v>866.65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328</v>
      </c>
      <c r="C31" s="114" t="s">
        <v>329</v>
      </c>
      <c r="D31" s="88"/>
      <c r="E31" s="89" t="s">
        <v>138</v>
      </c>
      <c r="F31" s="115">
        <v>1</v>
      </c>
      <c r="G31" s="96">
        <v>8171.91</v>
      </c>
      <c r="H31" s="91">
        <f t="shared" si="0"/>
        <v>5921.67</v>
      </c>
      <c r="I31" s="92">
        <f t="shared" si="1"/>
        <v>8171.91</v>
      </c>
      <c r="J31" s="107"/>
      <c r="K31" s="90">
        <f t="shared" si="2"/>
        <v>1</v>
      </c>
      <c r="L31" s="91">
        <f t="shared" si="3"/>
        <v>4903.1499999999996</v>
      </c>
      <c r="M31" s="91">
        <f t="shared" si="4"/>
        <v>4903.1499999999996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3268.76</v>
      </c>
      <c r="T31" s="96">
        <f t="shared" si="7"/>
        <v>3268.76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330</v>
      </c>
      <c r="C32" s="101" t="s">
        <v>331</v>
      </c>
      <c r="D32" s="88"/>
      <c r="E32" s="102" t="s">
        <v>138</v>
      </c>
      <c r="F32" s="103">
        <v>1</v>
      </c>
      <c r="G32" s="104">
        <v>8200.49</v>
      </c>
      <c r="H32" s="105">
        <f t="shared" si="0"/>
        <v>5942.38</v>
      </c>
      <c r="I32" s="106">
        <f t="shared" si="1"/>
        <v>8200.49</v>
      </c>
      <c r="J32" s="107"/>
      <c r="K32" s="108">
        <f t="shared" si="2"/>
        <v>1</v>
      </c>
      <c r="L32" s="105">
        <f t="shared" si="3"/>
        <v>4100.25</v>
      </c>
      <c r="M32" s="105">
        <f t="shared" si="4"/>
        <v>4100.25</v>
      </c>
      <c r="N32" s="109"/>
      <c r="O32" s="95"/>
      <c r="P32" s="100"/>
      <c r="Q32" s="104"/>
      <c r="R32" s="110">
        <f t="shared" si="5"/>
        <v>0</v>
      </c>
      <c r="S32" s="111">
        <f t="shared" si="6"/>
        <v>4100.24</v>
      </c>
      <c r="T32" s="111">
        <f t="shared" si="7"/>
        <v>4100.24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287</v>
      </c>
      <c r="C33" s="114" t="s">
        <v>183</v>
      </c>
      <c r="D33" s="88"/>
      <c r="E33" s="89" t="s">
        <v>138</v>
      </c>
      <c r="F33" s="115">
        <v>2</v>
      </c>
      <c r="G33" s="96">
        <v>396.11</v>
      </c>
      <c r="H33" s="91">
        <f t="shared" si="0"/>
        <v>287.04000000000002</v>
      </c>
      <c r="I33" s="92">
        <f t="shared" si="1"/>
        <v>792.22</v>
      </c>
      <c r="J33" s="107"/>
      <c r="K33" s="90">
        <f t="shared" si="2"/>
        <v>2</v>
      </c>
      <c r="L33" s="91">
        <f t="shared" si="3"/>
        <v>198.06</v>
      </c>
      <c r="M33" s="91">
        <f t="shared" si="4"/>
        <v>396.12</v>
      </c>
      <c r="N33" s="116"/>
      <c r="O33" s="95"/>
      <c r="P33" s="117"/>
      <c r="Q33" s="96"/>
      <c r="R33" s="96">
        <f t="shared" si="5"/>
        <v>0</v>
      </c>
      <c r="S33" s="96">
        <f t="shared" si="6"/>
        <v>198.05</v>
      </c>
      <c r="T33" s="96">
        <f t="shared" si="7"/>
        <v>396.1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332</v>
      </c>
      <c r="C34" s="101" t="s">
        <v>144</v>
      </c>
      <c r="D34" s="88"/>
      <c r="E34" s="102" t="s">
        <v>138</v>
      </c>
      <c r="F34" s="103">
        <v>1</v>
      </c>
      <c r="G34" s="104">
        <v>6026.71</v>
      </c>
      <c r="H34" s="105">
        <f t="shared" si="0"/>
        <v>4367.18</v>
      </c>
      <c r="I34" s="106">
        <f t="shared" si="1"/>
        <v>6026.71</v>
      </c>
      <c r="J34" s="107"/>
      <c r="K34" s="108">
        <f t="shared" si="2"/>
        <v>1</v>
      </c>
      <c r="L34" s="105">
        <f t="shared" si="3"/>
        <v>3013.36</v>
      </c>
      <c r="M34" s="105">
        <f t="shared" si="4"/>
        <v>3013.36</v>
      </c>
      <c r="N34" s="109"/>
      <c r="O34" s="95"/>
      <c r="P34" s="100"/>
      <c r="Q34" s="104"/>
      <c r="R34" s="110">
        <f t="shared" si="5"/>
        <v>0</v>
      </c>
      <c r="S34" s="111">
        <f t="shared" si="6"/>
        <v>3013.35</v>
      </c>
      <c r="T34" s="111">
        <f t="shared" si="7"/>
        <v>3013.35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333</v>
      </c>
      <c r="C35" s="114" t="s">
        <v>147</v>
      </c>
      <c r="D35" s="88"/>
      <c r="E35" s="89" t="s">
        <v>138</v>
      </c>
      <c r="F35" s="115">
        <v>6</v>
      </c>
      <c r="G35" s="96">
        <v>1575.3</v>
      </c>
      <c r="H35" s="91">
        <f t="shared" si="0"/>
        <v>1141.52</v>
      </c>
      <c r="I35" s="92">
        <f t="shared" si="1"/>
        <v>9451.7999999999993</v>
      </c>
      <c r="J35" s="107"/>
      <c r="K35" s="90">
        <f t="shared" si="2"/>
        <v>6</v>
      </c>
      <c r="L35" s="91">
        <f t="shared" si="3"/>
        <v>1102.71</v>
      </c>
      <c r="M35" s="91">
        <f t="shared" si="4"/>
        <v>6616.26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472.59</v>
      </c>
      <c r="T35" s="96">
        <f t="shared" si="7"/>
        <v>2835.54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334</v>
      </c>
      <c r="C36" s="101" t="s">
        <v>335</v>
      </c>
      <c r="D36" s="88"/>
      <c r="E36" s="102">
        <v>4000</v>
      </c>
      <c r="F36" s="103">
        <v>1</v>
      </c>
      <c r="G36" s="104">
        <v>63838.66</v>
      </c>
      <c r="H36" s="105">
        <f t="shared" si="0"/>
        <v>46259.9</v>
      </c>
      <c r="I36" s="106">
        <f t="shared" si="1"/>
        <v>63838.66</v>
      </c>
      <c r="J36" s="107"/>
      <c r="K36" s="108">
        <f t="shared" si="2"/>
        <v>1</v>
      </c>
      <c r="L36" s="105">
        <f t="shared" si="3"/>
        <v>44687.06</v>
      </c>
      <c r="M36" s="105">
        <f t="shared" si="4"/>
        <v>44687.06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19151.599999999999</v>
      </c>
      <c r="T36" s="111">
        <f t="shared" si="7"/>
        <v>19151.599999999999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336</v>
      </c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 t="s">
        <v>337</v>
      </c>
      <c r="C38" s="101" t="s">
        <v>338</v>
      </c>
      <c r="D38" s="88"/>
      <c r="E38" s="102" t="s">
        <v>138</v>
      </c>
      <c r="F38" s="103">
        <v>4</v>
      </c>
      <c r="G38" s="104">
        <v>421.69</v>
      </c>
      <c r="H38" s="105">
        <f t="shared" si="0"/>
        <v>305.57</v>
      </c>
      <c r="I38" s="106">
        <f t="shared" si="1"/>
        <v>1686.76</v>
      </c>
      <c r="J38" s="107"/>
      <c r="K38" s="108">
        <f t="shared" si="2"/>
        <v>4</v>
      </c>
      <c r="L38" s="105">
        <f t="shared" si="3"/>
        <v>295.18</v>
      </c>
      <c r="M38" s="105">
        <f t="shared" si="4"/>
        <v>1180.72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126.51</v>
      </c>
      <c r="T38" s="111">
        <f t="shared" si="7"/>
        <v>506.04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339</v>
      </c>
      <c r="C39" s="114" t="s">
        <v>340</v>
      </c>
      <c r="D39" s="88"/>
      <c r="E39" s="89" t="s">
        <v>138</v>
      </c>
      <c r="F39" s="115">
        <v>1</v>
      </c>
      <c r="G39" s="96">
        <v>834.29</v>
      </c>
      <c r="H39" s="91">
        <f t="shared" si="0"/>
        <v>604.55999999999995</v>
      </c>
      <c r="I39" s="92">
        <f t="shared" si="1"/>
        <v>834.29</v>
      </c>
      <c r="J39" s="107"/>
      <c r="K39" s="90">
        <f t="shared" si="2"/>
        <v>1</v>
      </c>
      <c r="L39" s="91">
        <f t="shared" si="3"/>
        <v>584</v>
      </c>
      <c r="M39" s="91">
        <f t="shared" si="4"/>
        <v>584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250.29</v>
      </c>
      <c r="T39" s="96">
        <f t="shared" si="7"/>
        <v>250.29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341</v>
      </c>
      <c r="C40" s="101" t="s">
        <v>342</v>
      </c>
      <c r="D40" s="88"/>
      <c r="E40" s="102" t="s">
        <v>138</v>
      </c>
      <c r="F40" s="103">
        <v>1</v>
      </c>
      <c r="G40" s="104">
        <v>834.29</v>
      </c>
      <c r="H40" s="105">
        <f t="shared" si="0"/>
        <v>604.55999999999995</v>
      </c>
      <c r="I40" s="106">
        <f t="shared" si="1"/>
        <v>834.29</v>
      </c>
      <c r="J40" s="107"/>
      <c r="K40" s="108">
        <f t="shared" si="2"/>
        <v>1</v>
      </c>
      <c r="L40" s="105">
        <f t="shared" si="3"/>
        <v>584</v>
      </c>
      <c r="M40" s="105">
        <f t="shared" si="4"/>
        <v>584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250.29</v>
      </c>
      <c r="T40" s="111">
        <f t="shared" si="7"/>
        <v>250.29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343</v>
      </c>
      <c r="C41" s="114" t="s">
        <v>295</v>
      </c>
      <c r="D41" s="88"/>
      <c r="E41" s="89" t="s">
        <v>138</v>
      </c>
      <c r="F41" s="115">
        <v>1</v>
      </c>
      <c r="G41" s="96">
        <v>5764.03</v>
      </c>
      <c r="H41" s="91">
        <f t="shared" si="0"/>
        <v>4176.83</v>
      </c>
      <c r="I41" s="92">
        <f t="shared" si="1"/>
        <v>5764.03</v>
      </c>
      <c r="J41" s="107"/>
      <c r="K41" s="90">
        <f t="shared" si="2"/>
        <v>1</v>
      </c>
      <c r="L41" s="91">
        <f t="shared" si="3"/>
        <v>4034.82</v>
      </c>
      <c r="M41" s="91">
        <f t="shared" si="4"/>
        <v>4034.82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1729.21</v>
      </c>
      <c r="T41" s="96">
        <f t="shared" si="7"/>
        <v>1729.21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344</v>
      </c>
      <c r="C42" s="101" t="s">
        <v>297</v>
      </c>
      <c r="D42" s="88"/>
      <c r="E42" s="102" t="s">
        <v>138</v>
      </c>
      <c r="F42" s="103">
        <v>5</v>
      </c>
      <c r="G42" s="104">
        <v>400.29</v>
      </c>
      <c r="H42" s="105">
        <f t="shared" si="0"/>
        <v>290.07</v>
      </c>
      <c r="I42" s="106">
        <f t="shared" si="1"/>
        <v>2001.45</v>
      </c>
      <c r="J42" s="107"/>
      <c r="K42" s="108">
        <f t="shared" si="2"/>
        <v>5</v>
      </c>
      <c r="L42" s="105">
        <f t="shared" si="3"/>
        <v>280.2</v>
      </c>
      <c r="M42" s="105">
        <f t="shared" si="4"/>
        <v>1401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120.09</v>
      </c>
      <c r="T42" s="111">
        <f t="shared" si="7"/>
        <v>600.45000000000005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345</v>
      </c>
      <c r="C43" s="114" t="s">
        <v>297</v>
      </c>
      <c r="D43" s="88"/>
      <c r="E43" s="89" t="s">
        <v>138</v>
      </c>
      <c r="F43" s="115">
        <v>1</v>
      </c>
      <c r="G43" s="96">
        <v>400.29</v>
      </c>
      <c r="H43" s="91">
        <f t="shared" si="0"/>
        <v>290.07</v>
      </c>
      <c r="I43" s="92">
        <f t="shared" si="1"/>
        <v>400.29</v>
      </c>
      <c r="J43" s="107"/>
      <c r="K43" s="90">
        <f t="shared" si="2"/>
        <v>1</v>
      </c>
      <c r="L43" s="91">
        <f t="shared" si="3"/>
        <v>280.2</v>
      </c>
      <c r="M43" s="91">
        <f t="shared" si="4"/>
        <v>280.2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120.09</v>
      </c>
      <c r="T43" s="96">
        <f t="shared" si="7"/>
        <v>120.09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346</v>
      </c>
      <c r="C44" s="101" t="s">
        <v>297</v>
      </c>
      <c r="D44" s="88"/>
      <c r="E44" s="102" t="s">
        <v>138</v>
      </c>
      <c r="F44" s="103">
        <v>1</v>
      </c>
      <c r="G44" s="104">
        <v>400.29</v>
      </c>
      <c r="H44" s="105">
        <f t="shared" si="0"/>
        <v>290.07</v>
      </c>
      <c r="I44" s="106">
        <f t="shared" si="1"/>
        <v>400.29</v>
      </c>
      <c r="J44" s="107"/>
      <c r="K44" s="108">
        <f t="shared" si="2"/>
        <v>1</v>
      </c>
      <c r="L44" s="105">
        <f t="shared" si="3"/>
        <v>280.2</v>
      </c>
      <c r="M44" s="105">
        <f t="shared" si="4"/>
        <v>280.2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120.09</v>
      </c>
      <c r="T44" s="111">
        <f t="shared" si="7"/>
        <v>120.09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347</v>
      </c>
      <c r="C45" s="114" t="s">
        <v>301</v>
      </c>
      <c r="D45" s="88"/>
      <c r="E45" s="89" t="s">
        <v>138</v>
      </c>
      <c r="F45" s="115">
        <v>1</v>
      </c>
      <c r="G45" s="96">
        <v>12.78</v>
      </c>
      <c r="H45" s="91">
        <f t="shared" si="0"/>
        <v>9.26</v>
      </c>
      <c r="I45" s="92">
        <f t="shared" si="1"/>
        <v>12.78</v>
      </c>
      <c r="J45" s="107"/>
      <c r="K45" s="90">
        <f t="shared" si="2"/>
        <v>1</v>
      </c>
      <c r="L45" s="91">
        <f t="shared" si="3"/>
        <v>8.9499999999999993</v>
      </c>
      <c r="M45" s="91">
        <f t="shared" si="4"/>
        <v>8.9499999999999993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3.83</v>
      </c>
      <c r="T45" s="96">
        <f t="shared" si="7"/>
        <v>3.83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348</v>
      </c>
      <c r="C46" s="101" t="s">
        <v>301</v>
      </c>
      <c r="D46" s="88"/>
      <c r="E46" s="102" t="s">
        <v>138</v>
      </c>
      <c r="F46" s="103">
        <v>1</v>
      </c>
      <c r="G46" s="104">
        <v>2024.49</v>
      </c>
      <c r="H46" s="105">
        <f t="shared" si="0"/>
        <v>1467.02</v>
      </c>
      <c r="I46" s="106">
        <f t="shared" si="1"/>
        <v>2024.49</v>
      </c>
      <c r="J46" s="107"/>
      <c r="K46" s="108">
        <f t="shared" si="2"/>
        <v>1</v>
      </c>
      <c r="L46" s="105">
        <f t="shared" si="3"/>
        <v>1417.14</v>
      </c>
      <c r="M46" s="105">
        <f t="shared" si="4"/>
        <v>1417.14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607.35</v>
      </c>
      <c r="T46" s="111">
        <f t="shared" si="7"/>
        <v>607.35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349</v>
      </c>
      <c r="C47" s="114" t="s">
        <v>301</v>
      </c>
      <c r="D47" s="88"/>
      <c r="E47" s="89" t="s">
        <v>138</v>
      </c>
      <c r="F47" s="115">
        <v>1</v>
      </c>
      <c r="G47" s="96">
        <v>2024.49</v>
      </c>
      <c r="H47" s="91">
        <f t="shared" si="0"/>
        <v>1467.02</v>
      </c>
      <c r="I47" s="92">
        <f t="shared" si="1"/>
        <v>2024.49</v>
      </c>
      <c r="J47" s="107"/>
      <c r="K47" s="90">
        <f t="shared" si="2"/>
        <v>1</v>
      </c>
      <c r="L47" s="91">
        <f t="shared" si="3"/>
        <v>1417.14</v>
      </c>
      <c r="M47" s="91">
        <f t="shared" si="4"/>
        <v>1417.14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607.35</v>
      </c>
      <c r="T47" s="96">
        <f t="shared" si="7"/>
        <v>607.35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108939.35999999999</v>
      </c>
      <c r="H50" s="124">
        <f t="shared" si="10"/>
        <v>78941.560000000027</v>
      </c>
      <c r="I50" s="125">
        <f t="shared" si="10"/>
        <v>120078.19999999998</v>
      </c>
      <c r="J50" s="126"/>
      <c r="K50" s="127">
        <f t="shared" ref="K50:M50" si="11">SUM(K19:K49)</f>
        <v>41</v>
      </c>
      <c r="L50" s="124">
        <f t="shared" si="11"/>
        <v>71653.439999999988</v>
      </c>
      <c r="M50" s="125">
        <f t="shared" si="11"/>
        <v>79371.39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37285.919999999991</v>
      </c>
      <c r="T50" s="125">
        <f t="shared" si="12"/>
        <v>40706.80999999999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59" priority="1" stopIfTrue="1">
      <formula>$U$9&gt;100%</formula>
    </cfRule>
    <cfRule type="expression" dxfId="258" priority="2">
      <formula>$U$9&lt;50%</formula>
    </cfRule>
  </conditionalFormatting>
  <conditionalFormatting sqref="V9:V11">
    <cfRule type="expression" dxfId="257" priority="3">
      <formula>$V$9&lt;50%</formula>
    </cfRule>
    <cfRule type="expression" dxfId="256" priority="4">
      <formula>$V$9&gt;50%</formula>
    </cfRule>
  </conditionalFormatting>
  <dataValidations count="4">
    <dataValidation type="list" allowBlank="1" showErrorMessage="1" sqref="E19:E49" xr:uid="{00000000-0002-0000-0800-000000000000}">
      <formula1>$Z$19:$Z$30</formula1>
    </dataValidation>
    <dataValidation type="list" allowBlank="1" showErrorMessage="1" sqref="I14" xr:uid="{00000000-0002-0000-0800-000001000000}">
      <formula1>$Y$14:$Y$15</formula1>
    </dataValidation>
    <dataValidation type="list" allowBlank="1" showErrorMessage="1" sqref="J14" xr:uid="{00000000-0002-0000-0800-000002000000}">
      <formula1>$L$9</formula1>
    </dataValidation>
    <dataValidation type="list" allowBlank="1" showErrorMessage="1" sqref="Q15 G18 L18 Q18" xr:uid="{00000000-0002-0000-08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352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120078.19999999998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79371.39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40706.809999999983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308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0.33900250003747551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353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40706.80999999999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79371.39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311</v>
      </c>
      <c r="C19" s="87" t="s">
        <v>169</v>
      </c>
      <c r="D19" s="88"/>
      <c r="E19" s="89">
        <v>500</v>
      </c>
      <c r="F19" s="90">
        <v>1</v>
      </c>
      <c r="G19" s="91">
        <v>59.07</v>
      </c>
      <c r="H19" s="91">
        <f t="shared" ref="H19:H49" si="0">ROUND(IF($G$18="USD $", G19*$F$16,G19*$E$16),2)</f>
        <v>42.8</v>
      </c>
      <c r="I19" s="92">
        <f t="shared" ref="I19:I49" si="1">ROUND(IF($I$18=$H$18,F19*H19,F19*G19),2)</f>
        <v>59.07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29.54</v>
      </c>
      <c r="M19" s="91">
        <f t="shared" ref="M19:M49" si="4">ROUND((K19*L19),2)</f>
        <v>29.54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29.53</v>
      </c>
      <c r="T19" s="96">
        <f t="shared" ref="T19:T49" si="7">ROUND(I19-M19,2)</f>
        <v>29.53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312</v>
      </c>
      <c r="C20" s="101" t="s">
        <v>118</v>
      </c>
      <c r="D20" s="88"/>
      <c r="E20" s="102">
        <v>500</v>
      </c>
      <c r="F20" s="103">
        <v>1</v>
      </c>
      <c r="G20" s="104">
        <v>77.97</v>
      </c>
      <c r="H20" s="105">
        <f t="shared" si="0"/>
        <v>56.5</v>
      </c>
      <c r="I20" s="106">
        <f t="shared" si="1"/>
        <v>77.97</v>
      </c>
      <c r="J20" s="107"/>
      <c r="K20" s="108">
        <f t="shared" si="2"/>
        <v>1</v>
      </c>
      <c r="L20" s="105">
        <f t="shared" si="3"/>
        <v>38.99</v>
      </c>
      <c r="M20" s="105">
        <f t="shared" si="4"/>
        <v>38.99</v>
      </c>
      <c r="N20" s="109"/>
      <c r="O20" s="95"/>
      <c r="P20" s="100"/>
      <c r="Q20" s="104"/>
      <c r="R20" s="110">
        <f t="shared" si="5"/>
        <v>0</v>
      </c>
      <c r="S20" s="111">
        <f t="shared" si="6"/>
        <v>38.979999999999997</v>
      </c>
      <c r="T20" s="111">
        <f t="shared" si="7"/>
        <v>38.979999999999997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313</v>
      </c>
      <c r="C21" s="114" t="s">
        <v>174</v>
      </c>
      <c r="D21" s="88"/>
      <c r="E21" s="89">
        <v>1000</v>
      </c>
      <c r="F21" s="115">
        <v>1</v>
      </c>
      <c r="G21" s="96">
        <v>43.3</v>
      </c>
      <c r="H21" s="91">
        <f t="shared" si="0"/>
        <v>31.38</v>
      </c>
      <c r="I21" s="92">
        <f t="shared" si="1"/>
        <v>43.3</v>
      </c>
      <c r="J21" s="107"/>
      <c r="K21" s="90">
        <f t="shared" si="2"/>
        <v>1</v>
      </c>
      <c r="L21" s="91">
        <f t="shared" si="3"/>
        <v>21.65</v>
      </c>
      <c r="M21" s="91">
        <f t="shared" si="4"/>
        <v>21.65</v>
      </c>
      <c r="N21" s="116"/>
      <c r="O21" s="95"/>
      <c r="P21" s="117"/>
      <c r="Q21" s="96"/>
      <c r="R21" s="96">
        <f t="shared" si="5"/>
        <v>0</v>
      </c>
      <c r="S21" s="96">
        <f t="shared" si="6"/>
        <v>21.65</v>
      </c>
      <c r="T21" s="96">
        <f t="shared" si="7"/>
        <v>21.65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314</v>
      </c>
      <c r="C22" s="101" t="s">
        <v>315</v>
      </c>
      <c r="D22" s="88"/>
      <c r="E22" s="102">
        <v>1000</v>
      </c>
      <c r="F22" s="103">
        <v>1</v>
      </c>
      <c r="G22" s="104">
        <v>214.96</v>
      </c>
      <c r="H22" s="105">
        <f t="shared" si="0"/>
        <v>155.77000000000001</v>
      </c>
      <c r="I22" s="106">
        <f t="shared" si="1"/>
        <v>214.96</v>
      </c>
      <c r="J22" s="107"/>
      <c r="K22" s="108">
        <f t="shared" si="2"/>
        <v>1</v>
      </c>
      <c r="L22" s="105">
        <f t="shared" si="3"/>
        <v>107.48</v>
      </c>
      <c r="M22" s="105">
        <f t="shared" si="4"/>
        <v>107.48</v>
      </c>
      <c r="N22" s="109"/>
      <c r="O22" s="95"/>
      <c r="P22" s="100"/>
      <c r="Q22" s="104"/>
      <c r="R22" s="110">
        <f t="shared" si="5"/>
        <v>0</v>
      </c>
      <c r="S22" s="111">
        <f t="shared" si="6"/>
        <v>107.48</v>
      </c>
      <c r="T22" s="111">
        <f t="shared" si="7"/>
        <v>107.48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316</v>
      </c>
      <c r="C23" s="114" t="s">
        <v>317</v>
      </c>
      <c r="D23" s="88"/>
      <c r="E23" s="89">
        <v>1000</v>
      </c>
      <c r="F23" s="115">
        <v>1</v>
      </c>
      <c r="G23" s="96">
        <v>614.25</v>
      </c>
      <c r="H23" s="91">
        <f t="shared" si="0"/>
        <v>445.11</v>
      </c>
      <c r="I23" s="92">
        <f t="shared" si="1"/>
        <v>614.25</v>
      </c>
      <c r="J23" s="107"/>
      <c r="K23" s="90">
        <f t="shared" si="2"/>
        <v>1</v>
      </c>
      <c r="L23" s="91">
        <f t="shared" si="3"/>
        <v>307.13</v>
      </c>
      <c r="M23" s="91">
        <f t="shared" si="4"/>
        <v>307.13</v>
      </c>
      <c r="N23" s="116"/>
      <c r="O23" s="95"/>
      <c r="P23" s="117"/>
      <c r="Q23" s="96"/>
      <c r="R23" s="96">
        <f t="shared" si="5"/>
        <v>0</v>
      </c>
      <c r="S23" s="96">
        <f t="shared" si="6"/>
        <v>307.12</v>
      </c>
      <c r="T23" s="96">
        <f t="shared" si="7"/>
        <v>307.12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318</v>
      </c>
      <c r="C24" s="101" t="s">
        <v>128</v>
      </c>
      <c r="D24" s="88"/>
      <c r="E24" s="102">
        <v>2000</v>
      </c>
      <c r="F24" s="103">
        <v>1</v>
      </c>
      <c r="G24" s="104">
        <v>282.86</v>
      </c>
      <c r="H24" s="105">
        <f t="shared" si="0"/>
        <v>204.97</v>
      </c>
      <c r="I24" s="106">
        <f t="shared" si="1"/>
        <v>282.86</v>
      </c>
      <c r="J24" s="107"/>
      <c r="K24" s="108">
        <f t="shared" si="2"/>
        <v>1</v>
      </c>
      <c r="L24" s="105">
        <f t="shared" si="3"/>
        <v>169.72</v>
      </c>
      <c r="M24" s="105">
        <f t="shared" si="4"/>
        <v>169.72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113.14</v>
      </c>
      <c r="T24" s="111">
        <f t="shared" si="7"/>
        <v>113.14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319</v>
      </c>
      <c r="C25" s="114" t="s">
        <v>131</v>
      </c>
      <c r="D25" s="88"/>
      <c r="E25" s="89">
        <v>2000</v>
      </c>
      <c r="F25" s="115">
        <v>1</v>
      </c>
      <c r="G25" s="96">
        <v>106.86</v>
      </c>
      <c r="H25" s="91">
        <f t="shared" si="0"/>
        <v>77.430000000000007</v>
      </c>
      <c r="I25" s="92">
        <f t="shared" si="1"/>
        <v>106.86</v>
      </c>
      <c r="J25" s="107"/>
      <c r="K25" s="90">
        <f t="shared" si="2"/>
        <v>1</v>
      </c>
      <c r="L25" s="91">
        <f t="shared" si="3"/>
        <v>64.12</v>
      </c>
      <c r="M25" s="91">
        <f t="shared" si="4"/>
        <v>64.12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42.74</v>
      </c>
      <c r="T25" s="96">
        <f t="shared" si="7"/>
        <v>42.74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320</v>
      </c>
      <c r="C26" s="101" t="s">
        <v>134</v>
      </c>
      <c r="D26" s="88"/>
      <c r="E26" s="102">
        <v>2000</v>
      </c>
      <c r="F26" s="103">
        <v>1</v>
      </c>
      <c r="G26" s="104">
        <v>66.53</v>
      </c>
      <c r="H26" s="105">
        <f t="shared" si="0"/>
        <v>48.21</v>
      </c>
      <c r="I26" s="106">
        <f t="shared" si="1"/>
        <v>66.53</v>
      </c>
      <c r="J26" s="107"/>
      <c r="K26" s="108">
        <f t="shared" si="2"/>
        <v>1</v>
      </c>
      <c r="L26" s="105">
        <f t="shared" si="3"/>
        <v>39.92</v>
      </c>
      <c r="M26" s="105">
        <f t="shared" si="4"/>
        <v>39.92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26.61</v>
      </c>
      <c r="T26" s="111">
        <f t="shared" si="7"/>
        <v>26.61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321</v>
      </c>
      <c r="C27" s="114" t="s">
        <v>134</v>
      </c>
      <c r="D27" s="88"/>
      <c r="E27" s="89">
        <v>2000</v>
      </c>
      <c r="F27" s="115">
        <v>1</v>
      </c>
      <c r="G27" s="96">
        <v>73.53</v>
      </c>
      <c r="H27" s="91">
        <f t="shared" si="0"/>
        <v>53.28</v>
      </c>
      <c r="I27" s="92">
        <f t="shared" si="1"/>
        <v>73.53</v>
      </c>
      <c r="J27" s="107"/>
      <c r="K27" s="90">
        <f t="shared" si="2"/>
        <v>1</v>
      </c>
      <c r="L27" s="91">
        <f t="shared" si="3"/>
        <v>44.12</v>
      </c>
      <c r="M27" s="91">
        <f t="shared" si="4"/>
        <v>44.12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29.41</v>
      </c>
      <c r="T27" s="96">
        <f t="shared" si="7"/>
        <v>29.41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322</v>
      </c>
      <c r="C28" s="101" t="s">
        <v>323</v>
      </c>
      <c r="D28" s="88"/>
      <c r="E28" s="102">
        <v>2000</v>
      </c>
      <c r="F28" s="103">
        <v>1</v>
      </c>
      <c r="G28" s="104">
        <v>81.38</v>
      </c>
      <c r="H28" s="105">
        <f t="shared" si="0"/>
        <v>58.97</v>
      </c>
      <c r="I28" s="106">
        <f t="shared" si="1"/>
        <v>81.38</v>
      </c>
      <c r="J28" s="107"/>
      <c r="K28" s="108">
        <f t="shared" si="2"/>
        <v>1</v>
      </c>
      <c r="L28" s="105">
        <f t="shared" si="3"/>
        <v>48.83</v>
      </c>
      <c r="M28" s="105">
        <f t="shared" si="4"/>
        <v>48.83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32.549999999999997</v>
      </c>
      <c r="T28" s="111">
        <f t="shared" si="7"/>
        <v>32.549999999999997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324</v>
      </c>
      <c r="C29" s="114" t="s">
        <v>325</v>
      </c>
      <c r="D29" s="88"/>
      <c r="E29" s="89" t="s">
        <v>138</v>
      </c>
      <c r="F29" s="115">
        <v>1</v>
      </c>
      <c r="G29" s="96">
        <v>3825.92</v>
      </c>
      <c r="H29" s="91">
        <f t="shared" si="0"/>
        <v>2772.41</v>
      </c>
      <c r="I29" s="92">
        <f t="shared" si="1"/>
        <v>3825.92</v>
      </c>
      <c r="J29" s="107"/>
      <c r="K29" s="90">
        <f t="shared" si="2"/>
        <v>1</v>
      </c>
      <c r="L29" s="91">
        <f t="shared" si="3"/>
        <v>2295.5500000000002</v>
      </c>
      <c r="M29" s="91">
        <f t="shared" si="4"/>
        <v>2295.5500000000002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1530.37</v>
      </c>
      <c r="T29" s="96">
        <f t="shared" si="7"/>
        <v>1530.37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326</v>
      </c>
      <c r="C30" s="101" t="s">
        <v>327</v>
      </c>
      <c r="D30" s="88"/>
      <c r="E30" s="102" t="s">
        <v>138</v>
      </c>
      <c r="F30" s="103">
        <v>1</v>
      </c>
      <c r="G30" s="104">
        <v>2166.62</v>
      </c>
      <c r="H30" s="105">
        <f t="shared" si="0"/>
        <v>1570.01</v>
      </c>
      <c r="I30" s="106">
        <f t="shared" si="1"/>
        <v>2166.62</v>
      </c>
      <c r="J30" s="107"/>
      <c r="K30" s="108">
        <f t="shared" si="2"/>
        <v>1</v>
      </c>
      <c r="L30" s="105">
        <f t="shared" si="3"/>
        <v>1299.97</v>
      </c>
      <c r="M30" s="105">
        <f t="shared" si="4"/>
        <v>1299.97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866.65</v>
      </c>
      <c r="T30" s="111">
        <f t="shared" si="7"/>
        <v>866.65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328</v>
      </c>
      <c r="C31" s="114" t="s">
        <v>329</v>
      </c>
      <c r="D31" s="88"/>
      <c r="E31" s="89" t="s">
        <v>138</v>
      </c>
      <c r="F31" s="115">
        <v>1</v>
      </c>
      <c r="G31" s="96">
        <v>8171.91</v>
      </c>
      <c r="H31" s="91">
        <f t="shared" si="0"/>
        <v>5921.67</v>
      </c>
      <c r="I31" s="92">
        <f t="shared" si="1"/>
        <v>8171.91</v>
      </c>
      <c r="J31" s="107"/>
      <c r="K31" s="90">
        <f t="shared" si="2"/>
        <v>1</v>
      </c>
      <c r="L31" s="91">
        <f t="shared" si="3"/>
        <v>4903.1499999999996</v>
      </c>
      <c r="M31" s="91">
        <f t="shared" si="4"/>
        <v>4903.1499999999996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3268.76</v>
      </c>
      <c r="T31" s="96">
        <f t="shared" si="7"/>
        <v>3268.76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330</v>
      </c>
      <c r="C32" s="101" t="s">
        <v>331</v>
      </c>
      <c r="D32" s="88"/>
      <c r="E32" s="102" t="s">
        <v>138</v>
      </c>
      <c r="F32" s="103">
        <v>1</v>
      </c>
      <c r="G32" s="104">
        <v>8200.49</v>
      </c>
      <c r="H32" s="105">
        <f t="shared" si="0"/>
        <v>5942.38</v>
      </c>
      <c r="I32" s="106">
        <f t="shared" si="1"/>
        <v>8200.49</v>
      </c>
      <c r="J32" s="107"/>
      <c r="K32" s="108">
        <f t="shared" si="2"/>
        <v>1</v>
      </c>
      <c r="L32" s="105">
        <f t="shared" si="3"/>
        <v>4100.25</v>
      </c>
      <c r="M32" s="105">
        <f t="shared" si="4"/>
        <v>4100.25</v>
      </c>
      <c r="N32" s="109"/>
      <c r="O32" s="95"/>
      <c r="P32" s="100"/>
      <c r="Q32" s="104"/>
      <c r="R32" s="110">
        <f t="shared" si="5"/>
        <v>0</v>
      </c>
      <c r="S32" s="111">
        <f t="shared" si="6"/>
        <v>4100.24</v>
      </c>
      <c r="T32" s="111">
        <f t="shared" si="7"/>
        <v>4100.24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287</v>
      </c>
      <c r="C33" s="114" t="s">
        <v>183</v>
      </c>
      <c r="D33" s="88"/>
      <c r="E33" s="89" t="s">
        <v>138</v>
      </c>
      <c r="F33" s="115">
        <v>2</v>
      </c>
      <c r="G33" s="96">
        <v>396.11</v>
      </c>
      <c r="H33" s="91">
        <f t="shared" si="0"/>
        <v>287.04000000000002</v>
      </c>
      <c r="I33" s="92">
        <f t="shared" si="1"/>
        <v>792.22</v>
      </c>
      <c r="J33" s="107"/>
      <c r="K33" s="90">
        <f t="shared" si="2"/>
        <v>2</v>
      </c>
      <c r="L33" s="91">
        <f t="shared" si="3"/>
        <v>198.06</v>
      </c>
      <c r="M33" s="91">
        <f t="shared" si="4"/>
        <v>396.12</v>
      </c>
      <c r="N33" s="116"/>
      <c r="O33" s="95"/>
      <c r="P33" s="117"/>
      <c r="Q33" s="96"/>
      <c r="R33" s="96">
        <f t="shared" si="5"/>
        <v>0</v>
      </c>
      <c r="S33" s="96">
        <f t="shared" si="6"/>
        <v>198.05</v>
      </c>
      <c r="T33" s="96">
        <f t="shared" si="7"/>
        <v>396.1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332</v>
      </c>
      <c r="C34" s="101" t="s">
        <v>144</v>
      </c>
      <c r="D34" s="88"/>
      <c r="E34" s="102" t="s">
        <v>138</v>
      </c>
      <c r="F34" s="103">
        <v>1</v>
      </c>
      <c r="G34" s="104">
        <v>6026.71</v>
      </c>
      <c r="H34" s="105">
        <f t="shared" si="0"/>
        <v>4367.18</v>
      </c>
      <c r="I34" s="106">
        <f t="shared" si="1"/>
        <v>6026.71</v>
      </c>
      <c r="J34" s="107"/>
      <c r="K34" s="108">
        <f t="shared" si="2"/>
        <v>1</v>
      </c>
      <c r="L34" s="105">
        <f t="shared" si="3"/>
        <v>3013.36</v>
      </c>
      <c r="M34" s="105">
        <f t="shared" si="4"/>
        <v>3013.36</v>
      </c>
      <c r="N34" s="109"/>
      <c r="O34" s="95"/>
      <c r="P34" s="100"/>
      <c r="Q34" s="104"/>
      <c r="R34" s="110">
        <f t="shared" si="5"/>
        <v>0</v>
      </c>
      <c r="S34" s="111">
        <f t="shared" si="6"/>
        <v>3013.35</v>
      </c>
      <c r="T34" s="111">
        <f t="shared" si="7"/>
        <v>3013.35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333</v>
      </c>
      <c r="C35" s="114" t="s">
        <v>147</v>
      </c>
      <c r="D35" s="88"/>
      <c r="E35" s="89" t="s">
        <v>138</v>
      </c>
      <c r="F35" s="115">
        <v>6</v>
      </c>
      <c r="G35" s="96">
        <v>1575.3</v>
      </c>
      <c r="H35" s="91">
        <f t="shared" si="0"/>
        <v>1141.52</v>
      </c>
      <c r="I35" s="92">
        <f t="shared" si="1"/>
        <v>9451.7999999999993</v>
      </c>
      <c r="J35" s="107"/>
      <c r="K35" s="90">
        <f t="shared" si="2"/>
        <v>6</v>
      </c>
      <c r="L35" s="91">
        <f t="shared" si="3"/>
        <v>1102.71</v>
      </c>
      <c r="M35" s="91">
        <f t="shared" si="4"/>
        <v>6616.26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472.59</v>
      </c>
      <c r="T35" s="96">
        <f t="shared" si="7"/>
        <v>2835.54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334</v>
      </c>
      <c r="C36" s="101" t="s">
        <v>335</v>
      </c>
      <c r="D36" s="88"/>
      <c r="E36" s="102">
        <v>4000</v>
      </c>
      <c r="F36" s="103">
        <v>1</v>
      </c>
      <c r="G36" s="104">
        <v>63838.66</v>
      </c>
      <c r="H36" s="105">
        <f t="shared" si="0"/>
        <v>46259.9</v>
      </c>
      <c r="I36" s="106">
        <f t="shared" si="1"/>
        <v>63838.66</v>
      </c>
      <c r="J36" s="107"/>
      <c r="K36" s="108">
        <f t="shared" si="2"/>
        <v>1</v>
      </c>
      <c r="L36" s="105">
        <f t="shared" si="3"/>
        <v>44687.06</v>
      </c>
      <c r="M36" s="105">
        <f t="shared" si="4"/>
        <v>44687.06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19151.599999999999</v>
      </c>
      <c r="T36" s="111">
        <f t="shared" si="7"/>
        <v>19151.599999999999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336</v>
      </c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 t="s">
        <v>337</v>
      </c>
      <c r="C38" s="101" t="s">
        <v>338</v>
      </c>
      <c r="D38" s="88"/>
      <c r="E38" s="102" t="s">
        <v>138</v>
      </c>
      <c r="F38" s="103">
        <v>4</v>
      </c>
      <c r="G38" s="104">
        <v>421.69</v>
      </c>
      <c r="H38" s="105">
        <f t="shared" si="0"/>
        <v>305.57</v>
      </c>
      <c r="I38" s="106">
        <f t="shared" si="1"/>
        <v>1686.76</v>
      </c>
      <c r="J38" s="107"/>
      <c r="K38" s="108">
        <f t="shared" si="2"/>
        <v>4</v>
      </c>
      <c r="L38" s="105">
        <f t="shared" si="3"/>
        <v>295.18</v>
      </c>
      <c r="M38" s="105">
        <f t="shared" si="4"/>
        <v>1180.72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126.51</v>
      </c>
      <c r="T38" s="111">
        <f t="shared" si="7"/>
        <v>506.04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339</v>
      </c>
      <c r="C39" s="114" t="s">
        <v>340</v>
      </c>
      <c r="D39" s="88"/>
      <c r="E39" s="89" t="s">
        <v>138</v>
      </c>
      <c r="F39" s="115">
        <v>1</v>
      </c>
      <c r="G39" s="96">
        <v>834.29</v>
      </c>
      <c r="H39" s="91">
        <f t="shared" si="0"/>
        <v>604.55999999999995</v>
      </c>
      <c r="I39" s="92">
        <f t="shared" si="1"/>
        <v>834.29</v>
      </c>
      <c r="J39" s="107"/>
      <c r="K39" s="90">
        <f t="shared" si="2"/>
        <v>1</v>
      </c>
      <c r="L39" s="91">
        <f t="shared" si="3"/>
        <v>584</v>
      </c>
      <c r="M39" s="91">
        <f t="shared" si="4"/>
        <v>584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250.29</v>
      </c>
      <c r="T39" s="96">
        <f t="shared" si="7"/>
        <v>250.29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341</v>
      </c>
      <c r="C40" s="101" t="s">
        <v>342</v>
      </c>
      <c r="D40" s="88"/>
      <c r="E40" s="102" t="s">
        <v>138</v>
      </c>
      <c r="F40" s="103">
        <v>1</v>
      </c>
      <c r="G40" s="104">
        <v>834.29</v>
      </c>
      <c r="H40" s="105">
        <f t="shared" si="0"/>
        <v>604.55999999999995</v>
      </c>
      <c r="I40" s="106">
        <f t="shared" si="1"/>
        <v>834.29</v>
      </c>
      <c r="J40" s="107"/>
      <c r="K40" s="108">
        <f t="shared" si="2"/>
        <v>1</v>
      </c>
      <c r="L40" s="105">
        <f t="shared" si="3"/>
        <v>584</v>
      </c>
      <c r="M40" s="105">
        <f t="shared" si="4"/>
        <v>584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250.29</v>
      </c>
      <c r="T40" s="111">
        <f t="shared" si="7"/>
        <v>250.29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343</v>
      </c>
      <c r="C41" s="114" t="s">
        <v>295</v>
      </c>
      <c r="D41" s="88"/>
      <c r="E41" s="89" t="s">
        <v>138</v>
      </c>
      <c r="F41" s="115">
        <v>1</v>
      </c>
      <c r="G41" s="96">
        <v>5764.03</v>
      </c>
      <c r="H41" s="91">
        <f t="shared" si="0"/>
        <v>4176.83</v>
      </c>
      <c r="I41" s="92">
        <f t="shared" si="1"/>
        <v>5764.03</v>
      </c>
      <c r="J41" s="107"/>
      <c r="K41" s="90">
        <f t="shared" si="2"/>
        <v>1</v>
      </c>
      <c r="L41" s="91">
        <f t="shared" si="3"/>
        <v>4034.82</v>
      </c>
      <c r="M41" s="91">
        <f t="shared" si="4"/>
        <v>4034.82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1729.21</v>
      </c>
      <c r="T41" s="96">
        <f t="shared" si="7"/>
        <v>1729.21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344</v>
      </c>
      <c r="C42" s="101" t="s">
        <v>297</v>
      </c>
      <c r="D42" s="88"/>
      <c r="E42" s="102" t="s">
        <v>138</v>
      </c>
      <c r="F42" s="103">
        <v>5</v>
      </c>
      <c r="G42" s="104">
        <v>400.29</v>
      </c>
      <c r="H42" s="105">
        <f t="shared" si="0"/>
        <v>290.07</v>
      </c>
      <c r="I42" s="106">
        <f t="shared" si="1"/>
        <v>2001.45</v>
      </c>
      <c r="J42" s="107"/>
      <c r="K42" s="108">
        <f t="shared" si="2"/>
        <v>5</v>
      </c>
      <c r="L42" s="105">
        <f t="shared" si="3"/>
        <v>280.2</v>
      </c>
      <c r="M42" s="105">
        <f t="shared" si="4"/>
        <v>1401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120.09</v>
      </c>
      <c r="T42" s="111">
        <f t="shared" si="7"/>
        <v>600.45000000000005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345</v>
      </c>
      <c r="C43" s="114" t="s">
        <v>297</v>
      </c>
      <c r="D43" s="88"/>
      <c r="E43" s="89" t="s">
        <v>138</v>
      </c>
      <c r="F43" s="115">
        <v>1</v>
      </c>
      <c r="G43" s="96">
        <v>400.29</v>
      </c>
      <c r="H43" s="91">
        <f t="shared" si="0"/>
        <v>290.07</v>
      </c>
      <c r="I43" s="92">
        <f t="shared" si="1"/>
        <v>400.29</v>
      </c>
      <c r="J43" s="107"/>
      <c r="K43" s="90">
        <f t="shared" si="2"/>
        <v>1</v>
      </c>
      <c r="L43" s="91">
        <f t="shared" si="3"/>
        <v>280.2</v>
      </c>
      <c r="M43" s="91">
        <f t="shared" si="4"/>
        <v>280.2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120.09</v>
      </c>
      <c r="T43" s="96">
        <f t="shared" si="7"/>
        <v>120.09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346</v>
      </c>
      <c r="C44" s="101" t="s">
        <v>297</v>
      </c>
      <c r="D44" s="88"/>
      <c r="E44" s="102" t="s">
        <v>138</v>
      </c>
      <c r="F44" s="103">
        <v>1</v>
      </c>
      <c r="G44" s="104">
        <v>400.29</v>
      </c>
      <c r="H44" s="105">
        <f t="shared" si="0"/>
        <v>290.07</v>
      </c>
      <c r="I44" s="106">
        <f t="shared" si="1"/>
        <v>400.29</v>
      </c>
      <c r="J44" s="107"/>
      <c r="K44" s="108">
        <f t="shared" si="2"/>
        <v>1</v>
      </c>
      <c r="L44" s="105">
        <f t="shared" si="3"/>
        <v>280.2</v>
      </c>
      <c r="M44" s="105">
        <f t="shared" si="4"/>
        <v>280.2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120.09</v>
      </c>
      <c r="T44" s="111">
        <f t="shared" si="7"/>
        <v>120.09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347</v>
      </c>
      <c r="C45" s="114" t="s">
        <v>301</v>
      </c>
      <c r="D45" s="88"/>
      <c r="E45" s="89" t="s">
        <v>138</v>
      </c>
      <c r="F45" s="115">
        <v>1</v>
      </c>
      <c r="G45" s="96">
        <v>12.78</v>
      </c>
      <c r="H45" s="91">
        <f t="shared" si="0"/>
        <v>9.26</v>
      </c>
      <c r="I45" s="92">
        <f t="shared" si="1"/>
        <v>12.78</v>
      </c>
      <c r="J45" s="107"/>
      <c r="K45" s="90">
        <f t="shared" si="2"/>
        <v>1</v>
      </c>
      <c r="L45" s="91">
        <f t="shared" si="3"/>
        <v>8.9499999999999993</v>
      </c>
      <c r="M45" s="91">
        <f t="shared" si="4"/>
        <v>8.9499999999999993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3.83</v>
      </c>
      <c r="T45" s="96">
        <f t="shared" si="7"/>
        <v>3.83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348</v>
      </c>
      <c r="C46" s="101" t="s">
        <v>301</v>
      </c>
      <c r="D46" s="88"/>
      <c r="E46" s="102" t="s">
        <v>138</v>
      </c>
      <c r="F46" s="103">
        <v>1</v>
      </c>
      <c r="G46" s="104">
        <v>2024.49</v>
      </c>
      <c r="H46" s="105">
        <f t="shared" si="0"/>
        <v>1467.02</v>
      </c>
      <c r="I46" s="106">
        <f t="shared" si="1"/>
        <v>2024.49</v>
      </c>
      <c r="J46" s="107"/>
      <c r="K46" s="108">
        <f t="shared" si="2"/>
        <v>1</v>
      </c>
      <c r="L46" s="105">
        <f t="shared" si="3"/>
        <v>1417.14</v>
      </c>
      <c r="M46" s="105">
        <f t="shared" si="4"/>
        <v>1417.14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607.35</v>
      </c>
      <c r="T46" s="111">
        <f t="shared" si="7"/>
        <v>607.35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349</v>
      </c>
      <c r="C47" s="114" t="s">
        <v>301</v>
      </c>
      <c r="D47" s="88"/>
      <c r="E47" s="89" t="s">
        <v>138</v>
      </c>
      <c r="F47" s="115">
        <v>1</v>
      </c>
      <c r="G47" s="96">
        <v>2024.49</v>
      </c>
      <c r="H47" s="91">
        <f t="shared" si="0"/>
        <v>1467.02</v>
      </c>
      <c r="I47" s="92">
        <f t="shared" si="1"/>
        <v>2024.49</v>
      </c>
      <c r="J47" s="107"/>
      <c r="K47" s="90">
        <f t="shared" si="2"/>
        <v>1</v>
      </c>
      <c r="L47" s="91">
        <f t="shared" si="3"/>
        <v>1417.14</v>
      </c>
      <c r="M47" s="91">
        <f t="shared" si="4"/>
        <v>1417.14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607.35</v>
      </c>
      <c r="T47" s="96">
        <f t="shared" si="7"/>
        <v>607.35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108939.35999999999</v>
      </c>
      <c r="H50" s="124">
        <f t="shared" si="10"/>
        <v>78941.560000000027</v>
      </c>
      <c r="I50" s="125">
        <f t="shared" si="10"/>
        <v>120078.19999999998</v>
      </c>
      <c r="J50" s="126"/>
      <c r="K50" s="127">
        <f t="shared" ref="K50:M50" si="11">SUM(K19:K49)</f>
        <v>41</v>
      </c>
      <c r="L50" s="124">
        <f t="shared" si="11"/>
        <v>71653.439999999988</v>
      </c>
      <c r="M50" s="125">
        <f t="shared" si="11"/>
        <v>79371.39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37285.919999999991</v>
      </c>
      <c r="T50" s="125">
        <f t="shared" si="12"/>
        <v>40706.80999999999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55" priority="1" stopIfTrue="1">
      <formula>$U$9&gt;100%</formula>
    </cfRule>
    <cfRule type="expression" dxfId="254" priority="2">
      <formula>$U$9&lt;50%</formula>
    </cfRule>
  </conditionalFormatting>
  <conditionalFormatting sqref="V9:V11">
    <cfRule type="expression" dxfId="253" priority="3">
      <formula>$V$9&lt;50%</formula>
    </cfRule>
    <cfRule type="expression" dxfId="252" priority="4">
      <formula>$V$9&gt;50%</formula>
    </cfRule>
  </conditionalFormatting>
  <dataValidations count="4">
    <dataValidation type="list" allowBlank="1" showErrorMessage="1" sqref="E19:E49" xr:uid="{00000000-0002-0000-0900-000000000000}">
      <formula1>$Z$19:$Z$30</formula1>
    </dataValidation>
    <dataValidation type="list" allowBlank="1" showErrorMessage="1" sqref="I14" xr:uid="{00000000-0002-0000-0900-000001000000}">
      <formula1>$Y$14:$Y$15</formula1>
    </dataValidation>
    <dataValidation type="list" allowBlank="1" showErrorMessage="1" sqref="J14" xr:uid="{00000000-0002-0000-0900-000002000000}">
      <formula1>$L$9</formula1>
    </dataValidation>
    <dataValidation type="list" allowBlank="1" showErrorMessage="1" sqref="Q15 G18 L18 Q18" xr:uid="{00000000-0002-0000-09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354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165780.49000000002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109530.20999999999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56250.280000000028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355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0.33930578923973514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356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56250.28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357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109530.20999999999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311</v>
      </c>
      <c r="C19" s="87" t="s">
        <v>169</v>
      </c>
      <c r="D19" s="88"/>
      <c r="E19" s="89">
        <v>500</v>
      </c>
      <c r="F19" s="90">
        <v>1</v>
      </c>
      <c r="G19" s="91">
        <v>59.07</v>
      </c>
      <c r="H19" s="91">
        <f t="shared" ref="H19:H49" si="0">ROUND(IF($G$18="USD $", G19*$F$16,G19*$E$16),2)</f>
        <v>42.8</v>
      </c>
      <c r="I19" s="92">
        <f t="shared" ref="I19:I49" si="1">ROUND(IF($I$18=$H$18,F19*H19,F19*G19),2)</f>
        <v>59.07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29.54</v>
      </c>
      <c r="M19" s="91">
        <f t="shared" ref="M19:M49" si="4">ROUND((K19*L19),2)</f>
        <v>29.54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29.53</v>
      </c>
      <c r="T19" s="96">
        <f t="shared" ref="T19:T49" si="7">ROUND(I19-M19,2)</f>
        <v>29.53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358</v>
      </c>
      <c r="C20" s="101" t="s">
        <v>118</v>
      </c>
      <c r="D20" s="88"/>
      <c r="E20" s="102">
        <v>500</v>
      </c>
      <c r="F20" s="103">
        <v>2</v>
      </c>
      <c r="G20" s="104">
        <v>77.97</v>
      </c>
      <c r="H20" s="105">
        <f t="shared" si="0"/>
        <v>56.5</v>
      </c>
      <c r="I20" s="106">
        <f t="shared" si="1"/>
        <v>155.94</v>
      </c>
      <c r="J20" s="107"/>
      <c r="K20" s="108">
        <f t="shared" si="2"/>
        <v>2</v>
      </c>
      <c r="L20" s="105">
        <f t="shared" si="3"/>
        <v>38.99</v>
      </c>
      <c r="M20" s="105">
        <f t="shared" si="4"/>
        <v>77.98</v>
      </c>
      <c r="N20" s="109"/>
      <c r="O20" s="95"/>
      <c r="P20" s="100"/>
      <c r="Q20" s="104"/>
      <c r="R20" s="110">
        <f t="shared" si="5"/>
        <v>0</v>
      </c>
      <c r="S20" s="111">
        <f t="shared" si="6"/>
        <v>38.979999999999997</v>
      </c>
      <c r="T20" s="111">
        <f t="shared" si="7"/>
        <v>77.959999999999994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359</v>
      </c>
      <c r="C21" s="114" t="s">
        <v>360</v>
      </c>
      <c r="D21" s="88"/>
      <c r="E21" s="89">
        <v>500</v>
      </c>
      <c r="F21" s="115">
        <v>1</v>
      </c>
      <c r="G21" s="96">
        <v>97.95</v>
      </c>
      <c r="H21" s="91">
        <f t="shared" si="0"/>
        <v>70.98</v>
      </c>
      <c r="I21" s="92">
        <f t="shared" si="1"/>
        <v>97.95</v>
      </c>
      <c r="J21" s="107"/>
      <c r="K21" s="90">
        <f t="shared" si="2"/>
        <v>1</v>
      </c>
      <c r="L21" s="91">
        <f t="shared" si="3"/>
        <v>48.98</v>
      </c>
      <c r="M21" s="91">
        <f t="shared" si="4"/>
        <v>48.98</v>
      </c>
      <c r="N21" s="116"/>
      <c r="O21" s="95"/>
      <c r="P21" s="117"/>
      <c r="Q21" s="96"/>
      <c r="R21" s="96">
        <f t="shared" si="5"/>
        <v>0</v>
      </c>
      <c r="S21" s="96">
        <f t="shared" si="6"/>
        <v>48.97</v>
      </c>
      <c r="T21" s="96">
        <f t="shared" si="7"/>
        <v>48.97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278</v>
      </c>
      <c r="C22" s="101" t="s">
        <v>174</v>
      </c>
      <c r="D22" s="88"/>
      <c r="E22" s="102">
        <v>1000</v>
      </c>
      <c r="F22" s="103">
        <v>1</v>
      </c>
      <c r="G22" s="104">
        <v>77.31</v>
      </c>
      <c r="H22" s="105">
        <f t="shared" si="0"/>
        <v>56.02</v>
      </c>
      <c r="I22" s="106">
        <f t="shared" si="1"/>
        <v>77.31</v>
      </c>
      <c r="J22" s="107"/>
      <c r="K22" s="108">
        <f t="shared" si="2"/>
        <v>1</v>
      </c>
      <c r="L22" s="105">
        <f t="shared" si="3"/>
        <v>38.659999999999997</v>
      </c>
      <c r="M22" s="105">
        <f t="shared" si="4"/>
        <v>38.659999999999997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38.65</v>
      </c>
      <c r="T22" s="111">
        <f t="shared" si="7"/>
        <v>38.65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314</v>
      </c>
      <c r="C23" s="114" t="s">
        <v>174</v>
      </c>
      <c r="D23" s="88"/>
      <c r="E23" s="89">
        <v>1000</v>
      </c>
      <c r="F23" s="115">
        <v>1</v>
      </c>
      <c r="G23" s="96">
        <v>214.96</v>
      </c>
      <c r="H23" s="91">
        <f t="shared" si="0"/>
        <v>155.77000000000001</v>
      </c>
      <c r="I23" s="92">
        <f t="shared" si="1"/>
        <v>214.96</v>
      </c>
      <c r="J23" s="107"/>
      <c r="K23" s="90">
        <f t="shared" si="2"/>
        <v>1</v>
      </c>
      <c r="L23" s="91">
        <f t="shared" si="3"/>
        <v>107.48</v>
      </c>
      <c r="M23" s="91">
        <f t="shared" si="4"/>
        <v>107.48</v>
      </c>
      <c r="N23" s="116"/>
      <c r="O23" s="95"/>
      <c r="P23" s="117"/>
      <c r="Q23" s="96"/>
      <c r="R23" s="96">
        <f t="shared" si="5"/>
        <v>0</v>
      </c>
      <c r="S23" s="96">
        <f t="shared" si="6"/>
        <v>107.48</v>
      </c>
      <c r="T23" s="96">
        <f t="shared" si="7"/>
        <v>107.48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361</v>
      </c>
      <c r="C24" s="101" t="s">
        <v>128</v>
      </c>
      <c r="D24" s="88"/>
      <c r="E24" s="102">
        <v>2000</v>
      </c>
      <c r="F24" s="103">
        <v>2</v>
      </c>
      <c r="G24" s="104">
        <v>233.13</v>
      </c>
      <c r="H24" s="105">
        <f t="shared" si="0"/>
        <v>168.93</v>
      </c>
      <c r="I24" s="106">
        <f t="shared" si="1"/>
        <v>466.26</v>
      </c>
      <c r="J24" s="107"/>
      <c r="K24" s="108">
        <f t="shared" si="2"/>
        <v>2</v>
      </c>
      <c r="L24" s="105">
        <f t="shared" si="3"/>
        <v>139.88</v>
      </c>
      <c r="M24" s="105">
        <f t="shared" si="4"/>
        <v>279.76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93.25</v>
      </c>
      <c r="T24" s="111">
        <f t="shared" si="7"/>
        <v>186.5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362</v>
      </c>
      <c r="C25" s="114" t="s">
        <v>131</v>
      </c>
      <c r="D25" s="88"/>
      <c r="E25" s="89">
        <v>2000</v>
      </c>
      <c r="F25" s="115">
        <v>2</v>
      </c>
      <c r="G25" s="96">
        <v>104.04</v>
      </c>
      <c r="H25" s="91">
        <f t="shared" si="0"/>
        <v>75.39</v>
      </c>
      <c r="I25" s="92">
        <f t="shared" si="1"/>
        <v>208.08</v>
      </c>
      <c r="J25" s="107"/>
      <c r="K25" s="90">
        <f t="shared" si="2"/>
        <v>2</v>
      </c>
      <c r="L25" s="91">
        <f t="shared" si="3"/>
        <v>62.42</v>
      </c>
      <c r="M25" s="91">
        <f t="shared" si="4"/>
        <v>124.84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41.62</v>
      </c>
      <c r="T25" s="96">
        <f t="shared" si="7"/>
        <v>83.24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320</v>
      </c>
      <c r="C26" s="101" t="s">
        <v>134</v>
      </c>
      <c r="D26" s="88"/>
      <c r="E26" s="102">
        <v>2000</v>
      </c>
      <c r="F26" s="103">
        <v>1</v>
      </c>
      <c r="G26" s="104">
        <v>66.53</v>
      </c>
      <c r="H26" s="105">
        <f t="shared" si="0"/>
        <v>48.21</v>
      </c>
      <c r="I26" s="106">
        <f t="shared" si="1"/>
        <v>66.53</v>
      </c>
      <c r="J26" s="107"/>
      <c r="K26" s="108">
        <f t="shared" si="2"/>
        <v>1</v>
      </c>
      <c r="L26" s="105">
        <f t="shared" si="3"/>
        <v>39.92</v>
      </c>
      <c r="M26" s="105">
        <f t="shared" si="4"/>
        <v>39.92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26.61</v>
      </c>
      <c r="T26" s="111">
        <f t="shared" si="7"/>
        <v>26.61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321</v>
      </c>
      <c r="C27" s="114" t="s">
        <v>134</v>
      </c>
      <c r="D27" s="88"/>
      <c r="E27" s="89">
        <v>2000</v>
      </c>
      <c r="F27" s="115">
        <v>1</v>
      </c>
      <c r="G27" s="96">
        <v>73.53</v>
      </c>
      <c r="H27" s="91">
        <f t="shared" si="0"/>
        <v>53.28</v>
      </c>
      <c r="I27" s="92">
        <f t="shared" si="1"/>
        <v>73.53</v>
      </c>
      <c r="J27" s="107"/>
      <c r="K27" s="90">
        <f t="shared" si="2"/>
        <v>1</v>
      </c>
      <c r="L27" s="91">
        <f t="shared" si="3"/>
        <v>44.12</v>
      </c>
      <c r="M27" s="91">
        <f t="shared" si="4"/>
        <v>44.12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29.41</v>
      </c>
      <c r="T27" s="96">
        <f t="shared" si="7"/>
        <v>29.41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322</v>
      </c>
      <c r="C28" s="101" t="s">
        <v>323</v>
      </c>
      <c r="D28" s="88"/>
      <c r="E28" s="102">
        <v>2000</v>
      </c>
      <c r="F28" s="103">
        <v>1</v>
      </c>
      <c r="G28" s="104">
        <v>81.38</v>
      </c>
      <c r="H28" s="105">
        <f t="shared" si="0"/>
        <v>58.97</v>
      </c>
      <c r="I28" s="106">
        <f t="shared" si="1"/>
        <v>81.38</v>
      </c>
      <c r="J28" s="107"/>
      <c r="K28" s="108">
        <f t="shared" si="2"/>
        <v>1</v>
      </c>
      <c r="L28" s="105">
        <f t="shared" si="3"/>
        <v>48.83</v>
      </c>
      <c r="M28" s="105">
        <f t="shared" si="4"/>
        <v>48.83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32.549999999999997</v>
      </c>
      <c r="T28" s="111">
        <f t="shared" si="7"/>
        <v>32.549999999999997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363</v>
      </c>
      <c r="C29" s="114" t="s">
        <v>364</v>
      </c>
      <c r="D29" s="88"/>
      <c r="E29" s="89" t="s">
        <v>138</v>
      </c>
      <c r="F29" s="115">
        <v>1</v>
      </c>
      <c r="G29" s="96">
        <v>12151.17</v>
      </c>
      <c r="H29" s="91">
        <f t="shared" si="0"/>
        <v>8805.2000000000007</v>
      </c>
      <c r="I29" s="92">
        <f t="shared" si="1"/>
        <v>12151.17</v>
      </c>
      <c r="J29" s="107"/>
      <c r="K29" s="90">
        <f t="shared" si="2"/>
        <v>1</v>
      </c>
      <c r="L29" s="91">
        <f t="shared" si="3"/>
        <v>7290.7</v>
      </c>
      <c r="M29" s="91">
        <f t="shared" si="4"/>
        <v>7290.7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4860.47</v>
      </c>
      <c r="T29" s="96">
        <f t="shared" si="7"/>
        <v>4860.47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365</v>
      </c>
      <c r="C30" s="101" t="s">
        <v>366</v>
      </c>
      <c r="D30" s="88"/>
      <c r="E30" s="102" t="s">
        <v>138</v>
      </c>
      <c r="F30" s="103">
        <v>1</v>
      </c>
      <c r="G30" s="104">
        <v>4785.91</v>
      </c>
      <c r="H30" s="105">
        <f t="shared" si="0"/>
        <v>3468.05</v>
      </c>
      <c r="I30" s="106">
        <f t="shared" si="1"/>
        <v>4785.91</v>
      </c>
      <c r="J30" s="107"/>
      <c r="K30" s="108">
        <f t="shared" si="2"/>
        <v>1</v>
      </c>
      <c r="L30" s="105">
        <f t="shared" si="3"/>
        <v>2871.55</v>
      </c>
      <c r="M30" s="105">
        <f t="shared" si="4"/>
        <v>2871.55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1914.36</v>
      </c>
      <c r="T30" s="111">
        <f t="shared" si="7"/>
        <v>1914.36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367</v>
      </c>
      <c r="C31" s="114" t="s">
        <v>249</v>
      </c>
      <c r="D31" s="88"/>
      <c r="E31" s="89" t="s">
        <v>138</v>
      </c>
      <c r="F31" s="115">
        <v>1</v>
      </c>
      <c r="G31" s="96">
        <v>14678.64</v>
      </c>
      <c r="H31" s="91">
        <f t="shared" si="0"/>
        <v>10636.7</v>
      </c>
      <c r="I31" s="92">
        <f t="shared" si="1"/>
        <v>14678.64</v>
      </c>
      <c r="J31" s="107"/>
      <c r="K31" s="90">
        <f t="shared" si="2"/>
        <v>1</v>
      </c>
      <c r="L31" s="91">
        <f t="shared" si="3"/>
        <v>8807.18</v>
      </c>
      <c r="M31" s="91">
        <f t="shared" si="4"/>
        <v>8807.18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5871.46</v>
      </c>
      <c r="T31" s="96">
        <f t="shared" si="7"/>
        <v>5871.46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330</v>
      </c>
      <c r="C32" s="101" t="s">
        <v>331</v>
      </c>
      <c r="D32" s="88"/>
      <c r="E32" s="102" t="s">
        <v>138</v>
      </c>
      <c r="F32" s="103">
        <v>1</v>
      </c>
      <c r="G32" s="104">
        <v>8200.49</v>
      </c>
      <c r="H32" s="105">
        <f t="shared" si="0"/>
        <v>5942.38</v>
      </c>
      <c r="I32" s="106">
        <f t="shared" si="1"/>
        <v>8200.49</v>
      </c>
      <c r="J32" s="107"/>
      <c r="K32" s="108">
        <f t="shared" si="2"/>
        <v>1</v>
      </c>
      <c r="L32" s="105">
        <f t="shared" si="3"/>
        <v>4100.25</v>
      </c>
      <c r="M32" s="105">
        <f t="shared" si="4"/>
        <v>4100.25</v>
      </c>
      <c r="N32" s="109"/>
      <c r="O32" s="95"/>
      <c r="P32" s="100"/>
      <c r="Q32" s="104"/>
      <c r="R32" s="110">
        <f t="shared" si="5"/>
        <v>0</v>
      </c>
      <c r="S32" s="111">
        <f t="shared" si="6"/>
        <v>4100.24</v>
      </c>
      <c r="T32" s="111">
        <f t="shared" si="7"/>
        <v>4100.24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287</v>
      </c>
      <c r="C33" s="114" t="s">
        <v>183</v>
      </c>
      <c r="D33" s="88"/>
      <c r="E33" s="89" t="s">
        <v>138</v>
      </c>
      <c r="F33" s="115">
        <v>4</v>
      </c>
      <c r="G33" s="96">
        <v>396.11</v>
      </c>
      <c r="H33" s="91">
        <f t="shared" si="0"/>
        <v>287.04000000000002</v>
      </c>
      <c r="I33" s="92">
        <f t="shared" si="1"/>
        <v>1584.44</v>
      </c>
      <c r="J33" s="107"/>
      <c r="K33" s="90">
        <f t="shared" si="2"/>
        <v>4</v>
      </c>
      <c r="L33" s="91">
        <f t="shared" si="3"/>
        <v>198.06</v>
      </c>
      <c r="M33" s="91">
        <f t="shared" si="4"/>
        <v>792.24</v>
      </c>
      <c r="N33" s="116"/>
      <c r="O33" s="95"/>
      <c r="P33" s="117"/>
      <c r="Q33" s="96"/>
      <c r="R33" s="96">
        <f t="shared" si="5"/>
        <v>0</v>
      </c>
      <c r="S33" s="96">
        <f t="shared" si="6"/>
        <v>198.05</v>
      </c>
      <c r="T33" s="96">
        <f t="shared" si="7"/>
        <v>792.2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368</v>
      </c>
      <c r="C34" s="101" t="s">
        <v>144</v>
      </c>
      <c r="D34" s="88"/>
      <c r="E34" s="102" t="s">
        <v>138</v>
      </c>
      <c r="F34" s="103">
        <v>1</v>
      </c>
      <c r="G34" s="104">
        <v>5935.36</v>
      </c>
      <c r="H34" s="105">
        <f t="shared" si="0"/>
        <v>4300.99</v>
      </c>
      <c r="I34" s="106">
        <f t="shared" si="1"/>
        <v>5935.36</v>
      </c>
      <c r="J34" s="107"/>
      <c r="K34" s="108">
        <f t="shared" si="2"/>
        <v>1</v>
      </c>
      <c r="L34" s="105">
        <f t="shared" si="3"/>
        <v>2967.68</v>
      </c>
      <c r="M34" s="105">
        <f t="shared" si="4"/>
        <v>2967.68</v>
      </c>
      <c r="N34" s="109"/>
      <c r="O34" s="95"/>
      <c r="P34" s="100"/>
      <c r="Q34" s="104"/>
      <c r="R34" s="110">
        <f t="shared" si="5"/>
        <v>0</v>
      </c>
      <c r="S34" s="111">
        <f t="shared" si="6"/>
        <v>2967.68</v>
      </c>
      <c r="T34" s="111">
        <f t="shared" si="7"/>
        <v>2967.68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369</v>
      </c>
      <c r="C35" s="114" t="s">
        <v>258</v>
      </c>
      <c r="D35" s="88"/>
      <c r="E35" s="89" t="s">
        <v>138</v>
      </c>
      <c r="F35" s="115">
        <v>6</v>
      </c>
      <c r="G35" s="96">
        <v>2348.85</v>
      </c>
      <c r="H35" s="91">
        <f t="shared" si="0"/>
        <v>1702.07</v>
      </c>
      <c r="I35" s="92">
        <f t="shared" si="1"/>
        <v>14093.1</v>
      </c>
      <c r="J35" s="107"/>
      <c r="K35" s="90">
        <f t="shared" si="2"/>
        <v>6</v>
      </c>
      <c r="L35" s="91">
        <f t="shared" si="3"/>
        <v>1644.2</v>
      </c>
      <c r="M35" s="91">
        <f t="shared" si="4"/>
        <v>9865.2000000000007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704.65</v>
      </c>
      <c r="T35" s="96">
        <f t="shared" si="7"/>
        <v>4227.8999999999996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370</v>
      </c>
      <c r="C36" s="101" t="s">
        <v>335</v>
      </c>
      <c r="D36" s="88"/>
      <c r="E36" s="102">
        <v>6000</v>
      </c>
      <c r="F36" s="103">
        <v>1</v>
      </c>
      <c r="G36" s="104">
        <v>95696.639999999999</v>
      </c>
      <c r="H36" s="105">
        <f t="shared" si="0"/>
        <v>69345.39</v>
      </c>
      <c r="I36" s="106">
        <f t="shared" si="1"/>
        <v>95696.639999999999</v>
      </c>
      <c r="J36" s="107"/>
      <c r="K36" s="108">
        <f t="shared" si="2"/>
        <v>1</v>
      </c>
      <c r="L36" s="105">
        <f t="shared" si="3"/>
        <v>66987.649999999994</v>
      </c>
      <c r="M36" s="105">
        <f t="shared" si="4"/>
        <v>66987.649999999994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28708.99</v>
      </c>
      <c r="T36" s="111">
        <f t="shared" si="7"/>
        <v>28708.99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371</v>
      </c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 t="s">
        <v>372</v>
      </c>
      <c r="C38" s="101" t="s">
        <v>156</v>
      </c>
      <c r="D38" s="88"/>
      <c r="E38" s="102" t="s">
        <v>138</v>
      </c>
      <c r="F38" s="103">
        <v>1</v>
      </c>
      <c r="G38" s="104">
        <v>125.33</v>
      </c>
      <c r="H38" s="105">
        <f t="shared" si="0"/>
        <v>90.82</v>
      </c>
      <c r="I38" s="106">
        <f t="shared" si="1"/>
        <v>125.33</v>
      </c>
      <c r="J38" s="107"/>
      <c r="K38" s="108">
        <f t="shared" si="2"/>
        <v>1</v>
      </c>
      <c r="L38" s="105">
        <f t="shared" si="3"/>
        <v>87.73</v>
      </c>
      <c r="M38" s="105">
        <f t="shared" si="4"/>
        <v>87.73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37.6</v>
      </c>
      <c r="T38" s="111">
        <f t="shared" si="7"/>
        <v>37.6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373</v>
      </c>
      <c r="C39" s="114" t="s">
        <v>152</v>
      </c>
      <c r="D39" s="88"/>
      <c r="E39" s="89" t="s">
        <v>138</v>
      </c>
      <c r="F39" s="115">
        <v>2</v>
      </c>
      <c r="G39" s="96">
        <v>34.22</v>
      </c>
      <c r="H39" s="91">
        <f t="shared" si="0"/>
        <v>24.8</v>
      </c>
      <c r="I39" s="92">
        <f t="shared" si="1"/>
        <v>68.44</v>
      </c>
      <c r="J39" s="107"/>
      <c r="K39" s="90">
        <f t="shared" si="2"/>
        <v>2</v>
      </c>
      <c r="L39" s="91">
        <f t="shared" si="3"/>
        <v>23.95</v>
      </c>
      <c r="M39" s="91">
        <f t="shared" si="4"/>
        <v>47.9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10.27</v>
      </c>
      <c r="T39" s="96">
        <f t="shared" si="7"/>
        <v>20.54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374</v>
      </c>
      <c r="C40" s="101" t="s">
        <v>338</v>
      </c>
      <c r="D40" s="88"/>
      <c r="E40" s="102" t="s">
        <v>138</v>
      </c>
      <c r="F40" s="103">
        <v>4</v>
      </c>
      <c r="G40" s="104">
        <v>417.25</v>
      </c>
      <c r="H40" s="105">
        <f t="shared" si="0"/>
        <v>302.36</v>
      </c>
      <c r="I40" s="106">
        <f t="shared" si="1"/>
        <v>1669</v>
      </c>
      <c r="J40" s="107"/>
      <c r="K40" s="108">
        <f t="shared" si="2"/>
        <v>4</v>
      </c>
      <c r="L40" s="105">
        <f t="shared" si="3"/>
        <v>292.08</v>
      </c>
      <c r="M40" s="105">
        <f t="shared" si="4"/>
        <v>1168.32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125.17</v>
      </c>
      <c r="T40" s="111">
        <f t="shared" si="7"/>
        <v>500.68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375</v>
      </c>
      <c r="C41" s="114" t="s">
        <v>376</v>
      </c>
      <c r="D41" s="88"/>
      <c r="E41" s="89" t="s">
        <v>138</v>
      </c>
      <c r="F41" s="115">
        <v>1</v>
      </c>
      <c r="G41" s="96">
        <v>1511.2</v>
      </c>
      <c r="H41" s="91">
        <f t="shared" si="0"/>
        <v>1095.07</v>
      </c>
      <c r="I41" s="92">
        <f t="shared" si="1"/>
        <v>1511.2</v>
      </c>
      <c r="J41" s="107"/>
      <c r="K41" s="90">
        <f t="shared" si="2"/>
        <v>1</v>
      </c>
      <c r="L41" s="91">
        <f t="shared" si="3"/>
        <v>1057.8399999999999</v>
      </c>
      <c r="M41" s="91">
        <f t="shared" si="4"/>
        <v>1057.8399999999999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453.36</v>
      </c>
      <c r="T41" s="96">
        <f t="shared" si="7"/>
        <v>453.36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377</v>
      </c>
      <c r="C42" s="101" t="s">
        <v>376</v>
      </c>
      <c r="D42" s="88"/>
      <c r="E42" s="102" t="s">
        <v>138</v>
      </c>
      <c r="F42" s="103">
        <v>1</v>
      </c>
      <c r="G42" s="104">
        <v>1511.2</v>
      </c>
      <c r="H42" s="105">
        <f t="shared" si="0"/>
        <v>1095.07</v>
      </c>
      <c r="I42" s="106">
        <f t="shared" si="1"/>
        <v>1511.2</v>
      </c>
      <c r="J42" s="107"/>
      <c r="K42" s="108">
        <f t="shared" si="2"/>
        <v>1</v>
      </c>
      <c r="L42" s="105">
        <f t="shared" si="3"/>
        <v>1057.8399999999999</v>
      </c>
      <c r="M42" s="105">
        <f t="shared" si="4"/>
        <v>1057.8399999999999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453.36</v>
      </c>
      <c r="T42" s="111">
        <f t="shared" si="7"/>
        <v>453.36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378</v>
      </c>
      <c r="C43" s="114" t="s">
        <v>379</v>
      </c>
      <c r="D43" s="88"/>
      <c r="E43" s="89" t="s">
        <v>138</v>
      </c>
      <c r="F43" s="115">
        <v>7</v>
      </c>
      <c r="G43" s="96">
        <v>324.08</v>
      </c>
      <c r="H43" s="91">
        <f t="shared" si="0"/>
        <v>234.84</v>
      </c>
      <c r="I43" s="92">
        <f t="shared" si="1"/>
        <v>2268.56</v>
      </c>
      <c r="J43" s="107"/>
      <c r="K43" s="90">
        <f t="shared" si="2"/>
        <v>7</v>
      </c>
      <c r="L43" s="91">
        <f t="shared" si="3"/>
        <v>226.86</v>
      </c>
      <c r="M43" s="91">
        <f t="shared" si="4"/>
        <v>1588.02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97.22</v>
      </c>
      <c r="T43" s="96">
        <f t="shared" si="7"/>
        <v>680.54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45</v>
      </c>
      <c r="G50" s="123">
        <f t="shared" si="10"/>
        <v>149202.32</v>
      </c>
      <c r="H50" s="124">
        <f t="shared" si="10"/>
        <v>108117.63000000003</v>
      </c>
      <c r="I50" s="125">
        <f t="shared" si="10"/>
        <v>165780.49000000002</v>
      </c>
      <c r="J50" s="126"/>
      <c r="K50" s="127">
        <f t="shared" ref="K50:M50" si="11">SUM(K19:K49)</f>
        <v>45</v>
      </c>
      <c r="L50" s="124">
        <f t="shared" si="11"/>
        <v>98212.389999999985</v>
      </c>
      <c r="M50" s="125">
        <f t="shared" si="11"/>
        <v>109530.20999999999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50989.93</v>
      </c>
      <c r="T50" s="125">
        <f t="shared" si="12"/>
        <v>56250.28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51" priority="1" stopIfTrue="1">
      <formula>$U$9&gt;100%</formula>
    </cfRule>
    <cfRule type="expression" dxfId="250" priority="2">
      <formula>$U$9&lt;50%</formula>
    </cfRule>
  </conditionalFormatting>
  <conditionalFormatting sqref="V9:V11">
    <cfRule type="expression" dxfId="249" priority="3">
      <formula>$V$9&lt;50%</formula>
    </cfRule>
    <cfRule type="expression" dxfId="248" priority="4">
      <formula>$V$9&gt;50%</formula>
    </cfRule>
  </conditionalFormatting>
  <dataValidations count="4">
    <dataValidation type="list" allowBlank="1" showErrorMessage="1" sqref="E19:E49" xr:uid="{00000000-0002-0000-0A00-000000000000}">
      <formula1>$Z$19:$Z$30</formula1>
    </dataValidation>
    <dataValidation type="list" allowBlank="1" showErrorMessage="1" sqref="I14" xr:uid="{00000000-0002-0000-0A00-000001000000}">
      <formula1>$Y$14:$Y$15</formula1>
    </dataValidation>
    <dataValidation type="list" allowBlank="1" showErrorMessage="1" sqref="J14" xr:uid="{00000000-0002-0000-0A00-000002000000}">
      <formula1>$L$9</formula1>
    </dataValidation>
    <dataValidation type="list" allowBlank="1" showErrorMessage="1" sqref="Q15 G18 L18 Q18" xr:uid="{00000000-0002-0000-0A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380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165780.49000000002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109530.20999999999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56250.280000000028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355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0.33930578923973514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381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56250.28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382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109530.20999999999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311</v>
      </c>
      <c r="C19" s="87" t="s">
        <v>169</v>
      </c>
      <c r="D19" s="88"/>
      <c r="E19" s="89">
        <v>500</v>
      </c>
      <c r="F19" s="90">
        <v>1</v>
      </c>
      <c r="G19" s="91">
        <v>59.07</v>
      </c>
      <c r="H19" s="91">
        <f t="shared" ref="H19:H49" si="0">ROUND(IF($G$18="USD $", G19*$F$16,G19*$E$16),2)</f>
        <v>42.8</v>
      </c>
      <c r="I19" s="92">
        <f t="shared" ref="I19:I49" si="1">ROUND(IF($I$18=$H$18,F19*H19,F19*G19),2)</f>
        <v>59.07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29.54</v>
      </c>
      <c r="M19" s="91">
        <f t="shared" ref="M19:M49" si="4">ROUND((K19*L19),2)</f>
        <v>29.54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29.53</v>
      </c>
      <c r="T19" s="96">
        <f t="shared" ref="T19:T49" si="7">ROUND(I19-M19,2)</f>
        <v>29.53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358</v>
      </c>
      <c r="C20" s="101" t="s">
        <v>118</v>
      </c>
      <c r="D20" s="88"/>
      <c r="E20" s="102">
        <v>500</v>
      </c>
      <c r="F20" s="103">
        <v>2</v>
      </c>
      <c r="G20" s="104">
        <v>77.97</v>
      </c>
      <c r="H20" s="105">
        <f t="shared" si="0"/>
        <v>56.5</v>
      </c>
      <c r="I20" s="106">
        <f t="shared" si="1"/>
        <v>155.94</v>
      </c>
      <c r="J20" s="107"/>
      <c r="K20" s="108">
        <f t="shared" si="2"/>
        <v>2</v>
      </c>
      <c r="L20" s="105">
        <f t="shared" si="3"/>
        <v>38.99</v>
      </c>
      <c r="M20" s="105">
        <f t="shared" si="4"/>
        <v>77.98</v>
      </c>
      <c r="N20" s="109"/>
      <c r="O20" s="95"/>
      <c r="P20" s="100"/>
      <c r="Q20" s="104"/>
      <c r="R20" s="110">
        <f t="shared" si="5"/>
        <v>0</v>
      </c>
      <c r="S20" s="111">
        <f t="shared" si="6"/>
        <v>38.979999999999997</v>
      </c>
      <c r="T20" s="111">
        <f t="shared" si="7"/>
        <v>77.959999999999994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359</v>
      </c>
      <c r="C21" s="114" t="s">
        <v>360</v>
      </c>
      <c r="D21" s="88"/>
      <c r="E21" s="89">
        <v>500</v>
      </c>
      <c r="F21" s="115">
        <v>1</v>
      </c>
      <c r="G21" s="96">
        <v>97.95</v>
      </c>
      <c r="H21" s="91">
        <f t="shared" si="0"/>
        <v>70.98</v>
      </c>
      <c r="I21" s="92">
        <f t="shared" si="1"/>
        <v>97.95</v>
      </c>
      <c r="J21" s="107"/>
      <c r="K21" s="90">
        <f t="shared" si="2"/>
        <v>1</v>
      </c>
      <c r="L21" s="91">
        <f t="shared" si="3"/>
        <v>48.98</v>
      </c>
      <c r="M21" s="91">
        <f t="shared" si="4"/>
        <v>48.98</v>
      </c>
      <c r="N21" s="116"/>
      <c r="O21" s="95"/>
      <c r="P21" s="117"/>
      <c r="Q21" s="96"/>
      <c r="R21" s="96">
        <f t="shared" si="5"/>
        <v>0</v>
      </c>
      <c r="S21" s="96">
        <f t="shared" si="6"/>
        <v>48.97</v>
      </c>
      <c r="T21" s="96">
        <f t="shared" si="7"/>
        <v>48.97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278</v>
      </c>
      <c r="C22" s="101" t="s">
        <v>174</v>
      </c>
      <c r="D22" s="88"/>
      <c r="E22" s="102">
        <v>1000</v>
      </c>
      <c r="F22" s="103">
        <v>1</v>
      </c>
      <c r="G22" s="104">
        <v>77.31</v>
      </c>
      <c r="H22" s="105">
        <f t="shared" si="0"/>
        <v>56.02</v>
      </c>
      <c r="I22" s="106">
        <f t="shared" si="1"/>
        <v>77.31</v>
      </c>
      <c r="J22" s="107"/>
      <c r="K22" s="108">
        <f t="shared" si="2"/>
        <v>1</v>
      </c>
      <c r="L22" s="105">
        <f t="shared" si="3"/>
        <v>38.659999999999997</v>
      </c>
      <c r="M22" s="105">
        <f t="shared" si="4"/>
        <v>38.659999999999997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38.65</v>
      </c>
      <c r="T22" s="111">
        <f t="shared" si="7"/>
        <v>38.65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314</v>
      </c>
      <c r="C23" s="114" t="s">
        <v>174</v>
      </c>
      <c r="D23" s="88"/>
      <c r="E23" s="89">
        <v>1000</v>
      </c>
      <c r="F23" s="115">
        <v>1</v>
      </c>
      <c r="G23" s="96">
        <v>214.96</v>
      </c>
      <c r="H23" s="91">
        <f t="shared" si="0"/>
        <v>155.77000000000001</v>
      </c>
      <c r="I23" s="92">
        <f t="shared" si="1"/>
        <v>214.96</v>
      </c>
      <c r="J23" s="107"/>
      <c r="K23" s="90">
        <f t="shared" si="2"/>
        <v>1</v>
      </c>
      <c r="L23" s="91">
        <f t="shared" si="3"/>
        <v>107.48</v>
      </c>
      <c r="M23" s="91">
        <f t="shared" si="4"/>
        <v>107.48</v>
      </c>
      <c r="N23" s="116"/>
      <c r="O23" s="95"/>
      <c r="P23" s="117"/>
      <c r="Q23" s="96"/>
      <c r="R23" s="96">
        <f t="shared" si="5"/>
        <v>0</v>
      </c>
      <c r="S23" s="96">
        <f t="shared" si="6"/>
        <v>107.48</v>
      </c>
      <c r="T23" s="96">
        <f t="shared" si="7"/>
        <v>107.48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361</v>
      </c>
      <c r="C24" s="101" t="s">
        <v>128</v>
      </c>
      <c r="D24" s="88"/>
      <c r="E24" s="102">
        <v>2000</v>
      </c>
      <c r="F24" s="103">
        <v>2</v>
      </c>
      <c r="G24" s="104">
        <v>233.13</v>
      </c>
      <c r="H24" s="105">
        <f t="shared" si="0"/>
        <v>168.93</v>
      </c>
      <c r="I24" s="106">
        <f t="shared" si="1"/>
        <v>466.26</v>
      </c>
      <c r="J24" s="107"/>
      <c r="K24" s="108">
        <f t="shared" si="2"/>
        <v>2</v>
      </c>
      <c r="L24" s="105">
        <f t="shared" si="3"/>
        <v>139.88</v>
      </c>
      <c r="M24" s="105">
        <f t="shared" si="4"/>
        <v>279.76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93.25</v>
      </c>
      <c r="T24" s="111">
        <f t="shared" si="7"/>
        <v>186.5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362</v>
      </c>
      <c r="C25" s="114" t="s">
        <v>131</v>
      </c>
      <c r="D25" s="88"/>
      <c r="E25" s="89">
        <v>2000</v>
      </c>
      <c r="F25" s="115">
        <v>2</v>
      </c>
      <c r="G25" s="96">
        <v>104.04</v>
      </c>
      <c r="H25" s="91">
        <f t="shared" si="0"/>
        <v>75.39</v>
      </c>
      <c r="I25" s="92">
        <f t="shared" si="1"/>
        <v>208.08</v>
      </c>
      <c r="J25" s="107"/>
      <c r="K25" s="90">
        <f t="shared" si="2"/>
        <v>2</v>
      </c>
      <c r="L25" s="91">
        <f t="shared" si="3"/>
        <v>62.42</v>
      </c>
      <c r="M25" s="91">
        <f t="shared" si="4"/>
        <v>124.84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41.62</v>
      </c>
      <c r="T25" s="96">
        <f t="shared" si="7"/>
        <v>83.24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320</v>
      </c>
      <c r="C26" s="101" t="s">
        <v>134</v>
      </c>
      <c r="D26" s="88"/>
      <c r="E26" s="102">
        <v>2000</v>
      </c>
      <c r="F26" s="103">
        <v>1</v>
      </c>
      <c r="G26" s="104">
        <v>66.53</v>
      </c>
      <c r="H26" s="105">
        <f t="shared" si="0"/>
        <v>48.21</v>
      </c>
      <c r="I26" s="106">
        <f t="shared" si="1"/>
        <v>66.53</v>
      </c>
      <c r="J26" s="107"/>
      <c r="K26" s="108">
        <f t="shared" si="2"/>
        <v>1</v>
      </c>
      <c r="L26" s="105">
        <f t="shared" si="3"/>
        <v>39.92</v>
      </c>
      <c r="M26" s="105">
        <f t="shared" si="4"/>
        <v>39.92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26.61</v>
      </c>
      <c r="T26" s="111">
        <f t="shared" si="7"/>
        <v>26.61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321</v>
      </c>
      <c r="C27" s="114" t="s">
        <v>134</v>
      </c>
      <c r="D27" s="88"/>
      <c r="E27" s="89">
        <v>2000</v>
      </c>
      <c r="F27" s="115">
        <v>1</v>
      </c>
      <c r="G27" s="96">
        <v>73.53</v>
      </c>
      <c r="H27" s="91">
        <f t="shared" si="0"/>
        <v>53.28</v>
      </c>
      <c r="I27" s="92">
        <f t="shared" si="1"/>
        <v>73.53</v>
      </c>
      <c r="J27" s="107"/>
      <c r="K27" s="90">
        <f t="shared" si="2"/>
        <v>1</v>
      </c>
      <c r="L27" s="91">
        <f t="shared" si="3"/>
        <v>44.12</v>
      </c>
      <c r="M27" s="91">
        <f t="shared" si="4"/>
        <v>44.12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29.41</v>
      </c>
      <c r="T27" s="96">
        <f t="shared" si="7"/>
        <v>29.41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322</v>
      </c>
      <c r="C28" s="101" t="s">
        <v>323</v>
      </c>
      <c r="D28" s="88"/>
      <c r="E28" s="102">
        <v>2000</v>
      </c>
      <c r="F28" s="103">
        <v>1</v>
      </c>
      <c r="G28" s="104">
        <v>81.38</v>
      </c>
      <c r="H28" s="105">
        <f t="shared" si="0"/>
        <v>58.97</v>
      </c>
      <c r="I28" s="106">
        <f t="shared" si="1"/>
        <v>81.38</v>
      </c>
      <c r="J28" s="107"/>
      <c r="K28" s="108">
        <f t="shared" si="2"/>
        <v>1</v>
      </c>
      <c r="L28" s="105">
        <f t="shared" si="3"/>
        <v>48.83</v>
      </c>
      <c r="M28" s="105">
        <f t="shared" si="4"/>
        <v>48.83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32.549999999999997</v>
      </c>
      <c r="T28" s="111">
        <f t="shared" si="7"/>
        <v>32.549999999999997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363</v>
      </c>
      <c r="C29" s="114" t="s">
        <v>364</v>
      </c>
      <c r="D29" s="88"/>
      <c r="E29" s="89" t="s">
        <v>138</v>
      </c>
      <c r="F29" s="115">
        <v>1</v>
      </c>
      <c r="G29" s="96">
        <v>12151.17</v>
      </c>
      <c r="H29" s="91">
        <f t="shared" si="0"/>
        <v>8805.2000000000007</v>
      </c>
      <c r="I29" s="92">
        <f t="shared" si="1"/>
        <v>12151.17</v>
      </c>
      <c r="J29" s="107"/>
      <c r="K29" s="90">
        <f t="shared" si="2"/>
        <v>1</v>
      </c>
      <c r="L29" s="91">
        <f t="shared" si="3"/>
        <v>7290.7</v>
      </c>
      <c r="M29" s="91">
        <f t="shared" si="4"/>
        <v>7290.7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4860.47</v>
      </c>
      <c r="T29" s="96">
        <f t="shared" si="7"/>
        <v>4860.47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365</v>
      </c>
      <c r="C30" s="101" t="s">
        <v>366</v>
      </c>
      <c r="D30" s="88"/>
      <c r="E30" s="102" t="s">
        <v>138</v>
      </c>
      <c r="F30" s="103">
        <v>1</v>
      </c>
      <c r="G30" s="104">
        <v>4785.91</v>
      </c>
      <c r="H30" s="105">
        <f t="shared" si="0"/>
        <v>3468.05</v>
      </c>
      <c r="I30" s="106">
        <f t="shared" si="1"/>
        <v>4785.91</v>
      </c>
      <c r="J30" s="107"/>
      <c r="K30" s="108">
        <f t="shared" si="2"/>
        <v>1</v>
      </c>
      <c r="L30" s="105">
        <f t="shared" si="3"/>
        <v>2871.55</v>
      </c>
      <c r="M30" s="105">
        <f t="shared" si="4"/>
        <v>2871.55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1914.36</v>
      </c>
      <c r="T30" s="111">
        <f t="shared" si="7"/>
        <v>1914.36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367</v>
      </c>
      <c r="C31" s="114" t="s">
        <v>249</v>
      </c>
      <c r="D31" s="88"/>
      <c r="E31" s="89" t="s">
        <v>138</v>
      </c>
      <c r="F31" s="115">
        <v>1</v>
      </c>
      <c r="G31" s="96">
        <v>14678.64</v>
      </c>
      <c r="H31" s="91">
        <f t="shared" si="0"/>
        <v>10636.7</v>
      </c>
      <c r="I31" s="92">
        <f t="shared" si="1"/>
        <v>14678.64</v>
      </c>
      <c r="J31" s="107"/>
      <c r="K31" s="90">
        <f t="shared" si="2"/>
        <v>1</v>
      </c>
      <c r="L31" s="91">
        <f t="shared" si="3"/>
        <v>8807.18</v>
      </c>
      <c r="M31" s="91">
        <f t="shared" si="4"/>
        <v>8807.18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5871.46</v>
      </c>
      <c r="T31" s="96">
        <f t="shared" si="7"/>
        <v>5871.46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330</v>
      </c>
      <c r="C32" s="101" t="s">
        <v>331</v>
      </c>
      <c r="D32" s="88"/>
      <c r="E32" s="102" t="s">
        <v>138</v>
      </c>
      <c r="F32" s="103">
        <v>1</v>
      </c>
      <c r="G32" s="104">
        <v>8200.49</v>
      </c>
      <c r="H32" s="105">
        <f t="shared" si="0"/>
        <v>5942.38</v>
      </c>
      <c r="I32" s="106">
        <f t="shared" si="1"/>
        <v>8200.49</v>
      </c>
      <c r="J32" s="107"/>
      <c r="K32" s="108">
        <f t="shared" si="2"/>
        <v>1</v>
      </c>
      <c r="L32" s="105">
        <f t="shared" si="3"/>
        <v>4100.25</v>
      </c>
      <c r="M32" s="105">
        <f t="shared" si="4"/>
        <v>4100.25</v>
      </c>
      <c r="N32" s="109"/>
      <c r="O32" s="95"/>
      <c r="P32" s="100"/>
      <c r="Q32" s="104"/>
      <c r="R32" s="110">
        <f t="shared" si="5"/>
        <v>0</v>
      </c>
      <c r="S32" s="111">
        <f t="shared" si="6"/>
        <v>4100.24</v>
      </c>
      <c r="T32" s="111">
        <f t="shared" si="7"/>
        <v>4100.24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287</v>
      </c>
      <c r="C33" s="114" t="s">
        <v>183</v>
      </c>
      <c r="D33" s="88"/>
      <c r="E33" s="89" t="s">
        <v>138</v>
      </c>
      <c r="F33" s="115">
        <v>4</v>
      </c>
      <c r="G33" s="96">
        <v>396.11</v>
      </c>
      <c r="H33" s="91">
        <f t="shared" si="0"/>
        <v>287.04000000000002</v>
      </c>
      <c r="I33" s="92">
        <f t="shared" si="1"/>
        <v>1584.44</v>
      </c>
      <c r="J33" s="107"/>
      <c r="K33" s="90">
        <f t="shared" si="2"/>
        <v>4</v>
      </c>
      <c r="L33" s="91">
        <f t="shared" si="3"/>
        <v>198.06</v>
      </c>
      <c r="M33" s="91">
        <f t="shared" si="4"/>
        <v>792.24</v>
      </c>
      <c r="N33" s="116"/>
      <c r="O33" s="95"/>
      <c r="P33" s="117"/>
      <c r="Q33" s="96"/>
      <c r="R33" s="96">
        <f t="shared" si="5"/>
        <v>0</v>
      </c>
      <c r="S33" s="96">
        <f t="shared" si="6"/>
        <v>198.05</v>
      </c>
      <c r="T33" s="96">
        <f t="shared" si="7"/>
        <v>792.2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368</v>
      </c>
      <c r="C34" s="101" t="s">
        <v>144</v>
      </c>
      <c r="D34" s="88"/>
      <c r="E34" s="102" t="s">
        <v>138</v>
      </c>
      <c r="F34" s="103">
        <v>1</v>
      </c>
      <c r="G34" s="104">
        <v>5935.36</v>
      </c>
      <c r="H34" s="105">
        <f t="shared" si="0"/>
        <v>4300.99</v>
      </c>
      <c r="I34" s="106">
        <f t="shared" si="1"/>
        <v>5935.36</v>
      </c>
      <c r="J34" s="107"/>
      <c r="K34" s="108">
        <f t="shared" si="2"/>
        <v>1</v>
      </c>
      <c r="L34" s="105">
        <f t="shared" si="3"/>
        <v>2967.68</v>
      </c>
      <c r="M34" s="105">
        <f t="shared" si="4"/>
        <v>2967.68</v>
      </c>
      <c r="N34" s="109"/>
      <c r="O34" s="95"/>
      <c r="P34" s="100"/>
      <c r="Q34" s="104"/>
      <c r="R34" s="110">
        <f t="shared" si="5"/>
        <v>0</v>
      </c>
      <c r="S34" s="111">
        <f t="shared" si="6"/>
        <v>2967.68</v>
      </c>
      <c r="T34" s="111">
        <f t="shared" si="7"/>
        <v>2967.68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369</v>
      </c>
      <c r="C35" s="114" t="s">
        <v>258</v>
      </c>
      <c r="D35" s="88"/>
      <c r="E35" s="89" t="s">
        <v>138</v>
      </c>
      <c r="F35" s="115">
        <v>6</v>
      </c>
      <c r="G35" s="96">
        <v>2348.85</v>
      </c>
      <c r="H35" s="91">
        <f t="shared" si="0"/>
        <v>1702.07</v>
      </c>
      <c r="I35" s="92">
        <f t="shared" si="1"/>
        <v>14093.1</v>
      </c>
      <c r="J35" s="107"/>
      <c r="K35" s="90">
        <f t="shared" si="2"/>
        <v>6</v>
      </c>
      <c r="L35" s="91">
        <f t="shared" si="3"/>
        <v>1644.2</v>
      </c>
      <c r="M35" s="91">
        <f t="shared" si="4"/>
        <v>9865.2000000000007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704.65</v>
      </c>
      <c r="T35" s="96">
        <f t="shared" si="7"/>
        <v>4227.8999999999996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370</v>
      </c>
      <c r="C36" s="101" t="s">
        <v>335</v>
      </c>
      <c r="D36" s="88"/>
      <c r="E36" s="102">
        <v>6000</v>
      </c>
      <c r="F36" s="103">
        <v>1</v>
      </c>
      <c r="G36" s="104">
        <v>95696.639999999999</v>
      </c>
      <c r="H36" s="105">
        <f t="shared" si="0"/>
        <v>69345.39</v>
      </c>
      <c r="I36" s="106">
        <f t="shared" si="1"/>
        <v>95696.639999999999</v>
      </c>
      <c r="J36" s="107"/>
      <c r="K36" s="108">
        <f t="shared" si="2"/>
        <v>1</v>
      </c>
      <c r="L36" s="105">
        <f t="shared" si="3"/>
        <v>66987.649999999994</v>
      </c>
      <c r="M36" s="105">
        <f t="shared" si="4"/>
        <v>66987.649999999994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28708.99</v>
      </c>
      <c r="T36" s="111">
        <f t="shared" si="7"/>
        <v>28708.99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371</v>
      </c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 t="s">
        <v>372</v>
      </c>
      <c r="C38" s="101" t="s">
        <v>156</v>
      </c>
      <c r="D38" s="88"/>
      <c r="E38" s="102" t="s">
        <v>138</v>
      </c>
      <c r="F38" s="103">
        <v>1</v>
      </c>
      <c r="G38" s="104">
        <v>125.33</v>
      </c>
      <c r="H38" s="105">
        <f t="shared" si="0"/>
        <v>90.82</v>
      </c>
      <c r="I38" s="106">
        <f t="shared" si="1"/>
        <v>125.33</v>
      </c>
      <c r="J38" s="107"/>
      <c r="K38" s="108">
        <f t="shared" si="2"/>
        <v>1</v>
      </c>
      <c r="L38" s="105">
        <f t="shared" si="3"/>
        <v>87.73</v>
      </c>
      <c r="M38" s="105">
        <f t="shared" si="4"/>
        <v>87.73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37.6</v>
      </c>
      <c r="T38" s="111">
        <f t="shared" si="7"/>
        <v>37.6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373</v>
      </c>
      <c r="C39" s="114" t="s">
        <v>152</v>
      </c>
      <c r="D39" s="88"/>
      <c r="E39" s="89" t="s">
        <v>138</v>
      </c>
      <c r="F39" s="115">
        <v>2</v>
      </c>
      <c r="G39" s="96">
        <v>34.22</v>
      </c>
      <c r="H39" s="91">
        <f t="shared" si="0"/>
        <v>24.8</v>
      </c>
      <c r="I39" s="92">
        <f t="shared" si="1"/>
        <v>68.44</v>
      </c>
      <c r="J39" s="107"/>
      <c r="K39" s="90">
        <f t="shared" si="2"/>
        <v>2</v>
      </c>
      <c r="L39" s="91">
        <f t="shared" si="3"/>
        <v>23.95</v>
      </c>
      <c r="M39" s="91">
        <f t="shared" si="4"/>
        <v>47.9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10.27</v>
      </c>
      <c r="T39" s="96">
        <f t="shared" si="7"/>
        <v>20.54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374</v>
      </c>
      <c r="C40" s="101" t="s">
        <v>338</v>
      </c>
      <c r="D40" s="88"/>
      <c r="E40" s="102" t="s">
        <v>138</v>
      </c>
      <c r="F40" s="103">
        <v>4</v>
      </c>
      <c r="G40" s="104">
        <v>417.25</v>
      </c>
      <c r="H40" s="105">
        <f t="shared" si="0"/>
        <v>302.36</v>
      </c>
      <c r="I40" s="106">
        <f t="shared" si="1"/>
        <v>1669</v>
      </c>
      <c r="J40" s="107"/>
      <c r="K40" s="108">
        <f t="shared" si="2"/>
        <v>4</v>
      </c>
      <c r="L40" s="105">
        <f t="shared" si="3"/>
        <v>292.08</v>
      </c>
      <c r="M40" s="105">
        <f t="shared" si="4"/>
        <v>1168.32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125.17</v>
      </c>
      <c r="T40" s="111">
        <f t="shared" si="7"/>
        <v>500.68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375</v>
      </c>
      <c r="C41" s="114" t="s">
        <v>376</v>
      </c>
      <c r="D41" s="88"/>
      <c r="E41" s="89" t="s">
        <v>138</v>
      </c>
      <c r="F41" s="115">
        <v>1</v>
      </c>
      <c r="G41" s="96">
        <v>1511.2</v>
      </c>
      <c r="H41" s="91">
        <f t="shared" si="0"/>
        <v>1095.07</v>
      </c>
      <c r="I41" s="92">
        <f t="shared" si="1"/>
        <v>1511.2</v>
      </c>
      <c r="J41" s="107"/>
      <c r="K41" s="90">
        <f t="shared" si="2"/>
        <v>1</v>
      </c>
      <c r="L41" s="91">
        <f t="shared" si="3"/>
        <v>1057.8399999999999</v>
      </c>
      <c r="M41" s="91">
        <f t="shared" si="4"/>
        <v>1057.8399999999999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453.36</v>
      </c>
      <c r="T41" s="96">
        <f t="shared" si="7"/>
        <v>453.36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377</v>
      </c>
      <c r="C42" s="101" t="s">
        <v>376</v>
      </c>
      <c r="D42" s="88"/>
      <c r="E42" s="102" t="s">
        <v>138</v>
      </c>
      <c r="F42" s="103">
        <v>1</v>
      </c>
      <c r="G42" s="104">
        <v>1511.2</v>
      </c>
      <c r="H42" s="105">
        <f t="shared" si="0"/>
        <v>1095.07</v>
      </c>
      <c r="I42" s="106">
        <f t="shared" si="1"/>
        <v>1511.2</v>
      </c>
      <c r="J42" s="107"/>
      <c r="K42" s="108">
        <f t="shared" si="2"/>
        <v>1</v>
      </c>
      <c r="L42" s="105">
        <f t="shared" si="3"/>
        <v>1057.8399999999999</v>
      </c>
      <c r="M42" s="105">
        <f t="shared" si="4"/>
        <v>1057.8399999999999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453.36</v>
      </c>
      <c r="T42" s="111">
        <f t="shared" si="7"/>
        <v>453.36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378</v>
      </c>
      <c r="C43" s="114" t="s">
        <v>379</v>
      </c>
      <c r="D43" s="88"/>
      <c r="E43" s="89" t="s">
        <v>138</v>
      </c>
      <c r="F43" s="115">
        <v>7</v>
      </c>
      <c r="G43" s="96">
        <v>324.08</v>
      </c>
      <c r="H43" s="91">
        <f t="shared" si="0"/>
        <v>234.84</v>
      </c>
      <c r="I43" s="92">
        <f t="shared" si="1"/>
        <v>2268.56</v>
      </c>
      <c r="J43" s="107"/>
      <c r="K43" s="90">
        <f t="shared" si="2"/>
        <v>7</v>
      </c>
      <c r="L43" s="91">
        <f t="shared" si="3"/>
        <v>226.86</v>
      </c>
      <c r="M43" s="91">
        <f t="shared" si="4"/>
        <v>1588.02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97.22</v>
      </c>
      <c r="T43" s="96">
        <f t="shared" si="7"/>
        <v>680.54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45</v>
      </c>
      <c r="G50" s="123">
        <f t="shared" si="10"/>
        <v>149202.32</v>
      </c>
      <c r="H50" s="124">
        <f t="shared" si="10"/>
        <v>108117.63000000003</v>
      </c>
      <c r="I50" s="125">
        <f t="shared" si="10"/>
        <v>165780.49000000002</v>
      </c>
      <c r="J50" s="126"/>
      <c r="K50" s="127">
        <f t="shared" ref="K50:M50" si="11">SUM(K19:K49)</f>
        <v>45</v>
      </c>
      <c r="L50" s="124">
        <f t="shared" si="11"/>
        <v>98212.389999999985</v>
      </c>
      <c r="M50" s="125">
        <f t="shared" si="11"/>
        <v>109530.20999999999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50989.93</v>
      </c>
      <c r="T50" s="125">
        <f t="shared" si="12"/>
        <v>56250.28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47" priority="1" stopIfTrue="1">
      <formula>$U$9&gt;100%</formula>
    </cfRule>
    <cfRule type="expression" dxfId="246" priority="2">
      <formula>$U$9&lt;50%</formula>
    </cfRule>
  </conditionalFormatting>
  <conditionalFormatting sqref="V9:V11">
    <cfRule type="expression" dxfId="245" priority="3">
      <formula>$V$9&lt;50%</formula>
    </cfRule>
    <cfRule type="expression" dxfId="244" priority="4">
      <formula>$V$9&gt;50%</formula>
    </cfRule>
  </conditionalFormatting>
  <dataValidations count="4">
    <dataValidation type="list" allowBlank="1" showErrorMessage="1" sqref="E19:E49" xr:uid="{00000000-0002-0000-0B00-000000000000}">
      <formula1>$Z$19:$Z$30</formula1>
    </dataValidation>
    <dataValidation type="list" allowBlank="1" showErrorMessage="1" sqref="I14" xr:uid="{00000000-0002-0000-0B00-000001000000}">
      <formula1>$Y$14:$Y$15</formula1>
    </dataValidation>
    <dataValidation type="list" allowBlank="1" showErrorMessage="1" sqref="J14" xr:uid="{00000000-0002-0000-0B00-000002000000}">
      <formula1>$L$9</formula1>
    </dataValidation>
    <dataValidation type="list" allowBlank="1" showErrorMessage="1" sqref="Q15 G18 L18 Q18" xr:uid="{00000000-0002-0000-0B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Z50"/>
  <sheetViews>
    <sheetView workbookViewId="0">
      <pane ySplit="18" topLeftCell="A41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383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88291.72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2005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46803.850000000006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41487.869999999995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384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0.46989536504668833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385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41487.869999999995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386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46803.850000000006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388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388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390</v>
      </c>
      <c r="C24" s="101" t="s">
        <v>128</v>
      </c>
      <c r="D24" s="88"/>
      <c r="E24" s="102">
        <v>2000</v>
      </c>
      <c r="F24" s="103">
        <v>1</v>
      </c>
      <c r="G24" s="104">
        <v>152.38</v>
      </c>
      <c r="H24" s="105">
        <f t="shared" si="0"/>
        <v>110.42</v>
      </c>
      <c r="I24" s="106">
        <f t="shared" si="1"/>
        <v>152.38</v>
      </c>
      <c r="J24" s="107"/>
      <c r="K24" s="108">
        <f t="shared" si="2"/>
        <v>1</v>
      </c>
      <c r="L24" s="105">
        <f t="shared" si="3"/>
        <v>91.43</v>
      </c>
      <c r="M24" s="105">
        <f t="shared" si="4"/>
        <v>91.43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60.95</v>
      </c>
      <c r="T24" s="111">
        <f t="shared" si="7"/>
        <v>60.95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391</v>
      </c>
      <c r="C25" s="114" t="s">
        <v>131</v>
      </c>
      <c r="D25" s="88"/>
      <c r="E25" s="89">
        <v>2000</v>
      </c>
      <c r="F25" s="115">
        <v>1</v>
      </c>
      <c r="G25" s="96">
        <v>90.46</v>
      </c>
      <c r="H25" s="91">
        <f t="shared" si="0"/>
        <v>65.55</v>
      </c>
      <c r="I25" s="92">
        <f t="shared" si="1"/>
        <v>90.46</v>
      </c>
      <c r="J25" s="107"/>
      <c r="K25" s="90">
        <f t="shared" si="2"/>
        <v>1</v>
      </c>
      <c r="L25" s="91">
        <f t="shared" si="3"/>
        <v>54.28</v>
      </c>
      <c r="M25" s="91">
        <f t="shared" si="4"/>
        <v>54.28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36.18</v>
      </c>
      <c r="T25" s="96">
        <f t="shared" si="7"/>
        <v>36.18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392</v>
      </c>
      <c r="C26" s="101" t="s">
        <v>134</v>
      </c>
      <c r="D26" s="88"/>
      <c r="E26" s="102">
        <v>2000</v>
      </c>
      <c r="F26" s="103">
        <v>1</v>
      </c>
      <c r="G26" s="104">
        <v>51.03</v>
      </c>
      <c r="H26" s="105">
        <f t="shared" si="0"/>
        <v>36.979999999999997</v>
      </c>
      <c r="I26" s="106">
        <f t="shared" si="1"/>
        <v>51.03</v>
      </c>
      <c r="J26" s="107"/>
      <c r="K26" s="108">
        <f t="shared" si="2"/>
        <v>1</v>
      </c>
      <c r="L26" s="105">
        <f t="shared" si="3"/>
        <v>30.62</v>
      </c>
      <c r="M26" s="105">
        <f t="shared" si="4"/>
        <v>30.62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20.41</v>
      </c>
      <c r="T26" s="111">
        <f t="shared" si="7"/>
        <v>20.41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393</v>
      </c>
      <c r="C27" s="114" t="s">
        <v>137</v>
      </c>
      <c r="D27" s="88"/>
      <c r="E27" s="89" t="s">
        <v>138</v>
      </c>
      <c r="F27" s="115">
        <v>1</v>
      </c>
      <c r="G27" s="96">
        <v>7646.67</v>
      </c>
      <c r="H27" s="91">
        <f t="shared" si="0"/>
        <v>5541.07</v>
      </c>
      <c r="I27" s="92">
        <f t="shared" si="1"/>
        <v>7646.67</v>
      </c>
      <c r="J27" s="107"/>
      <c r="K27" s="90">
        <f t="shared" si="2"/>
        <v>1</v>
      </c>
      <c r="L27" s="91">
        <f t="shared" si="3"/>
        <v>3823.34</v>
      </c>
      <c r="M27" s="91">
        <f t="shared" si="4"/>
        <v>3823.34</v>
      </c>
      <c r="N27" s="116"/>
      <c r="O27" s="95"/>
      <c r="P27" s="117"/>
      <c r="Q27" s="96"/>
      <c r="R27" s="96">
        <f t="shared" si="5"/>
        <v>0</v>
      </c>
      <c r="S27" s="96">
        <f t="shared" si="6"/>
        <v>3823.33</v>
      </c>
      <c r="T27" s="96">
        <f t="shared" si="7"/>
        <v>3823.33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287</v>
      </c>
      <c r="C28" s="101" t="s">
        <v>394</v>
      </c>
      <c r="D28" s="88"/>
      <c r="E28" s="102" t="s">
        <v>138</v>
      </c>
      <c r="F28" s="103">
        <v>2</v>
      </c>
      <c r="G28" s="104">
        <v>396.11</v>
      </c>
      <c r="H28" s="105">
        <f t="shared" si="0"/>
        <v>287.04000000000002</v>
      </c>
      <c r="I28" s="106">
        <f t="shared" si="1"/>
        <v>792.22</v>
      </c>
      <c r="J28" s="107"/>
      <c r="K28" s="108">
        <f t="shared" si="2"/>
        <v>2</v>
      </c>
      <c r="L28" s="105">
        <f t="shared" si="3"/>
        <v>198.06</v>
      </c>
      <c r="M28" s="105">
        <f t="shared" si="4"/>
        <v>396.12</v>
      </c>
      <c r="N28" s="109"/>
      <c r="O28" s="95"/>
      <c r="P28" s="100"/>
      <c r="Q28" s="104"/>
      <c r="R28" s="110">
        <f t="shared" si="5"/>
        <v>0</v>
      </c>
      <c r="S28" s="111">
        <f t="shared" si="6"/>
        <v>198.05</v>
      </c>
      <c r="T28" s="111">
        <f t="shared" si="7"/>
        <v>396.1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395</v>
      </c>
      <c r="C29" s="114" t="s">
        <v>144</v>
      </c>
      <c r="D29" s="88"/>
      <c r="E29" s="89" t="s">
        <v>138</v>
      </c>
      <c r="F29" s="115">
        <v>1</v>
      </c>
      <c r="G29" s="96">
        <v>8290.58</v>
      </c>
      <c r="H29" s="91">
        <f t="shared" si="0"/>
        <v>6007.67</v>
      </c>
      <c r="I29" s="92">
        <f t="shared" si="1"/>
        <v>8290.58</v>
      </c>
      <c r="J29" s="107"/>
      <c r="K29" s="90">
        <f t="shared" si="2"/>
        <v>1</v>
      </c>
      <c r="L29" s="91">
        <f t="shared" si="3"/>
        <v>4145.29</v>
      </c>
      <c r="M29" s="91">
        <f t="shared" si="4"/>
        <v>4145.29</v>
      </c>
      <c r="N29" s="116"/>
      <c r="O29" s="95"/>
      <c r="P29" s="117"/>
      <c r="Q29" s="96"/>
      <c r="R29" s="96">
        <f t="shared" si="5"/>
        <v>0</v>
      </c>
      <c r="S29" s="96">
        <f t="shared" si="6"/>
        <v>4145.29</v>
      </c>
      <c r="T29" s="96">
        <f t="shared" si="7"/>
        <v>4145.29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396</v>
      </c>
      <c r="C30" s="101" t="s">
        <v>258</v>
      </c>
      <c r="D30" s="88"/>
      <c r="E30" s="102" t="s">
        <v>138</v>
      </c>
      <c r="F30" s="103">
        <v>6</v>
      </c>
      <c r="G30" s="104">
        <v>2190.4899999999998</v>
      </c>
      <c r="H30" s="105">
        <f t="shared" si="0"/>
        <v>1587.31</v>
      </c>
      <c r="I30" s="106">
        <f t="shared" si="1"/>
        <v>13142.94</v>
      </c>
      <c r="J30" s="107"/>
      <c r="K30" s="108">
        <f t="shared" si="2"/>
        <v>6</v>
      </c>
      <c r="L30" s="105">
        <f t="shared" si="3"/>
        <v>1533.34</v>
      </c>
      <c r="M30" s="105">
        <f t="shared" si="4"/>
        <v>9200.0400000000009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657.15</v>
      </c>
      <c r="T30" s="111">
        <f t="shared" si="7"/>
        <v>3942.9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397</v>
      </c>
      <c r="C31" s="114" t="s">
        <v>398</v>
      </c>
      <c r="D31" s="88"/>
      <c r="E31" s="89" t="s">
        <v>138</v>
      </c>
      <c r="F31" s="115">
        <v>6</v>
      </c>
      <c r="G31" s="96">
        <v>9608.0400000000009</v>
      </c>
      <c r="H31" s="91">
        <f t="shared" si="0"/>
        <v>6962.35</v>
      </c>
      <c r="I31" s="92">
        <f t="shared" si="1"/>
        <v>57648.24</v>
      </c>
      <c r="J31" s="107"/>
      <c r="K31" s="90">
        <f t="shared" si="2"/>
        <v>6</v>
      </c>
      <c r="L31" s="91">
        <f t="shared" si="3"/>
        <v>4804.0200000000004</v>
      </c>
      <c r="M31" s="91">
        <f t="shared" si="4"/>
        <v>28824.12</v>
      </c>
      <c r="N31" s="116"/>
      <c r="O31" s="95"/>
      <c r="P31" s="117"/>
      <c r="Q31" s="96"/>
      <c r="R31" s="96">
        <f t="shared" si="5"/>
        <v>0</v>
      </c>
      <c r="S31" s="96">
        <f t="shared" si="6"/>
        <v>4804.0200000000004</v>
      </c>
      <c r="T31" s="96">
        <f t="shared" si="7"/>
        <v>28824.12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25</v>
      </c>
      <c r="G50" s="123">
        <f t="shared" si="10"/>
        <v>28802.58</v>
      </c>
      <c r="H50" s="124">
        <f t="shared" si="10"/>
        <v>20871.45</v>
      </c>
      <c r="I50" s="125">
        <f t="shared" si="10"/>
        <v>88291.72</v>
      </c>
      <c r="J50" s="126"/>
      <c r="K50" s="127">
        <f t="shared" ref="K50:M50" si="11">SUM(K19:K49)</f>
        <v>25</v>
      </c>
      <c r="L50" s="124">
        <f t="shared" si="11"/>
        <v>14868.800000000001</v>
      </c>
      <c r="M50" s="125">
        <f t="shared" si="11"/>
        <v>46803.850000000006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13933.78</v>
      </c>
      <c r="T50" s="125">
        <f t="shared" si="12"/>
        <v>41487.869999999995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43" priority="1" stopIfTrue="1">
      <formula>$U$9&gt;100%</formula>
    </cfRule>
    <cfRule type="expression" dxfId="242" priority="2">
      <formula>$U$9&lt;50%</formula>
    </cfRule>
  </conditionalFormatting>
  <conditionalFormatting sqref="V9:V11">
    <cfRule type="expression" dxfId="241" priority="3">
      <formula>$V$9&lt;50%</formula>
    </cfRule>
    <cfRule type="expression" dxfId="240" priority="4">
      <formula>$V$9&gt;50%</formula>
    </cfRule>
  </conditionalFormatting>
  <dataValidations count="4">
    <dataValidation type="list" allowBlank="1" showErrorMessage="1" sqref="E19:E49" xr:uid="{00000000-0002-0000-0C00-000000000000}">
      <formula1>$Z$19:$Z$30</formula1>
    </dataValidation>
    <dataValidation type="list" allowBlank="1" showErrorMessage="1" sqref="I14" xr:uid="{00000000-0002-0000-0C00-000001000000}">
      <formula1>$Y$14:$Y$15</formula1>
    </dataValidation>
    <dataValidation type="list" allowBlank="1" showErrorMessage="1" sqref="J14" xr:uid="{00000000-0002-0000-0C00-000002000000}">
      <formula1>$L$9</formula1>
    </dataValidation>
    <dataValidation type="list" allowBlank="1" showErrorMessage="1" sqref="Q15 G18 L18 Q18" xr:uid="{00000000-0002-0000-0C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399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88291.72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2005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46803.850000000006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41487.869999999995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400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0.46989536504668833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401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41487.869999999995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402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46803.850000000006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388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388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390</v>
      </c>
      <c r="C24" s="101" t="s">
        <v>128</v>
      </c>
      <c r="D24" s="88"/>
      <c r="E24" s="102">
        <v>2000</v>
      </c>
      <c r="F24" s="103">
        <v>1</v>
      </c>
      <c r="G24" s="104">
        <v>152.38</v>
      </c>
      <c r="H24" s="105">
        <f t="shared" si="0"/>
        <v>110.42</v>
      </c>
      <c r="I24" s="106">
        <f t="shared" si="1"/>
        <v>152.38</v>
      </c>
      <c r="J24" s="107"/>
      <c r="K24" s="108">
        <f t="shared" si="2"/>
        <v>1</v>
      </c>
      <c r="L24" s="105">
        <f t="shared" si="3"/>
        <v>91.43</v>
      </c>
      <c r="M24" s="105">
        <f t="shared" si="4"/>
        <v>91.43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60.95</v>
      </c>
      <c r="T24" s="111">
        <f t="shared" si="7"/>
        <v>60.95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391</v>
      </c>
      <c r="C25" s="114" t="s">
        <v>131</v>
      </c>
      <c r="D25" s="88"/>
      <c r="E25" s="89">
        <v>2000</v>
      </c>
      <c r="F25" s="115">
        <v>1</v>
      </c>
      <c r="G25" s="96">
        <v>90.46</v>
      </c>
      <c r="H25" s="91">
        <f t="shared" si="0"/>
        <v>65.55</v>
      </c>
      <c r="I25" s="92">
        <f t="shared" si="1"/>
        <v>90.46</v>
      </c>
      <c r="J25" s="107"/>
      <c r="K25" s="90">
        <f t="shared" si="2"/>
        <v>1</v>
      </c>
      <c r="L25" s="91">
        <f t="shared" si="3"/>
        <v>54.28</v>
      </c>
      <c r="M25" s="91">
        <f t="shared" si="4"/>
        <v>54.28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36.18</v>
      </c>
      <c r="T25" s="96">
        <f t="shared" si="7"/>
        <v>36.18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392</v>
      </c>
      <c r="C26" s="101" t="s">
        <v>134</v>
      </c>
      <c r="D26" s="88"/>
      <c r="E26" s="102">
        <v>2000</v>
      </c>
      <c r="F26" s="103">
        <v>1</v>
      </c>
      <c r="G26" s="104">
        <v>51.03</v>
      </c>
      <c r="H26" s="105">
        <f t="shared" si="0"/>
        <v>36.979999999999997</v>
      </c>
      <c r="I26" s="106">
        <f t="shared" si="1"/>
        <v>51.03</v>
      </c>
      <c r="J26" s="107"/>
      <c r="K26" s="108">
        <f t="shared" si="2"/>
        <v>1</v>
      </c>
      <c r="L26" s="105">
        <f t="shared" si="3"/>
        <v>30.62</v>
      </c>
      <c r="M26" s="105">
        <f t="shared" si="4"/>
        <v>30.62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20.41</v>
      </c>
      <c r="T26" s="111">
        <f t="shared" si="7"/>
        <v>20.41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393</v>
      </c>
      <c r="C27" s="114" t="s">
        <v>137</v>
      </c>
      <c r="D27" s="88"/>
      <c r="E27" s="89" t="s">
        <v>138</v>
      </c>
      <c r="F27" s="115">
        <v>1</v>
      </c>
      <c r="G27" s="96">
        <v>7646.67</v>
      </c>
      <c r="H27" s="91">
        <f t="shared" si="0"/>
        <v>5541.07</v>
      </c>
      <c r="I27" s="92">
        <f t="shared" si="1"/>
        <v>7646.67</v>
      </c>
      <c r="J27" s="107"/>
      <c r="K27" s="90">
        <f t="shared" si="2"/>
        <v>1</v>
      </c>
      <c r="L27" s="91">
        <f t="shared" si="3"/>
        <v>3823.34</v>
      </c>
      <c r="M27" s="91">
        <f t="shared" si="4"/>
        <v>3823.34</v>
      </c>
      <c r="N27" s="116"/>
      <c r="O27" s="95"/>
      <c r="P27" s="117"/>
      <c r="Q27" s="96"/>
      <c r="R27" s="96">
        <f t="shared" si="5"/>
        <v>0</v>
      </c>
      <c r="S27" s="96">
        <f t="shared" si="6"/>
        <v>3823.33</v>
      </c>
      <c r="T27" s="96">
        <f t="shared" si="7"/>
        <v>3823.33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287</v>
      </c>
      <c r="C28" s="101" t="s">
        <v>394</v>
      </c>
      <c r="D28" s="88"/>
      <c r="E28" s="102" t="s">
        <v>138</v>
      </c>
      <c r="F28" s="103">
        <v>2</v>
      </c>
      <c r="G28" s="104">
        <v>396.11</v>
      </c>
      <c r="H28" s="105">
        <f t="shared" si="0"/>
        <v>287.04000000000002</v>
      </c>
      <c r="I28" s="106">
        <f t="shared" si="1"/>
        <v>792.22</v>
      </c>
      <c r="J28" s="107"/>
      <c r="K28" s="108">
        <f t="shared" si="2"/>
        <v>2</v>
      </c>
      <c r="L28" s="105">
        <f t="shared" si="3"/>
        <v>198.06</v>
      </c>
      <c r="M28" s="105">
        <f t="shared" si="4"/>
        <v>396.12</v>
      </c>
      <c r="N28" s="109"/>
      <c r="O28" s="95"/>
      <c r="P28" s="100"/>
      <c r="Q28" s="104"/>
      <c r="R28" s="110">
        <f t="shared" si="5"/>
        <v>0</v>
      </c>
      <c r="S28" s="111">
        <f t="shared" si="6"/>
        <v>198.05</v>
      </c>
      <c r="T28" s="111">
        <f t="shared" si="7"/>
        <v>396.1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395</v>
      </c>
      <c r="C29" s="114" t="s">
        <v>144</v>
      </c>
      <c r="D29" s="88"/>
      <c r="E29" s="89" t="s">
        <v>138</v>
      </c>
      <c r="F29" s="115">
        <v>1</v>
      </c>
      <c r="G29" s="96">
        <v>8290.58</v>
      </c>
      <c r="H29" s="91">
        <f t="shared" si="0"/>
        <v>6007.67</v>
      </c>
      <c r="I29" s="92">
        <f t="shared" si="1"/>
        <v>8290.58</v>
      </c>
      <c r="J29" s="107"/>
      <c r="K29" s="90">
        <f t="shared" si="2"/>
        <v>1</v>
      </c>
      <c r="L29" s="91">
        <f t="shared" si="3"/>
        <v>4145.29</v>
      </c>
      <c r="M29" s="91">
        <f t="shared" si="4"/>
        <v>4145.29</v>
      </c>
      <c r="N29" s="116"/>
      <c r="O29" s="95"/>
      <c r="P29" s="117"/>
      <c r="Q29" s="96"/>
      <c r="R29" s="96">
        <f t="shared" si="5"/>
        <v>0</v>
      </c>
      <c r="S29" s="96">
        <f t="shared" si="6"/>
        <v>4145.29</v>
      </c>
      <c r="T29" s="96">
        <f t="shared" si="7"/>
        <v>4145.29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396</v>
      </c>
      <c r="C30" s="101" t="s">
        <v>258</v>
      </c>
      <c r="D30" s="88"/>
      <c r="E30" s="102" t="s">
        <v>138</v>
      </c>
      <c r="F30" s="103">
        <v>6</v>
      </c>
      <c r="G30" s="104">
        <v>2190.4899999999998</v>
      </c>
      <c r="H30" s="105">
        <f t="shared" si="0"/>
        <v>1587.31</v>
      </c>
      <c r="I30" s="106">
        <f t="shared" si="1"/>
        <v>13142.94</v>
      </c>
      <c r="J30" s="107"/>
      <c r="K30" s="108">
        <f t="shared" si="2"/>
        <v>6</v>
      </c>
      <c r="L30" s="105">
        <f t="shared" si="3"/>
        <v>1533.34</v>
      </c>
      <c r="M30" s="105">
        <f t="shared" si="4"/>
        <v>9200.0400000000009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657.15</v>
      </c>
      <c r="T30" s="111">
        <f t="shared" si="7"/>
        <v>3942.9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397</v>
      </c>
      <c r="C31" s="114" t="s">
        <v>398</v>
      </c>
      <c r="D31" s="88"/>
      <c r="E31" s="89" t="s">
        <v>138</v>
      </c>
      <c r="F31" s="115">
        <v>6</v>
      </c>
      <c r="G31" s="96">
        <v>9608.0400000000009</v>
      </c>
      <c r="H31" s="91">
        <f t="shared" si="0"/>
        <v>6962.35</v>
      </c>
      <c r="I31" s="92">
        <f t="shared" si="1"/>
        <v>57648.24</v>
      </c>
      <c r="J31" s="107"/>
      <c r="K31" s="90">
        <f t="shared" si="2"/>
        <v>6</v>
      </c>
      <c r="L31" s="91">
        <f t="shared" si="3"/>
        <v>4804.0200000000004</v>
      </c>
      <c r="M31" s="91">
        <f t="shared" si="4"/>
        <v>28824.12</v>
      </c>
      <c r="N31" s="116"/>
      <c r="O31" s="95"/>
      <c r="P31" s="117"/>
      <c r="Q31" s="96"/>
      <c r="R31" s="96">
        <f t="shared" si="5"/>
        <v>0</v>
      </c>
      <c r="S31" s="96">
        <f t="shared" si="6"/>
        <v>4804.0200000000004</v>
      </c>
      <c r="T31" s="96">
        <f t="shared" si="7"/>
        <v>28824.12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25</v>
      </c>
      <c r="G50" s="123">
        <f t="shared" si="10"/>
        <v>28802.58</v>
      </c>
      <c r="H50" s="124">
        <f t="shared" si="10"/>
        <v>20871.45</v>
      </c>
      <c r="I50" s="125">
        <f t="shared" si="10"/>
        <v>88291.72</v>
      </c>
      <c r="J50" s="126"/>
      <c r="K50" s="127">
        <f t="shared" ref="K50:M50" si="11">SUM(K19:K49)</f>
        <v>25</v>
      </c>
      <c r="L50" s="124">
        <f t="shared" si="11"/>
        <v>14868.800000000001</v>
      </c>
      <c r="M50" s="125">
        <f t="shared" si="11"/>
        <v>46803.850000000006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13933.78</v>
      </c>
      <c r="T50" s="125">
        <f t="shared" si="12"/>
        <v>41487.869999999995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39" priority="1" stopIfTrue="1">
      <formula>$U$9&gt;100%</formula>
    </cfRule>
    <cfRule type="expression" dxfId="238" priority="2">
      <formula>$U$9&lt;50%</formula>
    </cfRule>
  </conditionalFormatting>
  <conditionalFormatting sqref="V9:V11">
    <cfRule type="expression" dxfId="237" priority="3">
      <formula>$V$9&lt;50%</formula>
    </cfRule>
    <cfRule type="expression" dxfId="236" priority="4">
      <formula>$V$9&gt;50%</formula>
    </cfRule>
  </conditionalFormatting>
  <dataValidations count="4">
    <dataValidation type="list" allowBlank="1" showErrorMessage="1" sqref="E19:E49" xr:uid="{00000000-0002-0000-0D00-000000000000}">
      <formula1>$Z$19:$Z$30</formula1>
    </dataValidation>
    <dataValidation type="list" allowBlank="1" showErrorMessage="1" sqref="I14" xr:uid="{00000000-0002-0000-0D00-000001000000}">
      <formula1>$Y$14:$Y$15</formula1>
    </dataValidation>
    <dataValidation type="list" allowBlank="1" showErrorMessage="1" sqref="J14" xr:uid="{00000000-0002-0000-0D00-000002000000}">
      <formula1>$L$9</formula1>
    </dataValidation>
    <dataValidation type="list" allowBlank="1" showErrorMessage="1" sqref="Q15 G18 L18 Q18" xr:uid="{00000000-0002-0000-0D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403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88291.72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46803.850000000006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41487.869999999995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400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0.46989536504668833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404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41487.869999999995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405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46803.850000000006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388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388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390</v>
      </c>
      <c r="C24" s="101" t="s">
        <v>128</v>
      </c>
      <c r="D24" s="88"/>
      <c r="E24" s="102">
        <v>2000</v>
      </c>
      <c r="F24" s="103">
        <v>1</v>
      </c>
      <c r="G24" s="104">
        <v>152.38</v>
      </c>
      <c r="H24" s="105">
        <f t="shared" si="0"/>
        <v>110.42</v>
      </c>
      <c r="I24" s="106">
        <f t="shared" si="1"/>
        <v>152.38</v>
      </c>
      <c r="J24" s="107"/>
      <c r="K24" s="108">
        <f t="shared" si="2"/>
        <v>1</v>
      </c>
      <c r="L24" s="105">
        <f t="shared" si="3"/>
        <v>91.43</v>
      </c>
      <c r="M24" s="105">
        <f t="shared" si="4"/>
        <v>91.43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60.95</v>
      </c>
      <c r="T24" s="111">
        <f t="shared" si="7"/>
        <v>60.95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391</v>
      </c>
      <c r="C25" s="114" t="s">
        <v>131</v>
      </c>
      <c r="D25" s="88"/>
      <c r="E25" s="89">
        <v>2000</v>
      </c>
      <c r="F25" s="115">
        <v>1</v>
      </c>
      <c r="G25" s="96">
        <v>90.46</v>
      </c>
      <c r="H25" s="91">
        <f t="shared" si="0"/>
        <v>65.55</v>
      </c>
      <c r="I25" s="92">
        <f t="shared" si="1"/>
        <v>90.46</v>
      </c>
      <c r="J25" s="107"/>
      <c r="K25" s="90">
        <f t="shared" si="2"/>
        <v>1</v>
      </c>
      <c r="L25" s="91">
        <f t="shared" si="3"/>
        <v>54.28</v>
      </c>
      <c r="M25" s="91">
        <f t="shared" si="4"/>
        <v>54.28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36.18</v>
      </c>
      <c r="T25" s="96">
        <f t="shared" si="7"/>
        <v>36.18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392</v>
      </c>
      <c r="C26" s="101" t="s">
        <v>134</v>
      </c>
      <c r="D26" s="88"/>
      <c r="E26" s="102">
        <v>2000</v>
      </c>
      <c r="F26" s="103">
        <v>1</v>
      </c>
      <c r="G26" s="104">
        <v>51.03</v>
      </c>
      <c r="H26" s="105">
        <f t="shared" si="0"/>
        <v>36.979999999999997</v>
      </c>
      <c r="I26" s="106">
        <f t="shared" si="1"/>
        <v>51.03</v>
      </c>
      <c r="J26" s="107"/>
      <c r="K26" s="108">
        <f t="shared" si="2"/>
        <v>1</v>
      </c>
      <c r="L26" s="105">
        <f t="shared" si="3"/>
        <v>30.62</v>
      </c>
      <c r="M26" s="105">
        <f t="shared" si="4"/>
        <v>30.62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20.41</v>
      </c>
      <c r="T26" s="111">
        <f t="shared" si="7"/>
        <v>20.41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393</v>
      </c>
      <c r="C27" s="114" t="s">
        <v>137</v>
      </c>
      <c r="D27" s="88"/>
      <c r="E27" s="89" t="s">
        <v>138</v>
      </c>
      <c r="F27" s="115">
        <v>1</v>
      </c>
      <c r="G27" s="96">
        <v>7646.67</v>
      </c>
      <c r="H27" s="91">
        <f t="shared" si="0"/>
        <v>5541.07</v>
      </c>
      <c r="I27" s="92">
        <f t="shared" si="1"/>
        <v>7646.67</v>
      </c>
      <c r="J27" s="107"/>
      <c r="K27" s="90">
        <f t="shared" si="2"/>
        <v>1</v>
      </c>
      <c r="L27" s="91">
        <f t="shared" si="3"/>
        <v>3823.34</v>
      </c>
      <c r="M27" s="91">
        <f t="shared" si="4"/>
        <v>3823.34</v>
      </c>
      <c r="N27" s="116"/>
      <c r="O27" s="95"/>
      <c r="P27" s="117"/>
      <c r="Q27" s="96"/>
      <c r="R27" s="96">
        <f t="shared" si="5"/>
        <v>0</v>
      </c>
      <c r="S27" s="96">
        <f t="shared" si="6"/>
        <v>3823.33</v>
      </c>
      <c r="T27" s="96">
        <f t="shared" si="7"/>
        <v>3823.33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287</v>
      </c>
      <c r="C28" s="101" t="s">
        <v>394</v>
      </c>
      <c r="D28" s="88"/>
      <c r="E28" s="102" t="s">
        <v>138</v>
      </c>
      <c r="F28" s="103">
        <v>2</v>
      </c>
      <c r="G28" s="104">
        <v>396.11</v>
      </c>
      <c r="H28" s="105">
        <f t="shared" si="0"/>
        <v>287.04000000000002</v>
      </c>
      <c r="I28" s="106">
        <f t="shared" si="1"/>
        <v>792.22</v>
      </c>
      <c r="J28" s="107"/>
      <c r="K28" s="108">
        <f t="shared" si="2"/>
        <v>2</v>
      </c>
      <c r="L28" s="105">
        <f t="shared" si="3"/>
        <v>198.06</v>
      </c>
      <c r="M28" s="105">
        <f t="shared" si="4"/>
        <v>396.12</v>
      </c>
      <c r="N28" s="109"/>
      <c r="O28" s="95"/>
      <c r="P28" s="100"/>
      <c r="Q28" s="104"/>
      <c r="R28" s="110">
        <f t="shared" si="5"/>
        <v>0</v>
      </c>
      <c r="S28" s="111">
        <f t="shared" si="6"/>
        <v>198.05</v>
      </c>
      <c r="T28" s="111">
        <f t="shared" si="7"/>
        <v>396.1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395</v>
      </c>
      <c r="C29" s="114" t="s">
        <v>144</v>
      </c>
      <c r="D29" s="88"/>
      <c r="E29" s="89" t="s">
        <v>138</v>
      </c>
      <c r="F29" s="115">
        <v>1</v>
      </c>
      <c r="G29" s="96">
        <v>8290.58</v>
      </c>
      <c r="H29" s="91">
        <f t="shared" si="0"/>
        <v>6007.67</v>
      </c>
      <c r="I29" s="92">
        <f t="shared" si="1"/>
        <v>8290.58</v>
      </c>
      <c r="J29" s="107"/>
      <c r="K29" s="90">
        <f t="shared" si="2"/>
        <v>1</v>
      </c>
      <c r="L29" s="91">
        <f t="shared" si="3"/>
        <v>4145.29</v>
      </c>
      <c r="M29" s="91">
        <f t="shared" si="4"/>
        <v>4145.29</v>
      </c>
      <c r="N29" s="116"/>
      <c r="O29" s="95"/>
      <c r="P29" s="117"/>
      <c r="Q29" s="96"/>
      <c r="R29" s="96">
        <f t="shared" si="5"/>
        <v>0</v>
      </c>
      <c r="S29" s="96">
        <f t="shared" si="6"/>
        <v>4145.29</v>
      </c>
      <c r="T29" s="96">
        <f t="shared" si="7"/>
        <v>4145.29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396</v>
      </c>
      <c r="C30" s="101" t="s">
        <v>258</v>
      </c>
      <c r="D30" s="88"/>
      <c r="E30" s="102" t="s">
        <v>138</v>
      </c>
      <c r="F30" s="103">
        <v>6</v>
      </c>
      <c r="G30" s="104">
        <v>2190.4899999999998</v>
      </c>
      <c r="H30" s="105">
        <f t="shared" si="0"/>
        <v>1587.31</v>
      </c>
      <c r="I30" s="106">
        <f t="shared" si="1"/>
        <v>13142.94</v>
      </c>
      <c r="J30" s="107"/>
      <c r="K30" s="108">
        <f t="shared" si="2"/>
        <v>6</v>
      </c>
      <c r="L30" s="105">
        <f t="shared" si="3"/>
        <v>1533.34</v>
      </c>
      <c r="M30" s="105">
        <f t="shared" si="4"/>
        <v>9200.0400000000009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657.15</v>
      </c>
      <c r="T30" s="111">
        <f t="shared" si="7"/>
        <v>3942.9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397</v>
      </c>
      <c r="C31" s="114" t="s">
        <v>398</v>
      </c>
      <c r="D31" s="88"/>
      <c r="E31" s="89" t="s">
        <v>138</v>
      </c>
      <c r="F31" s="115">
        <v>6</v>
      </c>
      <c r="G31" s="96">
        <v>9608.0400000000009</v>
      </c>
      <c r="H31" s="91">
        <f t="shared" si="0"/>
        <v>6962.35</v>
      </c>
      <c r="I31" s="92">
        <f t="shared" si="1"/>
        <v>57648.24</v>
      </c>
      <c r="J31" s="107"/>
      <c r="K31" s="90">
        <f t="shared" si="2"/>
        <v>6</v>
      </c>
      <c r="L31" s="91">
        <f t="shared" si="3"/>
        <v>4804.0200000000004</v>
      </c>
      <c r="M31" s="91">
        <f t="shared" si="4"/>
        <v>28824.12</v>
      </c>
      <c r="N31" s="116"/>
      <c r="O31" s="95"/>
      <c r="P31" s="117"/>
      <c r="Q31" s="96"/>
      <c r="R31" s="96">
        <f t="shared" si="5"/>
        <v>0</v>
      </c>
      <c r="S31" s="96">
        <f t="shared" si="6"/>
        <v>4804.0200000000004</v>
      </c>
      <c r="T31" s="96">
        <f t="shared" si="7"/>
        <v>28824.12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25</v>
      </c>
      <c r="G50" s="123">
        <f t="shared" si="10"/>
        <v>28802.58</v>
      </c>
      <c r="H50" s="124">
        <f t="shared" si="10"/>
        <v>20871.45</v>
      </c>
      <c r="I50" s="125">
        <f t="shared" si="10"/>
        <v>88291.72</v>
      </c>
      <c r="J50" s="126"/>
      <c r="K50" s="127">
        <f t="shared" ref="K50:M50" si="11">SUM(K19:K49)</f>
        <v>25</v>
      </c>
      <c r="L50" s="124">
        <f t="shared" si="11"/>
        <v>14868.800000000001</v>
      </c>
      <c r="M50" s="125">
        <f t="shared" si="11"/>
        <v>46803.850000000006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13933.78</v>
      </c>
      <c r="T50" s="125">
        <f t="shared" si="12"/>
        <v>41487.869999999995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35" priority="1" stopIfTrue="1">
      <formula>$U$9&gt;100%</formula>
    </cfRule>
    <cfRule type="expression" dxfId="234" priority="2">
      <formula>$U$9&lt;50%</formula>
    </cfRule>
  </conditionalFormatting>
  <conditionalFormatting sqref="V9:V11">
    <cfRule type="expression" dxfId="233" priority="3">
      <formula>$V$9&lt;50%</formula>
    </cfRule>
    <cfRule type="expression" dxfId="232" priority="4">
      <formula>$V$9&gt;50%</formula>
    </cfRule>
  </conditionalFormatting>
  <dataValidations count="4">
    <dataValidation type="list" allowBlank="1" showErrorMessage="1" sqref="E19:E49" xr:uid="{00000000-0002-0000-0E00-000000000000}">
      <formula1>$Z$19:$Z$30</formula1>
    </dataValidation>
    <dataValidation type="list" allowBlank="1" showErrorMessage="1" sqref="I14" xr:uid="{00000000-0002-0000-0E00-000001000000}">
      <formula1>$Y$14:$Y$15</formula1>
    </dataValidation>
    <dataValidation type="list" allowBlank="1" showErrorMessage="1" sqref="J14" xr:uid="{00000000-0002-0000-0E00-000002000000}">
      <formula1>$L$9</formula1>
    </dataValidation>
    <dataValidation type="list" allowBlank="1" showErrorMessage="1" sqref="Q15 G18 L18 Q18" xr:uid="{00000000-0002-0000-0E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406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88291.72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46803.850000000006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41487.869999999995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400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0.46989536504668833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407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41487.869999999995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408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46803.850000000006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25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388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388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390</v>
      </c>
      <c r="C24" s="101" t="s">
        <v>128</v>
      </c>
      <c r="D24" s="88"/>
      <c r="E24" s="102">
        <v>2000</v>
      </c>
      <c r="F24" s="103">
        <v>1</v>
      </c>
      <c r="G24" s="104">
        <v>152.38</v>
      </c>
      <c r="H24" s="105">
        <f t="shared" si="0"/>
        <v>110.42</v>
      </c>
      <c r="I24" s="106">
        <f t="shared" si="1"/>
        <v>152.38</v>
      </c>
      <c r="J24" s="107"/>
      <c r="K24" s="108">
        <f t="shared" si="2"/>
        <v>1</v>
      </c>
      <c r="L24" s="105">
        <f t="shared" si="3"/>
        <v>91.43</v>
      </c>
      <c r="M24" s="105">
        <f t="shared" si="4"/>
        <v>91.43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60.95</v>
      </c>
      <c r="T24" s="111">
        <f t="shared" si="7"/>
        <v>60.95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391</v>
      </c>
      <c r="C25" s="114" t="s">
        <v>131</v>
      </c>
      <c r="D25" s="88"/>
      <c r="E25" s="89">
        <v>2000</v>
      </c>
      <c r="F25" s="115">
        <v>1</v>
      </c>
      <c r="G25" s="96">
        <v>90.46</v>
      </c>
      <c r="H25" s="91">
        <f t="shared" si="0"/>
        <v>65.55</v>
      </c>
      <c r="I25" s="92">
        <f t="shared" si="1"/>
        <v>90.46</v>
      </c>
      <c r="J25" s="107"/>
      <c r="K25" s="90">
        <f t="shared" si="2"/>
        <v>1</v>
      </c>
      <c r="L25" s="91">
        <f t="shared" si="3"/>
        <v>54.28</v>
      </c>
      <c r="M25" s="91">
        <f t="shared" si="4"/>
        <v>54.28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36.18</v>
      </c>
      <c r="T25" s="96">
        <f t="shared" si="7"/>
        <v>36.18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392</v>
      </c>
      <c r="C26" s="101" t="s">
        <v>134</v>
      </c>
      <c r="D26" s="88"/>
      <c r="E26" s="102">
        <v>2000</v>
      </c>
      <c r="F26" s="103">
        <v>1</v>
      </c>
      <c r="G26" s="104">
        <v>51.03</v>
      </c>
      <c r="H26" s="105">
        <f t="shared" si="0"/>
        <v>36.979999999999997</v>
      </c>
      <c r="I26" s="106">
        <f t="shared" si="1"/>
        <v>51.03</v>
      </c>
      <c r="J26" s="107"/>
      <c r="K26" s="108">
        <f t="shared" si="2"/>
        <v>1</v>
      </c>
      <c r="L26" s="105">
        <f t="shared" si="3"/>
        <v>30.62</v>
      </c>
      <c r="M26" s="105">
        <f t="shared" si="4"/>
        <v>30.62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20.41</v>
      </c>
      <c r="T26" s="111">
        <f t="shared" si="7"/>
        <v>20.41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393</v>
      </c>
      <c r="C27" s="114" t="s">
        <v>137</v>
      </c>
      <c r="D27" s="88"/>
      <c r="E27" s="89" t="s">
        <v>138</v>
      </c>
      <c r="F27" s="115">
        <v>1</v>
      </c>
      <c r="G27" s="96">
        <v>7646.67</v>
      </c>
      <c r="H27" s="91">
        <f t="shared" si="0"/>
        <v>5541.07</v>
      </c>
      <c r="I27" s="92">
        <f t="shared" si="1"/>
        <v>7646.67</v>
      </c>
      <c r="J27" s="107"/>
      <c r="K27" s="90">
        <f t="shared" si="2"/>
        <v>1</v>
      </c>
      <c r="L27" s="91">
        <f t="shared" si="3"/>
        <v>3823.34</v>
      </c>
      <c r="M27" s="91">
        <f t="shared" si="4"/>
        <v>3823.34</v>
      </c>
      <c r="N27" s="116"/>
      <c r="O27" s="95"/>
      <c r="P27" s="117"/>
      <c r="Q27" s="96"/>
      <c r="R27" s="96">
        <f t="shared" si="5"/>
        <v>0</v>
      </c>
      <c r="S27" s="96">
        <f t="shared" si="6"/>
        <v>3823.33</v>
      </c>
      <c r="T27" s="96">
        <f t="shared" si="7"/>
        <v>3823.33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287</v>
      </c>
      <c r="C28" s="101" t="s">
        <v>394</v>
      </c>
      <c r="D28" s="88"/>
      <c r="E28" s="102" t="s">
        <v>138</v>
      </c>
      <c r="F28" s="103">
        <v>2</v>
      </c>
      <c r="G28" s="104">
        <v>396.11</v>
      </c>
      <c r="H28" s="105">
        <f t="shared" si="0"/>
        <v>287.04000000000002</v>
      </c>
      <c r="I28" s="106">
        <f t="shared" si="1"/>
        <v>792.22</v>
      </c>
      <c r="J28" s="107"/>
      <c r="K28" s="108">
        <f t="shared" si="2"/>
        <v>2</v>
      </c>
      <c r="L28" s="105">
        <f t="shared" si="3"/>
        <v>198.06</v>
      </c>
      <c r="M28" s="105">
        <f t="shared" si="4"/>
        <v>396.12</v>
      </c>
      <c r="N28" s="109"/>
      <c r="O28" s="95"/>
      <c r="P28" s="100"/>
      <c r="Q28" s="104"/>
      <c r="R28" s="110">
        <f t="shared" si="5"/>
        <v>0</v>
      </c>
      <c r="S28" s="111">
        <f t="shared" si="6"/>
        <v>198.05</v>
      </c>
      <c r="T28" s="111">
        <f t="shared" si="7"/>
        <v>396.1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395</v>
      </c>
      <c r="C29" s="114" t="s">
        <v>144</v>
      </c>
      <c r="D29" s="88"/>
      <c r="E29" s="89" t="s">
        <v>138</v>
      </c>
      <c r="F29" s="115">
        <v>1</v>
      </c>
      <c r="G29" s="96">
        <v>8290.58</v>
      </c>
      <c r="H29" s="91">
        <f t="shared" si="0"/>
        <v>6007.67</v>
      </c>
      <c r="I29" s="92">
        <f t="shared" si="1"/>
        <v>8290.58</v>
      </c>
      <c r="J29" s="107"/>
      <c r="K29" s="90">
        <f t="shared" si="2"/>
        <v>1</v>
      </c>
      <c r="L29" s="91">
        <f t="shared" si="3"/>
        <v>4145.29</v>
      </c>
      <c r="M29" s="91">
        <f t="shared" si="4"/>
        <v>4145.29</v>
      </c>
      <c r="N29" s="116"/>
      <c r="O29" s="95"/>
      <c r="P29" s="117"/>
      <c r="Q29" s="96"/>
      <c r="R29" s="96">
        <f t="shared" si="5"/>
        <v>0</v>
      </c>
      <c r="S29" s="96">
        <f t="shared" si="6"/>
        <v>4145.29</v>
      </c>
      <c r="T29" s="96">
        <f t="shared" si="7"/>
        <v>4145.29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396</v>
      </c>
      <c r="C30" s="101" t="s">
        <v>258</v>
      </c>
      <c r="D30" s="88"/>
      <c r="E30" s="102" t="s">
        <v>138</v>
      </c>
      <c r="F30" s="103">
        <v>6</v>
      </c>
      <c r="G30" s="104">
        <v>2190.4899999999998</v>
      </c>
      <c r="H30" s="105">
        <f t="shared" si="0"/>
        <v>1587.31</v>
      </c>
      <c r="I30" s="106">
        <f t="shared" si="1"/>
        <v>13142.94</v>
      </c>
      <c r="J30" s="107"/>
      <c r="K30" s="108">
        <f t="shared" si="2"/>
        <v>6</v>
      </c>
      <c r="L30" s="105">
        <f t="shared" si="3"/>
        <v>1533.34</v>
      </c>
      <c r="M30" s="105">
        <f t="shared" si="4"/>
        <v>9200.0400000000009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657.15</v>
      </c>
      <c r="T30" s="111">
        <f t="shared" si="7"/>
        <v>3942.9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397</v>
      </c>
      <c r="C31" s="114" t="s">
        <v>398</v>
      </c>
      <c r="D31" s="88"/>
      <c r="E31" s="89" t="s">
        <v>138</v>
      </c>
      <c r="F31" s="115">
        <v>6</v>
      </c>
      <c r="G31" s="96">
        <v>9608.0400000000009</v>
      </c>
      <c r="H31" s="91">
        <f t="shared" si="0"/>
        <v>6962.35</v>
      </c>
      <c r="I31" s="92">
        <f t="shared" si="1"/>
        <v>57648.24</v>
      </c>
      <c r="J31" s="107"/>
      <c r="K31" s="90">
        <f t="shared" si="2"/>
        <v>6</v>
      </c>
      <c r="L31" s="91">
        <f t="shared" si="3"/>
        <v>4804.0200000000004</v>
      </c>
      <c r="M31" s="91">
        <f t="shared" si="4"/>
        <v>28824.12</v>
      </c>
      <c r="N31" s="116"/>
      <c r="O31" s="95"/>
      <c r="P31" s="117"/>
      <c r="Q31" s="96"/>
      <c r="R31" s="96">
        <f t="shared" si="5"/>
        <v>0</v>
      </c>
      <c r="S31" s="96">
        <f t="shared" si="6"/>
        <v>4804.0200000000004</v>
      </c>
      <c r="T31" s="96">
        <f t="shared" si="7"/>
        <v>28824.12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25</v>
      </c>
      <c r="G50" s="123">
        <f t="shared" si="10"/>
        <v>28802.58</v>
      </c>
      <c r="H50" s="124">
        <f t="shared" si="10"/>
        <v>20871.45</v>
      </c>
      <c r="I50" s="125">
        <f t="shared" si="10"/>
        <v>88291.72</v>
      </c>
      <c r="J50" s="126"/>
      <c r="K50" s="127">
        <f t="shared" ref="K50:M50" si="11">SUM(K19:K49)</f>
        <v>25</v>
      </c>
      <c r="L50" s="124">
        <f t="shared" si="11"/>
        <v>14868.800000000001</v>
      </c>
      <c r="M50" s="125">
        <f t="shared" si="11"/>
        <v>46803.850000000006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13933.78</v>
      </c>
      <c r="T50" s="125">
        <f t="shared" si="12"/>
        <v>41487.869999999995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31" priority="1" stopIfTrue="1">
      <formula>$U$9&gt;100%</formula>
    </cfRule>
    <cfRule type="expression" dxfId="230" priority="2">
      <formula>$U$9&lt;50%</formula>
    </cfRule>
  </conditionalFormatting>
  <conditionalFormatting sqref="V9:V11">
    <cfRule type="expression" dxfId="229" priority="3">
      <formula>$V$9&lt;50%</formula>
    </cfRule>
    <cfRule type="expression" dxfId="228" priority="4">
      <formula>$V$9&gt;50%</formula>
    </cfRule>
  </conditionalFormatting>
  <dataValidations count="4">
    <dataValidation type="list" allowBlank="1" showErrorMessage="1" sqref="E19:E49" xr:uid="{00000000-0002-0000-0F00-000000000000}">
      <formula1>$Z$19:$Z$30</formula1>
    </dataValidation>
    <dataValidation type="list" allowBlank="1" showErrorMessage="1" sqref="I14" xr:uid="{00000000-0002-0000-0F00-000001000000}">
      <formula1>$Y$14:$Y$15</formula1>
    </dataValidation>
    <dataValidation type="list" allowBlank="1" showErrorMessage="1" sqref="J14" xr:uid="{00000000-0002-0000-0F00-000002000000}">
      <formula1>$L$9</formula1>
    </dataValidation>
    <dataValidation type="list" allowBlank="1" showErrorMessage="1" sqref="Q15 G18 L18 Q18" xr:uid="{00000000-0002-0000-0F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409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170347.66999999998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91206.510000000009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79141.159999999974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410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0.46458610205821999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411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79141.16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412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91206.510000000009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117</v>
      </c>
      <c r="C20" s="101" t="s">
        <v>118</v>
      </c>
      <c r="D20" s="88"/>
      <c r="E20" s="102">
        <v>500</v>
      </c>
      <c r="F20" s="103">
        <v>2</v>
      </c>
      <c r="G20" s="104">
        <v>39.020000000000003</v>
      </c>
      <c r="H20" s="105">
        <f t="shared" si="0"/>
        <v>28.28</v>
      </c>
      <c r="I20" s="106">
        <f t="shared" si="1"/>
        <v>78.040000000000006</v>
      </c>
      <c r="J20" s="107"/>
      <c r="K20" s="108">
        <f t="shared" si="2"/>
        <v>2</v>
      </c>
      <c r="L20" s="105">
        <f t="shared" si="3"/>
        <v>19.510000000000002</v>
      </c>
      <c r="M20" s="105">
        <f t="shared" si="4"/>
        <v>39.020000000000003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39.020000000000003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413</v>
      </c>
      <c r="C21" s="114" t="s">
        <v>115</v>
      </c>
      <c r="D21" s="88"/>
      <c r="E21" s="89">
        <v>500</v>
      </c>
      <c r="F21" s="115">
        <v>1</v>
      </c>
      <c r="G21" s="96">
        <v>79.41</v>
      </c>
      <c r="H21" s="91">
        <f t="shared" si="0"/>
        <v>57.54</v>
      </c>
      <c r="I21" s="92">
        <f t="shared" si="1"/>
        <v>79.41</v>
      </c>
      <c r="J21" s="107"/>
      <c r="K21" s="90">
        <f t="shared" si="2"/>
        <v>1</v>
      </c>
      <c r="L21" s="91">
        <f t="shared" si="3"/>
        <v>39.71</v>
      </c>
      <c r="M21" s="91">
        <f t="shared" si="4"/>
        <v>39.71</v>
      </c>
      <c r="N21" s="116"/>
      <c r="O21" s="95"/>
      <c r="P21" s="117"/>
      <c r="Q21" s="96"/>
      <c r="R21" s="96">
        <f t="shared" si="5"/>
        <v>0</v>
      </c>
      <c r="S21" s="96">
        <f t="shared" si="6"/>
        <v>39.700000000000003</v>
      </c>
      <c r="T21" s="96">
        <f t="shared" si="7"/>
        <v>39.700000000000003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414</v>
      </c>
      <c r="C22" s="101" t="s">
        <v>415</v>
      </c>
      <c r="D22" s="88"/>
      <c r="E22" s="102">
        <v>1000</v>
      </c>
      <c r="F22" s="103">
        <v>1</v>
      </c>
      <c r="G22" s="104">
        <v>129.91</v>
      </c>
      <c r="H22" s="105">
        <f t="shared" si="0"/>
        <v>94.14</v>
      </c>
      <c r="I22" s="106">
        <f t="shared" si="1"/>
        <v>129.91</v>
      </c>
      <c r="J22" s="107"/>
      <c r="K22" s="108">
        <f t="shared" si="2"/>
        <v>1</v>
      </c>
      <c r="L22" s="105">
        <f t="shared" si="3"/>
        <v>64.959999999999994</v>
      </c>
      <c r="M22" s="105">
        <f t="shared" si="4"/>
        <v>64.959999999999994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64.95</v>
      </c>
      <c r="T22" s="111">
        <f t="shared" si="7"/>
        <v>64.95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1</v>
      </c>
      <c r="G23" s="96">
        <v>100.38</v>
      </c>
      <c r="H23" s="91">
        <f t="shared" si="0"/>
        <v>72.739999999999995</v>
      </c>
      <c r="I23" s="92">
        <f t="shared" si="1"/>
        <v>100.38</v>
      </c>
      <c r="J23" s="107"/>
      <c r="K23" s="90">
        <f t="shared" si="2"/>
        <v>1</v>
      </c>
      <c r="L23" s="91">
        <f t="shared" si="3"/>
        <v>50.19</v>
      </c>
      <c r="M23" s="91">
        <f t="shared" si="4"/>
        <v>50.19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50.19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416</v>
      </c>
      <c r="C24" s="101" t="s">
        <v>323</v>
      </c>
      <c r="D24" s="88"/>
      <c r="E24" s="102">
        <v>2000</v>
      </c>
      <c r="F24" s="103">
        <v>1</v>
      </c>
      <c r="G24" s="104">
        <v>67.45</v>
      </c>
      <c r="H24" s="105">
        <f t="shared" si="0"/>
        <v>48.88</v>
      </c>
      <c r="I24" s="106">
        <f t="shared" si="1"/>
        <v>67.45</v>
      </c>
      <c r="J24" s="107"/>
      <c r="K24" s="108">
        <f t="shared" si="2"/>
        <v>1</v>
      </c>
      <c r="L24" s="105">
        <f t="shared" si="3"/>
        <v>40.47</v>
      </c>
      <c r="M24" s="105">
        <f t="shared" si="4"/>
        <v>40.47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26.98</v>
      </c>
      <c r="T24" s="111">
        <f t="shared" si="7"/>
        <v>26.98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417</v>
      </c>
      <c r="C25" s="114" t="s">
        <v>128</v>
      </c>
      <c r="D25" s="88"/>
      <c r="E25" s="89">
        <v>2000</v>
      </c>
      <c r="F25" s="115">
        <v>1</v>
      </c>
      <c r="G25" s="96">
        <v>198.93</v>
      </c>
      <c r="H25" s="91">
        <f t="shared" si="0"/>
        <v>144.15</v>
      </c>
      <c r="I25" s="92">
        <f t="shared" si="1"/>
        <v>198.93</v>
      </c>
      <c r="J25" s="107"/>
      <c r="K25" s="90">
        <f t="shared" si="2"/>
        <v>1</v>
      </c>
      <c r="L25" s="91">
        <f t="shared" si="3"/>
        <v>119.36</v>
      </c>
      <c r="M25" s="91">
        <f t="shared" si="4"/>
        <v>119.36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79.569999999999993</v>
      </c>
      <c r="T25" s="96">
        <f t="shared" si="7"/>
        <v>79.569999999999993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418</v>
      </c>
      <c r="C26" s="101" t="s">
        <v>131</v>
      </c>
      <c r="D26" s="88"/>
      <c r="E26" s="102">
        <v>2000</v>
      </c>
      <c r="F26" s="103">
        <v>1</v>
      </c>
      <c r="G26" s="104">
        <v>110.34</v>
      </c>
      <c r="H26" s="105">
        <f t="shared" si="0"/>
        <v>79.959999999999994</v>
      </c>
      <c r="I26" s="106">
        <f t="shared" si="1"/>
        <v>110.34</v>
      </c>
      <c r="J26" s="107"/>
      <c r="K26" s="108">
        <f t="shared" si="2"/>
        <v>1</v>
      </c>
      <c r="L26" s="105">
        <f t="shared" si="3"/>
        <v>66.2</v>
      </c>
      <c r="M26" s="105">
        <f t="shared" si="4"/>
        <v>66.2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44.14</v>
      </c>
      <c r="T26" s="111">
        <f t="shared" si="7"/>
        <v>44.14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419</v>
      </c>
      <c r="C27" s="114" t="s">
        <v>134</v>
      </c>
      <c r="D27" s="88"/>
      <c r="E27" s="89">
        <v>2000</v>
      </c>
      <c r="F27" s="115">
        <v>1</v>
      </c>
      <c r="G27" s="96">
        <v>96.27</v>
      </c>
      <c r="H27" s="91">
        <f t="shared" si="0"/>
        <v>69.760000000000005</v>
      </c>
      <c r="I27" s="92">
        <f t="shared" si="1"/>
        <v>96.27</v>
      </c>
      <c r="J27" s="107"/>
      <c r="K27" s="90">
        <f t="shared" si="2"/>
        <v>1</v>
      </c>
      <c r="L27" s="91">
        <f t="shared" si="3"/>
        <v>57.76</v>
      </c>
      <c r="M27" s="91">
        <f t="shared" si="4"/>
        <v>57.76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38.51</v>
      </c>
      <c r="T27" s="96">
        <f t="shared" si="7"/>
        <v>38.51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392</v>
      </c>
      <c r="C28" s="101" t="s">
        <v>134</v>
      </c>
      <c r="D28" s="88"/>
      <c r="E28" s="102">
        <v>2000</v>
      </c>
      <c r="F28" s="103">
        <v>1</v>
      </c>
      <c r="G28" s="104">
        <v>51.03</v>
      </c>
      <c r="H28" s="105">
        <f t="shared" si="0"/>
        <v>36.979999999999997</v>
      </c>
      <c r="I28" s="106">
        <f t="shared" si="1"/>
        <v>51.03</v>
      </c>
      <c r="J28" s="107"/>
      <c r="K28" s="108">
        <f t="shared" si="2"/>
        <v>1</v>
      </c>
      <c r="L28" s="105">
        <f t="shared" si="3"/>
        <v>30.62</v>
      </c>
      <c r="M28" s="105">
        <f t="shared" si="4"/>
        <v>30.62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20.41</v>
      </c>
      <c r="T28" s="111">
        <f t="shared" si="7"/>
        <v>20.41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420</v>
      </c>
      <c r="C29" s="114" t="s">
        <v>421</v>
      </c>
      <c r="D29" s="88"/>
      <c r="E29" s="89" t="s">
        <v>138</v>
      </c>
      <c r="F29" s="115">
        <v>1</v>
      </c>
      <c r="G29" s="96">
        <v>12151.17</v>
      </c>
      <c r="H29" s="91">
        <f t="shared" si="0"/>
        <v>8805.2000000000007</v>
      </c>
      <c r="I29" s="92">
        <f t="shared" si="1"/>
        <v>12151.17</v>
      </c>
      <c r="J29" s="107"/>
      <c r="K29" s="90">
        <f t="shared" si="2"/>
        <v>1</v>
      </c>
      <c r="L29" s="91">
        <f t="shared" si="3"/>
        <v>7290.7</v>
      </c>
      <c r="M29" s="91">
        <f t="shared" si="4"/>
        <v>7290.7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4860.47</v>
      </c>
      <c r="T29" s="96">
        <f t="shared" si="7"/>
        <v>4860.47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422</v>
      </c>
      <c r="C30" s="101" t="s">
        <v>423</v>
      </c>
      <c r="D30" s="88"/>
      <c r="E30" s="102" t="s">
        <v>138</v>
      </c>
      <c r="F30" s="103">
        <v>1</v>
      </c>
      <c r="G30" s="104">
        <v>4785.91</v>
      </c>
      <c r="H30" s="105">
        <f t="shared" si="0"/>
        <v>3468.05</v>
      </c>
      <c r="I30" s="106">
        <f t="shared" si="1"/>
        <v>4785.91</v>
      </c>
      <c r="J30" s="107"/>
      <c r="K30" s="108">
        <f t="shared" si="2"/>
        <v>1</v>
      </c>
      <c r="L30" s="105">
        <f t="shared" si="3"/>
        <v>2871.55</v>
      </c>
      <c r="M30" s="105">
        <f t="shared" si="4"/>
        <v>2871.55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1914.36</v>
      </c>
      <c r="T30" s="111">
        <f t="shared" si="7"/>
        <v>1914.36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367</v>
      </c>
      <c r="C31" s="114" t="s">
        <v>249</v>
      </c>
      <c r="D31" s="88"/>
      <c r="E31" s="89" t="s">
        <v>138</v>
      </c>
      <c r="F31" s="115">
        <v>1</v>
      </c>
      <c r="G31" s="96">
        <v>14678.64</v>
      </c>
      <c r="H31" s="91">
        <f t="shared" si="0"/>
        <v>10636.7</v>
      </c>
      <c r="I31" s="92">
        <f t="shared" si="1"/>
        <v>14678.64</v>
      </c>
      <c r="J31" s="107"/>
      <c r="K31" s="90">
        <f t="shared" si="2"/>
        <v>1</v>
      </c>
      <c r="L31" s="91">
        <f t="shared" si="3"/>
        <v>8807.18</v>
      </c>
      <c r="M31" s="91">
        <f t="shared" si="4"/>
        <v>8807.18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5871.46</v>
      </c>
      <c r="T31" s="96">
        <f t="shared" si="7"/>
        <v>5871.46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424</v>
      </c>
      <c r="C32" s="101" t="s">
        <v>137</v>
      </c>
      <c r="D32" s="88"/>
      <c r="E32" s="102" t="s">
        <v>138</v>
      </c>
      <c r="F32" s="103">
        <v>1</v>
      </c>
      <c r="G32" s="104">
        <v>12255.85</v>
      </c>
      <c r="H32" s="105">
        <f t="shared" si="0"/>
        <v>8881.0499999999993</v>
      </c>
      <c r="I32" s="106">
        <f t="shared" si="1"/>
        <v>12255.85</v>
      </c>
      <c r="J32" s="107"/>
      <c r="K32" s="108">
        <f t="shared" si="2"/>
        <v>1</v>
      </c>
      <c r="L32" s="105">
        <f t="shared" si="3"/>
        <v>6127.93</v>
      </c>
      <c r="M32" s="105">
        <f t="shared" si="4"/>
        <v>6127.93</v>
      </c>
      <c r="N32" s="109"/>
      <c r="O32" s="95"/>
      <c r="P32" s="100"/>
      <c r="Q32" s="104"/>
      <c r="R32" s="110">
        <f t="shared" si="5"/>
        <v>0</v>
      </c>
      <c r="S32" s="111">
        <f t="shared" si="6"/>
        <v>6127.92</v>
      </c>
      <c r="T32" s="111">
        <f t="shared" si="7"/>
        <v>6127.92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425</v>
      </c>
      <c r="C33" s="114" t="s">
        <v>183</v>
      </c>
      <c r="D33" s="88"/>
      <c r="E33" s="89" t="s">
        <v>138</v>
      </c>
      <c r="F33" s="115">
        <v>2</v>
      </c>
      <c r="G33" s="96">
        <v>550.07000000000005</v>
      </c>
      <c r="H33" s="91">
        <f t="shared" si="0"/>
        <v>398.6</v>
      </c>
      <c r="I33" s="92">
        <f t="shared" si="1"/>
        <v>1100.1400000000001</v>
      </c>
      <c r="J33" s="107"/>
      <c r="K33" s="90">
        <f t="shared" si="2"/>
        <v>2</v>
      </c>
      <c r="L33" s="91">
        <f t="shared" si="3"/>
        <v>275.04000000000002</v>
      </c>
      <c r="M33" s="91">
        <f t="shared" si="4"/>
        <v>550.08000000000004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275.02999999999997</v>
      </c>
      <c r="T33" s="96">
        <f t="shared" si="7"/>
        <v>550.05999999999995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426</v>
      </c>
      <c r="C34" s="101" t="s">
        <v>144</v>
      </c>
      <c r="D34" s="88"/>
      <c r="E34" s="102" t="s">
        <v>138</v>
      </c>
      <c r="F34" s="103">
        <v>1</v>
      </c>
      <c r="G34" s="104">
        <v>7305.08</v>
      </c>
      <c r="H34" s="105">
        <f t="shared" si="0"/>
        <v>5293.54</v>
      </c>
      <c r="I34" s="106">
        <f t="shared" si="1"/>
        <v>7305.08</v>
      </c>
      <c r="J34" s="107"/>
      <c r="K34" s="108">
        <f t="shared" si="2"/>
        <v>1</v>
      </c>
      <c r="L34" s="105">
        <f t="shared" si="3"/>
        <v>3652.54</v>
      </c>
      <c r="M34" s="105">
        <f t="shared" si="4"/>
        <v>3652.54</v>
      </c>
      <c r="N34" s="109"/>
      <c r="O34" s="95"/>
      <c r="P34" s="100"/>
      <c r="Q34" s="104"/>
      <c r="R34" s="110">
        <f t="shared" si="5"/>
        <v>0</v>
      </c>
      <c r="S34" s="111">
        <f t="shared" si="6"/>
        <v>3652.54</v>
      </c>
      <c r="T34" s="111">
        <f t="shared" si="7"/>
        <v>3652.54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369</v>
      </c>
      <c r="C35" s="114" t="s">
        <v>258</v>
      </c>
      <c r="D35" s="88"/>
      <c r="E35" s="89" t="s">
        <v>138</v>
      </c>
      <c r="F35" s="115">
        <v>6</v>
      </c>
      <c r="G35" s="96">
        <v>2348.85</v>
      </c>
      <c r="H35" s="91">
        <f t="shared" si="0"/>
        <v>1702.07</v>
      </c>
      <c r="I35" s="92">
        <f t="shared" si="1"/>
        <v>14093.1</v>
      </c>
      <c r="J35" s="107"/>
      <c r="K35" s="90">
        <f t="shared" si="2"/>
        <v>6</v>
      </c>
      <c r="L35" s="91">
        <f t="shared" si="3"/>
        <v>1644.2</v>
      </c>
      <c r="M35" s="91">
        <f t="shared" si="4"/>
        <v>9865.2000000000007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704.65</v>
      </c>
      <c r="T35" s="96">
        <f t="shared" si="7"/>
        <v>4227.8999999999996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427</v>
      </c>
      <c r="C36" s="101" t="s">
        <v>428</v>
      </c>
      <c r="D36" s="88"/>
      <c r="E36" s="102" t="s">
        <v>138</v>
      </c>
      <c r="F36" s="103">
        <v>6</v>
      </c>
      <c r="G36" s="104">
        <v>17167.310000000001</v>
      </c>
      <c r="H36" s="105">
        <f t="shared" si="0"/>
        <v>12440.08</v>
      </c>
      <c r="I36" s="106">
        <f t="shared" si="1"/>
        <v>103003.86</v>
      </c>
      <c r="J36" s="107"/>
      <c r="K36" s="108">
        <f t="shared" si="2"/>
        <v>6</v>
      </c>
      <c r="L36" s="105">
        <f t="shared" si="3"/>
        <v>8583.66</v>
      </c>
      <c r="M36" s="105">
        <f t="shared" si="4"/>
        <v>51501.96</v>
      </c>
      <c r="N36" s="109"/>
      <c r="O36" s="95"/>
      <c r="P36" s="100"/>
      <c r="Q36" s="104"/>
      <c r="R36" s="110">
        <f t="shared" si="5"/>
        <v>0</v>
      </c>
      <c r="S36" s="111">
        <f t="shared" si="6"/>
        <v>8583.65</v>
      </c>
      <c r="T36" s="111">
        <f t="shared" si="7"/>
        <v>51501.9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30</v>
      </c>
      <c r="G50" s="123">
        <f t="shared" si="10"/>
        <v>72177.78</v>
      </c>
      <c r="H50" s="124">
        <f t="shared" si="10"/>
        <v>52302.76</v>
      </c>
      <c r="I50" s="125">
        <f t="shared" si="10"/>
        <v>170347.66999999998</v>
      </c>
      <c r="J50" s="126"/>
      <c r="K50" s="127">
        <f t="shared" ref="K50:M50" si="11">SUM(K19:K49)</f>
        <v>30</v>
      </c>
      <c r="L50" s="124">
        <f t="shared" si="11"/>
        <v>39772.660000000003</v>
      </c>
      <c r="M50" s="125">
        <f t="shared" si="11"/>
        <v>91206.510000000009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32405.120000000003</v>
      </c>
      <c r="T50" s="125">
        <f t="shared" si="12"/>
        <v>79141.16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27" priority="1" stopIfTrue="1">
      <formula>$U$9&gt;100%</formula>
    </cfRule>
    <cfRule type="expression" dxfId="226" priority="2">
      <formula>$U$9&lt;50%</formula>
    </cfRule>
  </conditionalFormatting>
  <conditionalFormatting sqref="V9:V11">
    <cfRule type="expression" dxfId="225" priority="3">
      <formula>$V$9&lt;50%</formula>
    </cfRule>
    <cfRule type="expression" dxfId="224" priority="4">
      <formula>$V$9&gt;50%</formula>
    </cfRule>
  </conditionalFormatting>
  <dataValidations count="4">
    <dataValidation type="list" allowBlank="1" showErrorMessage="1" sqref="E19:E49" xr:uid="{00000000-0002-0000-1000-000000000000}">
      <formula1>$Z$19:$Z$30</formula1>
    </dataValidation>
    <dataValidation type="list" allowBlank="1" showErrorMessage="1" sqref="I14" xr:uid="{00000000-0002-0000-1000-000001000000}">
      <formula1>$Y$14:$Y$15</formula1>
    </dataValidation>
    <dataValidation type="list" allowBlank="1" showErrorMessage="1" sqref="J14" xr:uid="{00000000-0002-0000-1000-000002000000}">
      <formula1>$L$9</formula1>
    </dataValidation>
    <dataValidation type="list" allowBlank="1" showErrorMessage="1" sqref="Q15 G18 L18 Q18" xr:uid="{00000000-0002-0000-10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429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170347.66999999998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91199.77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79147.89999999998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430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0.46462566819962953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431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79147.899999999994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432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91199.77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117</v>
      </c>
      <c r="C20" s="101" t="s">
        <v>118</v>
      </c>
      <c r="D20" s="88"/>
      <c r="E20" s="102">
        <v>500</v>
      </c>
      <c r="F20" s="103">
        <v>2</v>
      </c>
      <c r="G20" s="104">
        <v>39.020000000000003</v>
      </c>
      <c r="H20" s="105">
        <f t="shared" si="0"/>
        <v>28.28</v>
      </c>
      <c r="I20" s="106">
        <f t="shared" si="1"/>
        <v>78.040000000000006</v>
      </c>
      <c r="J20" s="107"/>
      <c r="K20" s="108">
        <f t="shared" si="2"/>
        <v>2</v>
      </c>
      <c r="L20" s="105">
        <f t="shared" si="3"/>
        <v>19.510000000000002</v>
      </c>
      <c r="M20" s="105">
        <f t="shared" si="4"/>
        <v>39.020000000000003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39.020000000000003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413</v>
      </c>
      <c r="C21" s="114" t="s">
        <v>115</v>
      </c>
      <c r="D21" s="88"/>
      <c r="E21" s="89">
        <v>500</v>
      </c>
      <c r="F21" s="115">
        <v>1</v>
      </c>
      <c r="G21" s="96">
        <v>79.41</v>
      </c>
      <c r="H21" s="91">
        <f t="shared" si="0"/>
        <v>57.54</v>
      </c>
      <c r="I21" s="92">
        <f t="shared" si="1"/>
        <v>79.41</v>
      </c>
      <c r="J21" s="107"/>
      <c r="K21" s="90">
        <f t="shared" si="2"/>
        <v>1</v>
      </c>
      <c r="L21" s="91">
        <f t="shared" si="3"/>
        <v>39.71</v>
      </c>
      <c r="M21" s="91">
        <f t="shared" si="4"/>
        <v>39.71</v>
      </c>
      <c r="N21" s="116"/>
      <c r="O21" s="95"/>
      <c r="P21" s="117"/>
      <c r="Q21" s="96"/>
      <c r="R21" s="96">
        <f t="shared" si="5"/>
        <v>0</v>
      </c>
      <c r="S21" s="96">
        <f t="shared" si="6"/>
        <v>39.700000000000003</v>
      </c>
      <c r="T21" s="96">
        <f t="shared" si="7"/>
        <v>39.700000000000003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414</v>
      </c>
      <c r="C22" s="101" t="s">
        <v>415</v>
      </c>
      <c r="D22" s="88"/>
      <c r="E22" s="102">
        <v>1000</v>
      </c>
      <c r="F22" s="103">
        <v>1</v>
      </c>
      <c r="G22" s="104">
        <v>129.91</v>
      </c>
      <c r="H22" s="105">
        <f t="shared" si="0"/>
        <v>94.14</v>
      </c>
      <c r="I22" s="106">
        <f t="shared" si="1"/>
        <v>129.91</v>
      </c>
      <c r="J22" s="107"/>
      <c r="K22" s="108">
        <f t="shared" si="2"/>
        <v>1</v>
      </c>
      <c r="L22" s="105">
        <f t="shared" si="3"/>
        <v>64.959999999999994</v>
      </c>
      <c r="M22" s="105">
        <f t="shared" si="4"/>
        <v>64.959999999999994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64.95</v>
      </c>
      <c r="T22" s="111">
        <f t="shared" si="7"/>
        <v>64.95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1</v>
      </c>
      <c r="G23" s="96">
        <v>100.38</v>
      </c>
      <c r="H23" s="91">
        <f t="shared" si="0"/>
        <v>72.739999999999995</v>
      </c>
      <c r="I23" s="92">
        <f t="shared" si="1"/>
        <v>100.38</v>
      </c>
      <c r="J23" s="107"/>
      <c r="K23" s="90">
        <f t="shared" si="2"/>
        <v>1</v>
      </c>
      <c r="L23" s="91">
        <f t="shared" si="3"/>
        <v>50.19</v>
      </c>
      <c r="M23" s="91">
        <f t="shared" si="4"/>
        <v>50.19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50.19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416</v>
      </c>
      <c r="C24" s="101" t="s">
        <v>323</v>
      </c>
      <c r="D24" s="88"/>
      <c r="E24" s="102">
        <v>2000</v>
      </c>
      <c r="F24" s="103">
        <v>1</v>
      </c>
      <c r="G24" s="104">
        <v>67.45</v>
      </c>
      <c r="H24" s="105">
        <f t="shared" si="0"/>
        <v>48.88</v>
      </c>
      <c r="I24" s="106">
        <f t="shared" si="1"/>
        <v>67.45</v>
      </c>
      <c r="J24" s="107"/>
      <c r="K24" s="108">
        <f t="shared" si="2"/>
        <v>1</v>
      </c>
      <c r="L24" s="105">
        <f t="shared" si="3"/>
        <v>33.729999999999997</v>
      </c>
      <c r="M24" s="105">
        <f t="shared" si="4"/>
        <v>33.729999999999997</v>
      </c>
      <c r="N24" s="109"/>
      <c r="O24" s="95"/>
      <c r="P24" s="100"/>
      <c r="Q24" s="104"/>
      <c r="R24" s="110">
        <f t="shared" si="5"/>
        <v>0</v>
      </c>
      <c r="S24" s="111">
        <f t="shared" si="6"/>
        <v>33.72</v>
      </c>
      <c r="T24" s="111">
        <f t="shared" si="7"/>
        <v>33.72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417</v>
      </c>
      <c r="C25" s="114" t="s">
        <v>128</v>
      </c>
      <c r="D25" s="88"/>
      <c r="E25" s="89">
        <v>2000</v>
      </c>
      <c r="F25" s="115">
        <v>1</v>
      </c>
      <c r="G25" s="96">
        <v>198.93</v>
      </c>
      <c r="H25" s="91">
        <f t="shared" si="0"/>
        <v>144.15</v>
      </c>
      <c r="I25" s="92">
        <f t="shared" si="1"/>
        <v>198.93</v>
      </c>
      <c r="J25" s="107"/>
      <c r="K25" s="90">
        <f t="shared" si="2"/>
        <v>1</v>
      </c>
      <c r="L25" s="91">
        <f t="shared" si="3"/>
        <v>119.36</v>
      </c>
      <c r="M25" s="91">
        <f t="shared" si="4"/>
        <v>119.36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79.569999999999993</v>
      </c>
      <c r="T25" s="96">
        <f t="shared" si="7"/>
        <v>79.569999999999993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418</v>
      </c>
      <c r="C26" s="101" t="s">
        <v>131</v>
      </c>
      <c r="D26" s="88"/>
      <c r="E26" s="102">
        <v>2000</v>
      </c>
      <c r="F26" s="103">
        <v>1</v>
      </c>
      <c r="G26" s="104">
        <v>110.34</v>
      </c>
      <c r="H26" s="105">
        <f t="shared" si="0"/>
        <v>79.959999999999994</v>
      </c>
      <c r="I26" s="106">
        <f t="shared" si="1"/>
        <v>110.34</v>
      </c>
      <c r="J26" s="107"/>
      <c r="K26" s="108">
        <f t="shared" si="2"/>
        <v>1</v>
      </c>
      <c r="L26" s="105">
        <f t="shared" si="3"/>
        <v>66.2</v>
      </c>
      <c r="M26" s="105">
        <f t="shared" si="4"/>
        <v>66.2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44.14</v>
      </c>
      <c r="T26" s="111">
        <f t="shared" si="7"/>
        <v>44.14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419</v>
      </c>
      <c r="C27" s="114" t="s">
        <v>134</v>
      </c>
      <c r="D27" s="88"/>
      <c r="E27" s="89">
        <v>2000</v>
      </c>
      <c r="F27" s="115">
        <v>1</v>
      </c>
      <c r="G27" s="96">
        <v>96.27</v>
      </c>
      <c r="H27" s="91">
        <f t="shared" si="0"/>
        <v>69.760000000000005</v>
      </c>
      <c r="I27" s="92">
        <f t="shared" si="1"/>
        <v>96.27</v>
      </c>
      <c r="J27" s="107"/>
      <c r="K27" s="90">
        <f t="shared" si="2"/>
        <v>1</v>
      </c>
      <c r="L27" s="91">
        <f t="shared" si="3"/>
        <v>57.76</v>
      </c>
      <c r="M27" s="91">
        <f t="shared" si="4"/>
        <v>57.76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38.51</v>
      </c>
      <c r="T27" s="96">
        <f t="shared" si="7"/>
        <v>38.51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392</v>
      </c>
      <c r="C28" s="101" t="s">
        <v>134</v>
      </c>
      <c r="D28" s="88"/>
      <c r="E28" s="102">
        <v>2000</v>
      </c>
      <c r="F28" s="103">
        <v>1</v>
      </c>
      <c r="G28" s="104">
        <v>51.03</v>
      </c>
      <c r="H28" s="105">
        <f t="shared" si="0"/>
        <v>36.979999999999997</v>
      </c>
      <c r="I28" s="106">
        <f t="shared" si="1"/>
        <v>51.03</v>
      </c>
      <c r="J28" s="107"/>
      <c r="K28" s="108">
        <f t="shared" si="2"/>
        <v>1</v>
      </c>
      <c r="L28" s="105">
        <f t="shared" si="3"/>
        <v>30.62</v>
      </c>
      <c r="M28" s="105">
        <f t="shared" si="4"/>
        <v>30.62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20.41</v>
      </c>
      <c r="T28" s="111">
        <f t="shared" si="7"/>
        <v>20.41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420</v>
      </c>
      <c r="C29" s="114" t="s">
        <v>421</v>
      </c>
      <c r="D29" s="88"/>
      <c r="E29" s="89" t="s">
        <v>138</v>
      </c>
      <c r="F29" s="115">
        <v>1</v>
      </c>
      <c r="G29" s="96">
        <v>12151.17</v>
      </c>
      <c r="H29" s="91">
        <f t="shared" si="0"/>
        <v>8805.2000000000007</v>
      </c>
      <c r="I29" s="92">
        <f t="shared" si="1"/>
        <v>12151.17</v>
      </c>
      <c r="J29" s="107"/>
      <c r="K29" s="90">
        <f t="shared" si="2"/>
        <v>1</v>
      </c>
      <c r="L29" s="91">
        <f t="shared" si="3"/>
        <v>7290.7</v>
      </c>
      <c r="M29" s="91">
        <f t="shared" si="4"/>
        <v>7290.7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4860.47</v>
      </c>
      <c r="T29" s="96">
        <f t="shared" si="7"/>
        <v>4860.47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422</v>
      </c>
      <c r="C30" s="101" t="s">
        <v>423</v>
      </c>
      <c r="D30" s="88"/>
      <c r="E30" s="102" t="s">
        <v>138</v>
      </c>
      <c r="F30" s="103">
        <v>1</v>
      </c>
      <c r="G30" s="104">
        <v>4785.91</v>
      </c>
      <c r="H30" s="105">
        <f t="shared" si="0"/>
        <v>3468.05</v>
      </c>
      <c r="I30" s="106">
        <f t="shared" si="1"/>
        <v>4785.91</v>
      </c>
      <c r="J30" s="107"/>
      <c r="K30" s="108">
        <f t="shared" si="2"/>
        <v>1</v>
      </c>
      <c r="L30" s="105">
        <f t="shared" si="3"/>
        <v>2871.55</v>
      </c>
      <c r="M30" s="105">
        <f t="shared" si="4"/>
        <v>2871.55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1914.36</v>
      </c>
      <c r="T30" s="111">
        <f t="shared" si="7"/>
        <v>1914.36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367</v>
      </c>
      <c r="C31" s="114" t="s">
        <v>249</v>
      </c>
      <c r="D31" s="88"/>
      <c r="E31" s="89" t="s">
        <v>138</v>
      </c>
      <c r="F31" s="115">
        <v>1</v>
      </c>
      <c r="G31" s="96">
        <v>14678.64</v>
      </c>
      <c r="H31" s="91">
        <f t="shared" si="0"/>
        <v>10636.7</v>
      </c>
      <c r="I31" s="92">
        <f t="shared" si="1"/>
        <v>14678.64</v>
      </c>
      <c r="J31" s="107"/>
      <c r="K31" s="90">
        <f t="shared" si="2"/>
        <v>1</v>
      </c>
      <c r="L31" s="91">
        <f t="shared" si="3"/>
        <v>8807.18</v>
      </c>
      <c r="M31" s="91">
        <f t="shared" si="4"/>
        <v>8807.18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5871.46</v>
      </c>
      <c r="T31" s="96">
        <f t="shared" si="7"/>
        <v>5871.46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424</v>
      </c>
      <c r="C32" s="101" t="s">
        <v>137</v>
      </c>
      <c r="D32" s="88"/>
      <c r="E32" s="102" t="s">
        <v>138</v>
      </c>
      <c r="F32" s="103">
        <v>1</v>
      </c>
      <c r="G32" s="104">
        <v>12255.85</v>
      </c>
      <c r="H32" s="105">
        <f t="shared" si="0"/>
        <v>8881.0499999999993</v>
      </c>
      <c r="I32" s="106">
        <f t="shared" si="1"/>
        <v>12255.85</v>
      </c>
      <c r="J32" s="107"/>
      <c r="K32" s="108">
        <f t="shared" si="2"/>
        <v>1</v>
      </c>
      <c r="L32" s="105">
        <f t="shared" si="3"/>
        <v>6127.93</v>
      </c>
      <c r="M32" s="105">
        <f t="shared" si="4"/>
        <v>6127.93</v>
      </c>
      <c r="N32" s="109"/>
      <c r="O32" s="95"/>
      <c r="P32" s="100"/>
      <c r="Q32" s="104"/>
      <c r="R32" s="110">
        <f t="shared" si="5"/>
        <v>0</v>
      </c>
      <c r="S32" s="111">
        <f t="shared" si="6"/>
        <v>6127.92</v>
      </c>
      <c r="T32" s="111">
        <f t="shared" si="7"/>
        <v>6127.92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425</v>
      </c>
      <c r="C33" s="114" t="s">
        <v>183</v>
      </c>
      <c r="D33" s="88"/>
      <c r="E33" s="89" t="s">
        <v>138</v>
      </c>
      <c r="F33" s="115">
        <v>2</v>
      </c>
      <c r="G33" s="96">
        <v>550.07000000000005</v>
      </c>
      <c r="H33" s="91">
        <f t="shared" si="0"/>
        <v>398.6</v>
      </c>
      <c r="I33" s="92">
        <f t="shared" si="1"/>
        <v>1100.1400000000001</v>
      </c>
      <c r="J33" s="107"/>
      <c r="K33" s="90">
        <f t="shared" si="2"/>
        <v>2</v>
      </c>
      <c r="L33" s="91">
        <f t="shared" si="3"/>
        <v>275.04000000000002</v>
      </c>
      <c r="M33" s="91">
        <f t="shared" si="4"/>
        <v>550.08000000000004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275.02999999999997</v>
      </c>
      <c r="T33" s="96">
        <f t="shared" si="7"/>
        <v>550.05999999999995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426</v>
      </c>
      <c r="C34" s="101" t="s">
        <v>144</v>
      </c>
      <c r="D34" s="88"/>
      <c r="E34" s="102" t="s">
        <v>138</v>
      </c>
      <c r="F34" s="103">
        <v>1</v>
      </c>
      <c r="G34" s="104">
        <v>7305.08</v>
      </c>
      <c r="H34" s="105">
        <f t="shared" si="0"/>
        <v>5293.54</v>
      </c>
      <c r="I34" s="106">
        <f t="shared" si="1"/>
        <v>7305.08</v>
      </c>
      <c r="J34" s="107"/>
      <c r="K34" s="108">
        <f t="shared" si="2"/>
        <v>1</v>
      </c>
      <c r="L34" s="105">
        <f t="shared" si="3"/>
        <v>3652.54</v>
      </c>
      <c r="M34" s="105">
        <f t="shared" si="4"/>
        <v>3652.54</v>
      </c>
      <c r="N34" s="109"/>
      <c r="O34" s="95"/>
      <c r="P34" s="100"/>
      <c r="Q34" s="104"/>
      <c r="R34" s="110">
        <f t="shared" si="5"/>
        <v>0</v>
      </c>
      <c r="S34" s="111">
        <f t="shared" si="6"/>
        <v>3652.54</v>
      </c>
      <c r="T34" s="111">
        <f t="shared" si="7"/>
        <v>3652.54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369</v>
      </c>
      <c r="C35" s="114" t="s">
        <v>258</v>
      </c>
      <c r="D35" s="88"/>
      <c r="E35" s="89" t="s">
        <v>138</v>
      </c>
      <c r="F35" s="115">
        <v>6</v>
      </c>
      <c r="G35" s="96">
        <v>2348.85</v>
      </c>
      <c r="H35" s="91">
        <f t="shared" si="0"/>
        <v>1702.07</v>
      </c>
      <c r="I35" s="92">
        <f t="shared" si="1"/>
        <v>14093.1</v>
      </c>
      <c r="J35" s="107"/>
      <c r="K35" s="90">
        <f t="shared" si="2"/>
        <v>6</v>
      </c>
      <c r="L35" s="91">
        <f t="shared" si="3"/>
        <v>1644.2</v>
      </c>
      <c r="M35" s="91">
        <f t="shared" si="4"/>
        <v>9865.2000000000007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704.65</v>
      </c>
      <c r="T35" s="96">
        <f t="shared" si="7"/>
        <v>4227.8999999999996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427</v>
      </c>
      <c r="C36" s="101" t="s">
        <v>428</v>
      </c>
      <c r="D36" s="88"/>
      <c r="E36" s="102" t="s">
        <v>138</v>
      </c>
      <c r="F36" s="103">
        <v>6</v>
      </c>
      <c r="G36" s="104">
        <v>17167.310000000001</v>
      </c>
      <c r="H36" s="105">
        <f t="shared" si="0"/>
        <v>12440.08</v>
      </c>
      <c r="I36" s="106">
        <f t="shared" si="1"/>
        <v>103003.86</v>
      </c>
      <c r="J36" s="107"/>
      <c r="K36" s="108">
        <f t="shared" si="2"/>
        <v>6</v>
      </c>
      <c r="L36" s="105">
        <f t="shared" si="3"/>
        <v>8583.66</v>
      </c>
      <c r="M36" s="105">
        <f t="shared" si="4"/>
        <v>51501.96</v>
      </c>
      <c r="N36" s="109"/>
      <c r="O36" s="95"/>
      <c r="P36" s="100"/>
      <c r="Q36" s="104"/>
      <c r="R36" s="110">
        <f t="shared" si="5"/>
        <v>0</v>
      </c>
      <c r="S36" s="111">
        <f t="shared" si="6"/>
        <v>8583.65</v>
      </c>
      <c r="T36" s="111">
        <f t="shared" si="7"/>
        <v>51501.9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30</v>
      </c>
      <c r="G50" s="123">
        <f t="shared" si="10"/>
        <v>72177.78</v>
      </c>
      <c r="H50" s="124">
        <f t="shared" si="10"/>
        <v>52302.76</v>
      </c>
      <c r="I50" s="125">
        <f t="shared" si="10"/>
        <v>170347.66999999998</v>
      </c>
      <c r="J50" s="126"/>
      <c r="K50" s="127">
        <f t="shared" ref="K50:M50" si="11">SUM(K19:K49)</f>
        <v>30</v>
      </c>
      <c r="L50" s="124">
        <f t="shared" si="11"/>
        <v>39765.919999999998</v>
      </c>
      <c r="M50" s="125">
        <f t="shared" si="11"/>
        <v>91199.77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32411.86</v>
      </c>
      <c r="T50" s="125">
        <f t="shared" si="12"/>
        <v>79147.899999999994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23" priority="1" stopIfTrue="1">
      <formula>$U$9&gt;100%</formula>
    </cfRule>
    <cfRule type="expression" dxfId="222" priority="2">
      <formula>$U$9&lt;50%</formula>
    </cfRule>
  </conditionalFormatting>
  <conditionalFormatting sqref="V9:V11">
    <cfRule type="expression" dxfId="221" priority="3">
      <formula>$V$9&lt;50%</formula>
    </cfRule>
    <cfRule type="expression" dxfId="220" priority="4">
      <formula>$V$9&gt;50%</formula>
    </cfRule>
  </conditionalFormatting>
  <dataValidations count="4">
    <dataValidation type="list" allowBlank="1" showErrorMessage="1" sqref="E19:E49" xr:uid="{00000000-0002-0000-1100-000000000000}">
      <formula1>$Z$19:$Z$30</formula1>
    </dataValidation>
    <dataValidation type="list" allowBlank="1" showErrorMessage="1" sqref="I14" xr:uid="{00000000-0002-0000-1100-000001000000}">
      <formula1>$Y$14:$Y$15</formula1>
    </dataValidation>
    <dataValidation type="list" allowBlank="1" showErrorMessage="1" sqref="J14" xr:uid="{00000000-0002-0000-1100-000002000000}">
      <formula1>$L$9</formula1>
    </dataValidation>
    <dataValidation type="list" allowBlank="1" showErrorMessage="1" sqref="Q15 G18 L18 Q18" xr:uid="{00000000-0002-0000-1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433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152136.13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79014.97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73121.16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434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0.48062981489012507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435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73121.16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436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79014.97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437</v>
      </c>
      <c r="C19" s="87" t="s">
        <v>169</v>
      </c>
      <c r="D19" s="88"/>
      <c r="E19" s="89">
        <v>500</v>
      </c>
      <c r="F19" s="90">
        <v>1</v>
      </c>
      <c r="G19" s="91">
        <v>46.66</v>
      </c>
      <c r="H19" s="91">
        <f t="shared" ref="H19:H49" si="0">ROUND(IF($G$18="USD $", G19*$F$16,G19*$E$16),2)</f>
        <v>33.81</v>
      </c>
      <c r="I19" s="92">
        <f t="shared" ref="I19:I49" si="1">ROUND(IF($I$18=$H$18,F19*H19,F19*G19),2)</f>
        <v>46.66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23.33</v>
      </c>
      <c r="M19" s="91">
        <f t="shared" ref="M19:M49" si="4">ROUND((K19*L19),2)</f>
        <v>23.33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23.33</v>
      </c>
      <c r="T19" s="96">
        <f t="shared" ref="T19:T49" si="7">ROUND(I19-M19,2)</f>
        <v>23.33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439</v>
      </c>
      <c r="C22" s="101" t="s">
        <v>415</v>
      </c>
      <c r="D22" s="88"/>
      <c r="E22" s="102">
        <v>1000</v>
      </c>
      <c r="F22" s="103">
        <v>1</v>
      </c>
      <c r="G22" s="104">
        <v>113.95</v>
      </c>
      <c r="H22" s="105">
        <f t="shared" si="0"/>
        <v>82.57</v>
      </c>
      <c r="I22" s="106">
        <f t="shared" si="1"/>
        <v>113.95</v>
      </c>
      <c r="J22" s="107"/>
      <c r="K22" s="108">
        <f t="shared" si="2"/>
        <v>1</v>
      </c>
      <c r="L22" s="105">
        <f t="shared" si="3"/>
        <v>56.98</v>
      </c>
      <c r="M22" s="105">
        <f t="shared" si="4"/>
        <v>56.98</v>
      </c>
      <c r="N22" s="109"/>
      <c r="O22" s="95"/>
      <c r="P22" s="100"/>
      <c r="Q22" s="104"/>
      <c r="R22" s="110">
        <f t="shared" si="5"/>
        <v>0</v>
      </c>
      <c r="S22" s="111">
        <f t="shared" si="6"/>
        <v>56.97</v>
      </c>
      <c r="T22" s="111">
        <f t="shared" si="7"/>
        <v>56.97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417</v>
      </c>
      <c r="C24" s="101" t="s">
        <v>128</v>
      </c>
      <c r="D24" s="88"/>
      <c r="E24" s="102">
        <v>2000</v>
      </c>
      <c r="F24" s="103">
        <v>1</v>
      </c>
      <c r="G24" s="104">
        <v>198.93</v>
      </c>
      <c r="H24" s="105">
        <f t="shared" si="0"/>
        <v>144.15</v>
      </c>
      <c r="I24" s="106">
        <f t="shared" si="1"/>
        <v>198.93</v>
      </c>
      <c r="J24" s="107"/>
      <c r="K24" s="108">
        <f t="shared" si="2"/>
        <v>1</v>
      </c>
      <c r="L24" s="105">
        <f t="shared" si="3"/>
        <v>119.36</v>
      </c>
      <c r="M24" s="105">
        <f t="shared" si="4"/>
        <v>119.36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79.569999999999993</v>
      </c>
      <c r="T24" s="111">
        <f t="shared" si="7"/>
        <v>79.569999999999993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418</v>
      </c>
      <c r="C25" s="114" t="s">
        <v>131</v>
      </c>
      <c r="D25" s="88"/>
      <c r="E25" s="89">
        <v>2000</v>
      </c>
      <c r="F25" s="115">
        <v>1</v>
      </c>
      <c r="G25" s="96">
        <v>110.34</v>
      </c>
      <c r="H25" s="91">
        <f t="shared" si="0"/>
        <v>79.959999999999994</v>
      </c>
      <c r="I25" s="92">
        <f t="shared" si="1"/>
        <v>110.34</v>
      </c>
      <c r="J25" s="107"/>
      <c r="K25" s="90">
        <f t="shared" si="2"/>
        <v>1</v>
      </c>
      <c r="L25" s="91">
        <f t="shared" si="3"/>
        <v>66.2</v>
      </c>
      <c r="M25" s="91">
        <f t="shared" si="4"/>
        <v>66.2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44.14</v>
      </c>
      <c r="T25" s="96">
        <f t="shared" si="7"/>
        <v>44.14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419</v>
      </c>
      <c r="C26" s="101" t="s">
        <v>134</v>
      </c>
      <c r="D26" s="88"/>
      <c r="E26" s="102">
        <v>2000</v>
      </c>
      <c r="F26" s="103">
        <v>1</v>
      </c>
      <c r="G26" s="104">
        <v>96.27</v>
      </c>
      <c r="H26" s="105">
        <f t="shared" si="0"/>
        <v>69.760000000000005</v>
      </c>
      <c r="I26" s="106">
        <f t="shared" si="1"/>
        <v>96.27</v>
      </c>
      <c r="J26" s="107"/>
      <c r="K26" s="108">
        <f t="shared" si="2"/>
        <v>1</v>
      </c>
      <c r="L26" s="105">
        <f t="shared" si="3"/>
        <v>57.76</v>
      </c>
      <c r="M26" s="105">
        <f t="shared" si="4"/>
        <v>57.76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38.51</v>
      </c>
      <c r="T26" s="111">
        <f t="shared" si="7"/>
        <v>38.51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392</v>
      </c>
      <c r="C27" s="114" t="s">
        <v>134</v>
      </c>
      <c r="D27" s="88"/>
      <c r="E27" s="89">
        <v>2000</v>
      </c>
      <c r="F27" s="115">
        <v>1</v>
      </c>
      <c r="G27" s="96">
        <v>51.03</v>
      </c>
      <c r="H27" s="91">
        <f t="shared" si="0"/>
        <v>36.979999999999997</v>
      </c>
      <c r="I27" s="92">
        <f t="shared" si="1"/>
        <v>51.03</v>
      </c>
      <c r="J27" s="107"/>
      <c r="K27" s="90">
        <f t="shared" si="2"/>
        <v>1</v>
      </c>
      <c r="L27" s="91">
        <f t="shared" si="3"/>
        <v>30.62</v>
      </c>
      <c r="M27" s="91">
        <f t="shared" si="4"/>
        <v>30.62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20.41</v>
      </c>
      <c r="T27" s="96">
        <f t="shared" si="7"/>
        <v>20.41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440</v>
      </c>
      <c r="C28" s="101" t="s">
        <v>441</v>
      </c>
      <c r="D28" s="88"/>
      <c r="E28" s="102">
        <v>2000</v>
      </c>
      <c r="F28" s="103">
        <v>1</v>
      </c>
      <c r="G28" s="104">
        <v>1497.14</v>
      </c>
      <c r="H28" s="105">
        <f t="shared" si="0"/>
        <v>1084.8800000000001</v>
      </c>
      <c r="I28" s="106">
        <f t="shared" si="1"/>
        <v>1497.14</v>
      </c>
      <c r="J28" s="107"/>
      <c r="K28" s="108">
        <f t="shared" si="2"/>
        <v>1</v>
      </c>
      <c r="L28" s="105">
        <f t="shared" si="3"/>
        <v>898.28</v>
      </c>
      <c r="M28" s="105">
        <f t="shared" si="4"/>
        <v>898.28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598.86</v>
      </c>
      <c r="T28" s="111">
        <f t="shared" si="7"/>
        <v>598.86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442</v>
      </c>
      <c r="C29" s="114" t="s">
        <v>137</v>
      </c>
      <c r="D29" s="88"/>
      <c r="E29" s="89" t="s">
        <v>138</v>
      </c>
      <c r="F29" s="115">
        <v>1</v>
      </c>
      <c r="G29" s="96">
        <v>8940.67</v>
      </c>
      <c r="H29" s="91">
        <f t="shared" si="0"/>
        <v>6478.75</v>
      </c>
      <c r="I29" s="92">
        <f t="shared" si="1"/>
        <v>8940.67</v>
      </c>
      <c r="J29" s="107"/>
      <c r="K29" s="90">
        <f t="shared" si="2"/>
        <v>1</v>
      </c>
      <c r="L29" s="91">
        <f t="shared" si="3"/>
        <v>4470.34</v>
      </c>
      <c r="M29" s="91">
        <f t="shared" si="4"/>
        <v>4470.34</v>
      </c>
      <c r="N29" s="116"/>
      <c r="O29" s="95"/>
      <c r="P29" s="117"/>
      <c r="Q29" s="96"/>
      <c r="R29" s="96">
        <f t="shared" si="5"/>
        <v>0</v>
      </c>
      <c r="S29" s="96">
        <f t="shared" si="6"/>
        <v>4470.33</v>
      </c>
      <c r="T29" s="96">
        <f t="shared" si="7"/>
        <v>4470.33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425</v>
      </c>
      <c r="C30" s="101" t="s">
        <v>183</v>
      </c>
      <c r="D30" s="88"/>
      <c r="E30" s="102" t="s">
        <v>138</v>
      </c>
      <c r="F30" s="103">
        <v>2</v>
      </c>
      <c r="G30" s="104">
        <v>550.07000000000005</v>
      </c>
      <c r="H30" s="105">
        <f t="shared" si="0"/>
        <v>398.6</v>
      </c>
      <c r="I30" s="106">
        <f t="shared" si="1"/>
        <v>1100.1400000000001</v>
      </c>
      <c r="J30" s="107"/>
      <c r="K30" s="108">
        <f t="shared" si="2"/>
        <v>2</v>
      </c>
      <c r="L30" s="105">
        <f t="shared" si="3"/>
        <v>275.04000000000002</v>
      </c>
      <c r="M30" s="105">
        <f t="shared" si="4"/>
        <v>550.08000000000004</v>
      </c>
      <c r="N30" s="109"/>
      <c r="O30" s="95"/>
      <c r="P30" s="100"/>
      <c r="Q30" s="104"/>
      <c r="R30" s="110">
        <f t="shared" si="5"/>
        <v>0</v>
      </c>
      <c r="S30" s="111">
        <f t="shared" si="6"/>
        <v>275.02999999999997</v>
      </c>
      <c r="T30" s="111">
        <f t="shared" si="7"/>
        <v>550.05999999999995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443</v>
      </c>
      <c r="C31" s="114" t="s">
        <v>144</v>
      </c>
      <c r="D31" s="88"/>
      <c r="E31" s="89" t="s">
        <v>138</v>
      </c>
      <c r="F31" s="115">
        <v>1</v>
      </c>
      <c r="G31" s="96">
        <v>9614.0499999999993</v>
      </c>
      <c r="H31" s="91">
        <f t="shared" si="0"/>
        <v>6966.7</v>
      </c>
      <c r="I31" s="92">
        <f t="shared" si="1"/>
        <v>9614.0499999999993</v>
      </c>
      <c r="J31" s="107"/>
      <c r="K31" s="90">
        <f t="shared" si="2"/>
        <v>1</v>
      </c>
      <c r="L31" s="91">
        <f t="shared" si="3"/>
        <v>4807.03</v>
      </c>
      <c r="M31" s="91">
        <f t="shared" si="4"/>
        <v>4807.03</v>
      </c>
      <c r="N31" s="116"/>
      <c r="O31" s="95"/>
      <c r="P31" s="117"/>
      <c r="Q31" s="96"/>
      <c r="R31" s="96">
        <f t="shared" si="5"/>
        <v>0</v>
      </c>
      <c r="S31" s="96">
        <f t="shared" si="6"/>
        <v>4807.0200000000004</v>
      </c>
      <c r="T31" s="96">
        <f t="shared" si="7"/>
        <v>4807.0200000000004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444</v>
      </c>
      <c r="C32" s="101" t="s">
        <v>258</v>
      </c>
      <c r="D32" s="88"/>
      <c r="E32" s="102" t="s">
        <v>138</v>
      </c>
      <c r="F32" s="103">
        <v>6</v>
      </c>
      <c r="G32" s="104">
        <v>2292.9299999999998</v>
      </c>
      <c r="H32" s="105">
        <f t="shared" si="0"/>
        <v>1661.54</v>
      </c>
      <c r="I32" s="106">
        <f t="shared" si="1"/>
        <v>13757.58</v>
      </c>
      <c r="J32" s="107"/>
      <c r="K32" s="108">
        <f t="shared" si="2"/>
        <v>6</v>
      </c>
      <c r="L32" s="105">
        <f t="shared" si="3"/>
        <v>1605.05</v>
      </c>
      <c r="M32" s="105">
        <f t="shared" si="4"/>
        <v>9630.2999999999993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687.88</v>
      </c>
      <c r="T32" s="111">
        <f t="shared" si="7"/>
        <v>4127.28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445</v>
      </c>
      <c r="C33" s="114" t="s">
        <v>446</v>
      </c>
      <c r="D33" s="88"/>
      <c r="E33" s="89" t="s">
        <v>138</v>
      </c>
      <c r="F33" s="115">
        <v>6</v>
      </c>
      <c r="G33" s="96">
        <v>19382.12</v>
      </c>
      <c r="H33" s="91">
        <f t="shared" si="0"/>
        <v>14045.01</v>
      </c>
      <c r="I33" s="92">
        <f t="shared" si="1"/>
        <v>116292.72</v>
      </c>
      <c r="J33" s="107"/>
      <c r="K33" s="90">
        <f t="shared" si="2"/>
        <v>6</v>
      </c>
      <c r="L33" s="91">
        <f t="shared" si="3"/>
        <v>9691.06</v>
      </c>
      <c r="M33" s="91">
        <f t="shared" si="4"/>
        <v>58146.36</v>
      </c>
      <c r="N33" s="116"/>
      <c r="O33" s="95"/>
      <c r="P33" s="117"/>
      <c r="Q33" s="96"/>
      <c r="R33" s="96">
        <f t="shared" si="5"/>
        <v>0</v>
      </c>
      <c r="S33" s="96">
        <f t="shared" si="6"/>
        <v>9691.06</v>
      </c>
      <c r="T33" s="96">
        <f t="shared" si="7"/>
        <v>58146.36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27</v>
      </c>
      <c r="G50" s="123">
        <f t="shared" si="10"/>
        <v>43110.429999999993</v>
      </c>
      <c r="H50" s="124">
        <f t="shared" si="10"/>
        <v>31239.43</v>
      </c>
      <c r="I50" s="125">
        <f t="shared" si="10"/>
        <v>152136.13</v>
      </c>
      <c r="J50" s="126"/>
      <c r="K50" s="127">
        <f t="shared" ref="K50:M50" si="11">SUM(K19:K49)</f>
        <v>27</v>
      </c>
      <c r="L50" s="124">
        <f t="shared" si="11"/>
        <v>22209.19</v>
      </c>
      <c r="M50" s="125">
        <f t="shared" si="11"/>
        <v>79014.97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20901.239999999998</v>
      </c>
      <c r="T50" s="125">
        <f t="shared" si="12"/>
        <v>73121.16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19" priority="1" stopIfTrue="1">
      <formula>$U$9&gt;100%</formula>
    </cfRule>
    <cfRule type="expression" dxfId="218" priority="2">
      <formula>$U$9&lt;50%</formula>
    </cfRule>
  </conditionalFormatting>
  <conditionalFormatting sqref="V9:V11">
    <cfRule type="expression" dxfId="217" priority="3">
      <formula>$V$9&lt;50%</formula>
    </cfRule>
    <cfRule type="expression" dxfId="216" priority="4">
      <formula>$V$9&gt;50%</formula>
    </cfRule>
  </conditionalFormatting>
  <dataValidations count="4">
    <dataValidation type="list" allowBlank="1" showErrorMessage="1" sqref="E19:E49" xr:uid="{00000000-0002-0000-1200-000000000000}">
      <formula1>$Z$19:$Z$30</formula1>
    </dataValidation>
    <dataValidation type="list" allowBlank="1" showErrorMessage="1" sqref="I14" xr:uid="{00000000-0002-0000-1200-000001000000}">
      <formula1>$Y$14:$Y$15</formula1>
    </dataValidation>
    <dataValidation type="list" allowBlank="1" showErrorMessage="1" sqref="J14" xr:uid="{00000000-0002-0000-1200-000002000000}">
      <formula1>$L$9</formula1>
    </dataValidation>
    <dataValidation type="list" allowBlank="1" showErrorMessage="1" sqref="Q15 G18 L18 Q18" xr:uid="{00000000-0002-0000-1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447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152136.13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79014.97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73121.16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434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0.48062981489012507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448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73121.16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449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79014.97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437</v>
      </c>
      <c r="C19" s="87" t="s">
        <v>169</v>
      </c>
      <c r="D19" s="88"/>
      <c r="E19" s="89">
        <v>500</v>
      </c>
      <c r="F19" s="90">
        <v>1</v>
      </c>
      <c r="G19" s="91">
        <v>46.66</v>
      </c>
      <c r="H19" s="91">
        <f t="shared" ref="H19:H49" si="0">ROUND(IF($G$18="USD $", G19*$F$16,G19*$E$16),2)</f>
        <v>33.81</v>
      </c>
      <c r="I19" s="92">
        <f t="shared" ref="I19:I49" si="1">ROUND(IF($I$18=$H$18,F19*H19,F19*G19),2)</f>
        <v>46.66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23.33</v>
      </c>
      <c r="M19" s="91">
        <f t="shared" ref="M19:M49" si="4">ROUND((K19*L19),2)</f>
        <v>23.33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23.33</v>
      </c>
      <c r="T19" s="96">
        <f t="shared" ref="T19:T49" si="7">ROUND(I19-M19,2)</f>
        <v>23.33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439</v>
      </c>
      <c r="C22" s="101" t="s">
        <v>415</v>
      </c>
      <c r="D22" s="88"/>
      <c r="E22" s="102">
        <v>1000</v>
      </c>
      <c r="F22" s="103">
        <v>1</v>
      </c>
      <c r="G22" s="104">
        <v>113.95</v>
      </c>
      <c r="H22" s="105">
        <f t="shared" si="0"/>
        <v>82.57</v>
      </c>
      <c r="I22" s="106">
        <f t="shared" si="1"/>
        <v>113.95</v>
      </c>
      <c r="J22" s="107"/>
      <c r="K22" s="108">
        <f t="shared" si="2"/>
        <v>1</v>
      </c>
      <c r="L22" s="105">
        <f t="shared" si="3"/>
        <v>56.98</v>
      </c>
      <c r="M22" s="105">
        <f t="shared" si="4"/>
        <v>56.98</v>
      </c>
      <c r="N22" s="109"/>
      <c r="O22" s="95"/>
      <c r="P22" s="100"/>
      <c r="Q22" s="104"/>
      <c r="R22" s="110">
        <f t="shared" si="5"/>
        <v>0</v>
      </c>
      <c r="S22" s="111">
        <f t="shared" si="6"/>
        <v>56.97</v>
      </c>
      <c r="T22" s="111">
        <f t="shared" si="7"/>
        <v>56.97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417</v>
      </c>
      <c r="C24" s="101" t="s">
        <v>128</v>
      </c>
      <c r="D24" s="88"/>
      <c r="E24" s="102">
        <v>2000</v>
      </c>
      <c r="F24" s="103">
        <v>1</v>
      </c>
      <c r="G24" s="104">
        <v>198.93</v>
      </c>
      <c r="H24" s="105">
        <f t="shared" si="0"/>
        <v>144.15</v>
      </c>
      <c r="I24" s="106">
        <f t="shared" si="1"/>
        <v>198.93</v>
      </c>
      <c r="J24" s="107"/>
      <c r="K24" s="108">
        <f t="shared" si="2"/>
        <v>1</v>
      </c>
      <c r="L24" s="105">
        <f t="shared" si="3"/>
        <v>119.36</v>
      </c>
      <c r="M24" s="105">
        <f t="shared" si="4"/>
        <v>119.36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79.569999999999993</v>
      </c>
      <c r="T24" s="111">
        <f t="shared" si="7"/>
        <v>79.569999999999993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418</v>
      </c>
      <c r="C25" s="114" t="s">
        <v>131</v>
      </c>
      <c r="D25" s="88"/>
      <c r="E25" s="89">
        <v>2000</v>
      </c>
      <c r="F25" s="115">
        <v>1</v>
      </c>
      <c r="G25" s="96">
        <v>110.34</v>
      </c>
      <c r="H25" s="91">
        <f t="shared" si="0"/>
        <v>79.959999999999994</v>
      </c>
      <c r="I25" s="92">
        <f t="shared" si="1"/>
        <v>110.34</v>
      </c>
      <c r="J25" s="107"/>
      <c r="K25" s="90">
        <f t="shared" si="2"/>
        <v>1</v>
      </c>
      <c r="L25" s="91">
        <f t="shared" si="3"/>
        <v>66.2</v>
      </c>
      <c r="M25" s="91">
        <f t="shared" si="4"/>
        <v>66.2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44.14</v>
      </c>
      <c r="T25" s="96">
        <f t="shared" si="7"/>
        <v>44.14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419</v>
      </c>
      <c r="C26" s="101" t="s">
        <v>134</v>
      </c>
      <c r="D26" s="88"/>
      <c r="E26" s="102">
        <v>2000</v>
      </c>
      <c r="F26" s="103">
        <v>1</v>
      </c>
      <c r="G26" s="104">
        <v>96.27</v>
      </c>
      <c r="H26" s="105">
        <f t="shared" si="0"/>
        <v>69.760000000000005</v>
      </c>
      <c r="I26" s="106">
        <f t="shared" si="1"/>
        <v>96.27</v>
      </c>
      <c r="J26" s="107"/>
      <c r="K26" s="108">
        <f t="shared" si="2"/>
        <v>1</v>
      </c>
      <c r="L26" s="105">
        <f t="shared" si="3"/>
        <v>57.76</v>
      </c>
      <c r="M26" s="105">
        <f t="shared" si="4"/>
        <v>57.76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38.51</v>
      </c>
      <c r="T26" s="111">
        <f t="shared" si="7"/>
        <v>38.51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392</v>
      </c>
      <c r="C27" s="114" t="s">
        <v>134</v>
      </c>
      <c r="D27" s="88"/>
      <c r="E27" s="89">
        <v>2000</v>
      </c>
      <c r="F27" s="115">
        <v>1</v>
      </c>
      <c r="G27" s="96">
        <v>51.03</v>
      </c>
      <c r="H27" s="91">
        <f t="shared" si="0"/>
        <v>36.979999999999997</v>
      </c>
      <c r="I27" s="92">
        <f t="shared" si="1"/>
        <v>51.03</v>
      </c>
      <c r="J27" s="107"/>
      <c r="K27" s="90">
        <f t="shared" si="2"/>
        <v>1</v>
      </c>
      <c r="L27" s="91">
        <f t="shared" si="3"/>
        <v>30.62</v>
      </c>
      <c r="M27" s="91">
        <f t="shared" si="4"/>
        <v>30.62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20.41</v>
      </c>
      <c r="T27" s="96">
        <f t="shared" si="7"/>
        <v>20.41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440</v>
      </c>
      <c r="C28" s="101" t="s">
        <v>441</v>
      </c>
      <c r="D28" s="88"/>
      <c r="E28" s="102">
        <v>2000</v>
      </c>
      <c r="F28" s="103">
        <v>1</v>
      </c>
      <c r="G28" s="104">
        <v>1497.14</v>
      </c>
      <c r="H28" s="105">
        <f t="shared" si="0"/>
        <v>1084.8800000000001</v>
      </c>
      <c r="I28" s="106">
        <f t="shared" si="1"/>
        <v>1497.14</v>
      </c>
      <c r="J28" s="107"/>
      <c r="K28" s="108">
        <f t="shared" si="2"/>
        <v>1</v>
      </c>
      <c r="L28" s="105">
        <f t="shared" si="3"/>
        <v>898.28</v>
      </c>
      <c r="M28" s="105">
        <f t="shared" si="4"/>
        <v>898.28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598.86</v>
      </c>
      <c r="T28" s="111">
        <f t="shared" si="7"/>
        <v>598.86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442</v>
      </c>
      <c r="C29" s="114" t="s">
        <v>137</v>
      </c>
      <c r="D29" s="88"/>
      <c r="E29" s="89" t="s">
        <v>138</v>
      </c>
      <c r="F29" s="115">
        <v>1</v>
      </c>
      <c r="G29" s="96">
        <v>8940.67</v>
      </c>
      <c r="H29" s="91">
        <f t="shared" si="0"/>
        <v>6478.75</v>
      </c>
      <c r="I29" s="92">
        <f t="shared" si="1"/>
        <v>8940.67</v>
      </c>
      <c r="J29" s="107"/>
      <c r="K29" s="90">
        <f t="shared" si="2"/>
        <v>1</v>
      </c>
      <c r="L29" s="91">
        <f t="shared" si="3"/>
        <v>4470.34</v>
      </c>
      <c r="M29" s="91">
        <f t="shared" si="4"/>
        <v>4470.34</v>
      </c>
      <c r="N29" s="116"/>
      <c r="O29" s="95"/>
      <c r="P29" s="117"/>
      <c r="Q29" s="96"/>
      <c r="R29" s="96">
        <f t="shared" si="5"/>
        <v>0</v>
      </c>
      <c r="S29" s="96">
        <f t="shared" si="6"/>
        <v>4470.33</v>
      </c>
      <c r="T29" s="96">
        <f t="shared" si="7"/>
        <v>4470.33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425</v>
      </c>
      <c r="C30" s="101" t="s">
        <v>183</v>
      </c>
      <c r="D30" s="88"/>
      <c r="E30" s="102" t="s">
        <v>138</v>
      </c>
      <c r="F30" s="103">
        <v>2</v>
      </c>
      <c r="G30" s="104">
        <v>550.07000000000005</v>
      </c>
      <c r="H30" s="105">
        <f t="shared" si="0"/>
        <v>398.6</v>
      </c>
      <c r="I30" s="106">
        <f t="shared" si="1"/>
        <v>1100.1400000000001</v>
      </c>
      <c r="J30" s="107"/>
      <c r="K30" s="108">
        <f t="shared" si="2"/>
        <v>2</v>
      </c>
      <c r="L30" s="105">
        <f t="shared" si="3"/>
        <v>275.04000000000002</v>
      </c>
      <c r="M30" s="105">
        <f t="shared" si="4"/>
        <v>550.08000000000004</v>
      </c>
      <c r="N30" s="109"/>
      <c r="O30" s="95"/>
      <c r="P30" s="100"/>
      <c r="Q30" s="104"/>
      <c r="R30" s="110">
        <f t="shared" si="5"/>
        <v>0</v>
      </c>
      <c r="S30" s="111">
        <f t="shared" si="6"/>
        <v>275.02999999999997</v>
      </c>
      <c r="T30" s="111">
        <f t="shared" si="7"/>
        <v>550.05999999999995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443</v>
      </c>
      <c r="C31" s="114" t="s">
        <v>144</v>
      </c>
      <c r="D31" s="88"/>
      <c r="E31" s="89" t="s">
        <v>138</v>
      </c>
      <c r="F31" s="115">
        <v>1</v>
      </c>
      <c r="G31" s="96">
        <v>9614.0499999999993</v>
      </c>
      <c r="H31" s="91">
        <f t="shared" si="0"/>
        <v>6966.7</v>
      </c>
      <c r="I31" s="92">
        <f t="shared" si="1"/>
        <v>9614.0499999999993</v>
      </c>
      <c r="J31" s="107"/>
      <c r="K31" s="90">
        <f t="shared" si="2"/>
        <v>1</v>
      </c>
      <c r="L31" s="91">
        <f t="shared" si="3"/>
        <v>4807.03</v>
      </c>
      <c r="M31" s="91">
        <f t="shared" si="4"/>
        <v>4807.03</v>
      </c>
      <c r="N31" s="116"/>
      <c r="O31" s="95"/>
      <c r="P31" s="117"/>
      <c r="Q31" s="96"/>
      <c r="R31" s="96">
        <f t="shared" si="5"/>
        <v>0</v>
      </c>
      <c r="S31" s="96">
        <f t="shared" si="6"/>
        <v>4807.0200000000004</v>
      </c>
      <c r="T31" s="96">
        <f t="shared" si="7"/>
        <v>4807.0200000000004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444</v>
      </c>
      <c r="C32" s="101" t="s">
        <v>258</v>
      </c>
      <c r="D32" s="88"/>
      <c r="E32" s="102" t="s">
        <v>138</v>
      </c>
      <c r="F32" s="103">
        <v>6</v>
      </c>
      <c r="G32" s="104">
        <v>2292.9299999999998</v>
      </c>
      <c r="H32" s="105">
        <f t="shared" si="0"/>
        <v>1661.54</v>
      </c>
      <c r="I32" s="106">
        <f t="shared" si="1"/>
        <v>13757.58</v>
      </c>
      <c r="J32" s="107"/>
      <c r="K32" s="108">
        <f t="shared" si="2"/>
        <v>6</v>
      </c>
      <c r="L32" s="105">
        <f t="shared" si="3"/>
        <v>1605.05</v>
      </c>
      <c r="M32" s="105">
        <f t="shared" si="4"/>
        <v>9630.2999999999993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687.88</v>
      </c>
      <c r="T32" s="111">
        <f t="shared" si="7"/>
        <v>4127.28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445</v>
      </c>
      <c r="C33" s="114" t="s">
        <v>446</v>
      </c>
      <c r="D33" s="88"/>
      <c r="E33" s="89" t="s">
        <v>138</v>
      </c>
      <c r="F33" s="115">
        <v>6</v>
      </c>
      <c r="G33" s="96">
        <v>19382.12</v>
      </c>
      <c r="H33" s="91">
        <f t="shared" si="0"/>
        <v>14045.01</v>
      </c>
      <c r="I33" s="92">
        <f t="shared" si="1"/>
        <v>116292.72</v>
      </c>
      <c r="J33" s="107"/>
      <c r="K33" s="90">
        <f t="shared" si="2"/>
        <v>6</v>
      </c>
      <c r="L33" s="91">
        <f t="shared" si="3"/>
        <v>9691.06</v>
      </c>
      <c r="M33" s="91">
        <f t="shared" si="4"/>
        <v>58146.36</v>
      </c>
      <c r="N33" s="116"/>
      <c r="O33" s="95"/>
      <c r="P33" s="117"/>
      <c r="Q33" s="96"/>
      <c r="R33" s="96">
        <f t="shared" si="5"/>
        <v>0</v>
      </c>
      <c r="S33" s="96">
        <f t="shared" si="6"/>
        <v>9691.06</v>
      </c>
      <c r="T33" s="96">
        <f t="shared" si="7"/>
        <v>58146.36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27</v>
      </c>
      <c r="G50" s="123">
        <f t="shared" si="10"/>
        <v>43110.429999999993</v>
      </c>
      <c r="H50" s="124">
        <f t="shared" si="10"/>
        <v>31239.43</v>
      </c>
      <c r="I50" s="125">
        <f t="shared" si="10"/>
        <v>152136.13</v>
      </c>
      <c r="J50" s="126"/>
      <c r="K50" s="127">
        <f t="shared" ref="K50:M50" si="11">SUM(K19:K49)</f>
        <v>27</v>
      </c>
      <c r="L50" s="124">
        <f t="shared" si="11"/>
        <v>22209.19</v>
      </c>
      <c r="M50" s="125">
        <f t="shared" si="11"/>
        <v>79014.97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20901.239999999998</v>
      </c>
      <c r="T50" s="125">
        <f t="shared" si="12"/>
        <v>73121.16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15" priority="1" stopIfTrue="1">
      <formula>$U$9&gt;100%</formula>
    </cfRule>
    <cfRule type="expression" dxfId="214" priority="2">
      <formula>$U$9&lt;50%</formula>
    </cfRule>
  </conditionalFormatting>
  <conditionalFormatting sqref="V9:V11">
    <cfRule type="expression" dxfId="213" priority="3">
      <formula>$V$9&lt;50%</formula>
    </cfRule>
    <cfRule type="expression" dxfId="212" priority="4">
      <formula>$V$9&gt;50%</formula>
    </cfRule>
  </conditionalFormatting>
  <dataValidations count="4">
    <dataValidation type="list" allowBlank="1" showErrorMessage="1" sqref="E19:E49" xr:uid="{00000000-0002-0000-1300-000000000000}">
      <formula1>$Z$19:$Z$30</formula1>
    </dataValidation>
    <dataValidation type="list" allowBlank="1" showErrorMessage="1" sqref="I14" xr:uid="{00000000-0002-0000-1300-000001000000}">
      <formula1>$Y$14:$Y$15</formula1>
    </dataValidation>
    <dataValidation type="list" allowBlank="1" showErrorMessage="1" sqref="J14" xr:uid="{00000000-0002-0000-1300-000002000000}">
      <formula1>$L$9</formula1>
    </dataValidation>
    <dataValidation type="list" allowBlank="1" showErrorMessage="1" sqref="Q15 G18 L18 Q18" xr:uid="{00000000-0002-0000-13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450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152136.13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79014.97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73121.16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434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0.48062981489012507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451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73121.16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452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79014.97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437</v>
      </c>
      <c r="C19" s="87" t="s">
        <v>169</v>
      </c>
      <c r="D19" s="88"/>
      <c r="E19" s="89">
        <v>500</v>
      </c>
      <c r="F19" s="90">
        <v>1</v>
      </c>
      <c r="G19" s="91">
        <v>46.66</v>
      </c>
      <c r="H19" s="91">
        <f t="shared" ref="H19:H49" si="0">ROUND(IF($G$18="USD $", G19*$F$16,G19*$E$16),2)</f>
        <v>33.81</v>
      </c>
      <c r="I19" s="92">
        <f t="shared" ref="I19:I49" si="1">ROUND(IF($I$18=$H$18,F19*H19,F19*G19),2)</f>
        <v>46.66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23.33</v>
      </c>
      <c r="M19" s="91">
        <f t="shared" ref="M19:M49" si="4">ROUND((K19*L19),2)</f>
        <v>23.33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23.33</v>
      </c>
      <c r="T19" s="96">
        <f t="shared" ref="T19:T49" si="7">ROUND(I19-M19,2)</f>
        <v>23.33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439</v>
      </c>
      <c r="C22" s="101" t="s">
        <v>415</v>
      </c>
      <c r="D22" s="88"/>
      <c r="E22" s="102">
        <v>1000</v>
      </c>
      <c r="F22" s="103">
        <v>1</v>
      </c>
      <c r="G22" s="104">
        <v>113.95</v>
      </c>
      <c r="H22" s="105">
        <f t="shared" si="0"/>
        <v>82.57</v>
      </c>
      <c r="I22" s="106">
        <f t="shared" si="1"/>
        <v>113.95</v>
      </c>
      <c r="J22" s="107"/>
      <c r="K22" s="108">
        <f t="shared" si="2"/>
        <v>1</v>
      </c>
      <c r="L22" s="105">
        <f t="shared" si="3"/>
        <v>56.98</v>
      </c>
      <c r="M22" s="105">
        <f t="shared" si="4"/>
        <v>56.98</v>
      </c>
      <c r="N22" s="109"/>
      <c r="O22" s="95"/>
      <c r="P22" s="100"/>
      <c r="Q22" s="104"/>
      <c r="R22" s="110">
        <f t="shared" si="5"/>
        <v>0</v>
      </c>
      <c r="S22" s="111">
        <f t="shared" si="6"/>
        <v>56.97</v>
      </c>
      <c r="T22" s="111">
        <f t="shared" si="7"/>
        <v>56.97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417</v>
      </c>
      <c r="C24" s="101" t="s">
        <v>128</v>
      </c>
      <c r="D24" s="88"/>
      <c r="E24" s="102">
        <v>2000</v>
      </c>
      <c r="F24" s="103">
        <v>1</v>
      </c>
      <c r="G24" s="104">
        <v>198.93</v>
      </c>
      <c r="H24" s="105">
        <f t="shared" si="0"/>
        <v>144.15</v>
      </c>
      <c r="I24" s="106">
        <f t="shared" si="1"/>
        <v>198.93</v>
      </c>
      <c r="J24" s="107"/>
      <c r="K24" s="108">
        <f t="shared" si="2"/>
        <v>1</v>
      </c>
      <c r="L24" s="105">
        <f t="shared" si="3"/>
        <v>119.36</v>
      </c>
      <c r="M24" s="105">
        <f t="shared" si="4"/>
        <v>119.36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79.569999999999993</v>
      </c>
      <c r="T24" s="111">
        <f t="shared" si="7"/>
        <v>79.569999999999993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418</v>
      </c>
      <c r="C25" s="114" t="s">
        <v>131</v>
      </c>
      <c r="D25" s="88"/>
      <c r="E25" s="89">
        <v>2000</v>
      </c>
      <c r="F25" s="115">
        <v>1</v>
      </c>
      <c r="G25" s="96">
        <v>110.34</v>
      </c>
      <c r="H25" s="91">
        <f t="shared" si="0"/>
        <v>79.959999999999994</v>
      </c>
      <c r="I25" s="92">
        <f t="shared" si="1"/>
        <v>110.34</v>
      </c>
      <c r="J25" s="107"/>
      <c r="K25" s="90">
        <f t="shared" si="2"/>
        <v>1</v>
      </c>
      <c r="L25" s="91">
        <f t="shared" si="3"/>
        <v>66.2</v>
      </c>
      <c r="M25" s="91">
        <f t="shared" si="4"/>
        <v>66.2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44.14</v>
      </c>
      <c r="T25" s="96">
        <f t="shared" si="7"/>
        <v>44.14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419</v>
      </c>
      <c r="C26" s="101" t="s">
        <v>134</v>
      </c>
      <c r="D26" s="88"/>
      <c r="E26" s="102">
        <v>2000</v>
      </c>
      <c r="F26" s="103">
        <v>1</v>
      </c>
      <c r="G26" s="104">
        <v>96.27</v>
      </c>
      <c r="H26" s="105">
        <f t="shared" si="0"/>
        <v>69.760000000000005</v>
      </c>
      <c r="I26" s="106">
        <f t="shared" si="1"/>
        <v>96.27</v>
      </c>
      <c r="J26" s="107"/>
      <c r="K26" s="108">
        <f t="shared" si="2"/>
        <v>1</v>
      </c>
      <c r="L26" s="105">
        <f t="shared" si="3"/>
        <v>57.76</v>
      </c>
      <c r="M26" s="105">
        <f t="shared" si="4"/>
        <v>57.76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38.51</v>
      </c>
      <c r="T26" s="111">
        <f t="shared" si="7"/>
        <v>38.51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392</v>
      </c>
      <c r="C27" s="114" t="s">
        <v>134</v>
      </c>
      <c r="D27" s="88"/>
      <c r="E27" s="89">
        <v>2000</v>
      </c>
      <c r="F27" s="115">
        <v>1</v>
      </c>
      <c r="G27" s="96">
        <v>51.03</v>
      </c>
      <c r="H27" s="91">
        <f t="shared" si="0"/>
        <v>36.979999999999997</v>
      </c>
      <c r="I27" s="92">
        <f t="shared" si="1"/>
        <v>51.03</v>
      </c>
      <c r="J27" s="107"/>
      <c r="K27" s="90">
        <f t="shared" si="2"/>
        <v>1</v>
      </c>
      <c r="L27" s="91">
        <f t="shared" si="3"/>
        <v>30.62</v>
      </c>
      <c r="M27" s="91">
        <f t="shared" si="4"/>
        <v>30.62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20.41</v>
      </c>
      <c r="T27" s="96">
        <f t="shared" si="7"/>
        <v>20.41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440</v>
      </c>
      <c r="C28" s="101" t="s">
        <v>441</v>
      </c>
      <c r="D28" s="88"/>
      <c r="E28" s="102">
        <v>2000</v>
      </c>
      <c r="F28" s="103">
        <v>1</v>
      </c>
      <c r="G28" s="104">
        <v>1497.14</v>
      </c>
      <c r="H28" s="105">
        <f t="shared" si="0"/>
        <v>1084.8800000000001</v>
      </c>
      <c r="I28" s="106">
        <f t="shared" si="1"/>
        <v>1497.14</v>
      </c>
      <c r="J28" s="107"/>
      <c r="K28" s="108">
        <f t="shared" si="2"/>
        <v>1</v>
      </c>
      <c r="L28" s="105">
        <f t="shared" si="3"/>
        <v>898.28</v>
      </c>
      <c r="M28" s="105">
        <f t="shared" si="4"/>
        <v>898.28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598.86</v>
      </c>
      <c r="T28" s="111">
        <f t="shared" si="7"/>
        <v>598.86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442</v>
      </c>
      <c r="C29" s="114" t="s">
        <v>137</v>
      </c>
      <c r="D29" s="88"/>
      <c r="E29" s="89" t="s">
        <v>138</v>
      </c>
      <c r="F29" s="115">
        <v>1</v>
      </c>
      <c r="G29" s="96">
        <v>8940.67</v>
      </c>
      <c r="H29" s="91">
        <f t="shared" si="0"/>
        <v>6478.75</v>
      </c>
      <c r="I29" s="92">
        <f t="shared" si="1"/>
        <v>8940.67</v>
      </c>
      <c r="J29" s="107"/>
      <c r="K29" s="90">
        <f t="shared" si="2"/>
        <v>1</v>
      </c>
      <c r="L29" s="91">
        <f t="shared" si="3"/>
        <v>4470.34</v>
      </c>
      <c r="M29" s="91">
        <f t="shared" si="4"/>
        <v>4470.34</v>
      </c>
      <c r="N29" s="116"/>
      <c r="O29" s="95"/>
      <c r="P29" s="117"/>
      <c r="Q29" s="96"/>
      <c r="R29" s="96">
        <f t="shared" si="5"/>
        <v>0</v>
      </c>
      <c r="S29" s="96">
        <f t="shared" si="6"/>
        <v>4470.33</v>
      </c>
      <c r="T29" s="96">
        <f t="shared" si="7"/>
        <v>4470.33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425</v>
      </c>
      <c r="C30" s="101" t="s">
        <v>183</v>
      </c>
      <c r="D30" s="88"/>
      <c r="E30" s="102" t="s">
        <v>138</v>
      </c>
      <c r="F30" s="103">
        <v>2</v>
      </c>
      <c r="G30" s="104">
        <v>550.07000000000005</v>
      </c>
      <c r="H30" s="105">
        <f t="shared" si="0"/>
        <v>398.6</v>
      </c>
      <c r="I30" s="106">
        <f t="shared" si="1"/>
        <v>1100.1400000000001</v>
      </c>
      <c r="J30" s="107"/>
      <c r="K30" s="108">
        <f t="shared" si="2"/>
        <v>2</v>
      </c>
      <c r="L30" s="105">
        <f t="shared" si="3"/>
        <v>275.04000000000002</v>
      </c>
      <c r="M30" s="105">
        <f t="shared" si="4"/>
        <v>550.08000000000004</v>
      </c>
      <c r="N30" s="109"/>
      <c r="O30" s="95"/>
      <c r="P30" s="100"/>
      <c r="Q30" s="104"/>
      <c r="R30" s="110">
        <f t="shared" si="5"/>
        <v>0</v>
      </c>
      <c r="S30" s="111">
        <f t="shared" si="6"/>
        <v>275.02999999999997</v>
      </c>
      <c r="T30" s="111">
        <f t="shared" si="7"/>
        <v>550.05999999999995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443</v>
      </c>
      <c r="C31" s="114" t="s">
        <v>144</v>
      </c>
      <c r="D31" s="88"/>
      <c r="E31" s="89" t="s">
        <v>138</v>
      </c>
      <c r="F31" s="115">
        <v>1</v>
      </c>
      <c r="G31" s="96">
        <v>9614.0499999999993</v>
      </c>
      <c r="H31" s="91">
        <f t="shared" si="0"/>
        <v>6966.7</v>
      </c>
      <c r="I31" s="92">
        <f t="shared" si="1"/>
        <v>9614.0499999999993</v>
      </c>
      <c r="J31" s="107"/>
      <c r="K31" s="90">
        <f t="shared" si="2"/>
        <v>1</v>
      </c>
      <c r="L31" s="91">
        <f t="shared" si="3"/>
        <v>4807.03</v>
      </c>
      <c r="M31" s="91">
        <f t="shared" si="4"/>
        <v>4807.03</v>
      </c>
      <c r="N31" s="116"/>
      <c r="O31" s="95"/>
      <c r="P31" s="117"/>
      <c r="Q31" s="96"/>
      <c r="R31" s="96">
        <f t="shared" si="5"/>
        <v>0</v>
      </c>
      <c r="S31" s="96">
        <f t="shared" si="6"/>
        <v>4807.0200000000004</v>
      </c>
      <c r="T31" s="96">
        <f t="shared" si="7"/>
        <v>4807.0200000000004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444</v>
      </c>
      <c r="C32" s="101" t="s">
        <v>258</v>
      </c>
      <c r="D32" s="88"/>
      <c r="E32" s="102" t="s">
        <v>138</v>
      </c>
      <c r="F32" s="103">
        <v>6</v>
      </c>
      <c r="G32" s="104">
        <v>2292.9299999999998</v>
      </c>
      <c r="H32" s="105">
        <f t="shared" si="0"/>
        <v>1661.54</v>
      </c>
      <c r="I32" s="106">
        <f t="shared" si="1"/>
        <v>13757.58</v>
      </c>
      <c r="J32" s="107"/>
      <c r="K32" s="108">
        <f t="shared" si="2"/>
        <v>6</v>
      </c>
      <c r="L32" s="105">
        <f t="shared" si="3"/>
        <v>1605.05</v>
      </c>
      <c r="M32" s="105">
        <f t="shared" si="4"/>
        <v>9630.2999999999993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687.88</v>
      </c>
      <c r="T32" s="111">
        <f t="shared" si="7"/>
        <v>4127.28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445</v>
      </c>
      <c r="C33" s="114" t="s">
        <v>446</v>
      </c>
      <c r="D33" s="88"/>
      <c r="E33" s="89" t="s">
        <v>138</v>
      </c>
      <c r="F33" s="115">
        <v>6</v>
      </c>
      <c r="G33" s="96">
        <v>19382.12</v>
      </c>
      <c r="H33" s="91">
        <f t="shared" si="0"/>
        <v>14045.01</v>
      </c>
      <c r="I33" s="92">
        <f t="shared" si="1"/>
        <v>116292.72</v>
      </c>
      <c r="J33" s="107"/>
      <c r="K33" s="90">
        <f t="shared" si="2"/>
        <v>6</v>
      </c>
      <c r="L33" s="91">
        <f t="shared" si="3"/>
        <v>9691.06</v>
      </c>
      <c r="M33" s="91">
        <f t="shared" si="4"/>
        <v>58146.36</v>
      </c>
      <c r="N33" s="116"/>
      <c r="O33" s="95"/>
      <c r="P33" s="117"/>
      <c r="Q33" s="96"/>
      <c r="R33" s="96">
        <f t="shared" si="5"/>
        <v>0</v>
      </c>
      <c r="S33" s="96">
        <f t="shared" si="6"/>
        <v>9691.06</v>
      </c>
      <c r="T33" s="96">
        <f t="shared" si="7"/>
        <v>58146.36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27</v>
      </c>
      <c r="G50" s="123">
        <f t="shared" si="10"/>
        <v>43110.429999999993</v>
      </c>
      <c r="H50" s="124">
        <f t="shared" si="10"/>
        <v>31239.43</v>
      </c>
      <c r="I50" s="125">
        <f t="shared" si="10"/>
        <v>152136.13</v>
      </c>
      <c r="J50" s="126"/>
      <c r="K50" s="127">
        <f t="shared" ref="K50:M50" si="11">SUM(K19:K49)</f>
        <v>27</v>
      </c>
      <c r="L50" s="124">
        <f t="shared" si="11"/>
        <v>22209.19</v>
      </c>
      <c r="M50" s="125">
        <f t="shared" si="11"/>
        <v>79014.97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20901.239999999998</v>
      </c>
      <c r="T50" s="125">
        <f t="shared" si="12"/>
        <v>73121.16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11" priority="1" stopIfTrue="1">
      <formula>$U$9&gt;100%</formula>
    </cfRule>
    <cfRule type="expression" dxfId="210" priority="2">
      <formula>$U$9&lt;50%</formula>
    </cfRule>
  </conditionalFormatting>
  <conditionalFormatting sqref="V9:V11">
    <cfRule type="expression" dxfId="209" priority="3">
      <formula>$V$9&lt;50%</formula>
    </cfRule>
    <cfRule type="expression" dxfId="208" priority="4">
      <formula>$V$9&gt;50%</formula>
    </cfRule>
  </conditionalFormatting>
  <dataValidations count="4">
    <dataValidation type="list" allowBlank="1" showErrorMessage="1" sqref="E19:E49" xr:uid="{00000000-0002-0000-1400-000000000000}">
      <formula1>$Z$19:$Z$30</formula1>
    </dataValidation>
    <dataValidation type="list" allowBlank="1" showErrorMessage="1" sqref="I14" xr:uid="{00000000-0002-0000-1400-000001000000}">
      <formula1>$Y$14:$Y$15</formula1>
    </dataValidation>
    <dataValidation type="list" allowBlank="1" showErrorMessage="1" sqref="J14" xr:uid="{00000000-0002-0000-1400-000002000000}">
      <formula1>$L$9</formula1>
    </dataValidation>
    <dataValidation type="list" allowBlank="1" showErrorMessage="1" sqref="Q15 G18 L18 Q18" xr:uid="{00000000-0002-0000-1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453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152150.13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79021.97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73128.160000000003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434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0.48063159722571386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454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73128.160000000003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455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79021.97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437</v>
      </c>
      <c r="C19" s="87" t="s">
        <v>169</v>
      </c>
      <c r="D19" s="88"/>
      <c r="E19" s="89">
        <v>500</v>
      </c>
      <c r="F19" s="90">
        <v>1</v>
      </c>
      <c r="G19" s="91">
        <v>46.66</v>
      </c>
      <c r="H19" s="91">
        <f t="shared" ref="H19:H49" si="0">ROUND(IF($G$18="USD $", G19*$F$16,G19*$E$16),2)</f>
        <v>33.81</v>
      </c>
      <c r="I19" s="92">
        <f t="shared" ref="I19:I49" si="1">ROUND(IF($I$18=$H$18,F19*H19,F19*G19),2)</f>
        <v>46.66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23.33</v>
      </c>
      <c r="M19" s="91">
        <f t="shared" ref="M19:M49" si="4">ROUND((K19*L19),2)</f>
        <v>23.33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23.33</v>
      </c>
      <c r="T19" s="96">
        <f t="shared" ref="T19:T49" si="7">ROUND(I19-M19,2)</f>
        <v>23.33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172</v>
      </c>
      <c r="C21" s="114" t="s">
        <v>115</v>
      </c>
      <c r="D21" s="88"/>
      <c r="E21" s="89">
        <v>500</v>
      </c>
      <c r="F21" s="115">
        <v>1</v>
      </c>
      <c r="G21" s="96">
        <v>78.819999999999993</v>
      </c>
      <c r="H21" s="91">
        <f t="shared" si="0"/>
        <v>57.12</v>
      </c>
      <c r="I21" s="92">
        <f t="shared" si="1"/>
        <v>78.819999999999993</v>
      </c>
      <c r="J21" s="107"/>
      <c r="K21" s="90">
        <f t="shared" si="2"/>
        <v>1</v>
      </c>
      <c r="L21" s="91">
        <f t="shared" si="3"/>
        <v>39.409999999999997</v>
      </c>
      <c r="M21" s="91">
        <f t="shared" si="4"/>
        <v>39.409999999999997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39.409999999999997</v>
      </c>
      <c r="T21" s="96">
        <f t="shared" si="7"/>
        <v>39.409999999999997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439</v>
      </c>
      <c r="C22" s="101" t="s">
        <v>415</v>
      </c>
      <c r="D22" s="88"/>
      <c r="E22" s="102">
        <v>1000</v>
      </c>
      <c r="F22" s="103">
        <v>1</v>
      </c>
      <c r="G22" s="104">
        <v>113.95</v>
      </c>
      <c r="H22" s="105">
        <f t="shared" si="0"/>
        <v>82.57</v>
      </c>
      <c r="I22" s="106">
        <f t="shared" si="1"/>
        <v>113.95</v>
      </c>
      <c r="J22" s="107"/>
      <c r="K22" s="108">
        <f t="shared" si="2"/>
        <v>1</v>
      </c>
      <c r="L22" s="105">
        <f t="shared" si="3"/>
        <v>56.98</v>
      </c>
      <c r="M22" s="105">
        <f t="shared" si="4"/>
        <v>56.98</v>
      </c>
      <c r="N22" s="109"/>
      <c r="O22" s="95"/>
      <c r="P22" s="100"/>
      <c r="Q22" s="104"/>
      <c r="R22" s="110">
        <f t="shared" si="5"/>
        <v>0</v>
      </c>
      <c r="S22" s="111">
        <f t="shared" si="6"/>
        <v>56.97</v>
      </c>
      <c r="T22" s="111">
        <f t="shared" si="7"/>
        <v>56.97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2</v>
      </c>
      <c r="G23" s="96">
        <v>100.38</v>
      </c>
      <c r="H23" s="91">
        <f t="shared" si="0"/>
        <v>72.739999999999995</v>
      </c>
      <c r="I23" s="92">
        <f t="shared" si="1"/>
        <v>200.76</v>
      </c>
      <c r="J23" s="107"/>
      <c r="K23" s="90">
        <f t="shared" si="2"/>
        <v>2</v>
      </c>
      <c r="L23" s="91">
        <f t="shared" si="3"/>
        <v>50.19</v>
      </c>
      <c r="M23" s="91">
        <f t="shared" si="4"/>
        <v>100.38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100.38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417</v>
      </c>
      <c r="C24" s="101" t="s">
        <v>128</v>
      </c>
      <c r="D24" s="88"/>
      <c r="E24" s="102">
        <v>2000</v>
      </c>
      <c r="F24" s="103">
        <v>1</v>
      </c>
      <c r="G24" s="104">
        <v>198.93</v>
      </c>
      <c r="H24" s="105">
        <f t="shared" si="0"/>
        <v>144.15</v>
      </c>
      <c r="I24" s="106">
        <f t="shared" si="1"/>
        <v>198.93</v>
      </c>
      <c r="J24" s="107"/>
      <c r="K24" s="108">
        <f t="shared" si="2"/>
        <v>1</v>
      </c>
      <c r="L24" s="105">
        <f t="shared" si="3"/>
        <v>119.36</v>
      </c>
      <c r="M24" s="105">
        <f t="shared" si="4"/>
        <v>119.36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79.569999999999993</v>
      </c>
      <c r="T24" s="111">
        <f t="shared" si="7"/>
        <v>79.569999999999993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418</v>
      </c>
      <c r="C25" s="114" t="s">
        <v>131</v>
      </c>
      <c r="D25" s="88"/>
      <c r="E25" s="89">
        <v>2000</v>
      </c>
      <c r="F25" s="115">
        <v>1</v>
      </c>
      <c r="G25" s="96">
        <v>110.34</v>
      </c>
      <c r="H25" s="91">
        <f t="shared" si="0"/>
        <v>79.959999999999994</v>
      </c>
      <c r="I25" s="92">
        <f t="shared" si="1"/>
        <v>110.34</v>
      </c>
      <c r="J25" s="107"/>
      <c r="K25" s="90">
        <f t="shared" si="2"/>
        <v>1</v>
      </c>
      <c r="L25" s="91">
        <f t="shared" si="3"/>
        <v>66.2</v>
      </c>
      <c r="M25" s="91">
        <f t="shared" si="4"/>
        <v>66.2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44.14</v>
      </c>
      <c r="T25" s="96">
        <f t="shared" si="7"/>
        <v>44.14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419</v>
      </c>
      <c r="C26" s="101" t="s">
        <v>134</v>
      </c>
      <c r="D26" s="88"/>
      <c r="E26" s="102">
        <v>2000</v>
      </c>
      <c r="F26" s="103">
        <v>1</v>
      </c>
      <c r="G26" s="104">
        <v>96.27</v>
      </c>
      <c r="H26" s="105">
        <f t="shared" si="0"/>
        <v>69.760000000000005</v>
      </c>
      <c r="I26" s="106">
        <f t="shared" si="1"/>
        <v>96.27</v>
      </c>
      <c r="J26" s="107"/>
      <c r="K26" s="108">
        <f t="shared" si="2"/>
        <v>1</v>
      </c>
      <c r="L26" s="105">
        <f t="shared" si="3"/>
        <v>57.76</v>
      </c>
      <c r="M26" s="105">
        <f t="shared" si="4"/>
        <v>57.76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38.51</v>
      </c>
      <c r="T26" s="111">
        <f t="shared" si="7"/>
        <v>38.51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392</v>
      </c>
      <c r="C27" s="114" t="s">
        <v>134</v>
      </c>
      <c r="D27" s="88"/>
      <c r="E27" s="89">
        <v>2000</v>
      </c>
      <c r="F27" s="115">
        <v>1</v>
      </c>
      <c r="G27" s="96">
        <v>51.03</v>
      </c>
      <c r="H27" s="91">
        <f t="shared" si="0"/>
        <v>36.979999999999997</v>
      </c>
      <c r="I27" s="92">
        <f t="shared" si="1"/>
        <v>51.03</v>
      </c>
      <c r="J27" s="107"/>
      <c r="K27" s="90">
        <f t="shared" si="2"/>
        <v>1</v>
      </c>
      <c r="L27" s="91">
        <f t="shared" si="3"/>
        <v>30.62</v>
      </c>
      <c r="M27" s="91">
        <f t="shared" si="4"/>
        <v>30.62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20.41</v>
      </c>
      <c r="T27" s="96">
        <f t="shared" si="7"/>
        <v>20.41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440</v>
      </c>
      <c r="C28" s="101" t="s">
        <v>441</v>
      </c>
      <c r="D28" s="88"/>
      <c r="E28" s="102">
        <v>2000</v>
      </c>
      <c r="F28" s="103">
        <v>1</v>
      </c>
      <c r="G28" s="104">
        <v>1497.14</v>
      </c>
      <c r="H28" s="105">
        <f t="shared" si="0"/>
        <v>1084.8800000000001</v>
      </c>
      <c r="I28" s="106">
        <f t="shared" si="1"/>
        <v>1497.14</v>
      </c>
      <c r="J28" s="107"/>
      <c r="K28" s="108">
        <f t="shared" si="2"/>
        <v>1</v>
      </c>
      <c r="L28" s="105">
        <f t="shared" si="3"/>
        <v>898.28</v>
      </c>
      <c r="M28" s="105">
        <f t="shared" si="4"/>
        <v>898.28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598.86</v>
      </c>
      <c r="T28" s="111">
        <f t="shared" si="7"/>
        <v>598.86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442</v>
      </c>
      <c r="C29" s="114" t="s">
        <v>137</v>
      </c>
      <c r="D29" s="88"/>
      <c r="E29" s="89" t="s">
        <v>138</v>
      </c>
      <c r="F29" s="115">
        <v>1</v>
      </c>
      <c r="G29" s="96">
        <v>8940.67</v>
      </c>
      <c r="H29" s="91">
        <f t="shared" si="0"/>
        <v>6478.75</v>
      </c>
      <c r="I29" s="92">
        <f t="shared" si="1"/>
        <v>8940.67</v>
      </c>
      <c r="J29" s="107"/>
      <c r="K29" s="90">
        <f t="shared" si="2"/>
        <v>1</v>
      </c>
      <c r="L29" s="91">
        <f t="shared" si="3"/>
        <v>4470.34</v>
      </c>
      <c r="M29" s="91">
        <f t="shared" si="4"/>
        <v>4470.34</v>
      </c>
      <c r="N29" s="116"/>
      <c r="O29" s="95"/>
      <c r="P29" s="117"/>
      <c r="Q29" s="96"/>
      <c r="R29" s="96">
        <f t="shared" si="5"/>
        <v>0</v>
      </c>
      <c r="S29" s="96">
        <f t="shared" si="6"/>
        <v>4470.33</v>
      </c>
      <c r="T29" s="96">
        <f t="shared" si="7"/>
        <v>4470.33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425</v>
      </c>
      <c r="C30" s="101" t="s">
        <v>183</v>
      </c>
      <c r="D30" s="88"/>
      <c r="E30" s="102" t="s">
        <v>138</v>
      </c>
      <c r="F30" s="103">
        <v>2</v>
      </c>
      <c r="G30" s="104">
        <v>550.07000000000005</v>
      </c>
      <c r="H30" s="105">
        <f t="shared" si="0"/>
        <v>398.6</v>
      </c>
      <c r="I30" s="106">
        <f t="shared" si="1"/>
        <v>1100.1400000000001</v>
      </c>
      <c r="J30" s="107"/>
      <c r="K30" s="108">
        <f t="shared" si="2"/>
        <v>2</v>
      </c>
      <c r="L30" s="105">
        <f t="shared" si="3"/>
        <v>275.04000000000002</v>
      </c>
      <c r="M30" s="105">
        <f t="shared" si="4"/>
        <v>550.08000000000004</v>
      </c>
      <c r="N30" s="109"/>
      <c r="O30" s="95"/>
      <c r="P30" s="100"/>
      <c r="Q30" s="104"/>
      <c r="R30" s="110">
        <f t="shared" si="5"/>
        <v>0</v>
      </c>
      <c r="S30" s="111">
        <f t="shared" si="6"/>
        <v>275.02999999999997</v>
      </c>
      <c r="T30" s="111">
        <f t="shared" si="7"/>
        <v>550.05999999999995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443</v>
      </c>
      <c r="C31" s="114" t="s">
        <v>144</v>
      </c>
      <c r="D31" s="88"/>
      <c r="E31" s="89" t="s">
        <v>138</v>
      </c>
      <c r="F31" s="115">
        <v>1</v>
      </c>
      <c r="G31" s="96">
        <v>9614.0499999999993</v>
      </c>
      <c r="H31" s="91">
        <f t="shared" si="0"/>
        <v>6966.7</v>
      </c>
      <c r="I31" s="92">
        <f t="shared" si="1"/>
        <v>9614.0499999999993</v>
      </c>
      <c r="J31" s="107"/>
      <c r="K31" s="90">
        <f t="shared" si="2"/>
        <v>1</v>
      </c>
      <c r="L31" s="91">
        <f t="shared" si="3"/>
        <v>4807.03</v>
      </c>
      <c r="M31" s="91">
        <f t="shared" si="4"/>
        <v>4807.03</v>
      </c>
      <c r="N31" s="116"/>
      <c r="O31" s="95"/>
      <c r="P31" s="117"/>
      <c r="Q31" s="96"/>
      <c r="R31" s="96">
        <f t="shared" si="5"/>
        <v>0</v>
      </c>
      <c r="S31" s="96">
        <f t="shared" si="6"/>
        <v>4807.0200000000004</v>
      </c>
      <c r="T31" s="96">
        <f t="shared" si="7"/>
        <v>4807.0200000000004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444</v>
      </c>
      <c r="C32" s="101" t="s">
        <v>258</v>
      </c>
      <c r="D32" s="88"/>
      <c r="E32" s="102" t="s">
        <v>138</v>
      </c>
      <c r="F32" s="103">
        <v>6</v>
      </c>
      <c r="G32" s="104">
        <v>2292.9299999999998</v>
      </c>
      <c r="H32" s="105">
        <f t="shared" si="0"/>
        <v>1661.54</v>
      </c>
      <c r="I32" s="106">
        <f t="shared" si="1"/>
        <v>13757.58</v>
      </c>
      <c r="J32" s="107"/>
      <c r="K32" s="108">
        <f t="shared" si="2"/>
        <v>6</v>
      </c>
      <c r="L32" s="105">
        <f t="shared" si="3"/>
        <v>1605.05</v>
      </c>
      <c r="M32" s="105">
        <f t="shared" si="4"/>
        <v>9630.2999999999993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687.88</v>
      </c>
      <c r="T32" s="111">
        <f t="shared" si="7"/>
        <v>4127.28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445</v>
      </c>
      <c r="C33" s="114" t="s">
        <v>446</v>
      </c>
      <c r="D33" s="88"/>
      <c r="E33" s="89" t="s">
        <v>138</v>
      </c>
      <c r="F33" s="115">
        <v>6</v>
      </c>
      <c r="G33" s="96">
        <v>19382.12</v>
      </c>
      <c r="H33" s="91">
        <f t="shared" si="0"/>
        <v>14045.01</v>
      </c>
      <c r="I33" s="92">
        <f t="shared" si="1"/>
        <v>116292.72</v>
      </c>
      <c r="J33" s="107"/>
      <c r="K33" s="90">
        <f t="shared" si="2"/>
        <v>6</v>
      </c>
      <c r="L33" s="91">
        <f t="shared" si="3"/>
        <v>9691.06</v>
      </c>
      <c r="M33" s="91">
        <f t="shared" si="4"/>
        <v>58146.36</v>
      </c>
      <c r="N33" s="116"/>
      <c r="O33" s="95"/>
      <c r="P33" s="117"/>
      <c r="Q33" s="96"/>
      <c r="R33" s="96">
        <f t="shared" si="5"/>
        <v>0</v>
      </c>
      <c r="S33" s="96">
        <f t="shared" si="6"/>
        <v>9691.06</v>
      </c>
      <c r="T33" s="96">
        <f t="shared" si="7"/>
        <v>58146.36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27</v>
      </c>
      <c r="G50" s="123">
        <f t="shared" si="10"/>
        <v>43124.429999999993</v>
      </c>
      <c r="H50" s="124">
        <f t="shared" si="10"/>
        <v>31249.58</v>
      </c>
      <c r="I50" s="125">
        <f t="shared" si="10"/>
        <v>152150.13</v>
      </c>
      <c r="J50" s="126"/>
      <c r="K50" s="127">
        <f t="shared" ref="K50:M50" si="11">SUM(K19:K49)</f>
        <v>27</v>
      </c>
      <c r="L50" s="124">
        <f t="shared" si="11"/>
        <v>22216.19</v>
      </c>
      <c r="M50" s="125">
        <f t="shared" si="11"/>
        <v>79021.97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20908.239999999998</v>
      </c>
      <c r="T50" s="125">
        <f t="shared" si="12"/>
        <v>73128.160000000003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07" priority="1" stopIfTrue="1">
      <formula>$U$9&gt;100%</formula>
    </cfRule>
    <cfRule type="expression" dxfId="206" priority="2">
      <formula>$U$9&lt;50%</formula>
    </cfRule>
  </conditionalFormatting>
  <conditionalFormatting sqref="V9:V11">
    <cfRule type="expression" dxfId="205" priority="3">
      <formula>$V$9&lt;50%</formula>
    </cfRule>
    <cfRule type="expression" dxfId="204" priority="4">
      <formula>$V$9&gt;50%</formula>
    </cfRule>
  </conditionalFormatting>
  <dataValidations count="4">
    <dataValidation type="list" allowBlank="1" showErrorMessage="1" sqref="E19:E49" xr:uid="{00000000-0002-0000-1500-000000000000}">
      <formula1>$Z$19:$Z$30</formula1>
    </dataValidation>
    <dataValidation type="list" allowBlank="1" showErrorMessage="1" sqref="I14" xr:uid="{00000000-0002-0000-1500-000001000000}">
      <formula1>$Y$14:$Y$15</formula1>
    </dataValidation>
    <dataValidation type="list" allowBlank="1" showErrorMessage="1" sqref="J14" xr:uid="{00000000-0002-0000-1500-000002000000}">
      <formula1>$L$9</formula1>
    </dataValidation>
    <dataValidation type="list" allowBlank="1" showErrorMessage="1" sqref="Q15 G18 L18 Q18" xr:uid="{00000000-0002-0000-15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456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176549.71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93725.99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82823.719999999987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457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0.46912407842527742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458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82823.72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459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93725.99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460</v>
      </c>
      <c r="C20" s="101" t="s">
        <v>118</v>
      </c>
      <c r="D20" s="88"/>
      <c r="E20" s="102">
        <v>500</v>
      </c>
      <c r="F20" s="103">
        <v>2</v>
      </c>
      <c r="G20" s="104">
        <v>39.020000000000003</v>
      </c>
      <c r="H20" s="105">
        <f t="shared" si="0"/>
        <v>28.28</v>
      </c>
      <c r="I20" s="106">
        <f t="shared" si="1"/>
        <v>78.040000000000006</v>
      </c>
      <c r="J20" s="107"/>
      <c r="K20" s="108">
        <f t="shared" si="2"/>
        <v>2</v>
      </c>
      <c r="L20" s="105">
        <f t="shared" si="3"/>
        <v>19.510000000000002</v>
      </c>
      <c r="M20" s="105">
        <f t="shared" si="4"/>
        <v>39.020000000000003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39.020000000000003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461</v>
      </c>
      <c r="C21" s="114" t="s">
        <v>115</v>
      </c>
      <c r="D21" s="88"/>
      <c r="E21" s="89">
        <v>500</v>
      </c>
      <c r="F21" s="115">
        <v>1</v>
      </c>
      <c r="G21" s="96">
        <v>79.41</v>
      </c>
      <c r="H21" s="91">
        <f t="shared" si="0"/>
        <v>57.54</v>
      </c>
      <c r="I21" s="92">
        <f t="shared" si="1"/>
        <v>79.41</v>
      </c>
      <c r="J21" s="107"/>
      <c r="K21" s="90">
        <f t="shared" si="2"/>
        <v>1</v>
      </c>
      <c r="L21" s="91">
        <f t="shared" si="3"/>
        <v>39.71</v>
      </c>
      <c r="M21" s="91">
        <f t="shared" si="4"/>
        <v>39.71</v>
      </c>
      <c r="N21" s="116"/>
      <c r="O21" s="95"/>
      <c r="P21" s="117"/>
      <c r="Q21" s="96"/>
      <c r="R21" s="96">
        <f t="shared" si="5"/>
        <v>0</v>
      </c>
      <c r="S21" s="96">
        <f t="shared" si="6"/>
        <v>39.700000000000003</v>
      </c>
      <c r="T21" s="96">
        <f t="shared" si="7"/>
        <v>39.700000000000003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414</v>
      </c>
      <c r="C22" s="101" t="s">
        <v>415</v>
      </c>
      <c r="D22" s="88"/>
      <c r="E22" s="102">
        <v>1000</v>
      </c>
      <c r="F22" s="103">
        <v>1</v>
      </c>
      <c r="G22" s="104">
        <v>129.91</v>
      </c>
      <c r="H22" s="105">
        <f t="shared" si="0"/>
        <v>94.14</v>
      </c>
      <c r="I22" s="106">
        <f t="shared" si="1"/>
        <v>129.91</v>
      </c>
      <c r="J22" s="107"/>
      <c r="K22" s="108">
        <f t="shared" si="2"/>
        <v>1</v>
      </c>
      <c r="L22" s="105">
        <f t="shared" si="3"/>
        <v>64.959999999999994</v>
      </c>
      <c r="M22" s="105">
        <f t="shared" si="4"/>
        <v>64.959999999999994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64.95</v>
      </c>
      <c r="T22" s="111">
        <f t="shared" si="7"/>
        <v>64.95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3</v>
      </c>
      <c r="G23" s="96">
        <v>100.38</v>
      </c>
      <c r="H23" s="91">
        <f t="shared" si="0"/>
        <v>72.739999999999995</v>
      </c>
      <c r="I23" s="92">
        <f t="shared" si="1"/>
        <v>301.14</v>
      </c>
      <c r="J23" s="107"/>
      <c r="K23" s="90">
        <f t="shared" si="2"/>
        <v>3</v>
      </c>
      <c r="L23" s="91">
        <f t="shared" si="3"/>
        <v>50.19</v>
      </c>
      <c r="M23" s="91">
        <f t="shared" si="4"/>
        <v>150.57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150.57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462</v>
      </c>
      <c r="C24" s="101" t="s">
        <v>463</v>
      </c>
      <c r="D24" s="88"/>
      <c r="E24" s="102">
        <v>2000</v>
      </c>
      <c r="F24" s="103">
        <v>1</v>
      </c>
      <c r="G24" s="104">
        <v>84.39</v>
      </c>
      <c r="H24" s="105">
        <f t="shared" si="0"/>
        <v>61.15</v>
      </c>
      <c r="I24" s="106">
        <f t="shared" si="1"/>
        <v>84.39</v>
      </c>
      <c r="J24" s="107"/>
      <c r="K24" s="108">
        <f t="shared" si="2"/>
        <v>1</v>
      </c>
      <c r="L24" s="105">
        <f t="shared" si="3"/>
        <v>42.2</v>
      </c>
      <c r="M24" s="105">
        <f t="shared" si="4"/>
        <v>42.2</v>
      </c>
      <c r="N24" s="109"/>
      <c r="O24" s="95"/>
      <c r="P24" s="100"/>
      <c r="Q24" s="104"/>
      <c r="R24" s="110">
        <f t="shared" si="5"/>
        <v>0</v>
      </c>
      <c r="S24" s="111">
        <f t="shared" si="6"/>
        <v>42.19</v>
      </c>
      <c r="T24" s="111">
        <f t="shared" si="7"/>
        <v>42.19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417</v>
      </c>
      <c r="C25" s="114" t="s">
        <v>128</v>
      </c>
      <c r="D25" s="88"/>
      <c r="E25" s="89">
        <v>2000</v>
      </c>
      <c r="F25" s="115">
        <v>1</v>
      </c>
      <c r="G25" s="96">
        <v>198.93</v>
      </c>
      <c r="H25" s="91">
        <f t="shared" si="0"/>
        <v>144.15</v>
      </c>
      <c r="I25" s="92">
        <f t="shared" si="1"/>
        <v>198.93</v>
      </c>
      <c r="J25" s="107"/>
      <c r="K25" s="90">
        <f t="shared" si="2"/>
        <v>1</v>
      </c>
      <c r="L25" s="91">
        <f t="shared" si="3"/>
        <v>119.36</v>
      </c>
      <c r="M25" s="91">
        <f t="shared" si="4"/>
        <v>119.36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79.569999999999993</v>
      </c>
      <c r="T25" s="96">
        <f t="shared" si="7"/>
        <v>79.569999999999993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418</v>
      </c>
      <c r="C26" s="101" t="s">
        <v>131</v>
      </c>
      <c r="D26" s="88"/>
      <c r="E26" s="102">
        <v>2000</v>
      </c>
      <c r="F26" s="103">
        <v>1</v>
      </c>
      <c r="G26" s="104">
        <v>110.34</v>
      </c>
      <c r="H26" s="105">
        <f t="shared" si="0"/>
        <v>79.959999999999994</v>
      </c>
      <c r="I26" s="106">
        <f t="shared" si="1"/>
        <v>110.34</v>
      </c>
      <c r="J26" s="107"/>
      <c r="K26" s="108">
        <f t="shared" si="2"/>
        <v>1</v>
      </c>
      <c r="L26" s="105">
        <f t="shared" si="3"/>
        <v>66.2</v>
      </c>
      <c r="M26" s="105">
        <f t="shared" si="4"/>
        <v>66.2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44.14</v>
      </c>
      <c r="T26" s="111">
        <f t="shared" si="7"/>
        <v>44.14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419</v>
      </c>
      <c r="C27" s="114" t="s">
        <v>134</v>
      </c>
      <c r="D27" s="88"/>
      <c r="E27" s="89">
        <v>2000</v>
      </c>
      <c r="F27" s="115">
        <v>1</v>
      </c>
      <c r="G27" s="96">
        <v>96.27</v>
      </c>
      <c r="H27" s="91">
        <f t="shared" si="0"/>
        <v>69.760000000000005</v>
      </c>
      <c r="I27" s="92">
        <f t="shared" si="1"/>
        <v>96.27</v>
      </c>
      <c r="J27" s="107"/>
      <c r="K27" s="90">
        <f t="shared" si="2"/>
        <v>1</v>
      </c>
      <c r="L27" s="91">
        <f t="shared" si="3"/>
        <v>57.76</v>
      </c>
      <c r="M27" s="91">
        <f t="shared" si="4"/>
        <v>57.76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38.51</v>
      </c>
      <c r="T27" s="96">
        <f t="shared" si="7"/>
        <v>38.51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392</v>
      </c>
      <c r="C28" s="101" t="s">
        <v>134</v>
      </c>
      <c r="D28" s="88"/>
      <c r="E28" s="102">
        <v>2000</v>
      </c>
      <c r="F28" s="103">
        <v>1</v>
      </c>
      <c r="G28" s="104">
        <v>51.03</v>
      </c>
      <c r="H28" s="105">
        <f t="shared" si="0"/>
        <v>36.979999999999997</v>
      </c>
      <c r="I28" s="106">
        <f t="shared" si="1"/>
        <v>51.03</v>
      </c>
      <c r="J28" s="107"/>
      <c r="K28" s="108">
        <f t="shared" si="2"/>
        <v>1</v>
      </c>
      <c r="L28" s="105">
        <f t="shared" si="3"/>
        <v>30.62</v>
      </c>
      <c r="M28" s="105">
        <f t="shared" si="4"/>
        <v>30.62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20.41</v>
      </c>
      <c r="T28" s="111">
        <f t="shared" si="7"/>
        <v>20.41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464</v>
      </c>
      <c r="C29" s="114" t="s">
        <v>421</v>
      </c>
      <c r="D29" s="88"/>
      <c r="E29" s="89" t="s">
        <v>138</v>
      </c>
      <c r="F29" s="115">
        <v>1</v>
      </c>
      <c r="G29" s="96">
        <v>8232.8799999999992</v>
      </c>
      <c r="H29" s="91">
        <f t="shared" si="0"/>
        <v>5965.86</v>
      </c>
      <c r="I29" s="92">
        <f t="shared" si="1"/>
        <v>8232.8799999999992</v>
      </c>
      <c r="J29" s="107"/>
      <c r="K29" s="90">
        <f t="shared" si="2"/>
        <v>1</v>
      </c>
      <c r="L29" s="91">
        <f t="shared" si="3"/>
        <v>4939.7299999999996</v>
      </c>
      <c r="M29" s="91">
        <f t="shared" si="4"/>
        <v>4939.7299999999996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3293.15</v>
      </c>
      <c r="T29" s="96">
        <f t="shared" si="7"/>
        <v>3293.15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465</v>
      </c>
      <c r="C30" s="101" t="s">
        <v>423</v>
      </c>
      <c r="D30" s="88"/>
      <c r="E30" s="102" t="s">
        <v>138</v>
      </c>
      <c r="F30" s="103">
        <v>1</v>
      </c>
      <c r="G30" s="104">
        <v>3273.14</v>
      </c>
      <c r="H30" s="105">
        <f t="shared" si="0"/>
        <v>2371.84</v>
      </c>
      <c r="I30" s="106">
        <f t="shared" si="1"/>
        <v>3273.14</v>
      </c>
      <c r="J30" s="107"/>
      <c r="K30" s="108">
        <f t="shared" si="2"/>
        <v>1</v>
      </c>
      <c r="L30" s="105">
        <f t="shared" si="3"/>
        <v>1963.88</v>
      </c>
      <c r="M30" s="105">
        <f t="shared" si="4"/>
        <v>1963.88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1309.26</v>
      </c>
      <c r="T30" s="111">
        <f t="shared" si="7"/>
        <v>1309.26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466</v>
      </c>
      <c r="C31" s="114" t="s">
        <v>249</v>
      </c>
      <c r="D31" s="88"/>
      <c r="E31" s="89" t="s">
        <v>138</v>
      </c>
      <c r="F31" s="115">
        <v>1</v>
      </c>
      <c r="G31" s="96">
        <v>16126.9</v>
      </c>
      <c r="H31" s="91">
        <f t="shared" si="0"/>
        <v>11686.16</v>
      </c>
      <c r="I31" s="92">
        <f t="shared" si="1"/>
        <v>16126.9</v>
      </c>
      <c r="J31" s="107"/>
      <c r="K31" s="90">
        <f t="shared" si="2"/>
        <v>1</v>
      </c>
      <c r="L31" s="91">
        <f t="shared" si="3"/>
        <v>9676.14</v>
      </c>
      <c r="M31" s="91">
        <f t="shared" si="4"/>
        <v>9676.14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6450.76</v>
      </c>
      <c r="T31" s="96">
        <f t="shared" si="7"/>
        <v>6450.76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393</v>
      </c>
      <c r="C32" s="101" t="s">
        <v>137</v>
      </c>
      <c r="D32" s="88"/>
      <c r="E32" s="102" t="s">
        <v>138</v>
      </c>
      <c r="F32" s="103">
        <v>1</v>
      </c>
      <c r="G32" s="104">
        <v>7646.67</v>
      </c>
      <c r="H32" s="105">
        <f t="shared" si="0"/>
        <v>5541.07</v>
      </c>
      <c r="I32" s="106">
        <f t="shared" si="1"/>
        <v>7646.67</v>
      </c>
      <c r="J32" s="107"/>
      <c r="K32" s="108">
        <f t="shared" si="2"/>
        <v>1</v>
      </c>
      <c r="L32" s="105">
        <f t="shared" si="3"/>
        <v>3823.34</v>
      </c>
      <c r="M32" s="105">
        <f t="shared" si="4"/>
        <v>3823.34</v>
      </c>
      <c r="N32" s="109"/>
      <c r="O32" s="95"/>
      <c r="P32" s="100"/>
      <c r="Q32" s="104"/>
      <c r="R32" s="110">
        <f t="shared" si="5"/>
        <v>0</v>
      </c>
      <c r="S32" s="111">
        <f t="shared" si="6"/>
        <v>3823.33</v>
      </c>
      <c r="T32" s="111">
        <f t="shared" si="7"/>
        <v>3823.33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425</v>
      </c>
      <c r="C33" s="114" t="s">
        <v>183</v>
      </c>
      <c r="D33" s="88"/>
      <c r="E33" s="89" t="s">
        <v>138</v>
      </c>
      <c r="F33" s="115">
        <v>2</v>
      </c>
      <c r="G33" s="96">
        <v>550.07000000000005</v>
      </c>
      <c r="H33" s="91">
        <f t="shared" si="0"/>
        <v>398.6</v>
      </c>
      <c r="I33" s="92">
        <f t="shared" si="1"/>
        <v>1100.1400000000001</v>
      </c>
      <c r="J33" s="107"/>
      <c r="K33" s="90">
        <f t="shared" si="2"/>
        <v>2</v>
      </c>
      <c r="L33" s="91">
        <f t="shared" si="3"/>
        <v>275.04000000000002</v>
      </c>
      <c r="M33" s="91">
        <f t="shared" si="4"/>
        <v>550.08000000000004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275.02999999999997</v>
      </c>
      <c r="T33" s="96">
        <f t="shared" si="7"/>
        <v>550.05999999999995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467</v>
      </c>
      <c r="C34" s="101" t="s">
        <v>144</v>
      </c>
      <c r="D34" s="88"/>
      <c r="E34" s="102" t="s">
        <v>138</v>
      </c>
      <c r="F34" s="103">
        <v>1</v>
      </c>
      <c r="G34" s="104">
        <v>9474.9599999999991</v>
      </c>
      <c r="H34" s="105">
        <f t="shared" si="0"/>
        <v>6865.91</v>
      </c>
      <c r="I34" s="106">
        <f t="shared" si="1"/>
        <v>9474.9599999999991</v>
      </c>
      <c r="J34" s="107"/>
      <c r="K34" s="108">
        <f t="shared" si="2"/>
        <v>1</v>
      </c>
      <c r="L34" s="105">
        <f t="shared" si="3"/>
        <v>4737.4799999999996</v>
      </c>
      <c r="M34" s="105">
        <f t="shared" si="4"/>
        <v>4737.4799999999996</v>
      </c>
      <c r="N34" s="109"/>
      <c r="O34" s="95"/>
      <c r="P34" s="100"/>
      <c r="Q34" s="104"/>
      <c r="R34" s="110">
        <f t="shared" si="5"/>
        <v>0</v>
      </c>
      <c r="S34" s="111">
        <f t="shared" si="6"/>
        <v>4737.4799999999996</v>
      </c>
      <c r="T34" s="111">
        <f t="shared" si="7"/>
        <v>4737.4799999999996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468</v>
      </c>
      <c r="C35" s="114" t="s">
        <v>258</v>
      </c>
      <c r="D35" s="88"/>
      <c r="E35" s="89" t="s">
        <v>138</v>
      </c>
      <c r="F35" s="115">
        <v>6</v>
      </c>
      <c r="G35" s="96">
        <v>2201.7800000000002</v>
      </c>
      <c r="H35" s="91">
        <f t="shared" si="0"/>
        <v>1595.49</v>
      </c>
      <c r="I35" s="92">
        <f t="shared" si="1"/>
        <v>13210.68</v>
      </c>
      <c r="J35" s="107"/>
      <c r="K35" s="90">
        <f t="shared" si="2"/>
        <v>6</v>
      </c>
      <c r="L35" s="91">
        <f t="shared" si="3"/>
        <v>1541.25</v>
      </c>
      <c r="M35" s="91">
        <f t="shared" si="4"/>
        <v>9247.5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660.53</v>
      </c>
      <c r="T35" s="96">
        <f t="shared" si="7"/>
        <v>3963.18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445</v>
      </c>
      <c r="C36" s="101" t="s">
        <v>446</v>
      </c>
      <c r="D36" s="88"/>
      <c r="E36" s="102" t="s">
        <v>138</v>
      </c>
      <c r="F36" s="103">
        <v>6</v>
      </c>
      <c r="G36" s="104">
        <v>19382.12</v>
      </c>
      <c r="H36" s="105">
        <f t="shared" si="0"/>
        <v>14045.01</v>
      </c>
      <c r="I36" s="106">
        <f t="shared" si="1"/>
        <v>116292.72</v>
      </c>
      <c r="J36" s="107"/>
      <c r="K36" s="108">
        <f t="shared" si="2"/>
        <v>6</v>
      </c>
      <c r="L36" s="105">
        <f t="shared" si="3"/>
        <v>9691.06</v>
      </c>
      <c r="M36" s="105">
        <f t="shared" si="4"/>
        <v>58146.36</v>
      </c>
      <c r="N36" s="109"/>
      <c r="O36" s="95"/>
      <c r="P36" s="100"/>
      <c r="Q36" s="104"/>
      <c r="R36" s="110">
        <f t="shared" si="5"/>
        <v>0</v>
      </c>
      <c r="S36" s="111">
        <f t="shared" si="6"/>
        <v>9691.06</v>
      </c>
      <c r="T36" s="111">
        <f t="shared" si="7"/>
        <v>58146.36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32</v>
      </c>
      <c r="G50" s="123">
        <f t="shared" si="10"/>
        <v>67840.36</v>
      </c>
      <c r="H50" s="124">
        <f t="shared" si="10"/>
        <v>49159.679999999993</v>
      </c>
      <c r="I50" s="125">
        <f t="shared" si="10"/>
        <v>176549.71</v>
      </c>
      <c r="J50" s="126"/>
      <c r="K50" s="127">
        <f t="shared" ref="K50:M50" si="11">SUM(K19:K49)</f>
        <v>32</v>
      </c>
      <c r="L50" s="124">
        <f t="shared" si="11"/>
        <v>37169.51</v>
      </c>
      <c r="M50" s="125">
        <f t="shared" si="11"/>
        <v>93725.99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30670.85</v>
      </c>
      <c r="T50" s="125">
        <f t="shared" si="12"/>
        <v>82823.72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03" priority="1" stopIfTrue="1">
      <formula>$U$9&gt;100%</formula>
    </cfRule>
    <cfRule type="expression" dxfId="202" priority="2">
      <formula>$U$9&lt;50%</formula>
    </cfRule>
  </conditionalFormatting>
  <conditionalFormatting sqref="V9:V11">
    <cfRule type="expression" dxfId="201" priority="3">
      <formula>$V$9&lt;50%</formula>
    </cfRule>
    <cfRule type="expression" dxfId="200" priority="4">
      <formula>$V$9&gt;50%</formula>
    </cfRule>
  </conditionalFormatting>
  <dataValidations count="4">
    <dataValidation type="list" allowBlank="1" showErrorMessage="1" sqref="E19:E49" xr:uid="{00000000-0002-0000-1600-000000000000}">
      <formula1>$Z$19:$Z$30</formula1>
    </dataValidation>
    <dataValidation type="list" allowBlank="1" showErrorMessage="1" sqref="I14" xr:uid="{00000000-0002-0000-1600-000001000000}">
      <formula1>$Y$14:$Y$15</formula1>
    </dataValidation>
    <dataValidation type="list" allowBlank="1" showErrorMessage="1" sqref="J14" xr:uid="{00000000-0002-0000-1600-000002000000}">
      <formula1>$L$9</formula1>
    </dataValidation>
    <dataValidation type="list" allowBlank="1" showErrorMessage="1" sqref="Q15 G18 L18 Q18" xr:uid="{00000000-0002-0000-16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469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176549.71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93725.99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82823.719999999987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457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0.46912407842527742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470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82823.72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471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93725.99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460</v>
      </c>
      <c r="C20" s="101" t="s">
        <v>118</v>
      </c>
      <c r="D20" s="88"/>
      <c r="E20" s="102">
        <v>500</v>
      </c>
      <c r="F20" s="103">
        <v>2</v>
      </c>
      <c r="G20" s="104">
        <v>39.020000000000003</v>
      </c>
      <c r="H20" s="105">
        <f t="shared" si="0"/>
        <v>28.28</v>
      </c>
      <c r="I20" s="106">
        <f t="shared" si="1"/>
        <v>78.040000000000006</v>
      </c>
      <c r="J20" s="107"/>
      <c r="K20" s="108">
        <f t="shared" si="2"/>
        <v>2</v>
      </c>
      <c r="L20" s="105">
        <f t="shared" si="3"/>
        <v>19.510000000000002</v>
      </c>
      <c r="M20" s="105">
        <f t="shared" si="4"/>
        <v>39.020000000000003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39.020000000000003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461</v>
      </c>
      <c r="C21" s="114" t="s">
        <v>115</v>
      </c>
      <c r="D21" s="88"/>
      <c r="E21" s="89">
        <v>500</v>
      </c>
      <c r="F21" s="115">
        <v>1</v>
      </c>
      <c r="G21" s="96">
        <v>79.41</v>
      </c>
      <c r="H21" s="91">
        <f t="shared" si="0"/>
        <v>57.54</v>
      </c>
      <c r="I21" s="92">
        <f t="shared" si="1"/>
        <v>79.41</v>
      </c>
      <c r="J21" s="107"/>
      <c r="K21" s="90">
        <f t="shared" si="2"/>
        <v>1</v>
      </c>
      <c r="L21" s="91">
        <f t="shared" si="3"/>
        <v>39.71</v>
      </c>
      <c r="M21" s="91">
        <f t="shared" si="4"/>
        <v>39.71</v>
      </c>
      <c r="N21" s="116"/>
      <c r="O21" s="95"/>
      <c r="P21" s="117"/>
      <c r="Q21" s="96"/>
      <c r="R21" s="96">
        <f t="shared" si="5"/>
        <v>0</v>
      </c>
      <c r="S21" s="96">
        <f t="shared" si="6"/>
        <v>39.700000000000003</v>
      </c>
      <c r="T21" s="96">
        <f t="shared" si="7"/>
        <v>39.700000000000003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414</v>
      </c>
      <c r="C22" s="101" t="s">
        <v>415</v>
      </c>
      <c r="D22" s="88"/>
      <c r="E22" s="102">
        <v>1000</v>
      </c>
      <c r="F22" s="103">
        <v>1</v>
      </c>
      <c r="G22" s="104">
        <v>129.91</v>
      </c>
      <c r="H22" s="105">
        <f t="shared" si="0"/>
        <v>94.14</v>
      </c>
      <c r="I22" s="106">
        <f t="shared" si="1"/>
        <v>129.91</v>
      </c>
      <c r="J22" s="107"/>
      <c r="K22" s="108">
        <f t="shared" si="2"/>
        <v>1</v>
      </c>
      <c r="L22" s="105">
        <f t="shared" si="3"/>
        <v>64.959999999999994</v>
      </c>
      <c r="M22" s="105">
        <f t="shared" si="4"/>
        <v>64.959999999999994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64.95</v>
      </c>
      <c r="T22" s="111">
        <f t="shared" si="7"/>
        <v>64.95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3</v>
      </c>
      <c r="G23" s="96">
        <v>100.38</v>
      </c>
      <c r="H23" s="91">
        <f t="shared" si="0"/>
        <v>72.739999999999995</v>
      </c>
      <c r="I23" s="92">
        <f t="shared" si="1"/>
        <v>301.14</v>
      </c>
      <c r="J23" s="107"/>
      <c r="K23" s="90">
        <f t="shared" si="2"/>
        <v>3</v>
      </c>
      <c r="L23" s="91">
        <f t="shared" si="3"/>
        <v>50.19</v>
      </c>
      <c r="M23" s="91">
        <f t="shared" si="4"/>
        <v>150.57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150.57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462</v>
      </c>
      <c r="C24" s="101" t="s">
        <v>463</v>
      </c>
      <c r="D24" s="88"/>
      <c r="E24" s="102">
        <v>2000</v>
      </c>
      <c r="F24" s="103">
        <v>1</v>
      </c>
      <c r="G24" s="104">
        <v>84.39</v>
      </c>
      <c r="H24" s="105">
        <f t="shared" si="0"/>
        <v>61.15</v>
      </c>
      <c r="I24" s="106">
        <f t="shared" si="1"/>
        <v>84.39</v>
      </c>
      <c r="J24" s="107"/>
      <c r="K24" s="108">
        <f t="shared" si="2"/>
        <v>1</v>
      </c>
      <c r="L24" s="105">
        <f t="shared" si="3"/>
        <v>42.2</v>
      </c>
      <c r="M24" s="105">
        <f t="shared" si="4"/>
        <v>42.2</v>
      </c>
      <c r="N24" s="109"/>
      <c r="O24" s="95"/>
      <c r="P24" s="100"/>
      <c r="Q24" s="104"/>
      <c r="R24" s="110">
        <f t="shared" si="5"/>
        <v>0</v>
      </c>
      <c r="S24" s="111">
        <f t="shared" si="6"/>
        <v>42.19</v>
      </c>
      <c r="T24" s="111">
        <f t="shared" si="7"/>
        <v>42.19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417</v>
      </c>
      <c r="C25" s="114" t="s">
        <v>128</v>
      </c>
      <c r="D25" s="88"/>
      <c r="E25" s="89">
        <v>2000</v>
      </c>
      <c r="F25" s="115">
        <v>1</v>
      </c>
      <c r="G25" s="96">
        <v>198.93</v>
      </c>
      <c r="H25" s="91">
        <f t="shared" si="0"/>
        <v>144.15</v>
      </c>
      <c r="I25" s="92">
        <f t="shared" si="1"/>
        <v>198.93</v>
      </c>
      <c r="J25" s="107"/>
      <c r="K25" s="90">
        <f t="shared" si="2"/>
        <v>1</v>
      </c>
      <c r="L25" s="91">
        <f t="shared" si="3"/>
        <v>119.36</v>
      </c>
      <c r="M25" s="91">
        <f t="shared" si="4"/>
        <v>119.36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79.569999999999993</v>
      </c>
      <c r="T25" s="96">
        <f t="shared" si="7"/>
        <v>79.569999999999993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418</v>
      </c>
      <c r="C26" s="101" t="s">
        <v>131</v>
      </c>
      <c r="D26" s="88"/>
      <c r="E26" s="102">
        <v>2000</v>
      </c>
      <c r="F26" s="103">
        <v>1</v>
      </c>
      <c r="G26" s="104">
        <v>110.34</v>
      </c>
      <c r="H26" s="105">
        <f t="shared" si="0"/>
        <v>79.959999999999994</v>
      </c>
      <c r="I26" s="106">
        <f t="shared" si="1"/>
        <v>110.34</v>
      </c>
      <c r="J26" s="107"/>
      <c r="K26" s="108">
        <f t="shared" si="2"/>
        <v>1</v>
      </c>
      <c r="L26" s="105">
        <f t="shared" si="3"/>
        <v>66.2</v>
      </c>
      <c r="M26" s="105">
        <f t="shared" si="4"/>
        <v>66.2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44.14</v>
      </c>
      <c r="T26" s="111">
        <f t="shared" si="7"/>
        <v>44.14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419</v>
      </c>
      <c r="C27" s="114" t="s">
        <v>134</v>
      </c>
      <c r="D27" s="88"/>
      <c r="E27" s="89">
        <v>2000</v>
      </c>
      <c r="F27" s="115">
        <v>1</v>
      </c>
      <c r="G27" s="96">
        <v>96.27</v>
      </c>
      <c r="H27" s="91">
        <f t="shared" si="0"/>
        <v>69.760000000000005</v>
      </c>
      <c r="I27" s="92">
        <f t="shared" si="1"/>
        <v>96.27</v>
      </c>
      <c r="J27" s="107"/>
      <c r="K27" s="90">
        <f t="shared" si="2"/>
        <v>1</v>
      </c>
      <c r="L27" s="91">
        <f t="shared" si="3"/>
        <v>57.76</v>
      </c>
      <c r="M27" s="91">
        <f t="shared" si="4"/>
        <v>57.76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38.51</v>
      </c>
      <c r="T27" s="96">
        <f t="shared" si="7"/>
        <v>38.51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392</v>
      </c>
      <c r="C28" s="101" t="s">
        <v>134</v>
      </c>
      <c r="D28" s="88"/>
      <c r="E28" s="102">
        <v>2000</v>
      </c>
      <c r="F28" s="103">
        <v>1</v>
      </c>
      <c r="G28" s="104">
        <v>51.03</v>
      </c>
      <c r="H28" s="105">
        <f t="shared" si="0"/>
        <v>36.979999999999997</v>
      </c>
      <c r="I28" s="106">
        <f t="shared" si="1"/>
        <v>51.03</v>
      </c>
      <c r="J28" s="107"/>
      <c r="K28" s="108">
        <f t="shared" si="2"/>
        <v>1</v>
      </c>
      <c r="L28" s="105">
        <f t="shared" si="3"/>
        <v>30.62</v>
      </c>
      <c r="M28" s="105">
        <f t="shared" si="4"/>
        <v>30.62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20.41</v>
      </c>
      <c r="T28" s="111">
        <f t="shared" si="7"/>
        <v>20.41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464</v>
      </c>
      <c r="C29" s="114" t="s">
        <v>421</v>
      </c>
      <c r="D29" s="88"/>
      <c r="E29" s="89" t="s">
        <v>138</v>
      </c>
      <c r="F29" s="115">
        <v>1</v>
      </c>
      <c r="G29" s="96">
        <v>8232.8799999999992</v>
      </c>
      <c r="H29" s="91">
        <f t="shared" si="0"/>
        <v>5965.86</v>
      </c>
      <c r="I29" s="92">
        <f t="shared" si="1"/>
        <v>8232.8799999999992</v>
      </c>
      <c r="J29" s="107"/>
      <c r="K29" s="90">
        <f t="shared" si="2"/>
        <v>1</v>
      </c>
      <c r="L29" s="91">
        <f t="shared" si="3"/>
        <v>4939.7299999999996</v>
      </c>
      <c r="M29" s="91">
        <f t="shared" si="4"/>
        <v>4939.7299999999996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3293.15</v>
      </c>
      <c r="T29" s="96">
        <f t="shared" si="7"/>
        <v>3293.15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465</v>
      </c>
      <c r="C30" s="101" t="s">
        <v>423</v>
      </c>
      <c r="D30" s="88"/>
      <c r="E30" s="102" t="s">
        <v>138</v>
      </c>
      <c r="F30" s="103">
        <v>1</v>
      </c>
      <c r="G30" s="104">
        <v>3273.14</v>
      </c>
      <c r="H30" s="105">
        <f t="shared" si="0"/>
        <v>2371.84</v>
      </c>
      <c r="I30" s="106">
        <f t="shared" si="1"/>
        <v>3273.14</v>
      </c>
      <c r="J30" s="107"/>
      <c r="K30" s="108">
        <f t="shared" si="2"/>
        <v>1</v>
      </c>
      <c r="L30" s="105">
        <f t="shared" si="3"/>
        <v>1963.88</v>
      </c>
      <c r="M30" s="105">
        <f t="shared" si="4"/>
        <v>1963.88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1309.26</v>
      </c>
      <c r="T30" s="111">
        <f t="shared" si="7"/>
        <v>1309.26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466</v>
      </c>
      <c r="C31" s="114" t="s">
        <v>249</v>
      </c>
      <c r="D31" s="88"/>
      <c r="E31" s="89" t="s">
        <v>138</v>
      </c>
      <c r="F31" s="115">
        <v>1</v>
      </c>
      <c r="G31" s="96">
        <v>16126.9</v>
      </c>
      <c r="H31" s="91">
        <f t="shared" si="0"/>
        <v>11686.16</v>
      </c>
      <c r="I31" s="92">
        <f t="shared" si="1"/>
        <v>16126.9</v>
      </c>
      <c r="J31" s="107"/>
      <c r="K31" s="90">
        <f t="shared" si="2"/>
        <v>1</v>
      </c>
      <c r="L31" s="91">
        <f t="shared" si="3"/>
        <v>9676.14</v>
      </c>
      <c r="M31" s="91">
        <f t="shared" si="4"/>
        <v>9676.14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6450.76</v>
      </c>
      <c r="T31" s="96">
        <f t="shared" si="7"/>
        <v>6450.76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393</v>
      </c>
      <c r="C32" s="101" t="s">
        <v>137</v>
      </c>
      <c r="D32" s="88"/>
      <c r="E32" s="102" t="s">
        <v>138</v>
      </c>
      <c r="F32" s="103">
        <v>1</v>
      </c>
      <c r="G32" s="104">
        <v>7646.67</v>
      </c>
      <c r="H32" s="105">
        <f t="shared" si="0"/>
        <v>5541.07</v>
      </c>
      <c r="I32" s="106">
        <f t="shared" si="1"/>
        <v>7646.67</v>
      </c>
      <c r="J32" s="107"/>
      <c r="K32" s="108">
        <f t="shared" si="2"/>
        <v>1</v>
      </c>
      <c r="L32" s="105">
        <f t="shared" si="3"/>
        <v>3823.34</v>
      </c>
      <c r="M32" s="105">
        <f t="shared" si="4"/>
        <v>3823.34</v>
      </c>
      <c r="N32" s="109"/>
      <c r="O32" s="95"/>
      <c r="P32" s="100"/>
      <c r="Q32" s="104"/>
      <c r="R32" s="110">
        <f t="shared" si="5"/>
        <v>0</v>
      </c>
      <c r="S32" s="111">
        <f t="shared" si="6"/>
        <v>3823.33</v>
      </c>
      <c r="T32" s="111">
        <f t="shared" si="7"/>
        <v>3823.33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425</v>
      </c>
      <c r="C33" s="114" t="s">
        <v>183</v>
      </c>
      <c r="D33" s="88"/>
      <c r="E33" s="89" t="s">
        <v>138</v>
      </c>
      <c r="F33" s="115">
        <v>2</v>
      </c>
      <c r="G33" s="96">
        <v>550.07000000000005</v>
      </c>
      <c r="H33" s="91">
        <f t="shared" si="0"/>
        <v>398.6</v>
      </c>
      <c r="I33" s="92">
        <f t="shared" si="1"/>
        <v>1100.1400000000001</v>
      </c>
      <c r="J33" s="107"/>
      <c r="K33" s="90">
        <f t="shared" si="2"/>
        <v>2</v>
      </c>
      <c r="L33" s="91">
        <f t="shared" si="3"/>
        <v>275.04000000000002</v>
      </c>
      <c r="M33" s="91">
        <f t="shared" si="4"/>
        <v>550.08000000000004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275.02999999999997</v>
      </c>
      <c r="T33" s="96">
        <f t="shared" si="7"/>
        <v>550.05999999999995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467</v>
      </c>
      <c r="C34" s="101" t="s">
        <v>144</v>
      </c>
      <c r="D34" s="88"/>
      <c r="E34" s="102" t="s">
        <v>138</v>
      </c>
      <c r="F34" s="103">
        <v>1</v>
      </c>
      <c r="G34" s="104">
        <v>9474.9599999999991</v>
      </c>
      <c r="H34" s="105">
        <f t="shared" si="0"/>
        <v>6865.91</v>
      </c>
      <c r="I34" s="106">
        <f t="shared" si="1"/>
        <v>9474.9599999999991</v>
      </c>
      <c r="J34" s="107"/>
      <c r="K34" s="108">
        <f t="shared" si="2"/>
        <v>1</v>
      </c>
      <c r="L34" s="105">
        <f t="shared" si="3"/>
        <v>4737.4799999999996</v>
      </c>
      <c r="M34" s="105">
        <f t="shared" si="4"/>
        <v>4737.4799999999996</v>
      </c>
      <c r="N34" s="109"/>
      <c r="O34" s="95"/>
      <c r="P34" s="100"/>
      <c r="Q34" s="104"/>
      <c r="R34" s="110">
        <f t="shared" si="5"/>
        <v>0</v>
      </c>
      <c r="S34" s="111">
        <f t="shared" si="6"/>
        <v>4737.4799999999996</v>
      </c>
      <c r="T34" s="111">
        <f t="shared" si="7"/>
        <v>4737.4799999999996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468</v>
      </c>
      <c r="C35" s="114" t="s">
        <v>258</v>
      </c>
      <c r="D35" s="88"/>
      <c r="E35" s="89" t="s">
        <v>138</v>
      </c>
      <c r="F35" s="115">
        <v>6</v>
      </c>
      <c r="G35" s="96">
        <v>2201.7800000000002</v>
      </c>
      <c r="H35" s="91">
        <f t="shared" si="0"/>
        <v>1595.49</v>
      </c>
      <c r="I35" s="92">
        <f t="shared" si="1"/>
        <v>13210.68</v>
      </c>
      <c r="J35" s="107"/>
      <c r="K35" s="90">
        <f t="shared" si="2"/>
        <v>6</v>
      </c>
      <c r="L35" s="91">
        <f t="shared" si="3"/>
        <v>1541.25</v>
      </c>
      <c r="M35" s="91">
        <f t="shared" si="4"/>
        <v>9247.5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660.53</v>
      </c>
      <c r="T35" s="96">
        <f t="shared" si="7"/>
        <v>3963.18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445</v>
      </c>
      <c r="C36" s="101" t="s">
        <v>446</v>
      </c>
      <c r="D36" s="88"/>
      <c r="E36" s="102" t="s">
        <v>138</v>
      </c>
      <c r="F36" s="103">
        <v>6</v>
      </c>
      <c r="G36" s="104">
        <v>19382.12</v>
      </c>
      <c r="H36" s="105">
        <f t="shared" si="0"/>
        <v>14045.01</v>
      </c>
      <c r="I36" s="106">
        <f t="shared" si="1"/>
        <v>116292.72</v>
      </c>
      <c r="J36" s="107"/>
      <c r="K36" s="108">
        <f t="shared" si="2"/>
        <v>6</v>
      </c>
      <c r="L36" s="105">
        <f t="shared" si="3"/>
        <v>9691.06</v>
      </c>
      <c r="M36" s="105">
        <f t="shared" si="4"/>
        <v>58146.36</v>
      </c>
      <c r="N36" s="109"/>
      <c r="O36" s="95"/>
      <c r="P36" s="100"/>
      <c r="Q36" s="104"/>
      <c r="R36" s="110">
        <f t="shared" si="5"/>
        <v>0</v>
      </c>
      <c r="S36" s="111">
        <f t="shared" si="6"/>
        <v>9691.06</v>
      </c>
      <c r="T36" s="111">
        <f t="shared" si="7"/>
        <v>58146.36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32</v>
      </c>
      <c r="G50" s="123">
        <f t="shared" si="10"/>
        <v>67840.36</v>
      </c>
      <c r="H50" s="124">
        <f t="shared" si="10"/>
        <v>49159.679999999993</v>
      </c>
      <c r="I50" s="125">
        <f t="shared" si="10"/>
        <v>176549.71</v>
      </c>
      <c r="J50" s="126"/>
      <c r="K50" s="127">
        <f t="shared" ref="K50:M50" si="11">SUM(K19:K49)</f>
        <v>32</v>
      </c>
      <c r="L50" s="124">
        <f t="shared" si="11"/>
        <v>37169.51</v>
      </c>
      <c r="M50" s="125">
        <f t="shared" si="11"/>
        <v>93725.99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30670.85</v>
      </c>
      <c r="T50" s="125">
        <f t="shared" si="12"/>
        <v>82823.72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99" priority="1" stopIfTrue="1">
      <formula>$U$9&gt;100%</formula>
    </cfRule>
    <cfRule type="expression" dxfId="198" priority="2">
      <formula>$U$9&lt;50%</formula>
    </cfRule>
  </conditionalFormatting>
  <conditionalFormatting sqref="V9:V11">
    <cfRule type="expression" dxfId="197" priority="3">
      <formula>$V$9&lt;50%</formula>
    </cfRule>
    <cfRule type="expression" dxfId="196" priority="4">
      <formula>$V$9&gt;50%</formula>
    </cfRule>
  </conditionalFormatting>
  <dataValidations count="4">
    <dataValidation type="list" allowBlank="1" showErrorMessage="1" sqref="E19:E49" xr:uid="{00000000-0002-0000-1700-000000000000}">
      <formula1>$Z$19:$Z$30</formula1>
    </dataValidation>
    <dataValidation type="list" allowBlank="1" showErrorMessage="1" sqref="I14" xr:uid="{00000000-0002-0000-1700-000001000000}">
      <formula1>$Y$14:$Y$15</formula1>
    </dataValidation>
    <dataValidation type="list" allowBlank="1" showErrorMessage="1" sqref="J14" xr:uid="{00000000-0002-0000-1700-000002000000}">
      <formula1>$L$9</formula1>
    </dataValidation>
    <dataValidation type="list" allowBlank="1" showErrorMessage="1" sqref="Q15 G18 L18 Q18" xr:uid="{00000000-0002-0000-17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472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176549.71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93725.99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82823.719999999987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457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0.46912407842527742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473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82823.72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474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93725.99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1166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460</v>
      </c>
      <c r="C20" s="101" t="s">
        <v>118</v>
      </c>
      <c r="D20" s="88"/>
      <c r="E20" s="102">
        <v>500</v>
      </c>
      <c r="F20" s="103">
        <v>2</v>
      </c>
      <c r="G20" s="104">
        <v>39.020000000000003</v>
      </c>
      <c r="H20" s="105">
        <f t="shared" si="0"/>
        <v>28.28</v>
      </c>
      <c r="I20" s="106">
        <f t="shared" si="1"/>
        <v>78.040000000000006</v>
      </c>
      <c r="J20" s="107"/>
      <c r="K20" s="108">
        <f t="shared" si="2"/>
        <v>2</v>
      </c>
      <c r="L20" s="105">
        <f t="shared" si="3"/>
        <v>19.510000000000002</v>
      </c>
      <c r="M20" s="105">
        <f t="shared" si="4"/>
        <v>39.020000000000003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39.020000000000003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461</v>
      </c>
      <c r="C21" s="114" t="s">
        <v>115</v>
      </c>
      <c r="D21" s="88"/>
      <c r="E21" s="89">
        <v>500</v>
      </c>
      <c r="F21" s="115">
        <v>1</v>
      </c>
      <c r="G21" s="96">
        <v>79.41</v>
      </c>
      <c r="H21" s="91">
        <f t="shared" si="0"/>
        <v>57.54</v>
      </c>
      <c r="I21" s="92">
        <f t="shared" si="1"/>
        <v>79.41</v>
      </c>
      <c r="J21" s="107"/>
      <c r="K21" s="90">
        <f t="shared" si="2"/>
        <v>1</v>
      </c>
      <c r="L21" s="91">
        <f t="shared" si="3"/>
        <v>39.71</v>
      </c>
      <c r="M21" s="91">
        <f t="shared" si="4"/>
        <v>39.71</v>
      </c>
      <c r="N21" s="116"/>
      <c r="O21" s="95"/>
      <c r="P21" s="117"/>
      <c r="Q21" s="96"/>
      <c r="R21" s="96">
        <f t="shared" si="5"/>
        <v>0</v>
      </c>
      <c r="S21" s="96">
        <f t="shared" si="6"/>
        <v>39.700000000000003</v>
      </c>
      <c r="T21" s="96">
        <f t="shared" si="7"/>
        <v>39.700000000000003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414</v>
      </c>
      <c r="C22" s="101" t="s">
        <v>415</v>
      </c>
      <c r="D22" s="88"/>
      <c r="E22" s="102">
        <v>1000</v>
      </c>
      <c r="F22" s="103">
        <v>1</v>
      </c>
      <c r="G22" s="104">
        <v>129.91</v>
      </c>
      <c r="H22" s="105">
        <f t="shared" si="0"/>
        <v>94.14</v>
      </c>
      <c r="I22" s="106">
        <f t="shared" si="1"/>
        <v>129.91</v>
      </c>
      <c r="J22" s="107"/>
      <c r="K22" s="108">
        <f t="shared" si="2"/>
        <v>1</v>
      </c>
      <c r="L22" s="105">
        <f t="shared" si="3"/>
        <v>64.959999999999994</v>
      </c>
      <c r="M22" s="105">
        <f t="shared" si="4"/>
        <v>64.959999999999994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64.95</v>
      </c>
      <c r="T22" s="111">
        <f t="shared" si="7"/>
        <v>64.95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389</v>
      </c>
      <c r="C23" s="114" t="s">
        <v>174</v>
      </c>
      <c r="D23" s="88"/>
      <c r="E23" s="89">
        <v>1000</v>
      </c>
      <c r="F23" s="115">
        <v>3</v>
      </c>
      <c r="G23" s="96">
        <v>100.38</v>
      </c>
      <c r="H23" s="91">
        <f t="shared" si="0"/>
        <v>72.739999999999995</v>
      </c>
      <c r="I23" s="92">
        <f t="shared" si="1"/>
        <v>301.14</v>
      </c>
      <c r="J23" s="107"/>
      <c r="K23" s="90">
        <f t="shared" si="2"/>
        <v>3</v>
      </c>
      <c r="L23" s="91">
        <f t="shared" si="3"/>
        <v>50.19</v>
      </c>
      <c r="M23" s="91">
        <f t="shared" si="4"/>
        <v>150.57</v>
      </c>
      <c r="N23" s="116"/>
      <c r="O23" s="95"/>
      <c r="P23" s="117"/>
      <c r="Q23" s="96"/>
      <c r="R23" s="96">
        <f t="shared" si="5"/>
        <v>0</v>
      </c>
      <c r="S23" s="96">
        <f t="shared" si="6"/>
        <v>50.19</v>
      </c>
      <c r="T23" s="96">
        <f t="shared" si="7"/>
        <v>150.57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462</v>
      </c>
      <c r="C24" s="101" t="s">
        <v>463</v>
      </c>
      <c r="D24" s="88"/>
      <c r="E24" s="102">
        <v>2000</v>
      </c>
      <c r="F24" s="103">
        <v>1</v>
      </c>
      <c r="G24" s="104">
        <v>84.39</v>
      </c>
      <c r="H24" s="105">
        <f t="shared" si="0"/>
        <v>61.15</v>
      </c>
      <c r="I24" s="106">
        <f t="shared" si="1"/>
        <v>84.39</v>
      </c>
      <c r="J24" s="107"/>
      <c r="K24" s="108">
        <f t="shared" si="2"/>
        <v>1</v>
      </c>
      <c r="L24" s="105">
        <f t="shared" si="3"/>
        <v>42.2</v>
      </c>
      <c r="M24" s="105">
        <f t="shared" si="4"/>
        <v>42.2</v>
      </c>
      <c r="N24" s="109"/>
      <c r="O24" s="95"/>
      <c r="P24" s="100"/>
      <c r="Q24" s="104"/>
      <c r="R24" s="110">
        <f t="shared" si="5"/>
        <v>0</v>
      </c>
      <c r="S24" s="111">
        <f t="shared" si="6"/>
        <v>42.19</v>
      </c>
      <c r="T24" s="111">
        <f t="shared" si="7"/>
        <v>42.19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417</v>
      </c>
      <c r="C25" s="114" t="s">
        <v>128</v>
      </c>
      <c r="D25" s="88"/>
      <c r="E25" s="89">
        <v>2000</v>
      </c>
      <c r="F25" s="115">
        <v>1</v>
      </c>
      <c r="G25" s="96">
        <v>198.93</v>
      </c>
      <c r="H25" s="91">
        <f t="shared" si="0"/>
        <v>144.15</v>
      </c>
      <c r="I25" s="92">
        <f t="shared" si="1"/>
        <v>198.93</v>
      </c>
      <c r="J25" s="107"/>
      <c r="K25" s="90">
        <f t="shared" si="2"/>
        <v>1</v>
      </c>
      <c r="L25" s="91">
        <f t="shared" si="3"/>
        <v>119.36</v>
      </c>
      <c r="M25" s="91">
        <f t="shared" si="4"/>
        <v>119.36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79.569999999999993</v>
      </c>
      <c r="T25" s="96">
        <f t="shared" si="7"/>
        <v>79.569999999999993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418</v>
      </c>
      <c r="C26" s="101" t="s">
        <v>131</v>
      </c>
      <c r="D26" s="88"/>
      <c r="E26" s="102">
        <v>2000</v>
      </c>
      <c r="F26" s="103">
        <v>1</v>
      </c>
      <c r="G26" s="104">
        <v>110.34</v>
      </c>
      <c r="H26" s="105">
        <f t="shared" si="0"/>
        <v>79.959999999999994</v>
      </c>
      <c r="I26" s="106">
        <f t="shared" si="1"/>
        <v>110.34</v>
      </c>
      <c r="J26" s="107"/>
      <c r="K26" s="108">
        <f t="shared" si="2"/>
        <v>1</v>
      </c>
      <c r="L26" s="105">
        <f t="shared" si="3"/>
        <v>66.2</v>
      </c>
      <c r="M26" s="105">
        <f t="shared" si="4"/>
        <v>66.2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44.14</v>
      </c>
      <c r="T26" s="111">
        <f t="shared" si="7"/>
        <v>44.14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419</v>
      </c>
      <c r="C27" s="114" t="s">
        <v>134</v>
      </c>
      <c r="D27" s="88"/>
      <c r="E27" s="89">
        <v>2000</v>
      </c>
      <c r="F27" s="115">
        <v>1</v>
      </c>
      <c r="G27" s="96">
        <v>96.27</v>
      </c>
      <c r="H27" s="91">
        <f t="shared" si="0"/>
        <v>69.760000000000005</v>
      </c>
      <c r="I27" s="92">
        <f t="shared" si="1"/>
        <v>96.27</v>
      </c>
      <c r="J27" s="107"/>
      <c r="K27" s="90">
        <f t="shared" si="2"/>
        <v>1</v>
      </c>
      <c r="L27" s="91">
        <f t="shared" si="3"/>
        <v>57.76</v>
      </c>
      <c r="M27" s="91">
        <f t="shared" si="4"/>
        <v>57.76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38.51</v>
      </c>
      <c r="T27" s="96">
        <f t="shared" si="7"/>
        <v>38.51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392</v>
      </c>
      <c r="C28" s="101" t="s">
        <v>134</v>
      </c>
      <c r="D28" s="88"/>
      <c r="E28" s="102">
        <v>2000</v>
      </c>
      <c r="F28" s="103">
        <v>1</v>
      </c>
      <c r="G28" s="104">
        <v>51.03</v>
      </c>
      <c r="H28" s="105">
        <f t="shared" si="0"/>
        <v>36.979999999999997</v>
      </c>
      <c r="I28" s="106">
        <f t="shared" si="1"/>
        <v>51.03</v>
      </c>
      <c r="J28" s="107"/>
      <c r="K28" s="108">
        <f t="shared" si="2"/>
        <v>1</v>
      </c>
      <c r="L28" s="105">
        <f t="shared" si="3"/>
        <v>30.62</v>
      </c>
      <c r="M28" s="105">
        <f t="shared" si="4"/>
        <v>30.62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20.41</v>
      </c>
      <c r="T28" s="111">
        <f t="shared" si="7"/>
        <v>20.41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464</v>
      </c>
      <c r="C29" s="114" t="s">
        <v>421</v>
      </c>
      <c r="D29" s="88"/>
      <c r="E29" s="89" t="s">
        <v>138</v>
      </c>
      <c r="F29" s="115">
        <v>1</v>
      </c>
      <c r="G29" s="96">
        <v>8232.8799999999992</v>
      </c>
      <c r="H29" s="91">
        <f t="shared" si="0"/>
        <v>5965.86</v>
      </c>
      <c r="I29" s="92">
        <f t="shared" si="1"/>
        <v>8232.8799999999992</v>
      </c>
      <c r="J29" s="107"/>
      <c r="K29" s="90">
        <f t="shared" si="2"/>
        <v>1</v>
      </c>
      <c r="L29" s="91">
        <f t="shared" si="3"/>
        <v>4939.7299999999996</v>
      </c>
      <c r="M29" s="91">
        <f t="shared" si="4"/>
        <v>4939.7299999999996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3293.15</v>
      </c>
      <c r="T29" s="96">
        <f t="shared" si="7"/>
        <v>3293.15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465</v>
      </c>
      <c r="C30" s="101" t="s">
        <v>423</v>
      </c>
      <c r="D30" s="88"/>
      <c r="E30" s="102" t="s">
        <v>138</v>
      </c>
      <c r="F30" s="103">
        <v>1</v>
      </c>
      <c r="G30" s="104">
        <v>3273.14</v>
      </c>
      <c r="H30" s="105">
        <f t="shared" si="0"/>
        <v>2371.84</v>
      </c>
      <c r="I30" s="106">
        <f t="shared" si="1"/>
        <v>3273.14</v>
      </c>
      <c r="J30" s="107"/>
      <c r="K30" s="108">
        <f t="shared" si="2"/>
        <v>1</v>
      </c>
      <c r="L30" s="105">
        <f t="shared" si="3"/>
        <v>1963.88</v>
      </c>
      <c r="M30" s="105">
        <f t="shared" si="4"/>
        <v>1963.88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1309.26</v>
      </c>
      <c r="T30" s="111">
        <f t="shared" si="7"/>
        <v>1309.26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466</v>
      </c>
      <c r="C31" s="114" t="s">
        <v>249</v>
      </c>
      <c r="D31" s="88"/>
      <c r="E31" s="89" t="s">
        <v>138</v>
      </c>
      <c r="F31" s="115">
        <v>1</v>
      </c>
      <c r="G31" s="96">
        <v>16126.9</v>
      </c>
      <c r="H31" s="91">
        <f t="shared" si="0"/>
        <v>11686.16</v>
      </c>
      <c r="I31" s="92">
        <f t="shared" si="1"/>
        <v>16126.9</v>
      </c>
      <c r="J31" s="107"/>
      <c r="K31" s="90">
        <f t="shared" si="2"/>
        <v>1</v>
      </c>
      <c r="L31" s="91">
        <f t="shared" si="3"/>
        <v>9676.14</v>
      </c>
      <c r="M31" s="91">
        <f t="shared" si="4"/>
        <v>9676.14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6450.76</v>
      </c>
      <c r="T31" s="96">
        <f t="shared" si="7"/>
        <v>6450.76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393</v>
      </c>
      <c r="C32" s="101" t="s">
        <v>137</v>
      </c>
      <c r="D32" s="88"/>
      <c r="E32" s="102" t="s">
        <v>138</v>
      </c>
      <c r="F32" s="103">
        <v>1</v>
      </c>
      <c r="G32" s="104">
        <v>7646.67</v>
      </c>
      <c r="H32" s="105">
        <f t="shared" si="0"/>
        <v>5541.07</v>
      </c>
      <c r="I32" s="106">
        <f t="shared" si="1"/>
        <v>7646.67</v>
      </c>
      <c r="J32" s="107"/>
      <c r="K32" s="108">
        <f t="shared" si="2"/>
        <v>1</v>
      </c>
      <c r="L32" s="105">
        <f t="shared" si="3"/>
        <v>3823.34</v>
      </c>
      <c r="M32" s="105">
        <f t="shared" si="4"/>
        <v>3823.34</v>
      </c>
      <c r="N32" s="109"/>
      <c r="O32" s="95"/>
      <c r="P32" s="100"/>
      <c r="Q32" s="104"/>
      <c r="R32" s="110">
        <f t="shared" si="5"/>
        <v>0</v>
      </c>
      <c r="S32" s="111">
        <f t="shared" si="6"/>
        <v>3823.33</v>
      </c>
      <c r="T32" s="111">
        <f t="shared" si="7"/>
        <v>3823.33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425</v>
      </c>
      <c r="C33" s="114" t="s">
        <v>183</v>
      </c>
      <c r="D33" s="88"/>
      <c r="E33" s="89" t="s">
        <v>138</v>
      </c>
      <c r="F33" s="115">
        <v>2</v>
      </c>
      <c r="G33" s="96">
        <v>550.07000000000005</v>
      </c>
      <c r="H33" s="91">
        <f t="shared" si="0"/>
        <v>398.6</v>
      </c>
      <c r="I33" s="92">
        <f t="shared" si="1"/>
        <v>1100.1400000000001</v>
      </c>
      <c r="J33" s="107"/>
      <c r="K33" s="90">
        <f t="shared" si="2"/>
        <v>2</v>
      </c>
      <c r="L33" s="91">
        <f t="shared" si="3"/>
        <v>275.04000000000002</v>
      </c>
      <c r="M33" s="91">
        <f t="shared" si="4"/>
        <v>550.08000000000004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275.02999999999997</v>
      </c>
      <c r="T33" s="96">
        <f t="shared" si="7"/>
        <v>550.05999999999995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467</v>
      </c>
      <c r="C34" s="101" t="s">
        <v>144</v>
      </c>
      <c r="D34" s="88"/>
      <c r="E34" s="102" t="s">
        <v>138</v>
      </c>
      <c r="F34" s="103">
        <v>1</v>
      </c>
      <c r="G34" s="104">
        <v>9474.9599999999991</v>
      </c>
      <c r="H34" s="105">
        <f t="shared" si="0"/>
        <v>6865.91</v>
      </c>
      <c r="I34" s="106">
        <f t="shared" si="1"/>
        <v>9474.9599999999991</v>
      </c>
      <c r="J34" s="107"/>
      <c r="K34" s="108">
        <f t="shared" si="2"/>
        <v>1</v>
      </c>
      <c r="L34" s="105">
        <f t="shared" si="3"/>
        <v>4737.4799999999996</v>
      </c>
      <c r="M34" s="105">
        <f t="shared" si="4"/>
        <v>4737.4799999999996</v>
      </c>
      <c r="N34" s="109"/>
      <c r="O34" s="95"/>
      <c r="P34" s="100"/>
      <c r="Q34" s="104"/>
      <c r="R34" s="110">
        <f t="shared" si="5"/>
        <v>0</v>
      </c>
      <c r="S34" s="111">
        <f t="shared" si="6"/>
        <v>4737.4799999999996</v>
      </c>
      <c r="T34" s="111">
        <f t="shared" si="7"/>
        <v>4737.4799999999996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468</v>
      </c>
      <c r="C35" s="114" t="s">
        <v>258</v>
      </c>
      <c r="D35" s="88"/>
      <c r="E35" s="89" t="s">
        <v>138</v>
      </c>
      <c r="F35" s="115">
        <v>6</v>
      </c>
      <c r="G35" s="96">
        <v>2201.7800000000002</v>
      </c>
      <c r="H35" s="91">
        <f t="shared" si="0"/>
        <v>1595.49</v>
      </c>
      <c r="I35" s="92">
        <f t="shared" si="1"/>
        <v>13210.68</v>
      </c>
      <c r="J35" s="107"/>
      <c r="K35" s="90">
        <f t="shared" si="2"/>
        <v>6</v>
      </c>
      <c r="L35" s="91">
        <f t="shared" si="3"/>
        <v>1541.25</v>
      </c>
      <c r="M35" s="91">
        <f t="shared" si="4"/>
        <v>9247.5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660.53</v>
      </c>
      <c r="T35" s="96">
        <f t="shared" si="7"/>
        <v>3963.18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445</v>
      </c>
      <c r="C36" s="101" t="s">
        <v>446</v>
      </c>
      <c r="D36" s="88"/>
      <c r="E36" s="102" t="s">
        <v>138</v>
      </c>
      <c r="F36" s="103">
        <v>6</v>
      </c>
      <c r="G36" s="104">
        <v>19382.12</v>
      </c>
      <c r="H36" s="105">
        <f t="shared" si="0"/>
        <v>14045.01</v>
      </c>
      <c r="I36" s="106">
        <f t="shared" si="1"/>
        <v>116292.72</v>
      </c>
      <c r="J36" s="107"/>
      <c r="K36" s="108">
        <f t="shared" si="2"/>
        <v>6</v>
      </c>
      <c r="L36" s="105">
        <f t="shared" si="3"/>
        <v>9691.06</v>
      </c>
      <c r="M36" s="105">
        <f t="shared" si="4"/>
        <v>58146.36</v>
      </c>
      <c r="N36" s="109"/>
      <c r="O36" s="95"/>
      <c r="P36" s="100"/>
      <c r="Q36" s="104"/>
      <c r="R36" s="110">
        <f t="shared" si="5"/>
        <v>0</v>
      </c>
      <c r="S36" s="111">
        <f t="shared" si="6"/>
        <v>9691.06</v>
      </c>
      <c r="T36" s="111">
        <f t="shared" si="7"/>
        <v>58146.36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32</v>
      </c>
      <c r="G50" s="123">
        <f t="shared" si="10"/>
        <v>67840.36</v>
      </c>
      <c r="H50" s="124">
        <f t="shared" si="10"/>
        <v>49159.679999999993</v>
      </c>
      <c r="I50" s="125">
        <f t="shared" si="10"/>
        <v>176549.71</v>
      </c>
      <c r="J50" s="126"/>
      <c r="K50" s="127">
        <f t="shared" ref="K50:M50" si="11">SUM(K19:K49)</f>
        <v>32</v>
      </c>
      <c r="L50" s="124">
        <f t="shared" si="11"/>
        <v>37169.51</v>
      </c>
      <c r="M50" s="125">
        <f t="shared" si="11"/>
        <v>93725.99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30670.85</v>
      </c>
      <c r="T50" s="125">
        <f t="shared" si="12"/>
        <v>82823.72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95" priority="1" stopIfTrue="1">
      <formula>$U$9&gt;100%</formula>
    </cfRule>
    <cfRule type="expression" dxfId="194" priority="2">
      <formula>$U$9&lt;50%</formula>
    </cfRule>
  </conditionalFormatting>
  <conditionalFormatting sqref="V9:V11">
    <cfRule type="expression" dxfId="193" priority="3">
      <formula>$V$9&lt;50%</formula>
    </cfRule>
    <cfRule type="expression" dxfId="192" priority="4">
      <formula>$V$9&gt;50%</formula>
    </cfRule>
  </conditionalFormatting>
  <dataValidations count="4">
    <dataValidation type="list" allowBlank="1" showErrorMessage="1" sqref="E19:E49" xr:uid="{00000000-0002-0000-1800-000000000000}">
      <formula1>$Z$19:$Z$30</formula1>
    </dataValidation>
    <dataValidation type="list" allowBlank="1" showErrorMessage="1" sqref="I14" xr:uid="{00000000-0002-0000-1800-000001000000}">
      <formula1>$Y$14:$Y$15</formula1>
    </dataValidation>
    <dataValidation type="list" allowBlank="1" showErrorMessage="1" sqref="J14" xr:uid="{00000000-0002-0000-1800-000002000000}">
      <formula1>$L$9</formula1>
    </dataValidation>
    <dataValidation type="list" allowBlank="1" showErrorMessage="1" sqref="Q15 G18 L18 Q18" xr:uid="{00000000-0002-0000-18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475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71942.319999999992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40020.529999999992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31921.79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476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0.44371365838632953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236" t="s">
        <v>477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31921.79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478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40020.529999999992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479</v>
      </c>
      <c r="C19" s="87" t="s">
        <v>169</v>
      </c>
      <c r="D19" s="88"/>
      <c r="E19" s="89">
        <v>500</v>
      </c>
      <c r="F19" s="90">
        <v>1</v>
      </c>
      <c r="G19" s="91">
        <v>27.65</v>
      </c>
      <c r="H19" s="91">
        <f t="shared" ref="H19:H49" si="0">ROUND(IF($G$18="USD $", G19*$F$16,G19*$E$16),2)</f>
        <v>20.04</v>
      </c>
      <c r="I19" s="92">
        <f t="shared" ref="I19:I49" si="1">ROUND(IF($I$18=$H$18,F19*H19,F19*G19),2)</f>
        <v>27.65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13.83</v>
      </c>
      <c r="M19" s="91">
        <f t="shared" ref="M19:M49" si="4">ROUND((K19*L19),2)</f>
        <v>13.83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13.82</v>
      </c>
      <c r="T19" s="96">
        <f t="shared" ref="T19:T49" si="7">ROUND(I19-M19,2)</f>
        <v>13.82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480</v>
      </c>
      <c r="C20" s="101" t="s">
        <v>118</v>
      </c>
      <c r="D20" s="88"/>
      <c r="E20" s="102">
        <v>500</v>
      </c>
      <c r="F20" s="103">
        <v>1</v>
      </c>
      <c r="G20" s="104">
        <v>61.55</v>
      </c>
      <c r="H20" s="105">
        <f t="shared" si="0"/>
        <v>44.6</v>
      </c>
      <c r="I20" s="106">
        <f t="shared" si="1"/>
        <v>61.55</v>
      </c>
      <c r="J20" s="107"/>
      <c r="K20" s="108">
        <f t="shared" si="2"/>
        <v>1</v>
      </c>
      <c r="L20" s="105">
        <f t="shared" si="3"/>
        <v>30.78</v>
      </c>
      <c r="M20" s="105">
        <f t="shared" si="4"/>
        <v>30.78</v>
      </c>
      <c r="N20" s="109"/>
      <c r="O20" s="95"/>
      <c r="P20" s="100"/>
      <c r="Q20" s="104"/>
      <c r="R20" s="110">
        <f t="shared" si="5"/>
        <v>0</v>
      </c>
      <c r="S20" s="111">
        <f t="shared" si="6"/>
        <v>30.77</v>
      </c>
      <c r="T20" s="111">
        <f t="shared" si="7"/>
        <v>30.77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275</v>
      </c>
      <c r="C21" s="114" t="s">
        <v>115</v>
      </c>
      <c r="D21" s="88"/>
      <c r="E21" s="89">
        <v>500</v>
      </c>
      <c r="F21" s="115">
        <v>1</v>
      </c>
      <c r="G21" s="96">
        <v>59.73</v>
      </c>
      <c r="H21" s="91">
        <f t="shared" si="0"/>
        <v>43.28</v>
      </c>
      <c r="I21" s="92">
        <f t="shared" si="1"/>
        <v>59.73</v>
      </c>
      <c r="J21" s="107"/>
      <c r="K21" s="90">
        <f t="shared" si="2"/>
        <v>1</v>
      </c>
      <c r="L21" s="91">
        <f t="shared" si="3"/>
        <v>29.87</v>
      </c>
      <c r="M21" s="91">
        <f t="shared" si="4"/>
        <v>29.87</v>
      </c>
      <c r="N21" s="116"/>
      <c r="O21" s="95"/>
      <c r="P21" s="117"/>
      <c r="Q21" s="96"/>
      <c r="R21" s="96">
        <f t="shared" si="5"/>
        <v>0</v>
      </c>
      <c r="S21" s="96">
        <f t="shared" si="6"/>
        <v>29.86</v>
      </c>
      <c r="T21" s="96">
        <f t="shared" si="7"/>
        <v>29.86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121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481</v>
      </c>
      <c r="C23" s="114" t="s">
        <v>121</v>
      </c>
      <c r="D23" s="88"/>
      <c r="E23" s="89">
        <v>1000</v>
      </c>
      <c r="F23" s="115">
        <v>1</v>
      </c>
      <c r="G23" s="96">
        <v>96.01</v>
      </c>
      <c r="H23" s="91">
        <f t="shared" si="0"/>
        <v>69.569999999999993</v>
      </c>
      <c r="I23" s="92">
        <f t="shared" si="1"/>
        <v>96.01</v>
      </c>
      <c r="J23" s="107"/>
      <c r="K23" s="90">
        <f t="shared" si="2"/>
        <v>1</v>
      </c>
      <c r="L23" s="91">
        <f t="shared" si="3"/>
        <v>48.01</v>
      </c>
      <c r="M23" s="91">
        <f t="shared" si="4"/>
        <v>48.01</v>
      </c>
      <c r="N23" s="116"/>
      <c r="O23" s="95"/>
      <c r="P23" s="117"/>
      <c r="Q23" s="96"/>
      <c r="R23" s="96">
        <f t="shared" si="5"/>
        <v>0</v>
      </c>
      <c r="S23" s="96">
        <f t="shared" si="6"/>
        <v>48</v>
      </c>
      <c r="T23" s="96">
        <f t="shared" si="7"/>
        <v>48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279</v>
      </c>
      <c r="C24" s="101" t="s">
        <v>128</v>
      </c>
      <c r="D24" s="88"/>
      <c r="E24" s="102">
        <v>2000</v>
      </c>
      <c r="F24" s="103">
        <v>1</v>
      </c>
      <c r="G24" s="104">
        <v>78.959999999999994</v>
      </c>
      <c r="H24" s="105">
        <f t="shared" si="0"/>
        <v>57.22</v>
      </c>
      <c r="I24" s="106">
        <f t="shared" si="1"/>
        <v>78.959999999999994</v>
      </c>
      <c r="J24" s="107"/>
      <c r="K24" s="108">
        <f t="shared" si="2"/>
        <v>1</v>
      </c>
      <c r="L24" s="105">
        <f t="shared" si="3"/>
        <v>47.38</v>
      </c>
      <c r="M24" s="105">
        <f t="shared" si="4"/>
        <v>47.38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31.58</v>
      </c>
      <c r="T24" s="111">
        <f t="shared" si="7"/>
        <v>31.58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280</v>
      </c>
      <c r="C25" s="114" t="s">
        <v>131</v>
      </c>
      <c r="D25" s="88"/>
      <c r="E25" s="89">
        <v>2000</v>
      </c>
      <c r="F25" s="115">
        <v>1</v>
      </c>
      <c r="G25" s="96">
        <v>62.82</v>
      </c>
      <c r="H25" s="91">
        <f t="shared" si="0"/>
        <v>45.52</v>
      </c>
      <c r="I25" s="92">
        <f t="shared" si="1"/>
        <v>62.82</v>
      </c>
      <c r="J25" s="107"/>
      <c r="K25" s="90">
        <f t="shared" si="2"/>
        <v>1</v>
      </c>
      <c r="L25" s="91">
        <f t="shared" si="3"/>
        <v>37.69</v>
      </c>
      <c r="M25" s="91">
        <f t="shared" si="4"/>
        <v>37.69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25.13</v>
      </c>
      <c r="T25" s="96">
        <f t="shared" si="7"/>
        <v>25.13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482</v>
      </c>
      <c r="C26" s="101" t="s">
        <v>483</v>
      </c>
      <c r="D26" s="88"/>
      <c r="E26" s="102">
        <v>2000</v>
      </c>
      <c r="F26" s="103">
        <v>1</v>
      </c>
      <c r="G26" s="104">
        <v>402.83</v>
      </c>
      <c r="H26" s="105">
        <f t="shared" si="0"/>
        <v>291.91000000000003</v>
      </c>
      <c r="I26" s="106">
        <f t="shared" si="1"/>
        <v>402.83</v>
      </c>
      <c r="J26" s="107"/>
      <c r="K26" s="108">
        <f t="shared" si="2"/>
        <v>1</v>
      </c>
      <c r="L26" s="105">
        <f t="shared" si="3"/>
        <v>241.7</v>
      </c>
      <c r="M26" s="105">
        <f t="shared" si="4"/>
        <v>241.7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161.13</v>
      </c>
      <c r="T26" s="111">
        <f t="shared" si="7"/>
        <v>161.13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484</v>
      </c>
      <c r="C27" s="114" t="s">
        <v>134</v>
      </c>
      <c r="D27" s="88"/>
      <c r="E27" s="89">
        <v>2000</v>
      </c>
      <c r="F27" s="115">
        <v>1</v>
      </c>
      <c r="G27" s="96">
        <v>89.78</v>
      </c>
      <c r="H27" s="91">
        <f t="shared" si="0"/>
        <v>65.06</v>
      </c>
      <c r="I27" s="92">
        <f t="shared" si="1"/>
        <v>89.78</v>
      </c>
      <c r="J27" s="107"/>
      <c r="K27" s="90">
        <f t="shared" si="2"/>
        <v>1</v>
      </c>
      <c r="L27" s="91">
        <f t="shared" si="3"/>
        <v>53.87</v>
      </c>
      <c r="M27" s="91">
        <f t="shared" si="4"/>
        <v>53.87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35.909999999999997</v>
      </c>
      <c r="T27" s="96">
        <f t="shared" si="7"/>
        <v>35.909999999999997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485</v>
      </c>
      <c r="C28" s="101" t="s">
        <v>134</v>
      </c>
      <c r="D28" s="88"/>
      <c r="E28" s="102">
        <v>2000</v>
      </c>
      <c r="F28" s="103">
        <v>1</v>
      </c>
      <c r="G28" s="104">
        <v>99.36</v>
      </c>
      <c r="H28" s="105">
        <f t="shared" si="0"/>
        <v>72</v>
      </c>
      <c r="I28" s="106">
        <f t="shared" si="1"/>
        <v>99.36</v>
      </c>
      <c r="J28" s="107"/>
      <c r="K28" s="108">
        <f t="shared" si="2"/>
        <v>1</v>
      </c>
      <c r="L28" s="105">
        <f t="shared" si="3"/>
        <v>59.62</v>
      </c>
      <c r="M28" s="105">
        <f t="shared" si="4"/>
        <v>59.62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39.74</v>
      </c>
      <c r="T28" s="111">
        <f t="shared" si="7"/>
        <v>39.74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486</v>
      </c>
      <c r="C29" s="114" t="s">
        <v>487</v>
      </c>
      <c r="D29" s="88"/>
      <c r="E29" s="89" t="s">
        <v>138</v>
      </c>
      <c r="F29" s="115">
        <v>1</v>
      </c>
      <c r="G29" s="96">
        <v>11065.79</v>
      </c>
      <c r="H29" s="91">
        <f t="shared" si="0"/>
        <v>8018.69</v>
      </c>
      <c r="I29" s="92">
        <f t="shared" si="1"/>
        <v>11065.79</v>
      </c>
      <c r="J29" s="107"/>
      <c r="K29" s="90">
        <f t="shared" si="2"/>
        <v>1</v>
      </c>
      <c r="L29" s="91">
        <f t="shared" si="3"/>
        <v>6639.47</v>
      </c>
      <c r="M29" s="91">
        <f t="shared" si="4"/>
        <v>6639.47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4426.32</v>
      </c>
      <c r="T29" s="96">
        <f t="shared" si="7"/>
        <v>4426.32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488</v>
      </c>
      <c r="C30" s="101" t="s">
        <v>284</v>
      </c>
      <c r="D30" s="88"/>
      <c r="E30" s="102" t="s">
        <v>138</v>
      </c>
      <c r="F30" s="103">
        <v>1</v>
      </c>
      <c r="G30" s="104">
        <v>1198.52</v>
      </c>
      <c r="H30" s="105">
        <f t="shared" si="0"/>
        <v>868.49</v>
      </c>
      <c r="I30" s="106">
        <f t="shared" si="1"/>
        <v>1198.52</v>
      </c>
      <c r="J30" s="107"/>
      <c r="K30" s="108">
        <f t="shared" si="2"/>
        <v>1</v>
      </c>
      <c r="L30" s="105">
        <f t="shared" si="3"/>
        <v>719.11</v>
      </c>
      <c r="M30" s="105">
        <f t="shared" si="4"/>
        <v>719.11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479.41</v>
      </c>
      <c r="T30" s="111">
        <f t="shared" si="7"/>
        <v>479.41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489</v>
      </c>
      <c r="C31" s="114" t="s">
        <v>137</v>
      </c>
      <c r="D31" s="88"/>
      <c r="E31" s="89" t="s">
        <v>138</v>
      </c>
      <c r="F31" s="115">
        <v>1</v>
      </c>
      <c r="G31" s="96">
        <v>7535.59</v>
      </c>
      <c r="H31" s="91">
        <f t="shared" si="0"/>
        <v>5460.57</v>
      </c>
      <c r="I31" s="92">
        <f t="shared" si="1"/>
        <v>7535.59</v>
      </c>
      <c r="J31" s="107"/>
      <c r="K31" s="90">
        <f t="shared" si="2"/>
        <v>1</v>
      </c>
      <c r="L31" s="91">
        <f t="shared" si="3"/>
        <v>3767.8</v>
      </c>
      <c r="M31" s="91">
        <f t="shared" si="4"/>
        <v>3767.8</v>
      </c>
      <c r="N31" s="116"/>
      <c r="O31" s="95"/>
      <c r="P31" s="117"/>
      <c r="Q31" s="96"/>
      <c r="R31" s="96">
        <f t="shared" si="5"/>
        <v>0</v>
      </c>
      <c r="S31" s="96">
        <f t="shared" si="6"/>
        <v>3767.79</v>
      </c>
      <c r="T31" s="96">
        <f t="shared" si="7"/>
        <v>3767.79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287</v>
      </c>
      <c r="C32" s="101" t="s">
        <v>490</v>
      </c>
      <c r="D32" s="88"/>
      <c r="E32" s="102" t="s">
        <v>138</v>
      </c>
      <c r="F32" s="103">
        <v>4</v>
      </c>
      <c r="G32" s="104">
        <v>396.11</v>
      </c>
      <c r="H32" s="105">
        <f t="shared" si="0"/>
        <v>287.04000000000002</v>
      </c>
      <c r="I32" s="106">
        <f t="shared" si="1"/>
        <v>1584.44</v>
      </c>
      <c r="J32" s="107"/>
      <c r="K32" s="108">
        <f t="shared" si="2"/>
        <v>4</v>
      </c>
      <c r="L32" s="105">
        <f t="shared" si="3"/>
        <v>198.06</v>
      </c>
      <c r="M32" s="105">
        <f t="shared" si="4"/>
        <v>792.24</v>
      </c>
      <c r="N32" s="109"/>
      <c r="O32" s="95"/>
      <c r="P32" s="100"/>
      <c r="Q32" s="104"/>
      <c r="R32" s="110">
        <f t="shared" si="5"/>
        <v>0</v>
      </c>
      <c r="S32" s="111">
        <f t="shared" si="6"/>
        <v>198.05</v>
      </c>
      <c r="T32" s="111">
        <f t="shared" si="7"/>
        <v>792.2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491</v>
      </c>
      <c r="C33" s="114" t="s">
        <v>144</v>
      </c>
      <c r="D33" s="88"/>
      <c r="E33" s="89" t="s">
        <v>138</v>
      </c>
      <c r="F33" s="115">
        <v>1</v>
      </c>
      <c r="G33" s="96">
        <v>4075.51</v>
      </c>
      <c r="H33" s="91">
        <f t="shared" si="0"/>
        <v>2953.27</v>
      </c>
      <c r="I33" s="92">
        <f t="shared" si="1"/>
        <v>4075.51</v>
      </c>
      <c r="J33" s="107"/>
      <c r="K33" s="90">
        <f t="shared" si="2"/>
        <v>1</v>
      </c>
      <c r="L33" s="91">
        <f t="shared" si="3"/>
        <v>2037.76</v>
      </c>
      <c r="M33" s="91">
        <f t="shared" si="4"/>
        <v>2037.76</v>
      </c>
      <c r="N33" s="116"/>
      <c r="O33" s="95"/>
      <c r="P33" s="117"/>
      <c r="Q33" s="96"/>
      <c r="R33" s="96">
        <f t="shared" si="5"/>
        <v>0</v>
      </c>
      <c r="S33" s="96">
        <f t="shared" si="6"/>
        <v>2037.75</v>
      </c>
      <c r="T33" s="96">
        <f t="shared" si="7"/>
        <v>2037.75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492</v>
      </c>
      <c r="C34" s="101" t="s">
        <v>147</v>
      </c>
      <c r="D34" s="88"/>
      <c r="E34" s="102" t="s">
        <v>138</v>
      </c>
      <c r="F34" s="103">
        <v>6</v>
      </c>
      <c r="G34" s="104">
        <v>1606.8</v>
      </c>
      <c r="H34" s="105">
        <f t="shared" si="0"/>
        <v>1164.3499999999999</v>
      </c>
      <c r="I34" s="106">
        <f t="shared" si="1"/>
        <v>9640.7999999999993</v>
      </c>
      <c r="J34" s="107"/>
      <c r="K34" s="108">
        <f t="shared" si="2"/>
        <v>6</v>
      </c>
      <c r="L34" s="105">
        <f t="shared" si="3"/>
        <v>1124.76</v>
      </c>
      <c r="M34" s="105">
        <f t="shared" si="4"/>
        <v>6748.56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482.04</v>
      </c>
      <c r="T34" s="111">
        <f t="shared" si="7"/>
        <v>2892.24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493</v>
      </c>
      <c r="C35" s="114" t="s">
        <v>494</v>
      </c>
      <c r="D35" s="88"/>
      <c r="E35" s="89">
        <v>6000</v>
      </c>
      <c r="F35" s="115">
        <v>4</v>
      </c>
      <c r="G35" s="96">
        <v>7917.94</v>
      </c>
      <c r="H35" s="91">
        <f t="shared" si="0"/>
        <v>5737.64</v>
      </c>
      <c r="I35" s="92">
        <f t="shared" si="1"/>
        <v>31671.759999999998</v>
      </c>
      <c r="J35" s="107"/>
      <c r="K35" s="90">
        <f t="shared" si="2"/>
        <v>4</v>
      </c>
      <c r="L35" s="91">
        <f t="shared" si="3"/>
        <v>3958.97</v>
      </c>
      <c r="M35" s="91">
        <f t="shared" si="4"/>
        <v>15835.88</v>
      </c>
      <c r="N35" s="116"/>
      <c r="O35" s="95"/>
      <c r="P35" s="117"/>
      <c r="Q35" s="96"/>
      <c r="R35" s="96">
        <f t="shared" si="5"/>
        <v>0</v>
      </c>
      <c r="S35" s="96">
        <f t="shared" si="6"/>
        <v>3958.97</v>
      </c>
      <c r="T35" s="96">
        <f t="shared" si="7"/>
        <v>15835.88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371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495</v>
      </c>
      <c r="C37" s="114" t="s">
        <v>496</v>
      </c>
      <c r="D37" s="88"/>
      <c r="E37" s="89" t="s">
        <v>138</v>
      </c>
      <c r="F37" s="115">
        <v>8</v>
      </c>
      <c r="G37" s="96">
        <v>59.52</v>
      </c>
      <c r="H37" s="91">
        <f t="shared" si="0"/>
        <v>43.13</v>
      </c>
      <c r="I37" s="92">
        <f t="shared" si="1"/>
        <v>476.16</v>
      </c>
      <c r="J37" s="107"/>
      <c r="K37" s="90">
        <f t="shared" si="2"/>
        <v>8</v>
      </c>
      <c r="L37" s="91">
        <f t="shared" si="3"/>
        <v>41.66</v>
      </c>
      <c r="M37" s="91">
        <f t="shared" si="4"/>
        <v>333.28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17.86</v>
      </c>
      <c r="T37" s="96">
        <f t="shared" si="7"/>
        <v>142.88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497</v>
      </c>
      <c r="C38" s="101" t="s">
        <v>267</v>
      </c>
      <c r="D38" s="88"/>
      <c r="E38" s="102" t="s">
        <v>138</v>
      </c>
      <c r="F38" s="103">
        <v>6</v>
      </c>
      <c r="G38" s="104">
        <v>213</v>
      </c>
      <c r="H38" s="105">
        <f t="shared" si="0"/>
        <v>154.35</v>
      </c>
      <c r="I38" s="106">
        <f t="shared" si="1"/>
        <v>1278</v>
      </c>
      <c r="J38" s="107"/>
      <c r="K38" s="108">
        <f t="shared" si="2"/>
        <v>6</v>
      </c>
      <c r="L38" s="105">
        <f t="shared" si="3"/>
        <v>149.1</v>
      </c>
      <c r="M38" s="105">
        <f t="shared" si="4"/>
        <v>894.6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63.9</v>
      </c>
      <c r="T38" s="111">
        <f t="shared" si="7"/>
        <v>383.4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498</v>
      </c>
      <c r="C39" s="114" t="s">
        <v>297</v>
      </c>
      <c r="D39" s="88"/>
      <c r="E39" s="89" t="s">
        <v>138</v>
      </c>
      <c r="F39" s="115">
        <v>1</v>
      </c>
      <c r="G39" s="96">
        <v>266.14999999999998</v>
      </c>
      <c r="H39" s="91">
        <f t="shared" si="0"/>
        <v>192.86</v>
      </c>
      <c r="I39" s="92">
        <f t="shared" si="1"/>
        <v>266.14999999999998</v>
      </c>
      <c r="J39" s="107"/>
      <c r="K39" s="90">
        <f t="shared" si="2"/>
        <v>1</v>
      </c>
      <c r="L39" s="91">
        <f t="shared" si="3"/>
        <v>186.31</v>
      </c>
      <c r="M39" s="91">
        <f t="shared" si="4"/>
        <v>186.31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79.84</v>
      </c>
      <c r="T39" s="96">
        <f t="shared" si="7"/>
        <v>79.84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499</v>
      </c>
      <c r="C40" s="101" t="s">
        <v>297</v>
      </c>
      <c r="D40" s="88"/>
      <c r="E40" s="102" t="s">
        <v>138</v>
      </c>
      <c r="F40" s="103">
        <v>1</v>
      </c>
      <c r="G40" s="104">
        <v>266.14999999999998</v>
      </c>
      <c r="H40" s="105">
        <f t="shared" si="0"/>
        <v>192.86</v>
      </c>
      <c r="I40" s="106">
        <f t="shared" si="1"/>
        <v>266.14999999999998</v>
      </c>
      <c r="J40" s="107"/>
      <c r="K40" s="108">
        <f t="shared" si="2"/>
        <v>1</v>
      </c>
      <c r="L40" s="105">
        <f t="shared" si="3"/>
        <v>186.31</v>
      </c>
      <c r="M40" s="105">
        <f t="shared" si="4"/>
        <v>186.31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79.84</v>
      </c>
      <c r="T40" s="111">
        <f t="shared" si="7"/>
        <v>79.84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500</v>
      </c>
      <c r="C41" s="114" t="s">
        <v>156</v>
      </c>
      <c r="D41" s="88"/>
      <c r="E41" s="89" t="s">
        <v>138</v>
      </c>
      <c r="F41" s="115">
        <v>2</v>
      </c>
      <c r="G41" s="96">
        <v>154.33000000000001</v>
      </c>
      <c r="H41" s="91">
        <f t="shared" si="0"/>
        <v>111.83</v>
      </c>
      <c r="I41" s="92">
        <f t="shared" si="1"/>
        <v>308.66000000000003</v>
      </c>
      <c r="J41" s="107"/>
      <c r="K41" s="90">
        <f t="shared" si="2"/>
        <v>2</v>
      </c>
      <c r="L41" s="91">
        <f t="shared" si="3"/>
        <v>108.03</v>
      </c>
      <c r="M41" s="91">
        <f t="shared" si="4"/>
        <v>216.06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46.3</v>
      </c>
      <c r="T41" s="96">
        <f t="shared" si="7"/>
        <v>92.6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501</v>
      </c>
      <c r="C42" s="101" t="s">
        <v>502</v>
      </c>
      <c r="D42" s="88"/>
      <c r="E42" s="102" t="s">
        <v>138</v>
      </c>
      <c r="F42" s="103">
        <v>1</v>
      </c>
      <c r="G42" s="104">
        <v>175.63</v>
      </c>
      <c r="H42" s="105">
        <f t="shared" si="0"/>
        <v>127.27</v>
      </c>
      <c r="I42" s="106">
        <f t="shared" si="1"/>
        <v>175.63</v>
      </c>
      <c r="J42" s="107"/>
      <c r="K42" s="108">
        <f t="shared" si="2"/>
        <v>1</v>
      </c>
      <c r="L42" s="105">
        <f t="shared" si="3"/>
        <v>122.94</v>
      </c>
      <c r="M42" s="105">
        <f t="shared" si="4"/>
        <v>122.94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52.69</v>
      </c>
      <c r="T42" s="111">
        <f t="shared" si="7"/>
        <v>52.69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503</v>
      </c>
      <c r="C43" s="114" t="s">
        <v>156</v>
      </c>
      <c r="D43" s="88"/>
      <c r="E43" s="89" t="s">
        <v>138</v>
      </c>
      <c r="F43" s="115">
        <v>2</v>
      </c>
      <c r="G43" s="96">
        <v>147.27000000000001</v>
      </c>
      <c r="H43" s="91">
        <f t="shared" si="0"/>
        <v>106.72</v>
      </c>
      <c r="I43" s="92">
        <f t="shared" si="1"/>
        <v>294.54000000000002</v>
      </c>
      <c r="J43" s="107"/>
      <c r="K43" s="90">
        <f t="shared" si="2"/>
        <v>2</v>
      </c>
      <c r="L43" s="91">
        <f t="shared" si="3"/>
        <v>103.09</v>
      </c>
      <c r="M43" s="91">
        <f t="shared" si="4"/>
        <v>206.18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44.18</v>
      </c>
      <c r="T43" s="96">
        <f t="shared" si="7"/>
        <v>88.36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504</v>
      </c>
      <c r="C44" s="101" t="s">
        <v>502</v>
      </c>
      <c r="D44" s="88"/>
      <c r="E44" s="102" t="s">
        <v>138</v>
      </c>
      <c r="F44" s="103">
        <v>1</v>
      </c>
      <c r="G44" s="104">
        <v>175.63</v>
      </c>
      <c r="H44" s="105">
        <f t="shared" si="0"/>
        <v>127.27</v>
      </c>
      <c r="I44" s="106">
        <f t="shared" si="1"/>
        <v>175.63</v>
      </c>
      <c r="J44" s="107"/>
      <c r="K44" s="108">
        <f t="shared" si="2"/>
        <v>1</v>
      </c>
      <c r="L44" s="105">
        <f t="shared" si="3"/>
        <v>122.94</v>
      </c>
      <c r="M44" s="105">
        <f t="shared" si="4"/>
        <v>122.94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52.69</v>
      </c>
      <c r="T44" s="111">
        <f t="shared" si="7"/>
        <v>52.69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136" t="s">
        <v>505</v>
      </c>
      <c r="C45" s="114" t="s">
        <v>156</v>
      </c>
      <c r="D45" s="88"/>
      <c r="E45" s="89" t="s">
        <v>138</v>
      </c>
      <c r="F45" s="115">
        <v>1</v>
      </c>
      <c r="G45" s="96">
        <v>865.91</v>
      </c>
      <c r="H45" s="91">
        <f t="shared" si="0"/>
        <v>627.47</v>
      </c>
      <c r="I45" s="92">
        <f t="shared" si="1"/>
        <v>865.91</v>
      </c>
      <c r="J45" s="107"/>
      <c r="K45" s="90">
        <f t="shared" si="2"/>
        <v>1</v>
      </c>
      <c r="L45" s="91">
        <f t="shared" si="3"/>
        <v>606.14</v>
      </c>
      <c r="M45" s="91">
        <f t="shared" si="4"/>
        <v>606.14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259.77</v>
      </c>
      <c r="T45" s="96">
        <f t="shared" si="7"/>
        <v>259.77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51</v>
      </c>
      <c r="G50" s="123">
        <f t="shared" si="10"/>
        <v>37182.93</v>
      </c>
      <c r="H50" s="124">
        <f t="shared" si="10"/>
        <v>26944.160000000003</v>
      </c>
      <c r="I50" s="125">
        <f t="shared" si="10"/>
        <v>71942.319999999992</v>
      </c>
      <c r="J50" s="126"/>
      <c r="K50" s="127">
        <f t="shared" ref="K50:M50" si="11">SUM(K19:K49)</f>
        <v>51</v>
      </c>
      <c r="L50" s="124">
        <f t="shared" si="11"/>
        <v>20677.399999999998</v>
      </c>
      <c r="M50" s="125">
        <f t="shared" si="11"/>
        <v>40020.529999999992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16505.53</v>
      </c>
      <c r="T50" s="125">
        <f t="shared" si="12"/>
        <v>31921.79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91" priority="1" stopIfTrue="1">
      <formula>$U$9&gt;100%</formula>
    </cfRule>
    <cfRule type="expression" dxfId="190" priority="2">
      <formula>$U$9&lt;50%</formula>
    </cfRule>
  </conditionalFormatting>
  <conditionalFormatting sqref="V9:V11">
    <cfRule type="expression" dxfId="189" priority="3">
      <formula>$V$9&lt;50%</formula>
    </cfRule>
    <cfRule type="expression" dxfId="188" priority="4">
      <formula>$V$9&gt;50%</formula>
    </cfRule>
  </conditionalFormatting>
  <dataValidations count="4">
    <dataValidation type="list" allowBlank="1" showErrorMessage="1" sqref="E19:E49" xr:uid="{00000000-0002-0000-1900-000000000000}">
      <formula1>$Z$19:$Z$30</formula1>
    </dataValidation>
    <dataValidation type="list" allowBlank="1" showErrorMessage="1" sqref="I14" xr:uid="{00000000-0002-0000-1900-000001000000}">
      <formula1>$Y$14:$Y$15</formula1>
    </dataValidation>
    <dataValidation type="list" allowBlank="1" showErrorMessage="1" sqref="J14" xr:uid="{00000000-0002-0000-1900-000002000000}">
      <formula1>$L$9</formula1>
    </dataValidation>
    <dataValidation type="list" allowBlank="1" showErrorMessage="1" sqref="Q15 G18 L18 Q18" xr:uid="{00000000-0002-0000-19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506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71942.319999999992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40020.529999999992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31921.79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476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0.44371365838632953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507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31921.79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508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40020.529999999992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479</v>
      </c>
      <c r="C19" s="87" t="s">
        <v>169</v>
      </c>
      <c r="D19" s="88"/>
      <c r="E19" s="89">
        <v>500</v>
      </c>
      <c r="F19" s="90">
        <v>1</v>
      </c>
      <c r="G19" s="91">
        <v>27.65</v>
      </c>
      <c r="H19" s="91">
        <f t="shared" ref="H19:H49" si="0">ROUND(IF($G$18="USD $", G19*$F$16,G19*$E$16),2)</f>
        <v>20.04</v>
      </c>
      <c r="I19" s="92">
        <f t="shared" ref="I19:I49" si="1">ROUND(IF($I$18=$H$18,F19*H19,F19*G19),2)</f>
        <v>27.65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13.83</v>
      </c>
      <c r="M19" s="91">
        <f t="shared" ref="M19:M49" si="4">ROUND((K19*L19),2)</f>
        <v>13.83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13.82</v>
      </c>
      <c r="T19" s="96">
        <f t="shared" ref="T19:T49" si="7">ROUND(I19-M19,2)</f>
        <v>13.82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480</v>
      </c>
      <c r="C20" s="101" t="s">
        <v>118</v>
      </c>
      <c r="D20" s="88"/>
      <c r="E20" s="102">
        <v>500</v>
      </c>
      <c r="F20" s="103">
        <v>1</v>
      </c>
      <c r="G20" s="104">
        <v>61.55</v>
      </c>
      <c r="H20" s="105">
        <f t="shared" si="0"/>
        <v>44.6</v>
      </c>
      <c r="I20" s="106">
        <f t="shared" si="1"/>
        <v>61.55</v>
      </c>
      <c r="J20" s="107"/>
      <c r="K20" s="108">
        <f t="shared" si="2"/>
        <v>1</v>
      </c>
      <c r="L20" s="105">
        <f t="shared" si="3"/>
        <v>30.78</v>
      </c>
      <c r="M20" s="105">
        <f t="shared" si="4"/>
        <v>30.78</v>
      </c>
      <c r="N20" s="109"/>
      <c r="O20" s="95"/>
      <c r="P20" s="100"/>
      <c r="Q20" s="104"/>
      <c r="R20" s="110">
        <f t="shared" si="5"/>
        <v>0</v>
      </c>
      <c r="S20" s="111">
        <f t="shared" si="6"/>
        <v>30.77</v>
      </c>
      <c r="T20" s="111">
        <f t="shared" si="7"/>
        <v>30.77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275</v>
      </c>
      <c r="C21" s="114" t="s">
        <v>115</v>
      </c>
      <c r="D21" s="88"/>
      <c r="E21" s="89">
        <v>500</v>
      </c>
      <c r="F21" s="115">
        <v>1</v>
      </c>
      <c r="G21" s="96">
        <v>59.73</v>
      </c>
      <c r="H21" s="91">
        <f t="shared" si="0"/>
        <v>43.28</v>
      </c>
      <c r="I21" s="92">
        <f t="shared" si="1"/>
        <v>59.73</v>
      </c>
      <c r="J21" s="107"/>
      <c r="K21" s="90">
        <f t="shared" si="2"/>
        <v>1</v>
      </c>
      <c r="L21" s="91">
        <f t="shared" si="3"/>
        <v>29.87</v>
      </c>
      <c r="M21" s="91">
        <f t="shared" si="4"/>
        <v>29.87</v>
      </c>
      <c r="N21" s="116"/>
      <c r="O21" s="95"/>
      <c r="P21" s="117"/>
      <c r="Q21" s="96"/>
      <c r="R21" s="96">
        <f t="shared" si="5"/>
        <v>0</v>
      </c>
      <c r="S21" s="96">
        <f t="shared" si="6"/>
        <v>29.86</v>
      </c>
      <c r="T21" s="96">
        <f t="shared" si="7"/>
        <v>29.86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387</v>
      </c>
      <c r="C22" s="101" t="s">
        <v>121</v>
      </c>
      <c r="D22" s="88"/>
      <c r="E22" s="102">
        <v>1000</v>
      </c>
      <c r="F22" s="103">
        <v>1</v>
      </c>
      <c r="G22" s="104">
        <v>84.39</v>
      </c>
      <c r="H22" s="105">
        <f t="shared" si="0"/>
        <v>61.15</v>
      </c>
      <c r="I22" s="106">
        <f t="shared" si="1"/>
        <v>84.39</v>
      </c>
      <c r="J22" s="107"/>
      <c r="K22" s="108">
        <f t="shared" si="2"/>
        <v>1</v>
      </c>
      <c r="L22" s="105">
        <f t="shared" si="3"/>
        <v>42.2</v>
      </c>
      <c r="M22" s="105">
        <f t="shared" si="4"/>
        <v>42.2</v>
      </c>
      <c r="N22" s="109"/>
      <c r="O22" s="95"/>
      <c r="P22" s="100"/>
      <c r="Q22" s="104"/>
      <c r="R22" s="110">
        <f t="shared" si="5"/>
        <v>0</v>
      </c>
      <c r="S22" s="111">
        <f t="shared" si="6"/>
        <v>42.19</v>
      </c>
      <c r="T22" s="111">
        <f t="shared" si="7"/>
        <v>42.19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481</v>
      </c>
      <c r="C23" s="114" t="s">
        <v>121</v>
      </c>
      <c r="D23" s="88"/>
      <c r="E23" s="89">
        <v>1000</v>
      </c>
      <c r="F23" s="115">
        <v>1</v>
      </c>
      <c r="G23" s="96">
        <v>96.01</v>
      </c>
      <c r="H23" s="91">
        <f t="shared" si="0"/>
        <v>69.569999999999993</v>
      </c>
      <c r="I23" s="92">
        <f t="shared" si="1"/>
        <v>96.01</v>
      </c>
      <c r="J23" s="107"/>
      <c r="K23" s="90">
        <f t="shared" si="2"/>
        <v>1</v>
      </c>
      <c r="L23" s="91">
        <f t="shared" si="3"/>
        <v>48.01</v>
      </c>
      <c r="M23" s="91">
        <f t="shared" si="4"/>
        <v>48.01</v>
      </c>
      <c r="N23" s="116"/>
      <c r="O23" s="95"/>
      <c r="P23" s="117"/>
      <c r="Q23" s="96"/>
      <c r="R23" s="96">
        <f t="shared" si="5"/>
        <v>0</v>
      </c>
      <c r="S23" s="96">
        <f t="shared" si="6"/>
        <v>48</v>
      </c>
      <c r="T23" s="96">
        <f t="shared" si="7"/>
        <v>48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279</v>
      </c>
      <c r="C24" s="101" t="s">
        <v>128</v>
      </c>
      <c r="D24" s="88"/>
      <c r="E24" s="102">
        <v>2000</v>
      </c>
      <c r="F24" s="103">
        <v>1</v>
      </c>
      <c r="G24" s="104">
        <v>78.959999999999994</v>
      </c>
      <c r="H24" s="105">
        <f t="shared" si="0"/>
        <v>57.22</v>
      </c>
      <c r="I24" s="106">
        <f t="shared" si="1"/>
        <v>78.959999999999994</v>
      </c>
      <c r="J24" s="107"/>
      <c r="K24" s="108">
        <f t="shared" si="2"/>
        <v>1</v>
      </c>
      <c r="L24" s="105">
        <f t="shared" si="3"/>
        <v>47.38</v>
      </c>
      <c r="M24" s="105">
        <f t="shared" si="4"/>
        <v>47.38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31.58</v>
      </c>
      <c r="T24" s="111">
        <f t="shared" si="7"/>
        <v>31.58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280</v>
      </c>
      <c r="C25" s="114" t="s">
        <v>131</v>
      </c>
      <c r="D25" s="88"/>
      <c r="E25" s="89">
        <v>2000</v>
      </c>
      <c r="F25" s="115">
        <v>1</v>
      </c>
      <c r="G25" s="96">
        <v>62.82</v>
      </c>
      <c r="H25" s="91">
        <f t="shared" si="0"/>
        <v>45.52</v>
      </c>
      <c r="I25" s="92">
        <f t="shared" si="1"/>
        <v>62.82</v>
      </c>
      <c r="J25" s="107"/>
      <c r="K25" s="90">
        <f t="shared" si="2"/>
        <v>1</v>
      </c>
      <c r="L25" s="91">
        <f t="shared" si="3"/>
        <v>37.69</v>
      </c>
      <c r="M25" s="91">
        <f t="shared" si="4"/>
        <v>37.69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25.13</v>
      </c>
      <c r="T25" s="96">
        <f t="shared" si="7"/>
        <v>25.13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482</v>
      </c>
      <c r="C26" s="101" t="s">
        <v>483</v>
      </c>
      <c r="D26" s="88"/>
      <c r="E26" s="102">
        <v>2000</v>
      </c>
      <c r="F26" s="103">
        <v>1</v>
      </c>
      <c r="G26" s="104">
        <v>402.83</v>
      </c>
      <c r="H26" s="105">
        <f t="shared" si="0"/>
        <v>291.91000000000003</v>
      </c>
      <c r="I26" s="106">
        <f t="shared" si="1"/>
        <v>402.83</v>
      </c>
      <c r="J26" s="107"/>
      <c r="K26" s="108">
        <f t="shared" si="2"/>
        <v>1</v>
      </c>
      <c r="L26" s="105">
        <f t="shared" si="3"/>
        <v>241.7</v>
      </c>
      <c r="M26" s="105">
        <f t="shared" si="4"/>
        <v>241.7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161.13</v>
      </c>
      <c r="T26" s="111">
        <f t="shared" si="7"/>
        <v>161.13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484</v>
      </c>
      <c r="C27" s="114" t="s">
        <v>134</v>
      </c>
      <c r="D27" s="88"/>
      <c r="E27" s="89">
        <v>2000</v>
      </c>
      <c r="F27" s="115">
        <v>1</v>
      </c>
      <c r="G27" s="96">
        <v>89.78</v>
      </c>
      <c r="H27" s="91">
        <f t="shared" si="0"/>
        <v>65.06</v>
      </c>
      <c r="I27" s="92">
        <f t="shared" si="1"/>
        <v>89.78</v>
      </c>
      <c r="J27" s="107"/>
      <c r="K27" s="90">
        <f t="shared" si="2"/>
        <v>1</v>
      </c>
      <c r="L27" s="91">
        <f t="shared" si="3"/>
        <v>53.87</v>
      </c>
      <c r="M27" s="91">
        <f t="shared" si="4"/>
        <v>53.87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35.909999999999997</v>
      </c>
      <c r="T27" s="96">
        <f t="shared" si="7"/>
        <v>35.909999999999997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485</v>
      </c>
      <c r="C28" s="101" t="s">
        <v>134</v>
      </c>
      <c r="D28" s="88"/>
      <c r="E28" s="102">
        <v>2000</v>
      </c>
      <c r="F28" s="103">
        <v>1</v>
      </c>
      <c r="G28" s="104">
        <v>99.36</v>
      </c>
      <c r="H28" s="105">
        <f t="shared" si="0"/>
        <v>72</v>
      </c>
      <c r="I28" s="106">
        <f t="shared" si="1"/>
        <v>99.36</v>
      </c>
      <c r="J28" s="107"/>
      <c r="K28" s="108">
        <f t="shared" si="2"/>
        <v>1</v>
      </c>
      <c r="L28" s="105">
        <f t="shared" si="3"/>
        <v>59.62</v>
      </c>
      <c r="M28" s="105">
        <f t="shared" si="4"/>
        <v>59.62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39.74</v>
      </c>
      <c r="T28" s="111">
        <f t="shared" si="7"/>
        <v>39.74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486</v>
      </c>
      <c r="C29" s="114" t="s">
        <v>487</v>
      </c>
      <c r="D29" s="88"/>
      <c r="E29" s="89" t="s">
        <v>138</v>
      </c>
      <c r="F29" s="115">
        <v>1</v>
      </c>
      <c r="G29" s="96">
        <v>11065.79</v>
      </c>
      <c r="H29" s="91">
        <f t="shared" si="0"/>
        <v>8018.69</v>
      </c>
      <c r="I29" s="92">
        <f t="shared" si="1"/>
        <v>11065.79</v>
      </c>
      <c r="J29" s="107"/>
      <c r="K29" s="90">
        <f t="shared" si="2"/>
        <v>1</v>
      </c>
      <c r="L29" s="91">
        <f t="shared" si="3"/>
        <v>6639.47</v>
      </c>
      <c r="M29" s="91">
        <f t="shared" si="4"/>
        <v>6639.47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4426.32</v>
      </c>
      <c r="T29" s="96">
        <f t="shared" si="7"/>
        <v>4426.32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488</v>
      </c>
      <c r="C30" s="101" t="s">
        <v>284</v>
      </c>
      <c r="D30" s="88"/>
      <c r="E30" s="102" t="s">
        <v>138</v>
      </c>
      <c r="F30" s="103">
        <v>1</v>
      </c>
      <c r="G30" s="104">
        <v>1198.52</v>
      </c>
      <c r="H30" s="105">
        <f t="shared" si="0"/>
        <v>868.49</v>
      </c>
      <c r="I30" s="106">
        <f t="shared" si="1"/>
        <v>1198.52</v>
      </c>
      <c r="J30" s="107"/>
      <c r="K30" s="108">
        <f t="shared" si="2"/>
        <v>1</v>
      </c>
      <c r="L30" s="105">
        <f t="shared" si="3"/>
        <v>719.11</v>
      </c>
      <c r="M30" s="105">
        <f t="shared" si="4"/>
        <v>719.11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479.41</v>
      </c>
      <c r="T30" s="111">
        <f t="shared" si="7"/>
        <v>479.41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489</v>
      </c>
      <c r="C31" s="114" t="s">
        <v>137</v>
      </c>
      <c r="D31" s="88"/>
      <c r="E31" s="89" t="s">
        <v>138</v>
      </c>
      <c r="F31" s="115">
        <v>1</v>
      </c>
      <c r="G31" s="96">
        <v>7535.59</v>
      </c>
      <c r="H31" s="91">
        <f t="shared" si="0"/>
        <v>5460.57</v>
      </c>
      <c r="I31" s="92">
        <f t="shared" si="1"/>
        <v>7535.59</v>
      </c>
      <c r="J31" s="107"/>
      <c r="K31" s="90">
        <f t="shared" si="2"/>
        <v>1</v>
      </c>
      <c r="L31" s="91">
        <f t="shared" si="3"/>
        <v>3767.8</v>
      </c>
      <c r="M31" s="91">
        <f t="shared" si="4"/>
        <v>3767.8</v>
      </c>
      <c r="N31" s="116"/>
      <c r="O31" s="95"/>
      <c r="P31" s="117"/>
      <c r="Q31" s="96"/>
      <c r="R31" s="96">
        <f t="shared" si="5"/>
        <v>0</v>
      </c>
      <c r="S31" s="96">
        <f t="shared" si="6"/>
        <v>3767.79</v>
      </c>
      <c r="T31" s="96">
        <f t="shared" si="7"/>
        <v>3767.79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287</v>
      </c>
      <c r="C32" s="101" t="s">
        <v>490</v>
      </c>
      <c r="D32" s="88"/>
      <c r="E32" s="102" t="s">
        <v>138</v>
      </c>
      <c r="F32" s="103">
        <v>4</v>
      </c>
      <c r="G32" s="104">
        <v>396.11</v>
      </c>
      <c r="H32" s="105">
        <f t="shared" si="0"/>
        <v>287.04000000000002</v>
      </c>
      <c r="I32" s="106">
        <f t="shared" si="1"/>
        <v>1584.44</v>
      </c>
      <c r="J32" s="107"/>
      <c r="K32" s="108">
        <f t="shared" si="2"/>
        <v>4</v>
      </c>
      <c r="L32" s="105">
        <f t="shared" si="3"/>
        <v>198.06</v>
      </c>
      <c r="M32" s="105">
        <f t="shared" si="4"/>
        <v>792.24</v>
      </c>
      <c r="N32" s="109"/>
      <c r="O32" s="95"/>
      <c r="P32" s="100"/>
      <c r="Q32" s="104"/>
      <c r="R32" s="110">
        <f t="shared" si="5"/>
        <v>0</v>
      </c>
      <c r="S32" s="111">
        <f t="shared" si="6"/>
        <v>198.05</v>
      </c>
      <c r="T32" s="111">
        <f t="shared" si="7"/>
        <v>792.2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491</v>
      </c>
      <c r="C33" s="114" t="s">
        <v>144</v>
      </c>
      <c r="D33" s="88"/>
      <c r="E33" s="89" t="s">
        <v>138</v>
      </c>
      <c r="F33" s="115">
        <v>1</v>
      </c>
      <c r="G33" s="96">
        <v>4075.51</v>
      </c>
      <c r="H33" s="91">
        <f t="shared" si="0"/>
        <v>2953.27</v>
      </c>
      <c r="I33" s="92">
        <f t="shared" si="1"/>
        <v>4075.51</v>
      </c>
      <c r="J33" s="107"/>
      <c r="K33" s="90">
        <f t="shared" si="2"/>
        <v>1</v>
      </c>
      <c r="L33" s="91">
        <f t="shared" si="3"/>
        <v>2037.76</v>
      </c>
      <c r="M33" s="91">
        <f t="shared" si="4"/>
        <v>2037.76</v>
      </c>
      <c r="N33" s="116"/>
      <c r="O33" s="95"/>
      <c r="P33" s="117"/>
      <c r="Q33" s="96"/>
      <c r="R33" s="96">
        <f t="shared" si="5"/>
        <v>0</v>
      </c>
      <c r="S33" s="96">
        <f t="shared" si="6"/>
        <v>2037.75</v>
      </c>
      <c r="T33" s="96">
        <f t="shared" si="7"/>
        <v>2037.75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492</v>
      </c>
      <c r="C34" s="101" t="s">
        <v>147</v>
      </c>
      <c r="D34" s="88"/>
      <c r="E34" s="102" t="s">
        <v>138</v>
      </c>
      <c r="F34" s="103">
        <v>6</v>
      </c>
      <c r="G34" s="104">
        <v>1606.8</v>
      </c>
      <c r="H34" s="105">
        <f t="shared" si="0"/>
        <v>1164.3499999999999</v>
      </c>
      <c r="I34" s="106">
        <f t="shared" si="1"/>
        <v>9640.7999999999993</v>
      </c>
      <c r="J34" s="107"/>
      <c r="K34" s="108">
        <f t="shared" si="2"/>
        <v>6</v>
      </c>
      <c r="L34" s="105">
        <f t="shared" si="3"/>
        <v>1124.76</v>
      </c>
      <c r="M34" s="105">
        <f t="shared" si="4"/>
        <v>6748.56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482.04</v>
      </c>
      <c r="T34" s="111">
        <f t="shared" si="7"/>
        <v>2892.24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493</v>
      </c>
      <c r="C35" s="114" t="s">
        <v>494</v>
      </c>
      <c r="D35" s="88"/>
      <c r="E35" s="89">
        <v>6000</v>
      </c>
      <c r="F35" s="115">
        <v>4</v>
      </c>
      <c r="G35" s="96">
        <v>7917.94</v>
      </c>
      <c r="H35" s="91">
        <f t="shared" si="0"/>
        <v>5737.64</v>
      </c>
      <c r="I35" s="92">
        <f t="shared" si="1"/>
        <v>31671.759999999998</v>
      </c>
      <c r="J35" s="107"/>
      <c r="K35" s="90">
        <f t="shared" si="2"/>
        <v>4</v>
      </c>
      <c r="L35" s="91">
        <f t="shared" si="3"/>
        <v>3958.97</v>
      </c>
      <c r="M35" s="91">
        <f t="shared" si="4"/>
        <v>15835.88</v>
      </c>
      <c r="N35" s="116"/>
      <c r="O35" s="95"/>
      <c r="P35" s="117"/>
      <c r="Q35" s="96"/>
      <c r="R35" s="96">
        <f t="shared" si="5"/>
        <v>0</v>
      </c>
      <c r="S35" s="96">
        <f t="shared" si="6"/>
        <v>3958.97</v>
      </c>
      <c r="T35" s="96">
        <f t="shared" si="7"/>
        <v>15835.88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371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495</v>
      </c>
      <c r="C37" s="114" t="s">
        <v>496</v>
      </c>
      <c r="D37" s="88"/>
      <c r="E37" s="89" t="s">
        <v>138</v>
      </c>
      <c r="F37" s="115">
        <v>8</v>
      </c>
      <c r="G37" s="96">
        <v>59.52</v>
      </c>
      <c r="H37" s="91">
        <f t="shared" si="0"/>
        <v>43.13</v>
      </c>
      <c r="I37" s="92">
        <f t="shared" si="1"/>
        <v>476.16</v>
      </c>
      <c r="J37" s="107"/>
      <c r="K37" s="90">
        <f t="shared" si="2"/>
        <v>8</v>
      </c>
      <c r="L37" s="91">
        <f t="shared" si="3"/>
        <v>41.66</v>
      </c>
      <c r="M37" s="91">
        <f t="shared" si="4"/>
        <v>333.28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17.86</v>
      </c>
      <c r="T37" s="96">
        <f t="shared" si="7"/>
        <v>142.88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497</v>
      </c>
      <c r="C38" s="101" t="s">
        <v>267</v>
      </c>
      <c r="D38" s="88"/>
      <c r="E38" s="102" t="s">
        <v>138</v>
      </c>
      <c r="F38" s="103">
        <v>6</v>
      </c>
      <c r="G38" s="104">
        <v>213</v>
      </c>
      <c r="H38" s="105">
        <f t="shared" si="0"/>
        <v>154.35</v>
      </c>
      <c r="I38" s="106">
        <f t="shared" si="1"/>
        <v>1278</v>
      </c>
      <c r="J38" s="107"/>
      <c r="K38" s="108">
        <f t="shared" si="2"/>
        <v>6</v>
      </c>
      <c r="L38" s="105">
        <f t="shared" si="3"/>
        <v>149.1</v>
      </c>
      <c r="M38" s="105">
        <f t="shared" si="4"/>
        <v>894.6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63.9</v>
      </c>
      <c r="T38" s="111">
        <f t="shared" si="7"/>
        <v>383.4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498</v>
      </c>
      <c r="C39" s="114" t="s">
        <v>297</v>
      </c>
      <c r="D39" s="88"/>
      <c r="E39" s="89" t="s">
        <v>138</v>
      </c>
      <c r="F39" s="115">
        <v>1</v>
      </c>
      <c r="G39" s="96">
        <v>266.14999999999998</v>
      </c>
      <c r="H39" s="91">
        <f t="shared" si="0"/>
        <v>192.86</v>
      </c>
      <c r="I39" s="92">
        <f t="shared" si="1"/>
        <v>266.14999999999998</v>
      </c>
      <c r="J39" s="107"/>
      <c r="K39" s="90">
        <f t="shared" si="2"/>
        <v>1</v>
      </c>
      <c r="L39" s="91">
        <f t="shared" si="3"/>
        <v>186.31</v>
      </c>
      <c r="M39" s="91">
        <f t="shared" si="4"/>
        <v>186.31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79.84</v>
      </c>
      <c r="T39" s="96">
        <f t="shared" si="7"/>
        <v>79.84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499</v>
      </c>
      <c r="C40" s="101" t="s">
        <v>297</v>
      </c>
      <c r="D40" s="88"/>
      <c r="E40" s="102" t="s">
        <v>138</v>
      </c>
      <c r="F40" s="103">
        <v>1</v>
      </c>
      <c r="G40" s="104">
        <v>266.14999999999998</v>
      </c>
      <c r="H40" s="105">
        <f t="shared" si="0"/>
        <v>192.86</v>
      </c>
      <c r="I40" s="106">
        <f t="shared" si="1"/>
        <v>266.14999999999998</v>
      </c>
      <c r="J40" s="107"/>
      <c r="K40" s="108">
        <f t="shared" si="2"/>
        <v>1</v>
      </c>
      <c r="L40" s="105">
        <f t="shared" si="3"/>
        <v>186.31</v>
      </c>
      <c r="M40" s="105">
        <f t="shared" si="4"/>
        <v>186.31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79.84</v>
      </c>
      <c r="T40" s="111">
        <f t="shared" si="7"/>
        <v>79.84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500</v>
      </c>
      <c r="C41" s="114" t="s">
        <v>156</v>
      </c>
      <c r="D41" s="88"/>
      <c r="E41" s="89" t="s">
        <v>138</v>
      </c>
      <c r="F41" s="115">
        <v>2</v>
      </c>
      <c r="G41" s="96">
        <v>154.33000000000001</v>
      </c>
      <c r="H41" s="91">
        <f t="shared" si="0"/>
        <v>111.83</v>
      </c>
      <c r="I41" s="92">
        <f t="shared" si="1"/>
        <v>308.66000000000003</v>
      </c>
      <c r="J41" s="107"/>
      <c r="K41" s="90">
        <f t="shared" si="2"/>
        <v>2</v>
      </c>
      <c r="L41" s="91">
        <f t="shared" si="3"/>
        <v>108.03</v>
      </c>
      <c r="M41" s="91">
        <f t="shared" si="4"/>
        <v>216.06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46.3</v>
      </c>
      <c r="T41" s="96">
        <f t="shared" si="7"/>
        <v>92.6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501</v>
      </c>
      <c r="C42" s="101" t="s">
        <v>502</v>
      </c>
      <c r="D42" s="88"/>
      <c r="E42" s="102" t="s">
        <v>138</v>
      </c>
      <c r="F42" s="103">
        <v>1</v>
      </c>
      <c r="G42" s="104">
        <v>175.63</v>
      </c>
      <c r="H42" s="105">
        <f t="shared" si="0"/>
        <v>127.27</v>
      </c>
      <c r="I42" s="106">
        <f t="shared" si="1"/>
        <v>175.63</v>
      </c>
      <c r="J42" s="107"/>
      <c r="K42" s="108">
        <f t="shared" si="2"/>
        <v>1</v>
      </c>
      <c r="L42" s="105">
        <f t="shared" si="3"/>
        <v>122.94</v>
      </c>
      <c r="M42" s="105">
        <f t="shared" si="4"/>
        <v>122.94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52.69</v>
      </c>
      <c r="T42" s="111">
        <f t="shared" si="7"/>
        <v>52.69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503</v>
      </c>
      <c r="C43" s="114" t="s">
        <v>156</v>
      </c>
      <c r="D43" s="88"/>
      <c r="E43" s="89" t="s">
        <v>138</v>
      </c>
      <c r="F43" s="115">
        <v>2</v>
      </c>
      <c r="G43" s="96">
        <v>147.27000000000001</v>
      </c>
      <c r="H43" s="91">
        <f t="shared" si="0"/>
        <v>106.72</v>
      </c>
      <c r="I43" s="92">
        <f t="shared" si="1"/>
        <v>294.54000000000002</v>
      </c>
      <c r="J43" s="107"/>
      <c r="K43" s="90">
        <f t="shared" si="2"/>
        <v>2</v>
      </c>
      <c r="L43" s="91">
        <f t="shared" si="3"/>
        <v>103.09</v>
      </c>
      <c r="M43" s="91">
        <f t="shared" si="4"/>
        <v>206.18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44.18</v>
      </c>
      <c r="T43" s="96">
        <f t="shared" si="7"/>
        <v>88.36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504</v>
      </c>
      <c r="C44" s="101" t="s">
        <v>502</v>
      </c>
      <c r="D44" s="88"/>
      <c r="E44" s="102" t="s">
        <v>138</v>
      </c>
      <c r="F44" s="103">
        <v>1</v>
      </c>
      <c r="G44" s="104">
        <v>175.63</v>
      </c>
      <c r="H44" s="105">
        <f t="shared" si="0"/>
        <v>127.27</v>
      </c>
      <c r="I44" s="106">
        <f t="shared" si="1"/>
        <v>175.63</v>
      </c>
      <c r="J44" s="107"/>
      <c r="K44" s="108">
        <f t="shared" si="2"/>
        <v>1</v>
      </c>
      <c r="L44" s="105">
        <f t="shared" si="3"/>
        <v>122.94</v>
      </c>
      <c r="M44" s="105">
        <f t="shared" si="4"/>
        <v>122.94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52.69</v>
      </c>
      <c r="T44" s="111">
        <f t="shared" si="7"/>
        <v>52.69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505</v>
      </c>
      <c r="C45" s="114" t="s">
        <v>156</v>
      </c>
      <c r="D45" s="88"/>
      <c r="E45" s="89" t="s">
        <v>138</v>
      </c>
      <c r="F45" s="115">
        <v>1</v>
      </c>
      <c r="G45" s="96">
        <v>865.91</v>
      </c>
      <c r="H45" s="91">
        <f t="shared" si="0"/>
        <v>627.47</v>
      </c>
      <c r="I45" s="92">
        <f t="shared" si="1"/>
        <v>865.91</v>
      </c>
      <c r="J45" s="107"/>
      <c r="K45" s="90">
        <f t="shared" si="2"/>
        <v>1</v>
      </c>
      <c r="L45" s="91">
        <f t="shared" si="3"/>
        <v>606.14</v>
      </c>
      <c r="M45" s="91">
        <f t="shared" si="4"/>
        <v>606.14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259.77</v>
      </c>
      <c r="T45" s="96">
        <f t="shared" si="7"/>
        <v>259.77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51</v>
      </c>
      <c r="G50" s="123">
        <f t="shared" si="10"/>
        <v>37182.93</v>
      </c>
      <c r="H50" s="124">
        <f t="shared" si="10"/>
        <v>26944.160000000003</v>
      </c>
      <c r="I50" s="125">
        <f t="shared" si="10"/>
        <v>71942.319999999992</v>
      </c>
      <c r="J50" s="126"/>
      <c r="K50" s="127">
        <f t="shared" ref="K50:M50" si="11">SUM(K19:K49)</f>
        <v>51</v>
      </c>
      <c r="L50" s="124">
        <f t="shared" si="11"/>
        <v>20677.399999999998</v>
      </c>
      <c r="M50" s="125">
        <f t="shared" si="11"/>
        <v>40020.529999999992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16505.53</v>
      </c>
      <c r="T50" s="125">
        <f t="shared" si="12"/>
        <v>31921.79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87" priority="1" stopIfTrue="1">
      <formula>$U$9&gt;100%</formula>
    </cfRule>
    <cfRule type="expression" dxfId="186" priority="2">
      <formula>$U$9&lt;50%</formula>
    </cfRule>
  </conditionalFormatting>
  <conditionalFormatting sqref="V9:V11">
    <cfRule type="expression" dxfId="185" priority="3">
      <formula>$V$9&lt;50%</formula>
    </cfRule>
    <cfRule type="expression" dxfId="184" priority="4">
      <formula>$V$9&gt;50%</formula>
    </cfRule>
  </conditionalFormatting>
  <dataValidations count="4">
    <dataValidation type="list" allowBlank="1" showErrorMessage="1" sqref="E19:E49" xr:uid="{00000000-0002-0000-1A00-000000000000}">
      <formula1>$Z$19:$Z$30</formula1>
    </dataValidation>
    <dataValidation type="list" allowBlank="1" showErrorMessage="1" sqref="I14" xr:uid="{00000000-0002-0000-1A00-000001000000}">
      <formula1>$Y$14:$Y$15</formula1>
    </dataValidation>
    <dataValidation type="list" allowBlank="1" showErrorMessage="1" sqref="J14" xr:uid="{00000000-0002-0000-1A00-000002000000}">
      <formula1>$L$9</formula1>
    </dataValidation>
    <dataValidation type="list" allowBlank="1" showErrorMessage="1" sqref="Q15 G18 L18 Q18" xr:uid="{00000000-0002-0000-1A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509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60817.020000000004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32495.73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28321.290000000005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510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0.46568033093367617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511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28321.290000000005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512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32495.73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513</v>
      </c>
      <c r="C19" s="87" t="s">
        <v>169</v>
      </c>
      <c r="D19" s="88"/>
      <c r="E19" s="89">
        <v>500</v>
      </c>
      <c r="F19" s="90">
        <v>1</v>
      </c>
      <c r="G19" s="91">
        <v>47.95</v>
      </c>
      <c r="H19" s="91">
        <f t="shared" ref="H19:H49" si="0">ROUND(IF($G$18="USD $", G19*$F$16,G19*$E$16),2)</f>
        <v>34.75</v>
      </c>
      <c r="I19" s="92">
        <f t="shared" ref="I19:I49" si="1">ROUND(IF($I$18=$H$18,F19*H19,F19*G19),2)</f>
        <v>47.95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23.98</v>
      </c>
      <c r="M19" s="91">
        <f t="shared" ref="M19:M49" si="4">ROUND((K19*L19),2)</f>
        <v>23.98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23.97</v>
      </c>
      <c r="T19" s="96">
        <f t="shared" ref="T19:T49" si="7">ROUND(I19-M19,2)</f>
        <v>23.97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514</v>
      </c>
      <c r="C20" s="101" t="s">
        <v>169</v>
      </c>
      <c r="D20" s="88"/>
      <c r="E20" s="102">
        <v>500</v>
      </c>
      <c r="F20" s="103">
        <v>1</v>
      </c>
      <c r="G20" s="104">
        <v>25.34</v>
      </c>
      <c r="H20" s="105">
        <f t="shared" si="0"/>
        <v>18.36</v>
      </c>
      <c r="I20" s="106">
        <f t="shared" si="1"/>
        <v>25.34</v>
      </c>
      <c r="J20" s="107"/>
      <c r="K20" s="108">
        <f t="shared" si="2"/>
        <v>1</v>
      </c>
      <c r="L20" s="105">
        <f t="shared" si="3"/>
        <v>12.67</v>
      </c>
      <c r="M20" s="105">
        <f t="shared" si="4"/>
        <v>12.67</v>
      </c>
      <c r="N20" s="109"/>
      <c r="O20" s="95"/>
      <c r="P20" s="100"/>
      <c r="Q20" s="104"/>
      <c r="R20" s="110">
        <f t="shared" si="5"/>
        <v>0</v>
      </c>
      <c r="S20" s="111">
        <f t="shared" si="6"/>
        <v>12.67</v>
      </c>
      <c r="T20" s="111">
        <f t="shared" si="7"/>
        <v>12.67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515</v>
      </c>
      <c r="C21" s="114" t="s">
        <v>115</v>
      </c>
      <c r="D21" s="88"/>
      <c r="E21" s="89">
        <v>500</v>
      </c>
      <c r="F21" s="115">
        <v>1</v>
      </c>
      <c r="G21" s="96">
        <v>39.020000000000003</v>
      </c>
      <c r="H21" s="91">
        <f t="shared" si="0"/>
        <v>28.28</v>
      </c>
      <c r="I21" s="92">
        <f t="shared" si="1"/>
        <v>39.020000000000003</v>
      </c>
      <c r="J21" s="107"/>
      <c r="K21" s="90">
        <f t="shared" si="2"/>
        <v>1</v>
      </c>
      <c r="L21" s="91">
        <f t="shared" si="3"/>
        <v>19.510000000000002</v>
      </c>
      <c r="M21" s="91">
        <f t="shared" si="4"/>
        <v>19.510000000000002</v>
      </c>
      <c r="N21" s="116"/>
      <c r="O21" s="95"/>
      <c r="P21" s="117"/>
      <c r="Q21" s="96"/>
      <c r="R21" s="96">
        <f t="shared" si="5"/>
        <v>0</v>
      </c>
      <c r="S21" s="96">
        <f t="shared" si="6"/>
        <v>19.510000000000002</v>
      </c>
      <c r="T21" s="96">
        <f t="shared" si="7"/>
        <v>19.510000000000002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516</v>
      </c>
      <c r="C22" s="101" t="s">
        <v>118</v>
      </c>
      <c r="D22" s="88"/>
      <c r="E22" s="102">
        <v>500</v>
      </c>
      <c r="F22" s="103">
        <v>1</v>
      </c>
      <c r="G22" s="104">
        <v>35.630000000000003</v>
      </c>
      <c r="H22" s="105">
        <f t="shared" si="0"/>
        <v>25.82</v>
      </c>
      <c r="I22" s="106">
        <f t="shared" si="1"/>
        <v>35.630000000000003</v>
      </c>
      <c r="J22" s="107"/>
      <c r="K22" s="108">
        <f t="shared" si="2"/>
        <v>1</v>
      </c>
      <c r="L22" s="105">
        <f t="shared" si="3"/>
        <v>17.82</v>
      </c>
      <c r="M22" s="105">
        <f t="shared" si="4"/>
        <v>17.82</v>
      </c>
      <c r="N22" s="109"/>
      <c r="O22" s="95"/>
      <c r="P22" s="100"/>
      <c r="Q22" s="104"/>
      <c r="R22" s="110">
        <f t="shared" si="5"/>
        <v>0</v>
      </c>
      <c r="S22" s="111">
        <f t="shared" si="6"/>
        <v>17.809999999999999</v>
      </c>
      <c r="T22" s="111">
        <f t="shared" si="7"/>
        <v>17.809999999999999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439</v>
      </c>
      <c r="C23" s="114" t="s">
        <v>174</v>
      </c>
      <c r="D23" s="88"/>
      <c r="E23" s="89">
        <v>1000</v>
      </c>
      <c r="F23" s="115">
        <v>1</v>
      </c>
      <c r="G23" s="96">
        <v>113.95</v>
      </c>
      <c r="H23" s="91">
        <f t="shared" si="0"/>
        <v>82.57</v>
      </c>
      <c r="I23" s="92">
        <f t="shared" si="1"/>
        <v>113.95</v>
      </c>
      <c r="J23" s="107"/>
      <c r="K23" s="90">
        <f t="shared" si="2"/>
        <v>1</v>
      </c>
      <c r="L23" s="91">
        <f t="shared" si="3"/>
        <v>56.98</v>
      </c>
      <c r="M23" s="91">
        <f t="shared" si="4"/>
        <v>56.98</v>
      </c>
      <c r="N23" s="116"/>
      <c r="O23" s="95"/>
      <c r="P23" s="117"/>
      <c r="Q23" s="96"/>
      <c r="R23" s="96">
        <f t="shared" si="5"/>
        <v>0</v>
      </c>
      <c r="S23" s="96">
        <f t="shared" si="6"/>
        <v>56.97</v>
      </c>
      <c r="T23" s="96">
        <f t="shared" si="7"/>
        <v>56.97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517</v>
      </c>
      <c r="C24" s="101" t="s">
        <v>128</v>
      </c>
      <c r="D24" s="88"/>
      <c r="E24" s="102">
        <v>2000</v>
      </c>
      <c r="F24" s="103">
        <v>1</v>
      </c>
      <c r="G24" s="104">
        <v>130.72</v>
      </c>
      <c r="H24" s="105">
        <f t="shared" si="0"/>
        <v>94.72</v>
      </c>
      <c r="I24" s="106">
        <f t="shared" si="1"/>
        <v>130.72</v>
      </c>
      <c r="J24" s="107"/>
      <c r="K24" s="108">
        <f t="shared" si="2"/>
        <v>1</v>
      </c>
      <c r="L24" s="105">
        <f t="shared" si="3"/>
        <v>78.430000000000007</v>
      </c>
      <c r="M24" s="105">
        <f t="shared" si="4"/>
        <v>78.430000000000007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52.29</v>
      </c>
      <c r="T24" s="111">
        <f t="shared" si="7"/>
        <v>52.29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518</v>
      </c>
      <c r="C25" s="114" t="s">
        <v>131</v>
      </c>
      <c r="D25" s="88"/>
      <c r="E25" s="89">
        <v>2000</v>
      </c>
      <c r="F25" s="115">
        <v>1</v>
      </c>
      <c r="G25" s="96">
        <v>83.86</v>
      </c>
      <c r="H25" s="91">
        <f t="shared" si="0"/>
        <v>60.77</v>
      </c>
      <c r="I25" s="92">
        <f t="shared" si="1"/>
        <v>83.86</v>
      </c>
      <c r="J25" s="107"/>
      <c r="K25" s="90">
        <f t="shared" si="2"/>
        <v>1</v>
      </c>
      <c r="L25" s="91">
        <f t="shared" si="3"/>
        <v>50.32</v>
      </c>
      <c r="M25" s="91">
        <f t="shared" si="4"/>
        <v>50.32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33.54</v>
      </c>
      <c r="T25" s="96">
        <f t="shared" si="7"/>
        <v>33.54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519</v>
      </c>
      <c r="C26" s="101" t="s">
        <v>134</v>
      </c>
      <c r="D26" s="88"/>
      <c r="E26" s="102">
        <v>2000</v>
      </c>
      <c r="F26" s="103">
        <v>1</v>
      </c>
      <c r="G26" s="104">
        <v>32.840000000000003</v>
      </c>
      <c r="H26" s="105">
        <f t="shared" si="0"/>
        <v>23.8</v>
      </c>
      <c r="I26" s="106">
        <f t="shared" si="1"/>
        <v>32.840000000000003</v>
      </c>
      <c r="J26" s="107"/>
      <c r="K26" s="108">
        <f t="shared" si="2"/>
        <v>1</v>
      </c>
      <c r="L26" s="105">
        <f t="shared" si="3"/>
        <v>19.7</v>
      </c>
      <c r="M26" s="105">
        <f t="shared" si="4"/>
        <v>19.7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13.14</v>
      </c>
      <c r="T26" s="111">
        <f t="shared" si="7"/>
        <v>13.14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520</v>
      </c>
      <c r="C27" s="114" t="s">
        <v>134</v>
      </c>
      <c r="D27" s="88"/>
      <c r="E27" s="89">
        <v>2000</v>
      </c>
      <c r="F27" s="115">
        <v>1</v>
      </c>
      <c r="G27" s="96">
        <v>55.29</v>
      </c>
      <c r="H27" s="91">
        <f t="shared" si="0"/>
        <v>40.07</v>
      </c>
      <c r="I27" s="92">
        <f t="shared" si="1"/>
        <v>55.29</v>
      </c>
      <c r="J27" s="107"/>
      <c r="K27" s="90">
        <f t="shared" si="2"/>
        <v>1</v>
      </c>
      <c r="L27" s="91">
        <f t="shared" si="3"/>
        <v>33.17</v>
      </c>
      <c r="M27" s="91">
        <f t="shared" si="4"/>
        <v>33.17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22.12</v>
      </c>
      <c r="T27" s="96">
        <f t="shared" si="7"/>
        <v>22.12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521</v>
      </c>
      <c r="C28" s="101" t="s">
        <v>522</v>
      </c>
      <c r="D28" s="88"/>
      <c r="E28" s="102" t="s">
        <v>138</v>
      </c>
      <c r="F28" s="103">
        <v>1</v>
      </c>
      <c r="G28" s="104">
        <v>4513.71</v>
      </c>
      <c r="H28" s="105">
        <f t="shared" si="0"/>
        <v>3270.8</v>
      </c>
      <c r="I28" s="106">
        <f t="shared" si="1"/>
        <v>4513.71</v>
      </c>
      <c r="J28" s="107"/>
      <c r="K28" s="108">
        <f t="shared" si="2"/>
        <v>1</v>
      </c>
      <c r="L28" s="105">
        <f t="shared" si="3"/>
        <v>2256.86</v>
      </c>
      <c r="M28" s="105">
        <f t="shared" si="4"/>
        <v>2256.86</v>
      </c>
      <c r="N28" s="109"/>
      <c r="O28" s="95"/>
      <c r="P28" s="100"/>
      <c r="Q28" s="104"/>
      <c r="R28" s="110">
        <f t="shared" si="5"/>
        <v>0</v>
      </c>
      <c r="S28" s="111">
        <f t="shared" si="6"/>
        <v>2256.85</v>
      </c>
      <c r="T28" s="111">
        <f t="shared" si="7"/>
        <v>2256.85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287</v>
      </c>
      <c r="C29" s="114" t="s">
        <v>490</v>
      </c>
      <c r="D29" s="88"/>
      <c r="E29" s="89" t="s">
        <v>138</v>
      </c>
      <c r="F29" s="115">
        <v>2</v>
      </c>
      <c r="G29" s="96">
        <v>396.11</v>
      </c>
      <c r="H29" s="91">
        <f t="shared" si="0"/>
        <v>287.04000000000002</v>
      </c>
      <c r="I29" s="92">
        <f t="shared" si="1"/>
        <v>792.22</v>
      </c>
      <c r="J29" s="107"/>
      <c r="K29" s="90">
        <f t="shared" si="2"/>
        <v>2</v>
      </c>
      <c r="L29" s="91">
        <f t="shared" si="3"/>
        <v>198.06</v>
      </c>
      <c r="M29" s="91">
        <f t="shared" si="4"/>
        <v>396.12</v>
      </c>
      <c r="N29" s="116"/>
      <c r="O29" s="95"/>
      <c r="P29" s="117"/>
      <c r="Q29" s="96"/>
      <c r="R29" s="96">
        <f t="shared" si="5"/>
        <v>0</v>
      </c>
      <c r="S29" s="96">
        <f t="shared" si="6"/>
        <v>198.05</v>
      </c>
      <c r="T29" s="96">
        <f t="shared" si="7"/>
        <v>396.1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523</v>
      </c>
      <c r="C30" s="101" t="s">
        <v>144</v>
      </c>
      <c r="D30" s="88"/>
      <c r="E30" s="102" t="s">
        <v>138</v>
      </c>
      <c r="F30" s="103">
        <v>1</v>
      </c>
      <c r="G30" s="104">
        <v>6229.77</v>
      </c>
      <c r="H30" s="105">
        <f t="shared" si="0"/>
        <v>4514.33</v>
      </c>
      <c r="I30" s="106">
        <f t="shared" si="1"/>
        <v>6229.77</v>
      </c>
      <c r="J30" s="107"/>
      <c r="K30" s="108">
        <f t="shared" si="2"/>
        <v>1</v>
      </c>
      <c r="L30" s="105">
        <f t="shared" si="3"/>
        <v>3114.89</v>
      </c>
      <c r="M30" s="105">
        <f t="shared" si="4"/>
        <v>3114.89</v>
      </c>
      <c r="N30" s="109"/>
      <c r="O30" s="95"/>
      <c r="P30" s="100"/>
      <c r="Q30" s="104"/>
      <c r="R30" s="110">
        <f t="shared" si="5"/>
        <v>0</v>
      </c>
      <c r="S30" s="111">
        <f t="shared" si="6"/>
        <v>3114.88</v>
      </c>
      <c r="T30" s="111">
        <f t="shared" si="7"/>
        <v>3114.88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524</v>
      </c>
      <c r="C31" s="114" t="s">
        <v>147</v>
      </c>
      <c r="D31" s="88"/>
      <c r="E31" s="89" t="s">
        <v>138</v>
      </c>
      <c r="F31" s="115">
        <v>6</v>
      </c>
      <c r="G31" s="96">
        <v>944.32</v>
      </c>
      <c r="H31" s="91">
        <f t="shared" si="0"/>
        <v>684.29</v>
      </c>
      <c r="I31" s="92">
        <f t="shared" si="1"/>
        <v>5665.92</v>
      </c>
      <c r="J31" s="107"/>
      <c r="K31" s="90">
        <f t="shared" si="2"/>
        <v>6</v>
      </c>
      <c r="L31" s="91">
        <f t="shared" si="3"/>
        <v>661.02</v>
      </c>
      <c r="M31" s="91">
        <f t="shared" si="4"/>
        <v>3966.12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283.3</v>
      </c>
      <c r="T31" s="96">
        <f t="shared" si="7"/>
        <v>1699.8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397</v>
      </c>
      <c r="C32" s="101" t="s">
        <v>398</v>
      </c>
      <c r="D32" s="88"/>
      <c r="E32" s="102">
        <v>6000</v>
      </c>
      <c r="F32" s="103">
        <v>4</v>
      </c>
      <c r="G32" s="104">
        <v>9608.0400000000009</v>
      </c>
      <c r="H32" s="105">
        <f t="shared" si="0"/>
        <v>6962.35</v>
      </c>
      <c r="I32" s="106">
        <f t="shared" si="1"/>
        <v>38432.160000000003</v>
      </c>
      <c r="J32" s="107"/>
      <c r="K32" s="108">
        <f t="shared" si="2"/>
        <v>4</v>
      </c>
      <c r="L32" s="105">
        <f t="shared" si="3"/>
        <v>4804.0200000000004</v>
      </c>
      <c r="M32" s="105">
        <f t="shared" si="4"/>
        <v>19216.080000000002</v>
      </c>
      <c r="N32" s="109"/>
      <c r="O32" s="95"/>
      <c r="P32" s="100"/>
      <c r="Q32" s="104"/>
      <c r="R32" s="110">
        <f t="shared" si="5"/>
        <v>0</v>
      </c>
      <c r="S32" s="111">
        <f t="shared" si="6"/>
        <v>4804.0200000000004</v>
      </c>
      <c r="T32" s="111">
        <f t="shared" si="7"/>
        <v>19216.080000000002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525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526</v>
      </c>
      <c r="C34" s="101" t="s">
        <v>301</v>
      </c>
      <c r="D34" s="88"/>
      <c r="E34" s="102" t="s">
        <v>138</v>
      </c>
      <c r="F34" s="103">
        <v>2</v>
      </c>
      <c r="G34" s="104">
        <v>342.67</v>
      </c>
      <c r="H34" s="105">
        <f t="shared" si="0"/>
        <v>248.31</v>
      </c>
      <c r="I34" s="106">
        <f t="shared" si="1"/>
        <v>685.34</v>
      </c>
      <c r="J34" s="107"/>
      <c r="K34" s="108">
        <f t="shared" si="2"/>
        <v>2</v>
      </c>
      <c r="L34" s="105">
        <f t="shared" si="3"/>
        <v>239.87</v>
      </c>
      <c r="M34" s="105">
        <f t="shared" si="4"/>
        <v>479.74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102.8</v>
      </c>
      <c r="T34" s="111">
        <f t="shared" si="7"/>
        <v>205.6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527</v>
      </c>
      <c r="C35" s="114" t="s">
        <v>158</v>
      </c>
      <c r="D35" s="88"/>
      <c r="E35" s="89" t="s">
        <v>138</v>
      </c>
      <c r="F35" s="115">
        <v>2</v>
      </c>
      <c r="G35" s="96">
        <v>656.78</v>
      </c>
      <c r="H35" s="91">
        <f t="shared" si="0"/>
        <v>475.93</v>
      </c>
      <c r="I35" s="92">
        <f t="shared" si="1"/>
        <v>1313.56</v>
      </c>
      <c r="J35" s="107"/>
      <c r="K35" s="90">
        <f t="shared" si="2"/>
        <v>2</v>
      </c>
      <c r="L35" s="91">
        <f t="shared" si="3"/>
        <v>459.75</v>
      </c>
      <c r="M35" s="91">
        <f t="shared" si="4"/>
        <v>919.5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197.03</v>
      </c>
      <c r="T35" s="96">
        <f t="shared" si="7"/>
        <v>394.06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528</v>
      </c>
      <c r="C36" s="101" t="s">
        <v>156</v>
      </c>
      <c r="D36" s="88"/>
      <c r="E36" s="102" t="s">
        <v>138</v>
      </c>
      <c r="F36" s="103">
        <v>1</v>
      </c>
      <c r="G36" s="104">
        <v>1476.92</v>
      </c>
      <c r="H36" s="105">
        <f t="shared" si="0"/>
        <v>1070.23</v>
      </c>
      <c r="I36" s="106">
        <f t="shared" si="1"/>
        <v>1476.92</v>
      </c>
      <c r="J36" s="107"/>
      <c r="K36" s="108">
        <f t="shared" si="2"/>
        <v>1</v>
      </c>
      <c r="L36" s="105">
        <f t="shared" si="3"/>
        <v>1033.8399999999999</v>
      </c>
      <c r="M36" s="105">
        <f t="shared" si="4"/>
        <v>1033.8399999999999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443.08</v>
      </c>
      <c r="T36" s="111">
        <f t="shared" si="7"/>
        <v>443.08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136" t="s">
        <v>529</v>
      </c>
      <c r="C37" s="114" t="s">
        <v>530</v>
      </c>
      <c r="D37" s="88"/>
      <c r="E37" s="89" t="s">
        <v>138</v>
      </c>
      <c r="F37" s="115">
        <v>1</v>
      </c>
      <c r="G37" s="96">
        <v>212.05</v>
      </c>
      <c r="H37" s="91">
        <f t="shared" si="0"/>
        <v>153.66</v>
      </c>
      <c r="I37" s="92">
        <f t="shared" si="1"/>
        <v>212.05</v>
      </c>
      <c r="J37" s="107"/>
      <c r="K37" s="90">
        <f t="shared" si="2"/>
        <v>1</v>
      </c>
      <c r="L37" s="91">
        <f t="shared" si="3"/>
        <v>148.44</v>
      </c>
      <c r="M37" s="91">
        <f t="shared" si="4"/>
        <v>148.44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63.61</v>
      </c>
      <c r="T37" s="96">
        <f t="shared" si="7"/>
        <v>63.61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35" t="s">
        <v>531</v>
      </c>
      <c r="C38" s="101" t="s">
        <v>532</v>
      </c>
      <c r="D38" s="88"/>
      <c r="E38" s="102" t="s">
        <v>138</v>
      </c>
      <c r="F38" s="103">
        <v>1</v>
      </c>
      <c r="G38" s="104">
        <v>212.05</v>
      </c>
      <c r="H38" s="105">
        <f t="shared" si="0"/>
        <v>153.66</v>
      </c>
      <c r="I38" s="106">
        <f t="shared" si="1"/>
        <v>212.05</v>
      </c>
      <c r="J38" s="107"/>
      <c r="K38" s="108">
        <f t="shared" si="2"/>
        <v>1</v>
      </c>
      <c r="L38" s="105">
        <f t="shared" si="3"/>
        <v>148.44</v>
      </c>
      <c r="M38" s="105">
        <f t="shared" si="4"/>
        <v>148.44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63.61</v>
      </c>
      <c r="T38" s="111">
        <f t="shared" si="7"/>
        <v>63.61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533</v>
      </c>
      <c r="C39" s="114" t="s">
        <v>379</v>
      </c>
      <c r="D39" s="88"/>
      <c r="E39" s="89" t="s">
        <v>138</v>
      </c>
      <c r="F39" s="115">
        <v>8</v>
      </c>
      <c r="G39" s="96">
        <v>83.39</v>
      </c>
      <c r="H39" s="91">
        <f t="shared" si="0"/>
        <v>60.43</v>
      </c>
      <c r="I39" s="92">
        <f t="shared" si="1"/>
        <v>667.12</v>
      </c>
      <c r="J39" s="107"/>
      <c r="K39" s="90">
        <f t="shared" si="2"/>
        <v>8</v>
      </c>
      <c r="L39" s="91">
        <f t="shared" si="3"/>
        <v>58.37</v>
      </c>
      <c r="M39" s="91">
        <f t="shared" si="4"/>
        <v>466.96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25.02</v>
      </c>
      <c r="T39" s="96">
        <f t="shared" si="7"/>
        <v>200.16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534</v>
      </c>
      <c r="C40" s="101" t="s">
        <v>535</v>
      </c>
      <c r="D40" s="88"/>
      <c r="E40" s="102" t="s">
        <v>138</v>
      </c>
      <c r="F40" s="103">
        <v>8</v>
      </c>
      <c r="G40" s="104">
        <v>6.45</v>
      </c>
      <c r="H40" s="105">
        <f t="shared" si="0"/>
        <v>4.67</v>
      </c>
      <c r="I40" s="106">
        <f t="shared" si="1"/>
        <v>51.6</v>
      </c>
      <c r="J40" s="107"/>
      <c r="K40" s="108">
        <f t="shared" si="2"/>
        <v>8</v>
      </c>
      <c r="L40" s="105">
        <f t="shared" si="3"/>
        <v>4.5199999999999996</v>
      </c>
      <c r="M40" s="105">
        <f t="shared" si="4"/>
        <v>36.159999999999997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1.93</v>
      </c>
      <c r="T40" s="111">
        <f t="shared" si="7"/>
        <v>15.44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46</v>
      </c>
      <c r="G50" s="123">
        <f t="shared" si="10"/>
        <v>25246.859999999997</v>
      </c>
      <c r="H50" s="124">
        <f t="shared" si="10"/>
        <v>18294.839999999997</v>
      </c>
      <c r="I50" s="125">
        <f t="shared" si="10"/>
        <v>60817.020000000004</v>
      </c>
      <c r="J50" s="126"/>
      <c r="K50" s="127">
        <f t="shared" ref="K50:M50" si="11">SUM(K19:K49)</f>
        <v>46</v>
      </c>
      <c r="L50" s="124">
        <f t="shared" si="11"/>
        <v>13440.660000000003</v>
      </c>
      <c r="M50" s="125">
        <f t="shared" si="11"/>
        <v>32495.73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11806.200000000003</v>
      </c>
      <c r="T50" s="125">
        <f t="shared" si="12"/>
        <v>28321.290000000005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83" priority="1" stopIfTrue="1">
      <formula>$U$9&gt;100%</formula>
    </cfRule>
    <cfRule type="expression" dxfId="182" priority="2">
      <formula>$U$9&lt;50%</formula>
    </cfRule>
  </conditionalFormatting>
  <conditionalFormatting sqref="V9:V11">
    <cfRule type="expression" dxfId="181" priority="3">
      <formula>$V$9&lt;50%</formula>
    </cfRule>
    <cfRule type="expression" dxfId="180" priority="4">
      <formula>$V$9&gt;50%</formula>
    </cfRule>
  </conditionalFormatting>
  <dataValidations count="4">
    <dataValidation type="list" allowBlank="1" showErrorMessage="1" sqref="E19:E49" xr:uid="{00000000-0002-0000-1B00-000000000000}">
      <formula1>$Z$19:$Z$30</formula1>
    </dataValidation>
    <dataValidation type="list" allowBlank="1" showErrorMessage="1" sqref="I14" xr:uid="{00000000-0002-0000-1B00-000001000000}">
      <formula1>$Y$14:$Y$15</formula1>
    </dataValidation>
    <dataValidation type="list" allowBlank="1" showErrorMessage="1" sqref="J14" xr:uid="{00000000-0002-0000-1B00-000002000000}">
      <formula1>$L$9</formula1>
    </dataValidation>
    <dataValidation type="list" allowBlank="1" showErrorMessage="1" sqref="Q15 G18 L18 Q18" xr:uid="{00000000-0002-0000-1B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536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142532.82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 t="s">
        <v>537</v>
      </c>
      <c r="D3" s="158" t="s">
        <v>41</v>
      </c>
      <c r="E3" s="142"/>
      <c r="F3" s="143"/>
      <c r="G3" s="159">
        <v>2008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81562.929999999993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 t="s">
        <v>538</v>
      </c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60969.890000000014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 t="s">
        <v>539</v>
      </c>
      <c r="D5" s="158" t="s">
        <v>52</v>
      </c>
      <c r="E5" s="142"/>
      <c r="F5" s="143"/>
      <c r="G5" s="159" t="s">
        <v>540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0.4277603572286019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541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60969.89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542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81562.929999999993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543</v>
      </c>
      <c r="C22" s="101" t="s">
        <v>174</v>
      </c>
      <c r="D22" s="88"/>
      <c r="E22" s="102">
        <v>1000</v>
      </c>
      <c r="F22" s="103">
        <v>1</v>
      </c>
      <c r="G22" s="104">
        <v>168.06</v>
      </c>
      <c r="H22" s="105">
        <f t="shared" si="0"/>
        <v>121.78</v>
      </c>
      <c r="I22" s="106">
        <f t="shared" si="1"/>
        <v>168.06</v>
      </c>
      <c r="J22" s="107"/>
      <c r="K22" s="108">
        <f t="shared" si="2"/>
        <v>1</v>
      </c>
      <c r="L22" s="105">
        <f t="shared" si="3"/>
        <v>84.03</v>
      </c>
      <c r="M22" s="105">
        <f t="shared" si="4"/>
        <v>84.03</v>
      </c>
      <c r="N22" s="109"/>
      <c r="O22" s="95"/>
      <c r="P22" s="100"/>
      <c r="Q22" s="104"/>
      <c r="R22" s="110">
        <f t="shared" si="5"/>
        <v>0</v>
      </c>
      <c r="S22" s="111">
        <f t="shared" si="6"/>
        <v>84.03</v>
      </c>
      <c r="T22" s="111">
        <f t="shared" si="7"/>
        <v>84.03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544</v>
      </c>
      <c r="C23" s="114" t="s">
        <v>174</v>
      </c>
      <c r="D23" s="88"/>
      <c r="E23" s="89">
        <v>1000</v>
      </c>
      <c r="F23" s="115">
        <v>1</v>
      </c>
      <c r="G23" s="96">
        <v>93.41</v>
      </c>
      <c r="H23" s="91">
        <f t="shared" si="0"/>
        <v>67.69</v>
      </c>
      <c r="I23" s="92">
        <f t="shared" si="1"/>
        <v>93.41</v>
      </c>
      <c r="J23" s="107"/>
      <c r="K23" s="90">
        <f t="shared" si="2"/>
        <v>1</v>
      </c>
      <c r="L23" s="91">
        <f t="shared" si="3"/>
        <v>46.71</v>
      </c>
      <c r="M23" s="91">
        <f t="shared" si="4"/>
        <v>46.71</v>
      </c>
      <c r="N23" s="116"/>
      <c r="O23" s="95"/>
      <c r="P23" s="117"/>
      <c r="Q23" s="96"/>
      <c r="R23" s="96">
        <f t="shared" si="5"/>
        <v>0</v>
      </c>
      <c r="S23" s="96">
        <f t="shared" si="6"/>
        <v>46.7</v>
      </c>
      <c r="T23" s="96">
        <f t="shared" si="7"/>
        <v>46.7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545</v>
      </c>
      <c r="C24" s="101" t="s">
        <v>128</v>
      </c>
      <c r="D24" s="88"/>
      <c r="E24" s="102">
        <v>2000</v>
      </c>
      <c r="F24" s="103">
        <v>1</v>
      </c>
      <c r="G24" s="104">
        <v>168.34</v>
      </c>
      <c r="H24" s="105">
        <f t="shared" si="0"/>
        <v>121.99</v>
      </c>
      <c r="I24" s="106">
        <f t="shared" si="1"/>
        <v>168.34</v>
      </c>
      <c r="J24" s="107"/>
      <c r="K24" s="108">
        <f t="shared" si="2"/>
        <v>1</v>
      </c>
      <c r="L24" s="105">
        <f t="shared" si="3"/>
        <v>101</v>
      </c>
      <c r="M24" s="105">
        <f t="shared" si="4"/>
        <v>101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67.34</v>
      </c>
      <c r="T24" s="111">
        <f t="shared" si="7"/>
        <v>67.34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546</v>
      </c>
      <c r="C25" s="114" t="s">
        <v>131</v>
      </c>
      <c r="D25" s="88"/>
      <c r="E25" s="89">
        <v>2000</v>
      </c>
      <c r="F25" s="115">
        <v>1</v>
      </c>
      <c r="G25" s="96">
        <v>92.02</v>
      </c>
      <c r="H25" s="91">
        <f t="shared" si="0"/>
        <v>66.680000000000007</v>
      </c>
      <c r="I25" s="92">
        <f t="shared" si="1"/>
        <v>92.02</v>
      </c>
      <c r="J25" s="107"/>
      <c r="K25" s="90">
        <f t="shared" si="2"/>
        <v>1</v>
      </c>
      <c r="L25" s="91">
        <f t="shared" si="3"/>
        <v>55.21</v>
      </c>
      <c r="M25" s="91">
        <f t="shared" si="4"/>
        <v>55.21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36.81</v>
      </c>
      <c r="T25" s="96">
        <f t="shared" si="7"/>
        <v>36.81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547</v>
      </c>
      <c r="C26" s="101" t="s">
        <v>134</v>
      </c>
      <c r="D26" s="88"/>
      <c r="E26" s="102">
        <v>2000</v>
      </c>
      <c r="F26" s="103">
        <v>1</v>
      </c>
      <c r="G26" s="104">
        <v>70.34</v>
      </c>
      <c r="H26" s="105">
        <f t="shared" si="0"/>
        <v>50.97</v>
      </c>
      <c r="I26" s="106">
        <f t="shared" si="1"/>
        <v>70.34</v>
      </c>
      <c r="J26" s="107"/>
      <c r="K26" s="108">
        <f t="shared" si="2"/>
        <v>1</v>
      </c>
      <c r="L26" s="105">
        <f t="shared" si="3"/>
        <v>42.2</v>
      </c>
      <c r="M26" s="105">
        <f t="shared" si="4"/>
        <v>42.2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28.14</v>
      </c>
      <c r="T26" s="111">
        <f t="shared" si="7"/>
        <v>28.14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548</v>
      </c>
      <c r="C27" s="114" t="s">
        <v>549</v>
      </c>
      <c r="D27" s="88"/>
      <c r="E27" s="89" t="s">
        <v>138</v>
      </c>
      <c r="F27" s="115">
        <v>1</v>
      </c>
      <c r="G27" s="96">
        <v>14001.81</v>
      </c>
      <c r="H27" s="91">
        <f t="shared" si="0"/>
        <v>10146.24</v>
      </c>
      <c r="I27" s="92">
        <f t="shared" si="1"/>
        <v>14001.81</v>
      </c>
      <c r="J27" s="107"/>
      <c r="K27" s="90">
        <f t="shared" si="2"/>
        <v>1</v>
      </c>
      <c r="L27" s="91">
        <f t="shared" si="3"/>
        <v>8401.09</v>
      </c>
      <c r="M27" s="91">
        <f t="shared" si="4"/>
        <v>8401.09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5600.72</v>
      </c>
      <c r="T27" s="96">
        <f t="shared" si="7"/>
        <v>5600.72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550</v>
      </c>
      <c r="C28" s="101" t="s">
        <v>551</v>
      </c>
      <c r="D28" s="88"/>
      <c r="E28" s="102" t="s">
        <v>138</v>
      </c>
      <c r="F28" s="103">
        <v>3</v>
      </c>
      <c r="G28" s="104">
        <v>170.28</v>
      </c>
      <c r="H28" s="105">
        <f t="shared" si="0"/>
        <v>123.39</v>
      </c>
      <c r="I28" s="106">
        <f t="shared" si="1"/>
        <v>510.84</v>
      </c>
      <c r="J28" s="107"/>
      <c r="K28" s="108">
        <f t="shared" si="2"/>
        <v>3</v>
      </c>
      <c r="L28" s="105">
        <f t="shared" si="3"/>
        <v>102.17</v>
      </c>
      <c r="M28" s="105">
        <f t="shared" si="4"/>
        <v>306.51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68.11</v>
      </c>
      <c r="T28" s="111">
        <f t="shared" si="7"/>
        <v>204.33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552</v>
      </c>
      <c r="C29" s="114" t="s">
        <v>553</v>
      </c>
      <c r="D29" s="88"/>
      <c r="E29" s="89" t="s">
        <v>138</v>
      </c>
      <c r="F29" s="115">
        <v>3</v>
      </c>
      <c r="G29" s="96">
        <v>265.7</v>
      </c>
      <c r="H29" s="91">
        <f t="shared" si="0"/>
        <v>192.54</v>
      </c>
      <c r="I29" s="92">
        <f t="shared" si="1"/>
        <v>797.1</v>
      </c>
      <c r="J29" s="107"/>
      <c r="K29" s="90">
        <f t="shared" si="2"/>
        <v>3</v>
      </c>
      <c r="L29" s="91">
        <f t="shared" si="3"/>
        <v>159.41999999999999</v>
      </c>
      <c r="M29" s="91">
        <f t="shared" si="4"/>
        <v>478.26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106.28</v>
      </c>
      <c r="T29" s="96">
        <f t="shared" si="7"/>
        <v>318.83999999999997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554</v>
      </c>
      <c r="C30" s="101" t="s">
        <v>555</v>
      </c>
      <c r="D30" s="88"/>
      <c r="E30" s="102" t="s">
        <v>138</v>
      </c>
      <c r="F30" s="103">
        <v>1</v>
      </c>
      <c r="G30" s="104">
        <v>25296.68</v>
      </c>
      <c r="H30" s="105">
        <f t="shared" si="0"/>
        <v>18330.93</v>
      </c>
      <c r="I30" s="106">
        <f t="shared" si="1"/>
        <v>25296.68</v>
      </c>
      <c r="J30" s="107"/>
      <c r="K30" s="108">
        <f t="shared" si="2"/>
        <v>1</v>
      </c>
      <c r="L30" s="105">
        <f t="shared" si="3"/>
        <v>15178.01</v>
      </c>
      <c r="M30" s="105">
        <f t="shared" si="4"/>
        <v>15178.01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10118.67</v>
      </c>
      <c r="T30" s="111">
        <f t="shared" si="7"/>
        <v>10118.67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556</v>
      </c>
      <c r="C31" s="114" t="s">
        <v>557</v>
      </c>
      <c r="D31" s="88"/>
      <c r="E31" s="89" t="s">
        <v>138</v>
      </c>
      <c r="F31" s="115">
        <v>1</v>
      </c>
      <c r="G31" s="96">
        <v>2865.06</v>
      </c>
      <c r="H31" s="91">
        <f t="shared" si="0"/>
        <v>2076.13</v>
      </c>
      <c r="I31" s="92">
        <f t="shared" si="1"/>
        <v>2865.06</v>
      </c>
      <c r="J31" s="107"/>
      <c r="K31" s="90">
        <f t="shared" si="2"/>
        <v>1</v>
      </c>
      <c r="L31" s="91">
        <f t="shared" si="3"/>
        <v>1719.04</v>
      </c>
      <c r="M31" s="91">
        <f t="shared" si="4"/>
        <v>1719.04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1146.02</v>
      </c>
      <c r="T31" s="96">
        <f t="shared" si="7"/>
        <v>1146.02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558</v>
      </c>
      <c r="C32" s="101" t="s">
        <v>559</v>
      </c>
      <c r="D32" s="88"/>
      <c r="E32" s="102" t="s">
        <v>138</v>
      </c>
      <c r="F32" s="103">
        <v>1</v>
      </c>
      <c r="G32" s="104">
        <v>3251.7</v>
      </c>
      <c r="H32" s="105">
        <f t="shared" si="0"/>
        <v>2356.3000000000002</v>
      </c>
      <c r="I32" s="106">
        <f t="shared" si="1"/>
        <v>3251.7</v>
      </c>
      <c r="J32" s="107"/>
      <c r="K32" s="108">
        <f t="shared" si="2"/>
        <v>1</v>
      </c>
      <c r="L32" s="105">
        <f t="shared" si="3"/>
        <v>1951.02</v>
      </c>
      <c r="M32" s="105">
        <f t="shared" si="4"/>
        <v>1951.02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1300.68</v>
      </c>
      <c r="T32" s="111">
        <f t="shared" si="7"/>
        <v>1300.68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560</v>
      </c>
      <c r="C33" s="114" t="s">
        <v>561</v>
      </c>
      <c r="D33" s="88"/>
      <c r="E33" s="89" t="s">
        <v>138</v>
      </c>
      <c r="F33" s="115">
        <v>1</v>
      </c>
      <c r="G33" s="96">
        <v>7439.74</v>
      </c>
      <c r="H33" s="91">
        <f t="shared" si="0"/>
        <v>5391.12</v>
      </c>
      <c r="I33" s="92">
        <f t="shared" si="1"/>
        <v>7439.74</v>
      </c>
      <c r="J33" s="107"/>
      <c r="K33" s="90">
        <f t="shared" si="2"/>
        <v>1</v>
      </c>
      <c r="L33" s="91">
        <f t="shared" si="3"/>
        <v>3719.87</v>
      </c>
      <c r="M33" s="91">
        <f t="shared" si="4"/>
        <v>3719.87</v>
      </c>
      <c r="N33" s="116"/>
      <c r="O33" s="95"/>
      <c r="P33" s="117"/>
      <c r="Q33" s="96"/>
      <c r="R33" s="96">
        <f t="shared" si="5"/>
        <v>0</v>
      </c>
      <c r="S33" s="96">
        <f t="shared" si="6"/>
        <v>3719.87</v>
      </c>
      <c r="T33" s="96">
        <f t="shared" si="7"/>
        <v>3719.87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182</v>
      </c>
      <c r="C34" s="101" t="s">
        <v>394</v>
      </c>
      <c r="D34" s="88"/>
      <c r="E34" s="102" t="s">
        <v>138</v>
      </c>
      <c r="F34" s="103">
        <v>2</v>
      </c>
      <c r="G34" s="104">
        <v>614.62</v>
      </c>
      <c r="H34" s="105">
        <f t="shared" si="0"/>
        <v>445.38</v>
      </c>
      <c r="I34" s="106">
        <f t="shared" si="1"/>
        <v>1229.24</v>
      </c>
      <c r="J34" s="107"/>
      <c r="K34" s="108">
        <f t="shared" si="2"/>
        <v>2</v>
      </c>
      <c r="L34" s="105">
        <f t="shared" si="3"/>
        <v>307.31</v>
      </c>
      <c r="M34" s="105">
        <f t="shared" si="4"/>
        <v>614.62</v>
      </c>
      <c r="N34" s="109"/>
      <c r="O34" s="95"/>
      <c r="P34" s="100"/>
      <c r="Q34" s="104"/>
      <c r="R34" s="110">
        <f t="shared" si="5"/>
        <v>0</v>
      </c>
      <c r="S34" s="111">
        <f t="shared" si="6"/>
        <v>307.31</v>
      </c>
      <c r="T34" s="111">
        <f t="shared" si="7"/>
        <v>614.62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562</v>
      </c>
      <c r="C35" s="114" t="s">
        <v>144</v>
      </c>
      <c r="D35" s="88"/>
      <c r="E35" s="89" t="s">
        <v>138</v>
      </c>
      <c r="F35" s="115">
        <v>1</v>
      </c>
      <c r="G35" s="96">
        <v>9665.92</v>
      </c>
      <c r="H35" s="91">
        <f t="shared" si="0"/>
        <v>7004.29</v>
      </c>
      <c r="I35" s="92">
        <f t="shared" si="1"/>
        <v>9665.92</v>
      </c>
      <c r="J35" s="107"/>
      <c r="K35" s="90">
        <f t="shared" si="2"/>
        <v>1</v>
      </c>
      <c r="L35" s="91">
        <f t="shared" si="3"/>
        <v>4832.96</v>
      </c>
      <c r="M35" s="91">
        <f t="shared" si="4"/>
        <v>4832.96</v>
      </c>
      <c r="N35" s="116"/>
      <c r="O35" s="95"/>
      <c r="P35" s="117"/>
      <c r="Q35" s="96"/>
      <c r="R35" s="96">
        <f t="shared" si="5"/>
        <v>0</v>
      </c>
      <c r="S35" s="96">
        <f t="shared" si="6"/>
        <v>4832.96</v>
      </c>
      <c r="T35" s="96">
        <f t="shared" si="7"/>
        <v>4832.96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396</v>
      </c>
      <c r="C36" s="101" t="s">
        <v>147</v>
      </c>
      <c r="D36" s="88"/>
      <c r="E36" s="102" t="s">
        <v>138</v>
      </c>
      <c r="F36" s="103">
        <v>6</v>
      </c>
      <c r="G36" s="104">
        <v>2190.4899999999998</v>
      </c>
      <c r="H36" s="105">
        <f t="shared" si="0"/>
        <v>1587.31</v>
      </c>
      <c r="I36" s="106">
        <f t="shared" si="1"/>
        <v>13142.94</v>
      </c>
      <c r="J36" s="107"/>
      <c r="K36" s="108">
        <f t="shared" si="2"/>
        <v>6</v>
      </c>
      <c r="L36" s="105">
        <f t="shared" si="3"/>
        <v>1533.34</v>
      </c>
      <c r="M36" s="105">
        <f t="shared" si="4"/>
        <v>9200.0400000000009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657.15</v>
      </c>
      <c r="T36" s="111">
        <f t="shared" si="7"/>
        <v>3942.9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563</v>
      </c>
      <c r="C37" s="114" t="s">
        <v>564</v>
      </c>
      <c r="D37" s="88"/>
      <c r="E37" s="89" t="s">
        <v>138</v>
      </c>
      <c r="F37" s="115">
        <v>4</v>
      </c>
      <c r="G37" s="96">
        <v>12187.24</v>
      </c>
      <c r="H37" s="91">
        <f t="shared" si="0"/>
        <v>8831.33</v>
      </c>
      <c r="I37" s="92">
        <f t="shared" si="1"/>
        <v>48748.959999999999</v>
      </c>
      <c r="J37" s="107"/>
      <c r="K37" s="90">
        <f t="shared" si="2"/>
        <v>4</v>
      </c>
      <c r="L37" s="91">
        <f t="shared" si="3"/>
        <v>6093.62</v>
      </c>
      <c r="M37" s="91">
        <f t="shared" si="4"/>
        <v>24374.48</v>
      </c>
      <c r="N37" s="116"/>
      <c r="O37" s="95"/>
      <c r="P37" s="117"/>
      <c r="Q37" s="96"/>
      <c r="R37" s="96">
        <f t="shared" si="5"/>
        <v>0</v>
      </c>
      <c r="S37" s="96">
        <f t="shared" si="6"/>
        <v>6093.62</v>
      </c>
      <c r="T37" s="96">
        <f t="shared" si="7"/>
        <v>24374.48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565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566</v>
      </c>
      <c r="C39" s="114" t="s">
        <v>156</v>
      </c>
      <c r="D39" s="88"/>
      <c r="E39" s="89" t="s">
        <v>138</v>
      </c>
      <c r="F39" s="115">
        <v>1</v>
      </c>
      <c r="G39" s="96">
        <v>2014.21</v>
      </c>
      <c r="H39" s="91">
        <f t="shared" si="0"/>
        <v>1459.57</v>
      </c>
      <c r="I39" s="92">
        <f t="shared" si="1"/>
        <v>2014.21</v>
      </c>
      <c r="J39" s="107"/>
      <c r="K39" s="90">
        <f t="shared" si="2"/>
        <v>1</v>
      </c>
      <c r="L39" s="91">
        <f t="shared" si="3"/>
        <v>1409.95</v>
      </c>
      <c r="M39" s="91">
        <f t="shared" si="4"/>
        <v>1409.95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604.26</v>
      </c>
      <c r="T39" s="96">
        <f t="shared" si="7"/>
        <v>604.26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35" t="s">
        <v>567</v>
      </c>
      <c r="C40" s="101" t="s">
        <v>568</v>
      </c>
      <c r="D40" s="88"/>
      <c r="E40" s="102" t="s">
        <v>138</v>
      </c>
      <c r="F40" s="103">
        <v>1</v>
      </c>
      <c r="G40" s="104">
        <v>314.33999999999997</v>
      </c>
      <c r="H40" s="105">
        <f t="shared" si="0"/>
        <v>227.78</v>
      </c>
      <c r="I40" s="106">
        <f t="shared" si="1"/>
        <v>314.33999999999997</v>
      </c>
      <c r="J40" s="107"/>
      <c r="K40" s="108">
        <f t="shared" si="2"/>
        <v>1</v>
      </c>
      <c r="L40" s="105">
        <f t="shared" si="3"/>
        <v>220.04</v>
      </c>
      <c r="M40" s="105">
        <f t="shared" si="4"/>
        <v>220.04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94.3</v>
      </c>
      <c r="T40" s="111">
        <f t="shared" si="7"/>
        <v>94.3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569</v>
      </c>
      <c r="C41" s="114" t="s">
        <v>158</v>
      </c>
      <c r="D41" s="88"/>
      <c r="E41" s="89" t="s">
        <v>138</v>
      </c>
      <c r="F41" s="115">
        <v>2</v>
      </c>
      <c r="G41" s="96">
        <v>2036.44</v>
      </c>
      <c r="H41" s="91">
        <f t="shared" si="0"/>
        <v>1475.68</v>
      </c>
      <c r="I41" s="92">
        <f t="shared" si="1"/>
        <v>4072.88</v>
      </c>
      <c r="J41" s="107"/>
      <c r="K41" s="90">
        <f t="shared" si="2"/>
        <v>2</v>
      </c>
      <c r="L41" s="91">
        <f t="shared" si="3"/>
        <v>1425.51</v>
      </c>
      <c r="M41" s="91">
        <f t="shared" si="4"/>
        <v>2851.02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610.92999999999995</v>
      </c>
      <c r="T41" s="96">
        <f t="shared" si="7"/>
        <v>1221.8599999999999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570</v>
      </c>
      <c r="C42" s="101" t="s">
        <v>571</v>
      </c>
      <c r="D42" s="88"/>
      <c r="E42" s="102" t="s">
        <v>138</v>
      </c>
      <c r="F42" s="103">
        <v>2</v>
      </c>
      <c r="G42" s="104">
        <v>397.16</v>
      </c>
      <c r="H42" s="105">
        <f t="shared" si="0"/>
        <v>287.8</v>
      </c>
      <c r="I42" s="106">
        <f t="shared" si="1"/>
        <v>794.32</v>
      </c>
      <c r="J42" s="107"/>
      <c r="K42" s="108">
        <f t="shared" si="2"/>
        <v>2</v>
      </c>
      <c r="L42" s="105">
        <f t="shared" si="3"/>
        <v>278.01</v>
      </c>
      <c r="M42" s="105">
        <f t="shared" si="4"/>
        <v>556.02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119.15</v>
      </c>
      <c r="T42" s="111">
        <f t="shared" si="7"/>
        <v>238.3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572</v>
      </c>
      <c r="C43" s="114" t="s">
        <v>301</v>
      </c>
      <c r="D43" s="88"/>
      <c r="E43" s="89" t="s">
        <v>138</v>
      </c>
      <c r="F43" s="115">
        <v>2</v>
      </c>
      <c r="G43" s="96">
        <v>460.05</v>
      </c>
      <c r="H43" s="91">
        <f t="shared" si="0"/>
        <v>333.37</v>
      </c>
      <c r="I43" s="92">
        <f t="shared" si="1"/>
        <v>920.1</v>
      </c>
      <c r="J43" s="107"/>
      <c r="K43" s="90">
        <f t="shared" si="2"/>
        <v>2</v>
      </c>
      <c r="L43" s="91">
        <f t="shared" si="3"/>
        <v>322.04000000000002</v>
      </c>
      <c r="M43" s="91">
        <f t="shared" si="4"/>
        <v>644.08000000000004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138.01</v>
      </c>
      <c r="T43" s="96">
        <f t="shared" si="7"/>
        <v>276.02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573</v>
      </c>
      <c r="C44" s="101" t="s">
        <v>574</v>
      </c>
      <c r="D44" s="88"/>
      <c r="E44" s="102" t="s">
        <v>138</v>
      </c>
      <c r="F44" s="103">
        <v>2</v>
      </c>
      <c r="G44" s="104">
        <v>347.75</v>
      </c>
      <c r="H44" s="105">
        <f t="shared" si="0"/>
        <v>251.99</v>
      </c>
      <c r="I44" s="106">
        <f t="shared" si="1"/>
        <v>695.5</v>
      </c>
      <c r="J44" s="107"/>
      <c r="K44" s="108">
        <f t="shared" si="2"/>
        <v>2</v>
      </c>
      <c r="L44" s="105">
        <f t="shared" si="3"/>
        <v>243.43</v>
      </c>
      <c r="M44" s="105">
        <f t="shared" si="4"/>
        <v>486.86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104.32</v>
      </c>
      <c r="T44" s="111">
        <f t="shared" si="7"/>
        <v>208.64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575</v>
      </c>
      <c r="C45" s="114" t="s">
        <v>576</v>
      </c>
      <c r="D45" s="88"/>
      <c r="E45" s="89" t="s">
        <v>138</v>
      </c>
      <c r="F45" s="115">
        <v>1</v>
      </c>
      <c r="G45" s="96">
        <v>461.69</v>
      </c>
      <c r="H45" s="91">
        <f t="shared" si="0"/>
        <v>334.56</v>
      </c>
      <c r="I45" s="92">
        <f t="shared" si="1"/>
        <v>461.69</v>
      </c>
      <c r="J45" s="107"/>
      <c r="K45" s="90">
        <f t="shared" si="2"/>
        <v>1</v>
      </c>
      <c r="L45" s="91">
        <f t="shared" si="3"/>
        <v>323.18</v>
      </c>
      <c r="M45" s="91">
        <f t="shared" si="4"/>
        <v>323.18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138.51</v>
      </c>
      <c r="T45" s="96">
        <f t="shared" si="7"/>
        <v>138.51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577</v>
      </c>
      <c r="C46" s="101" t="s">
        <v>156</v>
      </c>
      <c r="D46" s="88"/>
      <c r="E46" s="102" t="s">
        <v>138</v>
      </c>
      <c r="F46" s="103">
        <v>2</v>
      </c>
      <c r="G46" s="104">
        <v>814.95</v>
      </c>
      <c r="H46" s="105">
        <f t="shared" si="0"/>
        <v>590.54</v>
      </c>
      <c r="I46" s="106">
        <f t="shared" si="1"/>
        <v>1629.9</v>
      </c>
      <c r="J46" s="107"/>
      <c r="K46" s="108">
        <f t="shared" si="2"/>
        <v>2</v>
      </c>
      <c r="L46" s="105">
        <f t="shared" si="3"/>
        <v>570.47</v>
      </c>
      <c r="M46" s="105">
        <f t="shared" si="4"/>
        <v>1140.94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244.48</v>
      </c>
      <c r="T46" s="111">
        <f t="shared" si="7"/>
        <v>488.96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578</v>
      </c>
      <c r="C47" s="114" t="s">
        <v>576</v>
      </c>
      <c r="D47" s="88"/>
      <c r="E47" s="89" t="s">
        <v>138</v>
      </c>
      <c r="F47" s="115">
        <v>1</v>
      </c>
      <c r="G47" s="96">
        <v>461.69</v>
      </c>
      <c r="H47" s="91">
        <f t="shared" si="0"/>
        <v>334.56</v>
      </c>
      <c r="I47" s="92">
        <f t="shared" si="1"/>
        <v>461.69</v>
      </c>
      <c r="J47" s="107"/>
      <c r="K47" s="90">
        <f t="shared" si="2"/>
        <v>1</v>
      </c>
      <c r="L47" s="91">
        <f t="shared" si="3"/>
        <v>323.18</v>
      </c>
      <c r="M47" s="91">
        <f t="shared" si="4"/>
        <v>323.18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138.51</v>
      </c>
      <c r="T47" s="96">
        <f t="shared" si="7"/>
        <v>138.51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579</v>
      </c>
      <c r="C48" s="101" t="s">
        <v>580</v>
      </c>
      <c r="D48" s="88"/>
      <c r="E48" s="102" t="s">
        <v>138</v>
      </c>
      <c r="F48" s="103">
        <v>3</v>
      </c>
      <c r="G48" s="104">
        <v>923.2</v>
      </c>
      <c r="H48" s="105">
        <f t="shared" si="0"/>
        <v>668.99</v>
      </c>
      <c r="I48" s="106">
        <f t="shared" si="1"/>
        <v>2769.6</v>
      </c>
      <c r="J48" s="107"/>
      <c r="K48" s="108">
        <f t="shared" si="2"/>
        <v>3</v>
      </c>
      <c r="L48" s="105">
        <f t="shared" si="3"/>
        <v>646.24</v>
      </c>
      <c r="M48" s="105">
        <f t="shared" si="4"/>
        <v>1938.72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276.95999999999998</v>
      </c>
      <c r="T48" s="111">
        <f t="shared" si="7"/>
        <v>830.88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 t="s">
        <v>581</v>
      </c>
      <c r="C49" s="114" t="s">
        <v>338</v>
      </c>
      <c r="D49" s="88"/>
      <c r="E49" s="89" t="s">
        <v>138</v>
      </c>
      <c r="F49" s="115">
        <v>2</v>
      </c>
      <c r="G49" s="96">
        <v>339.19</v>
      </c>
      <c r="H49" s="91">
        <f t="shared" si="0"/>
        <v>245.79</v>
      </c>
      <c r="I49" s="92">
        <f t="shared" si="1"/>
        <v>678.38</v>
      </c>
      <c r="J49" s="107"/>
      <c r="K49" s="90">
        <f t="shared" si="2"/>
        <v>2</v>
      </c>
      <c r="L49" s="91">
        <f t="shared" si="3"/>
        <v>237.43</v>
      </c>
      <c r="M49" s="91">
        <f t="shared" si="4"/>
        <v>474.86</v>
      </c>
      <c r="N49" s="116">
        <v>-0.2</v>
      </c>
      <c r="O49" s="95"/>
      <c r="P49" s="117"/>
      <c r="Q49" s="96"/>
      <c r="R49" s="96">
        <f t="shared" si="5"/>
        <v>0</v>
      </c>
      <c r="S49" s="96">
        <f t="shared" si="6"/>
        <v>101.76</v>
      </c>
      <c r="T49" s="96">
        <f t="shared" si="7"/>
        <v>203.52</v>
      </c>
      <c r="U49" s="97">
        <f t="shared" si="8"/>
        <v>0</v>
      </c>
      <c r="V49" s="97">
        <f t="shared" si="9"/>
        <v>1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51</v>
      </c>
      <c r="G50" s="123">
        <f t="shared" si="10"/>
        <v>87290.130000000019</v>
      </c>
      <c r="H50" s="124">
        <f t="shared" si="10"/>
        <v>63253.72</v>
      </c>
      <c r="I50" s="125">
        <f t="shared" si="10"/>
        <v>142532.82</v>
      </c>
      <c r="J50" s="126"/>
      <c r="K50" s="127">
        <f t="shared" ref="K50:M50" si="11">SUM(K19:K49)</f>
        <v>51</v>
      </c>
      <c r="L50" s="124">
        <f t="shared" si="11"/>
        <v>50415.510000000009</v>
      </c>
      <c r="M50" s="125">
        <f t="shared" si="11"/>
        <v>81562.929999999993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36874.620000000017</v>
      </c>
      <c r="T50" s="125">
        <f t="shared" si="12"/>
        <v>60969.89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79" priority="1" stopIfTrue="1">
      <formula>$U$9&gt;100%</formula>
    </cfRule>
    <cfRule type="expression" dxfId="178" priority="2">
      <formula>$U$9&lt;50%</formula>
    </cfRule>
  </conditionalFormatting>
  <conditionalFormatting sqref="V9:V11">
    <cfRule type="expression" dxfId="177" priority="3">
      <formula>$V$9&lt;50%</formula>
    </cfRule>
    <cfRule type="expression" dxfId="176" priority="4">
      <formula>$V$9&gt;50%</formula>
    </cfRule>
  </conditionalFormatting>
  <dataValidations count="4">
    <dataValidation type="list" allowBlank="1" showErrorMessage="1" sqref="E19:E49" xr:uid="{00000000-0002-0000-1C00-000000000000}">
      <formula1>$Z$19:$Z$30</formula1>
    </dataValidation>
    <dataValidation type="list" allowBlank="1" showErrorMessage="1" sqref="I14" xr:uid="{00000000-0002-0000-1C00-000001000000}">
      <formula1>$Y$14:$Y$15</formula1>
    </dataValidation>
    <dataValidation type="list" allowBlank="1" showErrorMessage="1" sqref="J14" xr:uid="{00000000-0002-0000-1C00-000002000000}">
      <formula1>$L$9</formula1>
    </dataValidation>
    <dataValidation type="list" allowBlank="1" showErrorMessage="1" sqref="Q15 G18 L18 Q18" xr:uid="{00000000-0002-0000-1C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582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145172.78999999998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81613.520000000019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63559.26999999996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583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0.43781806494178399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584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63559.27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585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81613.520000000019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68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586</v>
      </c>
      <c r="C22" s="101" t="s">
        <v>174</v>
      </c>
      <c r="D22" s="88"/>
      <c r="E22" s="102">
        <v>1000</v>
      </c>
      <c r="F22" s="103">
        <v>1</v>
      </c>
      <c r="G22" s="104">
        <v>133.80000000000001</v>
      </c>
      <c r="H22" s="105">
        <f t="shared" si="0"/>
        <v>96.96</v>
      </c>
      <c r="I22" s="106">
        <f t="shared" si="1"/>
        <v>133.80000000000001</v>
      </c>
      <c r="J22" s="107"/>
      <c r="K22" s="108">
        <f t="shared" si="2"/>
        <v>1</v>
      </c>
      <c r="L22" s="105">
        <f t="shared" si="3"/>
        <v>66.900000000000006</v>
      </c>
      <c r="M22" s="105">
        <f t="shared" si="4"/>
        <v>66.900000000000006</v>
      </c>
      <c r="N22" s="109"/>
      <c r="O22" s="95"/>
      <c r="P22" s="100"/>
      <c r="Q22" s="104"/>
      <c r="R22" s="110">
        <f t="shared" si="5"/>
        <v>0</v>
      </c>
      <c r="S22" s="111">
        <f t="shared" si="6"/>
        <v>66.900000000000006</v>
      </c>
      <c r="T22" s="111">
        <f t="shared" si="7"/>
        <v>66.900000000000006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175</v>
      </c>
      <c r="C23" s="114" t="s">
        <v>174</v>
      </c>
      <c r="D23" s="88"/>
      <c r="E23" s="89">
        <v>1000</v>
      </c>
      <c r="F23" s="115">
        <v>1</v>
      </c>
      <c r="G23" s="96">
        <v>154.76</v>
      </c>
      <c r="H23" s="91">
        <f t="shared" si="0"/>
        <v>112.14</v>
      </c>
      <c r="I23" s="92">
        <f t="shared" si="1"/>
        <v>154.76</v>
      </c>
      <c r="J23" s="107"/>
      <c r="K23" s="90">
        <f t="shared" si="2"/>
        <v>1</v>
      </c>
      <c r="L23" s="91">
        <f t="shared" si="3"/>
        <v>77.38</v>
      </c>
      <c r="M23" s="91">
        <f t="shared" si="4"/>
        <v>77.38</v>
      </c>
      <c r="N23" s="116"/>
      <c r="O23" s="95"/>
      <c r="P23" s="117"/>
      <c r="Q23" s="96"/>
      <c r="R23" s="96">
        <f t="shared" si="5"/>
        <v>0</v>
      </c>
      <c r="S23" s="96">
        <f t="shared" si="6"/>
        <v>77.38</v>
      </c>
      <c r="T23" s="96">
        <f t="shared" si="7"/>
        <v>77.38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587</v>
      </c>
      <c r="C24" s="101" t="s">
        <v>128</v>
      </c>
      <c r="D24" s="88"/>
      <c r="E24" s="102">
        <v>2000</v>
      </c>
      <c r="F24" s="103">
        <v>1</v>
      </c>
      <c r="G24" s="104">
        <v>174.28</v>
      </c>
      <c r="H24" s="105">
        <f t="shared" si="0"/>
        <v>126.29</v>
      </c>
      <c r="I24" s="106">
        <f t="shared" si="1"/>
        <v>174.28</v>
      </c>
      <c r="J24" s="107"/>
      <c r="K24" s="108">
        <f t="shared" si="2"/>
        <v>1</v>
      </c>
      <c r="L24" s="105">
        <f t="shared" si="3"/>
        <v>104.57</v>
      </c>
      <c r="M24" s="105">
        <f t="shared" si="4"/>
        <v>104.57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69.709999999999994</v>
      </c>
      <c r="T24" s="111">
        <f t="shared" si="7"/>
        <v>69.709999999999994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588</v>
      </c>
      <c r="C25" s="114" t="s">
        <v>131</v>
      </c>
      <c r="D25" s="88"/>
      <c r="E25" s="89">
        <v>2000</v>
      </c>
      <c r="F25" s="115">
        <v>1</v>
      </c>
      <c r="G25" s="96">
        <v>140.84</v>
      </c>
      <c r="H25" s="91">
        <f t="shared" si="0"/>
        <v>102.06</v>
      </c>
      <c r="I25" s="92">
        <f t="shared" si="1"/>
        <v>140.84</v>
      </c>
      <c r="J25" s="107"/>
      <c r="K25" s="90">
        <f t="shared" si="2"/>
        <v>1</v>
      </c>
      <c r="L25" s="91">
        <f t="shared" si="3"/>
        <v>84.5</v>
      </c>
      <c r="M25" s="91">
        <f t="shared" si="4"/>
        <v>84.5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56.34</v>
      </c>
      <c r="T25" s="96">
        <f t="shared" si="7"/>
        <v>56.34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547</v>
      </c>
      <c r="C26" s="101" t="s">
        <v>134</v>
      </c>
      <c r="D26" s="88"/>
      <c r="E26" s="102">
        <v>2000</v>
      </c>
      <c r="F26" s="103">
        <v>2</v>
      </c>
      <c r="G26" s="104">
        <v>70.34</v>
      </c>
      <c r="H26" s="105">
        <f t="shared" si="0"/>
        <v>50.97</v>
      </c>
      <c r="I26" s="106">
        <f t="shared" si="1"/>
        <v>140.68</v>
      </c>
      <c r="J26" s="107"/>
      <c r="K26" s="108">
        <f t="shared" si="2"/>
        <v>2</v>
      </c>
      <c r="L26" s="105">
        <f t="shared" si="3"/>
        <v>42.2</v>
      </c>
      <c r="M26" s="105">
        <f t="shared" si="4"/>
        <v>84.4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28.14</v>
      </c>
      <c r="T26" s="111">
        <f t="shared" si="7"/>
        <v>56.28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560</v>
      </c>
      <c r="C27" s="114" t="s">
        <v>137</v>
      </c>
      <c r="D27" s="88"/>
      <c r="E27" s="89" t="s">
        <v>138</v>
      </c>
      <c r="F27" s="115">
        <v>1</v>
      </c>
      <c r="G27" s="96">
        <v>7439.74</v>
      </c>
      <c r="H27" s="91">
        <f t="shared" si="0"/>
        <v>5391.12</v>
      </c>
      <c r="I27" s="92">
        <f t="shared" si="1"/>
        <v>7439.74</v>
      </c>
      <c r="J27" s="107"/>
      <c r="K27" s="90">
        <f t="shared" si="2"/>
        <v>1</v>
      </c>
      <c r="L27" s="91">
        <f t="shared" si="3"/>
        <v>3719.87</v>
      </c>
      <c r="M27" s="91">
        <f t="shared" si="4"/>
        <v>3719.87</v>
      </c>
      <c r="N27" s="116"/>
      <c r="O27" s="95"/>
      <c r="P27" s="117"/>
      <c r="Q27" s="96"/>
      <c r="R27" s="96">
        <f t="shared" si="5"/>
        <v>0</v>
      </c>
      <c r="S27" s="96">
        <f t="shared" si="6"/>
        <v>3719.87</v>
      </c>
      <c r="T27" s="96">
        <f t="shared" si="7"/>
        <v>3719.87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287</v>
      </c>
      <c r="C28" s="101" t="s">
        <v>394</v>
      </c>
      <c r="D28" s="88"/>
      <c r="E28" s="102" t="s">
        <v>138</v>
      </c>
      <c r="F28" s="103">
        <v>4</v>
      </c>
      <c r="G28" s="104">
        <v>396.11</v>
      </c>
      <c r="H28" s="105">
        <f t="shared" si="0"/>
        <v>287.04000000000002</v>
      </c>
      <c r="I28" s="106">
        <f t="shared" si="1"/>
        <v>1584.44</v>
      </c>
      <c r="J28" s="107"/>
      <c r="K28" s="108">
        <f t="shared" si="2"/>
        <v>4</v>
      </c>
      <c r="L28" s="105">
        <f t="shared" si="3"/>
        <v>198.06</v>
      </c>
      <c r="M28" s="105">
        <f t="shared" si="4"/>
        <v>792.24</v>
      </c>
      <c r="N28" s="109"/>
      <c r="O28" s="95"/>
      <c r="P28" s="100"/>
      <c r="Q28" s="104"/>
      <c r="R28" s="110">
        <f t="shared" si="5"/>
        <v>0</v>
      </c>
      <c r="S28" s="111">
        <f t="shared" si="6"/>
        <v>198.05</v>
      </c>
      <c r="T28" s="111">
        <f t="shared" si="7"/>
        <v>792.2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589</v>
      </c>
      <c r="C29" s="114" t="s">
        <v>144</v>
      </c>
      <c r="D29" s="88"/>
      <c r="E29" s="89" t="s">
        <v>138</v>
      </c>
      <c r="F29" s="115">
        <v>1</v>
      </c>
      <c r="G29" s="96">
        <v>12789.9</v>
      </c>
      <c r="H29" s="91">
        <f t="shared" si="0"/>
        <v>9268.0400000000009</v>
      </c>
      <c r="I29" s="92">
        <f t="shared" si="1"/>
        <v>12789.9</v>
      </c>
      <c r="J29" s="107"/>
      <c r="K29" s="90">
        <f t="shared" si="2"/>
        <v>1</v>
      </c>
      <c r="L29" s="91">
        <f t="shared" si="3"/>
        <v>6394.95</v>
      </c>
      <c r="M29" s="91">
        <f t="shared" si="4"/>
        <v>6394.95</v>
      </c>
      <c r="N29" s="116"/>
      <c r="O29" s="95"/>
      <c r="P29" s="117"/>
      <c r="Q29" s="96"/>
      <c r="R29" s="96">
        <f t="shared" si="5"/>
        <v>0</v>
      </c>
      <c r="S29" s="96">
        <f t="shared" si="6"/>
        <v>6394.95</v>
      </c>
      <c r="T29" s="96">
        <f t="shared" si="7"/>
        <v>6394.95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444</v>
      </c>
      <c r="C30" s="101" t="s">
        <v>147</v>
      </c>
      <c r="D30" s="88"/>
      <c r="E30" s="102" t="s">
        <v>138</v>
      </c>
      <c r="F30" s="103">
        <v>6</v>
      </c>
      <c r="G30" s="104">
        <v>2292.9299999999998</v>
      </c>
      <c r="H30" s="105">
        <f t="shared" si="0"/>
        <v>1661.54</v>
      </c>
      <c r="I30" s="106">
        <f t="shared" si="1"/>
        <v>13757.58</v>
      </c>
      <c r="J30" s="107"/>
      <c r="K30" s="108">
        <f t="shared" si="2"/>
        <v>6</v>
      </c>
      <c r="L30" s="105">
        <f t="shared" si="3"/>
        <v>1605.05</v>
      </c>
      <c r="M30" s="105">
        <f t="shared" si="4"/>
        <v>9630.2999999999993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687.88</v>
      </c>
      <c r="T30" s="111">
        <f t="shared" si="7"/>
        <v>4127.28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445</v>
      </c>
      <c r="C31" s="114" t="s">
        <v>446</v>
      </c>
      <c r="D31" s="88"/>
      <c r="E31" s="89" t="s">
        <v>138</v>
      </c>
      <c r="F31" s="115">
        <v>4</v>
      </c>
      <c r="G31" s="96">
        <v>19382.12</v>
      </c>
      <c r="H31" s="91">
        <f t="shared" si="0"/>
        <v>14045.01</v>
      </c>
      <c r="I31" s="92">
        <f t="shared" si="1"/>
        <v>77528.479999999996</v>
      </c>
      <c r="J31" s="107"/>
      <c r="K31" s="90">
        <f t="shared" si="2"/>
        <v>4</v>
      </c>
      <c r="L31" s="91">
        <f t="shared" si="3"/>
        <v>9691.06</v>
      </c>
      <c r="M31" s="91">
        <f t="shared" si="4"/>
        <v>38764.239999999998</v>
      </c>
      <c r="N31" s="116"/>
      <c r="O31" s="95"/>
      <c r="P31" s="117"/>
      <c r="Q31" s="96"/>
      <c r="R31" s="96">
        <f t="shared" si="5"/>
        <v>0</v>
      </c>
      <c r="S31" s="96">
        <f t="shared" si="6"/>
        <v>9691.06</v>
      </c>
      <c r="T31" s="96">
        <f t="shared" si="7"/>
        <v>38764.239999999998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 t="s">
        <v>590</v>
      </c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 t="s">
        <v>591</v>
      </c>
      <c r="C33" s="114" t="s">
        <v>301</v>
      </c>
      <c r="D33" s="88"/>
      <c r="E33" s="89" t="s">
        <v>138</v>
      </c>
      <c r="F33" s="115">
        <v>2</v>
      </c>
      <c r="G33" s="96">
        <v>522.76</v>
      </c>
      <c r="H33" s="91">
        <f t="shared" si="0"/>
        <v>378.81</v>
      </c>
      <c r="I33" s="92">
        <f t="shared" si="1"/>
        <v>1045.52</v>
      </c>
      <c r="J33" s="107"/>
      <c r="K33" s="90">
        <f t="shared" si="2"/>
        <v>2</v>
      </c>
      <c r="L33" s="91">
        <f t="shared" si="3"/>
        <v>365.93</v>
      </c>
      <c r="M33" s="91">
        <f t="shared" si="4"/>
        <v>731.86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156.83000000000001</v>
      </c>
      <c r="T33" s="96">
        <f t="shared" si="7"/>
        <v>313.66000000000003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592</v>
      </c>
      <c r="C34" s="101" t="s">
        <v>593</v>
      </c>
      <c r="D34" s="88"/>
      <c r="E34" s="102" t="s">
        <v>138</v>
      </c>
      <c r="F34" s="103">
        <v>7</v>
      </c>
      <c r="G34" s="104">
        <v>473.79</v>
      </c>
      <c r="H34" s="105">
        <f t="shared" si="0"/>
        <v>343.33</v>
      </c>
      <c r="I34" s="106">
        <f t="shared" si="1"/>
        <v>3316.53</v>
      </c>
      <c r="J34" s="107"/>
      <c r="K34" s="108">
        <f t="shared" si="2"/>
        <v>7</v>
      </c>
      <c r="L34" s="105">
        <f t="shared" si="3"/>
        <v>331.65</v>
      </c>
      <c r="M34" s="105">
        <f t="shared" si="4"/>
        <v>2321.5500000000002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142.13999999999999</v>
      </c>
      <c r="T34" s="111">
        <f t="shared" si="7"/>
        <v>994.98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594</v>
      </c>
      <c r="C35" s="114" t="s">
        <v>595</v>
      </c>
      <c r="D35" s="88"/>
      <c r="E35" s="89" t="s">
        <v>138</v>
      </c>
      <c r="F35" s="115">
        <v>2</v>
      </c>
      <c r="G35" s="96">
        <v>652.36</v>
      </c>
      <c r="H35" s="91">
        <f t="shared" si="0"/>
        <v>472.72</v>
      </c>
      <c r="I35" s="92">
        <f t="shared" si="1"/>
        <v>1304.72</v>
      </c>
      <c r="J35" s="107"/>
      <c r="K35" s="90">
        <f t="shared" si="2"/>
        <v>2</v>
      </c>
      <c r="L35" s="91">
        <f t="shared" si="3"/>
        <v>456.65</v>
      </c>
      <c r="M35" s="91">
        <f t="shared" si="4"/>
        <v>913.3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195.71</v>
      </c>
      <c r="T35" s="96">
        <f t="shared" si="7"/>
        <v>391.42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596</v>
      </c>
      <c r="C36" s="101" t="s">
        <v>201</v>
      </c>
      <c r="D36" s="88"/>
      <c r="E36" s="102" t="s">
        <v>138</v>
      </c>
      <c r="F36" s="103">
        <v>8</v>
      </c>
      <c r="G36" s="104">
        <v>43.16</v>
      </c>
      <c r="H36" s="105">
        <f t="shared" si="0"/>
        <v>31.28</v>
      </c>
      <c r="I36" s="106">
        <f t="shared" si="1"/>
        <v>345.28</v>
      </c>
      <c r="J36" s="107"/>
      <c r="K36" s="108">
        <f t="shared" si="2"/>
        <v>8</v>
      </c>
      <c r="L36" s="105">
        <f t="shared" si="3"/>
        <v>30.21</v>
      </c>
      <c r="M36" s="105">
        <f t="shared" si="4"/>
        <v>241.68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12.95</v>
      </c>
      <c r="T36" s="111">
        <f t="shared" si="7"/>
        <v>103.6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597</v>
      </c>
      <c r="C37" s="114" t="s">
        <v>598</v>
      </c>
      <c r="D37" s="88"/>
      <c r="E37" s="89" t="s">
        <v>138</v>
      </c>
      <c r="F37" s="115">
        <v>8</v>
      </c>
      <c r="G37" s="96">
        <v>523.95000000000005</v>
      </c>
      <c r="H37" s="91">
        <f t="shared" si="0"/>
        <v>379.67</v>
      </c>
      <c r="I37" s="92">
        <f t="shared" si="1"/>
        <v>4191.6000000000004</v>
      </c>
      <c r="J37" s="107"/>
      <c r="K37" s="90">
        <f t="shared" si="2"/>
        <v>8</v>
      </c>
      <c r="L37" s="91">
        <f t="shared" si="3"/>
        <v>366.77</v>
      </c>
      <c r="M37" s="91">
        <f t="shared" si="4"/>
        <v>2934.16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157.18</v>
      </c>
      <c r="T37" s="96">
        <f t="shared" si="7"/>
        <v>1257.44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599</v>
      </c>
      <c r="C38" s="101" t="s">
        <v>571</v>
      </c>
      <c r="D38" s="88"/>
      <c r="E38" s="102" t="s">
        <v>138</v>
      </c>
      <c r="F38" s="103">
        <v>2</v>
      </c>
      <c r="G38" s="104">
        <v>544.55999999999995</v>
      </c>
      <c r="H38" s="105">
        <f t="shared" si="0"/>
        <v>394.61</v>
      </c>
      <c r="I38" s="106">
        <f t="shared" si="1"/>
        <v>1089.1199999999999</v>
      </c>
      <c r="J38" s="107"/>
      <c r="K38" s="108">
        <f t="shared" si="2"/>
        <v>2</v>
      </c>
      <c r="L38" s="105">
        <f t="shared" si="3"/>
        <v>381.19</v>
      </c>
      <c r="M38" s="105">
        <f t="shared" si="4"/>
        <v>762.38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163.37</v>
      </c>
      <c r="T38" s="111">
        <f t="shared" si="7"/>
        <v>326.74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600</v>
      </c>
      <c r="C39" s="114" t="s">
        <v>301</v>
      </c>
      <c r="D39" s="88"/>
      <c r="E39" s="89" t="s">
        <v>138</v>
      </c>
      <c r="F39" s="115">
        <v>2</v>
      </c>
      <c r="G39" s="96">
        <v>240.57</v>
      </c>
      <c r="H39" s="91">
        <f t="shared" si="0"/>
        <v>174.33</v>
      </c>
      <c r="I39" s="92">
        <f t="shared" si="1"/>
        <v>481.14</v>
      </c>
      <c r="J39" s="107"/>
      <c r="K39" s="90">
        <f t="shared" si="2"/>
        <v>2</v>
      </c>
      <c r="L39" s="91">
        <f t="shared" si="3"/>
        <v>168.4</v>
      </c>
      <c r="M39" s="91">
        <f t="shared" si="4"/>
        <v>336.8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72.17</v>
      </c>
      <c r="T39" s="96">
        <f t="shared" si="7"/>
        <v>144.34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601</v>
      </c>
      <c r="C40" s="101" t="s">
        <v>571</v>
      </c>
      <c r="D40" s="88"/>
      <c r="E40" s="102" t="s">
        <v>138</v>
      </c>
      <c r="F40" s="103">
        <v>1</v>
      </c>
      <c r="G40" s="104">
        <v>2835.95</v>
      </c>
      <c r="H40" s="105">
        <f t="shared" si="0"/>
        <v>2055.04</v>
      </c>
      <c r="I40" s="106">
        <f t="shared" si="1"/>
        <v>2835.95</v>
      </c>
      <c r="J40" s="107"/>
      <c r="K40" s="108">
        <f t="shared" si="2"/>
        <v>1</v>
      </c>
      <c r="L40" s="105">
        <f t="shared" si="3"/>
        <v>1985.17</v>
      </c>
      <c r="M40" s="105">
        <f t="shared" si="4"/>
        <v>1985.17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850.78</v>
      </c>
      <c r="T40" s="111">
        <f t="shared" si="7"/>
        <v>850.78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602</v>
      </c>
      <c r="C41" s="114" t="s">
        <v>571</v>
      </c>
      <c r="D41" s="88"/>
      <c r="E41" s="89" t="s">
        <v>138</v>
      </c>
      <c r="F41" s="115">
        <v>1</v>
      </c>
      <c r="G41" s="96">
        <v>1516.06</v>
      </c>
      <c r="H41" s="91">
        <f t="shared" si="0"/>
        <v>1098.5899999999999</v>
      </c>
      <c r="I41" s="92">
        <f t="shared" si="1"/>
        <v>1516.06</v>
      </c>
      <c r="J41" s="107"/>
      <c r="K41" s="90">
        <f t="shared" si="2"/>
        <v>1</v>
      </c>
      <c r="L41" s="91">
        <f t="shared" si="3"/>
        <v>1061.24</v>
      </c>
      <c r="M41" s="91">
        <f t="shared" si="4"/>
        <v>1061.24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454.82</v>
      </c>
      <c r="T41" s="96">
        <f t="shared" si="7"/>
        <v>454.82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603</v>
      </c>
      <c r="C42" s="101" t="s">
        <v>158</v>
      </c>
      <c r="D42" s="88"/>
      <c r="E42" s="102" t="s">
        <v>138</v>
      </c>
      <c r="F42" s="103">
        <v>1</v>
      </c>
      <c r="G42" s="104">
        <v>1520.03</v>
      </c>
      <c r="H42" s="105">
        <f t="shared" si="0"/>
        <v>1101.47</v>
      </c>
      <c r="I42" s="106">
        <f t="shared" si="1"/>
        <v>1520.03</v>
      </c>
      <c r="J42" s="107"/>
      <c r="K42" s="108">
        <f t="shared" si="2"/>
        <v>1</v>
      </c>
      <c r="L42" s="105">
        <f t="shared" si="3"/>
        <v>1064.02</v>
      </c>
      <c r="M42" s="105">
        <f t="shared" si="4"/>
        <v>1064.02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456.01</v>
      </c>
      <c r="T42" s="111">
        <f t="shared" si="7"/>
        <v>456.01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604</v>
      </c>
      <c r="C43" s="114" t="s">
        <v>605</v>
      </c>
      <c r="D43" s="88"/>
      <c r="E43" s="89" t="s">
        <v>138</v>
      </c>
      <c r="F43" s="115">
        <v>1</v>
      </c>
      <c r="G43" s="96">
        <v>9510.83</v>
      </c>
      <c r="H43" s="91">
        <f t="shared" si="0"/>
        <v>6891.91</v>
      </c>
      <c r="I43" s="92">
        <f t="shared" si="1"/>
        <v>9510.83</v>
      </c>
      <c r="J43" s="107"/>
      <c r="K43" s="90">
        <f t="shared" si="2"/>
        <v>1</v>
      </c>
      <c r="L43" s="91">
        <f t="shared" si="3"/>
        <v>6657.58</v>
      </c>
      <c r="M43" s="91">
        <f t="shared" si="4"/>
        <v>6657.58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2853.25</v>
      </c>
      <c r="T43" s="96">
        <f t="shared" si="7"/>
        <v>2853.25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606</v>
      </c>
      <c r="C44" s="101" t="s">
        <v>607</v>
      </c>
      <c r="D44" s="88"/>
      <c r="E44" s="102" t="s">
        <v>138</v>
      </c>
      <c r="F44" s="103">
        <v>2</v>
      </c>
      <c r="G44" s="104">
        <v>552.86</v>
      </c>
      <c r="H44" s="105">
        <f t="shared" si="0"/>
        <v>400.62</v>
      </c>
      <c r="I44" s="106">
        <f t="shared" si="1"/>
        <v>1105.72</v>
      </c>
      <c r="J44" s="107"/>
      <c r="K44" s="108">
        <f t="shared" si="2"/>
        <v>2</v>
      </c>
      <c r="L44" s="105">
        <f t="shared" si="3"/>
        <v>387</v>
      </c>
      <c r="M44" s="105">
        <f t="shared" si="4"/>
        <v>774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165.86</v>
      </c>
      <c r="T44" s="111">
        <f t="shared" si="7"/>
        <v>331.72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608</v>
      </c>
      <c r="C45" s="114" t="s">
        <v>607</v>
      </c>
      <c r="D45" s="88"/>
      <c r="E45" s="89" t="s">
        <v>138</v>
      </c>
      <c r="F45" s="115">
        <v>6</v>
      </c>
      <c r="G45" s="96">
        <v>481.29</v>
      </c>
      <c r="H45" s="91">
        <f t="shared" si="0"/>
        <v>348.76</v>
      </c>
      <c r="I45" s="92">
        <f t="shared" si="1"/>
        <v>2887.74</v>
      </c>
      <c r="J45" s="107"/>
      <c r="K45" s="90">
        <f t="shared" si="2"/>
        <v>6</v>
      </c>
      <c r="L45" s="91">
        <f t="shared" si="3"/>
        <v>336.9</v>
      </c>
      <c r="M45" s="91">
        <f t="shared" si="4"/>
        <v>2021.4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144.38999999999999</v>
      </c>
      <c r="T45" s="96">
        <f t="shared" si="7"/>
        <v>866.34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68</v>
      </c>
      <c r="G50" s="123">
        <f t="shared" si="10"/>
        <v>62571.039999999994</v>
      </c>
      <c r="H50" s="124">
        <f t="shared" si="10"/>
        <v>45341.330000000016</v>
      </c>
      <c r="I50" s="125">
        <f t="shared" si="10"/>
        <v>145172.78999999998</v>
      </c>
      <c r="J50" s="126"/>
      <c r="K50" s="127">
        <f t="shared" ref="K50:M50" si="11">SUM(K19:K49)</f>
        <v>68</v>
      </c>
      <c r="L50" s="124">
        <f t="shared" si="11"/>
        <v>35666.280000000006</v>
      </c>
      <c r="M50" s="125">
        <f t="shared" si="11"/>
        <v>81613.520000000019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26904.759999999995</v>
      </c>
      <c r="T50" s="125">
        <f t="shared" si="12"/>
        <v>63559.27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75" priority="1" stopIfTrue="1">
      <formula>$U$9&gt;100%</formula>
    </cfRule>
    <cfRule type="expression" dxfId="174" priority="2">
      <formula>$U$9&lt;50%</formula>
    </cfRule>
  </conditionalFormatting>
  <conditionalFormatting sqref="V9:V11">
    <cfRule type="expression" dxfId="173" priority="3">
      <formula>$V$9&lt;50%</formula>
    </cfRule>
    <cfRule type="expression" dxfId="172" priority="4">
      <formula>$V$9&gt;50%</formula>
    </cfRule>
  </conditionalFormatting>
  <dataValidations count="4">
    <dataValidation type="list" allowBlank="1" showErrorMessage="1" sqref="E19:E49" xr:uid="{00000000-0002-0000-1D00-000000000000}">
      <formula1>$Z$19:$Z$30</formula1>
    </dataValidation>
    <dataValidation type="list" allowBlank="1" showErrorMessage="1" sqref="I14" xr:uid="{00000000-0002-0000-1D00-000001000000}">
      <formula1>$Y$14:$Y$15</formula1>
    </dataValidation>
    <dataValidation type="list" allowBlank="1" showErrorMessage="1" sqref="J14" xr:uid="{00000000-0002-0000-1D00-000002000000}">
      <formula1>$L$9</formula1>
    </dataValidation>
    <dataValidation type="list" allowBlank="1" showErrorMessage="1" sqref="Q15 G18 L18 Q18" xr:uid="{00000000-0002-0000-1D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609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82335.239999999991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2008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54806.92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27528.319999999992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610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0.33434432206671161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611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27528.319999999996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612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54806.92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175</v>
      </c>
      <c r="C22" s="101" t="s">
        <v>174</v>
      </c>
      <c r="D22" s="88"/>
      <c r="E22" s="102">
        <v>1000</v>
      </c>
      <c r="F22" s="103">
        <v>1</v>
      </c>
      <c r="G22" s="104">
        <v>154.76</v>
      </c>
      <c r="H22" s="105">
        <f t="shared" si="0"/>
        <v>112.14</v>
      </c>
      <c r="I22" s="106">
        <f t="shared" si="1"/>
        <v>154.76</v>
      </c>
      <c r="J22" s="107"/>
      <c r="K22" s="108">
        <f t="shared" si="2"/>
        <v>1</v>
      </c>
      <c r="L22" s="105">
        <f t="shared" si="3"/>
        <v>77.38</v>
      </c>
      <c r="M22" s="105">
        <f t="shared" si="4"/>
        <v>77.38</v>
      </c>
      <c r="N22" s="109"/>
      <c r="O22" s="95"/>
      <c r="P22" s="100"/>
      <c r="Q22" s="104"/>
      <c r="R22" s="110">
        <f t="shared" si="5"/>
        <v>0</v>
      </c>
      <c r="S22" s="111">
        <f t="shared" si="6"/>
        <v>77.38</v>
      </c>
      <c r="T22" s="111">
        <f t="shared" si="7"/>
        <v>77.38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613</v>
      </c>
      <c r="C23" s="114" t="s">
        <v>174</v>
      </c>
      <c r="D23" s="88"/>
      <c r="E23" s="89">
        <v>1000</v>
      </c>
      <c r="F23" s="115">
        <v>1</v>
      </c>
      <c r="G23" s="96">
        <v>70.77</v>
      </c>
      <c r="H23" s="91">
        <f t="shared" si="0"/>
        <v>51.28</v>
      </c>
      <c r="I23" s="92">
        <f t="shared" si="1"/>
        <v>70.77</v>
      </c>
      <c r="J23" s="107"/>
      <c r="K23" s="90">
        <f t="shared" si="2"/>
        <v>1</v>
      </c>
      <c r="L23" s="91">
        <f t="shared" si="3"/>
        <v>35.39</v>
      </c>
      <c r="M23" s="91">
        <f t="shared" si="4"/>
        <v>35.39</v>
      </c>
      <c r="N23" s="116"/>
      <c r="O23" s="95"/>
      <c r="P23" s="117"/>
      <c r="Q23" s="96"/>
      <c r="R23" s="96">
        <f t="shared" si="5"/>
        <v>0</v>
      </c>
      <c r="S23" s="96">
        <f t="shared" si="6"/>
        <v>35.380000000000003</v>
      </c>
      <c r="T23" s="96">
        <f t="shared" si="7"/>
        <v>35.380000000000003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614</v>
      </c>
      <c r="C24" s="101" t="s">
        <v>174</v>
      </c>
      <c r="D24" s="88"/>
      <c r="E24" s="102">
        <v>1000</v>
      </c>
      <c r="F24" s="103">
        <v>1</v>
      </c>
      <c r="G24" s="104">
        <v>131.06</v>
      </c>
      <c r="H24" s="105">
        <f t="shared" si="0"/>
        <v>94.97</v>
      </c>
      <c r="I24" s="106">
        <f t="shared" si="1"/>
        <v>131.06</v>
      </c>
      <c r="J24" s="107"/>
      <c r="K24" s="108">
        <f t="shared" si="2"/>
        <v>1</v>
      </c>
      <c r="L24" s="105">
        <f t="shared" si="3"/>
        <v>65.53</v>
      </c>
      <c r="M24" s="105">
        <f t="shared" si="4"/>
        <v>65.53</v>
      </c>
      <c r="N24" s="109"/>
      <c r="O24" s="95"/>
      <c r="P24" s="100"/>
      <c r="Q24" s="104"/>
      <c r="R24" s="110">
        <f t="shared" si="5"/>
        <v>0</v>
      </c>
      <c r="S24" s="111">
        <f t="shared" si="6"/>
        <v>65.53</v>
      </c>
      <c r="T24" s="111">
        <f t="shared" si="7"/>
        <v>65.53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615</v>
      </c>
      <c r="C25" s="114" t="s">
        <v>128</v>
      </c>
      <c r="D25" s="88"/>
      <c r="E25" s="89">
        <v>2000</v>
      </c>
      <c r="F25" s="115">
        <v>1</v>
      </c>
      <c r="G25" s="96">
        <v>112.13</v>
      </c>
      <c r="H25" s="91">
        <f t="shared" si="0"/>
        <v>81.25</v>
      </c>
      <c r="I25" s="92">
        <f t="shared" si="1"/>
        <v>112.13</v>
      </c>
      <c r="J25" s="107"/>
      <c r="K25" s="90">
        <f t="shared" si="2"/>
        <v>1</v>
      </c>
      <c r="L25" s="91">
        <f t="shared" si="3"/>
        <v>67.28</v>
      </c>
      <c r="M25" s="91">
        <f t="shared" si="4"/>
        <v>67.28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44.85</v>
      </c>
      <c r="T25" s="96">
        <f t="shared" si="7"/>
        <v>44.85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518</v>
      </c>
      <c r="C26" s="101" t="s">
        <v>131</v>
      </c>
      <c r="D26" s="88"/>
      <c r="E26" s="102">
        <v>2000</v>
      </c>
      <c r="F26" s="103">
        <v>1</v>
      </c>
      <c r="G26" s="104">
        <v>83.86</v>
      </c>
      <c r="H26" s="105">
        <f t="shared" si="0"/>
        <v>60.77</v>
      </c>
      <c r="I26" s="106">
        <f t="shared" si="1"/>
        <v>83.86</v>
      </c>
      <c r="J26" s="107"/>
      <c r="K26" s="108">
        <f t="shared" si="2"/>
        <v>1</v>
      </c>
      <c r="L26" s="105">
        <f t="shared" si="3"/>
        <v>50.32</v>
      </c>
      <c r="M26" s="105">
        <f t="shared" si="4"/>
        <v>50.32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33.54</v>
      </c>
      <c r="T26" s="111">
        <f t="shared" si="7"/>
        <v>33.54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616</v>
      </c>
      <c r="C27" s="114" t="s">
        <v>134</v>
      </c>
      <c r="D27" s="88"/>
      <c r="E27" s="89">
        <v>2000</v>
      </c>
      <c r="F27" s="115">
        <v>1</v>
      </c>
      <c r="G27" s="96">
        <v>77.760000000000005</v>
      </c>
      <c r="H27" s="91">
        <f t="shared" si="0"/>
        <v>56.35</v>
      </c>
      <c r="I27" s="92">
        <f t="shared" si="1"/>
        <v>77.760000000000005</v>
      </c>
      <c r="J27" s="107"/>
      <c r="K27" s="90">
        <f t="shared" si="2"/>
        <v>1</v>
      </c>
      <c r="L27" s="91">
        <f t="shared" si="3"/>
        <v>46.66</v>
      </c>
      <c r="M27" s="91">
        <f t="shared" si="4"/>
        <v>46.66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31.1</v>
      </c>
      <c r="T27" s="96">
        <f t="shared" si="7"/>
        <v>31.1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617</v>
      </c>
      <c r="C28" s="101" t="s">
        <v>134</v>
      </c>
      <c r="D28" s="88"/>
      <c r="E28" s="102">
        <v>2000</v>
      </c>
      <c r="F28" s="103">
        <v>1</v>
      </c>
      <c r="G28" s="104">
        <v>48.5</v>
      </c>
      <c r="H28" s="105">
        <f t="shared" si="0"/>
        <v>35.14</v>
      </c>
      <c r="I28" s="106">
        <f t="shared" si="1"/>
        <v>48.5</v>
      </c>
      <c r="J28" s="107"/>
      <c r="K28" s="108">
        <f t="shared" si="2"/>
        <v>1</v>
      </c>
      <c r="L28" s="105">
        <f t="shared" si="3"/>
        <v>29.1</v>
      </c>
      <c r="M28" s="105">
        <f t="shared" si="4"/>
        <v>29.1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19.399999999999999</v>
      </c>
      <c r="T28" s="111">
        <f t="shared" si="7"/>
        <v>19.399999999999999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618</v>
      </c>
      <c r="C29" s="114" t="s">
        <v>619</v>
      </c>
      <c r="D29" s="88"/>
      <c r="E29" s="89" t="s">
        <v>138</v>
      </c>
      <c r="F29" s="115">
        <v>1</v>
      </c>
      <c r="G29" s="96">
        <v>6122.89</v>
      </c>
      <c r="H29" s="91">
        <f t="shared" si="0"/>
        <v>4436.88</v>
      </c>
      <c r="I29" s="92">
        <f t="shared" si="1"/>
        <v>6122.89</v>
      </c>
      <c r="J29" s="107"/>
      <c r="K29" s="90">
        <f t="shared" si="2"/>
        <v>1</v>
      </c>
      <c r="L29" s="91">
        <f t="shared" si="3"/>
        <v>3061.45</v>
      </c>
      <c r="M29" s="91">
        <f t="shared" si="4"/>
        <v>3061.45</v>
      </c>
      <c r="N29" s="116"/>
      <c r="O29" s="95"/>
      <c r="P29" s="117"/>
      <c r="Q29" s="96"/>
      <c r="R29" s="96">
        <f t="shared" si="5"/>
        <v>0</v>
      </c>
      <c r="S29" s="96">
        <f t="shared" si="6"/>
        <v>3061.44</v>
      </c>
      <c r="T29" s="96">
        <f t="shared" si="7"/>
        <v>3061.44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287</v>
      </c>
      <c r="C30" s="101" t="s">
        <v>183</v>
      </c>
      <c r="D30" s="88"/>
      <c r="E30" s="102" t="s">
        <v>138</v>
      </c>
      <c r="F30" s="103">
        <v>2</v>
      </c>
      <c r="G30" s="104">
        <v>396.11</v>
      </c>
      <c r="H30" s="105">
        <f t="shared" si="0"/>
        <v>287.04000000000002</v>
      </c>
      <c r="I30" s="106">
        <f t="shared" si="1"/>
        <v>792.22</v>
      </c>
      <c r="J30" s="107"/>
      <c r="K30" s="108">
        <f t="shared" si="2"/>
        <v>2</v>
      </c>
      <c r="L30" s="105">
        <f t="shared" si="3"/>
        <v>198.06</v>
      </c>
      <c r="M30" s="105">
        <f t="shared" si="4"/>
        <v>396.12</v>
      </c>
      <c r="N30" s="109"/>
      <c r="O30" s="95"/>
      <c r="P30" s="100"/>
      <c r="Q30" s="104"/>
      <c r="R30" s="110">
        <f t="shared" si="5"/>
        <v>0</v>
      </c>
      <c r="S30" s="111">
        <f t="shared" si="6"/>
        <v>198.05</v>
      </c>
      <c r="T30" s="111">
        <f t="shared" si="7"/>
        <v>396.1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620</v>
      </c>
      <c r="C31" s="114" t="s">
        <v>144</v>
      </c>
      <c r="D31" s="88"/>
      <c r="E31" s="89" t="s">
        <v>138</v>
      </c>
      <c r="F31" s="115">
        <v>1</v>
      </c>
      <c r="G31" s="96">
        <v>6528.01</v>
      </c>
      <c r="H31" s="91">
        <f t="shared" si="0"/>
        <v>4730.4399999999996</v>
      </c>
      <c r="I31" s="92">
        <f t="shared" si="1"/>
        <v>6528.01</v>
      </c>
      <c r="J31" s="107"/>
      <c r="K31" s="90">
        <f t="shared" si="2"/>
        <v>1</v>
      </c>
      <c r="L31" s="91">
        <f t="shared" si="3"/>
        <v>3264.01</v>
      </c>
      <c r="M31" s="91">
        <f t="shared" si="4"/>
        <v>3264.01</v>
      </c>
      <c r="N31" s="116"/>
      <c r="O31" s="95"/>
      <c r="P31" s="117"/>
      <c r="Q31" s="96"/>
      <c r="R31" s="96">
        <f t="shared" si="5"/>
        <v>0</v>
      </c>
      <c r="S31" s="96">
        <f t="shared" si="6"/>
        <v>3264</v>
      </c>
      <c r="T31" s="96">
        <f t="shared" si="7"/>
        <v>3264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621</v>
      </c>
      <c r="C32" s="101" t="s">
        <v>258</v>
      </c>
      <c r="D32" s="88"/>
      <c r="E32" s="102" t="s">
        <v>138</v>
      </c>
      <c r="F32" s="103">
        <v>6</v>
      </c>
      <c r="G32" s="104">
        <v>2077.89</v>
      </c>
      <c r="H32" s="105">
        <f t="shared" si="0"/>
        <v>1505.72</v>
      </c>
      <c r="I32" s="106">
        <f t="shared" si="1"/>
        <v>12467.34</v>
      </c>
      <c r="J32" s="107"/>
      <c r="K32" s="108">
        <f t="shared" si="2"/>
        <v>6</v>
      </c>
      <c r="L32" s="105">
        <f t="shared" si="3"/>
        <v>1454.52</v>
      </c>
      <c r="M32" s="105">
        <f t="shared" si="4"/>
        <v>8727.1200000000008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623.37</v>
      </c>
      <c r="T32" s="111">
        <f t="shared" si="7"/>
        <v>3740.22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622</v>
      </c>
      <c r="C33" s="114" t="s">
        <v>335</v>
      </c>
      <c r="D33" s="88"/>
      <c r="E33" s="89">
        <v>1200</v>
      </c>
      <c r="F33" s="115">
        <v>1</v>
      </c>
      <c r="G33" s="96">
        <v>49469.919999999998</v>
      </c>
      <c r="H33" s="91">
        <f t="shared" si="0"/>
        <v>35847.769999999997</v>
      </c>
      <c r="I33" s="92">
        <f t="shared" si="1"/>
        <v>49469.919999999998</v>
      </c>
      <c r="J33" s="107"/>
      <c r="K33" s="90">
        <f t="shared" si="2"/>
        <v>1</v>
      </c>
      <c r="L33" s="91">
        <f t="shared" si="3"/>
        <v>34628.94</v>
      </c>
      <c r="M33" s="91">
        <f t="shared" si="4"/>
        <v>34628.94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14840.98</v>
      </c>
      <c r="T33" s="96">
        <f t="shared" si="7"/>
        <v>14840.98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 t="s">
        <v>525</v>
      </c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 t="s">
        <v>623</v>
      </c>
      <c r="C35" s="114" t="s">
        <v>152</v>
      </c>
      <c r="D35" s="88"/>
      <c r="E35" s="89" t="s">
        <v>138</v>
      </c>
      <c r="F35" s="115">
        <v>1</v>
      </c>
      <c r="G35" s="96">
        <v>184.79</v>
      </c>
      <c r="H35" s="91">
        <f t="shared" si="0"/>
        <v>133.91</v>
      </c>
      <c r="I35" s="92">
        <f t="shared" si="1"/>
        <v>184.79</v>
      </c>
      <c r="J35" s="107"/>
      <c r="K35" s="90">
        <f t="shared" si="2"/>
        <v>1</v>
      </c>
      <c r="L35" s="91">
        <f t="shared" si="3"/>
        <v>129.35</v>
      </c>
      <c r="M35" s="91">
        <f t="shared" si="4"/>
        <v>129.35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55.44</v>
      </c>
      <c r="T35" s="96">
        <f t="shared" si="7"/>
        <v>55.44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624</v>
      </c>
      <c r="C36" s="101" t="s">
        <v>152</v>
      </c>
      <c r="D36" s="88"/>
      <c r="E36" s="102" t="s">
        <v>138</v>
      </c>
      <c r="F36" s="103">
        <v>1</v>
      </c>
      <c r="G36" s="104">
        <v>184.79</v>
      </c>
      <c r="H36" s="105">
        <f t="shared" si="0"/>
        <v>133.91</v>
      </c>
      <c r="I36" s="106">
        <f t="shared" si="1"/>
        <v>184.79</v>
      </c>
      <c r="J36" s="107"/>
      <c r="K36" s="108">
        <f t="shared" si="2"/>
        <v>1</v>
      </c>
      <c r="L36" s="105">
        <f t="shared" si="3"/>
        <v>129.35</v>
      </c>
      <c r="M36" s="105">
        <f t="shared" si="4"/>
        <v>129.35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55.44</v>
      </c>
      <c r="T36" s="111">
        <f t="shared" si="7"/>
        <v>55.44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625</v>
      </c>
      <c r="C37" s="114" t="s">
        <v>156</v>
      </c>
      <c r="D37" s="88"/>
      <c r="E37" s="89" t="s">
        <v>138</v>
      </c>
      <c r="F37" s="115">
        <v>2</v>
      </c>
      <c r="G37" s="96">
        <v>359.68</v>
      </c>
      <c r="H37" s="91">
        <f t="shared" si="0"/>
        <v>260.64</v>
      </c>
      <c r="I37" s="92">
        <f t="shared" si="1"/>
        <v>719.36</v>
      </c>
      <c r="J37" s="107"/>
      <c r="K37" s="90">
        <f t="shared" si="2"/>
        <v>2</v>
      </c>
      <c r="L37" s="91">
        <f t="shared" si="3"/>
        <v>251.78</v>
      </c>
      <c r="M37" s="91">
        <f t="shared" si="4"/>
        <v>503.56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107.9</v>
      </c>
      <c r="T37" s="96">
        <f t="shared" si="7"/>
        <v>215.8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626</v>
      </c>
      <c r="C38" s="101" t="s">
        <v>627</v>
      </c>
      <c r="D38" s="88"/>
      <c r="E38" s="102" t="s">
        <v>138</v>
      </c>
      <c r="F38" s="103">
        <v>1</v>
      </c>
      <c r="G38" s="104">
        <v>2309.15</v>
      </c>
      <c r="H38" s="105">
        <f t="shared" si="0"/>
        <v>1673.3</v>
      </c>
      <c r="I38" s="106">
        <f t="shared" si="1"/>
        <v>2309.15</v>
      </c>
      <c r="J38" s="107"/>
      <c r="K38" s="108">
        <f t="shared" si="2"/>
        <v>1</v>
      </c>
      <c r="L38" s="105">
        <f t="shared" si="3"/>
        <v>1616.41</v>
      </c>
      <c r="M38" s="105">
        <f t="shared" si="4"/>
        <v>1616.41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692.74</v>
      </c>
      <c r="T38" s="111">
        <f t="shared" si="7"/>
        <v>692.74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136" t="s">
        <v>628</v>
      </c>
      <c r="C39" s="114" t="s">
        <v>627</v>
      </c>
      <c r="D39" s="88"/>
      <c r="E39" s="89" t="s">
        <v>138</v>
      </c>
      <c r="F39" s="115">
        <v>2</v>
      </c>
      <c r="G39" s="96">
        <v>391.94</v>
      </c>
      <c r="H39" s="91">
        <f t="shared" si="0"/>
        <v>284.01</v>
      </c>
      <c r="I39" s="92">
        <f t="shared" si="1"/>
        <v>783.88</v>
      </c>
      <c r="J39" s="107"/>
      <c r="K39" s="90">
        <f t="shared" si="2"/>
        <v>2</v>
      </c>
      <c r="L39" s="91">
        <f t="shared" si="3"/>
        <v>274.36</v>
      </c>
      <c r="M39" s="91">
        <f t="shared" si="4"/>
        <v>548.72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117.58</v>
      </c>
      <c r="T39" s="96">
        <f t="shared" si="7"/>
        <v>235.16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35" t="s">
        <v>629</v>
      </c>
      <c r="C40" s="101" t="s">
        <v>160</v>
      </c>
      <c r="D40" s="88"/>
      <c r="E40" s="102" t="s">
        <v>138</v>
      </c>
      <c r="F40" s="103">
        <v>1</v>
      </c>
      <c r="G40" s="104">
        <v>1727.43</v>
      </c>
      <c r="H40" s="105">
        <f t="shared" si="0"/>
        <v>1251.76</v>
      </c>
      <c r="I40" s="106">
        <f t="shared" si="1"/>
        <v>1727.43</v>
      </c>
      <c r="J40" s="107"/>
      <c r="K40" s="108">
        <f t="shared" si="2"/>
        <v>1</v>
      </c>
      <c r="L40" s="105">
        <f t="shared" si="3"/>
        <v>1209.2</v>
      </c>
      <c r="M40" s="105">
        <f t="shared" si="4"/>
        <v>1209.2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518.23</v>
      </c>
      <c r="T40" s="111">
        <f t="shared" si="7"/>
        <v>518.23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630</v>
      </c>
      <c r="C41" s="114" t="s">
        <v>379</v>
      </c>
      <c r="D41" s="88"/>
      <c r="E41" s="89" t="s">
        <v>138</v>
      </c>
      <c r="F41" s="115">
        <v>1</v>
      </c>
      <c r="G41" s="96">
        <v>188.57</v>
      </c>
      <c r="H41" s="91">
        <f t="shared" si="0"/>
        <v>136.63999999999999</v>
      </c>
      <c r="I41" s="92">
        <f t="shared" si="1"/>
        <v>188.57</v>
      </c>
      <c r="J41" s="107"/>
      <c r="K41" s="90">
        <f t="shared" si="2"/>
        <v>1</v>
      </c>
      <c r="L41" s="91">
        <f t="shared" si="3"/>
        <v>132</v>
      </c>
      <c r="M41" s="91">
        <f t="shared" si="4"/>
        <v>132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56.57</v>
      </c>
      <c r="T41" s="96">
        <f t="shared" si="7"/>
        <v>56.57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30</v>
      </c>
      <c r="G50" s="123">
        <f t="shared" si="10"/>
        <v>70798.059999999983</v>
      </c>
      <c r="H50" s="124">
        <f t="shared" si="10"/>
        <v>51302.94000000001</v>
      </c>
      <c r="I50" s="125">
        <f t="shared" si="10"/>
        <v>82335.239999999991</v>
      </c>
      <c r="J50" s="126"/>
      <c r="K50" s="127">
        <f t="shared" ref="K50:M50" si="11">SUM(K19:K49)</f>
        <v>30</v>
      </c>
      <c r="L50" s="124">
        <f t="shared" si="11"/>
        <v>46810.119999999995</v>
      </c>
      <c r="M50" s="125">
        <f t="shared" si="11"/>
        <v>54806.92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23987.940000000002</v>
      </c>
      <c r="T50" s="125">
        <f t="shared" si="12"/>
        <v>27528.319999999996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71" priority="1" stopIfTrue="1">
      <formula>$U$9&gt;100%</formula>
    </cfRule>
    <cfRule type="expression" dxfId="170" priority="2">
      <formula>$U$9&lt;50%</formula>
    </cfRule>
  </conditionalFormatting>
  <conditionalFormatting sqref="V9:V11">
    <cfRule type="expression" dxfId="169" priority="3">
      <formula>$V$9&lt;50%</formula>
    </cfRule>
    <cfRule type="expression" dxfId="168" priority="4">
      <formula>$V$9&gt;50%</formula>
    </cfRule>
  </conditionalFormatting>
  <dataValidations count="4">
    <dataValidation type="list" allowBlank="1" showErrorMessage="1" sqref="E19:E49" xr:uid="{00000000-0002-0000-1E00-000000000000}">
      <formula1>$Z$19:$Z$30</formula1>
    </dataValidation>
    <dataValidation type="list" allowBlank="1" showErrorMessage="1" sqref="I14" xr:uid="{00000000-0002-0000-1E00-000001000000}">
      <formula1>$Y$14:$Y$15</formula1>
    </dataValidation>
    <dataValidation type="list" allowBlank="1" showErrorMessage="1" sqref="J14" xr:uid="{00000000-0002-0000-1E00-000002000000}">
      <formula1>$L$9</formula1>
    </dataValidation>
    <dataValidation type="list" allowBlank="1" showErrorMessage="1" sqref="Q15 G18 L18 Q18" xr:uid="{00000000-0002-0000-1E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5" sqref="G15:I1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631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81231.92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53826.61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27405.309999999998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632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0.33737119595351184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633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27405.309999999998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634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53826.61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437</v>
      </c>
      <c r="C19" s="87" t="s">
        <v>169</v>
      </c>
      <c r="D19" s="88"/>
      <c r="E19" s="89">
        <v>500</v>
      </c>
      <c r="F19" s="90">
        <v>1</v>
      </c>
      <c r="G19" s="91">
        <v>46.66</v>
      </c>
      <c r="H19" s="91">
        <f t="shared" ref="H19:H49" si="0">ROUND(IF($G$18="USD $", G19*$F$16,G19*$E$16),2)</f>
        <v>33.81</v>
      </c>
      <c r="I19" s="92">
        <f t="shared" ref="I19:I49" si="1">ROUND(IF($I$18=$H$18,F19*H19,F19*G19),2)</f>
        <v>46.66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23.33</v>
      </c>
      <c r="M19" s="91">
        <f t="shared" ref="M19:M49" si="4">ROUND((K19*L19),2)</f>
        <v>23.33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23.33</v>
      </c>
      <c r="T19" s="96">
        <f t="shared" ref="T19:T49" si="7">ROUND(I19-M19,2)</f>
        <v>23.33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170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389</v>
      </c>
      <c r="C22" s="101" t="s">
        <v>174</v>
      </c>
      <c r="D22" s="88"/>
      <c r="E22" s="102">
        <v>1000</v>
      </c>
      <c r="F22" s="103">
        <v>1</v>
      </c>
      <c r="G22" s="104">
        <v>100.38</v>
      </c>
      <c r="H22" s="105">
        <f t="shared" si="0"/>
        <v>72.739999999999995</v>
      </c>
      <c r="I22" s="106">
        <f t="shared" si="1"/>
        <v>100.38</v>
      </c>
      <c r="J22" s="107"/>
      <c r="K22" s="108">
        <f t="shared" si="2"/>
        <v>1</v>
      </c>
      <c r="L22" s="105">
        <f t="shared" si="3"/>
        <v>50.19</v>
      </c>
      <c r="M22" s="105">
        <f t="shared" si="4"/>
        <v>50.19</v>
      </c>
      <c r="N22" s="109"/>
      <c r="O22" s="95"/>
      <c r="P22" s="100"/>
      <c r="Q22" s="104"/>
      <c r="R22" s="110">
        <f t="shared" si="5"/>
        <v>0</v>
      </c>
      <c r="S22" s="111">
        <f t="shared" si="6"/>
        <v>50.19</v>
      </c>
      <c r="T22" s="111">
        <f t="shared" si="7"/>
        <v>50.19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635</v>
      </c>
      <c r="C23" s="114" t="s">
        <v>174</v>
      </c>
      <c r="D23" s="88"/>
      <c r="E23" s="89">
        <v>1000</v>
      </c>
      <c r="F23" s="115">
        <v>1</v>
      </c>
      <c r="G23" s="96">
        <v>65.63</v>
      </c>
      <c r="H23" s="91">
        <f t="shared" si="0"/>
        <v>47.56</v>
      </c>
      <c r="I23" s="92">
        <f t="shared" si="1"/>
        <v>65.63</v>
      </c>
      <c r="J23" s="107"/>
      <c r="K23" s="90">
        <f t="shared" si="2"/>
        <v>1</v>
      </c>
      <c r="L23" s="91">
        <f t="shared" si="3"/>
        <v>32.82</v>
      </c>
      <c r="M23" s="91">
        <f t="shared" si="4"/>
        <v>32.82</v>
      </c>
      <c r="N23" s="116"/>
      <c r="O23" s="95"/>
      <c r="P23" s="117"/>
      <c r="Q23" s="96"/>
      <c r="R23" s="96">
        <f t="shared" si="5"/>
        <v>0</v>
      </c>
      <c r="S23" s="96">
        <f t="shared" si="6"/>
        <v>32.81</v>
      </c>
      <c r="T23" s="96">
        <f t="shared" si="7"/>
        <v>32.81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615</v>
      </c>
      <c r="C24" s="101" t="s">
        <v>128</v>
      </c>
      <c r="D24" s="88"/>
      <c r="E24" s="102">
        <v>2000</v>
      </c>
      <c r="F24" s="103">
        <v>1</v>
      </c>
      <c r="G24" s="104">
        <v>112.13</v>
      </c>
      <c r="H24" s="105">
        <f t="shared" si="0"/>
        <v>81.25</v>
      </c>
      <c r="I24" s="106">
        <f t="shared" si="1"/>
        <v>112.13</v>
      </c>
      <c r="J24" s="107"/>
      <c r="K24" s="108">
        <f t="shared" si="2"/>
        <v>1</v>
      </c>
      <c r="L24" s="105">
        <f t="shared" si="3"/>
        <v>67.28</v>
      </c>
      <c r="M24" s="105">
        <f t="shared" si="4"/>
        <v>67.28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44.85</v>
      </c>
      <c r="T24" s="111">
        <f t="shared" si="7"/>
        <v>44.85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518</v>
      </c>
      <c r="C25" s="114" t="s">
        <v>131</v>
      </c>
      <c r="D25" s="88"/>
      <c r="E25" s="89">
        <v>2000</v>
      </c>
      <c r="F25" s="115">
        <v>1</v>
      </c>
      <c r="G25" s="96">
        <v>83.86</v>
      </c>
      <c r="H25" s="91">
        <f t="shared" si="0"/>
        <v>60.77</v>
      </c>
      <c r="I25" s="92">
        <f t="shared" si="1"/>
        <v>83.86</v>
      </c>
      <c r="J25" s="107"/>
      <c r="K25" s="90">
        <f t="shared" si="2"/>
        <v>1</v>
      </c>
      <c r="L25" s="91">
        <f t="shared" si="3"/>
        <v>50.32</v>
      </c>
      <c r="M25" s="91">
        <f t="shared" si="4"/>
        <v>50.32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33.54</v>
      </c>
      <c r="T25" s="96">
        <f t="shared" si="7"/>
        <v>33.54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616</v>
      </c>
      <c r="C26" s="101" t="s">
        <v>134</v>
      </c>
      <c r="D26" s="88"/>
      <c r="E26" s="102">
        <v>2000</v>
      </c>
      <c r="F26" s="103">
        <v>1</v>
      </c>
      <c r="G26" s="104">
        <v>77.760000000000005</v>
      </c>
      <c r="H26" s="105">
        <f t="shared" si="0"/>
        <v>56.35</v>
      </c>
      <c r="I26" s="106">
        <f t="shared" si="1"/>
        <v>77.760000000000005</v>
      </c>
      <c r="J26" s="107"/>
      <c r="K26" s="108">
        <f t="shared" si="2"/>
        <v>1</v>
      </c>
      <c r="L26" s="105">
        <f t="shared" si="3"/>
        <v>46.66</v>
      </c>
      <c r="M26" s="105">
        <f t="shared" si="4"/>
        <v>46.66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31.1</v>
      </c>
      <c r="T26" s="111">
        <f t="shared" si="7"/>
        <v>31.1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617</v>
      </c>
      <c r="C27" s="114" t="s">
        <v>134</v>
      </c>
      <c r="D27" s="88"/>
      <c r="E27" s="89">
        <v>2000</v>
      </c>
      <c r="F27" s="115">
        <v>1</v>
      </c>
      <c r="G27" s="96">
        <v>48.5</v>
      </c>
      <c r="H27" s="91">
        <f t="shared" si="0"/>
        <v>35.14</v>
      </c>
      <c r="I27" s="92">
        <f t="shared" si="1"/>
        <v>48.5</v>
      </c>
      <c r="J27" s="107"/>
      <c r="K27" s="90">
        <f t="shared" si="2"/>
        <v>1</v>
      </c>
      <c r="L27" s="91">
        <f t="shared" si="3"/>
        <v>29.1</v>
      </c>
      <c r="M27" s="91">
        <f t="shared" si="4"/>
        <v>29.1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19.399999999999999</v>
      </c>
      <c r="T27" s="96">
        <f t="shared" si="7"/>
        <v>19.399999999999999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636</v>
      </c>
      <c r="C28" s="101" t="s">
        <v>331</v>
      </c>
      <c r="D28" s="88"/>
      <c r="E28" s="102" t="s">
        <v>138</v>
      </c>
      <c r="F28" s="103">
        <v>1</v>
      </c>
      <c r="G28" s="104">
        <v>7696.81</v>
      </c>
      <c r="H28" s="105">
        <f t="shared" si="0"/>
        <v>5577.4</v>
      </c>
      <c r="I28" s="106">
        <f t="shared" si="1"/>
        <v>7696.81</v>
      </c>
      <c r="J28" s="107"/>
      <c r="K28" s="108">
        <f t="shared" si="2"/>
        <v>1</v>
      </c>
      <c r="L28" s="105">
        <f t="shared" si="3"/>
        <v>3848.41</v>
      </c>
      <c r="M28" s="105">
        <f t="shared" si="4"/>
        <v>3848.41</v>
      </c>
      <c r="N28" s="109"/>
      <c r="O28" s="95"/>
      <c r="P28" s="100"/>
      <c r="Q28" s="104"/>
      <c r="R28" s="110">
        <f t="shared" si="5"/>
        <v>0</v>
      </c>
      <c r="S28" s="111">
        <f t="shared" si="6"/>
        <v>3848.4</v>
      </c>
      <c r="T28" s="111">
        <f t="shared" si="7"/>
        <v>3848.4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287</v>
      </c>
      <c r="C29" s="114" t="s">
        <v>183</v>
      </c>
      <c r="D29" s="88"/>
      <c r="E29" s="89" t="s">
        <v>138</v>
      </c>
      <c r="F29" s="115">
        <v>2</v>
      </c>
      <c r="G29" s="96">
        <v>396.11</v>
      </c>
      <c r="H29" s="91">
        <f t="shared" si="0"/>
        <v>287.04000000000002</v>
      </c>
      <c r="I29" s="92">
        <f t="shared" si="1"/>
        <v>792.22</v>
      </c>
      <c r="J29" s="107"/>
      <c r="K29" s="90">
        <f t="shared" si="2"/>
        <v>2</v>
      </c>
      <c r="L29" s="91">
        <f t="shared" si="3"/>
        <v>198.06</v>
      </c>
      <c r="M29" s="91">
        <f t="shared" si="4"/>
        <v>396.12</v>
      </c>
      <c r="N29" s="116"/>
      <c r="O29" s="95"/>
      <c r="P29" s="117"/>
      <c r="Q29" s="96"/>
      <c r="R29" s="96">
        <f t="shared" si="5"/>
        <v>0</v>
      </c>
      <c r="S29" s="96">
        <f t="shared" si="6"/>
        <v>198.05</v>
      </c>
      <c r="T29" s="96">
        <f t="shared" si="7"/>
        <v>396.1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637</v>
      </c>
      <c r="C30" s="101" t="s">
        <v>144</v>
      </c>
      <c r="D30" s="88"/>
      <c r="E30" s="102" t="s">
        <v>138</v>
      </c>
      <c r="F30" s="103">
        <v>1</v>
      </c>
      <c r="G30" s="104">
        <v>6200.18</v>
      </c>
      <c r="H30" s="105">
        <f t="shared" si="0"/>
        <v>4492.88</v>
      </c>
      <c r="I30" s="106">
        <f t="shared" si="1"/>
        <v>6200.18</v>
      </c>
      <c r="J30" s="107"/>
      <c r="K30" s="108">
        <f t="shared" si="2"/>
        <v>1</v>
      </c>
      <c r="L30" s="105">
        <f t="shared" si="3"/>
        <v>3100.09</v>
      </c>
      <c r="M30" s="105">
        <f t="shared" si="4"/>
        <v>3100.09</v>
      </c>
      <c r="N30" s="109"/>
      <c r="O30" s="95"/>
      <c r="P30" s="100"/>
      <c r="Q30" s="104"/>
      <c r="R30" s="110">
        <f t="shared" si="5"/>
        <v>0</v>
      </c>
      <c r="S30" s="111">
        <f t="shared" si="6"/>
        <v>3100.09</v>
      </c>
      <c r="T30" s="111">
        <f t="shared" si="7"/>
        <v>3100.09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638</v>
      </c>
      <c r="C31" s="114" t="s">
        <v>258</v>
      </c>
      <c r="D31" s="88"/>
      <c r="E31" s="89" t="s">
        <v>138</v>
      </c>
      <c r="F31" s="115">
        <v>6</v>
      </c>
      <c r="G31" s="96">
        <v>2185.44</v>
      </c>
      <c r="H31" s="91">
        <f t="shared" si="0"/>
        <v>1583.65</v>
      </c>
      <c r="I31" s="92">
        <f t="shared" si="1"/>
        <v>13112.64</v>
      </c>
      <c r="J31" s="107"/>
      <c r="K31" s="90">
        <f t="shared" si="2"/>
        <v>6</v>
      </c>
      <c r="L31" s="91">
        <f t="shared" si="3"/>
        <v>1529.81</v>
      </c>
      <c r="M31" s="91">
        <f t="shared" si="4"/>
        <v>9178.86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655.63</v>
      </c>
      <c r="T31" s="96">
        <f t="shared" si="7"/>
        <v>3933.78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622</v>
      </c>
      <c r="C32" s="101" t="s">
        <v>335</v>
      </c>
      <c r="D32" s="88"/>
      <c r="E32" s="102">
        <v>1200</v>
      </c>
      <c r="F32" s="103">
        <v>1</v>
      </c>
      <c r="G32" s="104">
        <v>49469.919999999998</v>
      </c>
      <c r="H32" s="105">
        <f t="shared" si="0"/>
        <v>35847.769999999997</v>
      </c>
      <c r="I32" s="106">
        <f t="shared" si="1"/>
        <v>49469.919999999998</v>
      </c>
      <c r="J32" s="107"/>
      <c r="K32" s="108">
        <f t="shared" si="2"/>
        <v>1</v>
      </c>
      <c r="L32" s="105">
        <f t="shared" si="3"/>
        <v>34628.94</v>
      </c>
      <c r="M32" s="105">
        <f t="shared" si="4"/>
        <v>34628.94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14840.98</v>
      </c>
      <c r="T32" s="111">
        <f t="shared" si="7"/>
        <v>14840.98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525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623</v>
      </c>
      <c r="C34" s="101" t="s">
        <v>152</v>
      </c>
      <c r="D34" s="88"/>
      <c r="E34" s="102" t="s">
        <v>138</v>
      </c>
      <c r="F34" s="103">
        <v>1</v>
      </c>
      <c r="G34" s="104">
        <v>184.79</v>
      </c>
      <c r="H34" s="105">
        <f t="shared" si="0"/>
        <v>133.91</v>
      </c>
      <c r="I34" s="106">
        <f t="shared" si="1"/>
        <v>184.79</v>
      </c>
      <c r="J34" s="107"/>
      <c r="K34" s="108">
        <f t="shared" si="2"/>
        <v>1</v>
      </c>
      <c r="L34" s="105">
        <f t="shared" si="3"/>
        <v>129.35</v>
      </c>
      <c r="M34" s="105">
        <f t="shared" si="4"/>
        <v>129.35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55.44</v>
      </c>
      <c r="T34" s="111">
        <f t="shared" si="7"/>
        <v>55.44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624</v>
      </c>
      <c r="C35" s="114" t="s">
        <v>152</v>
      </c>
      <c r="D35" s="88"/>
      <c r="E35" s="89" t="s">
        <v>138</v>
      </c>
      <c r="F35" s="115">
        <v>1</v>
      </c>
      <c r="G35" s="96">
        <v>184.79</v>
      </c>
      <c r="H35" s="91">
        <f t="shared" si="0"/>
        <v>133.91</v>
      </c>
      <c r="I35" s="92">
        <f t="shared" si="1"/>
        <v>184.79</v>
      </c>
      <c r="J35" s="107"/>
      <c r="K35" s="90">
        <f t="shared" si="2"/>
        <v>1</v>
      </c>
      <c r="L35" s="91">
        <f t="shared" si="3"/>
        <v>129.35</v>
      </c>
      <c r="M35" s="91">
        <f t="shared" si="4"/>
        <v>129.35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55.44</v>
      </c>
      <c r="T35" s="96">
        <f t="shared" si="7"/>
        <v>55.44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625</v>
      </c>
      <c r="C36" s="101" t="s">
        <v>156</v>
      </c>
      <c r="D36" s="88"/>
      <c r="E36" s="102" t="s">
        <v>138</v>
      </c>
      <c r="F36" s="103">
        <v>2</v>
      </c>
      <c r="G36" s="104">
        <v>359.68</v>
      </c>
      <c r="H36" s="105">
        <f t="shared" si="0"/>
        <v>260.64</v>
      </c>
      <c r="I36" s="106">
        <f t="shared" si="1"/>
        <v>719.36</v>
      </c>
      <c r="J36" s="107"/>
      <c r="K36" s="108">
        <f t="shared" si="2"/>
        <v>2</v>
      </c>
      <c r="L36" s="105">
        <f t="shared" si="3"/>
        <v>251.78</v>
      </c>
      <c r="M36" s="105">
        <f t="shared" si="4"/>
        <v>503.56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107.9</v>
      </c>
      <c r="T36" s="111">
        <f t="shared" si="7"/>
        <v>215.8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161</v>
      </c>
      <c r="C37" s="114" t="s">
        <v>162</v>
      </c>
      <c r="D37" s="88"/>
      <c r="E37" s="89" t="s">
        <v>138</v>
      </c>
      <c r="F37" s="115">
        <v>1</v>
      </c>
      <c r="G37" s="96">
        <v>188.57</v>
      </c>
      <c r="H37" s="91">
        <f t="shared" si="0"/>
        <v>136.63999999999999</v>
      </c>
      <c r="I37" s="92">
        <f t="shared" si="1"/>
        <v>188.57</v>
      </c>
      <c r="J37" s="107"/>
      <c r="K37" s="90">
        <f t="shared" si="2"/>
        <v>1</v>
      </c>
      <c r="L37" s="91">
        <f t="shared" si="3"/>
        <v>132</v>
      </c>
      <c r="M37" s="91">
        <f t="shared" si="4"/>
        <v>132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56.57</v>
      </c>
      <c r="T37" s="96">
        <f t="shared" si="7"/>
        <v>56.57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639</v>
      </c>
      <c r="C38" s="101" t="s">
        <v>160</v>
      </c>
      <c r="D38" s="88"/>
      <c r="E38" s="102" t="s">
        <v>138</v>
      </c>
      <c r="F38" s="103">
        <v>1</v>
      </c>
      <c r="G38" s="104">
        <v>2031.83</v>
      </c>
      <c r="H38" s="105">
        <f t="shared" si="0"/>
        <v>1472.34</v>
      </c>
      <c r="I38" s="106">
        <f t="shared" si="1"/>
        <v>2031.83</v>
      </c>
      <c r="J38" s="107"/>
      <c r="K38" s="108">
        <f t="shared" si="2"/>
        <v>1</v>
      </c>
      <c r="L38" s="105">
        <f t="shared" si="3"/>
        <v>1422.28</v>
      </c>
      <c r="M38" s="105">
        <f t="shared" si="4"/>
        <v>1422.28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609.54999999999995</v>
      </c>
      <c r="T38" s="111">
        <f t="shared" si="7"/>
        <v>609.54999999999995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26</v>
      </c>
      <c r="G50" s="123">
        <f t="shared" si="10"/>
        <v>69548.929999999993</v>
      </c>
      <c r="H50" s="124">
        <f t="shared" si="10"/>
        <v>50397.78</v>
      </c>
      <c r="I50" s="125">
        <f t="shared" si="10"/>
        <v>81231.92</v>
      </c>
      <c r="J50" s="126"/>
      <c r="K50" s="127">
        <f t="shared" ref="K50:M50" si="11">SUM(K19:K49)</f>
        <v>26</v>
      </c>
      <c r="L50" s="124">
        <f t="shared" si="11"/>
        <v>45727.72</v>
      </c>
      <c r="M50" s="125">
        <f t="shared" si="11"/>
        <v>53826.61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23821.21</v>
      </c>
      <c r="T50" s="125">
        <f t="shared" si="12"/>
        <v>27405.309999999998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67" priority="1" stopIfTrue="1">
      <formula>$U$9&gt;100%</formula>
    </cfRule>
    <cfRule type="expression" dxfId="166" priority="2">
      <formula>$U$9&lt;50%</formula>
    </cfRule>
  </conditionalFormatting>
  <conditionalFormatting sqref="V9:V11">
    <cfRule type="expression" dxfId="165" priority="3">
      <formula>$V$9&lt;50%</formula>
    </cfRule>
    <cfRule type="expression" dxfId="164" priority="4">
      <formula>$V$9&gt;50%</formula>
    </cfRule>
  </conditionalFormatting>
  <dataValidations count="4">
    <dataValidation type="list" allowBlank="1" showErrorMessage="1" sqref="E19:E49" xr:uid="{00000000-0002-0000-1F00-000000000000}">
      <formula1>$Z$19:$Z$30</formula1>
    </dataValidation>
    <dataValidation type="list" allowBlank="1" showErrorMessage="1" sqref="I14" xr:uid="{00000000-0002-0000-1F00-000001000000}">
      <formula1>$Y$14:$Y$15</formula1>
    </dataValidation>
    <dataValidation type="list" allowBlank="1" showErrorMessage="1" sqref="J14" xr:uid="{00000000-0002-0000-1F00-000002000000}">
      <formula1>$L$9</formula1>
    </dataValidation>
    <dataValidation type="list" allowBlank="1" showErrorMessage="1" sqref="Q15 G18 L18 Q18" xr:uid="{00000000-0002-0000-1F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640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159776.33000000002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1996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108191.72000000002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51584.61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641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0.3228551438126035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642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51584.61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643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108191.72000000002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117</v>
      </c>
      <c r="C20" s="101" t="s">
        <v>118</v>
      </c>
      <c r="D20" s="88"/>
      <c r="E20" s="102">
        <v>500</v>
      </c>
      <c r="F20" s="103">
        <v>1</v>
      </c>
      <c r="G20" s="104">
        <v>39.020000000000003</v>
      </c>
      <c r="H20" s="105">
        <f t="shared" si="0"/>
        <v>28.28</v>
      </c>
      <c r="I20" s="106">
        <f t="shared" si="1"/>
        <v>39.020000000000003</v>
      </c>
      <c r="J20" s="107"/>
      <c r="K20" s="108">
        <f t="shared" si="2"/>
        <v>1</v>
      </c>
      <c r="L20" s="105">
        <f t="shared" si="3"/>
        <v>19.510000000000002</v>
      </c>
      <c r="M20" s="105">
        <f t="shared" si="4"/>
        <v>19.510000000000002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19.510000000000002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644</v>
      </c>
      <c r="C21" s="114" t="s">
        <v>645</v>
      </c>
      <c r="D21" s="88"/>
      <c r="E21" s="89">
        <v>500</v>
      </c>
      <c r="F21" s="115">
        <v>1</v>
      </c>
      <c r="G21" s="96">
        <v>60.15</v>
      </c>
      <c r="H21" s="91">
        <f t="shared" si="0"/>
        <v>43.59</v>
      </c>
      <c r="I21" s="92">
        <f t="shared" si="1"/>
        <v>60.15</v>
      </c>
      <c r="J21" s="107"/>
      <c r="K21" s="90">
        <f t="shared" si="2"/>
        <v>1</v>
      </c>
      <c r="L21" s="91">
        <f t="shared" si="3"/>
        <v>30.08</v>
      </c>
      <c r="M21" s="91">
        <f t="shared" si="4"/>
        <v>30.08</v>
      </c>
      <c r="N21" s="116"/>
      <c r="O21" s="95"/>
      <c r="P21" s="117"/>
      <c r="Q21" s="96"/>
      <c r="R21" s="96">
        <f t="shared" si="5"/>
        <v>0</v>
      </c>
      <c r="S21" s="96">
        <f t="shared" si="6"/>
        <v>30.07</v>
      </c>
      <c r="T21" s="96">
        <f t="shared" si="7"/>
        <v>30.07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635</v>
      </c>
      <c r="C22" s="101" t="s">
        <v>174</v>
      </c>
      <c r="D22" s="88"/>
      <c r="E22" s="102">
        <v>1000</v>
      </c>
      <c r="F22" s="103">
        <v>1</v>
      </c>
      <c r="G22" s="104">
        <v>65.63</v>
      </c>
      <c r="H22" s="105">
        <f t="shared" si="0"/>
        <v>47.56</v>
      </c>
      <c r="I22" s="106">
        <f t="shared" si="1"/>
        <v>65.63</v>
      </c>
      <c r="J22" s="107"/>
      <c r="K22" s="108">
        <f t="shared" si="2"/>
        <v>1</v>
      </c>
      <c r="L22" s="105">
        <f t="shared" si="3"/>
        <v>32.82</v>
      </c>
      <c r="M22" s="105">
        <f t="shared" si="4"/>
        <v>32.82</v>
      </c>
      <c r="N22" s="109"/>
      <c r="O22" s="95"/>
      <c r="P22" s="100"/>
      <c r="Q22" s="104"/>
      <c r="R22" s="110">
        <f t="shared" si="5"/>
        <v>0</v>
      </c>
      <c r="S22" s="111">
        <f t="shared" si="6"/>
        <v>32.81</v>
      </c>
      <c r="T22" s="111">
        <f t="shared" si="7"/>
        <v>32.81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120</v>
      </c>
      <c r="C23" s="114" t="s">
        <v>174</v>
      </c>
      <c r="D23" s="88"/>
      <c r="E23" s="89">
        <v>1000</v>
      </c>
      <c r="F23" s="115">
        <v>1</v>
      </c>
      <c r="G23" s="96">
        <v>89.34</v>
      </c>
      <c r="H23" s="91">
        <f t="shared" si="0"/>
        <v>64.739999999999995</v>
      </c>
      <c r="I23" s="92">
        <f t="shared" si="1"/>
        <v>89.34</v>
      </c>
      <c r="J23" s="107"/>
      <c r="K23" s="90">
        <f t="shared" si="2"/>
        <v>1</v>
      </c>
      <c r="L23" s="91">
        <f t="shared" si="3"/>
        <v>44.67</v>
      </c>
      <c r="M23" s="91">
        <f t="shared" si="4"/>
        <v>44.67</v>
      </c>
      <c r="N23" s="116"/>
      <c r="O23" s="95"/>
      <c r="P23" s="117"/>
      <c r="Q23" s="96"/>
      <c r="R23" s="96">
        <f t="shared" si="5"/>
        <v>0</v>
      </c>
      <c r="S23" s="96">
        <f t="shared" si="6"/>
        <v>44.67</v>
      </c>
      <c r="T23" s="96">
        <f t="shared" si="7"/>
        <v>44.67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646</v>
      </c>
      <c r="C24" s="101" t="s">
        <v>128</v>
      </c>
      <c r="D24" s="88"/>
      <c r="E24" s="102">
        <v>2000</v>
      </c>
      <c r="F24" s="103">
        <v>1</v>
      </c>
      <c r="G24" s="104">
        <v>149.93</v>
      </c>
      <c r="H24" s="105">
        <f t="shared" si="0"/>
        <v>108.64</v>
      </c>
      <c r="I24" s="106">
        <f t="shared" si="1"/>
        <v>149.93</v>
      </c>
      <c r="J24" s="107"/>
      <c r="K24" s="108">
        <f t="shared" si="2"/>
        <v>1</v>
      </c>
      <c r="L24" s="105">
        <f t="shared" si="3"/>
        <v>89.96</v>
      </c>
      <c r="M24" s="105">
        <f t="shared" si="4"/>
        <v>89.96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59.97</v>
      </c>
      <c r="T24" s="111">
        <f t="shared" si="7"/>
        <v>59.97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647</v>
      </c>
      <c r="C25" s="114" t="s">
        <v>131</v>
      </c>
      <c r="D25" s="88"/>
      <c r="E25" s="89">
        <v>2000</v>
      </c>
      <c r="F25" s="115">
        <v>1</v>
      </c>
      <c r="G25" s="96">
        <v>132.99</v>
      </c>
      <c r="H25" s="91">
        <f t="shared" si="0"/>
        <v>96.37</v>
      </c>
      <c r="I25" s="92">
        <f t="shared" si="1"/>
        <v>132.99</v>
      </c>
      <c r="J25" s="107"/>
      <c r="K25" s="90">
        <f t="shared" si="2"/>
        <v>1</v>
      </c>
      <c r="L25" s="91">
        <f t="shared" si="3"/>
        <v>79.790000000000006</v>
      </c>
      <c r="M25" s="91">
        <f t="shared" si="4"/>
        <v>79.790000000000006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53.2</v>
      </c>
      <c r="T25" s="96">
        <f t="shared" si="7"/>
        <v>53.2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648</v>
      </c>
      <c r="C26" s="101" t="s">
        <v>649</v>
      </c>
      <c r="D26" s="88"/>
      <c r="E26" s="102" t="s">
        <v>138</v>
      </c>
      <c r="F26" s="103">
        <v>1</v>
      </c>
      <c r="G26" s="104">
        <v>5916.4</v>
      </c>
      <c r="H26" s="105">
        <f t="shared" si="0"/>
        <v>4287.25</v>
      </c>
      <c r="I26" s="106">
        <f t="shared" si="1"/>
        <v>5916.4</v>
      </c>
      <c r="J26" s="107"/>
      <c r="K26" s="108">
        <f t="shared" si="2"/>
        <v>1</v>
      </c>
      <c r="L26" s="105">
        <f t="shared" si="3"/>
        <v>2958.2</v>
      </c>
      <c r="M26" s="105">
        <f t="shared" si="4"/>
        <v>2958.2</v>
      </c>
      <c r="N26" s="109"/>
      <c r="O26" s="95"/>
      <c r="P26" s="100"/>
      <c r="Q26" s="104"/>
      <c r="R26" s="110">
        <f t="shared" si="5"/>
        <v>0</v>
      </c>
      <c r="S26" s="111">
        <f t="shared" si="6"/>
        <v>2958.2</v>
      </c>
      <c r="T26" s="111">
        <f t="shared" si="7"/>
        <v>2958.2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650</v>
      </c>
      <c r="C27" s="114" t="s">
        <v>651</v>
      </c>
      <c r="D27" s="88"/>
      <c r="E27" s="89" t="s">
        <v>138</v>
      </c>
      <c r="F27" s="115">
        <v>4</v>
      </c>
      <c r="G27" s="96">
        <v>335.46</v>
      </c>
      <c r="H27" s="91">
        <f t="shared" si="0"/>
        <v>243.09</v>
      </c>
      <c r="I27" s="92">
        <f t="shared" si="1"/>
        <v>1341.84</v>
      </c>
      <c r="J27" s="107"/>
      <c r="K27" s="90">
        <f t="shared" si="2"/>
        <v>4</v>
      </c>
      <c r="L27" s="91">
        <f t="shared" si="3"/>
        <v>167.73</v>
      </c>
      <c r="M27" s="91">
        <f t="shared" si="4"/>
        <v>670.92</v>
      </c>
      <c r="N27" s="116"/>
      <c r="O27" s="95"/>
      <c r="P27" s="117"/>
      <c r="Q27" s="96"/>
      <c r="R27" s="96">
        <f t="shared" si="5"/>
        <v>0</v>
      </c>
      <c r="S27" s="96">
        <f t="shared" si="6"/>
        <v>167.73</v>
      </c>
      <c r="T27" s="96">
        <f t="shared" si="7"/>
        <v>670.92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652</v>
      </c>
      <c r="C28" s="101" t="s">
        <v>144</v>
      </c>
      <c r="D28" s="88"/>
      <c r="E28" s="102" t="s">
        <v>138</v>
      </c>
      <c r="F28" s="103">
        <v>1</v>
      </c>
      <c r="G28" s="104">
        <v>10542.6</v>
      </c>
      <c r="H28" s="105">
        <f t="shared" si="0"/>
        <v>7639.57</v>
      </c>
      <c r="I28" s="106">
        <f t="shared" si="1"/>
        <v>10542.6</v>
      </c>
      <c r="J28" s="107"/>
      <c r="K28" s="108">
        <f t="shared" si="2"/>
        <v>1</v>
      </c>
      <c r="L28" s="105">
        <f t="shared" si="3"/>
        <v>5271.3</v>
      </c>
      <c r="M28" s="105">
        <f t="shared" si="4"/>
        <v>5271.3</v>
      </c>
      <c r="N28" s="109"/>
      <c r="O28" s="95"/>
      <c r="P28" s="100"/>
      <c r="Q28" s="104"/>
      <c r="R28" s="110">
        <f t="shared" si="5"/>
        <v>0</v>
      </c>
      <c r="S28" s="111">
        <f t="shared" si="6"/>
        <v>5271.3</v>
      </c>
      <c r="T28" s="111">
        <f t="shared" si="7"/>
        <v>5271.3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653</v>
      </c>
      <c r="C29" s="114" t="s">
        <v>258</v>
      </c>
      <c r="D29" s="88"/>
      <c r="E29" s="89" t="s">
        <v>138</v>
      </c>
      <c r="F29" s="115">
        <v>6</v>
      </c>
      <c r="G29" s="96">
        <v>516.04999999999995</v>
      </c>
      <c r="H29" s="91">
        <f t="shared" si="0"/>
        <v>373.95</v>
      </c>
      <c r="I29" s="92">
        <f t="shared" si="1"/>
        <v>3096.3</v>
      </c>
      <c r="J29" s="107"/>
      <c r="K29" s="90">
        <f t="shared" si="2"/>
        <v>6</v>
      </c>
      <c r="L29" s="91">
        <f t="shared" si="3"/>
        <v>361.24</v>
      </c>
      <c r="M29" s="91">
        <f t="shared" si="4"/>
        <v>2167.44</v>
      </c>
      <c r="N29" s="116">
        <v>-0.2</v>
      </c>
      <c r="O29" s="95"/>
      <c r="P29" s="117"/>
      <c r="Q29" s="96"/>
      <c r="R29" s="96">
        <f t="shared" si="5"/>
        <v>0</v>
      </c>
      <c r="S29" s="96">
        <f t="shared" si="6"/>
        <v>154.81</v>
      </c>
      <c r="T29" s="96">
        <f t="shared" si="7"/>
        <v>928.86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654</v>
      </c>
      <c r="C30" s="101" t="s">
        <v>292</v>
      </c>
      <c r="D30" s="88"/>
      <c r="E30" s="102">
        <v>1200</v>
      </c>
      <c r="F30" s="103">
        <v>1</v>
      </c>
      <c r="G30" s="104">
        <v>106484.52</v>
      </c>
      <c r="H30" s="105">
        <f t="shared" si="0"/>
        <v>77162.7</v>
      </c>
      <c r="I30" s="106">
        <f t="shared" si="1"/>
        <v>106484.52</v>
      </c>
      <c r="J30" s="107"/>
      <c r="K30" s="108">
        <f t="shared" si="2"/>
        <v>1</v>
      </c>
      <c r="L30" s="105">
        <f t="shared" si="3"/>
        <v>74539.16</v>
      </c>
      <c r="M30" s="105">
        <f t="shared" si="4"/>
        <v>74539.16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31945.360000000001</v>
      </c>
      <c r="T30" s="111">
        <f t="shared" si="7"/>
        <v>31945.360000000001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655</v>
      </c>
      <c r="D31" s="88"/>
      <c r="E31" s="89"/>
      <c r="F31" s="115"/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0</v>
      </c>
      <c r="L31" s="91">
        <f t="shared" si="3"/>
        <v>0</v>
      </c>
      <c r="M31" s="91">
        <f t="shared" si="4"/>
        <v>0</v>
      </c>
      <c r="N31" s="116"/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35" t="s">
        <v>656</v>
      </c>
      <c r="C32" s="101" t="s">
        <v>152</v>
      </c>
      <c r="D32" s="88"/>
      <c r="E32" s="102" t="s">
        <v>138</v>
      </c>
      <c r="F32" s="103">
        <v>1</v>
      </c>
      <c r="G32" s="104">
        <v>604.86</v>
      </c>
      <c r="H32" s="105">
        <f t="shared" si="0"/>
        <v>438.3</v>
      </c>
      <c r="I32" s="106">
        <f t="shared" si="1"/>
        <v>604.86</v>
      </c>
      <c r="J32" s="107"/>
      <c r="K32" s="108">
        <f t="shared" si="2"/>
        <v>1</v>
      </c>
      <c r="L32" s="105">
        <f t="shared" si="3"/>
        <v>423.4</v>
      </c>
      <c r="M32" s="105">
        <f t="shared" si="4"/>
        <v>423.4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181.46</v>
      </c>
      <c r="T32" s="111">
        <f t="shared" si="7"/>
        <v>181.46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136" t="s">
        <v>657</v>
      </c>
      <c r="C33" s="114" t="s">
        <v>152</v>
      </c>
      <c r="D33" s="88"/>
      <c r="E33" s="89" t="s">
        <v>138</v>
      </c>
      <c r="F33" s="115">
        <v>1</v>
      </c>
      <c r="G33" s="96">
        <v>604.86</v>
      </c>
      <c r="H33" s="91">
        <f t="shared" si="0"/>
        <v>438.3</v>
      </c>
      <c r="I33" s="92">
        <f t="shared" si="1"/>
        <v>604.86</v>
      </c>
      <c r="J33" s="107"/>
      <c r="K33" s="90">
        <f t="shared" si="2"/>
        <v>1</v>
      </c>
      <c r="L33" s="91">
        <f t="shared" si="3"/>
        <v>423.4</v>
      </c>
      <c r="M33" s="91">
        <f t="shared" si="4"/>
        <v>423.4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181.46</v>
      </c>
      <c r="T33" s="96">
        <f t="shared" si="7"/>
        <v>181.46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658</v>
      </c>
      <c r="C34" s="101" t="s">
        <v>156</v>
      </c>
      <c r="D34" s="88"/>
      <c r="E34" s="102" t="s">
        <v>138</v>
      </c>
      <c r="F34" s="103">
        <v>2</v>
      </c>
      <c r="G34" s="104">
        <v>445.17</v>
      </c>
      <c r="H34" s="105">
        <f t="shared" si="0"/>
        <v>322.58999999999997</v>
      </c>
      <c r="I34" s="106">
        <f t="shared" si="1"/>
        <v>890.34</v>
      </c>
      <c r="J34" s="107"/>
      <c r="K34" s="108">
        <f t="shared" si="2"/>
        <v>2</v>
      </c>
      <c r="L34" s="105">
        <f t="shared" si="3"/>
        <v>311.62</v>
      </c>
      <c r="M34" s="105">
        <f t="shared" si="4"/>
        <v>623.24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133.55000000000001</v>
      </c>
      <c r="T34" s="111">
        <f t="shared" si="7"/>
        <v>267.10000000000002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659</v>
      </c>
      <c r="C35" s="114" t="s">
        <v>156</v>
      </c>
      <c r="D35" s="88"/>
      <c r="E35" s="89" t="s">
        <v>138</v>
      </c>
      <c r="F35" s="115">
        <v>1</v>
      </c>
      <c r="G35" s="96">
        <v>728.52</v>
      </c>
      <c r="H35" s="91">
        <f t="shared" si="0"/>
        <v>527.91</v>
      </c>
      <c r="I35" s="92">
        <f t="shared" si="1"/>
        <v>728.52</v>
      </c>
      <c r="J35" s="107"/>
      <c r="K35" s="90">
        <f t="shared" si="2"/>
        <v>1</v>
      </c>
      <c r="L35" s="91">
        <f t="shared" si="3"/>
        <v>509.96</v>
      </c>
      <c r="M35" s="91">
        <f t="shared" si="4"/>
        <v>509.96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218.56</v>
      </c>
      <c r="T35" s="96">
        <f t="shared" si="7"/>
        <v>218.56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660</v>
      </c>
      <c r="C36" s="101" t="s">
        <v>661</v>
      </c>
      <c r="D36" s="88"/>
      <c r="E36" s="102" t="s">
        <v>138</v>
      </c>
      <c r="F36" s="103">
        <v>2</v>
      </c>
      <c r="G36" s="104">
        <v>838.23</v>
      </c>
      <c r="H36" s="105">
        <f t="shared" si="0"/>
        <v>607.41</v>
      </c>
      <c r="I36" s="106">
        <f t="shared" si="1"/>
        <v>1676.46</v>
      </c>
      <c r="J36" s="107"/>
      <c r="K36" s="108">
        <f t="shared" si="2"/>
        <v>2</v>
      </c>
      <c r="L36" s="105">
        <f t="shared" si="3"/>
        <v>586.76</v>
      </c>
      <c r="M36" s="105">
        <f t="shared" si="4"/>
        <v>1173.52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251.47</v>
      </c>
      <c r="T36" s="111">
        <f t="shared" si="7"/>
        <v>502.94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662</v>
      </c>
      <c r="C37" s="114" t="s">
        <v>663</v>
      </c>
      <c r="D37" s="88"/>
      <c r="E37" s="89" t="s">
        <v>138</v>
      </c>
      <c r="F37" s="115">
        <v>1</v>
      </c>
      <c r="G37" s="96">
        <v>6480.66</v>
      </c>
      <c r="H37" s="91">
        <f t="shared" si="0"/>
        <v>4696.13</v>
      </c>
      <c r="I37" s="92">
        <f t="shared" si="1"/>
        <v>6480.66</v>
      </c>
      <c r="J37" s="107"/>
      <c r="K37" s="90">
        <f t="shared" si="2"/>
        <v>1</v>
      </c>
      <c r="L37" s="91">
        <f t="shared" si="3"/>
        <v>4536.46</v>
      </c>
      <c r="M37" s="91">
        <f t="shared" si="4"/>
        <v>4536.46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1944.2</v>
      </c>
      <c r="T37" s="96">
        <f t="shared" si="7"/>
        <v>1944.2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664</v>
      </c>
      <c r="C38" s="101" t="s">
        <v>301</v>
      </c>
      <c r="D38" s="88"/>
      <c r="E38" s="102" t="s">
        <v>138</v>
      </c>
      <c r="F38" s="103">
        <v>1</v>
      </c>
      <c r="G38" s="104">
        <v>793.72</v>
      </c>
      <c r="H38" s="105">
        <f t="shared" si="0"/>
        <v>575.16</v>
      </c>
      <c r="I38" s="106">
        <f t="shared" si="1"/>
        <v>793.72</v>
      </c>
      <c r="J38" s="107"/>
      <c r="K38" s="108">
        <f t="shared" si="2"/>
        <v>1</v>
      </c>
      <c r="L38" s="105">
        <f t="shared" si="3"/>
        <v>555.6</v>
      </c>
      <c r="M38" s="105">
        <f t="shared" si="4"/>
        <v>555.6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238.12</v>
      </c>
      <c r="T38" s="111">
        <f t="shared" si="7"/>
        <v>238.12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665</v>
      </c>
      <c r="C39" s="114" t="s">
        <v>301</v>
      </c>
      <c r="D39" s="88"/>
      <c r="E39" s="89" t="s">
        <v>138</v>
      </c>
      <c r="F39" s="115">
        <v>1</v>
      </c>
      <c r="G39" s="96">
        <v>793.72</v>
      </c>
      <c r="H39" s="91">
        <f t="shared" si="0"/>
        <v>575.16</v>
      </c>
      <c r="I39" s="92">
        <f t="shared" si="1"/>
        <v>793.72</v>
      </c>
      <c r="J39" s="107"/>
      <c r="K39" s="90">
        <f t="shared" si="2"/>
        <v>1</v>
      </c>
      <c r="L39" s="91">
        <f t="shared" si="3"/>
        <v>555.6</v>
      </c>
      <c r="M39" s="91">
        <f t="shared" si="4"/>
        <v>555.6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238.12</v>
      </c>
      <c r="T39" s="96">
        <f t="shared" si="7"/>
        <v>238.12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666</v>
      </c>
      <c r="C40" s="101" t="s">
        <v>301</v>
      </c>
      <c r="D40" s="88"/>
      <c r="E40" s="102" t="s">
        <v>138</v>
      </c>
      <c r="F40" s="103">
        <v>1</v>
      </c>
      <c r="G40" s="104">
        <v>7826.53</v>
      </c>
      <c r="H40" s="105">
        <f t="shared" si="0"/>
        <v>5671.4</v>
      </c>
      <c r="I40" s="106">
        <f t="shared" si="1"/>
        <v>7826.53</v>
      </c>
      <c r="J40" s="107"/>
      <c r="K40" s="108">
        <f t="shared" si="2"/>
        <v>1</v>
      </c>
      <c r="L40" s="105">
        <f t="shared" si="3"/>
        <v>5478.57</v>
      </c>
      <c r="M40" s="105">
        <f t="shared" si="4"/>
        <v>5478.57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2347.96</v>
      </c>
      <c r="T40" s="111">
        <f t="shared" si="7"/>
        <v>2347.96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667</v>
      </c>
      <c r="C41" s="114" t="s">
        <v>162</v>
      </c>
      <c r="D41" s="88"/>
      <c r="E41" s="89" t="s">
        <v>138</v>
      </c>
      <c r="F41" s="115">
        <v>1</v>
      </c>
      <c r="G41" s="96">
        <v>287.52999999999997</v>
      </c>
      <c r="H41" s="91">
        <f t="shared" si="0"/>
        <v>208.36</v>
      </c>
      <c r="I41" s="92">
        <f t="shared" si="1"/>
        <v>287.52999999999997</v>
      </c>
      <c r="J41" s="107"/>
      <c r="K41" s="90">
        <f t="shared" si="2"/>
        <v>1</v>
      </c>
      <c r="L41" s="91">
        <f t="shared" si="3"/>
        <v>201.27</v>
      </c>
      <c r="M41" s="91">
        <f t="shared" si="4"/>
        <v>201.27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86.26</v>
      </c>
      <c r="T41" s="96">
        <f t="shared" si="7"/>
        <v>86.26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35" t="s">
        <v>668</v>
      </c>
      <c r="C42" s="101" t="s">
        <v>338</v>
      </c>
      <c r="D42" s="88"/>
      <c r="E42" s="102" t="s">
        <v>138</v>
      </c>
      <c r="F42" s="103">
        <v>1</v>
      </c>
      <c r="G42" s="104">
        <v>580.73</v>
      </c>
      <c r="H42" s="105">
        <f t="shared" si="0"/>
        <v>420.82</v>
      </c>
      <c r="I42" s="106">
        <f t="shared" si="1"/>
        <v>580.73</v>
      </c>
      <c r="J42" s="107"/>
      <c r="K42" s="108">
        <f t="shared" si="2"/>
        <v>1</v>
      </c>
      <c r="L42" s="105">
        <f t="shared" si="3"/>
        <v>406.51</v>
      </c>
      <c r="M42" s="105">
        <f t="shared" si="4"/>
        <v>406.51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174.22</v>
      </c>
      <c r="T42" s="111">
        <f t="shared" si="7"/>
        <v>174.22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136" t="s">
        <v>669</v>
      </c>
      <c r="C43" s="114" t="s">
        <v>670</v>
      </c>
      <c r="D43" s="88"/>
      <c r="E43" s="89" t="s">
        <v>138</v>
      </c>
      <c r="F43" s="115">
        <v>1</v>
      </c>
      <c r="G43" s="96">
        <v>10527.52</v>
      </c>
      <c r="H43" s="91">
        <f t="shared" si="0"/>
        <v>7628.64</v>
      </c>
      <c r="I43" s="92">
        <f t="shared" si="1"/>
        <v>10527.52</v>
      </c>
      <c r="J43" s="107"/>
      <c r="K43" s="90">
        <f t="shared" si="2"/>
        <v>1</v>
      </c>
      <c r="L43" s="91">
        <f t="shared" si="3"/>
        <v>7369.26</v>
      </c>
      <c r="M43" s="91">
        <f t="shared" si="4"/>
        <v>7369.26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3158.26</v>
      </c>
      <c r="T43" s="96">
        <f t="shared" si="7"/>
        <v>3158.26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154906.29999999999</v>
      </c>
      <c r="H50" s="124">
        <f t="shared" si="10"/>
        <v>112250.96000000002</v>
      </c>
      <c r="I50" s="125">
        <f t="shared" si="10"/>
        <v>159776.33000000002</v>
      </c>
      <c r="J50" s="126"/>
      <c r="K50" s="127">
        <f t="shared" ref="K50:M50" si="11">SUM(K19:K49)</f>
        <v>34</v>
      </c>
      <c r="L50" s="124">
        <f t="shared" si="11"/>
        <v>104983.95</v>
      </c>
      <c r="M50" s="125">
        <f t="shared" si="11"/>
        <v>108191.72000000002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49922.350000000006</v>
      </c>
      <c r="T50" s="125">
        <f t="shared" si="12"/>
        <v>51584.61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63" priority="1" stopIfTrue="1">
      <formula>$U$9&gt;100%</formula>
    </cfRule>
    <cfRule type="expression" dxfId="162" priority="2">
      <formula>$U$9&lt;50%</formula>
    </cfRule>
  </conditionalFormatting>
  <conditionalFormatting sqref="V9:V11">
    <cfRule type="expression" dxfId="161" priority="3">
      <formula>$V$9&lt;50%</formula>
    </cfRule>
    <cfRule type="expression" dxfId="160" priority="4">
      <formula>$V$9&gt;50%</formula>
    </cfRule>
  </conditionalFormatting>
  <dataValidations count="4">
    <dataValidation type="list" allowBlank="1" showErrorMessage="1" sqref="E19:E49" xr:uid="{00000000-0002-0000-2000-000000000000}">
      <formula1>$Z$19:$Z$30</formula1>
    </dataValidation>
    <dataValidation type="list" allowBlank="1" showErrorMessage="1" sqref="I14" xr:uid="{00000000-0002-0000-2000-000001000000}">
      <formula1>$Y$14:$Y$15</formula1>
    </dataValidation>
    <dataValidation type="list" allowBlank="1" showErrorMessage="1" sqref="J14" xr:uid="{00000000-0002-0000-2000-000002000000}">
      <formula1>$L$9</formula1>
    </dataValidation>
    <dataValidation type="list" allowBlank="1" showErrorMessage="1" sqref="Q15 G18 L18 Q18" xr:uid="{00000000-0002-0000-20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H18" sqref="H1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671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182631.27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123367.81999999998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59263.450000000012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672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0.32449782559142265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673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59263.450000000004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674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123367.81999999998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168</v>
      </c>
      <c r="C19" s="87" t="s">
        <v>169</v>
      </c>
      <c r="D19" s="88"/>
      <c r="E19" s="89">
        <v>500</v>
      </c>
      <c r="F19" s="90">
        <v>1</v>
      </c>
      <c r="G19" s="91">
        <v>62.16</v>
      </c>
      <c r="H19" s="91">
        <f t="shared" ref="H19:H49" si="0">ROUND(IF($G$18="USD $", G19*$F$16,G19*$E$16),2)</f>
        <v>45.04</v>
      </c>
      <c r="I19" s="92">
        <f t="shared" ref="I19:I49" si="1">ROUND(IF($I$18=$H$18,F19*H19,F19*G19),2)</f>
        <v>62.16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31.08</v>
      </c>
      <c r="M19" s="91">
        <f t="shared" ref="M19:M49" si="4">ROUND((K19*L19),2)</f>
        <v>31.08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31.08</v>
      </c>
      <c r="T19" s="96">
        <f t="shared" ref="T19:T49" si="7">ROUND(I19-M19,2)</f>
        <v>31.08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117</v>
      </c>
      <c r="C20" s="101" t="s">
        <v>118</v>
      </c>
      <c r="D20" s="88"/>
      <c r="E20" s="102">
        <v>500</v>
      </c>
      <c r="F20" s="103">
        <v>1</v>
      </c>
      <c r="G20" s="104">
        <v>39.020000000000003</v>
      </c>
      <c r="H20" s="105">
        <f t="shared" si="0"/>
        <v>28.28</v>
      </c>
      <c r="I20" s="106">
        <f t="shared" si="1"/>
        <v>39.020000000000003</v>
      </c>
      <c r="J20" s="107"/>
      <c r="K20" s="108">
        <f t="shared" si="2"/>
        <v>1</v>
      </c>
      <c r="L20" s="105">
        <f t="shared" si="3"/>
        <v>19.510000000000002</v>
      </c>
      <c r="M20" s="105">
        <f t="shared" si="4"/>
        <v>19.510000000000002</v>
      </c>
      <c r="N20" s="109"/>
      <c r="O20" s="95"/>
      <c r="P20" s="100"/>
      <c r="Q20" s="104"/>
      <c r="R20" s="110">
        <f t="shared" si="5"/>
        <v>0</v>
      </c>
      <c r="S20" s="111">
        <f t="shared" si="6"/>
        <v>19.510000000000002</v>
      </c>
      <c r="T20" s="111">
        <f t="shared" si="7"/>
        <v>19.510000000000002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644</v>
      </c>
      <c r="C21" s="114" t="s">
        <v>115</v>
      </c>
      <c r="D21" s="88"/>
      <c r="E21" s="89">
        <v>500</v>
      </c>
      <c r="F21" s="115">
        <v>1</v>
      </c>
      <c r="G21" s="96">
        <v>60.15</v>
      </c>
      <c r="H21" s="91">
        <f t="shared" si="0"/>
        <v>43.59</v>
      </c>
      <c r="I21" s="92">
        <f t="shared" si="1"/>
        <v>60.15</v>
      </c>
      <c r="J21" s="107"/>
      <c r="K21" s="90">
        <f t="shared" si="2"/>
        <v>1</v>
      </c>
      <c r="L21" s="91">
        <f t="shared" si="3"/>
        <v>30.08</v>
      </c>
      <c r="M21" s="91">
        <f t="shared" si="4"/>
        <v>30.08</v>
      </c>
      <c r="N21" s="116"/>
      <c r="O21" s="95"/>
      <c r="P21" s="117"/>
      <c r="Q21" s="96"/>
      <c r="R21" s="96">
        <f t="shared" si="5"/>
        <v>0</v>
      </c>
      <c r="S21" s="96">
        <f t="shared" si="6"/>
        <v>30.07</v>
      </c>
      <c r="T21" s="96">
        <f t="shared" si="7"/>
        <v>30.07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389</v>
      </c>
      <c r="C22" s="101" t="s">
        <v>174</v>
      </c>
      <c r="D22" s="88"/>
      <c r="E22" s="102">
        <v>1000</v>
      </c>
      <c r="F22" s="103">
        <v>1</v>
      </c>
      <c r="G22" s="104">
        <v>100.38</v>
      </c>
      <c r="H22" s="105">
        <f t="shared" si="0"/>
        <v>72.739999999999995</v>
      </c>
      <c r="I22" s="106">
        <f t="shared" si="1"/>
        <v>100.38</v>
      </c>
      <c r="J22" s="107"/>
      <c r="K22" s="108">
        <f t="shared" si="2"/>
        <v>1</v>
      </c>
      <c r="L22" s="105">
        <f t="shared" si="3"/>
        <v>50.19</v>
      </c>
      <c r="M22" s="105">
        <f t="shared" si="4"/>
        <v>50.19</v>
      </c>
      <c r="N22" s="109"/>
      <c r="O22" s="95"/>
      <c r="P22" s="100"/>
      <c r="Q22" s="104"/>
      <c r="R22" s="110">
        <f t="shared" si="5"/>
        <v>0</v>
      </c>
      <c r="S22" s="111">
        <f t="shared" si="6"/>
        <v>50.19</v>
      </c>
      <c r="T22" s="111">
        <f t="shared" si="7"/>
        <v>50.19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675</v>
      </c>
      <c r="C23" s="114" t="s">
        <v>174</v>
      </c>
      <c r="D23" s="88"/>
      <c r="E23" s="89">
        <v>1000</v>
      </c>
      <c r="F23" s="115">
        <v>1</v>
      </c>
      <c r="G23" s="96">
        <v>44.63</v>
      </c>
      <c r="H23" s="91">
        <f t="shared" si="0"/>
        <v>32.340000000000003</v>
      </c>
      <c r="I23" s="92">
        <f t="shared" si="1"/>
        <v>44.63</v>
      </c>
      <c r="J23" s="107"/>
      <c r="K23" s="90">
        <f t="shared" si="2"/>
        <v>1</v>
      </c>
      <c r="L23" s="91">
        <f t="shared" si="3"/>
        <v>22.32</v>
      </c>
      <c r="M23" s="91">
        <f t="shared" si="4"/>
        <v>22.32</v>
      </c>
      <c r="N23" s="116"/>
      <c r="O23" s="95"/>
      <c r="P23" s="117"/>
      <c r="Q23" s="96"/>
      <c r="R23" s="96">
        <f t="shared" si="5"/>
        <v>0</v>
      </c>
      <c r="S23" s="96">
        <f t="shared" si="6"/>
        <v>22.31</v>
      </c>
      <c r="T23" s="96">
        <f t="shared" si="7"/>
        <v>22.31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676</v>
      </c>
      <c r="C24" s="101" t="s">
        <v>174</v>
      </c>
      <c r="D24" s="88"/>
      <c r="E24" s="102">
        <v>1000</v>
      </c>
      <c r="F24" s="103">
        <v>1</v>
      </c>
      <c r="G24" s="104">
        <v>112.48</v>
      </c>
      <c r="H24" s="105">
        <f t="shared" si="0"/>
        <v>81.510000000000005</v>
      </c>
      <c r="I24" s="106">
        <f t="shared" si="1"/>
        <v>112.48</v>
      </c>
      <c r="J24" s="107"/>
      <c r="K24" s="108">
        <f t="shared" si="2"/>
        <v>1</v>
      </c>
      <c r="L24" s="105">
        <f t="shared" si="3"/>
        <v>56.24</v>
      </c>
      <c r="M24" s="105">
        <f t="shared" si="4"/>
        <v>56.24</v>
      </c>
      <c r="N24" s="109"/>
      <c r="O24" s="95"/>
      <c r="P24" s="100"/>
      <c r="Q24" s="104"/>
      <c r="R24" s="110">
        <f t="shared" si="5"/>
        <v>0</v>
      </c>
      <c r="S24" s="111">
        <f t="shared" si="6"/>
        <v>56.24</v>
      </c>
      <c r="T24" s="111">
        <f t="shared" si="7"/>
        <v>56.24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646</v>
      </c>
      <c r="C25" s="114" t="s">
        <v>128</v>
      </c>
      <c r="D25" s="88"/>
      <c r="E25" s="89">
        <v>2000</v>
      </c>
      <c r="F25" s="115">
        <v>1</v>
      </c>
      <c r="G25" s="96">
        <v>149.93</v>
      </c>
      <c r="H25" s="91">
        <f t="shared" si="0"/>
        <v>108.64</v>
      </c>
      <c r="I25" s="92">
        <f t="shared" si="1"/>
        <v>149.93</v>
      </c>
      <c r="J25" s="107"/>
      <c r="K25" s="90">
        <f t="shared" si="2"/>
        <v>1</v>
      </c>
      <c r="L25" s="91">
        <f t="shared" si="3"/>
        <v>89.96</v>
      </c>
      <c r="M25" s="91">
        <f t="shared" si="4"/>
        <v>89.96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59.97</v>
      </c>
      <c r="T25" s="96">
        <f t="shared" si="7"/>
        <v>59.97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647</v>
      </c>
      <c r="C26" s="101" t="s">
        <v>131</v>
      </c>
      <c r="D26" s="88"/>
      <c r="E26" s="102">
        <v>2000</v>
      </c>
      <c r="F26" s="103">
        <v>1</v>
      </c>
      <c r="G26" s="104">
        <v>132.99</v>
      </c>
      <c r="H26" s="105">
        <f t="shared" si="0"/>
        <v>96.37</v>
      </c>
      <c r="I26" s="106">
        <f t="shared" si="1"/>
        <v>132.99</v>
      </c>
      <c r="J26" s="107"/>
      <c r="K26" s="108">
        <f t="shared" si="2"/>
        <v>1</v>
      </c>
      <c r="L26" s="105">
        <f t="shared" si="3"/>
        <v>79.790000000000006</v>
      </c>
      <c r="M26" s="105">
        <f t="shared" si="4"/>
        <v>79.790000000000006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53.2</v>
      </c>
      <c r="T26" s="111">
        <f t="shared" si="7"/>
        <v>53.2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616</v>
      </c>
      <c r="C27" s="114" t="s">
        <v>134</v>
      </c>
      <c r="D27" s="88"/>
      <c r="E27" s="89">
        <v>2000</v>
      </c>
      <c r="F27" s="115">
        <v>1</v>
      </c>
      <c r="G27" s="96">
        <v>77.760000000000005</v>
      </c>
      <c r="H27" s="91">
        <f t="shared" si="0"/>
        <v>56.35</v>
      </c>
      <c r="I27" s="92">
        <f t="shared" si="1"/>
        <v>77.760000000000005</v>
      </c>
      <c r="J27" s="107"/>
      <c r="K27" s="90">
        <f t="shared" si="2"/>
        <v>1</v>
      </c>
      <c r="L27" s="91">
        <f t="shared" si="3"/>
        <v>46.66</v>
      </c>
      <c r="M27" s="91">
        <f t="shared" si="4"/>
        <v>46.66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31.1</v>
      </c>
      <c r="T27" s="96">
        <f t="shared" si="7"/>
        <v>31.1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617</v>
      </c>
      <c r="C28" s="101" t="s">
        <v>134</v>
      </c>
      <c r="D28" s="88"/>
      <c r="E28" s="102">
        <v>2000</v>
      </c>
      <c r="F28" s="103">
        <v>1</v>
      </c>
      <c r="G28" s="104">
        <v>48.5</v>
      </c>
      <c r="H28" s="105">
        <f t="shared" si="0"/>
        <v>35.14</v>
      </c>
      <c r="I28" s="106">
        <f t="shared" si="1"/>
        <v>48.5</v>
      </c>
      <c r="J28" s="107"/>
      <c r="K28" s="108">
        <f t="shared" si="2"/>
        <v>1</v>
      </c>
      <c r="L28" s="105">
        <f t="shared" si="3"/>
        <v>29.1</v>
      </c>
      <c r="M28" s="105">
        <f t="shared" si="4"/>
        <v>29.1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19.399999999999999</v>
      </c>
      <c r="T28" s="111">
        <f t="shared" si="7"/>
        <v>19.399999999999999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636</v>
      </c>
      <c r="C29" s="114" t="s">
        <v>677</v>
      </c>
      <c r="D29" s="88"/>
      <c r="E29" s="89" t="s">
        <v>138</v>
      </c>
      <c r="F29" s="115">
        <v>1</v>
      </c>
      <c r="G29" s="96">
        <v>7696.81</v>
      </c>
      <c r="H29" s="91">
        <f t="shared" si="0"/>
        <v>5577.4</v>
      </c>
      <c r="I29" s="92">
        <f t="shared" si="1"/>
        <v>7696.81</v>
      </c>
      <c r="J29" s="107"/>
      <c r="K29" s="90">
        <f t="shared" si="2"/>
        <v>1</v>
      </c>
      <c r="L29" s="91">
        <f t="shared" si="3"/>
        <v>3848.41</v>
      </c>
      <c r="M29" s="91">
        <f t="shared" si="4"/>
        <v>3848.41</v>
      </c>
      <c r="N29" s="116"/>
      <c r="O29" s="95"/>
      <c r="P29" s="117"/>
      <c r="Q29" s="96"/>
      <c r="R29" s="96">
        <f t="shared" si="5"/>
        <v>0</v>
      </c>
      <c r="S29" s="96">
        <f t="shared" si="6"/>
        <v>3848.4</v>
      </c>
      <c r="T29" s="96">
        <f t="shared" si="7"/>
        <v>3848.4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287</v>
      </c>
      <c r="C30" s="101" t="s">
        <v>183</v>
      </c>
      <c r="D30" s="88"/>
      <c r="E30" s="102" t="s">
        <v>138</v>
      </c>
      <c r="F30" s="103">
        <v>4</v>
      </c>
      <c r="G30" s="104">
        <v>396.11</v>
      </c>
      <c r="H30" s="105">
        <f t="shared" si="0"/>
        <v>287.04000000000002</v>
      </c>
      <c r="I30" s="106">
        <f t="shared" si="1"/>
        <v>1584.44</v>
      </c>
      <c r="J30" s="107"/>
      <c r="K30" s="108">
        <f t="shared" si="2"/>
        <v>4</v>
      </c>
      <c r="L30" s="105">
        <f t="shared" si="3"/>
        <v>198.06</v>
      </c>
      <c r="M30" s="105">
        <f t="shared" si="4"/>
        <v>792.24</v>
      </c>
      <c r="N30" s="109"/>
      <c r="O30" s="95"/>
      <c r="P30" s="100"/>
      <c r="Q30" s="104"/>
      <c r="R30" s="110">
        <f t="shared" si="5"/>
        <v>0</v>
      </c>
      <c r="S30" s="111">
        <f t="shared" si="6"/>
        <v>198.05</v>
      </c>
      <c r="T30" s="111">
        <f t="shared" si="7"/>
        <v>792.2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678</v>
      </c>
      <c r="C31" s="114" t="s">
        <v>144</v>
      </c>
      <c r="D31" s="88"/>
      <c r="E31" s="89" t="s">
        <v>138</v>
      </c>
      <c r="F31" s="115">
        <v>1</v>
      </c>
      <c r="G31" s="96">
        <v>12466.1</v>
      </c>
      <c r="H31" s="91">
        <f t="shared" si="0"/>
        <v>9033.41</v>
      </c>
      <c r="I31" s="92">
        <f t="shared" si="1"/>
        <v>12466.1</v>
      </c>
      <c r="J31" s="107"/>
      <c r="K31" s="90">
        <f t="shared" si="2"/>
        <v>1</v>
      </c>
      <c r="L31" s="91">
        <f t="shared" si="3"/>
        <v>6233.05</v>
      </c>
      <c r="M31" s="91">
        <f t="shared" si="4"/>
        <v>6233.05</v>
      </c>
      <c r="N31" s="116"/>
      <c r="O31" s="95"/>
      <c r="P31" s="117"/>
      <c r="Q31" s="96"/>
      <c r="R31" s="96">
        <f t="shared" si="5"/>
        <v>0</v>
      </c>
      <c r="S31" s="96">
        <f t="shared" si="6"/>
        <v>6233.05</v>
      </c>
      <c r="T31" s="96">
        <f t="shared" si="7"/>
        <v>6233.05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679</v>
      </c>
      <c r="C32" s="101" t="s">
        <v>258</v>
      </c>
      <c r="D32" s="88"/>
      <c r="E32" s="102" t="s">
        <v>138</v>
      </c>
      <c r="F32" s="103">
        <v>6</v>
      </c>
      <c r="G32" s="104">
        <v>2223.48</v>
      </c>
      <c r="H32" s="105">
        <f t="shared" si="0"/>
        <v>1611.22</v>
      </c>
      <c r="I32" s="106">
        <f t="shared" si="1"/>
        <v>13340.88</v>
      </c>
      <c r="J32" s="107"/>
      <c r="K32" s="108">
        <f t="shared" si="2"/>
        <v>6</v>
      </c>
      <c r="L32" s="105">
        <f t="shared" si="3"/>
        <v>1556.44</v>
      </c>
      <c r="M32" s="105">
        <f t="shared" si="4"/>
        <v>9338.64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667.04</v>
      </c>
      <c r="T32" s="111">
        <f t="shared" si="7"/>
        <v>4002.24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654</v>
      </c>
      <c r="C33" s="114" t="s">
        <v>292</v>
      </c>
      <c r="D33" s="88"/>
      <c r="E33" s="89">
        <v>1200</v>
      </c>
      <c r="F33" s="115">
        <v>1</v>
      </c>
      <c r="G33" s="96">
        <v>106484.52</v>
      </c>
      <c r="H33" s="91">
        <f t="shared" si="0"/>
        <v>77162.7</v>
      </c>
      <c r="I33" s="92">
        <f t="shared" si="1"/>
        <v>106484.52</v>
      </c>
      <c r="J33" s="107"/>
      <c r="K33" s="90">
        <f t="shared" si="2"/>
        <v>1</v>
      </c>
      <c r="L33" s="91">
        <f t="shared" si="3"/>
        <v>74539.16</v>
      </c>
      <c r="M33" s="91">
        <f t="shared" si="4"/>
        <v>74539.16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31945.360000000001</v>
      </c>
      <c r="T33" s="96">
        <f t="shared" si="7"/>
        <v>31945.360000000001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/>
      <c r="C34" s="101" t="s">
        <v>680</v>
      </c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 t="s">
        <v>681</v>
      </c>
      <c r="C35" s="114" t="s">
        <v>301</v>
      </c>
      <c r="D35" s="88"/>
      <c r="E35" s="89" t="s">
        <v>138</v>
      </c>
      <c r="F35" s="115">
        <v>1</v>
      </c>
      <c r="G35" s="96">
        <v>5885.59</v>
      </c>
      <c r="H35" s="91">
        <f t="shared" si="0"/>
        <v>4264.92</v>
      </c>
      <c r="I35" s="92">
        <f t="shared" si="1"/>
        <v>5885.59</v>
      </c>
      <c r="J35" s="107"/>
      <c r="K35" s="90">
        <f t="shared" si="2"/>
        <v>1</v>
      </c>
      <c r="L35" s="91">
        <f t="shared" si="3"/>
        <v>4119.91</v>
      </c>
      <c r="M35" s="91">
        <f t="shared" si="4"/>
        <v>4119.91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1765.68</v>
      </c>
      <c r="T35" s="96">
        <f t="shared" si="7"/>
        <v>1765.68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682</v>
      </c>
      <c r="C36" s="101" t="s">
        <v>683</v>
      </c>
      <c r="D36" s="88"/>
      <c r="E36" s="102" t="s">
        <v>138</v>
      </c>
      <c r="F36" s="103">
        <v>1</v>
      </c>
      <c r="G36" s="104">
        <v>4015.97</v>
      </c>
      <c r="H36" s="105">
        <f t="shared" si="0"/>
        <v>2910.12</v>
      </c>
      <c r="I36" s="106">
        <f t="shared" si="1"/>
        <v>4015.97</v>
      </c>
      <c r="J36" s="107"/>
      <c r="K36" s="108">
        <f t="shared" si="2"/>
        <v>1</v>
      </c>
      <c r="L36" s="105">
        <f t="shared" si="3"/>
        <v>2811.18</v>
      </c>
      <c r="M36" s="105">
        <f t="shared" si="4"/>
        <v>2811.18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1204.79</v>
      </c>
      <c r="T36" s="111">
        <f t="shared" si="7"/>
        <v>1204.79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684</v>
      </c>
      <c r="C37" s="114" t="s">
        <v>685</v>
      </c>
      <c r="D37" s="88"/>
      <c r="E37" s="89" t="s">
        <v>138</v>
      </c>
      <c r="F37" s="115">
        <v>1</v>
      </c>
      <c r="G37" s="96">
        <v>4015.97</v>
      </c>
      <c r="H37" s="91">
        <f t="shared" si="0"/>
        <v>2910.12</v>
      </c>
      <c r="I37" s="92">
        <f t="shared" si="1"/>
        <v>4015.97</v>
      </c>
      <c r="J37" s="107"/>
      <c r="K37" s="90">
        <f t="shared" si="2"/>
        <v>1</v>
      </c>
      <c r="L37" s="91">
        <f t="shared" si="3"/>
        <v>2811.18</v>
      </c>
      <c r="M37" s="91">
        <f t="shared" si="4"/>
        <v>2811.18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1204.79</v>
      </c>
      <c r="T37" s="96">
        <f t="shared" si="7"/>
        <v>1204.79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686</v>
      </c>
      <c r="C38" s="101" t="s">
        <v>627</v>
      </c>
      <c r="D38" s="88"/>
      <c r="E38" s="102" t="s">
        <v>138</v>
      </c>
      <c r="F38" s="103">
        <v>1</v>
      </c>
      <c r="G38" s="104">
        <v>3211.25</v>
      </c>
      <c r="H38" s="105">
        <f t="shared" si="0"/>
        <v>2326.9899999999998</v>
      </c>
      <c r="I38" s="106">
        <f t="shared" si="1"/>
        <v>3211.25</v>
      </c>
      <c r="J38" s="107"/>
      <c r="K38" s="108">
        <f t="shared" si="2"/>
        <v>1</v>
      </c>
      <c r="L38" s="105">
        <f t="shared" si="3"/>
        <v>2247.88</v>
      </c>
      <c r="M38" s="105">
        <f t="shared" si="4"/>
        <v>2247.88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963.37</v>
      </c>
      <c r="T38" s="111">
        <f t="shared" si="7"/>
        <v>963.37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687</v>
      </c>
      <c r="C39" s="114" t="s">
        <v>571</v>
      </c>
      <c r="D39" s="88"/>
      <c r="E39" s="89" t="s">
        <v>138</v>
      </c>
      <c r="F39" s="115">
        <v>1</v>
      </c>
      <c r="G39" s="96">
        <v>12.78</v>
      </c>
      <c r="H39" s="91">
        <f t="shared" si="0"/>
        <v>9.26</v>
      </c>
      <c r="I39" s="92">
        <f t="shared" si="1"/>
        <v>12.78</v>
      </c>
      <c r="J39" s="107"/>
      <c r="K39" s="90">
        <f t="shared" si="2"/>
        <v>1</v>
      </c>
      <c r="L39" s="91">
        <f t="shared" si="3"/>
        <v>8.9499999999999993</v>
      </c>
      <c r="M39" s="91">
        <f t="shared" si="4"/>
        <v>8.9499999999999993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3.83</v>
      </c>
      <c r="T39" s="96">
        <f t="shared" si="7"/>
        <v>3.83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688</v>
      </c>
      <c r="C40" s="101" t="s">
        <v>627</v>
      </c>
      <c r="D40" s="88"/>
      <c r="E40" s="102" t="s">
        <v>138</v>
      </c>
      <c r="F40" s="103">
        <v>2</v>
      </c>
      <c r="G40" s="104">
        <v>3124.25</v>
      </c>
      <c r="H40" s="105">
        <f t="shared" si="0"/>
        <v>2263.9499999999998</v>
      </c>
      <c r="I40" s="106">
        <f t="shared" si="1"/>
        <v>6248.5</v>
      </c>
      <c r="J40" s="107"/>
      <c r="K40" s="108">
        <f t="shared" si="2"/>
        <v>2</v>
      </c>
      <c r="L40" s="105">
        <f t="shared" si="3"/>
        <v>2186.98</v>
      </c>
      <c r="M40" s="105">
        <f t="shared" si="4"/>
        <v>4373.96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937.27</v>
      </c>
      <c r="T40" s="111">
        <f t="shared" si="7"/>
        <v>1874.54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136" t="s">
        <v>656</v>
      </c>
      <c r="C41" s="114" t="s">
        <v>152</v>
      </c>
      <c r="D41" s="88"/>
      <c r="E41" s="89" t="s">
        <v>138</v>
      </c>
      <c r="F41" s="115">
        <v>1</v>
      </c>
      <c r="G41" s="96">
        <v>604.86</v>
      </c>
      <c r="H41" s="91">
        <f t="shared" si="0"/>
        <v>438.3</v>
      </c>
      <c r="I41" s="92">
        <f t="shared" si="1"/>
        <v>604.86</v>
      </c>
      <c r="J41" s="107"/>
      <c r="K41" s="90">
        <f t="shared" si="2"/>
        <v>1</v>
      </c>
      <c r="L41" s="91">
        <f t="shared" si="3"/>
        <v>423.4</v>
      </c>
      <c r="M41" s="91">
        <f t="shared" si="4"/>
        <v>423.4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181.46</v>
      </c>
      <c r="T41" s="96">
        <f t="shared" si="7"/>
        <v>181.46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35" t="s">
        <v>657</v>
      </c>
      <c r="C42" s="101" t="s">
        <v>152</v>
      </c>
      <c r="D42" s="88"/>
      <c r="E42" s="102" t="s">
        <v>138</v>
      </c>
      <c r="F42" s="103">
        <v>1</v>
      </c>
      <c r="G42" s="104">
        <v>604.86</v>
      </c>
      <c r="H42" s="105">
        <f t="shared" si="0"/>
        <v>438.3</v>
      </c>
      <c r="I42" s="106">
        <f t="shared" si="1"/>
        <v>604.86</v>
      </c>
      <c r="J42" s="107"/>
      <c r="K42" s="108">
        <f t="shared" si="2"/>
        <v>1</v>
      </c>
      <c r="L42" s="105">
        <f t="shared" si="3"/>
        <v>423.4</v>
      </c>
      <c r="M42" s="105">
        <f t="shared" si="4"/>
        <v>423.4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181.46</v>
      </c>
      <c r="T42" s="111">
        <f t="shared" si="7"/>
        <v>181.46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689</v>
      </c>
      <c r="C43" s="114" t="s">
        <v>156</v>
      </c>
      <c r="D43" s="88"/>
      <c r="E43" s="89" t="s">
        <v>138</v>
      </c>
      <c r="F43" s="115">
        <v>2</v>
      </c>
      <c r="G43" s="96">
        <v>616.74</v>
      </c>
      <c r="H43" s="91">
        <f t="shared" si="0"/>
        <v>446.91</v>
      </c>
      <c r="I43" s="92">
        <f t="shared" si="1"/>
        <v>1233.48</v>
      </c>
      <c r="J43" s="107"/>
      <c r="K43" s="90">
        <f t="shared" si="2"/>
        <v>2</v>
      </c>
      <c r="L43" s="91">
        <f t="shared" si="3"/>
        <v>431.72</v>
      </c>
      <c r="M43" s="91">
        <f t="shared" si="4"/>
        <v>863.44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185.02</v>
      </c>
      <c r="T43" s="96">
        <f t="shared" si="7"/>
        <v>370.04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690</v>
      </c>
      <c r="C44" s="101" t="s">
        <v>156</v>
      </c>
      <c r="D44" s="88"/>
      <c r="E44" s="102" t="s">
        <v>138</v>
      </c>
      <c r="F44" s="103">
        <v>2</v>
      </c>
      <c r="G44" s="104">
        <v>455.84</v>
      </c>
      <c r="H44" s="105">
        <f t="shared" si="0"/>
        <v>330.32</v>
      </c>
      <c r="I44" s="106">
        <f t="shared" si="1"/>
        <v>911.68</v>
      </c>
      <c r="J44" s="107"/>
      <c r="K44" s="108">
        <f t="shared" si="2"/>
        <v>2</v>
      </c>
      <c r="L44" s="105">
        <f t="shared" si="3"/>
        <v>319.08999999999997</v>
      </c>
      <c r="M44" s="105">
        <f t="shared" si="4"/>
        <v>638.17999999999995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136.75</v>
      </c>
      <c r="T44" s="111">
        <f t="shared" si="7"/>
        <v>273.5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691</v>
      </c>
      <c r="C45" s="114" t="s">
        <v>162</v>
      </c>
      <c r="D45" s="88"/>
      <c r="E45" s="89" t="s">
        <v>138</v>
      </c>
      <c r="F45" s="115">
        <v>1</v>
      </c>
      <c r="G45" s="96">
        <v>243.45</v>
      </c>
      <c r="H45" s="91">
        <f t="shared" si="0"/>
        <v>176.41</v>
      </c>
      <c r="I45" s="92">
        <f t="shared" si="1"/>
        <v>243.45</v>
      </c>
      <c r="J45" s="107"/>
      <c r="K45" s="90">
        <f t="shared" si="2"/>
        <v>1</v>
      </c>
      <c r="L45" s="91">
        <f t="shared" si="3"/>
        <v>170.42</v>
      </c>
      <c r="M45" s="91">
        <f t="shared" si="4"/>
        <v>170.42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73.03</v>
      </c>
      <c r="T45" s="96">
        <f t="shared" si="7"/>
        <v>73.03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35" t="s">
        <v>668</v>
      </c>
      <c r="C46" s="101" t="s">
        <v>338</v>
      </c>
      <c r="D46" s="88"/>
      <c r="E46" s="102" t="s">
        <v>138</v>
      </c>
      <c r="F46" s="103">
        <v>1</v>
      </c>
      <c r="G46" s="104">
        <v>580.73</v>
      </c>
      <c r="H46" s="105">
        <f t="shared" si="0"/>
        <v>420.82</v>
      </c>
      <c r="I46" s="106">
        <f t="shared" si="1"/>
        <v>580.73</v>
      </c>
      <c r="J46" s="107"/>
      <c r="K46" s="108">
        <f t="shared" si="2"/>
        <v>1</v>
      </c>
      <c r="L46" s="105">
        <f t="shared" si="3"/>
        <v>406.51</v>
      </c>
      <c r="M46" s="105">
        <f t="shared" si="4"/>
        <v>406.51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174.22</v>
      </c>
      <c r="T46" s="111">
        <f t="shared" si="7"/>
        <v>174.22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136" t="s">
        <v>692</v>
      </c>
      <c r="C47" s="114" t="s">
        <v>160</v>
      </c>
      <c r="D47" s="88"/>
      <c r="E47" s="89" t="s">
        <v>138</v>
      </c>
      <c r="F47" s="115">
        <v>1</v>
      </c>
      <c r="G47" s="96">
        <v>12661.4</v>
      </c>
      <c r="H47" s="91">
        <f t="shared" si="0"/>
        <v>9174.93</v>
      </c>
      <c r="I47" s="92">
        <f t="shared" si="1"/>
        <v>12661.4</v>
      </c>
      <c r="J47" s="107"/>
      <c r="K47" s="90">
        <f t="shared" si="2"/>
        <v>1</v>
      </c>
      <c r="L47" s="91">
        <f t="shared" si="3"/>
        <v>8862.98</v>
      </c>
      <c r="M47" s="91">
        <f t="shared" si="4"/>
        <v>8862.98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3798.42</v>
      </c>
      <c r="T47" s="96">
        <f t="shared" si="7"/>
        <v>3798.42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39</v>
      </c>
      <c r="G50" s="123">
        <f t="shared" si="10"/>
        <v>166128.71</v>
      </c>
      <c r="H50" s="124">
        <f t="shared" si="10"/>
        <v>120383.12</v>
      </c>
      <c r="I50" s="125">
        <f t="shared" si="10"/>
        <v>182631.27</v>
      </c>
      <c r="J50" s="126"/>
      <c r="K50" s="127">
        <f t="shared" ref="K50:M50" si="11">SUM(K19:K49)</f>
        <v>39</v>
      </c>
      <c r="L50" s="124">
        <f t="shared" si="11"/>
        <v>112053.64999999997</v>
      </c>
      <c r="M50" s="125">
        <f t="shared" si="11"/>
        <v>123367.81999999998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54075.06</v>
      </c>
      <c r="T50" s="125">
        <f t="shared" si="12"/>
        <v>59263.450000000004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59" priority="1" stopIfTrue="1">
      <formula>$U$9&gt;100%</formula>
    </cfRule>
    <cfRule type="expression" dxfId="158" priority="2">
      <formula>$U$9&lt;50%</formula>
    </cfRule>
  </conditionalFormatting>
  <conditionalFormatting sqref="V9:V11">
    <cfRule type="expression" dxfId="157" priority="3">
      <formula>$V$9&lt;50%</formula>
    </cfRule>
    <cfRule type="expression" dxfId="156" priority="4">
      <formula>$V$9&gt;50%</formula>
    </cfRule>
  </conditionalFormatting>
  <dataValidations count="4">
    <dataValidation type="list" allowBlank="1" showErrorMessage="1" sqref="E19:E49" xr:uid="{00000000-0002-0000-2100-000000000000}">
      <formula1>$Z$19:$Z$30</formula1>
    </dataValidation>
    <dataValidation type="list" allowBlank="1" showErrorMessage="1" sqref="I14" xr:uid="{00000000-0002-0000-2100-000001000000}">
      <formula1>$Y$14:$Y$15</formula1>
    </dataValidation>
    <dataValidation type="list" allowBlank="1" showErrorMessage="1" sqref="J14" xr:uid="{00000000-0002-0000-2100-000002000000}">
      <formula1>$L$9</formula1>
    </dataValidation>
    <dataValidation type="list" allowBlank="1" showErrorMessage="1" sqref="Q15 G18 L18 Q18" xr:uid="{00000000-0002-0000-2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693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66910.66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2006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36034.03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30876.630000000005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694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0.46146055053111124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695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30876.63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696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36034.03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1169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697</v>
      </c>
      <c r="C19" s="87" t="s">
        <v>169</v>
      </c>
      <c r="D19" s="88"/>
      <c r="E19" s="89">
        <v>500</v>
      </c>
      <c r="F19" s="90">
        <v>1</v>
      </c>
      <c r="G19" s="91">
        <v>33.39</v>
      </c>
      <c r="H19" s="91">
        <f t="shared" ref="H19:H49" si="0">ROUND(IF($G$18="USD $", G19*$F$16,G19*$E$16),2)</f>
        <v>24.2</v>
      </c>
      <c r="I19" s="92">
        <f t="shared" ref="I19:I49" si="1">ROUND(IF($I$18=$H$18,F19*H19,F19*G19),2)</f>
        <v>33.39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16.7</v>
      </c>
      <c r="M19" s="91">
        <f t="shared" ref="M19:M49" si="4">ROUND((K19*L19),2)</f>
        <v>16.7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16.690000000000001</v>
      </c>
      <c r="T19" s="96">
        <f t="shared" ref="T19:T49" si="7">ROUND(I19-M19,2)</f>
        <v>16.690000000000001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698</v>
      </c>
      <c r="C20" s="101" t="s">
        <v>118</v>
      </c>
      <c r="D20" s="88"/>
      <c r="E20" s="102">
        <v>500</v>
      </c>
      <c r="F20" s="103">
        <v>1</v>
      </c>
      <c r="G20" s="104">
        <v>51.07</v>
      </c>
      <c r="H20" s="105">
        <f t="shared" si="0"/>
        <v>37.01</v>
      </c>
      <c r="I20" s="106">
        <f t="shared" si="1"/>
        <v>51.07</v>
      </c>
      <c r="J20" s="107"/>
      <c r="K20" s="108">
        <f t="shared" si="2"/>
        <v>1</v>
      </c>
      <c r="L20" s="105">
        <f t="shared" si="3"/>
        <v>25.54</v>
      </c>
      <c r="M20" s="105">
        <f t="shared" si="4"/>
        <v>25.54</v>
      </c>
      <c r="N20" s="109"/>
      <c r="O20" s="95"/>
      <c r="P20" s="100"/>
      <c r="Q20" s="104"/>
      <c r="R20" s="110">
        <f t="shared" si="5"/>
        <v>0</v>
      </c>
      <c r="S20" s="111">
        <f t="shared" si="6"/>
        <v>25.53</v>
      </c>
      <c r="T20" s="111">
        <f t="shared" si="7"/>
        <v>25.53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438</v>
      </c>
      <c r="C21" s="114" t="s">
        <v>115</v>
      </c>
      <c r="D21" s="88"/>
      <c r="E21" s="89">
        <v>500</v>
      </c>
      <c r="F21" s="115">
        <v>1</v>
      </c>
      <c r="G21" s="96">
        <v>64.819999999999993</v>
      </c>
      <c r="H21" s="91">
        <f t="shared" si="0"/>
        <v>46.97</v>
      </c>
      <c r="I21" s="92">
        <f t="shared" si="1"/>
        <v>64.819999999999993</v>
      </c>
      <c r="J21" s="107"/>
      <c r="K21" s="90">
        <f t="shared" si="2"/>
        <v>1</v>
      </c>
      <c r="L21" s="91">
        <f t="shared" si="3"/>
        <v>32.409999999999997</v>
      </c>
      <c r="M21" s="91">
        <f t="shared" si="4"/>
        <v>32.409999999999997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32.409999999999997</v>
      </c>
      <c r="T21" s="96">
        <f t="shared" si="7"/>
        <v>32.409999999999997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543</v>
      </c>
      <c r="C22" s="101" t="s">
        <v>174</v>
      </c>
      <c r="D22" s="88"/>
      <c r="E22" s="102">
        <v>1000</v>
      </c>
      <c r="F22" s="103">
        <v>1</v>
      </c>
      <c r="G22" s="104">
        <v>168.06</v>
      </c>
      <c r="H22" s="105">
        <f t="shared" si="0"/>
        <v>121.78</v>
      </c>
      <c r="I22" s="106">
        <f t="shared" si="1"/>
        <v>168.06</v>
      </c>
      <c r="J22" s="107"/>
      <c r="K22" s="108">
        <f t="shared" si="2"/>
        <v>1</v>
      </c>
      <c r="L22" s="105">
        <f t="shared" si="3"/>
        <v>84.03</v>
      </c>
      <c r="M22" s="105">
        <f t="shared" si="4"/>
        <v>84.03</v>
      </c>
      <c r="N22" s="109"/>
      <c r="O22" s="95"/>
      <c r="P22" s="100"/>
      <c r="Q22" s="104"/>
      <c r="R22" s="110">
        <f t="shared" si="5"/>
        <v>0</v>
      </c>
      <c r="S22" s="111">
        <f t="shared" si="6"/>
        <v>84.03</v>
      </c>
      <c r="T22" s="111">
        <f t="shared" si="7"/>
        <v>84.03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544</v>
      </c>
      <c r="C23" s="114" t="s">
        <v>174</v>
      </c>
      <c r="D23" s="88"/>
      <c r="E23" s="89">
        <v>1000</v>
      </c>
      <c r="F23" s="115">
        <v>1</v>
      </c>
      <c r="G23" s="96">
        <v>93.41</v>
      </c>
      <c r="H23" s="91">
        <f t="shared" si="0"/>
        <v>67.69</v>
      </c>
      <c r="I23" s="92">
        <f t="shared" si="1"/>
        <v>93.41</v>
      </c>
      <c r="J23" s="107"/>
      <c r="K23" s="90">
        <f t="shared" si="2"/>
        <v>1</v>
      </c>
      <c r="L23" s="91">
        <f t="shared" si="3"/>
        <v>46.71</v>
      </c>
      <c r="M23" s="91">
        <f t="shared" si="4"/>
        <v>46.71</v>
      </c>
      <c r="N23" s="116"/>
      <c r="O23" s="95"/>
      <c r="P23" s="117"/>
      <c r="Q23" s="96"/>
      <c r="R23" s="96">
        <f t="shared" si="5"/>
        <v>0</v>
      </c>
      <c r="S23" s="96">
        <f t="shared" si="6"/>
        <v>46.7</v>
      </c>
      <c r="T23" s="96">
        <f t="shared" si="7"/>
        <v>46.7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439</v>
      </c>
      <c r="C24" s="101" t="s">
        <v>174</v>
      </c>
      <c r="D24" s="88"/>
      <c r="E24" s="102">
        <v>1000</v>
      </c>
      <c r="F24" s="103">
        <v>1</v>
      </c>
      <c r="G24" s="104">
        <v>113.95</v>
      </c>
      <c r="H24" s="105">
        <f t="shared" si="0"/>
        <v>82.57</v>
      </c>
      <c r="I24" s="106">
        <f t="shared" si="1"/>
        <v>113.95</v>
      </c>
      <c r="J24" s="107"/>
      <c r="K24" s="108">
        <f t="shared" si="2"/>
        <v>1</v>
      </c>
      <c r="L24" s="105">
        <f t="shared" si="3"/>
        <v>56.98</v>
      </c>
      <c r="M24" s="105">
        <f t="shared" si="4"/>
        <v>56.98</v>
      </c>
      <c r="N24" s="109"/>
      <c r="O24" s="95"/>
      <c r="P24" s="100"/>
      <c r="Q24" s="104"/>
      <c r="R24" s="110">
        <f t="shared" si="5"/>
        <v>0</v>
      </c>
      <c r="S24" s="111">
        <f t="shared" si="6"/>
        <v>56.97</v>
      </c>
      <c r="T24" s="111">
        <f t="shared" si="7"/>
        <v>56.97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699</v>
      </c>
      <c r="C25" s="114" t="s">
        <v>128</v>
      </c>
      <c r="D25" s="88"/>
      <c r="E25" s="89">
        <v>2000</v>
      </c>
      <c r="F25" s="115">
        <v>1</v>
      </c>
      <c r="G25" s="96">
        <v>126.48</v>
      </c>
      <c r="H25" s="91">
        <f t="shared" si="0"/>
        <v>91.65</v>
      </c>
      <c r="I25" s="92">
        <f t="shared" si="1"/>
        <v>126.48</v>
      </c>
      <c r="J25" s="107"/>
      <c r="K25" s="90">
        <f t="shared" si="2"/>
        <v>1</v>
      </c>
      <c r="L25" s="91">
        <f t="shared" si="3"/>
        <v>75.89</v>
      </c>
      <c r="M25" s="91">
        <f t="shared" si="4"/>
        <v>75.89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50.59</v>
      </c>
      <c r="T25" s="96">
        <f t="shared" si="7"/>
        <v>50.59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700</v>
      </c>
      <c r="C26" s="101" t="s">
        <v>131</v>
      </c>
      <c r="D26" s="88"/>
      <c r="E26" s="102">
        <v>2000</v>
      </c>
      <c r="F26" s="103">
        <v>1</v>
      </c>
      <c r="G26" s="104">
        <v>83.11</v>
      </c>
      <c r="H26" s="105">
        <f t="shared" si="0"/>
        <v>60.22</v>
      </c>
      <c r="I26" s="106">
        <f t="shared" si="1"/>
        <v>83.11</v>
      </c>
      <c r="J26" s="107"/>
      <c r="K26" s="108">
        <f t="shared" si="2"/>
        <v>1</v>
      </c>
      <c r="L26" s="105">
        <f t="shared" si="3"/>
        <v>49.87</v>
      </c>
      <c r="M26" s="105">
        <f t="shared" si="4"/>
        <v>49.87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33.24</v>
      </c>
      <c r="T26" s="111">
        <f t="shared" si="7"/>
        <v>33.24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547</v>
      </c>
      <c r="C27" s="114" t="s">
        <v>701</v>
      </c>
      <c r="D27" s="88"/>
      <c r="E27" s="89">
        <v>2000</v>
      </c>
      <c r="F27" s="115">
        <v>2</v>
      </c>
      <c r="G27" s="96">
        <v>70.34</v>
      </c>
      <c r="H27" s="91">
        <f t="shared" si="0"/>
        <v>50.97</v>
      </c>
      <c r="I27" s="92">
        <f t="shared" si="1"/>
        <v>140.68</v>
      </c>
      <c r="J27" s="107"/>
      <c r="K27" s="90">
        <f t="shared" si="2"/>
        <v>2</v>
      </c>
      <c r="L27" s="91">
        <f t="shared" si="3"/>
        <v>42.2</v>
      </c>
      <c r="M27" s="91">
        <f t="shared" si="4"/>
        <v>84.4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28.14</v>
      </c>
      <c r="T27" s="96">
        <f t="shared" si="7"/>
        <v>56.28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702</v>
      </c>
      <c r="C28" s="101" t="s">
        <v>703</v>
      </c>
      <c r="D28" s="88"/>
      <c r="E28" s="102" t="s">
        <v>138</v>
      </c>
      <c r="F28" s="103">
        <v>1</v>
      </c>
      <c r="G28" s="104">
        <v>6560.84</v>
      </c>
      <c r="H28" s="105">
        <f t="shared" si="0"/>
        <v>4754.2299999999996</v>
      </c>
      <c r="I28" s="106">
        <f t="shared" si="1"/>
        <v>6560.84</v>
      </c>
      <c r="J28" s="107"/>
      <c r="K28" s="108">
        <f t="shared" si="2"/>
        <v>1</v>
      </c>
      <c r="L28" s="105">
        <f t="shared" si="3"/>
        <v>3280.42</v>
      </c>
      <c r="M28" s="105">
        <f t="shared" si="4"/>
        <v>3280.42</v>
      </c>
      <c r="N28" s="109"/>
      <c r="O28" s="95"/>
      <c r="P28" s="100"/>
      <c r="Q28" s="104"/>
      <c r="R28" s="110">
        <f t="shared" si="5"/>
        <v>0</v>
      </c>
      <c r="S28" s="111">
        <f t="shared" si="6"/>
        <v>3280.42</v>
      </c>
      <c r="T28" s="111">
        <f t="shared" si="7"/>
        <v>3280.42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287</v>
      </c>
      <c r="C29" s="114" t="s">
        <v>704</v>
      </c>
      <c r="D29" s="88"/>
      <c r="E29" s="89" t="s">
        <v>138</v>
      </c>
      <c r="F29" s="115">
        <v>2</v>
      </c>
      <c r="G29" s="96">
        <v>396.11</v>
      </c>
      <c r="H29" s="91">
        <f t="shared" si="0"/>
        <v>287.04000000000002</v>
      </c>
      <c r="I29" s="92">
        <f t="shared" si="1"/>
        <v>792.22</v>
      </c>
      <c r="J29" s="107"/>
      <c r="K29" s="90">
        <f t="shared" si="2"/>
        <v>2</v>
      </c>
      <c r="L29" s="91">
        <f t="shared" si="3"/>
        <v>198.06</v>
      </c>
      <c r="M29" s="91">
        <f t="shared" si="4"/>
        <v>396.12</v>
      </c>
      <c r="N29" s="116"/>
      <c r="O29" s="95"/>
      <c r="P29" s="117"/>
      <c r="Q29" s="96"/>
      <c r="R29" s="96">
        <f t="shared" si="5"/>
        <v>0</v>
      </c>
      <c r="S29" s="96">
        <f t="shared" si="6"/>
        <v>198.05</v>
      </c>
      <c r="T29" s="96">
        <f t="shared" si="7"/>
        <v>396.1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705</v>
      </c>
      <c r="C30" s="101" t="s">
        <v>706</v>
      </c>
      <c r="D30" s="88"/>
      <c r="E30" s="102" t="s">
        <v>138</v>
      </c>
      <c r="F30" s="103">
        <v>1</v>
      </c>
      <c r="G30" s="104">
        <v>7532.27</v>
      </c>
      <c r="H30" s="105">
        <f t="shared" si="0"/>
        <v>5458.17</v>
      </c>
      <c r="I30" s="106">
        <f t="shared" si="1"/>
        <v>7532.27</v>
      </c>
      <c r="J30" s="107"/>
      <c r="K30" s="108">
        <f t="shared" si="2"/>
        <v>1</v>
      </c>
      <c r="L30" s="105">
        <f t="shared" si="3"/>
        <v>3766.14</v>
      </c>
      <c r="M30" s="105">
        <f t="shared" si="4"/>
        <v>3766.14</v>
      </c>
      <c r="N30" s="109"/>
      <c r="O30" s="95"/>
      <c r="P30" s="100"/>
      <c r="Q30" s="104"/>
      <c r="R30" s="110">
        <f t="shared" si="5"/>
        <v>0</v>
      </c>
      <c r="S30" s="111">
        <f t="shared" si="6"/>
        <v>3766.13</v>
      </c>
      <c r="T30" s="111">
        <f t="shared" si="7"/>
        <v>3766.13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707</v>
      </c>
      <c r="C31" s="114" t="s">
        <v>258</v>
      </c>
      <c r="D31" s="88"/>
      <c r="E31" s="89" t="s">
        <v>138</v>
      </c>
      <c r="F31" s="115">
        <v>6</v>
      </c>
      <c r="G31" s="96">
        <v>2119.6999999999998</v>
      </c>
      <c r="H31" s="91">
        <f t="shared" si="0"/>
        <v>1536.01</v>
      </c>
      <c r="I31" s="92">
        <f t="shared" si="1"/>
        <v>12718.2</v>
      </c>
      <c r="J31" s="107"/>
      <c r="K31" s="90">
        <f t="shared" si="2"/>
        <v>6</v>
      </c>
      <c r="L31" s="91">
        <f t="shared" si="3"/>
        <v>1483.79</v>
      </c>
      <c r="M31" s="91">
        <f t="shared" si="4"/>
        <v>8902.74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635.91</v>
      </c>
      <c r="T31" s="96">
        <f t="shared" si="7"/>
        <v>3815.46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397</v>
      </c>
      <c r="C32" s="101" t="s">
        <v>398</v>
      </c>
      <c r="D32" s="88"/>
      <c r="E32" s="102" t="s">
        <v>138</v>
      </c>
      <c r="F32" s="103">
        <v>4</v>
      </c>
      <c r="G32" s="104">
        <v>9608.0400000000009</v>
      </c>
      <c r="H32" s="105">
        <f t="shared" si="0"/>
        <v>6962.35</v>
      </c>
      <c r="I32" s="106">
        <f t="shared" si="1"/>
        <v>38432.160000000003</v>
      </c>
      <c r="J32" s="107"/>
      <c r="K32" s="108">
        <f t="shared" si="2"/>
        <v>4</v>
      </c>
      <c r="L32" s="105">
        <f t="shared" si="3"/>
        <v>4804.0200000000004</v>
      </c>
      <c r="M32" s="105">
        <f t="shared" si="4"/>
        <v>19216.080000000002</v>
      </c>
      <c r="N32" s="109"/>
      <c r="O32" s="95"/>
      <c r="P32" s="100"/>
      <c r="Q32" s="104"/>
      <c r="R32" s="110">
        <f t="shared" si="5"/>
        <v>0</v>
      </c>
      <c r="S32" s="111">
        <f t="shared" si="6"/>
        <v>4804.0200000000004</v>
      </c>
      <c r="T32" s="111">
        <f t="shared" si="7"/>
        <v>19216.080000000002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708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/>
      <c r="C34" s="101" t="s">
        <v>709</v>
      </c>
      <c r="D34" s="88"/>
      <c r="E34" s="102"/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/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24</v>
      </c>
      <c r="G50" s="123">
        <f t="shared" si="10"/>
        <v>27021.59</v>
      </c>
      <c r="H50" s="124">
        <f t="shared" si="10"/>
        <v>19580.86</v>
      </c>
      <c r="I50" s="125">
        <f t="shared" si="10"/>
        <v>66910.66</v>
      </c>
      <c r="J50" s="126"/>
      <c r="K50" s="127">
        <f t="shared" ref="K50:M50" si="11">SUM(K19:K49)</f>
        <v>24</v>
      </c>
      <c r="L50" s="124">
        <f t="shared" si="11"/>
        <v>13962.76</v>
      </c>
      <c r="M50" s="125">
        <f t="shared" si="11"/>
        <v>36034.03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13058.830000000002</v>
      </c>
      <c r="T50" s="125">
        <f t="shared" si="12"/>
        <v>30876.63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55" priority="1" stopIfTrue="1">
      <formula>$U$9&gt;100%</formula>
    </cfRule>
    <cfRule type="expression" dxfId="154" priority="2">
      <formula>$U$9&lt;50%</formula>
    </cfRule>
  </conditionalFormatting>
  <conditionalFormatting sqref="V9:V11">
    <cfRule type="expression" dxfId="153" priority="3">
      <formula>$V$9&lt;50%</formula>
    </cfRule>
    <cfRule type="expression" dxfId="152" priority="4">
      <formula>$V$9&gt;50%</formula>
    </cfRule>
  </conditionalFormatting>
  <dataValidations count="4">
    <dataValidation type="list" allowBlank="1" showErrorMessage="1" sqref="E19:E49" xr:uid="{00000000-0002-0000-2200-000000000000}">
      <formula1>$Z$19:$Z$30</formula1>
    </dataValidation>
    <dataValidation type="list" allowBlank="1" showErrorMessage="1" sqref="I14" xr:uid="{00000000-0002-0000-2200-000001000000}">
      <formula1>$Y$14:$Y$15</formula1>
    </dataValidation>
    <dataValidation type="list" allowBlank="1" showErrorMessage="1" sqref="J14" xr:uid="{00000000-0002-0000-2200-000002000000}">
      <formula1>$L$9</formula1>
    </dataValidation>
    <dataValidation type="list" allowBlank="1" showErrorMessage="1" sqref="Q15 G18 L18 Q18" xr:uid="{00000000-0002-0000-2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710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89203.439999999988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49490.36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47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39713.079999999987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711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0.44519673232332735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712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39713.08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 t="s">
        <v>713</v>
      </c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49490.36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1170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83</v>
      </c>
      <c r="H18" s="79" t="str">
        <f>IF(G18="USD $", "CAD $", "USD $")</f>
        <v>USD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479</v>
      </c>
      <c r="C19" s="87" t="s">
        <v>169</v>
      </c>
      <c r="D19" s="88"/>
      <c r="E19" s="89">
        <v>500</v>
      </c>
      <c r="F19" s="90">
        <v>1</v>
      </c>
      <c r="G19" s="91">
        <v>27.65</v>
      </c>
      <c r="H19" s="91">
        <f t="shared" ref="H19:H49" si="0">ROUND(IF($G$18="USD $", G19*$F$16,G19*$E$16),2)</f>
        <v>20.04</v>
      </c>
      <c r="I19" s="92">
        <f t="shared" ref="I19:I49" si="1">ROUND(IF($I$18=$H$18,F19*H19,F19*G19),2)</f>
        <v>27.65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13.83</v>
      </c>
      <c r="M19" s="91">
        <f t="shared" ref="M19:M49" si="4">ROUND((K19*L19),2)</f>
        <v>13.83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13.82</v>
      </c>
      <c r="T19" s="96">
        <f t="shared" ref="T19:T49" si="7">ROUND(I19-M19,2)</f>
        <v>13.82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274</v>
      </c>
      <c r="C20" s="101" t="s">
        <v>118</v>
      </c>
      <c r="D20" s="88"/>
      <c r="E20" s="102">
        <v>500</v>
      </c>
      <c r="F20" s="103">
        <v>1</v>
      </c>
      <c r="G20" s="104">
        <v>39.28</v>
      </c>
      <c r="H20" s="105">
        <f t="shared" si="0"/>
        <v>28.46</v>
      </c>
      <c r="I20" s="106">
        <f t="shared" si="1"/>
        <v>39.28</v>
      </c>
      <c r="J20" s="107"/>
      <c r="K20" s="108">
        <f t="shared" si="2"/>
        <v>1</v>
      </c>
      <c r="L20" s="105">
        <f t="shared" si="3"/>
        <v>19.64</v>
      </c>
      <c r="M20" s="105">
        <f t="shared" si="4"/>
        <v>19.64</v>
      </c>
      <c r="N20" s="109"/>
      <c r="O20" s="95"/>
      <c r="P20" s="100"/>
      <c r="Q20" s="104"/>
      <c r="R20" s="110">
        <f t="shared" si="5"/>
        <v>0</v>
      </c>
      <c r="S20" s="111">
        <f t="shared" si="6"/>
        <v>19.64</v>
      </c>
      <c r="T20" s="111">
        <f t="shared" si="7"/>
        <v>19.64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275</v>
      </c>
      <c r="C21" s="114" t="s">
        <v>115</v>
      </c>
      <c r="D21" s="88"/>
      <c r="E21" s="89">
        <v>500</v>
      </c>
      <c r="F21" s="115">
        <v>1</v>
      </c>
      <c r="G21" s="96">
        <v>59.73</v>
      </c>
      <c r="H21" s="91">
        <f t="shared" si="0"/>
        <v>43.28</v>
      </c>
      <c r="I21" s="92">
        <f t="shared" si="1"/>
        <v>59.73</v>
      </c>
      <c r="J21" s="107"/>
      <c r="K21" s="90">
        <f t="shared" si="2"/>
        <v>1</v>
      </c>
      <c r="L21" s="91">
        <f t="shared" si="3"/>
        <v>29.87</v>
      </c>
      <c r="M21" s="91">
        <f t="shared" si="4"/>
        <v>29.87</v>
      </c>
      <c r="N21" s="116"/>
      <c r="O21" s="95"/>
      <c r="P21" s="117"/>
      <c r="Q21" s="96"/>
      <c r="R21" s="96">
        <f t="shared" si="5"/>
        <v>0</v>
      </c>
      <c r="S21" s="96">
        <f t="shared" si="6"/>
        <v>29.86</v>
      </c>
      <c r="T21" s="96">
        <f t="shared" si="7"/>
        <v>29.86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714</v>
      </c>
      <c r="C22" s="101" t="s">
        <v>174</v>
      </c>
      <c r="D22" s="88"/>
      <c r="E22" s="102">
        <v>1000</v>
      </c>
      <c r="F22" s="103">
        <v>1</v>
      </c>
      <c r="G22" s="104">
        <v>46.83</v>
      </c>
      <c r="H22" s="105">
        <f t="shared" si="0"/>
        <v>33.93</v>
      </c>
      <c r="I22" s="106">
        <f t="shared" si="1"/>
        <v>46.83</v>
      </c>
      <c r="J22" s="107"/>
      <c r="K22" s="108">
        <f t="shared" si="2"/>
        <v>1</v>
      </c>
      <c r="L22" s="105">
        <f t="shared" si="3"/>
        <v>23.42</v>
      </c>
      <c r="M22" s="105">
        <f t="shared" si="4"/>
        <v>23.42</v>
      </c>
      <c r="N22" s="109"/>
      <c r="O22" s="95"/>
      <c r="P22" s="100"/>
      <c r="Q22" s="104"/>
      <c r="R22" s="110">
        <f t="shared" si="5"/>
        <v>0</v>
      </c>
      <c r="S22" s="111">
        <f t="shared" si="6"/>
        <v>23.41</v>
      </c>
      <c r="T22" s="111">
        <f t="shared" si="7"/>
        <v>23.41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715</v>
      </c>
      <c r="C23" s="114" t="s">
        <v>174</v>
      </c>
      <c r="D23" s="88"/>
      <c r="E23" s="89">
        <v>1000</v>
      </c>
      <c r="F23" s="115">
        <v>1</v>
      </c>
      <c r="G23" s="96">
        <v>291.5</v>
      </c>
      <c r="H23" s="91">
        <f t="shared" si="0"/>
        <v>211.23</v>
      </c>
      <c r="I23" s="92">
        <f t="shared" si="1"/>
        <v>291.5</v>
      </c>
      <c r="J23" s="107"/>
      <c r="K23" s="90">
        <f t="shared" si="2"/>
        <v>1</v>
      </c>
      <c r="L23" s="91">
        <f t="shared" si="3"/>
        <v>145.75</v>
      </c>
      <c r="M23" s="91">
        <f t="shared" si="4"/>
        <v>145.75</v>
      </c>
      <c r="N23" s="116"/>
      <c r="O23" s="95"/>
      <c r="P23" s="117"/>
      <c r="Q23" s="96"/>
      <c r="R23" s="96">
        <f t="shared" si="5"/>
        <v>0</v>
      </c>
      <c r="S23" s="96">
        <f t="shared" si="6"/>
        <v>145.75</v>
      </c>
      <c r="T23" s="96">
        <f t="shared" si="7"/>
        <v>145.75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716</v>
      </c>
      <c r="C24" s="101" t="s">
        <v>174</v>
      </c>
      <c r="D24" s="88"/>
      <c r="E24" s="102">
        <v>1000</v>
      </c>
      <c r="F24" s="103">
        <v>1</v>
      </c>
      <c r="G24" s="104">
        <v>61.9</v>
      </c>
      <c r="H24" s="105">
        <f t="shared" si="0"/>
        <v>44.86</v>
      </c>
      <c r="I24" s="106">
        <f t="shared" si="1"/>
        <v>61.9</v>
      </c>
      <c r="J24" s="107"/>
      <c r="K24" s="108">
        <f t="shared" si="2"/>
        <v>1</v>
      </c>
      <c r="L24" s="105">
        <f t="shared" si="3"/>
        <v>30.95</v>
      </c>
      <c r="M24" s="105">
        <f t="shared" si="4"/>
        <v>30.95</v>
      </c>
      <c r="N24" s="109"/>
      <c r="O24" s="95"/>
      <c r="P24" s="100"/>
      <c r="Q24" s="104"/>
      <c r="R24" s="110">
        <f t="shared" si="5"/>
        <v>0</v>
      </c>
      <c r="S24" s="111">
        <f t="shared" si="6"/>
        <v>30.95</v>
      </c>
      <c r="T24" s="111">
        <f t="shared" si="7"/>
        <v>30.95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717</v>
      </c>
      <c r="C25" s="114" t="s">
        <v>323</v>
      </c>
      <c r="D25" s="88"/>
      <c r="E25" s="89">
        <v>2000</v>
      </c>
      <c r="F25" s="115">
        <v>1</v>
      </c>
      <c r="G25" s="96">
        <v>94.89</v>
      </c>
      <c r="H25" s="91">
        <f t="shared" si="0"/>
        <v>68.760000000000005</v>
      </c>
      <c r="I25" s="92">
        <f t="shared" si="1"/>
        <v>94.89</v>
      </c>
      <c r="J25" s="107"/>
      <c r="K25" s="90">
        <f t="shared" si="2"/>
        <v>1</v>
      </c>
      <c r="L25" s="91">
        <f t="shared" si="3"/>
        <v>56.93</v>
      </c>
      <c r="M25" s="91">
        <f t="shared" si="4"/>
        <v>56.93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37.96</v>
      </c>
      <c r="T25" s="96">
        <f t="shared" si="7"/>
        <v>37.96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718</v>
      </c>
      <c r="C26" s="101" t="s">
        <v>128</v>
      </c>
      <c r="D26" s="88"/>
      <c r="E26" s="102">
        <v>2000</v>
      </c>
      <c r="F26" s="103">
        <v>1</v>
      </c>
      <c r="G26" s="104">
        <v>171.1</v>
      </c>
      <c r="H26" s="105">
        <f t="shared" si="0"/>
        <v>123.99</v>
      </c>
      <c r="I26" s="106">
        <f t="shared" si="1"/>
        <v>171.1</v>
      </c>
      <c r="J26" s="107"/>
      <c r="K26" s="108">
        <f t="shared" si="2"/>
        <v>1</v>
      </c>
      <c r="L26" s="105">
        <f t="shared" si="3"/>
        <v>102.66</v>
      </c>
      <c r="M26" s="105">
        <f t="shared" si="4"/>
        <v>102.66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68.44</v>
      </c>
      <c r="T26" s="111">
        <f t="shared" si="7"/>
        <v>68.44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719</v>
      </c>
      <c r="C27" s="114" t="s">
        <v>131</v>
      </c>
      <c r="D27" s="88"/>
      <c r="E27" s="89">
        <v>2000</v>
      </c>
      <c r="F27" s="115">
        <v>1</v>
      </c>
      <c r="G27" s="96">
        <v>104.15</v>
      </c>
      <c r="H27" s="91">
        <f t="shared" si="0"/>
        <v>75.47</v>
      </c>
      <c r="I27" s="92">
        <f t="shared" si="1"/>
        <v>104.15</v>
      </c>
      <c r="J27" s="107"/>
      <c r="K27" s="90">
        <f t="shared" si="2"/>
        <v>1</v>
      </c>
      <c r="L27" s="91">
        <f t="shared" si="3"/>
        <v>62.49</v>
      </c>
      <c r="M27" s="91">
        <f t="shared" si="4"/>
        <v>62.49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41.66</v>
      </c>
      <c r="T27" s="96">
        <f t="shared" si="7"/>
        <v>41.66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720</v>
      </c>
      <c r="C28" s="101" t="s">
        <v>134</v>
      </c>
      <c r="D28" s="88"/>
      <c r="E28" s="102">
        <v>2000</v>
      </c>
      <c r="F28" s="103">
        <v>1</v>
      </c>
      <c r="G28" s="104">
        <v>64.319999999999993</v>
      </c>
      <c r="H28" s="105">
        <f t="shared" si="0"/>
        <v>46.61</v>
      </c>
      <c r="I28" s="106">
        <f t="shared" si="1"/>
        <v>64.319999999999993</v>
      </c>
      <c r="J28" s="107"/>
      <c r="K28" s="108">
        <f t="shared" si="2"/>
        <v>1</v>
      </c>
      <c r="L28" s="105">
        <f t="shared" si="3"/>
        <v>38.590000000000003</v>
      </c>
      <c r="M28" s="105">
        <f t="shared" si="4"/>
        <v>38.590000000000003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25.73</v>
      </c>
      <c r="T28" s="111">
        <f t="shared" si="7"/>
        <v>25.73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281</v>
      </c>
      <c r="C29" s="114" t="s">
        <v>134</v>
      </c>
      <c r="D29" s="88"/>
      <c r="E29" s="89">
        <v>2000</v>
      </c>
      <c r="F29" s="115">
        <v>1</v>
      </c>
      <c r="G29" s="96">
        <v>64.39</v>
      </c>
      <c r="H29" s="91">
        <f t="shared" si="0"/>
        <v>46.66</v>
      </c>
      <c r="I29" s="92">
        <f t="shared" si="1"/>
        <v>64.39</v>
      </c>
      <c r="J29" s="107"/>
      <c r="K29" s="90">
        <f t="shared" si="2"/>
        <v>1</v>
      </c>
      <c r="L29" s="91">
        <f t="shared" si="3"/>
        <v>38.630000000000003</v>
      </c>
      <c r="M29" s="91">
        <f t="shared" si="4"/>
        <v>38.630000000000003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25.76</v>
      </c>
      <c r="T29" s="96">
        <f t="shared" si="7"/>
        <v>25.76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488</v>
      </c>
      <c r="C30" s="101" t="s">
        <v>721</v>
      </c>
      <c r="D30" s="88"/>
      <c r="E30" s="102" t="s">
        <v>138</v>
      </c>
      <c r="F30" s="103">
        <v>1</v>
      </c>
      <c r="G30" s="104">
        <v>1198.52</v>
      </c>
      <c r="H30" s="105">
        <f t="shared" si="0"/>
        <v>868.49</v>
      </c>
      <c r="I30" s="106">
        <f t="shared" si="1"/>
        <v>1198.52</v>
      </c>
      <c r="J30" s="107"/>
      <c r="K30" s="108">
        <f t="shared" si="2"/>
        <v>1</v>
      </c>
      <c r="L30" s="105">
        <f t="shared" si="3"/>
        <v>719.11</v>
      </c>
      <c r="M30" s="105">
        <f t="shared" si="4"/>
        <v>719.11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479.41</v>
      </c>
      <c r="T30" s="111">
        <f t="shared" si="7"/>
        <v>479.41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722</v>
      </c>
      <c r="C31" s="114" t="s">
        <v>137</v>
      </c>
      <c r="D31" s="88"/>
      <c r="E31" s="89" t="s">
        <v>138</v>
      </c>
      <c r="F31" s="115">
        <v>1</v>
      </c>
      <c r="G31" s="96">
        <v>8369.8799999999992</v>
      </c>
      <c r="H31" s="91">
        <f t="shared" si="0"/>
        <v>6065.13</v>
      </c>
      <c r="I31" s="92">
        <f t="shared" si="1"/>
        <v>8369.8799999999992</v>
      </c>
      <c r="J31" s="107"/>
      <c r="K31" s="90">
        <f t="shared" si="2"/>
        <v>1</v>
      </c>
      <c r="L31" s="91">
        <f t="shared" si="3"/>
        <v>4184.9399999999996</v>
      </c>
      <c r="M31" s="91">
        <f t="shared" si="4"/>
        <v>4184.9399999999996</v>
      </c>
      <c r="N31" s="116"/>
      <c r="O31" s="95"/>
      <c r="P31" s="117"/>
      <c r="Q31" s="96"/>
      <c r="R31" s="96">
        <f t="shared" si="5"/>
        <v>0</v>
      </c>
      <c r="S31" s="96">
        <f t="shared" si="6"/>
        <v>4184.9399999999996</v>
      </c>
      <c r="T31" s="96">
        <f t="shared" si="7"/>
        <v>4184.9399999999996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425</v>
      </c>
      <c r="C32" s="101" t="s">
        <v>651</v>
      </c>
      <c r="D32" s="88"/>
      <c r="E32" s="102" t="s">
        <v>138</v>
      </c>
      <c r="F32" s="103">
        <v>2</v>
      </c>
      <c r="G32" s="104">
        <v>550.07000000000005</v>
      </c>
      <c r="H32" s="105">
        <f t="shared" si="0"/>
        <v>398.6</v>
      </c>
      <c r="I32" s="106">
        <f t="shared" si="1"/>
        <v>1100.1400000000001</v>
      </c>
      <c r="J32" s="107"/>
      <c r="K32" s="108">
        <f t="shared" si="2"/>
        <v>2</v>
      </c>
      <c r="L32" s="105">
        <f t="shared" si="3"/>
        <v>275.04000000000002</v>
      </c>
      <c r="M32" s="105">
        <f t="shared" si="4"/>
        <v>550.08000000000004</v>
      </c>
      <c r="N32" s="109"/>
      <c r="O32" s="95"/>
      <c r="P32" s="100"/>
      <c r="Q32" s="104"/>
      <c r="R32" s="110">
        <f t="shared" si="5"/>
        <v>0</v>
      </c>
      <c r="S32" s="111">
        <f t="shared" si="6"/>
        <v>275.02999999999997</v>
      </c>
      <c r="T32" s="111">
        <f t="shared" si="7"/>
        <v>550.05999999999995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723</v>
      </c>
      <c r="C33" s="114" t="s">
        <v>144</v>
      </c>
      <c r="D33" s="88"/>
      <c r="E33" s="89" t="s">
        <v>138</v>
      </c>
      <c r="F33" s="115">
        <v>1</v>
      </c>
      <c r="G33" s="96">
        <v>6491.51</v>
      </c>
      <c r="H33" s="91">
        <f t="shared" si="0"/>
        <v>4703.99</v>
      </c>
      <c r="I33" s="92">
        <f t="shared" si="1"/>
        <v>6491.51</v>
      </c>
      <c r="J33" s="107"/>
      <c r="K33" s="90">
        <f t="shared" si="2"/>
        <v>1</v>
      </c>
      <c r="L33" s="91">
        <f t="shared" si="3"/>
        <v>3245.76</v>
      </c>
      <c r="M33" s="91">
        <f t="shared" si="4"/>
        <v>3245.76</v>
      </c>
      <c r="N33" s="116"/>
      <c r="O33" s="95"/>
      <c r="P33" s="117"/>
      <c r="Q33" s="96"/>
      <c r="R33" s="96">
        <f t="shared" si="5"/>
        <v>0</v>
      </c>
      <c r="S33" s="96">
        <f t="shared" si="6"/>
        <v>3245.75</v>
      </c>
      <c r="T33" s="96">
        <f t="shared" si="7"/>
        <v>3245.75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492</v>
      </c>
      <c r="C34" s="101" t="s">
        <v>147</v>
      </c>
      <c r="D34" s="88"/>
      <c r="E34" s="102" t="s">
        <v>138</v>
      </c>
      <c r="F34" s="103">
        <v>6</v>
      </c>
      <c r="G34" s="104">
        <v>1606.8</v>
      </c>
      <c r="H34" s="105">
        <f t="shared" si="0"/>
        <v>1164.3499999999999</v>
      </c>
      <c r="I34" s="106">
        <f t="shared" si="1"/>
        <v>9640.7999999999993</v>
      </c>
      <c r="J34" s="107"/>
      <c r="K34" s="108">
        <f t="shared" si="2"/>
        <v>6</v>
      </c>
      <c r="L34" s="105">
        <f t="shared" si="3"/>
        <v>1124.76</v>
      </c>
      <c r="M34" s="105">
        <f t="shared" si="4"/>
        <v>6748.56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482.04</v>
      </c>
      <c r="T34" s="111">
        <f t="shared" si="7"/>
        <v>2892.24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724</v>
      </c>
      <c r="C35" s="114" t="s">
        <v>725</v>
      </c>
      <c r="D35" s="88"/>
      <c r="E35" s="89">
        <v>6000</v>
      </c>
      <c r="F35" s="115">
        <v>8</v>
      </c>
      <c r="G35" s="96">
        <v>5927.93</v>
      </c>
      <c r="H35" s="91">
        <f t="shared" si="0"/>
        <v>4295.6000000000004</v>
      </c>
      <c r="I35" s="92">
        <f t="shared" si="1"/>
        <v>47423.44</v>
      </c>
      <c r="J35" s="107"/>
      <c r="K35" s="90">
        <f t="shared" si="2"/>
        <v>8</v>
      </c>
      <c r="L35" s="91">
        <f t="shared" si="3"/>
        <v>2963.97</v>
      </c>
      <c r="M35" s="91">
        <f t="shared" si="4"/>
        <v>23711.759999999998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2963.96</v>
      </c>
      <c r="T35" s="96">
        <f t="shared" si="7"/>
        <v>23711.68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565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726</v>
      </c>
      <c r="C37" s="114" t="s">
        <v>201</v>
      </c>
      <c r="D37" s="88"/>
      <c r="E37" s="89" t="s">
        <v>138</v>
      </c>
      <c r="F37" s="115">
        <v>5</v>
      </c>
      <c r="G37" s="96">
        <v>31.28</v>
      </c>
      <c r="H37" s="91">
        <f t="shared" si="0"/>
        <v>22.67</v>
      </c>
      <c r="I37" s="92">
        <f t="shared" si="1"/>
        <v>156.4</v>
      </c>
      <c r="J37" s="107"/>
      <c r="K37" s="90">
        <f t="shared" si="2"/>
        <v>5</v>
      </c>
      <c r="L37" s="91">
        <f t="shared" si="3"/>
        <v>21.9</v>
      </c>
      <c r="M37" s="91">
        <f t="shared" si="4"/>
        <v>109.5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9.3800000000000008</v>
      </c>
      <c r="T37" s="96">
        <f t="shared" si="7"/>
        <v>46.9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727</v>
      </c>
      <c r="C38" s="101" t="s">
        <v>728</v>
      </c>
      <c r="D38" s="88"/>
      <c r="E38" s="102" t="s">
        <v>138</v>
      </c>
      <c r="F38" s="103">
        <v>5</v>
      </c>
      <c r="G38" s="104">
        <v>103.32</v>
      </c>
      <c r="H38" s="105">
        <f t="shared" si="0"/>
        <v>74.87</v>
      </c>
      <c r="I38" s="106">
        <f t="shared" si="1"/>
        <v>516.6</v>
      </c>
      <c r="J38" s="107"/>
      <c r="K38" s="108">
        <f t="shared" si="2"/>
        <v>5</v>
      </c>
      <c r="L38" s="105">
        <f t="shared" si="3"/>
        <v>72.319999999999993</v>
      </c>
      <c r="M38" s="105">
        <f t="shared" si="4"/>
        <v>361.6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31</v>
      </c>
      <c r="T38" s="111">
        <f t="shared" si="7"/>
        <v>155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729</v>
      </c>
      <c r="C39" s="114" t="s">
        <v>295</v>
      </c>
      <c r="D39" s="88"/>
      <c r="E39" s="89" t="s">
        <v>138</v>
      </c>
      <c r="F39" s="115">
        <v>1</v>
      </c>
      <c r="G39" s="96">
        <v>2100.69</v>
      </c>
      <c r="H39" s="91">
        <f t="shared" si="0"/>
        <v>1522.24</v>
      </c>
      <c r="I39" s="92">
        <f t="shared" si="1"/>
        <v>2100.69</v>
      </c>
      <c r="J39" s="107"/>
      <c r="K39" s="90">
        <f t="shared" si="2"/>
        <v>1</v>
      </c>
      <c r="L39" s="91">
        <f t="shared" si="3"/>
        <v>1470.48</v>
      </c>
      <c r="M39" s="91">
        <f t="shared" si="4"/>
        <v>1470.48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630.21</v>
      </c>
      <c r="T39" s="96">
        <f t="shared" si="7"/>
        <v>630.21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687</v>
      </c>
      <c r="C40" s="101" t="s">
        <v>571</v>
      </c>
      <c r="D40" s="88"/>
      <c r="E40" s="102" t="s">
        <v>138</v>
      </c>
      <c r="F40" s="103">
        <v>1</v>
      </c>
      <c r="G40" s="104">
        <v>12.78</v>
      </c>
      <c r="H40" s="105">
        <f t="shared" si="0"/>
        <v>9.26</v>
      </c>
      <c r="I40" s="106">
        <f t="shared" si="1"/>
        <v>12.78</v>
      </c>
      <c r="J40" s="107"/>
      <c r="K40" s="108">
        <f t="shared" si="2"/>
        <v>1</v>
      </c>
      <c r="L40" s="105">
        <f t="shared" si="3"/>
        <v>8.9499999999999993</v>
      </c>
      <c r="M40" s="105">
        <f t="shared" si="4"/>
        <v>8.9499999999999993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3.83</v>
      </c>
      <c r="T40" s="111">
        <f t="shared" si="7"/>
        <v>3.83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296</v>
      </c>
      <c r="C41" s="114" t="s">
        <v>297</v>
      </c>
      <c r="D41" s="88"/>
      <c r="E41" s="89" t="s">
        <v>138</v>
      </c>
      <c r="F41" s="115">
        <v>3</v>
      </c>
      <c r="G41" s="96">
        <v>176.9</v>
      </c>
      <c r="H41" s="91">
        <f t="shared" si="0"/>
        <v>128.19</v>
      </c>
      <c r="I41" s="92">
        <f t="shared" si="1"/>
        <v>530.70000000000005</v>
      </c>
      <c r="J41" s="107"/>
      <c r="K41" s="90">
        <f t="shared" si="2"/>
        <v>3</v>
      </c>
      <c r="L41" s="91">
        <f t="shared" si="3"/>
        <v>123.83</v>
      </c>
      <c r="M41" s="91">
        <f t="shared" si="4"/>
        <v>371.49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53.07</v>
      </c>
      <c r="T41" s="96">
        <f t="shared" si="7"/>
        <v>159.21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298</v>
      </c>
      <c r="C42" s="101" t="s">
        <v>297</v>
      </c>
      <c r="D42" s="88"/>
      <c r="E42" s="102" t="s">
        <v>138</v>
      </c>
      <c r="F42" s="103">
        <v>1</v>
      </c>
      <c r="G42" s="104">
        <v>176.9</v>
      </c>
      <c r="H42" s="105">
        <f t="shared" si="0"/>
        <v>128.19</v>
      </c>
      <c r="I42" s="106">
        <f t="shared" si="1"/>
        <v>176.9</v>
      </c>
      <c r="J42" s="107"/>
      <c r="K42" s="108">
        <f t="shared" si="2"/>
        <v>1</v>
      </c>
      <c r="L42" s="105">
        <f t="shared" si="3"/>
        <v>123.83</v>
      </c>
      <c r="M42" s="105">
        <f t="shared" si="4"/>
        <v>123.83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53.07</v>
      </c>
      <c r="T42" s="111">
        <f t="shared" si="7"/>
        <v>53.07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299</v>
      </c>
      <c r="C43" s="114" t="s">
        <v>297</v>
      </c>
      <c r="D43" s="88"/>
      <c r="E43" s="89" t="s">
        <v>138</v>
      </c>
      <c r="F43" s="115">
        <v>1</v>
      </c>
      <c r="G43" s="96">
        <v>176.9</v>
      </c>
      <c r="H43" s="91">
        <f t="shared" si="0"/>
        <v>128.19</v>
      </c>
      <c r="I43" s="92">
        <f t="shared" si="1"/>
        <v>176.9</v>
      </c>
      <c r="J43" s="107"/>
      <c r="K43" s="90">
        <f t="shared" si="2"/>
        <v>1</v>
      </c>
      <c r="L43" s="91">
        <f t="shared" si="3"/>
        <v>123.83</v>
      </c>
      <c r="M43" s="91">
        <f t="shared" si="4"/>
        <v>123.83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53.07</v>
      </c>
      <c r="T43" s="96">
        <f t="shared" si="7"/>
        <v>53.07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730</v>
      </c>
      <c r="C44" s="101" t="s">
        <v>301</v>
      </c>
      <c r="D44" s="88"/>
      <c r="E44" s="102" t="s">
        <v>138</v>
      </c>
      <c r="F44" s="103">
        <v>1</v>
      </c>
      <c r="G44" s="104">
        <v>325.33</v>
      </c>
      <c r="H44" s="105">
        <f t="shared" si="0"/>
        <v>235.75</v>
      </c>
      <c r="I44" s="106">
        <f t="shared" si="1"/>
        <v>325.33</v>
      </c>
      <c r="J44" s="107"/>
      <c r="K44" s="108">
        <f t="shared" si="2"/>
        <v>1</v>
      </c>
      <c r="L44" s="105">
        <f t="shared" si="3"/>
        <v>227.73</v>
      </c>
      <c r="M44" s="105">
        <f t="shared" si="4"/>
        <v>227.73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97.6</v>
      </c>
      <c r="T44" s="111">
        <f t="shared" si="7"/>
        <v>97.6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731</v>
      </c>
      <c r="C45" s="114" t="s">
        <v>301</v>
      </c>
      <c r="D45" s="88"/>
      <c r="E45" s="89" t="s">
        <v>138</v>
      </c>
      <c r="F45" s="115">
        <v>3</v>
      </c>
      <c r="G45" s="96">
        <v>160.84</v>
      </c>
      <c r="H45" s="91">
        <f t="shared" si="0"/>
        <v>116.55</v>
      </c>
      <c r="I45" s="92">
        <f t="shared" si="1"/>
        <v>482.52</v>
      </c>
      <c r="J45" s="107"/>
      <c r="K45" s="90">
        <f t="shared" si="2"/>
        <v>3</v>
      </c>
      <c r="L45" s="91">
        <f t="shared" si="3"/>
        <v>112.59</v>
      </c>
      <c r="M45" s="91">
        <f t="shared" si="4"/>
        <v>337.77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48.25</v>
      </c>
      <c r="T45" s="96">
        <f t="shared" si="7"/>
        <v>144.75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732</v>
      </c>
      <c r="C46" s="101" t="s">
        <v>571</v>
      </c>
      <c r="D46" s="88"/>
      <c r="E46" s="102" t="s">
        <v>138</v>
      </c>
      <c r="F46" s="103">
        <v>1</v>
      </c>
      <c r="G46" s="104">
        <v>604.41</v>
      </c>
      <c r="H46" s="105">
        <f t="shared" si="0"/>
        <v>437.98</v>
      </c>
      <c r="I46" s="106">
        <f t="shared" si="1"/>
        <v>604.41</v>
      </c>
      <c r="J46" s="107"/>
      <c r="K46" s="108">
        <f t="shared" si="2"/>
        <v>1</v>
      </c>
      <c r="L46" s="105">
        <f t="shared" si="3"/>
        <v>423.09</v>
      </c>
      <c r="M46" s="105">
        <f t="shared" si="4"/>
        <v>423.09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181.32</v>
      </c>
      <c r="T46" s="111">
        <f t="shared" si="7"/>
        <v>181.32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733</v>
      </c>
      <c r="C47" s="114" t="s">
        <v>571</v>
      </c>
      <c r="D47" s="88"/>
      <c r="E47" s="89" t="s">
        <v>138</v>
      </c>
      <c r="F47" s="115">
        <v>1</v>
      </c>
      <c r="G47" s="96">
        <v>535.26</v>
      </c>
      <c r="H47" s="91">
        <f t="shared" si="0"/>
        <v>387.87</v>
      </c>
      <c r="I47" s="92">
        <f t="shared" si="1"/>
        <v>535.26</v>
      </c>
      <c r="J47" s="107"/>
      <c r="K47" s="90">
        <f t="shared" si="2"/>
        <v>1</v>
      </c>
      <c r="L47" s="91">
        <f t="shared" si="3"/>
        <v>374.68</v>
      </c>
      <c r="M47" s="91">
        <f t="shared" si="4"/>
        <v>374.68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160.58000000000001</v>
      </c>
      <c r="T47" s="96">
        <f t="shared" si="7"/>
        <v>160.58000000000001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734</v>
      </c>
      <c r="C48" s="101" t="s">
        <v>735</v>
      </c>
      <c r="D48" s="88"/>
      <c r="E48" s="102" t="s">
        <v>138</v>
      </c>
      <c r="F48" s="103">
        <v>1</v>
      </c>
      <c r="G48" s="104">
        <v>8334.92</v>
      </c>
      <c r="H48" s="105">
        <f t="shared" si="0"/>
        <v>6039.8</v>
      </c>
      <c r="I48" s="106">
        <f t="shared" si="1"/>
        <v>8334.92</v>
      </c>
      <c r="J48" s="107"/>
      <c r="K48" s="108">
        <f t="shared" si="2"/>
        <v>1</v>
      </c>
      <c r="L48" s="105">
        <f t="shared" si="3"/>
        <v>5834.44</v>
      </c>
      <c r="M48" s="105">
        <f t="shared" si="4"/>
        <v>5834.44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2500.48</v>
      </c>
      <c r="T48" s="111">
        <f t="shared" si="7"/>
        <v>2500.48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54</v>
      </c>
      <c r="G50" s="123">
        <f t="shared" si="10"/>
        <v>37909.980000000003</v>
      </c>
      <c r="H50" s="124">
        <f t="shared" si="10"/>
        <v>27471.009999999991</v>
      </c>
      <c r="I50" s="125">
        <f t="shared" si="10"/>
        <v>89203.439999999988</v>
      </c>
      <c r="J50" s="126"/>
      <c r="K50" s="127">
        <f t="shared" ref="K50:M50" si="11">SUM(K19:K49)</f>
        <v>54</v>
      </c>
      <c r="L50" s="124">
        <f t="shared" si="11"/>
        <v>21994.01</v>
      </c>
      <c r="M50" s="125">
        <f t="shared" si="11"/>
        <v>49490.36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15915.97</v>
      </c>
      <c r="T50" s="125">
        <f t="shared" si="12"/>
        <v>39713.08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51" priority="1" stopIfTrue="1">
      <formula>$U$9&gt;100%</formula>
    </cfRule>
    <cfRule type="expression" dxfId="150" priority="2">
      <formula>$U$9&lt;50%</formula>
    </cfRule>
  </conditionalFormatting>
  <conditionalFormatting sqref="V9:V11">
    <cfRule type="expression" dxfId="149" priority="3">
      <formula>$V$9&lt;50%</formula>
    </cfRule>
    <cfRule type="expression" dxfId="148" priority="4">
      <formula>$V$9&gt;50%</formula>
    </cfRule>
  </conditionalFormatting>
  <dataValidations count="4">
    <dataValidation type="list" allowBlank="1" showErrorMessage="1" sqref="E19:E49" xr:uid="{00000000-0002-0000-2300-000000000000}">
      <formula1>$Z$19:$Z$30</formula1>
    </dataValidation>
    <dataValidation type="list" allowBlank="1" showErrorMessage="1" sqref="I14" xr:uid="{00000000-0002-0000-2300-000001000000}">
      <formula1>$Y$14:$Y$15</formula1>
    </dataValidation>
    <dataValidation type="list" allowBlank="1" showErrorMessage="1" sqref="J14" xr:uid="{00000000-0002-0000-2300-000002000000}">
      <formula1>$L$9</formula1>
    </dataValidation>
    <dataValidation type="list" allowBlank="1" showErrorMessage="1" sqref="Q15 G18 L18 Q18" xr:uid="{00000000-0002-0000-23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736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34031.68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2019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20370.199999999997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13661.480000000003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738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0.40143419308127026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739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13661.48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20370.199999999997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740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4450002</v>
      </c>
      <c r="C23" s="114" t="s">
        <v>174</v>
      </c>
      <c r="D23" s="88"/>
      <c r="E23" s="89">
        <v>1000</v>
      </c>
      <c r="F23" s="115">
        <v>1</v>
      </c>
      <c r="G23" s="96">
        <v>142.53</v>
      </c>
      <c r="H23" s="91">
        <f t="shared" si="0"/>
        <v>196.69</v>
      </c>
      <c r="I23" s="92">
        <f t="shared" si="1"/>
        <v>196.69</v>
      </c>
      <c r="J23" s="107"/>
      <c r="K23" s="90">
        <f t="shared" si="2"/>
        <v>1</v>
      </c>
      <c r="L23" s="91">
        <f t="shared" si="3"/>
        <v>98.35</v>
      </c>
      <c r="M23" s="91">
        <f t="shared" si="4"/>
        <v>98.35</v>
      </c>
      <c r="N23" s="116"/>
      <c r="O23" s="95"/>
      <c r="P23" s="117"/>
      <c r="Q23" s="96"/>
      <c r="R23" s="96">
        <f t="shared" si="5"/>
        <v>0</v>
      </c>
      <c r="S23" s="96">
        <f t="shared" si="6"/>
        <v>98.34</v>
      </c>
      <c r="T23" s="96">
        <f t="shared" si="7"/>
        <v>98.34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744</v>
      </c>
      <c r="C24" s="101" t="s">
        <v>128</v>
      </c>
      <c r="D24" s="88"/>
      <c r="E24" s="102">
        <v>1000</v>
      </c>
      <c r="F24" s="103">
        <v>1</v>
      </c>
      <c r="G24" s="104">
        <v>56.55</v>
      </c>
      <c r="H24" s="105">
        <f t="shared" si="0"/>
        <v>78.040000000000006</v>
      </c>
      <c r="I24" s="106">
        <f t="shared" si="1"/>
        <v>78.040000000000006</v>
      </c>
      <c r="J24" s="107"/>
      <c r="K24" s="108">
        <f t="shared" si="2"/>
        <v>1</v>
      </c>
      <c r="L24" s="105">
        <f t="shared" si="3"/>
        <v>46.82</v>
      </c>
      <c r="M24" s="105">
        <f t="shared" si="4"/>
        <v>46.82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31.22</v>
      </c>
      <c r="T24" s="111">
        <f t="shared" si="7"/>
        <v>31.22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745</v>
      </c>
      <c r="C25" s="114" t="s">
        <v>131</v>
      </c>
      <c r="D25" s="88"/>
      <c r="E25" s="89">
        <v>1000</v>
      </c>
      <c r="F25" s="115">
        <v>1</v>
      </c>
      <c r="G25" s="96">
        <v>30.98</v>
      </c>
      <c r="H25" s="91">
        <f t="shared" si="0"/>
        <v>42.75</v>
      </c>
      <c r="I25" s="92">
        <f t="shared" si="1"/>
        <v>42.75</v>
      </c>
      <c r="J25" s="107"/>
      <c r="K25" s="90">
        <f t="shared" si="2"/>
        <v>1</v>
      </c>
      <c r="L25" s="91">
        <f t="shared" si="3"/>
        <v>25.65</v>
      </c>
      <c r="M25" s="91">
        <f t="shared" si="4"/>
        <v>25.65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17.100000000000001</v>
      </c>
      <c r="T25" s="96">
        <f t="shared" si="7"/>
        <v>17.100000000000001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>
        <v>8982999420</v>
      </c>
      <c r="C28" s="101" t="s">
        <v>748</v>
      </c>
      <c r="D28" s="88"/>
      <c r="E28" s="102">
        <v>1000</v>
      </c>
      <c r="F28" s="103">
        <v>1</v>
      </c>
      <c r="G28" s="104">
        <v>44.15</v>
      </c>
      <c r="H28" s="105">
        <f t="shared" si="0"/>
        <v>60.93</v>
      </c>
      <c r="I28" s="106">
        <f t="shared" si="1"/>
        <v>60.93</v>
      </c>
      <c r="J28" s="107"/>
      <c r="K28" s="108">
        <f t="shared" si="2"/>
        <v>1</v>
      </c>
      <c r="L28" s="105">
        <f t="shared" si="3"/>
        <v>36.56</v>
      </c>
      <c r="M28" s="105">
        <f t="shared" si="4"/>
        <v>36.56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24.37</v>
      </c>
      <c r="T28" s="111">
        <f t="shared" si="7"/>
        <v>24.37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749</v>
      </c>
      <c r="C29" s="114" t="s">
        <v>323</v>
      </c>
      <c r="D29" s="88"/>
      <c r="E29" s="89" t="s">
        <v>138</v>
      </c>
      <c r="F29" s="115">
        <v>1</v>
      </c>
      <c r="G29" s="96">
        <v>86.93</v>
      </c>
      <c r="H29" s="91">
        <f t="shared" si="0"/>
        <v>119.96</v>
      </c>
      <c r="I29" s="92">
        <f t="shared" si="1"/>
        <v>119.96</v>
      </c>
      <c r="J29" s="107"/>
      <c r="K29" s="90">
        <f t="shared" si="2"/>
        <v>1</v>
      </c>
      <c r="L29" s="91">
        <f t="shared" si="3"/>
        <v>71.98</v>
      </c>
      <c r="M29" s="91">
        <f t="shared" si="4"/>
        <v>71.98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47.98</v>
      </c>
      <c r="T29" s="96">
        <f t="shared" si="7"/>
        <v>47.98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8983507160</v>
      </c>
      <c r="C30" s="101" t="s">
        <v>750</v>
      </c>
      <c r="D30" s="88"/>
      <c r="E30" s="102" t="s">
        <v>138</v>
      </c>
      <c r="F30" s="103">
        <v>1</v>
      </c>
      <c r="G30" s="104">
        <v>133.79</v>
      </c>
      <c r="H30" s="105">
        <f t="shared" si="0"/>
        <v>184.63</v>
      </c>
      <c r="I30" s="106">
        <f t="shared" si="1"/>
        <v>184.63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73.849999999999994</v>
      </c>
      <c r="T30" s="111">
        <f t="shared" si="7"/>
        <v>73.849999999999994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8983064631</v>
      </c>
      <c r="C31" s="114" t="s">
        <v>751</v>
      </c>
      <c r="D31" s="88"/>
      <c r="E31" s="89" t="s">
        <v>138</v>
      </c>
      <c r="F31" s="115">
        <v>1</v>
      </c>
      <c r="G31" s="96">
        <v>4575.38</v>
      </c>
      <c r="H31" s="91">
        <f t="shared" si="0"/>
        <v>6314.02</v>
      </c>
      <c r="I31" s="92">
        <f t="shared" si="1"/>
        <v>6314.02</v>
      </c>
      <c r="J31" s="107"/>
      <c r="K31" s="90">
        <f t="shared" si="2"/>
        <v>1</v>
      </c>
      <c r="L31" s="91">
        <f t="shared" si="3"/>
        <v>3788.41</v>
      </c>
      <c r="M31" s="91">
        <f t="shared" si="4"/>
        <v>3788.41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2525.61</v>
      </c>
      <c r="T31" s="96">
        <f t="shared" si="7"/>
        <v>2525.61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8983064621</v>
      </c>
      <c r="C32" s="101" t="s">
        <v>752</v>
      </c>
      <c r="D32" s="88"/>
      <c r="E32" s="102" t="s">
        <v>138</v>
      </c>
      <c r="F32" s="103">
        <v>1</v>
      </c>
      <c r="G32" s="104">
        <v>4182.41</v>
      </c>
      <c r="H32" s="105">
        <f t="shared" si="0"/>
        <v>5771.73</v>
      </c>
      <c r="I32" s="106">
        <f t="shared" si="1"/>
        <v>5771.73</v>
      </c>
      <c r="J32" s="107"/>
      <c r="K32" s="108">
        <f t="shared" si="2"/>
        <v>1</v>
      </c>
      <c r="L32" s="105">
        <f t="shared" si="3"/>
        <v>3463.04</v>
      </c>
      <c r="M32" s="105">
        <f t="shared" si="4"/>
        <v>3463.04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2308.69</v>
      </c>
      <c r="T32" s="111">
        <f t="shared" si="7"/>
        <v>2308.69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>
        <v>8982909120</v>
      </c>
      <c r="C33" s="114" t="s">
        <v>753</v>
      </c>
      <c r="D33" s="88"/>
      <c r="E33" s="89" t="s">
        <v>138</v>
      </c>
      <c r="F33" s="115">
        <v>1</v>
      </c>
      <c r="G33" s="96">
        <v>784.69</v>
      </c>
      <c r="H33" s="91">
        <f t="shared" si="0"/>
        <v>1082.8699999999999</v>
      </c>
      <c r="I33" s="92">
        <f t="shared" si="1"/>
        <v>1082.8699999999999</v>
      </c>
      <c r="J33" s="107"/>
      <c r="K33" s="90">
        <f t="shared" si="2"/>
        <v>1</v>
      </c>
      <c r="L33" s="91">
        <f t="shared" si="3"/>
        <v>649.72</v>
      </c>
      <c r="M33" s="91">
        <f t="shared" si="4"/>
        <v>649.72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433.15</v>
      </c>
      <c r="T33" s="96">
        <f t="shared" si="7"/>
        <v>433.15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754</v>
      </c>
      <c r="C34" s="101" t="s">
        <v>755</v>
      </c>
      <c r="D34" s="88"/>
      <c r="E34" s="102" t="s">
        <v>138</v>
      </c>
      <c r="F34" s="103">
        <v>1</v>
      </c>
      <c r="G34" s="104">
        <v>3677.29</v>
      </c>
      <c r="H34" s="105">
        <f t="shared" si="0"/>
        <v>5074.66</v>
      </c>
      <c r="I34" s="106">
        <f t="shared" si="1"/>
        <v>5074.66</v>
      </c>
      <c r="J34" s="107"/>
      <c r="K34" s="108">
        <f t="shared" si="2"/>
        <v>1</v>
      </c>
      <c r="L34" s="105">
        <f t="shared" si="3"/>
        <v>2537.33</v>
      </c>
      <c r="M34" s="105">
        <f t="shared" si="4"/>
        <v>2537.33</v>
      </c>
      <c r="N34" s="109"/>
      <c r="O34" s="95"/>
      <c r="P34" s="100"/>
      <c r="Q34" s="104"/>
      <c r="R34" s="110">
        <f t="shared" si="5"/>
        <v>0</v>
      </c>
      <c r="S34" s="111">
        <f t="shared" si="6"/>
        <v>2537.33</v>
      </c>
      <c r="T34" s="111">
        <f t="shared" si="7"/>
        <v>2537.33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756</v>
      </c>
      <c r="C35" s="114" t="s">
        <v>757</v>
      </c>
      <c r="D35" s="88"/>
      <c r="E35" s="89" t="s">
        <v>138</v>
      </c>
      <c r="F35" s="115">
        <v>2</v>
      </c>
      <c r="G35" s="96">
        <v>197.41</v>
      </c>
      <c r="H35" s="91">
        <f t="shared" si="0"/>
        <v>272.43</v>
      </c>
      <c r="I35" s="92">
        <f t="shared" si="1"/>
        <v>544.86</v>
      </c>
      <c r="J35" s="107"/>
      <c r="K35" s="90">
        <f t="shared" si="2"/>
        <v>2</v>
      </c>
      <c r="L35" s="91">
        <f t="shared" si="3"/>
        <v>136.22</v>
      </c>
      <c r="M35" s="91">
        <f t="shared" si="4"/>
        <v>272.44</v>
      </c>
      <c r="N35" s="116"/>
      <c r="O35" s="95"/>
      <c r="P35" s="117"/>
      <c r="Q35" s="96"/>
      <c r="R35" s="96">
        <f t="shared" si="5"/>
        <v>0</v>
      </c>
      <c r="S35" s="96">
        <f t="shared" si="6"/>
        <v>136.21</v>
      </c>
      <c r="T35" s="96">
        <f t="shared" si="7"/>
        <v>272.42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8983686610</v>
      </c>
      <c r="C36" s="101" t="s">
        <v>144</v>
      </c>
      <c r="D36" s="88"/>
      <c r="E36" s="102" t="s">
        <v>138</v>
      </c>
      <c r="F36" s="103">
        <v>1</v>
      </c>
      <c r="G36" s="104">
        <v>2999.52</v>
      </c>
      <c r="H36" s="105">
        <f t="shared" si="0"/>
        <v>4139.34</v>
      </c>
      <c r="I36" s="106">
        <f t="shared" si="1"/>
        <v>4139.34</v>
      </c>
      <c r="J36" s="107"/>
      <c r="K36" s="108">
        <f t="shared" si="2"/>
        <v>1</v>
      </c>
      <c r="L36" s="105">
        <f t="shared" si="3"/>
        <v>2069.67</v>
      </c>
      <c r="M36" s="105">
        <f t="shared" si="4"/>
        <v>2069.67</v>
      </c>
      <c r="N36" s="109"/>
      <c r="O36" s="95"/>
      <c r="P36" s="100"/>
      <c r="Q36" s="104"/>
      <c r="R36" s="110">
        <f t="shared" si="5"/>
        <v>0</v>
      </c>
      <c r="S36" s="111">
        <f t="shared" si="6"/>
        <v>2069.67</v>
      </c>
      <c r="T36" s="111">
        <f t="shared" si="7"/>
        <v>2069.67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>
        <v>8976879440</v>
      </c>
      <c r="C37" s="114" t="s">
        <v>758</v>
      </c>
      <c r="D37" s="88"/>
      <c r="E37" s="89" t="s">
        <v>138</v>
      </c>
      <c r="F37" s="115">
        <v>4</v>
      </c>
      <c r="G37" s="96">
        <v>1056.08</v>
      </c>
      <c r="H37" s="91">
        <f t="shared" si="0"/>
        <v>1457.39</v>
      </c>
      <c r="I37" s="92">
        <f t="shared" si="1"/>
        <v>5829.56</v>
      </c>
      <c r="J37" s="107"/>
      <c r="K37" s="90">
        <f t="shared" si="2"/>
        <v>4</v>
      </c>
      <c r="L37" s="91">
        <f t="shared" si="3"/>
        <v>1020.17</v>
      </c>
      <c r="M37" s="91">
        <f t="shared" si="4"/>
        <v>4080.68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437.22</v>
      </c>
      <c r="T37" s="96">
        <f t="shared" si="7"/>
        <v>1748.88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759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 t="s">
        <v>590</v>
      </c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>
        <v>3091707</v>
      </c>
      <c r="C40" s="101" t="s">
        <v>156</v>
      </c>
      <c r="D40" s="88"/>
      <c r="E40" s="102" t="s">
        <v>138</v>
      </c>
      <c r="F40" s="103">
        <v>1</v>
      </c>
      <c r="G40" s="104">
        <v>339.2</v>
      </c>
      <c r="H40" s="105">
        <f t="shared" si="0"/>
        <v>468.1</v>
      </c>
      <c r="I40" s="106">
        <f t="shared" si="1"/>
        <v>468.1</v>
      </c>
      <c r="J40" s="107"/>
      <c r="K40" s="108">
        <f t="shared" si="2"/>
        <v>1</v>
      </c>
      <c r="L40" s="105">
        <f t="shared" si="3"/>
        <v>327.67</v>
      </c>
      <c r="M40" s="105">
        <f t="shared" si="4"/>
        <v>327.67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140.43</v>
      </c>
      <c r="T40" s="111">
        <f t="shared" si="7"/>
        <v>140.43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>
        <v>3091708</v>
      </c>
      <c r="C41" s="114" t="s">
        <v>156</v>
      </c>
      <c r="D41" s="88"/>
      <c r="E41" s="89" t="s">
        <v>138</v>
      </c>
      <c r="F41" s="115">
        <v>2</v>
      </c>
      <c r="G41" s="96">
        <v>194.36</v>
      </c>
      <c r="H41" s="91">
        <f t="shared" si="0"/>
        <v>268.22000000000003</v>
      </c>
      <c r="I41" s="92">
        <f t="shared" si="1"/>
        <v>536.44000000000005</v>
      </c>
      <c r="J41" s="107"/>
      <c r="K41" s="90">
        <f t="shared" si="2"/>
        <v>2</v>
      </c>
      <c r="L41" s="91">
        <f t="shared" si="3"/>
        <v>187.75</v>
      </c>
      <c r="M41" s="91">
        <f t="shared" si="4"/>
        <v>375.5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80.47</v>
      </c>
      <c r="T41" s="96">
        <f t="shared" si="7"/>
        <v>160.94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760</v>
      </c>
      <c r="C42" s="101" t="s">
        <v>761</v>
      </c>
      <c r="D42" s="88"/>
      <c r="E42" s="102" t="s">
        <v>138</v>
      </c>
      <c r="F42" s="103">
        <v>1</v>
      </c>
      <c r="G42" s="104">
        <v>306.69</v>
      </c>
      <c r="H42" s="105">
        <f t="shared" si="0"/>
        <v>423.23</v>
      </c>
      <c r="I42" s="106">
        <f t="shared" si="1"/>
        <v>423.23</v>
      </c>
      <c r="J42" s="107"/>
      <c r="K42" s="108">
        <f t="shared" si="2"/>
        <v>1</v>
      </c>
      <c r="L42" s="105">
        <f t="shared" si="3"/>
        <v>296.26</v>
      </c>
      <c r="M42" s="105">
        <f t="shared" si="4"/>
        <v>296.26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126.97</v>
      </c>
      <c r="T42" s="111">
        <f t="shared" si="7"/>
        <v>126.97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762</v>
      </c>
      <c r="C43" s="114" t="s">
        <v>763</v>
      </c>
      <c r="D43" s="88"/>
      <c r="E43" s="89" t="s">
        <v>138</v>
      </c>
      <c r="F43" s="115">
        <v>1</v>
      </c>
      <c r="G43" s="96">
        <v>306.69</v>
      </c>
      <c r="H43" s="91">
        <f t="shared" si="0"/>
        <v>423.23</v>
      </c>
      <c r="I43" s="92">
        <f t="shared" si="1"/>
        <v>423.23</v>
      </c>
      <c r="J43" s="107"/>
      <c r="K43" s="90">
        <f t="shared" si="2"/>
        <v>1</v>
      </c>
      <c r="L43" s="91">
        <f t="shared" si="3"/>
        <v>296.26</v>
      </c>
      <c r="M43" s="91">
        <f t="shared" si="4"/>
        <v>296.26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126.97</v>
      </c>
      <c r="T43" s="96">
        <f t="shared" si="7"/>
        <v>126.97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764</v>
      </c>
      <c r="C44" s="101" t="s">
        <v>765</v>
      </c>
      <c r="D44" s="88"/>
      <c r="E44" s="102" t="s">
        <v>138</v>
      </c>
      <c r="F44" s="103">
        <v>2</v>
      </c>
      <c r="G44" s="104">
        <v>353.3</v>
      </c>
      <c r="H44" s="105">
        <f t="shared" si="0"/>
        <v>487.55</v>
      </c>
      <c r="I44" s="106">
        <f t="shared" si="1"/>
        <v>975.1</v>
      </c>
      <c r="J44" s="107"/>
      <c r="K44" s="108">
        <f t="shared" si="2"/>
        <v>2</v>
      </c>
      <c r="L44" s="105">
        <f t="shared" si="3"/>
        <v>341.29</v>
      </c>
      <c r="M44" s="105">
        <f t="shared" si="4"/>
        <v>682.58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146.26</v>
      </c>
      <c r="T44" s="111">
        <f t="shared" si="7"/>
        <v>292.52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766</v>
      </c>
      <c r="C45" s="114" t="s">
        <v>267</v>
      </c>
      <c r="D45" s="88"/>
      <c r="E45" s="89" t="s">
        <v>138</v>
      </c>
      <c r="F45" s="115">
        <v>5</v>
      </c>
      <c r="G45" s="96">
        <v>122.56</v>
      </c>
      <c r="H45" s="91">
        <f t="shared" si="0"/>
        <v>169.13</v>
      </c>
      <c r="I45" s="92">
        <f t="shared" si="1"/>
        <v>845.65</v>
      </c>
      <c r="J45" s="107"/>
      <c r="K45" s="90">
        <f t="shared" si="2"/>
        <v>5</v>
      </c>
      <c r="L45" s="91">
        <f t="shared" si="3"/>
        <v>118.39</v>
      </c>
      <c r="M45" s="91">
        <f t="shared" si="4"/>
        <v>591.95000000000005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50.74</v>
      </c>
      <c r="T45" s="96">
        <f t="shared" si="7"/>
        <v>253.7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767</v>
      </c>
      <c r="C46" s="101" t="s">
        <v>233</v>
      </c>
      <c r="D46" s="88"/>
      <c r="E46" s="102" t="s">
        <v>138</v>
      </c>
      <c r="F46" s="103">
        <v>5</v>
      </c>
      <c r="G46" s="104">
        <v>52.86</v>
      </c>
      <c r="H46" s="105">
        <f t="shared" si="0"/>
        <v>72.95</v>
      </c>
      <c r="I46" s="106">
        <f t="shared" si="1"/>
        <v>364.75</v>
      </c>
      <c r="J46" s="107"/>
      <c r="K46" s="108">
        <f t="shared" si="2"/>
        <v>5</v>
      </c>
      <c r="L46" s="105">
        <f t="shared" si="3"/>
        <v>51.07</v>
      </c>
      <c r="M46" s="105">
        <f t="shared" si="4"/>
        <v>255.35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21.88</v>
      </c>
      <c r="T46" s="111">
        <f t="shared" si="7"/>
        <v>109.4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40</v>
      </c>
      <c r="G50" s="123">
        <f t="shared" si="10"/>
        <v>20045.640000000003</v>
      </c>
      <c r="H50" s="124">
        <f t="shared" si="10"/>
        <v>27662.989999999998</v>
      </c>
      <c r="I50" s="125">
        <f t="shared" si="10"/>
        <v>34031.68</v>
      </c>
      <c r="J50" s="126"/>
      <c r="K50" s="127">
        <f t="shared" ref="K50:M50" si="11">SUM(K19:K49)</f>
        <v>40</v>
      </c>
      <c r="L50" s="124">
        <f t="shared" si="11"/>
        <v>15966.59</v>
      </c>
      <c r="M50" s="125">
        <f t="shared" si="11"/>
        <v>20370.199999999997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11696.399999999996</v>
      </c>
      <c r="T50" s="125">
        <f t="shared" si="12"/>
        <v>13661.48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47" priority="1" stopIfTrue="1">
      <formula>$U$9&gt;100%</formula>
    </cfRule>
    <cfRule type="expression" dxfId="146" priority="2">
      <formula>$U$9&lt;50%</formula>
    </cfRule>
  </conditionalFormatting>
  <conditionalFormatting sqref="V9:V11">
    <cfRule type="expression" dxfId="145" priority="3">
      <formula>$V$9&lt;50%</formula>
    </cfRule>
    <cfRule type="expression" dxfId="144" priority="4">
      <formula>$V$9&gt;50%</formula>
    </cfRule>
  </conditionalFormatting>
  <dataValidations count="4">
    <dataValidation type="list" allowBlank="1" showErrorMessage="1" sqref="E19:E49" xr:uid="{00000000-0002-0000-2400-000000000000}">
      <formula1>$Z$19:$Z$30</formula1>
    </dataValidation>
    <dataValidation type="list" allowBlank="1" showErrorMessage="1" sqref="I14" xr:uid="{00000000-0002-0000-2400-000001000000}">
      <formula1>$Y$14:$Y$15</formula1>
    </dataValidation>
    <dataValidation type="list" allowBlank="1" showErrorMessage="1" sqref="J14" xr:uid="{00000000-0002-0000-2400-000002000000}">
      <formula1>$L$9</formula1>
    </dataValidation>
    <dataValidation type="list" allowBlank="1" showErrorMessage="1" sqref="Q15 G18 L18 Q18" xr:uid="{00000000-0002-0000-2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768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34031.68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20370.199999999997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13661.480000000003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738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0.40143419308127026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769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13661.48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20370.199999999997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740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4450002</v>
      </c>
      <c r="C23" s="114" t="s">
        <v>174</v>
      </c>
      <c r="D23" s="88"/>
      <c r="E23" s="89">
        <v>1000</v>
      </c>
      <c r="F23" s="115">
        <v>1</v>
      </c>
      <c r="G23" s="96">
        <v>142.53</v>
      </c>
      <c r="H23" s="91">
        <f t="shared" si="0"/>
        <v>196.69</v>
      </c>
      <c r="I23" s="92">
        <f t="shared" si="1"/>
        <v>196.69</v>
      </c>
      <c r="J23" s="107"/>
      <c r="K23" s="90">
        <f t="shared" si="2"/>
        <v>1</v>
      </c>
      <c r="L23" s="91">
        <f t="shared" si="3"/>
        <v>98.35</v>
      </c>
      <c r="M23" s="91">
        <f t="shared" si="4"/>
        <v>98.35</v>
      </c>
      <c r="N23" s="116"/>
      <c r="O23" s="95"/>
      <c r="P23" s="117"/>
      <c r="Q23" s="96"/>
      <c r="R23" s="96">
        <f t="shared" si="5"/>
        <v>0</v>
      </c>
      <c r="S23" s="96">
        <f t="shared" si="6"/>
        <v>98.34</v>
      </c>
      <c r="T23" s="96">
        <f t="shared" si="7"/>
        <v>98.34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744</v>
      </c>
      <c r="C24" s="101" t="s">
        <v>128</v>
      </c>
      <c r="D24" s="88"/>
      <c r="E24" s="102">
        <v>1000</v>
      </c>
      <c r="F24" s="103">
        <v>1</v>
      </c>
      <c r="G24" s="104">
        <v>56.55</v>
      </c>
      <c r="H24" s="105">
        <f t="shared" si="0"/>
        <v>78.040000000000006</v>
      </c>
      <c r="I24" s="106">
        <f t="shared" si="1"/>
        <v>78.040000000000006</v>
      </c>
      <c r="J24" s="107"/>
      <c r="K24" s="108">
        <f t="shared" si="2"/>
        <v>1</v>
      </c>
      <c r="L24" s="105">
        <f t="shared" si="3"/>
        <v>46.82</v>
      </c>
      <c r="M24" s="105">
        <f t="shared" si="4"/>
        <v>46.82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31.22</v>
      </c>
      <c r="T24" s="111">
        <f t="shared" si="7"/>
        <v>31.22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745</v>
      </c>
      <c r="C25" s="114" t="s">
        <v>131</v>
      </c>
      <c r="D25" s="88"/>
      <c r="E25" s="89">
        <v>1000</v>
      </c>
      <c r="F25" s="115">
        <v>1</v>
      </c>
      <c r="G25" s="96">
        <v>30.98</v>
      </c>
      <c r="H25" s="91">
        <f t="shared" si="0"/>
        <v>42.75</v>
      </c>
      <c r="I25" s="92">
        <f t="shared" si="1"/>
        <v>42.75</v>
      </c>
      <c r="J25" s="107"/>
      <c r="K25" s="90">
        <f t="shared" si="2"/>
        <v>1</v>
      </c>
      <c r="L25" s="91">
        <f t="shared" si="3"/>
        <v>25.65</v>
      </c>
      <c r="M25" s="91">
        <f t="shared" si="4"/>
        <v>25.65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17.100000000000001</v>
      </c>
      <c r="T25" s="96">
        <f t="shared" si="7"/>
        <v>17.100000000000001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>
        <v>8982999420</v>
      </c>
      <c r="C28" s="101" t="s">
        <v>748</v>
      </c>
      <c r="D28" s="88"/>
      <c r="E28" s="102">
        <v>1000</v>
      </c>
      <c r="F28" s="103">
        <v>1</v>
      </c>
      <c r="G28" s="104">
        <v>44.15</v>
      </c>
      <c r="H28" s="105">
        <f t="shared" si="0"/>
        <v>60.93</v>
      </c>
      <c r="I28" s="106">
        <f t="shared" si="1"/>
        <v>60.93</v>
      </c>
      <c r="J28" s="107"/>
      <c r="K28" s="108">
        <f t="shared" si="2"/>
        <v>1</v>
      </c>
      <c r="L28" s="105">
        <f t="shared" si="3"/>
        <v>36.56</v>
      </c>
      <c r="M28" s="105">
        <f t="shared" si="4"/>
        <v>36.56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24.37</v>
      </c>
      <c r="T28" s="111">
        <f t="shared" si="7"/>
        <v>24.37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749</v>
      </c>
      <c r="C29" s="114" t="s">
        <v>323</v>
      </c>
      <c r="D29" s="88"/>
      <c r="E29" s="89" t="s">
        <v>138</v>
      </c>
      <c r="F29" s="115">
        <v>1</v>
      </c>
      <c r="G29" s="96">
        <v>86.93</v>
      </c>
      <c r="H29" s="91">
        <f t="shared" si="0"/>
        <v>119.96</v>
      </c>
      <c r="I29" s="92">
        <f t="shared" si="1"/>
        <v>119.96</v>
      </c>
      <c r="J29" s="107"/>
      <c r="K29" s="90">
        <f t="shared" si="2"/>
        <v>1</v>
      </c>
      <c r="L29" s="91">
        <f t="shared" si="3"/>
        <v>71.98</v>
      </c>
      <c r="M29" s="91">
        <f t="shared" si="4"/>
        <v>71.98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47.98</v>
      </c>
      <c r="T29" s="96">
        <f t="shared" si="7"/>
        <v>47.98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8983507160</v>
      </c>
      <c r="C30" s="101" t="s">
        <v>750</v>
      </c>
      <c r="D30" s="88"/>
      <c r="E30" s="102" t="s">
        <v>138</v>
      </c>
      <c r="F30" s="103">
        <v>1</v>
      </c>
      <c r="G30" s="104">
        <v>133.79</v>
      </c>
      <c r="H30" s="105">
        <f t="shared" si="0"/>
        <v>184.63</v>
      </c>
      <c r="I30" s="106">
        <f t="shared" si="1"/>
        <v>184.63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73.849999999999994</v>
      </c>
      <c r="T30" s="111">
        <f t="shared" si="7"/>
        <v>73.849999999999994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8983064631</v>
      </c>
      <c r="C31" s="114" t="s">
        <v>751</v>
      </c>
      <c r="D31" s="88"/>
      <c r="E31" s="89" t="s">
        <v>138</v>
      </c>
      <c r="F31" s="115">
        <v>1</v>
      </c>
      <c r="G31" s="96">
        <v>4575.38</v>
      </c>
      <c r="H31" s="91">
        <f t="shared" si="0"/>
        <v>6314.02</v>
      </c>
      <c r="I31" s="92">
        <f t="shared" si="1"/>
        <v>6314.02</v>
      </c>
      <c r="J31" s="107"/>
      <c r="K31" s="90">
        <f t="shared" si="2"/>
        <v>1</v>
      </c>
      <c r="L31" s="91">
        <f t="shared" si="3"/>
        <v>3788.41</v>
      </c>
      <c r="M31" s="91">
        <f t="shared" si="4"/>
        <v>3788.41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2525.61</v>
      </c>
      <c r="T31" s="96">
        <f t="shared" si="7"/>
        <v>2525.61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8983064621</v>
      </c>
      <c r="C32" s="101" t="s">
        <v>752</v>
      </c>
      <c r="D32" s="88"/>
      <c r="E32" s="102" t="s">
        <v>138</v>
      </c>
      <c r="F32" s="103">
        <v>1</v>
      </c>
      <c r="G32" s="104">
        <v>4182.41</v>
      </c>
      <c r="H32" s="105">
        <f t="shared" si="0"/>
        <v>5771.73</v>
      </c>
      <c r="I32" s="106">
        <f t="shared" si="1"/>
        <v>5771.73</v>
      </c>
      <c r="J32" s="107"/>
      <c r="K32" s="108">
        <f t="shared" si="2"/>
        <v>1</v>
      </c>
      <c r="L32" s="105">
        <f t="shared" si="3"/>
        <v>3463.04</v>
      </c>
      <c r="M32" s="105">
        <f t="shared" si="4"/>
        <v>3463.04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2308.69</v>
      </c>
      <c r="T32" s="111">
        <f t="shared" si="7"/>
        <v>2308.69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>
        <v>8982909120</v>
      </c>
      <c r="C33" s="114" t="s">
        <v>753</v>
      </c>
      <c r="D33" s="88"/>
      <c r="E33" s="89" t="s">
        <v>138</v>
      </c>
      <c r="F33" s="115">
        <v>1</v>
      </c>
      <c r="G33" s="96">
        <v>784.69</v>
      </c>
      <c r="H33" s="91">
        <f t="shared" si="0"/>
        <v>1082.8699999999999</v>
      </c>
      <c r="I33" s="92">
        <f t="shared" si="1"/>
        <v>1082.8699999999999</v>
      </c>
      <c r="J33" s="107"/>
      <c r="K33" s="90">
        <f t="shared" si="2"/>
        <v>1</v>
      </c>
      <c r="L33" s="91">
        <f t="shared" si="3"/>
        <v>649.72</v>
      </c>
      <c r="M33" s="91">
        <f t="shared" si="4"/>
        <v>649.72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433.15</v>
      </c>
      <c r="T33" s="96">
        <f t="shared" si="7"/>
        <v>433.15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754</v>
      </c>
      <c r="C34" s="101" t="s">
        <v>755</v>
      </c>
      <c r="D34" s="88"/>
      <c r="E34" s="102" t="s">
        <v>138</v>
      </c>
      <c r="F34" s="103">
        <v>1</v>
      </c>
      <c r="G34" s="104">
        <v>3677.29</v>
      </c>
      <c r="H34" s="105">
        <f t="shared" si="0"/>
        <v>5074.66</v>
      </c>
      <c r="I34" s="106">
        <f t="shared" si="1"/>
        <v>5074.66</v>
      </c>
      <c r="J34" s="107"/>
      <c r="K34" s="108">
        <f t="shared" si="2"/>
        <v>1</v>
      </c>
      <c r="L34" s="105">
        <f t="shared" si="3"/>
        <v>2537.33</v>
      </c>
      <c r="M34" s="105">
        <f t="shared" si="4"/>
        <v>2537.33</v>
      </c>
      <c r="N34" s="109"/>
      <c r="O34" s="95"/>
      <c r="P34" s="100"/>
      <c r="Q34" s="104"/>
      <c r="R34" s="110">
        <f t="shared" si="5"/>
        <v>0</v>
      </c>
      <c r="S34" s="111">
        <f t="shared" si="6"/>
        <v>2537.33</v>
      </c>
      <c r="T34" s="111">
        <f t="shared" si="7"/>
        <v>2537.33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756</v>
      </c>
      <c r="C35" s="114" t="s">
        <v>757</v>
      </c>
      <c r="D35" s="88"/>
      <c r="E35" s="89" t="s">
        <v>138</v>
      </c>
      <c r="F35" s="115">
        <v>2</v>
      </c>
      <c r="G35" s="96">
        <v>197.41</v>
      </c>
      <c r="H35" s="91">
        <f t="shared" si="0"/>
        <v>272.43</v>
      </c>
      <c r="I35" s="92">
        <f t="shared" si="1"/>
        <v>544.86</v>
      </c>
      <c r="J35" s="107"/>
      <c r="K35" s="90">
        <f t="shared" si="2"/>
        <v>2</v>
      </c>
      <c r="L35" s="91">
        <f t="shared" si="3"/>
        <v>136.22</v>
      </c>
      <c r="M35" s="91">
        <f t="shared" si="4"/>
        <v>272.44</v>
      </c>
      <c r="N35" s="116"/>
      <c r="O35" s="95"/>
      <c r="P35" s="117"/>
      <c r="Q35" s="96"/>
      <c r="R35" s="96">
        <f t="shared" si="5"/>
        <v>0</v>
      </c>
      <c r="S35" s="96">
        <f t="shared" si="6"/>
        <v>136.21</v>
      </c>
      <c r="T35" s="96">
        <f t="shared" si="7"/>
        <v>272.42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8983686610</v>
      </c>
      <c r="C36" s="101" t="s">
        <v>144</v>
      </c>
      <c r="D36" s="88"/>
      <c r="E36" s="102" t="s">
        <v>138</v>
      </c>
      <c r="F36" s="103">
        <v>1</v>
      </c>
      <c r="G36" s="104">
        <v>2999.52</v>
      </c>
      <c r="H36" s="105">
        <f t="shared" si="0"/>
        <v>4139.34</v>
      </c>
      <c r="I36" s="106">
        <f t="shared" si="1"/>
        <v>4139.34</v>
      </c>
      <c r="J36" s="107"/>
      <c r="K36" s="108">
        <f t="shared" si="2"/>
        <v>1</v>
      </c>
      <c r="L36" s="105">
        <f t="shared" si="3"/>
        <v>2069.67</v>
      </c>
      <c r="M36" s="105">
        <f t="shared" si="4"/>
        <v>2069.67</v>
      </c>
      <c r="N36" s="109"/>
      <c r="O36" s="95"/>
      <c r="P36" s="100"/>
      <c r="Q36" s="104"/>
      <c r="R36" s="110">
        <f t="shared" si="5"/>
        <v>0</v>
      </c>
      <c r="S36" s="111">
        <f t="shared" si="6"/>
        <v>2069.67</v>
      </c>
      <c r="T36" s="111">
        <f t="shared" si="7"/>
        <v>2069.67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>
        <v>8976879440</v>
      </c>
      <c r="C37" s="114" t="s">
        <v>758</v>
      </c>
      <c r="D37" s="88"/>
      <c r="E37" s="89" t="s">
        <v>138</v>
      </c>
      <c r="F37" s="115">
        <v>4</v>
      </c>
      <c r="G37" s="96">
        <v>1056.08</v>
      </c>
      <c r="H37" s="91">
        <f t="shared" si="0"/>
        <v>1457.39</v>
      </c>
      <c r="I37" s="92">
        <f t="shared" si="1"/>
        <v>5829.56</v>
      </c>
      <c r="J37" s="107"/>
      <c r="K37" s="90">
        <f t="shared" si="2"/>
        <v>4</v>
      </c>
      <c r="L37" s="91">
        <f t="shared" si="3"/>
        <v>1020.17</v>
      </c>
      <c r="M37" s="91">
        <f t="shared" si="4"/>
        <v>4080.68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437.22</v>
      </c>
      <c r="T37" s="96">
        <f t="shared" si="7"/>
        <v>1748.88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759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 t="s">
        <v>590</v>
      </c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>
        <v>3091707</v>
      </c>
      <c r="C40" s="101" t="s">
        <v>156</v>
      </c>
      <c r="D40" s="88"/>
      <c r="E40" s="102" t="s">
        <v>138</v>
      </c>
      <c r="F40" s="103">
        <v>1</v>
      </c>
      <c r="G40" s="104">
        <v>339.2</v>
      </c>
      <c r="H40" s="105">
        <f t="shared" si="0"/>
        <v>468.1</v>
      </c>
      <c r="I40" s="106">
        <f t="shared" si="1"/>
        <v>468.1</v>
      </c>
      <c r="J40" s="107"/>
      <c r="K40" s="108">
        <f t="shared" si="2"/>
        <v>1</v>
      </c>
      <c r="L40" s="105">
        <f t="shared" si="3"/>
        <v>327.67</v>
      </c>
      <c r="M40" s="105">
        <f t="shared" si="4"/>
        <v>327.67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140.43</v>
      </c>
      <c r="T40" s="111">
        <f t="shared" si="7"/>
        <v>140.43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>
        <v>3091708</v>
      </c>
      <c r="C41" s="114" t="s">
        <v>156</v>
      </c>
      <c r="D41" s="88"/>
      <c r="E41" s="89" t="s">
        <v>138</v>
      </c>
      <c r="F41" s="115">
        <v>2</v>
      </c>
      <c r="G41" s="96">
        <v>194.36</v>
      </c>
      <c r="H41" s="91">
        <f t="shared" si="0"/>
        <v>268.22000000000003</v>
      </c>
      <c r="I41" s="92">
        <f t="shared" si="1"/>
        <v>536.44000000000005</v>
      </c>
      <c r="J41" s="107"/>
      <c r="K41" s="90">
        <f t="shared" si="2"/>
        <v>2</v>
      </c>
      <c r="L41" s="91">
        <f t="shared" si="3"/>
        <v>187.75</v>
      </c>
      <c r="M41" s="91">
        <f t="shared" si="4"/>
        <v>375.5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80.47</v>
      </c>
      <c r="T41" s="96">
        <f t="shared" si="7"/>
        <v>160.94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760</v>
      </c>
      <c r="C42" s="101" t="s">
        <v>761</v>
      </c>
      <c r="D42" s="88"/>
      <c r="E42" s="102" t="s">
        <v>138</v>
      </c>
      <c r="F42" s="103">
        <v>1</v>
      </c>
      <c r="G42" s="104">
        <v>306.69</v>
      </c>
      <c r="H42" s="105">
        <f t="shared" si="0"/>
        <v>423.23</v>
      </c>
      <c r="I42" s="106">
        <f t="shared" si="1"/>
        <v>423.23</v>
      </c>
      <c r="J42" s="107"/>
      <c r="K42" s="108">
        <f t="shared" si="2"/>
        <v>1</v>
      </c>
      <c r="L42" s="105">
        <f t="shared" si="3"/>
        <v>296.26</v>
      </c>
      <c r="M42" s="105">
        <f t="shared" si="4"/>
        <v>296.26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126.97</v>
      </c>
      <c r="T42" s="111">
        <f t="shared" si="7"/>
        <v>126.97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762</v>
      </c>
      <c r="C43" s="114" t="s">
        <v>763</v>
      </c>
      <c r="D43" s="88"/>
      <c r="E43" s="89" t="s">
        <v>138</v>
      </c>
      <c r="F43" s="115">
        <v>1</v>
      </c>
      <c r="G43" s="96">
        <v>306.69</v>
      </c>
      <c r="H43" s="91">
        <f t="shared" si="0"/>
        <v>423.23</v>
      </c>
      <c r="I43" s="92">
        <f t="shared" si="1"/>
        <v>423.23</v>
      </c>
      <c r="J43" s="107"/>
      <c r="K43" s="90">
        <f t="shared" si="2"/>
        <v>1</v>
      </c>
      <c r="L43" s="91">
        <f t="shared" si="3"/>
        <v>296.26</v>
      </c>
      <c r="M43" s="91">
        <f t="shared" si="4"/>
        <v>296.26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126.97</v>
      </c>
      <c r="T43" s="96">
        <f t="shared" si="7"/>
        <v>126.97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764</v>
      </c>
      <c r="C44" s="101" t="s">
        <v>765</v>
      </c>
      <c r="D44" s="88"/>
      <c r="E44" s="102" t="s">
        <v>138</v>
      </c>
      <c r="F44" s="103">
        <v>2</v>
      </c>
      <c r="G44" s="104">
        <v>353.3</v>
      </c>
      <c r="H44" s="105">
        <f t="shared" si="0"/>
        <v>487.55</v>
      </c>
      <c r="I44" s="106">
        <f t="shared" si="1"/>
        <v>975.1</v>
      </c>
      <c r="J44" s="107"/>
      <c r="K44" s="108">
        <f t="shared" si="2"/>
        <v>2</v>
      </c>
      <c r="L44" s="105">
        <f t="shared" si="3"/>
        <v>341.29</v>
      </c>
      <c r="M44" s="105">
        <f t="shared" si="4"/>
        <v>682.58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146.26</v>
      </c>
      <c r="T44" s="111">
        <f t="shared" si="7"/>
        <v>292.52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766</v>
      </c>
      <c r="C45" s="114" t="s">
        <v>267</v>
      </c>
      <c r="D45" s="88"/>
      <c r="E45" s="89" t="s">
        <v>138</v>
      </c>
      <c r="F45" s="115">
        <v>5</v>
      </c>
      <c r="G45" s="96">
        <v>122.56</v>
      </c>
      <c r="H45" s="91">
        <f t="shared" si="0"/>
        <v>169.13</v>
      </c>
      <c r="I45" s="92">
        <f t="shared" si="1"/>
        <v>845.65</v>
      </c>
      <c r="J45" s="107"/>
      <c r="K45" s="90">
        <f t="shared" si="2"/>
        <v>5</v>
      </c>
      <c r="L45" s="91">
        <f t="shared" si="3"/>
        <v>118.39</v>
      </c>
      <c r="M45" s="91">
        <f t="shared" si="4"/>
        <v>591.95000000000005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50.74</v>
      </c>
      <c r="T45" s="96">
        <f t="shared" si="7"/>
        <v>253.7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767</v>
      </c>
      <c r="C46" s="101" t="s">
        <v>233</v>
      </c>
      <c r="D46" s="88"/>
      <c r="E46" s="102" t="s">
        <v>138</v>
      </c>
      <c r="F46" s="103">
        <v>5</v>
      </c>
      <c r="G46" s="104">
        <v>52.86</v>
      </c>
      <c r="H46" s="105">
        <f t="shared" si="0"/>
        <v>72.95</v>
      </c>
      <c r="I46" s="106">
        <f t="shared" si="1"/>
        <v>364.75</v>
      </c>
      <c r="J46" s="107"/>
      <c r="K46" s="108">
        <f t="shared" si="2"/>
        <v>5</v>
      </c>
      <c r="L46" s="105">
        <f t="shared" si="3"/>
        <v>51.07</v>
      </c>
      <c r="M46" s="105">
        <f t="shared" si="4"/>
        <v>255.35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21.88</v>
      </c>
      <c r="T46" s="111">
        <f t="shared" si="7"/>
        <v>109.4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40</v>
      </c>
      <c r="G50" s="123">
        <f t="shared" si="10"/>
        <v>20045.640000000003</v>
      </c>
      <c r="H50" s="124">
        <f t="shared" si="10"/>
        <v>27662.989999999998</v>
      </c>
      <c r="I50" s="125">
        <f t="shared" si="10"/>
        <v>34031.68</v>
      </c>
      <c r="J50" s="126"/>
      <c r="K50" s="127">
        <f t="shared" ref="K50:M50" si="11">SUM(K19:K49)</f>
        <v>40</v>
      </c>
      <c r="L50" s="124">
        <f t="shared" si="11"/>
        <v>15966.59</v>
      </c>
      <c r="M50" s="125">
        <f t="shared" si="11"/>
        <v>20370.199999999997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11696.399999999996</v>
      </c>
      <c r="T50" s="125">
        <f t="shared" si="12"/>
        <v>13661.48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43" priority="1" stopIfTrue="1">
      <formula>$U$9&gt;100%</formula>
    </cfRule>
    <cfRule type="expression" dxfId="142" priority="2">
      <formula>$U$9&lt;50%</formula>
    </cfRule>
  </conditionalFormatting>
  <conditionalFormatting sqref="V9:V11">
    <cfRule type="expression" dxfId="141" priority="3">
      <formula>$V$9&lt;50%</formula>
    </cfRule>
    <cfRule type="expression" dxfId="140" priority="4">
      <formula>$V$9&gt;50%</formula>
    </cfRule>
  </conditionalFormatting>
  <dataValidations count="4">
    <dataValidation type="list" allowBlank="1" showErrorMessage="1" sqref="E19:E49" xr:uid="{00000000-0002-0000-2500-000000000000}">
      <formula1>$Z$19:$Z$30</formula1>
    </dataValidation>
    <dataValidation type="list" allowBlank="1" showErrorMessage="1" sqref="I14" xr:uid="{00000000-0002-0000-2500-000001000000}">
      <formula1>$Y$14:$Y$15</formula1>
    </dataValidation>
    <dataValidation type="list" allowBlank="1" showErrorMessage="1" sqref="J14" xr:uid="{00000000-0002-0000-2500-000002000000}">
      <formula1>$L$9</formula1>
    </dataValidation>
    <dataValidation type="list" allowBlank="1" showErrorMessage="1" sqref="Q15 G18 L18 Q18" xr:uid="{00000000-0002-0000-25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770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34031.68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20370.199999999997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13661.480000000003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738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0.40143419308127026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771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13661.48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20370.199999999997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40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740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4450002</v>
      </c>
      <c r="C23" s="114" t="s">
        <v>174</v>
      </c>
      <c r="D23" s="88"/>
      <c r="E23" s="89">
        <v>1000</v>
      </c>
      <c r="F23" s="115">
        <v>1</v>
      </c>
      <c r="G23" s="96">
        <v>142.53</v>
      </c>
      <c r="H23" s="91">
        <f t="shared" si="0"/>
        <v>196.69</v>
      </c>
      <c r="I23" s="92">
        <f t="shared" si="1"/>
        <v>196.69</v>
      </c>
      <c r="J23" s="107"/>
      <c r="K23" s="90">
        <f t="shared" si="2"/>
        <v>1</v>
      </c>
      <c r="L23" s="91">
        <f t="shared" si="3"/>
        <v>98.35</v>
      </c>
      <c r="M23" s="91">
        <f t="shared" si="4"/>
        <v>98.35</v>
      </c>
      <c r="N23" s="116"/>
      <c r="O23" s="95"/>
      <c r="P23" s="117"/>
      <c r="Q23" s="96"/>
      <c r="R23" s="96">
        <f t="shared" si="5"/>
        <v>0</v>
      </c>
      <c r="S23" s="96">
        <f t="shared" si="6"/>
        <v>98.34</v>
      </c>
      <c r="T23" s="96">
        <f t="shared" si="7"/>
        <v>98.34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744</v>
      </c>
      <c r="C24" s="101" t="s">
        <v>128</v>
      </c>
      <c r="D24" s="88"/>
      <c r="E24" s="102">
        <v>1000</v>
      </c>
      <c r="F24" s="103">
        <v>1</v>
      </c>
      <c r="G24" s="104">
        <v>56.55</v>
      </c>
      <c r="H24" s="105">
        <f t="shared" si="0"/>
        <v>78.040000000000006</v>
      </c>
      <c r="I24" s="106">
        <f t="shared" si="1"/>
        <v>78.040000000000006</v>
      </c>
      <c r="J24" s="107"/>
      <c r="K24" s="108">
        <f t="shared" si="2"/>
        <v>1</v>
      </c>
      <c r="L24" s="105">
        <f t="shared" si="3"/>
        <v>46.82</v>
      </c>
      <c r="M24" s="105">
        <f t="shared" si="4"/>
        <v>46.82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31.22</v>
      </c>
      <c r="T24" s="111">
        <f t="shared" si="7"/>
        <v>31.22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745</v>
      </c>
      <c r="C25" s="114" t="s">
        <v>131</v>
      </c>
      <c r="D25" s="88"/>
      <c r="E25" s="89">
        <v>1000</v>
      </c>
      <c r="F25" s="115">
        <v>1</v>
      </c>
      <c r="G25" s="96">
        <v>30.98</v>
      </c>
      <c r="H25" s="91">
        <f t="shared" si="0"/>
        <v>42.75</v>
      </c>
      <c r="I25" s="92">
        <f t="shared" si="1"/>
        <v>42.75</v>
      </c>
      <c r="J25" s="107"/>
      <c r="K25" s="90">
        <f t="shared" si="2"/>
        <v>1</v>
      </c>
      <c r="L25" s="91">
        <f t="shared" si="3"/>
        <v>25.65</v>
      </c>
      <c r="M25" s="91">
        <f t="shared" si="4"/>
        <v>25.65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17.100000000000001</v>
      </c>
      <c r="T25" s="96">
        <f t="shared" si="7"/>
        <v>17.100000000000001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>
        <v>8982999420</v>
      </c>
      <c r="C28" s="101" t="s">
        <v>748</v>
      </c>
      <c r="D28" s="88"/>
      <c r="E28" s="102">
        <v>1000</v>
      </c>
      <c r="F28" s="103">
        <v>1</v>
      </c>
      <c r="G28" s="104">
        <v>44.15</v>
      </c>
      <c r="H28" s="105">
        <f t="shared" si="0"/>
        <v>60.93</v>
      </c>
      <c r="I28" s="106">
        <f t="shared" si="1"/>
        <v>60.93</v>
      </c>
      <c r="J28" s="107"/>
      <c r="K28" s="108">
        <f t="shared" si="2"/>
        <v>1</v>
      </c>
      <c r="L28" s="105">
        <f t="shared" si="3"/>
        <v>36.56</v>
      </c>
      <c r="M28" s="105">
        <f t="shared" si="4"/>
        <v>36.56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24.37</v>
      </c>
      <c r="T28" s="111">
        <f t="shared" si="7"/>
        <v>24.37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749</v>
      </c>
      <c r="C29" s="114" t="s">
        <v>323</v>
      </c>
      <c r="D29" s="88"/>
      <c r="E29" s="89" t="s">
        <v>138</v>
      </c>
      <c r="F29" s="115">
        <v>1</v>
      </c>
      <c r="G29" s="96">
        <v>86.93</v>
      </c>
      <c r="H29" s="91">
        <f t="shared" si="0"/>
        <v>119.96</v>
      </c>
      <c r="I29" s="92">
        <f t="shared" si="1"/>
        <v>119.96</v>
      </c>
      <c r="J29" s="107"/>
      <c r="K29" s="90">
        <f t="shared" si="2"/>
        <v>1</v>
      </c>
      <c r="L29" s="91">
        <f t="shared" si="3"/>
        <v>71.98</v>
      </c>
      <c r="M29" s="91">
        <f t="shared" si="4"/>
        <v>71.98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47.98</v>
      </c>
      <c r="T29" s="96">
        <f t="shared" si="7"/>
        <v>47.98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8983507160</v>
      </c>
      <c r="C30" s="101" t="s">
        <v>750</v>
      </c>
      <c r="D30" s="88"/>
      <c r="E30" s="102" t="s">
        <v>138</v>
      </c>
      <c r="F30" s="103">
        <v>1</v>
      </c>
      <c r="G30" s="104">
        <v>133.79</v>
      </c>
      <c r="H30" s="105">
        <f t="shared" si="0"/>
        <v>184.63</v>
      </c>
      <c r="I30" s="106">
        <f t="shared" si="1"/>
        <v>184.63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73.849999999999994</v>
      </c>
      <c r="T30" s="111">
        <f t="shared" si="7"/>
        <v>73.849999999999994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8983064631</v>
      </c>
      <c r="C31" s="114" t="s">
        <v>751</v>
      </c>
      <c r="D31" s="88"/>
      <c r="E31" s="89" t="s">
        <v>138</v>
      </c>
      <c r="F31" s="115">
        <v>1</v>
      </c>
      <c r="G31" s="96">
        <v>4575.38</v>
      </c>
      <c r="H31" s="91">
        <f t="shared" si="0"/>
        <v>6314.02</v>
      </c>
      <c r="I31" s="92">
        <f t="shared" si="1"/>
        <v>6314.02</v>
      </c>
      <c r="J31" s="107"/>
      <c r="K31" s="90">
        <f t="shared" si="2"/>
        <v>1</v>
      </c>
      <c r="L31" s="91">
        <f t="shared" si="3"/>
        <v>3788.41</v>
      </c>
      <c r="M31" s="91">
        <f t="shared" si="4"/>
        <v>3788.41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2525.61</v>
      </c>
      <c r="T31" s="96">
        <f t="shared" si="7"/>
        <v>2525.61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8983064621</v>
      </c>
      <c r="C32" s="101" t="s">
        <v>752</v>
      </c>
      <c r="D32" s="88"/>
      <c r="E32" s="102" t="s">
        <v>138</v>
      </c>
      <c r="F32" s="103">
        <v>1</v>
      </c>
      <c r="G32" s="104">
        <v>4182.41</v>
      </c>
      <c r="H32" s="105">
        <f t="shared" si="0"/>
        <v>5771.73</v>
      </c>
      <c r="I32" s="106">
        <f t="shared" si="1"/>
        <v>5771.73</v>
      </c>
      <c r="J32" s="107"/>
      <c r="K32" s="108">
        <f t="shared" si="2"/>
        <v>1</v>
      </c>
      <c r="L32" s="105">
        <f t="shared" si="3"/>
        <v>3463.04</v>
      </c>
      <c r="M32" s="105">
        <f t="shared" si="4"/>
        <v>3463.04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2308.69</v>
      </c>
      <c r="T32" s="111">
        <f t="shared" si="7"/>
        <v>2308.69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>
        <v>8982909120</v>
      </c>
      <c r="C33" s="114" t="s">
        <v>753</v>
      </c>
      <c r="D33" s="88"/>
      <c r="E33" s="89" t="s">
        <v>138</v>
      </c>
      <c r="F33" s="115">
        <v>1</v>
      </c>
      <c r="G33" s="96">
        <v>784.69</v>
      </c>
      <c r="H33" s="91">
        <f t="shared" si="0"/>
        <v>1082.8699999999999</v>
      </c>
      <c r="I33" s="92">
        <f t="shared" si="1"/>
        <v>1082.8699999999999</v>
      </c>
      <c r="J33" s="107"/>
      <c r="K33" s="90">
        <f t="shared" si="2"/>
        <v>1</v>
      </c>
      <c r="L33" s="91">
        <f t="shared" si="3"/>
        <v>649.72</v>
      </c>
      <c r="M33" s="91">
        <f t="shared" si="4"/>
        <v>649.72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433.15</v>
      </c>
      <c r="T33" s="96">
        <f t="shared" si="7"/>
        <v>433.15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754</v>
      </c>
      <c r="C34" s="101" t="s">
        <v>755</v>
      </c>
      <c r="D34" s="88"/>
      <c r="E34" s="102" t="s">
        <v>138</v>
      </c>
      <c r="F34" s="103">
        <v>1</v>
      </c>
      <c r="G34" s="104">
        <v>3677.29</v>
      </c>
      <c r="H34" s="105">
        <f t="shared" si="0"/>
        <v>5074.66</v>
      </c>
      <c r="I34" s="106">
        <f t="shared" si="1"/>
        <v>5074.66</v>
      </c>
      <c r="J34" s="107"/>
      <c r="K34" s="108">
        <f t="shared" si="2"/>
        <v>1</v>
      </c>
      <c r="L34" s="105">
        <f t="shared" si="3"/>
        <v>2537.33</v>
      </c>
      <c r="M34" s="105">
        <f t="shared" si="4"/>
        <v>2537.33</v>
      </c>
      <c r="N34" s="109"/>
      <c r="O34" s="95"/>
      <c r="P34" s="100"/>
      <c r="Q34" s="104"/>
      <c r="R34" s="110">
        <f t="shared" si="5"/>
        <v>0</v>
      </c>
      <c r="S34" s="111">
        <f t="shared" si="6"/>
        <v>2537.33</v>
      </c>
      <c r="T34" s="111">
        <f t="shared" si="7"/>
        <v>2537.33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756</v>
      </c>
      <c r="C35" s="114" t="s">
        <v>757</v>
      </c>
      <c r="D35" s="88"/>
      <c r="E35" s="89" t="s">
        <v>138</v>
      </c>
      <c r="F35" s="115">
        <v>2</v>
      </c>
      <c r="G35" s="96">
        <v>197.41</v>
      </c>
      <c r="H35" s="91">
        <f t="shared" si="0"/>
        <v>272.43</v>
      </c>
      <c r="I35" s="92">
        <f t="shared" si="1"/>
        <v>544.86</v>
      </c>
      <c r="J35" s="107"/>
      <c r="K35" s="90">
        <f t="shared" si="2"/>
        <v>2</v>
      </c>
      <c r="L35" s="91">
        <f t="shared" si="3"/>
        <v>136.22</v>
      </c>
      <c r="M35" s="91">
        <f t="shared" si="4"/>
        <v>272.44</v>
      </c>
      <c r="N35" s="116"/>
      <c r="O35" s="95"/>
      <c r="P35" s="117"/>
      <c r="Q35" s="96"/>
      <c r="R35" s="96">
        <f t="shared" si="5"/>
        <v>0</v>
      </c>
      <c r="S35" s="96">
        <f t="shared" si="6"/>
        <v>136.21</v>
      </c>
      <c r="T35" s="96">
        <f t="shared" si="7"/>
        <v>272.42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8983686610</v>
      </c>
      <c r="C36" s="101" t="s">
        <v>144</v>
      </c>
      <c r="D36" s="88"/>
      <c r="E36" s="102" t="s">
        <v>138</v>
      </c>
      <c r="F36" s="103">
        <v>1</v>
      </c>
      <c r="G36" s="104">
        <v>2999.52</v>
      </c>
      <c r="H36" s="105">
        <f t="shared" si="0"/>
        <v>4139.34</v>
      </c>
      <c r="I36" s="106">
        <f t="shared" si="1"/>
        <v>4139.34</v>
      </c>
      <c r="J36" s="107"/>
      <c r="K36" s="108">
        <f t="shared" si="2"/>
        <v>1</v>
      </c>
      <c r="L36" s="105">
        <f t="shared" si="3"/>
        <v>2069.67</v>
      </c>
      <c r="M36" s="105">
        <f t="shared" si="4"/>
        <v>2069.67</v>
      </c>
      <c r="N36" s="109"/>
      <c r="O36" s="95"/>
      <c r="P36" s="100"/>
      <c r="Q36" s="104"/>
      <c r="R36" s="110">
        <f t="shared" si="5"/>
        <v>0</v>
      </c>
      <c r="S36" s="111">
        <f t="shared" si="6"/>
        <v>2069.67</v>
      </c>
      <c r="T36" s="111">
        <f t="shared" si="7"/>
        <v>2069.67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>
        <v>8976879440</v>
      </c>
      <c r="C37" s="114" t="s">
        <v>758</v>
      </c>
      <c r="D37" s="88"/>
      <c r="E37" s="89" t="s">
        <v>138</v>
      </c>
      <c r="F37" s="115">
        <v>4</v>
      </c>
      <c r="G37" s="96">
        <v>1056.08</v>
      </c>
      <c r="H37" s="91">
        <f t="shared" si="0"/>
        <v>1457.39</v>
      </c>
      <c r="I37" s="92">
        <f t="shared" si="1"/>
        <v>5829.56</v>
      </c>
      <c r="J37" s="107"/>
      <c r="K37" s="90">
        <f t="shared" si="2"/>
        <v>4</v>
      </c>
      <c r="L37" s="91">
        <f t="shared" si="3"/>
        <v>1020.17</v>
      </c>
      <c r="M37" s="91">
        <f t="shared" si="4"/>
        <v>4080.68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437.22</v>
      </c>
      <c r="T37" s="96">
        <f t="shared" si="7"/>
        <v>1748.88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759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 t="s">
        <v>590</v>
      </c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>
        <v>3091707</v>
      </c>
      <c r="C40" s="101" t="s">
        <v>156</v>
      </c>
      <c r="D40" s="88"/>
      <c r="E40" s="102" t="s">
        <v>138</v>
      </c>
      <c r="F40" s="103">
        <v>1</v>
      </c>
      <c r="G40" s="104">
        <v>339.2</v>
      </c>
      <c r="H40" s="105">
        <f t="shared" si="0"/>
        <v>468.1</v>
      </c>
      <c r="I40" s="106">
        <f t="shared" si="1"/>
        <v>468.1</v>
      </c>
      <c r="J40" s="107"/>
      <c r="K40" s="108">
        <f t="shared" si="2"/>
        <v>1</v>
      </c>
      <c r="L40" s="105">
        <f t="shared" si="3"/>
        <v>327.67</v>
      </c>
      <c r="M40" s="105">
        <f t="shared" si="4"/>
        <v>327.67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140.43</v>
      </c>
      <c r="T40" s="111">
        <f t="shared" si="7"/>
        <v>140.43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>
        <v>3091708</v>
      </c>
      <c r="C41" s="114" t="s">
        <v>156</v>
      </c>
      <c r="D41" s="88"/>
      <c r="E41" s="89" t="s">
        <v>138</v>
      </c>
      <c r="F41" s="115">
        <v>2</v>
      </c>
      <c r="G41" s="96">
        <v>194.36</v>
      </c>
      <c r="H41" s="91">
        <f t="shared" si="0"/>
        <v>268.22000000000003</v>
      </c>
      <c r="I41" s="92">
        <f t="shared" si="1"/>
        <v>536.44000000000005</v>
      </c>
      <c r="J41" s="107"/>
      <c r="K41" s="90">
        <f t="shared" si="2"/>
        <v>2</v>
      </c>
      <c r="L41" s="91">
        <f t="shared" si="3"/>
        <v>187.75</v>
      </c>
      <c r="M41" s="91">
        <f t="shared" si="4"/>
        <v>375.5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80.47</v>
      </c>
      <c r="T41" s="96">
        <f t="shared" si="7"/>
        <v>160.94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760</v>
      </c>
      <c r="C42" s="101" t="s">
        <v>761</v>
      </c>
      <c r="D42" s="88"/>
      <c r="E42" s="102" t="s">
        <v>138</v>
      </c>
      <c r="F42" s="103">
        <v>1</v>
      </c>
      <c r="G42" s="104">
        <v>306.69</v>
      </c>
      <c r="H42" s="105">
        <f t="shared" si="0"/>
        <v>423.23</v>
      </c>
      <c r="I42" s="106">
        <f t="shared" si="1"/>
        <v>423.23</v>
      </c>
      <c r="J42" s="107"/>
      <c r="K42" s="108">
        <f t="shared" si="2"/>
        <v>1</v>
      </c>
      <c r="L42" s="105">
        <f t="shared" si="3"/>
        <v>296.26</v>
      </c>
      <c r="M42" s="105">
        <f t="shared" si="4"/>
        <v>296.26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126.97</v>
      </c>
      <c r="T42" s="111">
        <f t="shared" si="7"/>
        <v>126.97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762</v>
      </c>
      <c r="C43" s="114" t="s">
        <v>763</v>
      </c>
      <c r="D43" s="88"/>
      <c r="E43" s="89" t="s">
        <v>138</v>
      </c>
      <c r="F43" s="115">
        <v>1</v>
      </c>
      <c r="G43" s="96">
        <v>306.69</v>
      </c>
      <c r="H43" s="91">
        <f t="shared" si="0"/>
        <v>423.23</v>
      </c>
      <c r="I43" s="92">
        <f t="shared" si="1"/>
        <v>423.23</v>
      </c>
      <c r="J43" s="107"/>
      <c r="K43" s="90">
        <f t="shared" si="2"/>
        <v>1</v>
      </c>
      <c r="L43" s="91">
        <f t="shared" si="3"/>
        <v>296.26</v>
      </c>
      <c r="M43" s="91">
        <f t="shared" si="4"/>
        <v>296.26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126.97</v>
      </c>
      <c r="T43" s="96">
        <f t="shared" si="7"/>
        <v>126.97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764</v>
      </c>
      <c r="C44" s="101" t="s">
        <v>765</v>
      </c>
      <c r="D44" s="88"/>
      <c r="E44" s="102" t="s">
        <v>138</v>
      </c>
      <c r="F44" s="103">
        <v>2</v>
      </c>
      <c r="G44" s="104">
        <v>353.3</v>
      </c>
      <c r="H44" s="105">
        <f t="shared" si="0"/>
        <v>487.55</v>
      </c>
      <c r="I44" s="106">
        <f t="shared" si="1"/>
        <v>975.1</v>
      </c>
      <c r="J44" s="107"/>
      <c r="K44" s="108">
        <f t="shared" si="2"/>
        <v>2</v>
      </c>
      <c r="L44" s="105">
        <f t="shared" si="3"/>
        <v>341.29</v>
      </c>
      <c r="M44" s="105">
        <f t="shared" si="4"/>
        <v>682.58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146.26</v>
      </c>
      <c r="T44" s="111">
        <f t="shared" si="7"/>
        <v>292.52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766</v>
      </c>
      <c r="C45" s="114" t="s">
        <v>267</v>
      </c>
      <c r="D45" s="88"/>
      <c r="E45" s="89" t="s">
        <v>138</v>
      </c>
      <c r="F45" s="115">
        <v>5</v>
      </c>
      <c r="G45" s="96">
        <v>122.56</v>
      </c>
      <c r="H45" s="91">
        <f t="shared" si="0"/>
        <v>169.13</v>
      </c>
      <c r="I45" s="92">
        <f t="shared" si="1"/>
        <v>845.65</v>
      </c>
      <c r="J45" s="107"/>
      <c r="K45" s="90">
        <f t="shared" si="2"/>
        <v>5</v>
      </c>
      <c r="L45" s="91">
        <f t="shared" si="3"/>
        <v>118.39</v>
      </c>
      <c r="M45" s="91">
        <f t="shared" si="4"/>
        <v>591.95000000000005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50.74</v>
      </c>
      <c r="T45" s="96">
        <f t="shared" si="7"/>
        <v>253.7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767</v>
      </c>
      <c r="C46" s="101" t="s">
        <v>233</v>
      </c>
      <c r="D46" s="88"/>
      <c r="E46" s="102" t="s">
        <v>138</v>
      </c>
      <c r="F46" s="103">
        <v>5</v>
      </c>
      <c r="G46" s="104">
        <v>52.86</v>
      </c>
      <c r="H46" s="105">
        <f t="shared" si="0"/>
        <v>72.95</v>
      </c>
      <c r="I46" s="106">
        <f t="shared" si="1"/>
        <v>364.75</v>
      </c>
      <c r="J46" s="107"/>
      <c r="K46" s="108">
        <f t="shared" si="2"/>
        <v>5</v>
      </c>
      <c r="L46" s="105">
        <f t="shared" si="3"/>
        <v>51.07</v>
      </c>
      <c r="M46" s="105">
        <f t="shared" si="4"/>
        <v>255.35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21.88</v>
      </c>
      <c r="T46" s="111">
        <f t="shared" si="7"/>
        <v>109.4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40</v>
      </c>
      <c r="G50" s="123">
        <f t="shared" si="10"/>
        <v>20045.640000000003</v>
      </c>
      <c r="H50" s="124">
        <f t="shared" si="10"/>
        <v>27662.989999999998</v>
      </c>
      <c r="I50" s="125">
        <f t="shared" si="10"/>
        <v>34031.68</v>
      </c>
      <c r="J50" s="126"/>
      <c r="K50" s="127">
        <f t="shared" ref="K50:M50" si="11">SUM(K19:K49)</f>
        <v>40</v>
      </c>
      <c r="L50" s="124">
        <f t="shared" si="11"/>
        <v>15966.59</v>
      </c>
      <c r="M50" s="125">
        <f t="shared" si="11"/>
        <v>20370.199999999997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11696.399999999996</v>
      </c>
      <c r="T50" s="125">
        <f t="shared" si="12"/>
        <v>13661.48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39" priority="1" stopIfTrue="1">
      <formula>$U$9&gt;100%</formula>
    </cfRule>
    <cfRule type="expression" dxfId="138" priority="2">
      <formula>$U$9&lt;50%</formula>
    </cfRule>
  </conditionalFormatting>
  <conditionalFormatting sqref="V9:V11">
    <cfRule type="expression" dxfId="137" priority="3">
      <formula>$V$9&lt;50%</formula>
    </cfRule>
    <cfRule type="expression" dxfId="136" priority="4">
      <formula>$V$9&gt;50%</formula>
    </cfRule>
  </conditionalFormatting>
  <dataValidations count="4">
    <dataValidation type="list" allowBlank="1" showErrorMessage="1" sqref="E19:E49" xr:uid="{00000000-0002-0000-2600-000000000000}">
      <formula1>$Z$19:$Z$30</formula1>
    </dataValidation>
    <dataValidation type="list" allowBlank="1" showErrorMessage="1" sqref="I14" xr:uid="{00000000-0002-0000-2600-000001000000}">
      <formula1>$Y$14:$Y$15</formula1>
    </dataValidation>
    <dataValidation type="list" allowBlank="1" showErrorMessage="1" sqref="J14" xr:uid="{00000000-0002-0000-2600-000002000000}">
      <formula1>$L$9</formula1>
    </dataValidation>
    <dataValidation type="list" allowBlank="1" showErrorMessage="1" sqref="Q15 G18 L18 Q18" xr:uid="{00000000-0002-0000-26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772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774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35" priority="1" stopIfTrue="1">
      <formula>$U$9&gt;100%</formula>
    </cfRule>
    <cfRule type="expression" dxfId="134" priority="2">
      <formula>$U$9&lt;50%</formula>
    </cfRule>
  </conditionalFormatting>
  <conditionalFormatting sqref="V9:V11">
    <cfRule type="expression" dxfId="133" priority="3">
      <formula>$V$9&lt;50%</formula>
    </cfRule>
    <cfRule type="expression" dxfId="132" priority="4">
      <formula>$V$9&gt;50%</formula>
    </cfRule>
  </conditionalFormatting>
  <dataValidations count="4">
    <dataValidation type="list" allowBlank="1" showErrorMessage="1" sqref="E19:E49" xr:uid="{00000000-0002-0000-2700-000000000000}">
      <formula1>$Z$19:$Z$30</formula1>
    </dataValidation>
    <dataValidation type="list" allowBlank="1" showErrorMessage="1" sqref="I14" xr:uid="{00000000-0002-0000-2700-000001000000}">
      <formula1>$Y$14:$Y$15</formula1>
    </dataValidation>
    <dataValidation type="list" allowBlank="1" showErrorMessage="1" sqref="J14" xr:uid="{00000000-0002-0000-2700-000002000000}">
      <formula1>$L$9</formula1>
    </dataValidation>
    <dataValidation type="list" allowBlank="1" showErrorMessage="1" sqref="Q15 G18 L18 Q18" xr:uid="{00000000-0002-0000-27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789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790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31" priority="1" stopIfTrue="1">
      <formula>$U$9&gt;100%</formula>
    </cfRule>
    <cfRule type="expression" dxfId="130" priority="2">
      <formula>$U$9&lt;50%</formula>
    </cfRule>
  </conditionalFormatting>
  <conditionalFormatting sqref="V9:V11">
    <cfRule type="expression" dxfId="129" priority="3">
      <formula>$V$9&lt;50%</formula>
    </cfRule>
    <cfRule type="expression" dxfId="128" priority="4">
      <formula>$V$9&gt;50%</formula>
    </cfRule>
  </conditionalFormatting>
  <dataValidations count="4">
    <dataValidation type="list" allowBlank="1" showErrorMessage="1" sqref="E19:E49" xr:uid="{00000000-0002-0000-2800-000000000000}">
      <formula1>$Z$19:$Z$30</formula1>
    </dataValidation>
    <dataValidation type="list" allowBlank="1" showErrorMessage="1" sqref="I14" xr:uid="{00000000-0002-0000-2800-000001000000}">
      <formula1>$Y$14:$Y$15</formula1>
    </dataValidation>
    <dataValidation type="list" allowBlank="1" showErrorMessage="1" sqref="J14" xr:uid="{00000000-0002-0000-2800-000002000000}">
      <formula1>$L$9</formula1>
    </dataValidation>
    <dataValidation type="list" allowBlank="1" showErrorMessage="1" sqref="Q15 G18 L18 Q18" xr:uid="{00000000-0002-0000-28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791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792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27" priority="1" stopIfTrue="1">
      <formula>$U$9&gt;100%</formula>
    </cfRule>
    <cfRule type="expression" dxfId="126" priority="2">
      <formula>$U$9&lt;50%</formula>
    </cfRule>
  </conditionalFormatting>
  <conditionalFormatting sqref="V9:V11">
    <cfRule type="expression" dxfId="125" priority="3">
      <formula>$V$9&lt;50%</formula>
    </cfRule>
    <cfRule type="expression" dxfId="124" priority="4">
      <formula>$V$9&gt;50%</formula>
    </cfRule>
  </conditionalFormatting>
  <dataValidations count="4">
    <dataValidation type="list" allowBlank="1" showErrorMessage="1" sqref="E19:E49" xr:uid="{00000000-0002-0000-2900-000000000000}">
      <formula1>$Z$19:$Z$30</formula1>
    </dataValidation>
    <dataValidation type="list" allowBlank="1" showErrorMessage="1" sqref="I14" xr:uid="{00000000-0002-0000-2900-000001000000}">
      <formula1>$Y$14:$Y$15</formula1>
    </dataValidation>
    <dataValidation type="list" allowBlank="1" showErrorMessage="1" sqref="J14" xr:uid="{00000000-0002-0000-2900-000002000000}">
      <formula1>$L$9</formula1>
    </dataValidation>
    <dataValidation type="list" allowBlank="1" showErrorMessage="1" sqref="Q15 G18 L18 Q18" xr:uid="{00000000-0002-0000-29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793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794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23" priority="1" stopIfTrue="1">
      <formula>$U$9&gt;100%</formula>
    </cfRule>
    <cfRule type="expression" dxfId="122" priority="2">
      <formula>$U$9&lt;50%</formula>
    </cfRule>
  </conditionalFormatting>
  <conditionalFormatting sqref="V9:V11">
    <cfRule type="expression" dxfId="121" priority="3">
      <formula>$V$9&lt;50%</formula>
    </cfRule>
    <cfRule type="expression" dxfId="120" priority="4">
      <formula>$V$9&gt;50%</formula>
    </cfRule>
  </conditionalFormatting>
  <dataValidations count="4">
    <dataValidation type="list" allowBlank="1" showErrorMessage="1" sqref="E19:E49" xr:uid="{00000000-0002-0000-2A00-000000000000}">
      <formula1>$Z$19:$Z$30</formula1>
    </dataValidation>
    <dataValidation type="list" allowBlank="1" showErrorMessage="1" sqref="I14" xr:uid="{00000000-0002-0000-2A00-000001000000}">
      <formula1>$Y$14:$Y$15</formula1>
    </dataValidation>
    <dataValidation type="list" allowBlank="1" showErrorMessage="1" sqref="J14" xr:uid="{00000000-0002-0000-2A00-000002000000}">
      <formula1>$L$9</formula1>
    </dataValidation>
    <dataValidation type="list" allowBlank="1" showErrorMessage="1" sqref="Q15 G18 L18 Q18" xr:uid="{00000000-0002-0000-2A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795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796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19" priority="1" stopIfTrue="1">
      <formula>$U$9&gt;100%</formula>
    </cfRule>
    <cfRule type="expression" dxfId="118" priority="2">
      <formula>$U$9&lt;50%</formula>
    </cfRule>
  </conditionalFormatting>
  <conditionalFormatting sqref="V9:V11">
    <cfRule type="expression" dxfId="117" priority="3">
      <formula>$V$9&lt;50%</formula>
    </cfRule>
    <cfRule type="expression" dxfId="116" priority="4">
      <formula>$V$9&gt;50%</formula>
    </cfRule>
  </conditionalFormatting>
  <dataValidations count="4">
    <dataValidation type="list" allowBlank="1" showErrorMessage="1" sqref="E19:E49" xr:uid="{00000000-0002-0000-2B00-000000000000}">
      <formula1>$Z$19:$Z$30</formula1>
    </dataValidation>
    <dataValidation type="list" allowBlank="1" showErrorMessage="1" sqref="I14" xr:uid="{00000000-0002-0000-2B00-000001000000}">
      <formula1>$Y$14:$Y$15</formula1>
    </dataValidation>
    <dataValidation type="list" allowBlank="1" showErrorMessage="1" sqref="J14" xr:uid="{00000000-0002-0000-2B00-000002000000}">
      <formula1>$L$9</formula1>
    </dataValidation>
    <dataValidation type="list" allowBlank="1" showErrorMessage="1" sqref="Q15 G18 L18 Q18" xr:uid="{00000000-0002-0000-2B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797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103275.20999999999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68124.450000000012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35150.75999999998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773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0.34036009222348695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798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35150.759999999995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68124.450000000012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777</v>
      </c>
      <c r="C24" s="101" t="s">
        <v>128</v>
      </c>
      <c r="D24" s="88"/>
      <c r="E24" s="102">
        <v>1000</v>
      </c>
      <c r="F24" s="103">
        <v>1</v>
      </c>
      <c r="G24" s="104">
        <v>121.9</v>
      </c>
      <c r="H24" s="105">
        <f t="shared" si="0"/>
        <v>168.22</v>
      </c>
      <c r="I24" s="106">
        <f t="shared" si="1"/>
        <v>168.22</v>
      </c>
      <c r="J24" s="107"/>
      <c r="K24" s="108">
        <f t="shared" si="2"/>
        <v>1</v>
      </c>
      <c r="L24" s="105">
        <f t="shared" si="3"/>
        <v>100.93</v>
      </c>
      <c r="M24" s="105">
        <f t="shared" si="4"/>
        <v>100.93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67.290000000000006</v>
      </c>
      <c r="T24" s="111">
        <f t="shared" si="7"/>
        <v>67.290000000000006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778</v>
      </c>
      <c r="C25" s="114" t="s">
        <v>131</v>
      </c>
      <c r="D25" s="88"/>
      <c r="E25" s="89">
        <v>1000</v>
      </c>
      <c r="F25" s="115">
        <v>1</v>
      </c>
      <c r="G25" s="96">
        <v>94.73</v>
      </c>
      <c r="H25" s="91">
        <f t="shared" si="0"/>
        <v>130.72999999999999</v>
      </c>
      <c r="I25" s="92">
        <f t="shared" si="1"/>
        <v>130.72999999999999</v>
      </c>
      <c r="J25" s="107"/>
      <c r="K25" s="90">
        <f t="shared" si="2"/>
        <v>1</v>
      </c>
      <c r="L25" s="91">
        <f t="shared" si="3"/>
        <v>78.44</v>
      </c>
      <c r="M25" s="91">
        <f t="shared" si="4"/>
        <v>78.44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52.29</v>
      </c>
      <c r="T25" s="96">
        <f t="shared" si="7"/>
        <v>52.29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746</v>
      </c>
      <c r="C26" s="101" t="s">
        <v>134</v>
      </c>
      <c r="D26" s="88"/>
      <c r="E26" s="102">
        <v>1000</v>
      </c>
      <c r="F26" s="103">
        <v>1</v>
      </c>
      <c r="G26" s="104">
        <v>85.09</v>
      </c>
      <c r="H26" s="105">
        <f t="shared" si="0"/>
        <v>117.42</v>
      </c>
      <c r="I26" s="106">
        <f t="shared" si="1"/>
        <v>117.42</v>
      </c>
      <c r="J26" s="107"/>
      <c r="K26" s="108">
        <f t="shared" si="2"/>
        <v>1</v>
      </c>
      <c r="L26" s="105">
        <f t="shared" si="3"/>
        <v>70.45</v>
      </c>
      <c r="M26" s="105">
        <f t="shared" si="4"/>
        <v>70.45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46.97</v>
      </c>
      <c r="T26" s="111">
        <f t="shared" si="7"/>
        <v>46.97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747</v>
      </c>
      <c r="C27" s="114" t="s">
        <v>134</v>
      </c>
      <c r="D27" s="88"/>
      <c r="E27" s="89">
        <v>1000</v>
      </c>
      <c r="F27" s="115">
        <v>1</v>
      </c>
      <c r="G27" s="96">
        <v>28.13</v>
      </c>
      <c r="H27" s="91">
        <f t="shared" si="0"/>
        <v>38.82</v>
      </c>
      <c r="I27" s="92">
        <f t="shared" si="1"/>
        <v>38.82</v>
      </c>
      <c r="J27" s="107"/>
      <c r="K27" s="90">
        <f t="shared" si="2"/>
        <v>1</v>
      </c>
      <c r="L27" s="91">
        <f t="shared" si="3"/>
        <v>23.29</v>
      </c>
      <c r="M27" s="91">
        <f t="shared" si="4"/>
        <v>23.29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15.53</v>
      </c>
      <c r="T27" s="96">
        <f t="shared" si="7"/>
        <v>15.53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779</v>
      </c>
      <c r="C28" s="101" t="s">
        <v>323</v>
      </c>
      <c r="D28" s="88"/>
      <c r="E28" s="102" t="s">
        <v>138</v>
      </c>
      <c r="F28" s="103">
        <v>1</v>
      </c>
      <c r="G28" s="104">
        <v>49.02</v>
      </c>
      <c r="H28" s="105">
        <f t="shared" si="0"/>
        <v>67.650000000000006</v>
      </c>
      <c r="I28" s="106">
        <f t="shared" si="1"/>
        <v>67.650000000000006</v>
      </c>
      <c r="J28" s="107"/>
      <c r="K28" s="108">
        <f t="shared" si="2"/>
        <v>1</v>
      </c>
      <c r="L28" s="105">
        <f t="shared" si="3"/>
        <v>40.590000000000003</v>
      </c>
      <c r="M28" s="105">
        <f t="shared" si="4"/>
        <v>40.590000000000003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27.06</v>
      </c>
      <c r="T28" s="111">
        <f t="shared" si="7"/>
        <v>27.06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8982705500</v>
      </c>
      <c r="C30" s="101" t="s">
        <v>751</v>
      </c>
      <c r="D30" s="88"/>
      <c r="E30" s="102" t="s">
        <v>138</v>
      </c>
      <c r="F30" s="103">
        <v>1</v>
      </c>
      <c r="G30" s="104">
        <v>5708.34</v>
      </c>
      <c r="H30" s="105">
        <f t="shared" si="0"/>
        <v>7877.51</v>
      </c>
      <c r="I30" s="106">
        <f t="shared" si="1"/>
        <v>7877.51</v>
      </c>
      <c r="J30" s="107"/>
      <c r="K30" s="108">
        <f t="shared" si="2"/>
        <v>1</v>
      </c>
      <c r="L30" s="105">
        <f t="shared" si="3"/>
        <v>4726.51</v>
      </c>
      <c r="M30" s="105">
        <f t="shared" si="4"/>
        <v>4726.51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3151</v>
      </c>
      <c r="T30" s="111">
        <f t="shared" si="7"/>
        <v>3151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8982389240</v>
      </c>
      <c r="C31" s="114" t="s">
        <v>752</v>
      </c>
      <c r="D31" s="88"/>
      <c r="E31" s="89" t="s">
        <v>138</v>
      </c>
      <c r="F31" s="115">
        <v>1</v>
      </c>
      <c r="G31" s="96">
        <v>5165.75</v>
      </c>
      <c r="H31" s="91">
        <f t="shared" si="0"/>
        <v>7128.74</v>
      </c>
      <c r="I31" s="92">
        <f t="shared" si="1"/>
        <v>7128.74</v>
      </c>
      <c r="J31" s="107"/>
      <c r="K31" s="90">
        <f t="shared" si="2"/>
        <v>1</v>
      </c>
      <c r="L31" s="91">
        <f t="shared" si="3"/>
        <v>4277.24</v>
      </c>
      <c r="M31" s="91">
        <f t="shared" si="4"/>
        <v>4277.24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2851.5</v>
      </c>
      <c r="T31" s="96">
        <f t="shared" si="7"/>
        <v>2851.5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8982705450</v>
      </c>
      <c r="C32" s="101" t="s">
        <v>753</v>
      </c>
      <c r="D32" s="88"/>
      <c r="E32" s="102" t="s">
        <v>138</v>
      </c>
      <c r="F32" s="103">
        <v>1</v>
      </c>
      <c r="G32" s="104">
        <v>902.8</v>
      </c>
      <c r="H32" s="105">
        <f t="shared" si="0"/>
        <v>1245.8599999999999</v>
      </c>
      <c r="I32" s="106">
        <f t="shared" si="1"/>
        <v>1245.8599999999999</v>
      </c>
      <c r="J32" s="107"/>
      <c r="K32" s="108">
        <f t="shared" si="2"/>
        <v>1</v>
      </c>
      <c r="L32" s="105">
        <f t="shared" si="3"/>
        <v>747.52</v>
      </c>
      <c r="M32" s="105">
        <f t="shared" si="4"/>
        <v>747.52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498.34</v>
      </c>
      <c r="T32" s="111">
        <f t="shared" si="7"/>
        <v>498.34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780</v>
      </c>
      <c r="C33" s="114" t="s">
        <v>755</v>
      </c>
      <c r="D33" s="88"/>
      <c r="E33" s="89" t="s">
        <v>138</v>
      </c>
      <c r="F33" s="115">
        <v>1</v>
      </c>
      <c r="G33" s="96">
        <v>4515.9799999999996</v>
      </c>
      <c r="H33" s="91">
        <f t="shared" si="0"/>
        <v>6232.05</v>
      </c>
      <c r="I33" s="92">
        <f t="shared" si="1"/>
        <v>6232.05</v>
      </c>
      <c r="J33" s="107"/>
      <c r="K33" s="90">
        <f t="shared" si="2"/>
        <v>1</v>
      </c>
      <c r="L33" s="91">
        <f t="shared" si="3"/>
        <v>3116.03</v>
      </c>
      <c r="M33" s="91">
        <f t="shared" si="4"/>
        <v>3116.03</v>
      </c>
      <c r="N33" s="116"/>
      <c r="O33" s="95"/>
      <c r="P33" s="117"/>
      <c r="Q33" s="96"/>
      <c r="R33" s="96">
        <f t="shared" si="5"/>
        <v>0</v>
      </c>
      <c r="S33" s="96">
        <f t="shared" si="6"/>
        <v>3116.02</v>
      </c>
      <c r="T33" s="96">
        <f t="shared" si="7"/>
        <v>3116.02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781</v>
      </c>
      <c r="C34" s="101" t="s">
        <v>782</v>
      </c>
      <c r="D34" s="88"/>
      <c r="E34" s="102" t="s">
        <v>138</v>
      </c>
      <c r="F34" s="103">
        <v>2</v>
      </c>
      <c r="G34" s="104">
        <v>198.32</v>
      </c>
      <c r="H34" s="105">
        <f t="shared" si="0"/>
        <v>273.68</v>
      </c>
      <c r="I34" s="106">
        <f t="shared" si="1"/>
        <v>547.36</v>
      </c>
      <c r="J34" s="107"/>
      <c r="K34" s="108">
        <f t="shared" si="2"/>
        <v>2</v>
      </c>
      <c r="L34" s="105">
        <f t="shared" si="3"/>
        <v>136.84</v>
      </c>
      <c r="M34" s="105">
        <f t="shared" si="4"/>
        <v>273.68</v>
      </c>
      <c r="N34" s="109"/>
      <c r="O34" s="95"/>
      <c r="P34" s="100"/>
      <c r="Q34" s="104"/>
      <c r="R34" s="110">
        <f t="shared" si="5"/>
        <v>0</v>
      </c>
      <c r="S34" s="111">
        <f t="shared" si="6"/>
        <v>136.84</v>
      </c>
      <c r="T34" s="111">
        <f t="shared" si="7"/>
        <v>273.68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8983250950</v>
      </c>
      <c r="C35" s="114" t="s">
        <v>144</v>
      </c>
      <c r="D35" s="88"/>
      <c r="E35" s="89" t="s">
        <v>138</v>
      </c>
      <c r="F35" s="115">
        <v>1</v>
      </c>
      <c r="G35" s="96">
        <v>3676.8</v>
      </c>
      <c r="H35" s="91">
        <f t="shared" si="0"/>
        <v>5073.9799999999996</v>
      </c>
      <c r="I35" s="92">
        <f t="shared" si="1"/>
        <v>5073.9799999999996</v>
      </c>
      <c r="J35" s="107"/>
      <c r="K35" s="90">
        <f t="shared" si="2"/>
        <v>1</v>
      </c>
      <c r="L35" s="91">
        <f t="shared" si="3"/>
        <v>2536.9899999999998</v>
      </c>
      <c r="M35" s="91">
        <f t="shared" si="4"/>
        <v>2536.9899999999998</v>
      </c>
      <c r="N35" s="116"/>
      <c r="O35" s="95"/>
      <c r="P35" s="117"/>
      <c r="Q35" s="96"/>
      <c r="R35" s="96">
        <f t="shared" si="5"/>
        <v>0</v>
      </c>
      <c r="S35" s="96">
        <f t="shared" si="6"/>
        <v>2536.9899999999998</v>
      </c>
      <c r="T35" s="96">
        <f t="shared" si="7"/>
        <v>2536.9899999999998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1</v>
      </c>
      <c r="G36" s="104">
        <v>819.53</v>
      </c>
      <c r="H36" s="105">
        <f t="shared" si="0"/>
        <v>1130.95</v>
      </c>
      <c r="I36" s="106">
        <f t="shared" si="1"/>
        <v>1130.95</v>
      </c>
      <c r="J36" s="107"/>
      <c r="K36" s="108">
        <f t="shared" si="2"/>
        <v>1</v>
      </c>
      <c r="L36" s="105">
        <f t="shared" si="3"/>
        <v>791.67</v>
      </c>
      <c r="M36" s="105">
        <f t="shared" si="4"/>
        <v>791.67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339.28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783</v>
      </c>
      <c r="C37" s="114" t="s">
        <v>784</v>
      </c>
      <c r="D37" s="88"/>
      <c r="E37" s="89">
        <v>4000</v>
      </c>
      <c r="F37" s="115">
        <v>1</v>
      </c>
      <c r="G37" s="96">
        <v>49947.26</v>
      </c>
      <c r="H37" s="91">
        <f t="shared" si="0"/>
        <v>68927.22</v>
      </c>
      <c r="I37" s="92">
        <f t="shared" si="1"/>
        <v>68927.22</v>
      </c>
      <c r="J37" s="107"/>
      <c r="K37" s="90">
        <f t="shared" si="2"/>
        <v>1</v>
      </c>
      <c r="L37" s="91">
        <f t="shared" si="3"/>
        <v>48249.05</v>
      </c>
      <c r="M37" s="91">
        <f t="shared" si="4"/>
        <v>48249.05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20678.169999999998</v>
      </c>
      <c r="T37" s="96">
        <f t="shared" si="7"/>
        <v>20678.169999999998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73184.190000000017</v>
      </c>
      <c r="H50" s="124">
        <f t="shared" si="10"/>
        <v>100994.18</v>
      </c>
      <c r="I50" s="125">
        <f t="shared" si="10"/>
        <v>103275.20999999999</v>
      </c>
      <c r="J50" s="126"/>
      <c r="K50" s="127">
        <f t="shared" ref="K50:M50" si="11">SUM(K19:K49)</f>
        <v>34</v>
      </c>
      <c r="L50" s="124">
        <f t="shared" si="11"/>
        <v>66582.48000000001</v>
      </c>
      <c r="M50" s="125">
        <f t="shared" si="11"/>
        <v>68124.450000000012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34411.700000000004</v>
      </c>
      <c r="T50" s="125">
        <f t="shared" si="12"/>
        <v>35150.759999999995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15" priority="1" stopIfTrue="1">
      <formula>$U$9&gt;100%</formula>
    </cfRule>
    <cfRule type="expression" dxfId="114" priority="2">
      <formula>$U$9&lt;50%</formula>
    </cfRule>
  </conditionalFormatting>
  <conditionalFormatting sqref="V9:V11">
    <cfRule type="expression" dxfId="113" priority="3">
      <formula>$V$9&lt;50%</formula>
    </cfRule>
    <cfRule type="expression" dxfId="112" priority="4">
      <formula>$V$9&gt;50%</formula>
    </cfRule>
  </conditionalFormatting>
  <dataValidations count="4">
    <dataValidation type="list" allowBlank="1" showErrorMessage="1" sqref="E19:E49" xr:uid="{00000000-0002-0000-2C00-000000000000}">
      <formula1>$Z$19:$Z$30</formula1>
    </dataValidation>
    <dataValidation type="list" allowBlank="1" showErrorMessage="1" sqref="I14" xr:uid="{00000000-0002-0000-2C00-000001000000}">
      <formula1>$Y$14:$Y$15</formula1>
    </dataValidation>
    <dataValidation type="list" allowBlank="1" showErrorMessage="1" sqref="J14" xr:uid="{00000000-0002-0000-2C00-000002000000}">
      <formula1>$L$9</formula1>
    </dataValidation>
    <dataValidation type="list" allowBlank="1" showErrorMessage="1" sqref="Q15 G18 L18 Q18" xr:uid="{00000000-0002-0000-2C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799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31281.779999999995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18636.89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12644.889999999996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800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0.40422539893829562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801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12644.890000000001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18636.89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1171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803</v>
      </c>
      <c r="C20" s="101" t="s">
        <v>804</v>
      </c>
      <c r="D20" s="88"/>
      <c r="E20" s="102">
        <v>500</v>
      </c>
      <c r="F20" s="103">
        <v>1</v>
      </c>
      <c r="G20" s="104">
        <v>64.67</v>
      </c>
      <c r="H20" s="105">
        <f t="shared" si="0"/>
        <v>89.24</v>
      </c>
      <c r="I20" s="106">
        <f t="shared" si="1"/>
        <v>89.24</v>
      </c>
      <c r="J20" s="107"/>
      <c r="K20" s="108">
        <f t="shared" si="2"/>
        <v>1</v>
      </c>
      <c r="L20" s="105">
        <f t="shared" si="3"/>
        <v>44.62</v>
      </c>
      <c r="M20" s="105">
        <f t="shared" si="4"/>
        <v>44.62</v>
      </c>
      <c r="N20" s="109"/>
      <c r="O20" s="95"/>
      <c r="P20" s="100"/>
      <c r="Q20" s="104"/>
      <c r="R20" s="110">
        <f t="shared" si="5"/>
        <v>0</v>
      </c>
      <c r="S20" s="111">
        <f t="shared" si="6"/>
        <v>44.62</v>
      </c>
      <c r="T20" s="111">
        <f t="shared" si="7"/>
        <v>44.62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805</v>
      </c>
      <c r="C21" s="114" t="s">
        <v>743</v>
      </c>
      <c r="D21" s="88"/>
      <c r="E21" s="89">
        <v>500</v>
      </c>
      <c r="F21" s="115">
        <v>1</v>
      </c>
      <c r="G21" s="96">
        <v>35.020000000000003</v>
      </c>
      <c r="H21" s="91">
        <f t="shared" si="0"/>
        <v>48.33</v>
      </c>
      <c r="I21" s="92">
        <f t="shared" si="1"/>
        <v>48.33</v>
      </c>
      <c r="J21" s="107"/>
      <c r="K21" s="90">
        <f t="shared" si="2"/>
        <v>1</v>
      </c>
      <c r="L21" s="91">
        <f t="shared" si="3"/>
        <v>24.17</v>
      </c>
      <c r="M21" s="91">
        <f t="shared" si="4"/>
        <v>24.17</v>
      </c>
      <c r="N21" s="116"/>
      <c r="O21" s="95"/>
      <c r="P21" s="117"/>
      <c r="Q21" s="96"/>
      <c r="R21" s="96">
        <f t="shared" si="5"/>
        <v>0</v>
      </c>
      <c r="S21" s="96">
        <f t="shared" si="6"/>
        <v>24.16</v>
      </c>
      <c r="T21" s="96">
        <f t="shared" si="7"/>
        <v>24.16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806</v>
      </c>
      <c r="C22" s="101" t="s">
        <v>807</v>
      </c>
      <c r="D22" s="88"/>
      <c r="E22" s="102">
        <v>1000</v>
      </c>
      <c r="F22" s="103">
        <v>1</v>
      </c>
      <c r="G22" s="104">
        <v>87.96</v>
      </c>
      <c r="H22" s="105">
        <f t="shared" si="0"/>
        <v>121.38</v>
      </c>
      <c r="I22" s="106">
        <f t="shared" si="1"/>
        <v>121.38</v>
      </c>
      <c r="J22" s="107"/>
      <c r="K22" s="108">
        <f t="shared" si="2"/>
        <v>1</v>
      </c>
      <c r="L22" s="105">
        <f t="shared" si="3"/>
        <v>60.69</v>
      </c>
      <c r="M22" s="105">
        <f t="shared" si="4"/>
        <v>60.69</v>
      </c>
      <c r="N22" s="109"/>
      <c r="O22" s="95"/>
      <c r="P22" s="100"/>
      <c r="Q22" s="104"/>
      <c r="R22" s="110">
        <f t="shared" si="5"/>
        <v>0</v>
      </c>
      <c r="S22" s="111">
        <f t="shared" si="6"/>
        <v>60.69</v>
      </c>
      <c r="T22" s="111">
        <f t="shared" si="7"/>
        <v>60.69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808</v>
      </c>
      <c r="C23" s="114" t="s">
        <v>809</v>
      </c>
      <c r="D23" s="88"/>
      <c r="E23" s="89">
        <v>1000</v>
      </c>
      <c r="F23" s="115">
        <v>1</v>
      </c>
      <c r="G23" s="96">
        <v>6.36</v>
      </c>
      <c r="H23" s="91">
        <f t="shared" si="0"/>
        <v>8.7799999999999994</v>
      </c>
      <c r="I23" s="92">
        <f t="shared" si="1"/>
        <v>8.7799999999999994</v>
      </c>
      <c r="J23" s="107"/>
      <c r="K23" s="90">
        <f t="shared" si="2"/>
        <v>1</v>
      </c>
      <c r="L23" s="91">
        <f t="shared" si="3"/>
        <v>4.3899999999999997</v>
      </c>
      <c r="M23" s="91">
        <f t="shared" si="4"/>
        <v>4.3899999999999997</v>
      </c>
      <c r="N23" s="116"/>
      <c r="O23" s="95"/>
      <c r="P23" s="117"/>
      <c r="Q23" s="96"/>
      <c r="R23" s="96">
        <f t="shared" si="5"/>
        <v>0</v>
      </c>
      <c r="S23" s="96">
        <f t="shared" si="6"/>
        <v>4.3899999999999997</v>
      </c>
      <c r="T23" s="96">
        <f t="shared" si="7"/>
        <v>4.3899999999999997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810</v>
      </c>
      <c r="C24" s="101" t="s">
        <v>128</v>
      </c>
      <c r="D24" s="88"/>
      <c r="E24" s="102">
        <v>2000</v>
      </c>
      <c r="F24" s="103">
        <v>1</v>
      </c>
      <c r="G24" s="104">
        <v>47.31</v>
      </c>
      <c r="H24" s="105">
        <f t="shared" si="0"/>
        <v>65.290000000000006</v>
      </c>
      <c r="I24" s="106">
        <f t="shared" si="1"/>
        <v>65.290000000000006</v>
      </c>
      <c r="J24" s="107"/>
      <c r="K24" s="108">
        <f t="shared" si="2"/>
        <v>1</v>
      </c>
      <c r="L24" s="105">
        <f t="shared" si="3"/>
        <v>39.17</v>
      </c>
      <c r="M24" s="105">
        <f t="shared" si="4"/>
        <v>39.17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26.12</v>
      </c>
      <c r="T24" s="111">
        <f t="shared" si="7"/>
        <v>26.12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811</v>
      </c>
      <c r="C25" s="114" t="s">
        <v>131</v>
      </c>
      <c r="D25" s="88"/>
      <c r="E25" s="89">
        <v>2000</v>
      </c>
      <c r="F25" s="115">
        <v>1</v>
      </c>
      <c r="G25" s="96">
        <v>42.86</v>
      </c>
      <c r="H25" s="91">
        <f t="shared" si="0"/>
        <v>59.15</v>
      </c>
      <c r="I25" s="92">
        <f t="shared" si="1"/>
        <v>59.15</v>
      </c>
      <c r="J25" s="107"/>
      <c r="K25" s="90">
        <f t="shared" si="2"/>
        <v>1</v>
      </c>
      <c r="L25" s="91">
        <f t="shared" si="3"/>
        <v>35.49</v>
      </c>
      <c r="M25" s="91">
        <f t="shared" si="4"/>
        <v>35.49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23.66</v>
      </c>
      <c r="T25" s="96">
        <f t="shared" si="7"/>
        <v>23.66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812</v>
      </c>
      <c r="C26" s="101" t="s">
        <v>134</v>
      </c>
      <c r="D26" s="88"/>
      <c r="E26" s="102">
        <v>2000</v>
      </c>
      <c r="F26" s="103">
        <v>1</v>
      </c>
      <c r="G26" s="104">
        <v>20.440000000000001</v>
      </c>
      <c r="H26" s="105">
        <f t="shared" si="0"/>
        <v>28.21</v>
      </c>
      <c r="I26" s="106">
        <f t="shared" si="1"/>
        <v>28.21</v>
      </c>
      <c r="J26" s="107"/>
      <c r="K26" s="108">
        <f t="shared" si="2"/>
        <v>1</v>
      </c>
      <c r="L26" s="105">
        <f t="shared" si="3"/>
        <v>16.93</v>
      </c>
      <c r="M26" s="105">
        <f t="shared" si="4"/>
        <v>16.93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11.28</v>
      </c>
      <c r="T26" s="111">
        <f t="shared" si="7"/>
        <v>11.28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813</v>
      </c>
      <c r="C27" s="114" t="s">
        <v>134</v>
      </c>
      <c r="D27" s="88"/>
      <c r="E27" s="89">
        <v>2000</v>
      </c>
      <c r="F27" s="115">
        <v>1</v>
      </c>
      <c r="G27" s="96">
        <v>23.12</v>
      </c>
      <c r="H27" s="91">
        <f t="shared" si="0"/>
        <v>31.91</v>
      </c>
      <c r="I27" s="92">
        <f t="shared" si="1"/>
        <v>31.91</v>
      </c>
      <c r="J27" s="107"/>
      <c r="K27" s="90">
        <f t="shared" si="2"/>
        <v>1</v>
      </c>
      <c r="L27" s="91">
        <f t="shared" si="3"/>
        <v>19.149999999999999</v>
      </c>
      <c r="M27" s="91">
        <f t="shared" si="4"/>
        <v>19.149999999999999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12.76</v>
      </c>
      <c r="T27" s="96">
        <f t="shared" si="7"/>
        <v>12.76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814</v>
      </c>
      <c r="C28" s="101" t="s">
        <v>815</v>
      </c>
      <c r="D28" s="88"/>
      <c r="E28" s="102" t="s">
        <v>138</v>
      </c>
      <c r="F28" s="103">
        <v>1</v>
      </c>
      <c r="G28" s="104">
        <v>2007.72</v>
      </c>
      <c r="H28" s="105">
        <f t="shared" si="0"/>
        <v>2770.65</v>
      </c>
      <c r="I28" s="106">
        <f t="shared" si="1"/>
        <v>2770.65</v>
      </c>
      <c r="J28" s="107"/>
      <c r="K28" s="108">
        <f t="shared" si="2"/>
        <v>1</v>
      </c>
      <c r="L28" s="105">
        <f t="shared" si="3"/>
        <v>1662.39</v>
      </c>
      <c r="M28" s="105">
        <f t="shared" si="4"/>
        <v>1662.39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1108.26</v>
      </c>
      <c r="T28" s="111">
        <f t="shared" si="7"/>
        <v>1108.26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816</v>
      </c>
      <c r="C29" s="114" t="s">
        <v>817</v>
      </c>
      <c r="D29" s="88"/>
      <c r="E29" s="89" t="s">
        <v>138</v>
      </c>
      <c r="F29" s="115">
        <v>1</v>
      </c>
      <c r="G29" s="96">
        <v>4418.75</v>
      </c>
      <c r="H29" s="91">
        <f t="shared" si="0"/>
        <v>6097.88</v>
      </c>
      <c r="I29" s="92">
        <f t="shared" si="1"/>
        <v>6097.88</v>
      </c>
      <c r="J29" s="107"/>
      <c r="K29" s="90">
        <f t="shared" si="2"/>
        <v>1</v>
      </c>
      <c r="L29" s="91">
        <f t="shared" si="3"/>
        <v>3658.73</v>
      </c>
      <c r="M29" s="91">
        <f t="shared" si="4"/>
        <v>3658.73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2439.15</v>
      </c>
      <c r="T29" s="96">
        <f t="shared" si="7"/>
        <v>2439.15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818</v>
      </c>
      <c r="C30" s="101" t="s">
        <v>819</v>
      </c>
      <c r="D30" s="88"/>
      <c r="E30" s="102" t="s">
        <v>138</v>
      </c>
      <c r="F30" s="103">
        <v>1</v>
      </c>
      <c r="G30" s="104">
        <v>3015.2</v>
      </c>
      <c r="H30" s="105">
        <f t="shared" si="0"/>
        <v>4160.9799999999996</v>
      </c>
      <c r="I30" s="106">
        <f t="shared" si="1"/>
        <v>4160.9799999999996</v>
      </c>
      <c r="J30" s="107"/>
      <c r="K30" s="108">
        <f t="shared" si="2"/>
        <v>1</v>
      </c>
      <c r="L30" s="105">
        <f t="shared" si="3"/>
        <v>2496.59</v>
      </c>
      <c r="M30" s="105">
        <f t="shared" si="4"/>
        <v>2496.59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1664.39</v>
      </c>
      <c r="T30" s="111">
        <f t="shared" si="7"/>
        <v>1664.39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820</v>
      </c>
      <c r="C31" s="114" t="s">
        <v>821</v>
      </c>
      <c r="D31" s="88"/>
      <c r="E31" s="89" t="s">
        <v>138</v>
      </c>
      <c r="F31" s="115">
        <v>1</v>
      </c>
      <c r="G31" s="96">
        <v>2537.3000000000002</v>
      </c>
      <c r="H31" s="91">
        <f t="shared" si="0"/>
        <v>3501.47</v>
      </c>
      <c r="I31" s="92">
        <f t="shared" si="1"/>
        <v>3501.47</v>
      </c>
      <c r="J31" s="107"/>
      <c r="K31" s="90">
        <f t="shared" si="2"/>
        <v>1</v>
      </c>
      <c r="L31" s="91">
        <f t="shared" si="3"/>
        <v>1750.74</v>
      </c>
      <c r="M31" s="91">
        <f t="shared" si="4"/>
        <v>1750.74</v>
      </c>
      <c r="N31" s="116"/>
      <c r="O31" s="95"/>
      <c r="P31" s="117"/>
      <c r="Q31" s="96"/>
      <c r="R31" s="96">
        <f t="shared" si="5"/>
        <v>0</v>
      </c>
      <c r="S31" s="96">
        <f t="shared" si="6"/>
        <v>1750.73</v>
      </c>
      <c r="T31" s="96">
        <f t="shared" si="7"/>
        <v>1750.73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822</v>
      </c>
      <c r="C32" s="101" t="s">
        <v>183</v>
      </c>
      <c r="D32" s="88"/>
      <c r="E32" s="102" t="s">
        <v>138</v>
      </c>
      <c r="F32" s="103">
        <v>1</v>
      </c>
      <c r="G32" s="104">
        <v>221.18</v>
      </c>
      <c r="H32" s="105">
        <f t="shared" si="0"/>
        <v>305.23</v>
      </c>
      <c r="I32" s="106">
        <f t="shared" si="1"/>
        <v>305.23</v>
      </c>
      <c r="J32" s="107"/>
      <c r="K32" s="108">
        <f t="shared" si="2"/>
        <v>1</v>
      </c>
      <c r="L32" s="105">
        <f t="shared" si="3"/>
        <v>152.62</v>
      </c>
      <c r="M32" s="105">
        <f t="shared" si="4"/>
        <v>152.62</v>
      </c>
      <c r="N32" s="109"/>
      <c r="O32" s="95"/>
      <c r="P32" s="100"/>
      <c r="Q32" s="104"/>
      <c r="R32" s="110">
        <f t="shared" si="5"/>
        <v>0</v>
      </c>
      <c r="S32" s="111">
        <f t="shared" si="6"/>
        <v>152.61000000000001</v>
      </c>
      <c r="T32" s="111">
        <f t="shared" si="7"/>
        <v>152.61000000000001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823</v>
      </c>
      <c r="C33" s="114" t="s">
        <v>824</v>
      </c>
      <c r="D33" s="88"/>
      <c r="E33" s="89" t="s">
        <v>138</v>
      </c>
      <c r="F33" s="115">
        <v>1</v>
      </c>
      <c r="G33" s="96">
        <v>2233.09</v>
      </c>
      <c r="H33" s="91">
        <f t="shared" si="0"/>
        <v>3081.66</v>
      </c>
      <c r="I33" s="92">
        <f t="shared" si="1"/>
        <v>3081.66</v>
      </c>
      <c r="J33" s="107"/>
      <c r="K33" s="90">
        <f t="shared" si="2"/>
        <v>1</v>
      </c>
      <c r="L33" s="91">
        <f t="shared" si="3"/>
        <v>1540.83</v>
      </c>
      <c r="M33" s="91">
        <f t="shared" si="4"/>
        <v>1540.83</v>
      </c>
      <c r="N33" s="116"/>
      <c r="O33" s="95"/>
      <c r="P33" s="117"/>
      <c r="Q33" s="96"/>
      <c r="R33" s="96">
        <f t="shared" si="5"/>
        <v>0</v>
      </c>
      <c r="S33" s="96">
        <f t="shared" si="6"/>
        <v>1540.83</v>
      </c>
      <c r="T33" s="96">
        <f t="shared" si="7"/>
        <v>1540.83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825</v>
      </c>
      <c r="C34" s="101" t="s">
        <v>258</v>
      </c>
      <c r="D34" s="88"/>
      <c r="E34" s="102" t="s">
        <v>138</v>
      </c>
      <c r="F34" s="103">
        <v>4</v>
      </c>
      <c r="G34" s="104">
        <v>769.6</v>
      </c>
      <c r="H34" s="105">
        <f t="shared" si="0"/>
        <v>1062.05</v>
      </c>
      <c r="I34" s="106">
        <f t="shared" si="1"/>
        <v>4248.2</v>
      </c>
      <c r="J34" s="107"/>
      <c r="K34" s="108">
        <f t="shared" si="2"/>
        <v>4</v>
      </c>
      <c r="L34" s="105">
        <f t="shared" si="3"/>
        <v>743.44</v>
      </c>
      <c r="M34" s="105">
        <f t="shared" si="4"/>
        <v>2973.76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318.61</v>
      </c>
      <c r="T34" s="111">
        <f t="shared" si="7"/>
        <v>1274.44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826</v>
      </c>
      <c r="C35" s="114" t="s">
        <v>827</v>
      </c>
      <c r="D35" s="88"/>
      <c r="E35" s="89" t="s">
        <v>138</v>
      </c>
      <c r="F35" s="115">
        <v>2</v>
      </c>
      <c r="G35" s="96">
        <v>1821.19</v>
      </c>
      <c r="H35" s="91">
        <f t="shared" si="0"/>
        <v>2513.2399999999998</v>
      </c>
      <c r="I35" s="92">
        <f t="shared" si="1"/>
        <v>5026.4799999999996</v>
      </c>
      <c r="J35" s="107"/>
      <c r="K35" s="90">
        <f t="shared" si="2"/>
        <v>2</v>
      </c>
      <c r="L35" s="91">
        <f t="shared" si="3"/>
        <v>1507.94</v>
      </c>
      <c r="M35" s="91">
        <f t="shared" si="4"/>
        <v>3015.88</v>
      </c>
      <c r="N35" s="116">
        <v>-0.1</v>
      </c>
      <c r="O35" s="95"/>
      <c r="P35" s="117"/>
      <c r="Q35" s="96"/>
      <c r="R35" s="96">
        <f t="shared" si="5"/>
        <v>0</v>
      </c>
      <c r="S35" s="96">
        <f t="shared" si="6"/>
        <v>1005.3</v>
      </c>
      <c r="T35" s="96">
        <f t="shared" si="7"/>
        <v>2010.6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565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828</v>
      </c>
      <c r="C37" s="114" t="s">
        <v>156</v>
      </c>
      <c r="D37" s="88"/>
      <c r="E37" s="89" t="s">
        <v>138</v>
      </c>
      <c r="F37" s="115">
        <v>1</v>
      </c>
      <c r="G37" s="96">
        <v>425.73</v>
      </c>
      <c r="H37" s="91">
        <f t="shared" si="0"/>
        <v>587.51</v>
      </c>
      <c r="I37" s="92">
        <f t="shared" si="1"/>
        <v>587.51</v>
      </c>
      <c r="J37" s="107"/>
      <c r="K37" s="90">
        <f t="shared" si="2"/>
        <v>1</v>
      </c>
      <c r="L37" s="91">
        <f t="shared" si="3"/>
        <v>411.26</v>
      </c>
      <c r="M37" s="91">
        <f t="shared" si="4"/>
        <v>411.26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176.25</v>
      </c>
      <c r="T37" s="96">
        <f t="shared" si="7"/>
        <v>176.25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829</v>
      </c>
      <c r="C38" s="101" t="s">
        <v>830</v>
      </c>
      <c r="D38" s="88"/>
      <c r="E38" s="102" t="s">
        <v>138</v>
      </c>
      <c r="F38" s="103">
        <v>8</v>
      </c>
      <c r="G38" s="104">
        <v>64.819999999999993</v>
      </c>
      <c r="H38" s="105">
        <f t="shared" si="0"/>
        <v>89.45</v>
      </c>
      <c r="I38" s="106">
        <f t="shared" si="1"/>
        <v>715.6</v>
      </c>
      <c r="J38" s="107"/>
      <c r="K38" s="108">
        <f t="shared" si="2"/>
        <v>8</v>
      </c>
      <c r="L38" s="105">
        <f t="shared" si="3"/>
        <v>62.62</v>
      </c>
      <c r="M38" s="105">
        <f t="shared" si="4"/>
        <v>500.96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26.83</v>
      </c>
      <c r="T38" s="111">
        <f t="shared" si="7"/>
        <v>214.64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831</v>
      </c>
      <c r="C39" s="114" t="s">
        <v>233</v>
      </c>
      <c r="D39" s="88"/>
      <c r="E39" s="89" t="s">
        <v>138</v>
      </c>
      <c r="F39" s="115">
        <v>8</v>
      </c>
      <c r="G39" s="96">
        <v>20.82</v>
      </c>
      <c r="H39" s="91">
        <f t="shared" si="0"/>
        <v>28.73</v>
      </c>
      <c r="I39" s="92">
        <f t="shared" si="1"/>
        <v>229.84</v>
      </c>
      <c r="J39" s="107"/>
      <c r="K39" s="90">
        <f t="shared" si="2"/>
        <v>8</v>
      </c>
      <c r="L39" s="91">
        <f t="shared" si="3"/>
        <v>20.11</v>
      </c>
      <c r="M39" s="91">
        <f t="shared" si="4"/>
        <v>160.88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8.6199999999999992</v>
      </c>
      <c r="T39" s="96">
        <f t="shared" si="7"/>
        <v>68.959999999999994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832</v>
      </c>
      <c r="C40" s="101" t="s">
        <v>833</v>
      </c>
      <c r="D40" s="88"/>
      <c r="E40" s="102" t="s">
        <v>138</v>
      </c>
      <c r="F40" s="103">
        <v>8</v>
      </c>
      <c r="G40" s="104">
        <v>7.08</v>
      </c>
      <c r="H40" s="105">
        <f t="shared" si="0"/>
        <v>9.77</v>
      </c>
      <c r="I40" s="106">
        <f t="shared" si="1"/>
        <v>78.16</v>
      </c>
      <c r="J40" s="107"/>
      <c r="K40" s="108">
        <f t="shared" si="2"/>
        <v>8</v>
      </c>
      <c r="L40" s="105">
        <f t="shared" si="3"/>
        <v>6.84</v>
      </c>
      <c r="M40" s="105">
        <f t="shared" si="4"/>
        <v>54.72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2.93</v>
      </c>
      <c r="T40" s="111">
        <f t="shared" si="7"/>
        <v>23.44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46</v>
      </c>
      <c r="G50" s="123">
        <f t="shared" si="10"/>
        <v>17888.940000000002</v>
      </c>
      <c r="H50" s="124">
        <f t="shared" si="10"/>
        <v>24686.739999999998</v>
      </c>
      <c r="I50" s="125">
        <f t="shared" si="10"/>
        <v>31281.779999999995</v>
      </c>
      <c r="J50" s="126"/>
      <c r="K50" s="127">
        <f t="shared" ref="K50:M50" si="11">SUM(K19:K49)</f>
        <v>46</v>
      </c>
      <c r="L50" s="124">
        <f t="shared" si="11"/>
        <v>14271.640000000003</v>
      </c>
      <c r="M50" s="125">
        <f t="shared" si="11"/>
        <v>18636.89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10415.100000000002</v>
      </c>
      <c r="T50" s="125">
        <f t="shared" si="12"/>
        <v>12644.890000000001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11" priority="1" stopIfTrue="1">
      <formula>$U$9&gt;100%</formula>
    </cfRule>
    <cfRule type="expression" dxfId="110" priority="2">
      <formula>$U$9&lt;50%</formula>
    </cfRule>
  </conditionalFormatting>
  <conditionalFormatting sqref="V9:V11">
    <cfRule type="expression" dxfId="109" priority="3">
      <formula>$V$9&lt;50%</formula>
    </cfRule>
    <cfRule type="expression" dxfId="108" priority="4">
      <formula>$V$9&gt;50%</formula>
    </cfRule>
  </conditionalFormatting>
  <dataValidations count="4">
    <dataValidation type="list" allowBlank="1" showErrorMessage="1" sqref="E19:E49" xr:uid="{00000000-0002-0000-2D00-000000000000}">
      <formula1>$Z$19:$Z$30</formula1>
    </dataValidation>
    <dataValidation type="list" allowBlank="1" showErrorMessage="1" sqref="I14" xr:uid="{00000000-0002-0000-2D00-000001000000}">
      <formula1>$Y$14:$Y$15</formula1>
    </dataValidation>
    <dataValidation type="list" allowBlank="1" showErrorMessage="1" sqref="J14" xr:uid="{00000000-0002-0000-2D00-000002000000}">
      <formula1>$L$9</formula1>
    </dataValidation>
    <dataValidation type="list" allowBlank="1" showErrorMessage="1" sqref="Q15 G18 L18 Q18" xr:uid="{00000000-0002-0000-2D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I11" sqref="I11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834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31281.779999999995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18637.77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12644.009999999995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835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0.40419726754679552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836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12644.01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18637.77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1171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803</v>
      </c>
      <c r="C20" s="101" t="s">
        <v>804</v>
      </c>
      <c r="D20" s="88"/>
      <c r="E20" s="102">
        <v>500</v>
      </c>
      <c r="F20" s="103">
        <v>1</v>
      </c>
      <c r="G20" s="104">
        <v>64.67</v>
      </c>
      <c r="H20" s="105">
        <f t="shared" si="0"/>
        <v>89.24</v>
      </c>
      <c r="I20" s="106">
        <f t="shared" si="1"/>
        <v>89.24</v>
      </c>
      <c r="J20" s="107"/>
      <c r="K20" s="108">
        <f t="shared" si="2"/>
        <v>1</v>
      </c>
      <c r="L20" s="105">
        <f t="shared" si="3"/>
        <v>44.62</v>
      </c>
      <c r="M20" s="105">
        <f t="shared" si="4"/>
        <v>44.62</v>
      </c>
      <c r="N20" s="109"/>
      <c r="O20" s="95"/>
      <c r="P20" s="100"/>
      <c r="Q20" s="104"/>
      <c r="R20" s="110">
        <f t="shared" si="5"/>
        <v>0</v>
      </c>
      <c r="S20" s="111">
        <f t="shared" si="6"/>
        <v>44.62</v>
      </c>
      <c r="T20" s="111">
        <f t="shared" si="7"/>
        <v>44.62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805</v>
      </c>
      <c r="C21" s="114" t="s">
        <v>743</v>
      </c>
      <c r="D21" s="88"/>
      <c r="E21" s="89">
        <v>500</v>
      </c>
      <c r="F21" s="115">
        <v>1</v>
      </c>
      <c r="G21" s="96">
        <v>35.020000000000003</v>
      </c>
      <c r="H21" s="91">
        <f t="shared" si="0"/>
        <v>48.33</v>
      </c>
      <c r="I21" s="92">
        <f t="shared" si="1"/>
        <v>48.33</v>
      </c>
      <c r="J21" s="107"/>
      <c r="K21" s="90">
        <f t="shared" si="2"/>
        <v>1</v>
      </c>
      <c r="L21" s="91">
        <f t="shared" si="3"/>
        <v>24.17</v>
      </c>
      <c r="M21" s="91">
        <f t="shared" si="4"/>
        <v>24.17</v>
      </c>
      <c r="N21" s="116"/>
      <c r="O21" s="95"/>
      <c r="P21" s="117"/>
      <c r="Q21" s="96"/>
      <c r="R21" s="96">
        <f t="shared" si="5"/>
        <v>0</v>
      </c>
      <c r="S21" s="96">
        <f t="shared" si="6"/>
        <v>24.16</v>
      </c>
      <c r="T21" s="96">
        <f t="shared" si="7"/>
        <v>24.16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806</v>
      </c>
      <c r="C22" s="101" t="s">
        <v>807</v>
      </c>
      <c r="D22" s="88"/>
      <c r="E22" s="102">
        <v>1000</v>
      </c>
      <c r="F22" s="103">
        <v>1</v>
      </c>
      <c r="G22" s="104">
        <v>87.96</v>
      </c>
      <c r="H22" s="105">
        <f t="shared" si="0"/>
        <v>121.38</v>
      </c>
      <c r="I22" s="106">
        <f t="shared" si="1"/>
        <v>121.38</v>
      </c>
      <c r="J22" s="107"/>
      <c r="K22" s="108">
        <f t="shared" si="2"/>
        <v>1</v>
      </c>
      <c r="L22" s="105">
        <f t="shared" si="3"/>
        <v>60.69</v>
      </c>
      <c r="M22" s="105">
        <f t="shared" si="4"/>
        <v>60.69</v>
      </c>
      <c r="N22" s="109"/>
      <c r="O22" s="95"/>
      <c r="P22" s="100"/>
      <c r="Q22" s="104"/>
      <c r="R22" s="110">
        <f t="shared" si="5"/>
        <v>0</v>
      </c>
      <c r="S22" s="111">
        <f t="shared" si="6"/>
        <v>60.69</v>
      </c>
      <c r="T22" s="111">
        <f t="shared" si="7"/>
        <v>60.69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808</v>
      </c>
      <c r="C23" s="114" t="s">
        <v>809</v>
      </c>
      <c r="D23" s="88"/>
      <c r="E23" s="89">
        <v>1000</v>
      </c>
      <c r="F23" s="115">
        <v>1</v>
      </c>
      <c r="G23" s="96">
        <v>6.36</v>
      </c>
      <c r="H23" s="91">
        <f t="shared" si="0"/>
        <v>8.7799999999999994</v>
      </c>
      <c r="I23" s="92">
        <f t="shared" si="1"/>
        <v>8.7799999999999994</v>
      </c>
      <c r="J23" s="107"/>
      <c r="K23" s="90">
        <f t="shared" si="2"/>
        <v>1</v>
      </c>
      <c r="L23" s="91">
        <f t="shared" si="3"/>
        <v>5.27</v>
      </c>
      <c r="M23" s="91">
        <f t="shared" si="4"/>
        <v>5.27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3.51</v>
      </c>
      <c r="T23" s="96">
        <f t="shared" si="7"/>
        <v>3.51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810</v>
      </c>
      <c r="C24" s="101" t="s">
        <v>128</v>
      </c>
      <c r="D24" s="88"/>
      <c r="E24" s="102">
        <v>2000</v>
      </c>
      <c r="F24" s="103">
        <v>1</v>
      </c>
      <c r="G24" s="104">
        <v>47.31</v>
      </c>
      <c r="H24" s="105">
        <f t="shared" si="0"/>
        <v>65.290000000000006</v>
      </c>
      <c r="I24" s="106">
        <f t="shared" si="1"/>
        <v>65.290000000000006</v>
      </c>
      <c r="J24" s="107"/>
      <c r="K24" s="108">
        <f t="shared" si="2"/>
        <v>1</v>
      </c>
      <c r="L24" s="105">
        <f t="shared" si="3"/>
        <v>39.17</v>
      </c>
      <c r="M24" s="105">
        <f t="shared" si="4"/>
        <v>39.17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26.12</v>
      </c>
      <c r="T24" s="111">
        <f t="shared" si="7"/>
        <v>26.12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811</v>
      </c>
      <c r="C25" s="114" t="s">
        <v>131</v>
      </c>
      <c r="D25" s="88"/>
      <c r="E25" s="89">
        <v>2000</v>
      </c>
      <c r="F25" s="115">
        <v>1</v>
      </c>
      <c r="G25" s="96">
        <v>42.86</v>
      </c>
      <c r="H25" s="91">
        <f t="shared" si="0"/>
        <v>59.15</v>
      </c>
      <c r="I25" s="92">
        <f t="shared" si="1"/>
        <v>59.15</v>
      </c>
      <c r="J25" s="107"/>
      <c r="K25" s="90">
        <f t="shared" si="2"/>
        <v>1</v>
      </c>
      <c r="L25" s="91">
        <f t="shared" si="3"/>
        <v>35.49</v>
      </c>
      <c r="M25" s="91">
        <f t="shared" si="4"/>
        <v>35.49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23.66</v>
      </c>
      <c r="T25" s="96">
        <f t="shared" si="7"/>
        <v>23.66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812</v>
      </c>
      <c r="C26" s="101" t="s">
        <v>134</v>
      </c>
      <c r="D26" s="88"/>
      <c r="E26" s="102">
        <v>2000</v>
      </c>
      <c r="F26" s="103">
        <v>1</v>
      </c>
      <c r="G26" s="104">
        <v>20.440000000000001</v>
      </c>
      <c r="H26" s="105">
        <f t="shared" si="0"/>
        <v>28.21</v>
      </c>
      <c r="I26" s="106">
        <f t="shared" si="1"/>
        <v>28.21</v>
      </c>
      <c r="J26" s="107"/>
      <c r="K26" s="108">
        <f t="shared" si="2"/>
        <v>1</v>
      </c>
      <c r="L26" s="105">
        <f t="shared" si="3"/>
        <v>16.93</v>
      </c>
      <c r="M26" s="105">
        <f t="shared" si="4"/>
        <v>16.93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11.28</v>
      </c>
      <c r="T26" s="111">
        <f t="shared" si="7"/>
        <v>11.28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813</v>
      </c>
      <c r="C27" s="114" t="s">
        <v>134</v>
      </c>
      <c r="D27" s="88"/>
      <c r="E27" s="89">
        <v>2000</v>
      </c>
      <c r="F27" s="115">
        <v>1</v>
      </c>
      <c r="G27" s="96">
        <v>23.12</v>
      </c>
      <c r="H27" s="91">
        <f t="shared" si="0"/>
        <v>31.91</v>
      </c>
      <c r="I27" s="92">
        <f t="shared" si="1"/>
        <v>31.91</v>
      </c>
      <c r="J27" s="107"/>
      <c r="K27" s="90">
        <f t="shared" si="2"/>
        <v>1</v>
      </c>
      <c r="L27" s="91">
        <f t="shared" si="3"/>
        <v>19.149999999999999</v>
      </c>
      <c r="M27" s="91">
        <f t="shared" si="4"/>
        <v>19.149999999999999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12.76</v>
      </c>
      <c r="T27" s="96">
        <f t="shared" si="7"/>
        <v>12.76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814</v>
      </c>
      <c r="C28" s="101" t="s">
        <v>815</v>
      </c>
      <c r="D28" s="88"/>
      <c r="E28" s="102" t="s">
        <v>138</v>
      </c>
      <c r="F28" s="103">
        <v>1</v>
      </c>
      <c r="G28" s="104">
        <v>2007.72</v>
      </c>
      <c r="H28" s="105">
        <f t="shared" si="0"/>
        <v>2770.65</v>
      </c>
      <c r="I28" s="106">
        <f t="shared" si="1"/>
        <v>2770.65</v>
      </c>
      <c r="J28" s="107"/>
      <c r="K28" s="108">
        <f t="shared" si="2"/>
        <v>1</v>
      </c>
      <c r="L28" s="105">
        <f t="shared" si="3"/>
        <v>1662.39</v>
      </c>
      <c r="M28" s="105">
        <f t="shared" si="4"/>
        <v>1662.39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1108.26</v>
      </c>
      <c r="T28" s="111">
        <f t="shared" si="7"/>
        <v>1108.26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816</v>
      </c>
      <c r="C29" s="114" t="s">
        <v>817</v>
      </c>
      <c r="D29" s="88"/>
      <c r="E29" s="89" t="s">
        <v>138</v>
      </c>
      <c r="F29" s="115">
        <v>1</v>
      </c>
      <c r="G29" s="96">
        <v>4418.75</v>
      </c>
      <c r="H29" s="91">
        <f t="shared" si="0"/>
        <v>6097.88</v>
      </c>
      <c r="I29" s="92">
        <f t="shared" si="1"/>
        <v>6097.88</v>
      </c>
      <c r="J29" s="107"/>
      <c r="K29" s="90">
        <f t="shared" si="2"/>
        <v>1</v>
      </c>
      <c r="L29" s="91">
        <f t="shared" si="3"/>
        <v>3658.73</v>
      </c>
      <c r="M29" s="91">
        <f t="shared" si="4"/>
        <v>3658.73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2439.15</v>
      </c>
      <c r="T29" s="96">
        <f t="shared" si="7"/>
        <v>2439.15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818</v>
      </c>
      <c r="C30" s="101" t="s">
        <v>819</v>
      </c>
      <c r="D30" s="88"/>
      <c r="E30" s="102" t="s">
        <v>138</v>
      </c>
      <c r="F30" s="103">
        <v>1</v>
      </c>
      <c r="G30" s="104">
        <v>3015.2</v>
      </c>
      <c r="H30" s="105">
        <f t="shared" si="0"/>
        <v>4160.9799999999996</v>
      </c>
      <c r="I30" s="106">
        <f t="shared" si="1"/>
        <v>4160.9799999999996</v>
      </c>
      <c r="J30" s="107"/>
      <c r="K30" s="108">
        <f t="shared" si="2"/>
        <v>1</v>
      </c>
      <c r="L30" s="105">
        <f t="shared" si="3"/>
        <v>2496.59</v>
      </c>
      <c r="M30" s="105">
        <f t="shared" si="4"/>
        <v>2496.59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1664.39</v>
      </c>
      <c r="T30" s="111">
        <f t="shared" si="7"/>
        <v>1664.39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820</v>
      </c>
      <c r="C31" s="114" t="s">
        <v>821</v>
      </c>
      <c r="D31" s="88"/>
      <c r="E31" s="89" t="s">
        <v>138</v>
      </c>
      <c r="F31" s="115">
        <v>1</v>
      </c>
      <c r="G31" s="96">
        <v>2537.3000000000002</v>
      </c>
      <c r="H31" s="91">
        <f t="shared" si="0"/>
        <v>3501.47</v>
      </c>
      <c r="I31" s="92">
        <f t="shared" si="1"/>
        <v>3501.47</v>
      </c>
      <c r="J31" s="107"/>
      <c r="K31" s="90">
        <f t="shared" si="2"/>
        <v>1</v>
      </c>
      <c r="L31" s="91">
        <f t="shared" si="3"/>
        <v>1750.74</v>
      </c>
      <c r="M31" s="91">
        <f t="shared" si="4"/>
        <v>1750.74</v>
      </c>
      <c r="N31" s="116"/>
      <c r="O31" s="95"/>
      <c r="P31" s="117"/>
      <c r="Q31" s="96"/>
      <c r="R31" s="96">
        <f t="shared" si="5"/>
        <v>0</v>
      </c>
      <c r="S31" s="96">
        <f t="shared" si="6"/>
        <v>1750.73</v>
      </c>
      <c r="T31" s="96">
        <f t="shared" si="7"/>
        <v>1750.73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822</v>
      </c>
      <c r="C32" s="101" t="s">
        <v>183</v>
      </c>
      <c r="D32" s="88"/>
      <c r="E32" s="102" t="s">
        <v>138</v>
      </c>
      <c r="F32" s="103">
        <v>1</v>
      </c>
      <c r="G32" s="104">
        <v>221.18</v>
      </c>
      <c r="H32" s="105">
        <f t="shared" si="0"/>
        <v>305.23</v>
      </c>
      <c r="I32" s="106">
        <f t="shared" si="1"/>
        <v>305.23</v>
      </c>
      <c r="J32" s="107"/>
      <c r="K32" s="108">
        <f t="shared" si="2"/>
        <v>1</v>
      </c>
      <c r="L32" s="105">
        <f t="shared" si="3"/>
        <v>152.62</v>
      </c>
      <c r="M32" s="105">
        <f t="shared" si="4"/>
        <v>152.62</v>
      </c>
      <c r="N32" s="109"/>
      <c r="O32" s="95"/>
      <c r="P32" s="100"/>
      <c r="Q32" s="104"/>
      <c r="R32" s="110">
        <f t="shared" si="5"/>
        <v>0</v>
      </c>
      <c r="S32" s="111">
        <f t="shared" si="6"/>
        <v>152.61000000000001</v>
      </c>
      <c r="T32" s="111">
        <f t="shared" si="7"/>
        <v>152.61000000000001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823</v>
      </c>
      <c r="C33" s="114" t="s">
        <v>824</v>
      </c>
      <c r="D33" s="88"/>
      <c r="E33" s="89" t="s">
        <v>138</v>
      </c>
      <c r="F33" s="115">
        <v>1</v>
      </c>
      <c r="G33" s="96">
        <v>2233.09</v>
      </c>
      <c r="H33" s="91">
        <f t="shared" si="0"/>
        <v>3081.66</v>
      </c>
      <c r="I33" s="92">
        <f t="shared" si="1"/>
        <v>3081.66</v>
      </c>
      <c r="J33" s="107"/>
      <c r="K33" s="90">
        <f t="shared" si="2"/>
        <v>1</v>
      </c>
      <c r="L33" s="91">
        <f t="shared" si="3"/>
        <v>1540.83</v>
      </c>
      <c r="M33" s="91">
        <f t="shared" si="4"/>
        <v>1540.83</v>
      </c>
      <c r="N33" s="116"/>
      <c r="O33" s="95"/>
      <c r="P33" s="117"/>
      <c r="Q33" s="96"/>
      <c r="R33" s="96">
        <f t="shared" si="5"/>
        <v>0</v>
      </c>
      <c r="S33" s="96">
        <f t="shared" si="6"/>
        <v>1540.83</v>
      </c>
      <c r="T33" s="96">
        <f t="shared" si="7"/>
        <v>1540.83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825</v>
      </c>
      <c r="C34" s="101" t="s">
        <v>258</v>
      </c>
      <c r="D34" s="88"/>
      <c r="E34" s="102" t="s">
        <v>138</v>
      </c>
      <c r="F34" s="103">
        <v>4</v>
      </c>
      <c r="G34" s="104">
        <v>769.6</v>
      </c>
      <c r="H34" s="105">
        <f t="shared" si="0"/>
        <v>1062.05</v>
      </c>
      <c r="I34" s="106">
        <f t="shared" si="1"/>
        <v>4248.2</v>
      </c>
      <c r="J34" s="107"/>
      <c r="K34" s="108">
        <f t="shared" si="2"/>
        <v>4</v>
      </c>
      <c r="L34" s="105">
        <f t="shared" si="3"/>
        <v>743.44</v>
      </c>
      <c r="M34" s="105">
        <f t="shared" si="4"/>
        <v>2973.76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318.61</v>
      </c>
      <c r="T34" s="111">
        <f t="shared" si="7"/>
        <v>1274.44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826</v>
      </c>
      <c r="C35" s="114" t="s">
        <v>827</v>
      </c>
      <c r="D35" s="88"/>
      <c r="E35" s="89" t="s">
        <v>138</v>
      </c>
      <c r="F35" s="115">
        <v>2</v>
      </c>
      <c r="G35" s="96">
        <v>1821.19</v>
      </c>
      <c r="H35" s="91">
        <f t="shared" si="0"/>
        <v>2513.2399999999998</v>
      </c>
      <c r="I35" s="92">
        <f t="shared" si="1"/>
        <v>5026.4799999999996</v>
      </c>
      <c r="J35" s="107"/>
      <c r="K35" s="90">
        <f t="shared" si="2"/>
        <v>2</v>
      </c>
      <c r="L35" s="91">
        <f t="shared" si="3"/>
        <v>1507.94</v>
      </c>
      <c r="M35" s="91">
        <f t="shared" si="4"/>
        <v>3015.88</v>
      </c>
      <c r="N35" s="116">
        <v>-0.1</v>
      </c>
      <c r="O35" s="95"/>
      <c r="P35" s="117"/>
      <c r="Q35" s="96"/>
      <c r="R35" s="96">
        <f t="shared" si="5"/>
        <v>0</v>
      </c>
      <c r="S35" s="96">
        <f t="shared" si="6"/>
        <v>1005.3</v>
      </c>
      <c r="T35" s="96">
        <f t="shared" si="7"/>
        <v>2010.6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565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828</v>
      </c>
      <c r="C37" s="114" t="s">
        <v>156</v>
      </c>
      <c r="D37" s="88"/>
      <c r="E37" s="89" t="s">
        <v>138</v>
      </c>
      <c r="F37" s="115">
        <v>1</v>
      </c>
      <c r="G37" s="96">
        <v>425.73</v>
      </c>
      <c r="H37" s="91">
        <f t="shared" si="0"/>
        <v>587.51</v>
      </c>
      <c r="I37" s="92">
        <f t="shared" si="1"/>
        <v>587.51</v>
      </c>
      <c r="J37" s="107"/>
      <c r="K37" s="90">
        <f t="shared" si="2"/>
        <v>1</v>
      </c>
      <c r="L37" s="91">
        <f t="shared" si="3"/>
        <v>411.26</v>
      </c>
      <c r="M37" s="91">
        <f t="shared" si="4"/>
        <v>411.26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176.25</v>
      </c>
      <c r="T37" s="96">
        <f t="shared" si="7"/>
        <v>176.25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829</v>
      </c>
      <c r="C38" s="101" t="s">
        <v>830</v>
      </c>
      <c r="D38" s="88"/>
      <c r="E38" s="102" t="s">
        <v>138</v>
      </c>
      <c r="F38" s="103">
        <v>8</v>
      </c>
      <c r="G38" s="104">
        <v>64.819999999999993</v>
      </c>
      <c r="H38" s="105">
        <f t="shared" si="0"/>
        <v>89.45</v>
      </c>
      <c r="I38" s="106">
        <f t="shared" si="1"/>
        <v>715.6</v>
      </c>
      <c r="J38" s="107"/>
      <c r="K38" s="108">
        <f t="shared" si="2"/>
        <v>8</v>
      </c>
      <c r="L38" s="105">
        <f t="shared" si="3"/>
        <v>62.62</v>
      </c>
      <c r="M38" s="105">
        <f t="shared" si="4"/>
        <v>500.96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26.83</v>
      </c>
      <c r="T38" s="111">
        <f t="shared" si="7"/>
        <v>214.64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831</v>
      </c>
      <c r="C39" s="114" t="s">
        <v>233</v>
      </c>
      <c r="D39" s="88"/>
      <c r="E39" s="89" t="s">
        <v>138</v>
      </c>
      <c r="F39" s="115">
        <v>8</v>
      </c>
      <c r="G39" s="96">
        <v>20.82</v>
      </c>
      <c r="H39" s="91">
        <f t="shared" si="0"/>
        <v>28.73</v>
      </c>
      <c r="I39" s="92">
        <f t="shared" si="1"/>
        <v>229.84</v>
      </c>
      <c r="J39" s="107"/>
      <c r="K39" s="90">
        <f t="shared" si="2"/>
        <v>8</v>
      </c>
      <c r="L39" s="91">
        <f t="shared" si="3"/>
        <v>20.11</v>
      </c>
      <c r="M39" s="91">
        <f t="shared" si="4"/>
        <v>160.88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8.6199999999999992</v>
      </c>
      <c r="T39" s="96">
        <f t="shared" si="7"/>
        <v>68.959999999999994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832</v>
      </c>
      <c r="C40" s="101" t="s">
        <v>833</v>
      </c>
      <c r="D40" s="88"/>
      <c r="E40" s="102" t="s">
        <v>138</v>
      </c>
      <c r="F40" s="103">
        <v>8</v>
      </c>
      <c r="G40" s="104">
        <v>7.08</v>
      </c>
      <c r="H40" s="105">
        <f t="shared" si="0"/>
        <v>9.77</v>
      </c>
      <c r="I40" s="106">
        <f t="shared" si="1"/>
        <v>78.16</v>
      </c>
      <c r="J40" s="107"/>
      <c r="K40" s="108">
        <f t="shared" si="2"/>
        <v>8</v>
      </c>
      <c r="L40" s="105">
        <f t="shared" si="3"/>
        <v>6.84</v>
      </c>
      <c r="M40" s="105">
        <f t="shared" si="4"/>
        <v>54.72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2.93</v>
      </c>
      <c r="T40" s="111">
        <f t="shared" si="7"/>
        <v>23.44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46</v>
      </c>
      <c r="G50" s="123">
        <f t="shared" si="10"/>
        <v>17888.940000000002</v>
      </c>
      <c r="H50" s="124">
        <f t="shared" si="10"/>
        <v>24686.739999999998</v>
      </c>
      <c r="I50" s="125">
        <f t="shared" si="10"/>
        <v>31281.779999999995</v>
      </c>
      <c r="J50" s="126"/>
      <c r="K50" s="127">
        <f t="shared" ref="K50:M50" si="11">SUM(K19:K49)</f>
        <v>46</v>
      </c>
      <c r="L50" s="124">
        <f t="shared" si="11"/>
        <v>14272.520000000004</v>
      </c>
      <c r="M50" s="125">
        <f t="shared" si="11"/>
        <v>18637.77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10414.220000000001</v>
      </c>
      <c r="T50" s="125">
        <f t="shared" si="12"/>
        <v>12644.01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07" priority="1" stopIfTrue="1">
      <formula>$U$9&gt;100%</formula>
    </cfRule>
    <cfRule type="expression" dxfId="106" priority="2">
      <formula>$U$9&lt;50%</formula>
    </cfRule>
  </conditionalFormatting>
  <conditionalFormatting sqref="V9:V11">
    <cfRule type="expression" dxfId="105" priority="3">
      <formula>$V$9&lt;50%</formula>
    </cfRule>
    <cfRule type="expression" dxfId="104" priority="4">
      <formula>$V$9&gt;50%</formula>
    </cfRule>
  </conditionalFormatting>
  <dataValidations count="4">
    <dataValidation type="list" allowBlank="1" showErrorMessage="1" sqref="E19:E49" xr:uid="{00000000-0002-0000-2E00-000000000000}">
      <formula1>$Z$19:$Z$30</formula1>
    </dataValidation>
    <dataValidation type="list" allowBlank="1" showErrorMessage="1" sqref="I14" xr:uid="{00000000-0002-0000-2E00-000001000000}">
      <formula1>$Y$14:$Y$15</formula1>
    </dataValidation>
    <dataValidation type="list" allowBlank="1" showErrorMessage="1" sqref="J14" xr:uid="{00000000-0002-0000-2E00-000002000000}">
      <formula1>$L$9</formula1>
    </dataValidation>
    <dataValidation type="list" allowBlank="1" showErrorMessage="1" sqref="Q15 G18 L18 Q18" xr:uid="{00000000-0002-0000-2E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I10" sqref="I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837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31281.779999999995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18637.77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12644.009999999995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838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0.40419726754679552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839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12644.01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18637.77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1171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803</v>
      </c>
      <c r="C20" s="101" t="s">
        <v>804</v>
      </c>
      <c r="D20" s="88"/>
      <c r="E20" s="102">
        <v>500</v>
      </c>
      <c r="F20" s="103">
        <v>1</v>
      </c>
      <c r="G20" s="104">
        <v>64.67</v>
      </c>
      <c r="H20" s="105">
        <f t="shared" si="0"/>
        <v>89.24</v>
      </c>
      <c r="I20" s="106">
        <f t="shared" si="1"/>
        <v>89.24</v>
      </c>
      <c r="J20" s="107"/>
      <c r="K20" s="108">
        <f t="shared" si="2"/>
        <v>1</v>
      </c>
      <c r="L20" s="105">
        <f t="shared" si="3"/>
        <v>44.62</v>
      </c>
      <c r="M20" s="105">
        <f t="shared" si="4"/>
        <v>44.62</v>
      </c>
      <c r="N20" s="109"/>
      <c r="O20" s="95"/>
      <c r="P20" s="100"/>
      <c r="Q20" s="104"/>
      <c r="R20" s="110">
        <f t="shared" si="5"/>
        <v>0</v>
      </c>
      <c r="S20" s="111">
        <f t="shared" si="6"/>
        <v>44.62</v>
      </c>
      <c r="T20" s="111">
        <f t="shared" si="7"/>
        <v>44.62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805</v>
      </c>
      <c r="C21" s="114" t="s">
        <v>743</v>
      </c>
      <c r="D21" s="88"/>
      <c r="E21" s="89">
        <v>500</v>
      </c>
      <c r="F21" s="115">
        <v>1</v>
      </c>
      <c r="G21" s="96">
        <v>35.020000000000003</v>
      </c>
      <c r="H21" s="91">
        <f t="shared" si="0"/>
        <v>48.33</v>
      </c>
      <c r="I21" s="92">
        <f t="shared" si="1"/>
        <v>48.33</v>
      </c>
      <c r="J21" s="107"/>
      <c r="K21" s="90">
        <f t="shared" si="2"/>
        <v>1</v>
      </c>
      <c r="L21" s="91">
        <f t="shared" si="3"/>
        <v>24.17</v>
      </c>
      <c r="M21" s="91">
        <f t="shared" si="4"/>
        <v>24.17</v>
      </c>
      <c r="N21" s="116"/>
      <c r="O21" s="95"/>
      <c r="P21" s="117"/>
      <c r="Q21" s="96"/>
      <c r="R21" s="96">
        <f t="shared" si="5"/>
        <v>0</v>
      </c>
      <c r="S21" s="96">
        <f t="shared" si="6"/>
        <v>24.16</v>
      </c>
      <c r="T21" s="96">
        <f t="shared" si="7"/>
        <v>24.16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806</v>
      </c>
      <c r="C22" s="101" t="s">
        <v>807</v>
      </c>
      <c r="D22" s="88"/>
      <c r="E22" s="102">
        <v>1000</v>
      </c>
      <c r="F22" s="103">
        <v>1</v>
      </c>
      <c r="G22" s="104">
        <v>87.96</v>
      </c>
      <c r="H22" s="105">
        <f t="shared" si="0"/>
        <v>121.38</v>
      </c>
      <c r="I22" s="106">
        <f t="shared" si="1"/>
        <v>121.38</v>
      </c>
      <c r="J22" s="107"/>
      <c r="K22" s="108">
        <f t="shared" si="2"/>
        <v>1</v>
      </c>
      <c r="L22" s="105">
        <f t="shared" si="3"/>
        <v>60.69</v>
      </c>
      <c r="M22" s="105">
        <f t="shared" si="4"/>
        <v>60.69</v>
      </c>
      <c r="N22" s="109"/>
      <c r="O22" s="95"/>
      <c r="P22" s="100"/>
      <c r="Q22" s="104"/>
      <c r="R22" s="110">
        <f t="shared" si="5"/>
        <v>0</v>
      </c>
      <c r="S22" s="111">
        <f t="shared" si="6"/>
        <v>60.69</v>
      </c>
      <c r="T22" s="111">
        <f t="shared" si="7"/>
        <v>60.69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808</v>
      </c>
      <c r="C23" s="114" t="s">
        <v>809</v>
      </c>
      <c r="D23" s="88"/>
      <c r="E23" s="89">
        <v>1000</v>
      </c>
      <c r="F23" s="115">
        <v>1</v>
      </c>
      <c r="G23" s="96">
        <v>6.36</v>
      </c>
      <c r="H23" s="91">
        <f t="shared" si="0"/>
        <v>8.7799999999999994</v>
      </c>
      <c r="I23" s="92">
        <f t="shared" si="1"/>
        <v>8.7799999999999994</v>
      </c>
      <c r="J23" s="107"/>
      <c r="K23" s="90">
        <f t="shared" si="2"/>
        <v>1</v>
      </c>
      <c r="L23" s="91">
        <f t="shared" si="3"/>
        <v>5.27</v>
      </c>
      <c r="M23" s="91">
        <f t="shared" si="4"/>
        <v>5.27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3.51</v>
      </c>
      <c r="T23" s="96">
        <f t="shared" si="7"/>
        <v>3.51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810</v>
      </c>
      <c r="C24" s="101" t="s">
        <v>128</v>
      </c>
      <c r="D24" s="88"/>
      <c r="E24" s="102">
        <v>2000</v>
      </c>
      <c r="F24" s="103">
        <v>1</v>
      </c>
      <c r="G24" s="104">
        <v>47.31</v>
      </c>
      <c r="H24" s="105">
        <f t="shared" si="0"/>
        <v>65.290000000000006</v>
      </c>
      <c r="I24" s="106">
        <f t="shared" si="1"/>
        <v>65.290000000000006</v>
      </c>
      <c r="J24" s="107"/>
      <c r="K24" s="108">
        <f t="shared" si="2"/>
        <v>1</v>
      </c>
      <c r="L24" s="105">
        <f t="shared" si="3"/>
        <v>39.17</v>
      </c>
      <c r="M24" s="105">
        <f t="shared" si="4"/>
        <v>39.17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26.12</v>
      </c>
      <c r="T24" s="111">
        <f t="shared" si="7"/>
        <v>26.12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811</v>
      </c>
      <c r="C25" s="114" t="s">
        <v>131</v>
      </c>
      <c r="D25" s="88"/>
      <c r="E25" s="89">
        <v>2000</v>
      </c>
      <c r="F25" s="115">
        <v>1</v>
      </c>
      <c r="G25" s="96">
        <v>42.86</v>
      </c>
      <c r="H25" s="91">
        <f t="shared" si="0"/>
        <v>59.15</v>
      </c>
      <c r="I25" s="92">
        <f t="shared" si="1"/>
        <v>59.15</v>
      </c>
      <c r="J25" s="107"/>
      <c r="K25" s="90">
        <f t="shared" si="2"/>
        <v>1</v>
      </c>
      <c r="L25" s="91">
        <f t="shared" si="3"/>
        <v>35.49</v>
      </c>
      <c r="M25" s="91">
        <f t="shared" si="4"/>
        <v>35.49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23.66</v>
      </c>
      <c r="T25" s="96">
        <f t="shared" si="7"/>
        <v>23.66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812</v>
      </c>
      <c r="C26" s="101" t="s">
        <v>134</v>
      </c>
      <c r="D26" s="88"/>
      <c r="E26" s="102">
        <v>2000</v>
      </c>
      <c r="F26" s="103">
        <v>1</v>
      </c>
      <c r="G26" s="104">
        <v>20.440000000000001</v>
      </c>
      <c r="H26" s="105">
        <f t="shared" si="0"/>
        <v>28.21</v>
      </c>
      <c r="I26" s="106">
        <f t="shared" si="1"/>
        <v>28.21</v>
      </c>
      <c r="J26" s="107"/>
      <c r="K26" s="108">
        <f t="shared" si="2"/>
        <v>1</v>
      </c>
      <c r="L26" s="105">
        <f t="shared" si="3"/>
        <v>16.93</v>
      </c>
      <c r="M26" s="105">
        <f t="shared" si="4"/>
        <v>16.93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11.28</v>
      </c>
      <c r="T26" s="111">
        <f t="shared" si="7"/>
        <v>11.28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813</v>
      </c>
      <c r="C27" s="114" t="s">
        <v>134</v>
      </c>
      <c r="D27" s="88"/>
      <c r="E27" s="89">
        <v>2000</v>
      </c>
      <c r="F27" s="115">
        <v>1</v>
      </c>
      <c r="G27" s="96">
        <v>23.12</v>
      </c>
      <c r="H27" s="91">
        <f t="shared" si="0"/>
        <v>31.91</v>
      </c>
      <c r="I27" s="92">
        <f t="shared" si="1"/>
        <v>31.91</v>
      </c>
      <c r="J27" s="107"/>
      <c r="K27" s="90">
        <f t="shared" si="2"/>
        <v>1</v>
      </c>
      <c r="L27" s="91">
        <f t="shared" si="3"/>
        <v>19.149999999999999</v>
      </c>
      <c r="M27" s="91">
        <f t="shared" si="4"/>
        <v>19.149999999999999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12.76</v>
      </c>
      <c r="T27" s="96">
        <f t="shared" si="7"/>
        <v>12.76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814</v>
      </c>
      <c r="C28" s="101" t="s">
        <v>815</v>
      </c>
      <c r="D28" s="88"/>
      <c r="E28" s="102" t="s">
        <v>138</v>
      </c>
      <c r="F28" s="103">
        <v>1</v>
      </c>
      <c r="G28" s="104">
        <v>2007.72</v>
      </c>
      <c r="H28" s="105">
        <f t="shared" si="0"/>
        <v>2770.65</v>
      </c>
      <c r="I28" s="106">
        <f t="shared" si="1"/>
        <v>2770.65</v>
      </c>
      <c r="J28" s="107"/>
      <c r="K28" s="108">
        <f t="shared" si="2"/>
        <v>1</v>
      </c>
      <c r="L28" s="105">
        <f t="shared" si="3"/>
        <v>1662.39</v>
      </c>
      <c r="M28" s="105">
        <f t="shared" si="4"/>
        <v>1662.39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1108.26</v>
      </c>
      <c r="T28" s="111">
        <f t="shared" si="7"/>
        <v>1108.26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816</v>
      </c>
      <c r="C29" s="114" t="s">
        <v>817</v>
      </c>
      <c r="D29" s="88"/>
      <c r="E29" s="89" t="s">
        <v>138</v>
      </c>
      <c r="F29" s="115">
        <v>1</v>
      </c>
      <c r="G29" s="96">
        <v>4418.75</v>
      </c>
      <c r="H29" s="91">
        <f t="shared" si="0"/>
        <v>6097.88</v>
      </c>
      <c r="I29" s="92">
        <f t="shared" si="1"/>
        <v>6097.88</v>
      </c>
      <c r="J29" s="107"/>
      <c r="K29" s="90">
        <f t="shared" si="2"/>
        <v>1</v>
      </c>
      <c r="L29" s="91">
        <f t="shared" si="3"/>
        <v>3658.73</v>
      </c>
      <c r="M29" s="91">
        <f t="shared" si="4"/>
        <v>3658.73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2439.15</v>
      </c>
      <c r="T29" s="96">
        <f t="shared" si="7"/>
        <v>2439.15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818</v>
      </c>
      <c r="C30" s="101" t="s">
        <v>819</v>
      </c>
      <c r="D30" s="88"/>
      <c r="E30" s="102" t="s">
        <v>138</v>
      </c>
      <c r="F30" s="103">
        <v>1</v>
      </c>
      <c r="G30" s="104">
        <v>3015.2</v>
      </c>
      <c r="H30" s="105">
        <f t="shared" si="0"/>
        <v>4160.9799999999996</v>
      </c>
      <c r="I30" s="106">
        <f t="shared" si="1"/>
        <v>4160.9799999999996</v>
      </c>
      <c r="J30" s="107"/>
      <c r="K30" s="108">
        <f t="shared" si="2"/>
        <v>1</v>
      </c>
      <c r="L30" s="105">
        <f t="shared" si="3"/>
        <v>2496.59</v>
      </c>
      <c r="M30" s="105">
        <f t="shared" si="4"/>
        <v>2496.59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1664.39</v>
      </c>
      <c r="T30" s="111">
        <f t="shared" si="7"/>
        <v>1664.39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820</v>
      </c>
      <c r="C31" s="114" t="s">
        <v>821</v>
      </c>
      <c r="D31" s="88"/>
      <c r="E31" s="89" t="s">
        <v>138</v>
      </c>
      <c r="F31" s="115">
        <v>1</v>
      </c>
      <c r="G31" s="96">
        <v>2537.3000000000002</v>
      </c>
      <c r="H31" s="91">
        <f t="shared" si="0"/>
        <v>3501.47</v>
      </c>
      <c r="I31" s="92">
        <f t="shared" si="1"/>
        <v>3501.47</v>
      </c>
      <c r="J31" s="107"/>
      <c r="K31" s="90">
        <f t="shared" si="2"/>
        <v>1</v>
      </c>
      <c r="L31" s="91">
        <f t="shared" si="3"/>
        <v>1750.74</v>
      </c>
      <c r="M31" s="91">
        <f t="shared" si="4"/>
        <v>1750.74</v>
      </c>
      <c r="N31" s="116"/>
      <c r="O31" s="95"/>
      <c r="P31" s="117"/>
      <c r="Q31" s="96"/>
      <c r="R31" s="96">
        <f t="shared" si="5"/>
        <v>0</v>
      </c>
      <c r="S31" s="96">
        <f t="shared" si="6"/>
        <v>1750.73</v>
      </c>
      <c r="T31" s="96">
        <f t="shared" si="7"/>
        <v>1750.73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822</v>
      </c>
      <c r="C32" s="101" t="s">
        <v>183</v>
      </c>
      <c r="D32" s="88"/>
      <c r="E32" s="102" t="s">
        <v>138</v>
      </c>
      <c r="F32" s="103">
        <v>1</v>
      </c>
      <c r="G32" s="104">
        <v>221.18</v>
      </c>
      <c r="H32" s="105">
        <f t="shared" si="0"/>
        <v>305.23</v>
      </c>
      <c r="I32" s="106">
        <f t="shared" si="1"/>
        <v>305.23</v>
      </c>
      <c r="J32" s="107"/>
      <c r="K32" s="108">
        <f t="shared" si="2"/>
        <v>1</v>
      </c>
      <c r="L32" s="105">
        <f t="shared" si="3"/>
        <v>152.62</v>
      </c>
      <c r="M32" s="105">
        <f t="shared" si="4"/>
        <v>152.62</v>
      </c>
      <c r="N32" s="109"/>
      <c r="O32" s="95"/>
      <c r="P32" s="100"/>
      <c r="Q32" s="104"/>
      <c r="R32" s="110">
        <f t="shared" si="5"/>
        <v>0</v>
      </c>
      <c r="S32" s="111">
        <f t="shared" si="6"/>
        <v>152.61000000000001</v>
      </c>
      <c r="T32" s="111">
        <f t="shared" si="7"/>
        <v>152.61000000000001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823</v>
      </c>
      <c r="C33" s="114" t="s">
        <v>824</v>
      </c>
      <c r="D33" s="88"/>
      <c r="E33" s="89" t="s">
        <v>138</v>
      </c>
      <c r="F33" s="115">
        <v>1</v>
      </c>
      <c r="G33" s="96">
        <v>2233.09</v>
      </c>
      <c r="H33" s="91">
        <f t="shared" si="0"/>
        <v>3081.66</v>
      </c>
      <c r="I33" s="92">
        <f t="shared" si="1"/>
        <v>3081.66</v>
      </c>
      <c r="J33" s="107"/>
      <c r="K33" s="90">
        <f t="shared" si="2"/>
        <v>1</v>
      </c>
      <c r="L33" s="91">
        <f t="shared" si="3"/>
        <v>1540.83</v>
      </c>
      <c r="M33" s="91">
        <f t="shared" si="4"/>
        <v>1540.83</v>
      </c>
      <c r="N33" s="116"/>
      <c r="O33" s="95"/>
      <c r="P33" s="117"/>
      <c r="Q33" s="96"/>
      <c r="R33" s="96">
        <f t="shared" si="5"/>
        <v>0</v>
      </c>
      <c r="S33" s="96">
        <f t="shared" si="6"/>
        <v>1540.83</v>
      </c>
      <c r="T33" s="96">
        <f t="shared" si="7"/>
        <v>1540.83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825</v>
      </c>
      <c r="C34" s="101" t="s">
        <v>258</v>
      </c>
      <c r="D34" s="88"/>
      <c r="E34" s="102" t="s">
        <v>138</v>
      </c>
      <c r="F34" s="103">
        <v>4</v>
      </c>
      <c r="G34" s="104">
        <v>769.6</v>
      </c>
      <c r="H34" s="105">
        <f t="shared" si="0"/>
        <v>1062.05</v>
      </c>
      <c r="I34" s="106">
        <f t="shared" si="1"/>
        <v>4248.2</v>
      </c>
      <c r="J34" s="107"/>
      <c r="K34" s="108">
        <f t="shared" si="2"/>
        <v>4</v>
      </c>
      <c r="L34" s="105">
        <f t="shared" si="3"/>
        <v>743.44</v>
      </c>
      <c r="M34" s="105">
        <f t="shared" si="4"/>
        <v>2973.76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318.61</v>
      </c>
      <c r="T34" s="111">
        <f t="shared" si="7"/>
        <v>1274.44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826</v>
      </c>
      <c r="C35" s="114" t="s">
        <v>827</v>
      </c>
      <c r="D35" s="88"/>
      <c r="E35" s="89" t="s">
        <v>138</v>
      </c>
      <c r="F35" s="115">
        <v>2</v>
      </c>
      <c r="G35" s="96">
        <v>1821.19</v>
      </c>
      <c r="H35" s="91">
        <f t="shared" si="0"/>
        <v>2513.2399999999998</v>
      </c>
      <c r="I35" s="92">
        <f t="shared" si="1"/>
        <v>5026.4799999999996</v>
      </c>
      <c r="J35" s="107"/>
      <c r="K35" s="90">
        <f t="shared" si="2"/>
        <v>2</v>
      </c>
      <c r="L35" s="91">
        <f t="shared" si="3"/>
        <v>1507.94</v>
      </c>
      <c r="M35" s="91">
        <f t="shared" si="4"/>
        <v>3015.88</v>
      </c>
      <c r="N35" s="116">
        <v>-0.1</v>
      </c>
      <c r="O35" s="95"/>
      <c r="P35" s="117"/>
      <c r="Q35" s="96"/>
      <c r="R35" s="96">
        <f t="shared" si="5"/>
        <v>0</v>
      </c>
      <c r="S35" s="96">
        <f t="shared" si="6"/>
        <v>1005.3</v>
      </c>
      <c r="T35" s="96">
        <f t="shared" si="7"/>
        <v>2010.6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565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828</v>
      </c>
      <c r="C37" s="114" t="s">
        <v>156</v>
      </c>
      <c r="D37" s="88"/>
      <c r="E37" s="89" t="s">
        <v>138</v>
      </c>
      <c r="F37" s="115">
        <v>1</v>
      </c>
      <c r="G37" s="96">
        <v>425.73</v>
      </c>
      <c r="H37" s="91">
        <f t="shared" si="0"/>
        <v>587.51</v>
      </c>
      <c r="I37" s="92">
        <f t="shared" si="1"/>
        <v>587.51</v>
      </c>
      <c r="J37" s="107"/>
      <c r="K37" s="90">
        <f t="shared" si="2"/>
        <v>1</v>
      </c>
      <c r="L37" s="91">
        <f t="shared" si="3"/>
        <v>411.26</v>
      </c>
      <c r="M37" s="91">
        <f t="shared" si="4"/>
        <v>411.26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176.25</v>
      </c>
      <c r="T37" s="96">
        <f t="shared" si="7"/>
        <v>176.25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829</v>
      </c>
      <c r="C38" s="101" t="s">
        <v>830</v>
      </c>
      <c r="D38" s="88"/>
      <c r="E38" s="102" t="s">
        <v>138</v>
      </c>
      <c r="F38" s="103">
        <v>8</v>
      </c>
      <c r="G38" s="104">
        <v>64.819999999999993</v>
      </c>
      <c r="H38" s="105">
        <f t="shared" si="0"/>
        <v>89.45</v>
      </c>
      <c r="I38" s="106">
        <f t="shared" si="1"/>
        <v>715.6</v>
      </c>
      <c r="J38" s="107"/>
      <c r="K38" s="108">
        <f t="shared" si="2"/>
        <v>8</v>
      </c>
      <c r="L38" s="105">
        <f t="shared" si="3"/>
        <v>62.62</v>
      </c>
      <c r="M38" s="105">
        <f t="shared" si="4"/>
        <v>500.96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26.83</v>
      </c>
      <c r="T38" s="111">
        <f t="shared" si="7"/>
        <v>214.64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831</v>
      </c>
      <c r="C39" s="114" t="s">
        <v>233</v>
      </c>
      <c r="D39" s="88"/>
      <c r="E39" s="89" t="s">
        <v>138</v>
      </c>
      <c r="F39" s="115">
        <v>8</v>
      </c>
      <c r="G39" s="96">
        <v>20.82</v>
      </c>
      <c r="H39" s="91">
        <f t="shared" si="0"/>
        <v>28.73</v>
      </c>
      <c r="I39" s="92">
        <f t="shared" si="1"/>
        <v>229.84</v>
      </c>
      <c r="J39" s="107"/>
      <c r="K39" s="90">
        <f t="shared" si="2"/>
        <v>8</v>
      </c>
      <c r="L39" s="91">
        <f t="shared" si="3"/>
        <v>20.11</v>
      </c>
      <c r="M39" s="91">
        <f t="shared" si="4"/>
        <v>160.88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8.6199999999999992</v>
      </c>
      <c r="T39" s="96">
        <f t="shared" si="7"/>
        <v>68.959999999999994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832</v>
      </c>
      <c r="C40" s="101" t="s">
        <v>833</v>
      </c>
      <c r="D40" s="88"/>
      <c r="E40" s="102" t="s">
        <v>138</v>
      </c>
      <c r="F40" s="103">
        <v>8</v>
      </c>
      <c r="G40" s="104">
        <v>7.08</v>
      </c>
      <c r="H40" s="105">
        <f t="shared" si="0"/>
        <v>9.77</v>
      </c>
      <c r="I40" s="106">
        <f t="shared" si="1"/>
        <v>78.16</v>
      </c>
      <c r="J40" s="107"/>
      <c r="K40" s="108">
        <f t="shared" si="2"/>
        <v>8</v>
      </c>
      <c r="L40" s="105">
        <f t="shared" si="3"/>
        <v>6.84</v>
      </c>
      <c r="M40" s="105">
        <f t="shared" si="4"/>
        <v>54.72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2.93</v>
      </c>
      <c r="T40" s="111">
        <f t="shared" si="7"/>
        <v>23.44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46</v>
      </c>
      <c r="G50" s="123">
        <f t="shared" si="10"/>
        <v>17888.940000000002</v>
      </c>
      <c r="H50" s="124">
        <f t="shared" si="10"/>
        <v>24686.739999999998</v>
      </c>
      <c r="I50" s="125">
        <f t="shared" si="10"/>
        <v>31281.779999999995</v>
      </c>
      <c r="J50" s="126"/>
      <c r="K50" s="127">
        <f t="shared" ref="K50:M50" si="11">SUM(K19:K49)</f>
        <v>46</v>
      </c>
      <c r="L50" s="124">
        <f t="shared" si="11"/>
        <v>14272.520000000004</v>
      </c>
      <c r="M50" s="125">
        <f t="shared" si="11"/>
        <v>18637.77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10414.220000000001</v>
      </c>
      <c r="T50" s="125">
        <f t="shared" si="12"/>
        <v>12644.01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03" priority="1" stopIfTrue="1">
      <formula>$U$9&gt;100%</formula>
    </cfRule>
    <cfRule type="expression" dxfId="102" priority="2">
      <formula>$U$9&lt;50%</formula>
    </cfRule>
  </conditionalFormatting>
  <conditionalFormatting sqref="V9:V11">
    <cfRule type="expression" dxfId="101" priority="3">
      <formula>$V$9&lt;50%</formula>
    </cfRule>
    <cfRule type="expression" dxfId="100" priority="4">
      <formula>$V$9&gt;50%</formula>
    </cfRule>
  </conditionalFormatting>
  <dataValidations count="4">
    <dataValidation type="list" allowBlank="1" showErrorMessage="1" sqref="E19:E49" xr:uid="{00000000-0002-0000-2F00-000000000000}">
      <formula1>$Z$19:$Z$30</formula1>
    </dataValidation>
    <dataValidation type="list" allowBlank="1" showErrorMessage="1" sqref="I14" xr:uid="{00000000-0002-0000-2F00-000001000000}">
      <formula1>$Y$14:$Y$15</formula1>
    </dataValidation>
    <dataValidation type="list" allowBlank="1" showErrorMessage="1" sqref="J14" xr:uid="{00000000-0002-0000-2F00-000002000000}">
      <formula1>$L$9</formula1>
    </dataValidation>
    <dataValidation type="list" allowBlank="1" showErrorMessage="1" sqref="Q15 G18 L18 Q18" xr:uid="{00000000-0002-0000-2F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Z50"/>
  <sheetViews>
    <sheetView workbookViewId="0">
      <pane ySplit="18" topLeftCell="A24" activePane="bottomLeft" state="frozen"/>
      <selection pane="bottomLeft" activeCell="I10" sqref="I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840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14092.28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8172.35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5919.93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841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0.42008319448662673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842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5919.9299999999994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8172.35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1164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843</v>
      </c>
      <c r="C19" s="87" t="s">
        <v>844</v>
      </c>
      <c r="D19" s="88"/>
      <c r="E19" s="89">
        <v>500</v>
      </c>
      <c r="F19" s="90">
        <v>1</v>
      </c>
      <c r="G19" s="91">
        <v>14.98</v>
      </c>
      <c r="H19" s="91">
        <f t="shared" ref="H19:H49" si="0">ROUND(IF($G$18="USD $", G19*$F$16,G19*$E$16),2)</f>
        <v>20.67</v>
      </c>
      <c r="I19" s="92">
        <f t="shared" ref="I19:I49" si="1">ROUND(IF($I$18=$H$18,F19*H19,F19*G19),2)</f>
        <v>20.67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10.34</v>
      </c>
      <c r="M19" s="91">
        <f t="shared" ref="M19:M49" si="4">ROUND((K19*L19),2)</f>
        <v>10.34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10.33</v>
      </c>
      <c r="T19" s="96">
        <f t="shared" ref="T19:T49" si="7">ROUND(I19-M19,2)</f>
        <v>10.33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845</v>
      </c>
      <c r="C20" s="101" t="s">
        <v>118</v>
      </c>
      <c r="D20" s="88"/>
      <c r="E20" s="102">
        <v>500</v>
      </c>
      <c r="F20" s="103">
        <v>1</v>
      </c>
      <c r="G20" s="104">
        <v>49.24</v>
      </c>
      <c r="H20" s="105">
        <f t="shared" si="0"/>
        <v>67.95</v>
      </c>
      <c r="I20" s="106">
        <f t="shared" si="1"/>
        <v>67.95</v>
      </c>
      <c r="J20" s="107"/>
      <c r="K20" s="108">
        <f t="shared" si="2"/>
        <v>1</v>
      </c>
      <c r="L20" s="105">
        <f t="shared" si="3"/>
        <v>33.979999999999997</v>
      </c>
      <c r="M20" s="105">
        <f t="shared" si="4"/>
        <v>33.979999999999997</v>
      </c>
      <c r="N20" s="109"/>
      <c r="O20" s="95"/>
      <c r="P20" s="100"/>
      <c r="Q20" s="104"/>
      <c r="R20" s="110">
        <f t="shared" si="5"/>
        <v>0</v>
      </c>
      <c r="S20" s="111">
        <f t="shared" si="6"/>
        <v>33.97</v>
      </c>
      <c r="T20" s="111">
        <f t="shared" si="7"/>
        <v>33.97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846</v>
      </c>
      <c r="C21" s="114" t="s">
        <v>174</v>
      </c>
      <c r="D21" s="88"/>
      <c r="E21" s="89">
        <v>1000</v>
      </c>
      <c r="F21" s="115">
        <v>1</v>
      </c>
      <c r="G21" s="96">
        <v>87.88</v>
      </c>
      <c r="H21" s="91">
        <f t="shared" si="0"/>
        <v>121.27</v>
      </c>
      <c r="I21" s="92">
        <f t="shared" si="1"/>
        <v>121.27</v>
      </c>
      <c r="J21" s="107"/>
      <c r="K21" s="90">
        <f t="shared" si="2"/>
        <v>1</v>
      </c>
      <c r="L21" s="91">
        <f t="shared" si="3"/>
        <v>60.64</v>
      </c>
      <c r="M21" s="91">
        <f t="shared" si="4"/>
        <v>60.64</v>
      </c>
      <c r="N21" s="116"/>
      <c r="O21" s="95"/>
      <c r="P21" s="117"/>
      <c r="Q21" s="96"/>
      <c r="R21" s="96">
        <f t="shared" si="5"/>
        <v>0</v>
      </c>
      <c r="S21" s="96">
        <f t="shared" si="6"/>
        <v>60.63</v>
      </c>
      <c r="T21" s="96">
        <f t="shared" si="7"/>
        <v>60.63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847</v>
      </c>
      <c r="C22" s="101" t="s">
        <v>128</v>
      </c>
      <c r="D22" s="88"/>
      <c r="E22" s="102">
        <v>2000</v>
      </c>
      <c r="F22" s="103">
        <v>1</v>
      </c>
      <c r="G22" s="104">
        <v>62.67</v>
      </c>
      <c r="H22" s="105">
        <f t="shared" si="0"/>
        <v>86.48</v>
      </c>
      <c r="I22" s="106">
        <f t="shared" si="1"/>
        <v>86.48</v>
      </c>
      <c r="J22" s="107"/>
      <c r="K22" s="108">
        <f t="shared" si="2"/>
        <v>1</v>
      </c>
      <c r="L22" s="105">
        <f t="shared" si="3"/>
        <v>51.89</v>
      </c>
      <c r="M22" s="105">
        <f t="shared" si="4"/>
        <v>51.89</v>
      </c>
      <c r="N22" s="109">
        <v>-0.1</v>
      </c>
      <c r="O22" s="95"/>
      <c r="P22" s="100"/>
      <c r="Q22" s="104"/>
      <c r="R22" s="110">
        <f t="shared" si="5"/>
        <v>0</v>
      </c>
      <c r="S22" s="111">
        <f t="shared" si="6"/>
        <v>34.590000000000003</v>
      </c>
      <c r="T22" s="111">
        <f t="shared" si="7"/>
        <v>34.590000000000003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848</v>
      </c>
      <c r="C23" s="114" t="s">
        <v>131</v>
      </c>
      <c r="D23" s="88"/>
      <c r="E23" s="89">
        <v>2000</v>
      </c>
      <c r="F23" s="115">
        <v>1</v>
      </c>
      <c r="G23" s="96">
        <v>31.58</v>
      </c>
      <c r="H23" s="91">
        <f t="shared" si="0"/>
        <v>43.58</v>
      </c>
      <c r="I23" s="92">
        <f t="shared" si="1"/>
        <v>43.58</v>
      </c>
      <c r="J23" s="107"/>
      <c r="K23" s="90">
        <f t="shared" si="2"/>
        <v>1</v>
      </c>
      <c r="L23" s="91">
        <f t="shared" si="3"/>
        <v>26.15</v>
      </c>
      <c r="M23" s="91">
        <f t="shared" si="4"/>
        <v>26.15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17.43</v>
      </c>
      <c r="T23" s="96">
        <f t="shared" si="7"/>
        <v>17.43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812</v>
      </c>
      <c r="C24" s="101" t="s">
        <v>134</v>
      </c>
      <c r="D24" s="88"/>
      <c r="E24" s="102">
        <v>2000</v>
      </c>
      <c r="F24" s="103">
        <v>1</v>
      </c>
      <c r="G24" s="104">
        <v>20.440000000000001</v>
      </c>
      <c r="H24" s="105">
        <f t="shared" si="0"/>
        <v>28.21</v>
      </c>
      <c r="I24" s="106">
        <f t="shared" si="1"/>
        <v>28.21</v>
      </c>
      <c r="J24" s="107"/>
      <c r="K24" s="108">
        <f t="shared" si="2"/>
        <v>1</v>
      </c>
      <c r="L24" s="105">
        <f t="shared" si="3"/>
        <v>16.93</v>
      </c>
      <c r="M24" s="105">
        <f t="shared" si="4"/>
        <v>16.93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11.28</v>
      </c>
      <c r="T24" s="111">
        <f t="shared" si="7"/>
        <v>11.28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849</v>
      </c>
      <c r="C25" s="114" t="s">
        <v>134</v>
      </c>
      <c r="D25" s="88"/>
      <c r="E25" s="89">
        <v>2000</v>
      </c>
      <c r="F25" s="115">
        <v>1</v>
      </c>
      <c r="G25" s="96">
        <v>19.23</v>
      </c>
      <c r="H25" s="91">
        <f t="shared" si="0"/>
        <v>26.54</v>
      </c>
      <c r="I25" s="92">
        <f t="shared" si="1"/>
        <v>26.54</v>
      </c>
      <c r="J25" s="107"/>
      <c r="K25" s="90">
        <f t="shared" si="2"/>
        <v>1</v>
      </c>
      <c r="L25" s="91">
        <f t="shared" si="3"/>
        <v>15.92</v>
      </c>
      <c r="M25" s="91">
        <f t="shared" si="4"/>
        <v>15.92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10.62</v>
      </c>
      <c r="T25" s="96">
        <f t="shared" si="7"/>
        <v>10.62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850</v>
      </c>
      <c r="C26" s="101" t="s">
        <v>851</v>
      </c>
      <c r="D26" s="88"/>
      <c r="E26" s="102" t="s">
        <v>138</v>
      </c>
      <c r="F26" s="103">
        <v>1</v>
      </c>
      <c r="G26" s="104">
        <v>2538.04</v>
      </c>
      <c r="H26" s="105">
        <f t="shared" si="0"/>
        <v>3502.5</v>
      </c>
      <c r="I26" s="106">
        <f t="shared" si="1"/>
        <v>3502.5</v>
      </c>
      <c r="J26" s="107"/>
      <c r="K26" s="108">
        <f t="shared" si="2"/>
        <v>1</v>
      </c>
      <c r="L26" s="105">
        <f t="shared" si="3"/>
        <v>1751.25</v>
      </c>
      <c r="M26" s="105">
        <f t="shared" si="4"/>
        <v>1751.25</v>
      </c>
      <c r="N26" s="109"/>
      <c r="O26" s="95"/>
      <c r="P26" s="100"/>
      <c r="Q26" s="104"/>
      <c r="R26" s="110">
        <f t="shared" si="5"/>
        <v>0</v>
      </c>
      <c r="S26" s="111">
        <f t="shared" si="6"/>
        <v>1751.25</v>
      </c>
      <c r="T26" s="111">
        <f t="shared" si="7"/>
        <v>1751.25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822</v>
      </c>
      <c r="C27" s="114" t="s">
        <v>183</v>
      </c>
      <c r="D27" s="88"/>
      <c r="E27" s="89" t="s">
        <v>138</v>
      </c>
      <c r="F27" s="115">
        <v>1</v>
      </c>
      <c r="G27" s="96">
        <v>221.18</v>
      </c>
      <c r="H27" s="91">
        <f t="shared" si="0"/>
        <v>305.23</v>
      </c>
      <c r="I27" s="92">
        <f t="shared" si="1"/>
        <v>305.23</v>
      </c>
      <c r="J27" s="107"/>
      <c r="K27" s="90">
        <f t="shared" si="2"/>
        <v>1</v>
      </c>
      <c r="L27" s="91">
        <f t="shared" si="3"/>
        <v>152.62</v>
      </c>
      <c r="M27" s="91">
        <f t="shared" si="4"/>
        <v>152.62</v>
      </c>
      <c r="N27" s="116"/>
      <c r="O27" s="95"/>
      <c r="P27" s="117"/>
      <c r="Q27" s="96"/>
      <c r="R27" s="96">
        <f t="shared" si="5"/>
        <v>0</v>
      </c>
      <c r="S27" s="96">
        <f t="shared" si="6"/>
        <v>152.61000000000001</v>
      </c>
      <c r="T27" s="96">
        <f t="shared" si="7"/>
        <v>152.61000000000001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852</v>
      </c>
      <c r="C28" s="101" t="s">
        <v>144</v>
      </c>
      <c r="D28" s="88"/>
      <c r="E28" s="102" t="s">
        <v>138</v>
      </c>
      <c r="F28" s="103">
        <v>1</v>
      </c>
      <c r="G28" s="104">
        <v>1129.0999999999999</v>
      </c>
      <c r="H28" s="105">
        <f t="shared" si="0"/>
        <v>1558.16</v>
      </c>
      <c r="I28" s="106">
        <f t="shared" si="1"/>
        <v>1558.16</v>
      </c>
      <c r="J28" s="107"/>
      <c r="K28" s="108">
        <f t="shared" si="2"/>
        <v>1</v>
      </c>
      <c r="L28" s="105">
        <f t="shared" si="3"/>
        <v>779.08</v>
      </c>
      <c r="M28" s="105">
        <f t="shared" si="4"/>
        <v>779.08</v>
      </c>
      <c r="N28" s="109"/>
      <c r="O28" s="95"/>
      <c r="P28" s="100"/>
      <c r="Q28" s="104"/>
      <c r="R28" s="110">
        <f t="shared" si="5"/>
        <v>0</v>
      </c>
      <c r="S28" s="111">
        <f t="shared" si="6"/>
        <v>779.08</v>
      </c>
      <c r="T28" s="111">
        <f t="shared" si="7"/>
        <v>779.08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853</v>
      </c>
      <c r="C29" s="114" t="s">
        <v>258</v>
      </c>
      <c r="D29" s="88"/>
      <c r="E29" s="89" t="s">
        <v>138</v>
      </c>
      <c r="F29" s="115">
        <v>5</v>
      </c>
      <c r="G29" s="96">
        <v>164.36</v>
      </c>
      <c r="H29" s="91">
        <f t="shared" si="0"/>
        <v>226.82</v>
      </c>
      <c r="I29" s="92">
        <f t="shared" si="1"/>
        <v>1134.0999999999999</v>
      </c>
      <c r="J29" s="107"/>
      <c r="K29" s="90">
        <f t="shared" si="2"/>
        <v>5</v>
      </c>
      <c r="L29" s="91">
        <f t="shared" si="3"/>
        <v>158.77000000000001</v>
      </c>
      <c r="M29" s="91">
        <f t="shared" si="4"/>
        <v>793.85</v>
      </c>
      <c r="N29" s="116">
        <v>-0.2</v>
      </c>
      <c r="O29" s="95"/>
      <c r="P29" s="117"/>
      <c r="Q29" s="96"/>
      <c r="R29" s="96">
        <f t="shared" si="5"/>
        <v>0</v>
      </c>
      <c r="S29" s="96">
        <f t="shared" si="6"/>
        <v>68.05</v>
      </c>
      <c r="T29" s="96">
        <f t="shared" si="7"/>
        <v>340.25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854</v>
      </c>
      <c r="C30" s="101" t="s">
        <v>855</v>
      </c>
      <c r="D30" s="88"/>
      <c r="E30" s="102" t="s">
        <v>138</v>
      </c>
      <c r="F30" s="103">
        <v>2</v>
      </c>
      <c r="G30" s="104">
        <v>2024.09</v>
      </c>
      <c r="H30" s="105">
        <f t="shared" si="0"/>
        <v>2793.24</v>
      </c>
      <c r="I30" s="106">
        <f t="shared" si="1"/>
        <v>5586.48</v>
      </c>
      <c r="J30" s="107"/>
      <c r="K30" s="108">
        <f t="shared" si="2"/>
        <v>2</v>
      </c>
      <c r="L30" s="105">
        <f t="shared" si="3"/>
        <v>1675.94</v>
      </c>
      <c r="M30" s="105">
        <f t="shared" si="4"/>
        <v>3351.88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1117.3</v>
      </c>
      <c r="T30" s="111">
        <f t="shared" si="7"/>
        <v>2234.6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565</v>
      </c>
      <c r="D31" s="88"/>
      <c r="E31" s="89"/>
      <c r="F31" s="115"/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0</v>
      </c>
      <c r="L31" s="91">
        <f t="shared" si="3"/>
        <v>0</v>
      </c>
      <c r="M31" s="91">
        <f t="shared" si="4"/>
        <v>0</v>
      </c>
      <c r="N31" s="116"/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00" t="s">
        <v>828</v>
      </c>
      <c r="C32" s="101" t="s">
        <v>156</v>
      </c>
      <c r="D32" s="88"/>
      <c r="E32" s="102" t="s">
        <v>138</v>
      </c>
      <c r="F32" s="103">
        <v>1</v>
      </c>
      <c r="G32" s="104">
        <v>425.73</v>
      </c>
      <c r="H32" s="105">
        <f t="shared" si="0"/>
        <v>587.51</v>
      </c>
      <c r="I32" s="106">
        <f t="shared" si="1"/>
        <v>587.51</v>
      </c>
      <c r="J32" s="107"/>
      <c r="K32" s="108">
        <f t="shared" si="2"/>
        <v>1</v>
      </c>
      <c r="L32" s="105">
        <f t="shared" si="3"/>
        <v>411.26</v>
      </c>
      <c r="M32" s="105">
        <f t="shared" si="4"/>
        <v>411.26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176.25</v>
      </c>
      <c r="T32" s="111">
        <f t="shared" si="7"/>
        <v>176.25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829</v>
      </c>
      <c r="C33" s="114" t="s">
        <v>830</v>
      </c>
      <c r="D33" s="88"/>
      <c r="E33" s="89" t="s">
        <v>138</v>
      </c>
      <c r="F33" s="115">
        <v>8</v>
      </c>
      <c r="G33" s="96">
        <v>64.819999999999993</v>
      </c>
      <c r="H33" s="91">
        <f t="shared" si="0"/>
        <v>89.45</v>
      </c>
      <c r="I33" s="92">
        <f t="shared" si="1"/>
        <v>715.6</v>
      </c>
      <c r="J33" s="107"/>
      <c r="K33" s="90">
        <f t="shared" si="2"/>
        <v>8</v>
      </c>
      <c r="L33" s="91">
        <f t="shared" si="3"/>
        <v>62.62</v>
      </c>
      <c r="M33" s="91">
        <f t="shared" si="4"/>
        <v>500.96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26.83</v>
      </c>
      <c r="T33" s="96">
        <f t="shared" si="7"/>
        <v>214.64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831</v>
      </c>
      <c r="C34" s="101" t="s">
        <v>233</v>
      </c>
      <c r="D34" s="88"/>
      <c r="E34" s="102" t="s">
        <v>138</v>
      </c>
      <c r="F34" s="103">
        <v>8</v>
      </c>
      <c r="G34" s="104">
        <v>20.82</v>
      </c>
      <c r="H34" s="105">
        <f t="shared" si="0"/>
        <v>28.73</v>
      </c>
      <c r="I34" s="106">
        <f t="shared" si="1"/>
        <v>229.84</v>
      </c>
      <c r="J34" s="107"/>
      <c r="K34" s="108">
        <f t="shared" si="2"/>
        <v>8</v>
      </c>
      <c r="L34" s="105">
        <f t="shared" si="3"/>
        <v>20.11</v>
      </c>
      <c r="M34" s="105">
        <f t="shared" si="4"/>
        <v>160.88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8.6199999999999992</v>
      </c>
      <c r="T34" s="111">
        <f t="shared" si="7"/>
        <v>68.959999999999994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832</v>
      </c>
      <c r="C35" s="114" t="s">
        <v>833</v>
      </c>
      <c r="D35" s="88"/>
      <c r="E35" s="89" t="s">
        <v>138</v>
      </c>
      <c r="F35" s="115">
        <v>8</v>
      </c>
      <c r="G35" s="96">
        <v>7.08</v>
      </c>
      <c r="H35" s="91">
        <f t="shared" si="0"/>
        <v>9.77</v>
      </c>
      <c r="I35" s="92">
        <f t="shared" si="1"/>
        <v>78.16</v>
      </c>
      <c r="J35" s="107"/>
      <c r="K35" s="90">
        <f t="shared" si="2"/>
        <v>8</v>
      </c>
      <c r="L35" s="91">
        <f t="shared" si="3"/>
        <v>6.84</v>
      </c>
      <c r="M35" s="91">
        <f t="shared" si="4"/>
        <v>54.72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2.93</v>
      </c>
      <c r="T35" s="96">
        <f t="shared" si="7"/>
        <v>23.44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42</v>
      </c>
      <c r="G50" s="123">
        <f t="shared" si="10"/>
        <v>6881.24</v>
      </c>
      <c r="H50" s="124">
        <f t="shared" si="10"/>
        <v>9496.11</v>
      </c>
      <c r="I50" s="125">
        <f t="shared" si="10"/>
        <v>14092.28</v>
      </c>
      <c r="J50" s="126"/>
      <c r="K50" s="127">
        <f t="shared" ref="K50:M50" si="11">SUM(K19:K49)</f>
        <v>42</v>
      </c>
      <c r="L50" s="124">
        <f t="shared" si="11"/>
        <v>5234.34</v>
      </c>
      <c r="M50" s="125">
        <f t="shared" si="11"/>
        <v>8172.35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4261.7700000000004</v>
      </c>
      <c r="T50" s="125">
        <f t="shared" si="12"/>
        <v>5919.9299999999994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99" priority="1" stopIfTrue="1">
      <formula>$U$9&gt;100%</formula>
    </cfRule>
    <cfRule type="expression" dxfId="98" priority="2">
      <formula>$U$9&lt;50%</formula>
    </cfRule>
  </conditionalFormatting>
  <conditionalFormatting sqref="V9:V11">
    <cfRule type="expression" dxfId="97" priority="3">
      <formula>$V$9&lt;50%</formula>
    </cfRule>
    <cfRule type="expression" dxfId="96" priority="4">
      <formula>$V$9&gt;50%</formula>
    </cfRule>
  </conditionalFormatting>
  <dataValidations count="4">
    <dataValidation type="list" allowBlank="1" showErrorMessage="1" sqref="E19:E49" xr:uid="{00000000-0002-0000-3000-000000000000}">
      <formula1>$Z$19:$Z$30</formula1>
    </dataValidation>
    <dataValidation type="list" allowBlank="1" showErrorMessage="1" sqref="I14" xr:uid="{00000000-0002-0000-3000-000001000000}">
      <formula1>$Y$14:$Y$15</formula1>
    </dataValidation>
    <dataValidation type="list" allowBlank="1" showErrorMessage="1" sqref="J14" xr:uid="{00000000-0002-0000-3000-000002000000}">
      <formula1>$L$9</formula1>
    </dataValidation>
    <dataValidation type="list" allowBlank="1" showErrorMessage="1" sqref="Q15 G18 L18 Q18" xr:uid="{00000000-0002-0000-30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856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29713.179999999997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17885.189999999995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11827.990000000002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857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0.39807216864704492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858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11827.989999999998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17885.189999999995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1164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803</v>
      </c>
      <c r="C20" s="101" t="s">
        <v>804</v>
      </c>
      <c r="D20" s="88"/>
      <c r="E20" s="102">
        <v>500</v>
      </c>
      <c r="F20" s="103">
        <v>1</v>
      </c>
      <c r="G20" s="104">
        <v>64.67</v>
      </c>
      <c r="H20" s="105">
        <f t="shared" si="0"/>
        <v>89.24</v>
      </c>
      <c r="I20" s="106">
        <f t="shared" si="1"/>
        <v>89.24</v>
      </c>
      <c r="J20" s="107"/>
      <c r="K20" s="108">
        <f t="shared" si="2"/>
        <v>1</v>
      </c>
      <c r="L20" s="105">
        <f t="shared" si="3"/>
        <v>44.62</v>
      </c>
      <c r="M20" s="105">
        <f t="shared" si="4"/>
        <v>44.62</v>
      </c>
      <c r="N20" s="109"/>
      <c r="O20" s="95"/>
      <c r="P20" s="100"/>
      <c r="Q20" s="104"/>
      <c r="R20" s="110">
        <f t="shared" si="5"/>
        <v>0</v>
      </c>
      <c r="S20" s="111">
        <f t="shared" si="6"/>
        <v>44.62</v>
      </c>
      <c r="T20" s="111">
        <f t="shared" si="7"/>
        <v>44.62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805</v>
      </c>
      <c r="C21" s="114" t="s">
        <v>743</v>
      </c>
      <c r="D21" s="88"/>
      <c r="E21" s="89">
        <v>500</v>
      </c>
      <c r="F21" s="115">
        <v>1</v>
      </c>
      <c r="G21" s="96">
        <v>35.020000000000003</v>
      </c>
      <c r="H21" s="91">
        <f t="shared" si="0"/>
        <v>48.33</v>
      </c>
      <c r="I21" s="92">
        <f t="shared" si="1"/>
        <v>48.33</v>
      </c>
      <c r="J21" s="107"/>
      <c r="K21" s="90">
        <f t="shared" si="2"/>
        <v>1</v>
      </c>
      <c r="L21" s="91">
        <f t="shared" si="3"/>
        <v>24.17</v>
      </c>
      <c r="M21" s="91">
        <f t="shared" si="4"/>
        <v>24.17</v>
      </c>
      <c r="N21" s="116"/>
      <c r="O21" s="95"/>
      <c r="P21" s="117"/>
      <c r="Q21" s="96"/>
      <c r="R21" s="96">
        <f t="shared" si="5"/>
        <v>0</v>
      </c>
      <c r="S21" s="96">
        <f t="shared" si="6"/>
        <v>24.16</v>
      </c>
      <c r="T21" s="96">
        <f t="shared" si="7"/>
        <v>24.16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846</v>
      </c>
      <c r="C22" s="101" t="s">
        <v>174</v>
      </c>
      <c r="D22" s="88"/>
      <c r="E22" s="102">
        <v>1000</v>
      </c>
      <c r="F22" s="103">
        <v>1</v>
      </c>
      <c r="G22" s="104">
        <v>87.88</v>
      </c>
      <c r="H22" s="105">
        <f t="shared" si="0"/>
        <v>121.27</v>
      </c>
      <c r="I22" s="106">
        <f t="shared" si="1"/>
        <v>121.27</v>
      </c>
      <c r="J22" s="107"/>
      <c r="K22" s="108">
        <f t="shared" si="2"/>
        <v>1</v>
      </c>
      <c r="L22" s="105">
        <f t="shared" si="3"/>
        <v>60.64</v>
      </c>
      <c r="M22" s="105">
        <f t="shared" si="4"/>
        <v>60.64</v>
      </c>
      <c r="N22" s="109"/>
      <c r="O22" s="95"/>
      <c r="P22" s="100"/>
      <c r="Q22" s="104"/>
      <c r="R22" s="110">
        <f t="shared" si="5"/>
        <v>0</v>
      </c>
      <c r="S22" s="111">
        <f t="shared" si="6"/>
        <v>60.63</v>
      </c>
      <c r="T22" s="111">
        <f t="shared" si="7"/>
        <v>60.63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808</v>
      </c>
      <c r="C23" s="114" t="s">
        <v>809</v>
      </c>
      <c r="D23" s="88"/>
      <c r="E23" s="89">
        <v>1000</v>
      </c>
      <c r="F23" s="115">
        <v>1</v>
      </c>
      <c r="G23" s="96">
        <v>6.36</v>
      </c>
      <c r="H23" s="91">
        <f t="shared" si="0"/>
        <v>8.7799999999999994</v>
      </c>
      <c r="I23" s="92">
        <f t="shared" si="1"/>
        <v>8.7799999999999994</v>
      </c>
      <c r="J23" s="107"/>
      <c r="K23" s="90">
        <f t="shared" si="2"/>
        <v>1</v>
      </c>
      <c r="L23" s="91">
        <f t="shared" si="3"/>
        <v>5.27</v>
      </c>
      <c r="M23" s="91">
        <f t="shared" si="4"/>
        <v>5.27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3.51</v>
      </c>
      <c r="T23" s="96">
        <f t="shared" si="7"/>
        <v>3.51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847</v>
      </c>
      <c r="C24" s="101" t="s">
        <v>128</v>
      </c>
      <c r="D24" s="88"/>
      <c r="E24" s="102">
        <v>2000</v>
      </c>
      <c r="F24" s="103">
        <v>1</v>
      </c>
      <c r="G24" s="104">
        <v>62.67</v>
      </c>
      <c r="H24" s="105">
        <f t="shared" si="0"/>
        <v>86.48</v>
      </c>
      <c r="I24" s="106">
        <f t="shared" si="1"/>
        <v>86.48</v>
      </c>
      <c r="J24" s="107"/>
      <c r="K24" s="108">
        <f t="shared" si="2"/>
        <v>1</v>
      </c>
      <c r="L24" s="105">
        <f t="shared" si="3"/>
        <v>51.89</v>
      </c>
      <c r="M24" s="105">
        <f t="shared" si="4"/>
        <v>51.89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34.590000000000003</v>
      </c>
      <c r="T24" s="111">
        <f t="shared" si="7"/>
        <v>34.590000000000003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848</v>
      </c>
      <c r="C25" s="114" t="s">
        <v>131</v>
      </c>
      <c r="D25" s="88"/>
      <c r="E25" s="89">
        <v>2000</v>
      </c>
      <c r="F25" s="115">
        <v>1</v>
      </c>
      <c r="G25" s="96">
        <v>31.58</v>
      </c>
      <c r="H25" s="91">
        <f t="shared" si="0"/>
        <v>43.58</v>
      </c>
      <c r="I25" s="92">
        <f t="shared" si="1"/>
        <v>43.58</v>
      </c>
      <c r="J25" s="107"/>
      <c r="K25" s="90">
        <f t="shared" si="2"/>
        <v>1</v>
      </c>
      <c r="L25" s="91">
        <f t="shared" si="3"/>
        <v>26.15</v>
      </c>
      <c r="M25" s="91">
        <f t="shared" si="4"/>
        <v>26.15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17.43</v>
      </c>
      <c r="T25" s="96">
        <f t="shared" si="7"/>
        <v>17.43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812</v>
      </c>
      <c r="C26" s="101" t="s">
        <v>134</v>
      </c>
      <c r="D26" s="88"/>
      <c r="E26" s="102">
        <v>2000</v>
      </c>
      <c r="F26" s="103">
        <v>1</v>
      </c>
      <c r="G26" s="104">
        <v>20.440000000000001</v>
      </c>
      <c r="H26" s="105">
        <f t="shared" si="0"/>
        <v>28.21</v>
      </c>
      <c r="I26" s="106">
        <f t="shared" si="1"/>
        <v>28.21</v>
      </c>
      <c r="J26" s="107"/>
      <c r="K26" s="108">
        <f t="shared" si="2"/>
        <v>1</v>
      </c>
      <c r="L26" s="105">
        <f t="shared" si="3"/>
        <v>16.93</v>
      </c>
      <c r="M26" s="105">
        <f t="shared" si="4"/>
        <v>16.93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11.28</v>
      </c>
      <c r="T26" s="111">
        <f t="shared" si="7"/>
        <v>11.28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813</v>
      </c>
      <c r="C27" s="114" t="s">
        <v>134</v>
      </c>
      <c r="D27" s="88"/>
      <c r="E27" s="89">
        <v>2000</v>
      </c>
      <c r="F27" s="115">
        <v>1</v>
      </c>
      <c r="G27" s="96">
        <v>23.12</v>
      </c>
      <c r="H27" s="91">
        <f t="shared" si="0"/>
        <v>31.91</v>
      </c>
      <c r="I27" s="92">
        <f t="shared" si="1"/>
        <v>31.91</v>
      </c>
      <c r="J27" s="107"/>
      <c r="K27" s="90">
        <f t="shared" si="2"/>
        <v>1</v>
      </c>
      <c r="L27" s="91">
        <f t="shared" si="3"/>
        <v>19.149999999999999</v>
      </c>
      <c r="M27" s="91">
        <f t="shared" si="4"/>
        <v>19.149999999999999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12.76</v>
      </c>
      <c r="T27" s="96">
        <f t="shared" si="7"/>
        <v>12.76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859</v>
      </c>
      <c r="C28" s="101" t="s">
        <v>860</v>
      </c>
      <c r="D28" s="88"/>
      <c r="E28" s="102" t="s">
        <v>138</v>
      </c>
      <c r="F28" s="103">
        <v>1</v>
      </c>
      <c r="G28" s="104">
        <v>3652.82</v>
      </c>
      <c r="H28" s="105">
        <f t="shared" si="0"/>
        <v>5040.8900000000003</v>
      </c>
      <c r="I28" s="106">
        <f t="shared" si="1"/>
        <v>5040.8900000000003</v>
      </c>
      <c r="J28" s="107"/>
      <c r="K28" s="108">
        <f t="shared" si="2"/>
        <v>1</v>
      </c>
      <c r="L28" s="105">
        <f t="shared" si="3"/>
        <v>3024.53</v>
      </c>
      <c r="M28" s="105">
        <f t="shared" si="4"/>
        <v>3024.53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2016.36</v>
      </c>
      <c r="T28" s="111">
        <f t="shared" si="7"/>
        <v>2016.36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861</v>
      </c>
      <c r="C29" s="114" t="s">
        <v>817</v>
      </c>
      <c r="D29" s="88"/>
      <c r="E29" s="89" t="s">
        <v>138</v>
      </c>
      <c r="F29" s="115">
        <v>1</v>
      </c>
      <c r="G29" s="96">
        <v>1709.34</v>
      </c>
      <c r="H29" s="91">
        <f t="shared" si="0"/>
        <v>2358.89</v>
      </c>
      <c r="I29" s="92">
        <f t="shared" si="1"/>
        <v>2358.89</v>
      </c>
      <c r="J29" s="107"/>
      <c r="K29" s="90">
        <f t="shared" si="2"/>
        <v>1</v>
      </c>
      <c r="L29" s="91">
        <f t="shared" si="3"/>
        <v>1415.33</v>
      </c>
      <c r="M29" s="91">
        <f t="shared" si="4"/>
        <v>1415.33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943.56</v>
      </c>
      <c r="T29" s="96">
        <f t="shared" si="7"/>
        <v>943.56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862</v>
      </c>
      <c r="C30" s="101" t="s">
        <v>863</v>
      </c>
      <c r="D30" s="88"/>
      <c r="E30" s="102" t="s">
        <v>138</v>
      </c>
      <c r="F30" s="103">
        <v>1</v>
      </c>
      <c r="G30" s="104">
        <v>236.61</v>
      </c>
      <c r="H30" s="105">
        <f t="shared" si="0"/>
        <v>326.52</v>
      </c>
      <c r="I30" s="106">
        <f t="shared" si="1"/>
        <v>326.52</v>
      </c>
      <c r="J30" s="107"/>
      <c r="K30" s="108">
        <f t="shared" si="2"/>
        <v>1</v>
      </c>
      <c r="L30" s="105">
        <f t="shared" si="3"/>
        <v>195.91</v>
      </c>
      <c r="M30" s="105">
        <f t="shared" si="4"/>
        <v>195.91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130.61000000000001</v>
      </c>
      <c r="T30" s="111">
        <f t="shared" si="7"/>
        <v>130.61000000000001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864</v>
      </c>
      <c r="C31" s="114" t="s">
        <v>821</v>
      </c>
      <c r="D31" s="88"/>
      <c r="E31" s="89" t="s">
        <v>138</v>
      </c>
      <c r="F31" s="115">
        <v>1</v>
      </c>
      <c r="G31" s="96">
        <v>3002.27</v>
      </c>
      <c r="H31" s="91">
        <f t="shared" si="0"/>
        <v>4143.13</v>
      </c>
      <c r="I31" s="92">
        <f t="shared" si="1"/>
        <v>4143.13</v>
      </c>
      <c r="J31" s="107"/>
      <c r="K31" s="90">
        <f t="shared" si="2"/>
        <v>1</v>
      </c>
      <c r="L31" s="91">
        <f t="shared" si="3"/>
        <v>2071.5700000000002</v>
      </c>
      <c r="M31" s="91">
        <f t="shared" si="4"/>
        <v>2071.5700000000002</v>
      </c>
      <c r="N31" s="116"/>
      <c r="O31" s="95"/>
      <c r="P31" s="117"/>
      <c r="Q31" s="96"/>
      <c r="R31" s="96">
        <f t="shared" si="5"/>
        <v>0</v>
      </c>
      <c r="S31" s="96">
        <f t="shared" si="6"/>
        <v>2071.56</v>
      </c>
      <c r="T31" s="96">
        <f t="shared" si="7"/>
        <v>2071.56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822</v>
      </c>
      <c r="C32" s="101" t="s">
        <v>183</v>
      </c>
      <c r="D32" s="88"/>
      <c r="E32" s="102" t="s">
        <v>138</v>
      </c>
      <c r="F32" s="103">
        <v>1</v>
      </c>
      <c r="G32" s="104">
        <v>221.18</v>
      </c>
      <c r="H32" s="105">
        <f t="shared" si="0"/>
        <v>305.23</v>
      </c>
      <c r="I32" s="106">
        <f t="shared" si="1"/>
        <v>305.23</v>
      </c>
      <c r="J32" s="107"/>
      <c r="K32" s="108">
        <f t="shared" si="2"/>
        <v>1</v>
      </c>
      <c r="L32" s="105">
        <f t="shared" si="3"/>
        <v>152.62</v>
      </c>
      <c r="M32" s="105">
        <f t="shared" si="4"/>
        <v>152.62</v>
      </c>
      <c r="N32" s="109"/>
      <c r="O32" s="95"/>
      <c r="P32" s="100"/>
      <c r="Q32" s="104"/>
      <c r="R32" s="110">
        <f t="shared" si="5"/>
        <v>0</v>
      </c>
      <c r="S32" s="111">
        <f t="shared" si="6"/>
        <v>152.61000000000001</v>
      </c>
      <c r="T32" s="111">
        <f t="shared" si="7"/>
        <v>152.61000000000001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865</v>
      </c>
      <c r="C33" s="114" t="s">
        <v>824</v>
      </c>
      <c r="D33" s="88"/>
      <c r="E33" s="89" t="s">
        <v>138</v>
      </c>
      <c r="F33" s="115">
        <v>1</v>
      </c>
      <c r="G33" s="96">
        <v>2233.09</v>
      </c>
      <c r="H33" s="91">
        <f t="shared" si="0"/>
        <v>3081.66</v>
      </c>
      <c r="I33" s="92">
        <f t="shared" si="1"/>
        <v>3081.66</v>
      </c>
      <c r="J33" s="107"/>
      <c r="K33" s="90">
        <f t="shared" si="2"/>
        <v>1</v>
      </c>
      <c r="L33" s="91">
        <f t="shared" si="3"/>
        <v>1540.83</v>
      </c>
      <c r="M33" s="91">
        <f t="shared" si="4"/>
        <v>1540.83</v>
      </c>
      <c r="N33" s="116"/>
      <c r="O33" s="95"/>
      <c r="P33" s="117"/>
      <c r="Q33" s="96"/>
      <c r="R33" s="96">
        <f t="shared" si="5"/>
        <v>0</v>
      </c>
      <c r="S33" s="96">
        <f t="shared" si="6"/>
        <v>1540.83</v>
      </c>
      <c r="T33" s="96">
        <f t="shared" si="7"/>
        <v>1540.83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866</v>
      </c>
      <c r="C34" s="101" t="s">
        <v>258</v>
      </c>
      <c r="D34" s="88"/>
      <c r="E34" s="102" t="s">
        <v>138</v>
      </c>
      <c r="F34" s="103">
        <v>4</v>
      </c>
      <c r="G34" s="104">
        <v>1227.47</v>
      </c>
      <c r="H34" s="105">
        <f t="shared" si="0"/>
        <v>1693.91</v>
      </c>
      <c r="I34" s="106">
        <f t="shared" si="1"/>
        <v>6775.64</v>
      </c>
      <c r="J34" s="107"/>
      <c r="K34" s="108">
        <f t="shared" si="2"/>
        <v>4</v>
      </c>
      <c r="L34" s="105">
        <f t="shared" si="3"/>
        <v>1185.74</v>
      </c>
      <c r="M34" s="105">
        <f t="shared" si="4"/>
        <v>4742.96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508.17</v>
      </c>
      <c r="T34" s="111">
        <f t="shared" si="7"/>
        <v>2032.68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/>
      <c r="C35" s="114" t="s">
        <v>565</v>
      </c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 t="s">
        <v>828</v>
      </c>
      <c r="C36" s="101" t="s">
        <v>156</v>
      </c>
      <c r="D36" s="88"/>
      <c r="E36" s="102" t="s">
        <v>138</v>
      </c>
      <c r="F36" s="103">
        <v>1</v>
      </c>
      <c r="G36" s="104">
        <v>425.73</v>
      </c>
      <c r="H36" s="105">
        <f t="shared" si="0"/>
        <v>587.51</v>
      </c>
      <c r="I36" s="106">
        <f t="shared" si="1"/>
        <v>587.51</v>
      </c>
      <c r="J36" s="107"/>
      <c r="K36" s="108">
        <f t="shared" si="2"/>
        <v>1</v>
      </c>
      <c r="L36" s="105">
        <f t="shared" si="3"/>
        <v>411.26</v>
      </c>
      <c r="M36" s="105">
        <f t="shared" si="4"/>
        <v>411.26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176.25</v>
      </c>
      <c r="T36" s="111">
        <f t="shared" si="7"/>
        <v>176.25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829</v>
      </c>
      <c r="C37" s="114" t="s">
        <v>830</v>
      </c>
      <c r="D37" s="88"/>
      <c r="E37" s="89" t="s">
        <v>138</v>
      </c>
      <c r="F37" s="115">
        <v>8</v>
      </c>
      <c r="G37" s="96">
        <v>64.819999999999993</v>
      </c>
      <c r="H37" s="91">
        <f t="shared" si="0"/>
        <v>89.45</v>
      </c>
      <c r="I37" s="92">
        <f t="shared" si="1"/>
        <v>715.6</v>
      </c>
      <c r="J37" s="107"/>
      <c r="K37" s="90">
        <f t="shared" si="2"/>
        <v>8</v>
      </c>
      <c r="L37" s="91">
        <f t="shared" si="3"/>
        <v>62.62</v>
      </c>
      <c r="M37" s="91">
        <f t="shared" si="4"/>
        <v>500.96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26.83</v>
      </c>
      <c r="T37" s="96">
        <f t="shared" si="7"/>
        <v>214.64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831</v>
      </c>
      <c r="C38" s="101" t="s">
        <v>233</v>
      </c>
      <c r="D38" s="88"/>
      <c r="E38" s="102" t="s">
        <v>138</v>
      </c>
      <c r="F38" s="103">
        <v>8</v>
      </c>
      <c r="G38" s="104">
        <v>20.82</v>
      </c>
      <c r="H38" s="105">
        <f t="shared" si="0"/>
        <v>28.73</v>
      </c>
      <c r="I38" s="106">
        <f t="shared" si="1"/>
        <v>229.84</v>
      </c>
      <c r="J38" s="107"/>
      <c r="K38" s="108">
        <f t="shared" si="2"/>
        <v>8</v>
      </c>
      <c r="L38" s="105">
        <f t="shared" si="3"/>
        <v>20.11</v>
      </c>
      <c r="M38" s="105">
        <f t="shared" si="4"/>
        <v>160.88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8.6199999999999992</v>
      </c>
      <c r="T38" s="111">
        <f t="shared" si="7"/>
        <v>68.959999999999994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832</v>
      </c>
      <c r="C39" s="114" t="s">
        <v>833</v>
      </c>
      <c r="D39" s="88"/>
      <c r="E39" s="89" t="s">
        <v>138</v>
      </c>
      <c r="F39" s="115">
        <v>8</v>
      </c>
      <c r="G39" s="96">
        <v>7.08</v>
      </c>
      <c r="H39" s="91">
        <f t="shared" si="0"/>
        <v>9.77</v>
      </c>
      <c r="I39" s="92">
        <f t="shared" si="1"/>
        <v>78.16</v>
      </c>
      <c r="J39" s="107"/>
      <c r="K39" s="90">
        <f t="shared" si="2"/>
        <v>8</v>
      </c>
      <c r="L39" s="91">
        <f t="shared" si="3"/>
        <v>6.84</v>
      </c>
      <c r="M39" s="91">
        <f t="shared" si="4"/>
        <v>54.72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2.93</v>
      </c>
      <c r="T39" s="96">
        <f t="shared" si="7"/>
        <v>23.44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854</v>
      </c>
      <c r="C41" s="114" t="s">
        <v>867</v>
      </c>
      <c r="D41" s="88"/>
      <c r="E41" s="89" t="s">
        <v>138</v>
      </c>
      <c r="F41" s="115">
        <v>2</v>
      </c>
      <c r="G41" s="96">
        <v>2024.09</v>
      </c>
      <c r="H41" s="91">
        <f t="shared" si="0"/>
        <v>2793.24</v>
      </c>
      <c r="I41" s="92">
        <f t="shared" si="1"/>
        <v>5586.48</v>
      </c>
      <c r="J41" s="107"/>
      <c r="K41" s="90">
        <f t="shared" si="2"/>
        <v>2</v>
      </c>
      <c r="L41" s="91">
        <f t="shared" si="3"/>
        <v>1675.94</v>
      </c>
      <c r="M41" s="91">
        <f t="shared" si="4"/>
        <v>3351.88</v>
      </c>
      <c r="N41" s="116">
        <v>-0.1</v>
      </c>
      <c r="O41" s="95"/>
      <c r="P41" s="117"/>
      <c r="Q41" s="96"/>
      <c r="R41" s="96">
        <f t="shared" si="5"/>
        <v>0</v>
      </c>
      <c r="S41" s="96">
        <f t="shared" si="6"/>
        <v>1117.3</v>
      </c>
      <c r="T41" s="96">
        <f t="shared" si="7"/>
        <v>2234.6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46</v>
      </c>
      <c r="G50" s="123">
        <f t="shared" si="10"/>
        <v>15175.779999999999</v>
      </c>
      <c r="H50" s="124">
        <f t="shared" si="10"/>
        <v>20942.559999999998</v>
      </c>
      <c r="I50" s="125">
        <f t="shared" si="10"/>
        <v>29713.179999999997</v>
      </c>
      <c r="J50" s="126"/>
      <c r="K50" s="127">
        <f t="shared" ref="K50:M50" si="11">SUM(K19:K49)</f>
        <v>46</v>
      </c>
      <c r="L50" s="124">
        <f t="shared" si="11"/>
        <v>12025.04</v>
      </c>
      <c r="M50" s="125">
        <f t="shared" si="11"/>
        <v>17885.189999999995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8917.5199999999986</v>
      </c>
      <c r="T50" s="125">
        <f t="shared" si="12"/>
        <v>11827.989999999998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95" priority="1" stopIfTrue="1">
      <formula>$U$9&gt;100%</formula>
    </cfRule>
    <cfRule type="expression" dxfId="94" priority="2">
      <formula>$U$9&lt;50%</formula>
    </cfRule>
  </conditionalFormatting>
  <conditionalFormatting sqref="V9:V11">
    <cfRule type="expression" dxfId="93" priority="3">
      <formula>$V$9&lt;50%</formula>
    </cfRule>
    <cfRule type="expression" dxfId="92" priority="4">
      <formula>$V$9&gt;50%</formula>
    </cfRule>
  </conditionalFormatting>
  <dataValidations count="4">
    <dataValidation type="list" allowBlank="1" showErrorMessage="1" sqref="E19:E49" xr:uid="{00000000-0002-0000-3100-000000000000}">
      <formula1>$Z$19:$Z$30</formula1>
    </dataValidation>
    <dataValidation type="list" allowBlank="1" showErrorMessage="1" sqref="I14" xr:uid="{00000000-0002-0000-3100-000001000000}">
      <formula1>$Y$14:$Y$15</formula1>
    </dataValidation>
    <dataValidation type="list" allowBlank="1" showErrorMessage="1" sqref="J14" xr:uid="{00000000-0002-0000-3100-000002000000}">
      <formula1>$L$9</formula1>
    </dataValidation>
    <dataValidation type="list" allowBlank="1" showErrorMessage="1" sqref="Q15 G18 L18 Q18" xr:uid="{00000000-0002-0000-3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868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108379.18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2019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71119.10000000002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37260.079999999973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869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0.34379370650340751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870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37260.080000000002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71119.10000000002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871</v>
      </c>
      <c r="C24" s="101" t="s">
        <v>128</v>
      </c>
      <c r="D24" s="88"/>
      <c r="E24" s="102">
        <v>1000</v>
      </c>
      <c r="F24" s="103">
        <v>1</v>
      </c>
      <c r="G24" s="104">
        <v>111.74</v>
      </c>
      <c r="H24" s="105">
        <f t="shared" si="0"/>
        <v>154.19999999999999</v>
      </c>
      <c r="I24" s="106">
        <f t="shared" si="1"/>
        <v>154.19999999999999</v>
      </c>
      <c r="J24" s="107"/>
      <c r="K24" s="108">
        <f t="shared" si="2"/>
        <v>1</v>
      </c>
      <c r="L24" s="105">
        <f t="shared" si="3"/>
        <v>92.52</v>
      </c>
      <c r="M24" s="105">
        <f t="shared" si="4"/>
        <v>92.52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61.68</v>
      </c>
      <c r="T24" s="111">
        <f t="shared" si="7"/>
        <v>61.68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872</v>
      </c>
      <c r="C25" s="114" t="s">
        <v>131</v>
      </c>
      <c r="D25" s="88"/>
      <c r="E25" s="89">
        <v>1000</v>
      </c>
      <c r="F25" s="115">
        <v>1</v>
      </c>
      <c r="G25" s="96">
        <v>60.68</v>
      </c>
      <c r="H25" s="91">
        <f t="shared" si="0"/>
        <v>83.74</v>
      </c>
      <c r="I25" s="92">
        <f t="shared" si="1"/>
        <v>83.74</v>
      </c>
      <c r="J25" s="107"/>
      <c r="K25" s="90">
        <f t="shared" si="2"/>
        <v>1</v>
      </c>
      <c r="L25" s="91">
        <f t="shared" si="3"/>
        <v>50.24</v>
      </c>
      <c r="M25" s="91">
        <f t="shared" si="4"/>
        <v>50.24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33.5</v>
      </c>
      <c r="T25" s="96">
        <f t="shared" si="7"/>
        <v>33.5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873</v>
      </c>
      <c r="C26" s="101" t="s">
        <v>134</v>
      </c>
      <c r="D26" s="88"/>
      <c r="E26" s="102">
        <v>1000</v>
      </c>
      <c r="F26" s="103">
        <v>1</v>
      </c>
      <c r="G26" s="104">
        <v>70.42</v>
      </c>
      <c r="H26" s="105">
        <f t="shared" si="0"/>
        <v>97.18</v>
      </c>
      <c r="I26" s="106">
        <f t="shared" si="1"/>
        <v>97.18</v>
      </c>
      <c r="J26" s="107"/>
      <c r="K26" s="108">
        <f t="shared" si="2"/>
        <v>1</v>
      </c>
      <c r="L26" s="105">
        <f t="shared" si="3"/>
        <v>58.31</v>
      </c>
      <c r="M26" s="105">
        <f t="shared" si="4"/>
        <v>58.31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38.869999999999997</v>
      </c>
      <c r="T26" s="111">
        <f t="shared" si="7"/>
        <v>38.869999999999997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874</v>
      </c>
      <c r="C27" s="114" t="s">
        <v>134</v>
      </c>
      <c r="D27" s="88"/>
      <c r="E27" s="89">
        <v>1000</v>
      </c>
      <c r="F27" s="115">
        <v>1</v>
      </c>
      <c r="G27" s="96">
        <v>48.79</v>
      </c>
      <c r="H27" s="91">
        <f t="shared" si="0"/>
        <v>67.33</v>
      </c>
      <c r="I27" s="92">
        <f t="shared" si="1"/>
        <v>67.33</v>
      </c>
      <c r="J27" s="107"/>
      <c r="K27" s="90">
        <f t="shared" si="2"/>
        <v>1</v>
      </c>
      <c r="L27" s="91">
        <f t="shared" si="3"/>
        <v>40.4</v>
      </c>
      <c r="M27" s="91">
        <f t="shared" si="4"/>
        <v>40.4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26.93</v>
      </c>
      <c r="T27" s="96">
        <f t="shared" si="7"/>
        <v>26.93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875</v>
      </c>
      <c r="C28" s="101" t="s">
        <v>323</v>
      </c>
      <c r="D28" s="88"/>
      <c r="E28" s="102" t="s">
        <v>138</v>
      </c>
      <c r="F28" s="103">
        <v>1</v>
      </c>
      <c r="G28" s="104">
        <v>144.61000000000001</v>
      </c>
      <c r="H28" s="105">
        <f t="shared" si="0"/>
        <v>199.56</v>
      </c>
      <c r="I28" s="106">
        <f t="shared" si="1"/>
        <v>199.56</v>
      </c>
      <c r="J28" s="107"/>
      <c r="K28" s="108">
        <f t="shared" si="2"/>
        <v>1</v>
      </c>
      <c r="L28" s="105">
        <f t="shared" si="3"/>
        <v>119.74</v>
      </c>
      <c r="M28" s="105">
        <f t="shared" si="4"/>
        <v>119.74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79.819999999999993</v>
      </c>
      <c r="T28" s="111">
        <f t="shared" si="7"/>
        <v>79.819999999999993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8982705560</v>
      </c>
      <c r="C30" s="101" t="s">
        <v>751</v>
      </c>
      <c r="D30" s="88"/>
      <c r="E30" s="102" t="s">
        <v>138</v>
      </c>
      <c r="F30" s="103">
        <v>1</v>
      </c>
      <c r="G30" s="104">
        <v>6386.77</v>
      </c>
      <c r="H30" s="105">
        <f t="shared" si="0"/>
        <v>8813.74</v>
      </c>
      <c r="I30" s="106">
        <f t="shared" si="1"/>
        <v>8813.74</v>
      </c>
      <c r="J30" s="107"/>
      <c r="K30" s="108">
        <f t="shared" si="2"/>
        <v>1</v>
      </c>
      <c r="L30" s="105">
        <f t="shared" si="3"/>
        <v>5288.24</v>
      </c>
      <c r="M30" s="105">
        <f t="shared" si="4"/>
        <v>5288.24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3525.5</v>
      </c>
      <c r="T30" s="111">
        <f t="shared" si="7"/>
        <v>3525.5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8982389750</v>
      </c>
      <c r="C31" s="114" t="s">
        <v>752</v>
      </c>
      <c r="D31" s="88"/>
      <c r="E31" s="89" t="s">
        <v>138</v>
      </c>
      <c r="F31" s="115">
        <v>1</v>
      </c>
      <c r="G31" s="96">
        <v>6253.32</v>
      </c>
      <c r="H31" s="91">
        <f t="shared" si="0"/>
        <v>8629.58</v>
      </c>
      <c r="I31" s="92">
        <f t="shared" si="1"/>
        <v>8629.58</v>
      </c>
      <c r="J31" s="107"/>
      <c r="K31" s="90">
        <f t="shared" si="2"/>
        <v>1</v>
      </c>
      <c r="L31" s="91">
        <f t="shared" si="3"/>
        <v>5177.75</v>
      </c>
      <c r="M31" s="91">
        <f t="shared" si="4"/>
        <v>5177.75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3451.83</v>
      </c>
      <c r="T31" s="96">
        <f t="shared" si="7"/>
        <v>3451.83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8983245680</v>
      </c>
      <c r="C32" s="101" t="s">
        <v>753</v>
      </c>
      <c r="D32" s="88"/>
      <c r="E32" s="102" t="s">
        <v>138</v>
      </c>
      <c r="F32" s="103">
        <v>1</v>
      </c>
      <c r="G32" s="104">
        <v>967.6</v>
      </c>
      <c r="H32" s="105">
        <f t="shared" si="0"/>
        <v>1335.29</v>
      </c>
      <c r="I32" s="106">
        <f t="shared" si="1"/>
        <v>1335.29</v>
      </c>
      <c r="J32" s="107"/>
      <c r="K32" s="108">
        <f t="shared" si="2"/>
        <v>1</v>
      </c>
      <c r="L32" s="105">
        <f t="shared" si="3"/>
        <v>801.17</v>
      </c>
      <c r="M32" s="105">
        <f t="shared" si="4"/>
        <v>801.17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534.12</v>
      </c>
      <c r="T32" s="111">
        <f t="shared" si="7"/>
        <v>534.12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876</v>
      </c>
      <c r="C33" s="114" t="s">
        <v>877</v>
      </c>
      <c r="D33" s="88"/>
      <c r="E33" s="89" t="s">
        <v>138</v>
      </c>
      <c r="F33" s="115">
        <v>1</v>
      </c>
      <c r="G33" s="96">
        <v>3502.3</v>
      </c>
      <c r="H33" s="91">
        <f t="shared" si="0"/>
        <v>4833.17</v>
      </c>
      <c r="I33" s="92">
        <f t="shared" si="1"/>
        <v>4833.17</v>
      </c>
      <c r="J33" s="107"/>
      <c r="K33" s="90">
        <f t="shared" si="2"/>
        <v>1</v>
      </c>
      <c r="L33" s="91">
        <f t="shared" si="3"/>
        <v>2416.59</v>
      </c>
      <c r="M33" s="91">
        <f t="shared" si="4"/>
        <v>2416.59</v>
      </c>
      <c r="N33" s="116"/>
      <c r="O33" s="95"/>
      <c r="P33" s="117"/>
      <c r="Q33" s="96"/>
      <c r="R33" s="96">
        <f t="shared" si="5"/>
        <v>0</v>
      </c>
      <c r="S33" s="96">
        <f t="shared" si="6"/>
        <v>2416.58</v>
      </c>
      <c r="T33" s="96">
        <f t="shared" si="7"/>
        <v>2416.58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878</v>
      </c>
      <c r="C34" s="101" t="s">
        <v>782</v>
      </c>
      <c r="D34" s="88"/>
      <c r="E34" s="102" t="s">
        <v>138</v>
      </c>
      <c r="F34" s="103">
        <v>2</v>
      </c>
      <c r="G34" s="104">
        <v>404.78</v>
      </c>
      <c r="H34" s="105">
        <f t="shared" si="0"/>
        <v>558.6</v>
      </c>
      <c r="I34" s="106">
        <f t="shared" si="1"/>
        <v>1117.2</v>
      </c>
      <c r="J34" s="107"/>
      <c r="K34" s="108">
        <f t="shared" si="2"/>
        <v>2</v>
      </c>
      <c r="L34" s="105">
        <f t="shared" si="3"/>
        <v>279.3</v>
      </c>
      <c r="M34" s="105">
        <f t="shared" si="4"/>
        <v>558.6</v>
      </c>
      <c r="N34" s="109"/>
      <c r="O34" s="95"/>
      <c r="P34" s="100"/>
      <c r="Q34" s="104"/>
      <c r="R34" s="110">
        <f t="shared" si="5"/>
        <v>0</v>
      </c>
      <c r="S34" s="111">
        <f t="shared" si="6"/>
        <v>279.3</v>
      </c>
      <c r="T34" s="111">
        <f t="shared" si="7"/>
        <v>558.6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8982609301</v>
      </c>
      <c r="C35" s="114" t="s">
        <v>144</v>
      </c>
      <c r="D35" s="88"/>
      <c r="E35" s="89" t="s">
        <v>138</v>
      </c>
      <c r="F35" s="115">
        <v>1</v>
      </c>
      <c r="G35" s="96">
        <v>5428.23</v>
      </c>
      <c r="H35" s="91">
        <f t="shared" si="0"/>
        <v>7490.96</v>
      </c>
      <c r="I35" s="92">
        <f t="shared" si="1"/>
        <v>7490.96</v>
      </c>
      <c r="J35" s="107"/>
      <c r="K35" s="90">
        <f t="shared" si="2"/>
        <v>1</v>
      </c>
      <c r="L35" s="91">
        <f t="shared" si="3"/>
        <v>3745.48</v>
      </c>
      <c r="M35" s="91">
        <f t="shared" si="4"/>
        <v>3745.48</v>
      </c>
      <c r="N35" s="116"/>
      <c r="O35" s="95"/>
      <c r="P35" s="117"/>
      <c r="Q35" s="96"/>
      <c r="R35" s="96">
        <f t="shared" si="5"/>
        <v>0</v>
      </c>
      <c r="S35" s="96">
        <f t="shared" si="6"/>
        <v>3745.48</v>
      </c>
      <c r="T35" s="96">
        <f t="shared" si="7"/>
        <v>3745.48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6</v>
      </c>
      <c r="G36" s="104">
        <v>819.53</v>
      </c>
      <c r="H36" s="105">
        <f t="shared" si="0"/>
        <v>1130.95</v>
      </c>
      <c r="I36" s="106">
        <f t="shared" si="1"/>
        <v>6785.7</v>
      </c>
      <c r="J36" s="107"/>
      <c r="K36" s="108">
        <f t="shared" si="2"/>
        <v>6</v>
      </c>
      <c r="L36" s="105">
        <f t="shared" si="3"/>
        <v>791.67</v>
      </c>
      <c r="M36" s="105">
        <f t="shared" si="4"/>
        <v>4750.0200000000004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2035.68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879</v>
      </c>
      <c r="C37" s="114" t="s">
        <v>784</v>
      </c>
      <c r="D37" s="88"/>
      <c r="E37" s="89">
        <v>4000</v>
      </c>
      <c r="F37" s="115">
        <v>1</v>
      </c>
      <c r="G37" s="96">
        <v>46509.3</v>
      </c>
      <c r="H37" s="91">
        <f t="shared" si="0"/>
        <v>64182.83</v>
      </c>
      <c r="I37" s="92">
        <f t="shared" si="1"/>
        <v>64182.83</v>
      </c>
      <c r="J37" s="107"/>
      <c r="K37" s="90">
        <f t="shared" si="2"/>
        <v>1</v>
      </c>
      <c r="L37" s="91">
        <f t="shared" si="3"/>
        <v>44927.98</v>
      </c>
      <c r="M37" s="91">
        <f t="shared" si="4"/>
        <v>44927.98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19254.849999999999</v>
      </c>
      <c r="T37" s="96">
        <f t="shared" si="7"/>
        <v>19254.849999999999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39</v>
      </c>
      <c r="G50" s="123">
        <f t="shared" si="10"/>
        <v>72578.610000000015</v>
      </c>
      <c r="H50" s="124">
        <f t="shared" si="10"/>
        <v>100158.47999999998</v>
      </c>
      <c r="I50" s="125">
        <f t="shared" si="10"/>
        <v>108379.18</v>
      </c>
      <c r="J50" s="126"/>
      <c r="K50" s="127">
        <f t="shared" ref="K50:M50" si="11">SUM(K19:K49)</f>
        <v>39</v>
      </c>
      <c r="L50" s="124">
        <f t="shared" si="11"/>
        <v>65476.319999999992</v>
      </c>
      <c r="M50" s="125">
        <f t="shared" si="11"/>
        <v>71119.10000000002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34682.160000000003</v>
      </c>
      <c r="T50" s="125">
        <f t="shared" si="12"/>
        <v>37260.080000000002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91" priority="1" stopIfTrue="1">
      <formula>$U$9&gt;100%</formula>
    </cfRule>
    <cfRule type="expression" dxfId="90" priority="2">
      <formula>$U$9&lt;50%</formula>
    </cfRule>
  </conditionalFormatting>
  <conditionalFormatting sqref="V9:V11">
    <cfRule type="expression" dxfId="89" priority="3">
      <formula>$V$9&lt;50%</formula>
    </cfRule>
    <cfRule type="expression" dxfId="88" priority="4">
      <formula>$V$9&gt;50%</formula>
    </cfRule>
  </conditionalFormatting>
  <dataValidations count="4">
    <dataValidation type="list" allowBlank="1" showErrorMessage="1" sqref="E19:E49" xr:uid="{00000000-0002-0000-3200-000000000000}">
      <formula1>$Z$19:$Z$30</formula1>
    </dataValidation>
    <dataValidation type="list" allowBlank="1" showErrorMessage="1" sqref="I14" xr:uid="{00000000-0002-0000-3200-000001000000}">
      <formula1>$Y$14:$Y$15</formula1>
    </dataValidation>
    <dataValidation type="list" allowBlank="1" showErrorMessage="1" sqref="J14" xr:uid="{00000000-0002-0000-3200-000002000000}">
      <formula1>$L$9</formula1>
    </dataValidation>
    <dataValidation type="list" allowBlank="1" showErrorMessage="1" sqref="Q15 G18 L18 Q18" xr:uid="{00000000-0002-0000-3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880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108379.18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2020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71119.10000000002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37260.079999999973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869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0.34379370650340751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881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37260.080000000002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71119.10000000002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871</v>
      </c>
      <c r="C24" s="101" t="s">
        <v>128</v>
      </c>
      <c r="D24" s="88"/>
      <c r="E24" s="102">
        <v>1000</v>
      </c>
      <c r="F24" s="103">
        <v>1</v>
      </c>
      <c r="G24" s="104">
        <v>111.74</v>
      </c>
      <c r="H24" s="105">
        <f t="shared" si="0"/>
        <v>154.19999999999999</v>
      </c>
      <c r="I24" s="106">
        <f t="shared" si="1"/>
        <v>154.19999999999999</v>
      </c>
      <c r="J24" s="107"/>
      <c r="K24" s="108">
        <f t="shared" si="2"/>
        <v>1</v>
      </c>
      <c r="L24" s="105">
        <f t="shared" si="3"/>
        <v>92.52</v>
      </c>
      <c r="M24" s="105">
        <f t="shared" si="4"/>
        <v>92.52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61.68</v>
      </c>
      <c r="T24" s="111">
        <f t="shared" si="7"/>
        <v>61.68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872</v>
      </c>
      <c r="C25" s="114" t="s">
        <v>131</v>
      </c>
      <c r="D25" s="88"/>
      <c r="E25" s="89">
        <v>1000</v>
      </c>
      <c r="F25" s="115">
        <v>1</v>
      </c>
      <c r="G25" s="96">
        <v>60.68</v>
      </c>
      <c r="H25" s="91">
        <f t="shared" si="0"/>
        <v>83.74</v>
      </c>
      <c r="I25" s="92">
        <f t="shared" si="1"/>
        <v>83.74</v>
      </c>
      <c r="J25" s="107"/>
      <c r="K25" s="90">
        <f t="shared" si="2"/>
        <v>1</v>
      </c>
      <c r="L25" s="91">
        <f t="shared" si="3"/>
        <v>50.24</v>
      </c>
      <c r="M25" s="91">
        <f t="shared" si="4"/>
        <v>50.24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33.5</v>
      </c>
      <c r="T25" s="96">
        <f t="shared" si="7"/>
        <v>33.5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873</v>
      </c>
      <c r="C26" s="101" t="s">
        <v>134</v>
      </c>
      <c r="D26" s="88"/>
      <c r="E26" s="102">
        <v>1000</v>
      </c>
      <c r="F26" s="103">
        <v>1</v>
      </c>
      <c r="G26" s="104">
        <v>70.42</v>
      </c>
      <c r="H26" s="105">
        <f t="shared" si="0"/>
        <v>97.18</v>
      </c>
      <c r="I26" s="106">
        <f t="shared" si="1"/>
        <v>97.18</v>
      </c>
      <c r="J26" s="107"/>
      <c r="K26" s="108">
        <f t="shared" si="2"/>
        <v>1</v>
      </c>
      <c r="L26" s="105">
        <f t="shared" si="3"/>
        <v>58.31</v>
      </c>
      <c r="M26" s="105">
        <f t="shared" si="4"/>
        <v>58.31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38.869999999999997</v>
      </c>
      <c r="T26" s="111">
        <f t="shared" si="7"/>
        <v>38.869999999999997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874</v>
      </c>
      <c r="C27" s="114" t="s">
        <v>134</v>
      </c>
      <c r="D27" s="88"/>
      <c r="E27" s="89">
        <v>1000</v>
      </c>
      <c r="F27" s="115">
        <v>1</v>
      </c>
      <c r="G27" s="96">
        <v>48.79</v>
      </c>
      <c r="H27" s="91">
        <f t="shared" si="0"/>
        <v>67.33</v>
      </c>
      <c r="I27" s="92">
        <f t="shared" si="1"/>
        <v>67.33</v>
      </c>
      <c r="J27" s="107"/>
      <c r="K27" s="90">
        <f t="shared" si="2"/>
        <v>1</v>
      </c>
      <c r="L27" s="91">
        <f t="shared" si="3"/>
        <v>40.4</v>
      </c>
      <c r="M27" s="91">
        <f t="shared" si="4"/>
        <v>40.4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26.93</v>
      </c>
      <c r="T27" s="96">
        <f t="shared" si="7"/>
        <v>26.93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875</v>
      </c>
      <c r="C28" s="101" t="s">
        <v>323</v>
      </c>
      <c r="D28" s="88"/>
      <c r="E28" s="102" t="s">
        <v>138</v>
      </c>
      <c r="F28" s="103">
        <v>1</v>
      </c>
      <c r="G28" s="104">
        <v>144.61000000000001</v>
      </c>
      <c r="H28" s="105">
        <f t="shared" si="0"/>
        <v>199.56</v>
      </c>
      <c r="I28" s="106">
        <f t="shared" si="1"/>
        <v>199.56</v>
      </c>
      <c r="J28" s="107"/>
      <c r="K28" s="108">
        <f t="shared" si="2"/>
        <v>1</v>
      </c>
      <c r="L28" s="105">
        <f t="shared" si="3"/>
        <v>119.74</v>
      </c>
      <c r="M28" s="105">
        <f t="shared" si="4"/>
        <v>119.74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79.819999999999993</v>
      </c>
      <c r="T28" s="111">
        <f t="shared" si="7"/>
        <v>79.819999999999993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8982705560</v>
      </c>
      <c r="C30" s="101" t="s">
        <v>751</v>
      </c>
      <c r="D30" s="88"/>
      <c r="E30" s="102" t="s">
        <v>138</v>
      </c>
      <c r="F30" s="103">
        <v>1</v>
      </c>
      <c r="G30" s="104">
        <v>6386.77</v>
      </c>
      <c r="H30" s="105">
        <f t="shared" si="0"/>
        <v>8813.74</v>
      </c>
      <c r="I30" s="106">
        <f t="shared" si="1"/>
        <v>8813.74</v>
      </c>
      <c r="J30" s="107"/>
      <c r="K30" s="108">
        <f t="shared" si="2"/>
        <v>1</v>
      </c>
      <c r="L30" s="105">
        <f t="shared" si="3"/>
        <v>5288.24</v>
      </c>
      <c r="M30" s="105">
        <f t="shared" si="4"/>
        <v>5288.24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3525.5</v>
      </c>
      <c r="T30" s="111">
        <f t="shared" si="7"/>
        <v>3525.5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8982389750</v>
      </c>
      <c r="C31" s="114" t="s">
        <v>752</v>
      </c>
      <c r="D31" s="88"/>
      <c r="E31" s="89" t="s">
        <v>138</v>
      </c>
      <c r="F31" s="115">
        <v>1</v>
      </c>
      <c r="G31" s="96">
        <v>6253.32</v>
      </c>
      <c r="H31" s="91">
        <f t="shared" si="0"/>
        <v>8629.58</v>
      </c>
      <c r="I31" s="92">
        <f t="shared" si="1"/>
        <v>8629.58</v>
      </c>
      <c r="J31" s="107"/>
      <c r="K31" s="90">
        <f t="shared" si="2"/>
        <v>1</v>
      </c>
      <c r="L31" s="91">
        <f t="shared" si="3"/>
        <v>5177.75</v>
      </c>
      <c r="M31" s="91">
        <f t="shared" si="4"/>
        <v>5177.75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3451.83</v>
      </c>
      <c r="T31" s="96">
        <f t="shared" si="7"/>
        <v>3451.83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8983245680</v>
      </c>
      <c r="C32" s="101" t="s">
        <v>753</v>
      </c>
      <c r="D32" s="88"/>
      <c r="E32" s="102" t="s">
        <v>138</v>
      </c>
      <c r="F32" s="103">
        <v>1</v>
      </c>
      <c r="G32" s="104">
        <v>967.6</v>
      </c>
      <c r="H32" s="105">
        <f t="shared" si="0"/>
        <v>1335.29</v>
      </c>
      <c r="I32" s="106">
        <f t="shared" si="1"/>
        <v>1335.29</v>
      </c>
      <c r="J32" s="107"/>
      <c r="K32" s="108">
        <f t="shared" si="2"/>
        <v>1</v>
      </c>
      <c r="L32" s="105">
        <f t="shared" si="3"/>
        <v>801.17</v>
      </c>
      <c r="M32" s="105">
        <f t="shared" si="4"/>
        <v>801.17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534.12</v>
      </c>
      <c r="T32" s="111">
        <f t="shared" si="7"/>
        <v>534.12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876</v>
      </c>
      <c r="C33" s="114" t="s">
        <v>877</v>
      </c>
      <c r="D33" s="88"/>
      <c r="E33" s="89" t="s">
        <v>138</v>
      </c>
      <c r="F33" s="115">
        <v>1</v>
      </c>
      <c r="G33" s="96">
        <v>3502.3</v>
      </c>
      <c r="H33" s="91">
        <f t="shared" si="0"/>
        <v>4833.17</v>
      </c>
      <c r="I33" s="92">
        <f t="shared" si="1"/>
        <v>4833.17</v>
      </c>
      <c r="J33" s="107"/>
      <c r="K33" s="90">
        <f t="shared" si="2"/>
        <v>1</v>
      </c>
      <c r="L33" s="91">
        <f t="shared" si="3"/>
        <v>2416.59</v>
      </c>
      <c r="M33" s="91">
        <f t="shared" si="4"/>
        <v>2416.59</v>
      </c>
      <c r="N33" s="116"/>
      <c r="O33" s="95"/>
      <c r="P33" s="117"/>
      <c r="Q33" s="96"/>
      <c r="R33" s="96">
        <f t="shared" si="5"/>
        <v>0</v>
      </c>
      <c r="S33" s="96">
        <f t="shared" si="6"/>
        <v>2416.58</v>
      </c>
      <c r="T33" s="96">
        <f t="shared" si="7"/>
        <v>2416.58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878</v>
      </c>
      <c r="C34" s="101" t="s">
        <v>782</v>
      </c>
      <c r="D34" s="88"/>
      <c r="E34" s="102" t="s">
        <v>138</v>
      </c>
      <c r="F34" s="103">
        <v>2</v>
      </c>
      <c r="G34" s="104">
        <v>404.78</v>
      </c>
      <c r="H34" s="105">
        <f t="shared" si="0"/>
        <v>558.6</v>
      </c>
      <c r="I34" s="106">
        <f t="shared" si="1"/>
        <v>1117.2</v>
      </c>
      <c r="J34" s="107"/>
      <c r="K34" s="108">
        <f t="shared" si="2"/>
        <v>2</v>
      </c>
      <c r="L34" s="105">
        <f t="shared" si="3"/>
        <v>279.3</v>
      </c>
      <c r="M34" s="105">
        <f t="shared" si="4"/>
        <v>558.6</v>
      </c>
      <c r="N34" s="109"/>
      <c r="O34" s="95"/>
      <c r="P34" s="100"/>
      <c r="Q34" s="104"/>
      <c r="R34" s="110">
        <f t="shared" si="5"/>
        <v>0</v>
      </c>
      <c r="S34" s="111">
        <f t="shared" si="6"/>
        <v>279.3</v>
      </c>
      <c r="T34" s="111">
        <f t="shared" si="7"/>
        <v>558.6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8982609301</v>
      </c>
      <c r="C35" s="114" t="s">
        <v>144</v>
      </c>
      <c r="D35" s="88"/>
      <c r="E35" s="89" t="s">
        <v>138</v>
      </c>
      <c r="F35" s="115">
        <v>1</v>
      </c>
      <c r="G35" s="96">
        <v>5428.23</v>
      </c>
      <c r="H35" s="91">
        <f t="shared" si="0"/>
        <v>7490.96</v>
      </c>
      <c r="I35" s="92">
        <f t="shared" si="1"/>
        <v>7490.96</v>
      </c>
      <c r="J35" s="107"/>
      <c r="K35" s="90">
        <f t="shared" si="2"/>
        <v>1</v>
      </c>
      <c r="L35" s="91">
        <f t="shared" si="3"/>
        <v>3745.48</v>
      </c>
      <c r="M35" s="91">
        <f t="shared" si="4"/>
        <v>3745.48</v>
      </c>
      <c r="N35" s="116"/>
      <c r="O35" s="95"/>
      <c r="P35" s="117"/>
      <c r="Q35" s="96"/>
      <c r="R35" s="96">
        <f t="shared" si="5"/>
        <v>0</v>
      </c>
      <c r="S35" s="96">
        <f t="shared" si="6"/>
        <v>3745.48</v>
      </c>
      <c r="T35" s="96">
        <f t="shared" si="7"/>
        <v>3745.48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6</v>
      </c>
      <c r="G36" s="104">
        <v>819.53</v>
      </c>
      <c r="H36" s="105">
        <f t="shared" si="0"/>
        <v>1130.95</v>
      </c>
      <c r="I36" s="106">
        <f t="shared" si="1"/>
        <v>6785.7</v>
      </c>
      <c r="J36" s="107"/>
      <c r="K36" s="108">
        <f t="shared" si="2"/>
        <v>6</v>
      </c>
      <c r="L36" s="105">
        <f t="shared" si="3"/>
        <v>791.67</v>
      </c>
      <c r="M36" s="105">
        <f t="shared" si="4"/>
        <v>4750.0200000000004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2035.68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879</v>
      </c>
      <c r="C37" s="114" t="s">
        <v>784</v>
      </c>
      <c r="D37" s="88"/>
      <c r="E37" s="89">
        <v>4000</v>
      </c>
      <c r="F37" s="115">
        <v>1</v>
      </c>
      <c r="G37" s="96">
        <v>46509.3</v>
      </c>
      <c r="H37" s="91">
        <f t="shared" si="0"/>
        <v>64182.83</v>
      </c>
      <c r="I37" s="92">
        <f t="shared" si="1"/>
        <v>64182.83</v>
      </c>
      <c r="J37" s="107"/>
      <c r="K37" s="90">
        <f t="shared" si="2"/>
        <v>1</v>
      </c>
      <c r="L37" s="91">
        <f t="shared" si="3"/>
        <v>44927.98</v>
      </c>
      <c r="M37" s="91">
        <f t="shared" si="4"/>
        <v>44927.98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19254.849999999999</v>
      </c>
      <c r="T37" s="96">
        <f t="shared" si="7"/>
        <v>19254.849999999999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39</v>
      </c>
      <c r="G50" s="123">
        <f t="shared" si="10"/>
        <v>72578.610000000015</v>
      </c>
      <c r="H50" s="124">
        <f t="shared" si="10"/>
        <v>100158.47999999998</v>
      </c>
      <c r="I50" s="125">
        <f t="shared" si="10"/>
        <v>108379.18</v>
      </c>
      <c r="J50" s="126"/>
      <c r="K50" s="127">
        <f t="shared" ref="K50:M50" si="11">SUM(K19:K49)</f>
        <v>39</v>
      </c>
      <c r="L50" s="124">
        <f t="shared" si="11"/>
        <v>65476.319999999992</v>
      </c>
      <c r="M50" s="125">
        <f t="shared" si="11"/>
        <v>71119.10000000002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34682.160000000003</v>
      </c>
      <c r="T50" s="125">
        <f t="shared" si="12"/>
        <v>37260.080000000002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87" priority="1" stopIfTrue="1">
      <formula>$U$9&gt;100%</formula>
    </cfRule>
    <cfRule type="expression" dxfId="86" priority="2">
      <formula>$U$9&lt;50%</formula>
    </cfRule>
  </conditionalFormatting>
  <conditionalFormatting sqref="V9:V11">
    <cfRule type="expression" dxfId="85" priority="3">
      <formula>$V$9&lt;50%</formula>
    </cfRule>
    <cfRule type="expression" dxfId="84" priority="4">
      <formula>$V$9&gt;50%</formula>
    </cfRule>
  </conditionalFormatting>
  <dataValidations count="4">
    <dataValidation type="list" allowBlank="1" showErrorMessage="1" sqref="E19:E49" xr:uid="{00000000-0002-0000-3300-000000000000}">
      <formula1>$Z$19:$Z$30</formula1>
    </dataValidation>
    <dataValidation type="list" allowBlank="1" showErrorMessage="1" sqref="I14" xr:uid="{00000000-0002-0000-3300-000001000000}">
      <formula1>$Y$14:$Y$15</formula1>
    </dataValidation>
    <dataValidation type="list" allowBlank="1" showErrorMessage="1" sqref="J14" xr:uid="{00000000-0002-0000-3300-000002000000}">
      <formula1>$L$9</formula1>
    </dataValidation>
    <dataValidation type="list" allowBlank="1" showErrorMessage="1" sqref="Q15 G18 L18 Q18" xr:uid="{00000000-0002-0000-33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882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108379.18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2020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71119.10000000002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37260.079999999973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869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0.34379370650340751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883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37260.080000000002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71119.10000000002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775</v>
      </c>
      <c r="C19" s="87" t="s">
        <v>169</v>
      </c>
      <c r="D19" s="88"/>
      <c r="E19" s="89">
        <v>500</v>
      </c>
      <c r="F19" s="90">
        <v>1</v>
      </c>
      <c r="G19" s="91">
        <v>71.78</v>
      </c>
      <c r="H19" s="91">
        <f t="shared" ref="H19:H49" si="0">ROUND(IF($G$18="USD $", G19*$F$16,G19*$E$16),2)</f>
        <v>99.06</v>
      </c>
      <c r="I19" s="92">
        <f t="shared" ref="I19:I49" si="1">ROUND(IF($I$18=$H$18,F19*H19,F19*G19),2)</f>
        <v>99.06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49.53</v>
      </c>
      <c r="M19" s="91">
        <f t="shared" ref="M19:M49" si="4">ROUND((K19*L19),2)</f>
        <v>49.53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49.53</v>
      </c>
      <c r="T19" s="96">
        <f t="shared" ref="T19:T49" si="7">ROUND(I19-M19,2)</f>
        <v>49.53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741</v>
      </c>
      <c r="C20" s="101" t="s">
        <v>118</v>
      </c>
      <c r="D20" s="88"/>
      <c r="E20" s="102">
        <v>1000</v>
      </c>
      <c r="F20" s="103">
        <v>1</v>
      </c>
      <c r="G20" s="104">
        <v>132.04</v>
      </c>
      <c r="H20" s="105">
        <f t="shared" si="0"/>
        <v>182.22</v>
      </c>
      <c r="I20" s="106">
        <f t="shared" si="1"/>
        <v>182.22</v>
      </c>
      <c r="J20" s="107"/>
      <c r="K20" s="108">
        <f t="shared" si="2"/>
        <v>1</v>
      </c>
      <c r="L20" s="105">
        <f t="shared" si="3"/>
        <v>91.11</v>
      </c>
      <c r="M20" s="105">
        <f t="shared" si="4"/>
        <v>91.11</v>
      </c>
      <c r="N20" s="109"/>
      <c r="O20" s="95"/>
      <c r="P20" s="100"/>
      <c r="Q20" s="104"/>
      <c r="R20" s="110">
        <f t="shared" si="5"/>
        <v>0</v>
      </c>
      <c r="S20" s="111">
        <f t="shared" si="6"/>
        <v>91.11</v>
      </c>
      <c r="T20" s="111">
        <f t="shared" si="7"/>
        <v>91.11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742</v>
      </c>
      <c r="C21" s="114" t="s">
        <v>743</v>
      </c>
      <c r="D21" s="88"/>
      <c r="E21" s="89">
        <v>1000</v>
      </c>
      <c r="F21" s="115">
        <v>1</v>
      </c>
      <c r="G21" s="96">
        <v>55.5</v>
      </c>
      <c r="H21" s="91">
        <f t="shared" si="0"/>
        <v>76.59</v>
      </c>
      <c r="I21" s="92">
        <f t="shared" si="1"/>
        <v>76.59</v>
      </c>
      <c r="J21" s="107"/>
      <c r="K21" s="90">
        <f t="shared" si="2"/>
        <v>1</v>
      </c>
      <c r="L21" s="91">
        <f t="shared" si="3"/>
        <v>38.299999999999997</v>
      </c>
      <c r="M21" s="91">
        <f t="shared" si="4"/>
        <v>38.299999999999997</v>
      </c>
      <c r="N21" s="116"/>
      <c r="O21" s="95"/>
      <c r="P21" s="117"/>
      <c r="Q21" s="96"/>
      <c r="R21" s="96">
        <f t="shared" si="5"/>
        <v>0</v>
      </c>
      <c r="S21" s="96">
        <f t="shared" si="6"/>
        <v>38.29</v>
      </c>
      <c r="T21" s="96">
        <f t="shared" si="7"/>
        <v>38.29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776</v>
      </c>
      <c r="C23" s="114" t="s">
        <v>174</v>
      </c>
      <c r="D23" s="88"/>
      <c r="E23" s="89">
        <v>1000</v>
      </c>
      <c r="F23" s="115">
        <v>1</v>
      </c>
      <c r="G23" s="96">
        <v>78.930000000000007</v>
      </c>
      <c r="H23" s="91">
        <f t="shared" si="0"/>
        <v>108.92</v>
      </c>
      <c r="I23" s="92">
        <f t="shared" si="1"/>
        <v>108.92</v>
      </c>
      <c r="J23" s="107"/>
      <c r="K23" s="90">
        <f t="shared" si="2"/>
        <v>1</v>
      </c>
      <c r="L23" s="91">
        <f t="shared" si="3"/>
        <v>54.46</v>
      </c>
      <c r="M23" s="91">
        <f t="shared" si="4"/>
        <v>54.46</v>
      </c>
      <c r="N23" s="116"/>
      <c r="O23" s="95"/>
      <c r="P23" s="117"/>
      <c r="Q23" s="96"/>
      <c r="R23" s="96">
        <f t="shared" si="5"/>
        <v>0</v>
      </c>
      <c r="S23" s="96">
        <f t="shared" si="6"/>
        <v>54.46</v>
      </c>
      <c r="T23" s="96">
        <f t="shared" si="7"/>
        <v>54.46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871</v>
      </c>
      <c r="C24" s="101" t="s">
        <v>128</v>
      </c>
      <c r="D24" s="88"/>
      <c r="E24" s="102">
        <v>1000</v>
      </c>
      <c r="F24" s="103">
        <v>1</v>
      </c>
      <c r="G24" s="104">
        <v>111.74</v>
      </c>
      <c r="H24" s="105">
        <f t="shared" si="0"/>
        <v>154.19999999999999</v>
      </c>
      <c r="I24" s="106">
        <f t="shared" si="1"/>
        <v>154.19999999999999</v>
      </c>
      <c r="J24" s="107"/>
      <c r="K24" s="108">
        <f t="shared" si="2"/>
        <v>1</v>
      </c>
      <c r="L24" s="105">
        <f t="shared" si="3"/>
        <v>92.52</v>
      </c>
      <c r="M24" s="105">
        <f t="shared" si="4"/>
        <v>92.52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61.68</v>
      </c>
      <c r="T24" s="111">
        <f t="shared" si="7"/>
        <v>61.68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872</v>
      </c>
      <c r="C25" s="114" t="s">
        <v>131</v>
      </c>
      <c r="D25" s="88"/>
      <c r="E25" s="89">
        <v>1000</v>
      </c>
      <c r="F25" s="115">
        <v>1</v>
      </c>
      <c r="G25" s="96">
        <v>60.68</v>
      </c>
      <c r="H25" s="91">
        <f t="shared" si="0"/>
        <v>83.74</v>
      </c>
      <c r="I25" s="92">
        <f t="shared" si="1"/>
        <v>83.74</v>
      </c>
      <c r="J25" s="107"/>
      <c r="K25" s="90">
        <f t="shared" si="2"/>
        <v>1</v>
      </c>
      <c r="L25" s="91">
        <f t="shared" si="3"/>
        <v>50.24</v>
      </c>
      <c r="M25" s="91">
        <f t="shared" si="4"/>
        <v>50.24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33.5</v>
      </c>
      <c r="T25" s="96">
        <f t="shared" si="7"/>
        <v>33.5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873</v>
      </c>
      <c r="C26" s="101" t="s">
        <v>134</v>
      </c>
      <c r="D26" s="88"/>
      <c r="E26" s="102">
        <v>1000</v>
      </c>
      <c r="F26" s="103">
        <v>1</v>
      </c>
      <c r="G26" s="104">
        <v>70.42</v>
      </c>
      <c r="H26" s="105">
        <f t="shared" si="0"/>
        <v>97.18</v>
      </c>
      <c r="I26" s="106">
        <f t="shared" si="1"/>
        <v>97.18</v>
      </c>
      <c r="J26" s="107"/>
      <c r="K26" s="108">
        <f t="shared" si="2"/>
        <v>1</v>
      </c>
      <c r="L26" s="105">
        <f t="shared" si="3"/>
        <v>58.31</v>
      </c>
      <c r="M26" s="105">
        <f t="shared" si="4"/>
        <v>58.31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38.869999999999997</v>
      </c>
      <c r="T26" s="111">
        <f t="shared" si="7"/>
        <v>38.869999999999997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874</v>
      </c>
      <c r="C27" s="114" t="s">
        <v>134</v>
      </c>
      <c r="D27" s="88"/>
      <c r="E27" s="89">
        <v>1000</v>
      </c>
      <c r="F27" s="115">
        <v>1</v>
      </c>
      <c r="G27" s="96">
        <v>48.79</v>
      </c>
      <c r="H27" s="91">
        <f t="shared" si="0"/>
        <v>67.33</v>
      </c>
      <c r="I27" s="92">
        <f t="shared" si="1"/>
        <v>67.33</v>
      </c>
      <c r="J27" s="107"/>
      <c r="K27" s="90">
        <f t="shared" si="2"/>
        <v>1</v>
      </c>
      <c r="L27" s="91">
        <f t="shared" si="3"/>
        <v>40.4</v>
      </c>
      <c r="M27" s="91">
        <f t="shared" si="4"/>
        <v>40.4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26.93</v>
      </c>
      <c r="T27" s="96">
        <f t="shared" si="7"/>
        <v>26.93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875</v>
      </c>
      <c r="C28" s="101" t="s">
        <v>323</v>
      </c>
      <c r="D28" s="88"/>
      <c r="E28" s="102" t="s">
        <v>138</v>
      </c>
      <c r="F28" s="103">
        <v>1</v>
      </c>
      <c r="G28" s="104">
        <v>144.61000000000001</v>
      </c>
      <c r="H28" s="105">
        <f t="shared" si="0"/>
        <v>199.56</v>
      </c>
      <c r="I28" s="106">
        <f t="shared" si="1"/>
        <v>199.56</v>
      </c>
      <c r="J28" s="107"/>
      <c r="K28" s="108">
        <f t="shared" si="2"/>
        <v>1</v>
      </c>
      <c r="L28" s="105">
        <f t="shared" si="3"/>
        <v>119.74</v>
      </c>
      <c r="M28" s="105">
        <f t="shared" si="4"/>
        <v>119.74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79.819999999999993</v>
      </c>
      <c r="T28" s="111">
        <f t="shared" si="7"/>
        <v>79.819999999999993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8983507160</v>
      </c>
      <c r="C29" s="114" t="s">
        <v>750</v>
      </c>
      <c r="D29" s="88"/>
      <c r="E29" s="89" t="s">
        <v>138</v>
      </c>
      <c r="F29" s="115">
        <v>1</v>
      </c>
      <c r="G29" s="96">
        <v>133.79</v>
      </c>
      <c r="H29" s="91">
        <f t="shared" si="0"/>
        <v>184.63</v>
      </c>
      <c r="I29" s="92">
        <f t="shared" si="1"/>
        <v>184.63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73.849999999999994</v>
      </c>
      <c r="T29" s="96">
        <f t="shared" si="7"/>
        <v>73.849999999999994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>
        <v>8982705560</v>
      </c>
      <c r="C30" s="101" t="s">
        <v>751</v>
      </c>
      <c r="D30" s="88"/>
      <c r="E30" s="102" t="s">
        <v>138</v>
      </c>
      <c r="F30" s="103">
        <v>1</v>
      </c>
      <c r="G30" s="104">
        <v>6386.77</v>
      </c>
      <c r="H30" s="105">
        <f t="shared" si="0"/>
        <v>8813.74</v>
      </c>
      <c r="I30" s="106">
        <f t="shared" si="1"/>
        <v>8813.74</v>
      </c>
      <c r="J30" s="107"/>
      <c r="K30" s="108">
        <f t="shared" si="2"/>
        <v>1</v>
      </c>
      <c r="L30" s="105">
        <f t="shared" si="3"/>
        <v>5288.24</v>
      </c>
      <c r="M30" s="105">
        <f t="shared" si="4"/>
        <v>5288.24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3525.5</v>
      </c>
      <c r="T30" s="111">
        <f t="shared" si="7"/>
        <v>3525.5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>
        <v>8982389750</v>
      </c>
      <c r="C31" s="114" t="s">
        <v>752</v>
      </c>
      <c r="D31" s="88"/>
      <c r="E31" s="89" t="s">
        <v>138</v>
      </c>
      <c r="F31" s="115">
        <v>1</v>
      </c>
      <c r="G31" s="96">
        <v>6253.32</v>
      </c>
      <c r="H31" s="91">
        <f t="shared" si="0"/>
        <v>8629.58</v>
      </c>
      <c r="I31" s="92">
        <f t="shared" si="1"/>
        <v>8629.58</v>
      </c>
      <c r="J31" s="107"/>
      <c r="K31" s="90">
        <f t="shared" si="2"/>
        <v>1</v>
      </c>
      <c r="L31" s="91">
        <f t="shared" si="3"/>
        <v>5177.75</v>
      </c>
      <c r="M31" s="91">
        <f t="shared" si="4"/>
        <v>5177.75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3451.83</v>
      </c>
      <c r="T31" s="96">
        <f t="shared" si="7"/>
        <v>3451.83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>
        <v>8983245680</v>
      </c>
      <c r="C32" s="101" t="s">
        <v>753</v>
      </c>
      <c r="D32" s="88"/>
      <c r="E32" s="102" t="s">
        <v>138</v>
      </c>
      <c r="F32" s="103">
        <v>1</v>
      </c>
      <c r="G32" s="104">
        <v>967.6</v>
      </c>
      <c r="H32" s="105">
        <f t="shared" si="0"/>
        <v>1335.29</v>
      </c>
      <c r="I32" s="106">
        <f t="shared" si="1"/>
        <v>1335.29</v>
      </c>
      <c r="J32" s="107"/>
      <c r="K32" s="108">
        <f t="shared" si="2"/>
        <v>1</v>
      </c>
      <c r="L32" s="105">
        <f t="shared" si="3"/>
        <v>801.17</v>
      </c>
      <c r="M32" s="105">
        <f t="shared" si="4"/>
        <v>801.17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534.12</v>
      </c>
      <c r="T32" s="111">
        <f t="shared" si="7"/>
        <v>534.12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876</v>
      </c>
      <c r="C33" s="114" t="s">
        <v>877</v>
      </c>
      <c r="D33" s="88"/>
      <c r="E33" s="89" t="s">
        <v>138</v>
      </c>
      <c r="F33" s="115">
        <v>1</v>
      </c>
      <c r="G33" s="96">
        <v>3502.3</v>
      </c>
      <c r="H33" s="91">
        <f t="shared" si="0"/>
        <v>4833.17</v>
      </c>
      <c r="I33" s="92">
        <f t="shared" si="1"/>
        <v>4833.17</v>
      </c>
      <c r="J33" s="107"/>
      <c r="K33" s="90">
        <f t="shared" si="2"/>
        <v>1</v>
      </c>
      <c r="L33" s="91">
        <f t="shared" si="3"/>
        <v>2416.59</v>
      </c>
      <c r="M33" s="91">
        <f t="shared" si="4"/>
        <v>2416.59</v>
      </c>
      <c r="N33" s="116"/>
      <c r="O33" s="95"/>
      <c r="P33" s="117"/>
      <c r="Q33" s="96"/>
      <c r="R33" s="96">
        <f t="shared" si="5"/>
        <v>0</v>
      </c>
      <c r="S33" s="96">
        <f t="shared" si="6"/>
        <v>2416.58</v>
      </c>
      <c r="T33" s="96">
        <f t="shared" si="7"/>
        <v>2416.58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878</v>
      </c>
      <c r="C34" s="101" t="s">
        <v>782</v>
      </c>
      <c r="D34" s="88"/>
      <c r="E34" s="102" t="s">
        <v>138</v>
      </c>
      <c r="F34" s="103">
        <v>2</v>
      </c>
      <c r="G34" s="104">
        <v>404.78</v>
      </c>
      <c r="H34" s="105">
        <f t="shared" si="0"/>
        <v>558.6</v>
      </c>
      <c r="I34" s="106">
        <f t="shared" si="1"/>
        <v>1117.2</v>
      </c>
      <c r="J34" s="107"/>
      <c r="K34" s="108">
        <f t="shared" si="2"/>
        <v>2</v>
      </c>
      <c r="L34" s="105">
        <f t="shared" si="3"/>
        <v>279.3</v>
      </c>
      <c r="M34" s="105">
        <f t="shared" si="4"/>
        <v>558.6</v>
      </c>
      <c r="N34" s="109"/>
      <c r="O34" s="95"/>
      <c r="P34" s="100"/>
      <c r="Q34" s="104"/>
      <c r="R34" s="110">
        <f t="shared" si="5"/>
        <v>0</v>
      </c>
      <c r="S34" s="111">
        <f t="shared" si="6"/>
        <v>279.3</v>
      </c>
      <c r="T34" s="111">
        <f t="shared" si="7"/>
        <v>558.6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>
        <v>8982609301</v>
      </c>
      <c r="C35" s="114" t="s">
        <v>144</v>
      </c>
      <c r="D35" s="88"/>
      <c r="E35" s="89" t="s">
        <v>138</v>
      </c>
      <c r="F35" s="115">
        <v>1</v>
      </c>
      <c r="G35" s="96">
        <v>5428.23</v>
      </c>
      <c r="H35" s="91">
        <f t="shared" si="0"/>
        <v>7490.96</v>
      </c>
      <c r="I35" s="92">
        <f t="shared" si="1"/>
        <v>7490.96</v>
      </c>
      <c r="J35" s="107"/>
      <c r="K35" s="90">
        <f t="shared" si="2"/>
        <v>1</v>
      </c>
      <c r="L35" s="91">
        <f t="shared" si="3"/>
        <v>3745.48</v>
      </c>
      <c r="M35" s="91">
        <f t="shared" si="4"/>
        <v>3745.48</v>
      </c>
      <c r="N35" s="116"/>
      <c r="O35" s="95"/>
      <c r="P35" s="117"/>
      <c r="Q35" s="96"/>
      <c r="R35" s="96">
        <f t="shared" si="5"/>
        <v>0</v>
      </c>
      <c r="S35" s="96">
        <f t="shared" si="6"/>
        <v>3745.48</v>
      </c>
      <c r="T35" s="96">
        <f t="shared" si="7"/>
        <v>3745.48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>
        <v>8982384632</v>
      </c>
      <c r="C36" s="101" t="s">
        <v>758</v>
      </c>
      <c r="D36" s="88"/>
      <c r="E36" s="102" t="s">
        <v>138</v>
      </c>
      <c r="F36" s="103">
        <v>6</v>
      </c>
      <c r="G36" s="104">
        <v>819.53</v>
      </c>
      <c r="H36" s="105">
        <f t="shared" si="0"/>
        <v>1130.95</v>
      </c>
      <c r="I36" s="106">
        <f t="shared" si="1"/>
        <v>6785.7</v>
      </c>
      <c r="J36" s="107"/>
      <c r="K36" s="108">
        <f t="shared" si="2"/>
        <v>6</v>
      </c>
      <c r="L36" s="105">
        <f t="shared" si="3"/>
        <v>791.67</v>
      </c>
      <c r="M36" s="105">
        <f t="shared" si="4"/>
        <v>4750.0200000000004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339.28</v>
      </c>
      <c r="T36" s="111">
        <f t="shared" si="7"/>
        <v>2035.68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879</v>
      </c>
      <c r="C37" s="114" t="s">
        <v>784</v>
      </c>
      <c r="D37" s="88"/>
      <c r="E37" s="89">
        <v>4000</v>
      </c>
      <c r="F37" s="115">
        <v>1</v>
      </c>
      <c r="G37" s="96">
        <v>46509.3</v>
      </c>
      <c r="H37" s="91">
        <f t="shared" si="0"/>
        <v>64182.83</v>
      </c>
      <c r="I37" s="92">
        <f t="shared" si="1"/>
        <v>64182.83</v>
      </c>
      <c r="J37" s="107"/>
      <c r="K37" s="90">
        <f t="shared" si="2"/>
        <v>1</v>
      </c>
      <c r="L37" s="91">
        <f t="shared" si="3"/>
        <v>44927.98</v>
      </c>
      <c r="M37" s="91">
        <f t="shared" si="4"/>
        <v>44927.98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19254.849999999999</v>
      </c>
      <c r="T37" s="96">
        <f t="shared" si="7"/>
        <v>19254.849999999999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787</v>
      </c>
      <c r="C42" s="101" t="s">
        <v>267</v>
      </c>
      <c r="D42" s="88"/>
      <c r="E42" s="102" t="s">
        <v>138</v>
      </c>
      <c r="F42" s="103">
        <v>5</v>
      </c>
      <c r="G42" s="104">
        <v>179.37</v>
      </c>
      <c r="H42" s="105">
        <f t="shared" si="0"/>
        <v>247.53</v>
      </c>
      <c r="I42" s="106">
        <f t="shared" si="1"/>
        <v>1237.6500000000001</v>
      </c>
      <c r="J42" s="107"/>
      <c r="K42" s="108">
        <f t="shared" si="2"/>
        <v>5</v>
      </c>
      <c r="L42" s="105">
        <f t="shared" si="3"/>
        <v>173.27</v>
      </c>
      <c r="M42" s="105">
        <f t="shared" si="4"/>
        <v>866.35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74.260000000000005</v>
      </c>
      <c r="T42" s="111">
        <f t="shared" si="7"/>
        <v>371.3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788</v>
      </c>
      <c r="C43" s="114" t="s">
        <v>233</v>
      </c>
      <c r="D43" s="88"/>
      <c r="E43" s="89" t="s">
        <v>138</v>
      </c>
      <c r="F43" s="115">
        <v>5</v>
      </c>
      <c r="G43" s="96">
        <v>95.96</v>
      </c>
      <c r="H43" s="91">
        <f t="shared" si="0"/>
        <v>132.41999999999999</v>
      </c>
      <c r="I43" s="92">
        <f t="shared" si="1"/>
        <v>662.1</v>
      </c>
      <c r="J43" s="107"/>
      <c r="K43" s="90">
        <f t="shared" si="2"/>
        <v>5</v>
      </c>
      <c r="L43" s="91">
        <f t="shared" si="3"/>
        <v>92.69</v>
      </c>
      <c r="M43" s="91">
        <f t="shared" si="4"/>
        <v>463.45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39.729999999999997</v>
      </c>
      <c r="T43" s="96">
        <f t="shared" si="7"/>
        <v>198.65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39</v>
      </c>
      <c r="G50" s="123">
        <f t="shared" si="10"/>
        <v>72578.610000000015</v>
      </c>
      <c r="H50" s="124">
        <f t="shared" si="10"/>
        <v>100158.47999999998</v>
      </c>
      <c r="I50" s="125">
        <f t="shared" si="10"/>
        <v>108379.18</v>
      </c>
      <c r="J50" s="126"/>
      <c r="K50" s="127">
        <f t="shared" ref="K50:M50" si="11">SUM(K19:K49)</f>
        <v>39</v>
      </c>
      <c r="L50" s="124">
        <f t="shared" si="11"/>
        <v>65476.319999999992</v>
      </c>
      <c r="M50" s="125">
        <f t="shared" si="11"/>
        <v>71119.10000000002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34682.160000000003</v>
      </c>
      <c r="T50" s="125">
        <f t="shared" si="12"/>
        <v>37260.080000000002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83" priority="1" stopIfTrue="1">
      <formula>$U$9&gt;100%</formula>
    </cfRule>
    <cfRule type="expression" dxfId="82" priority="2">
      <formula>$U$9&lt;50%</formula>
    </cfRule>
  </conditionalFormatting>
  <conditionalFormatting sqref="V9:V11">
    <cfRule type="expression" dxfId="81" priority="3">
      <formula>$V$9&lt;50%</formula>
    </cfRule>
    <cfRule type="expression" dxfId="80" priority="4">
      <formula>$V$9&gt;50%</formula>
    </cfRule>
  </conditionalFormatting>
  <dataValidations count="4">
    <dataValidation type="list" allowBlank="1" showErrorMessage="1" sqref="E19:E49" xr:uid="{00000000-0002-0000-3400-000000000000}">
      <formula1>$Z$19:$Z$30</formula1>
    </dataValidation>
    <dataValidation type="list" allowBlank="1" showErrorMessage="1" sqref="I14" xr:uid="{00000000-0002-0000-3400-000001000000}">
      <formula1>$Y$14:$Y$15</formula1>
    </dataValidation>
    <dataValidation type="list" allowBlank="1" showErrorMessage="1" sqref="J14" xr:uid="{00000000-0002-0000-3400-000002000000}">
      <formula1>$L$9</formula1>
    </dataValidation>
    <dataValidation type="list" allowBlank="1" showErrorMessage="1" sqref="Q15 G18 L18 Q18" xr:uid="{00000000-0002-0000-3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884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101433.04000000001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65853.259999999995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35579.780000000013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885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0.35077110968970276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886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35579.779999999992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65853.259999999995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38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887</v>
      </c>
      <c r="C19" s="87" t="s">
        <v>169</v>
      </c>
      <c r="D19" s="88"/>
      <c r="E19" s="89">
        <v>500</v>
      </c>
      <c r="F19" s="90">
        <v>1</v>
      </c>
      <c r="G19" s="91">
        <v>26.33</v>
      </c>
      <c r="H19" s="91">
        <f t="shared" ref="H19:H49" si="0">ROUND(IF($G$18="USD $", G19*$F$16,G19*$E$16),2)</f>
        <v>36.340000000000003</v>
      </c>
      <c r="I19" s="92">
        <f t="shared" ref="I19:I49" si="1">ROUND(IF($I$18=$H$18,F19*H19,F19*G19),2)</f>
        <v>36.340000000000003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18.170000000000002</v>
      </c>
      <c r="M19" s="91">
        <f t="shared" ref="M19:M49" si="4">ROUND((K19*L19),2)</f>
        <v>18.170000000000002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18.170000000000002</v>
      </c>
      <c r="T19" s="96">
        <f t="shared" ref="T19:T49" si="7">ROUND(I19-M19,2)</f>
        <v>18.170000000000002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888</v>
      </c>
      <c r="C20" s="101" t="s">
        <v>118</v>
      </c>
      <c r="D20" s="88"/>
      <c r="E20" s="102">
        <v>1000</v>
      </c>
      <c r="F20" s="103">
        <v>1</v>
      </c>
      <c r="G20" s="104">
        <v>68.64</v>
      </c>
      <c r="H20" s="105">
        <f t="shared" si="0"/>
        <v>94.72</v>
      </c>
      <c r="I20" s="106">
        <f t="shared" si="1"/>
        <v>94.72</v>
      </c>
      <c r="J20" s="107"/>
      <c r="K20" s="108">
        <f t="shared" si="2"/>
        <v>1</v>
      </c>
      <c r="L20" s="105">
        <f t="shared" si="3"/>
        <v>47.36</v>
      </c>
      <c r="M20" s="105">
        <f t="shared" si="4"/>
        <v>47.36</v>
      </c>
      <c r="N20" s="109"/>
      <c r="O20" s="95"/>
      <c r="P20" s="100"/>
      <c r="Q20" s="104"/>
      <c r="R20" s="110">
        <f t="shared" si="5"/>
        <v>0</v>
      </c>
      <c r="S20" s="111">
        <f t="shared" si="6"/>
        <v>47.36</v>
      </c>
      <c r="T20" s="111">
        <f t="shared" si="7"/>
        <v>47.36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889</v>
      </c>
      <c r="C21" s="114" t="s">
        <v>743</v>
      </c>
      <c r="D21" s="88"/>
      <c r="E21" s="89">
        <v>1000</v>
      </c>
      <c r="F21" s="115">
        <v>1</v>
      </c>
      <c r="G21" s="96">
        <v>69.56</v>
      </c>
      <c r="H21" s="91">
        <f t="shared" si="0"/>
        <v>95.99</v>
      </c>
      <c r="I21" s="92">
        <f t="shared" si="1"/>
        <v>95.99</v>
      </c>
      <c r="J21" s="107"/>
      <c r="K21" s="90">
        <f t="shared" si="2"/>
        <v>1</v>
      </c>
      <c r="L21" s="91">
        <f t="shared" si="3"/>
        <v>48</v>
      </c>
      <c r="M21" s="91">
        <f t="shared" si="4"/>
        <v>48</v>
      </c>
      <c r="N21" s="116"/>
      <c r="O21" s="95"/>
      <c r="P21" s="117"/>
      <c r="Q21" s="96"/>
      <c r="R21" s="96">
        <f t="shared" si="5"/>
        <v>0</v>
      </c>
      <c r="S21" s="96">
        <f t="shared" si="6"/>
        <v>47.99</v>
      </c>
      <c r="T21" s="96">
        <f t="shared" si="7"/>
        <v>47.99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4630525</v>
      </c>
      <c r="C22" s="101" t="s">
        <v>174</v>
      </c>
      <c r="D22" s="88"/>
      <c r="E22" s="102">
        <v>1000</v>
      </c>
      <c r="F22" s="103">
        <v>1</v>
      </c>
      <c r="G22" s="104">
        <v>29.73</v>
      </c>
      <c r="H22" s="105">
        <f t="shared" si="0"/>
        <v>41.03</v>
      </c>
      <c r="I22" s="106">
        <f t="shared" si="1"/>
        <v>41.03</v>
      </c>
      <c r="J22" s="107"/>
      <c r="K22" s="108">
        <f t="shared" si="2"/>
        <v>1</v>
      </c>
      <c r="L22" s="105">
        <f t="shared" si="3"/>
        <v>20.52</v>
      </c>
      <c r="M22" s="105">
        <f t="shared" si="4"/>
        <v>20.52</v>
      </c>
      <c r="N22" s="109"/>
      <c r="O22" s="95"/>
      <c r="P22" s="100"/>
      <c r="Q22" s="104"/>
      <c r="R22" s="110">
        <f t="shared" si="5"/>
        <v>0</v>
      </c>
      <c r="S22" s="111">
        <f t="shared" si="6"/>
        <v>20.51</v>
      </c>
      <c r="T22" s="111">
        <f t="shared" si="7"/>
        <v>20.51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890</v>
      </c>
      <c r="C23" s="114" t="s">
        <v>174</v>
      </c>
      <c r="D23" s="88"/>
      <c r="E23" s="89">
        <v>1000</v>
      </c>
      <c r="F23" s="115">
        <v>1</v>
      </c>
      <c r="G23" s="96">
        <v>98.46</v>
      </c>
      <c r="H23" s="91">
        <f t="shared" si="0"/>
        <v>135.87</v>
      </c>
      <c r="I23" s="92">
        <f t="shared" si="1"/>
        <v>135.87</v>
      </c>
      <c r="J23" s="107"/>
      <c r="K23" s="90">
        <f t="shared" si="2"/>
        <v>1</v>
      </c>
      <c r="L23" s="91">
        <f t="shared" si="3"/>
        <v>67.94</v>
      </c>
      <c r="M23" s="91">
        <f t="shared" si="4"/>
        <v>67.94</v>
      </c>
      <c r="N23" s="116"/>
      <c r="O23" s="95"/>
      <c r="P23" s="117"/>
      <c r="Q23" s="96"/>
      <c r="R23" s="96">
        <f t="shared" si="5"/>
        <v>0</v>
      </c>
      <c r="S23" s="96">
        <f t="shared" si="6"/>
        <v>67.930000000000007</v>
      </c>
      <c r="T23" s="96">
        <f t="shared" si="7"/>
        <v>67.930000000000007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891</v>
      </c>
      <c r="C24" s="101" t="s">
        <v>128</v>
      </c>
      <c r="D24" s="88"/>
      <c r="E24" s="102">
        <v>1000</v>
      </c>
      <c r="F24" s="103">
        <v>1</v>
      </c>
      <c r="G24" s="104">
        <v>113.07</v>
      </c>
      <c r="H24" s="105">
        <f t="shared" si="0"/>
        <v>156.04</v>
      </c>
      <c r="I24" s="106">
        <f t="shared" si="1"/>
        <v>156.04</v>
      </c>
      <c r="J24" s="107"/>
      <c r="K24" s="108">
        <f t="shared" si="2"/>
        <v>1</v>
      </c>
      <c r="L24" s="105">
        <f t="shared" si="3"/>
        <v>93.62</v>
      </c>
      <c r="M24" s="105">
        <f t="shared" si="4"/>
        <v>93.62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62.42</v>
      </c>
      <c r="T24" s="111">
        <f t="shared" si="7"/>
        <v>62.42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892</v>
      </c>
      <c r="C25" s="114" t="s">
        <v>131</v>
      </c>
      <c r="D25" s="88"/>
      <c r="E25" s="89">
        <v>1000</v>
      </c>
      <c r="F25" s="115">
        <v>1</v>
      </c>
      <c r="G25" s="96">
        <v>64.69</v>
      </c>
      <c r="H25" s="91">
        <f t="shared" si="0"/>
        <v>89.27</v>
      </c>
      <c r="I25" s="92">
        <f t="shared" si="1"/>
        <v>89.27</v>
      </c>
      <c r="J25" s="107"/>
      <c r="K25" s="90">
        <f t="shared" si="2"/>
        <v>1</v>
      </c>
      <c r="L25" s="91">
        <f t="shared" si="3"/>
        <v>53.56</v>
      </c>
      <c r="M25" s="91">
        <f t="shared" si="4"/>
        <v>53.56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35.71</v>
      </c>
      <c r="T25" s="96">
        <f t="shared" si="7"/>
        <v>35.71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874</v>
      </c>
      <c r="C26" s="101" t="s">
        <v>134</v>
      </c>
      <c r="D26" s="88"/>
      <c r="E26" s="102">
        <v>1000</v>
      </c>
      <c r="F26" s="103">
        <v>1</v>
      </c>
      <c r="G26" s="104">
        <v>48.79</v>
      </c>
      <c r="H26" s="105">
        <f t="shared" si="0"/>
        <v>67.33</v>
      </c>
      <c r="I26" s="106">
        <f t="shared" si="1"/>
        <v>67.33</v>
      </c>
      <c r="J26" s="107"/>
      <c r="K26" s="108">
        <f t="shared" si="2"/>
        <v>1</v>
      </c>
      <c r="L26" s="105">
        <f t="shared" si="3"/>
        <v>40.4</v>
      </c>
      <c r="M26" s="105">
        <f t="shared" si="4"/>
        <v>40.4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26.93</v>
      </c>
      <c r="T26" s="111">
        <f t="shared" si="7"/>
        <v>26.93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873</v>
      </c>
      <c r="C27" s="114" t="s">
        <v>134</v>
      </c>
      <c r="D27" s="88"/>
      <c r="E27" s="89">
        <v>1000</v>
      </c>
      <c r="F27" s="115">
        <v>1</v>
      </c>
      <c r="G27" s="96">
        <v>70.42</v>
      </c>
      <c r="H27" s="91">
        <f t="shared" si="0"/>
        <v>97.18</v>
      </c>
      <c r="I27" s="92">
        <f t="shared" si="1"/>
        <v>97.18</v>
      </c>
      <c r="J27" s="107"/>
      <c r="K27" s="90">
        <f t="shared" si="2"/>
        <v>1</v>
      </c>
      <c r="L27" s="91">
        <f t="shared" si="3"/>
        <v>58.31</v>
      </c>
      <c r="M27" s="91">
        <f t="shared" si="4"/>
        <v>58.31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38.869999999999997</v>
      </c>
      <c r="T27" s="96">
        <f t="shared" si="7"/>
        <v>38.869999999999997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/>
      <c r="C28" s="101" t="s">
        <v>323</v>
      </c>
      <c r="D28" s="88"/>
      <c r="E28" s="102" t="s">
        <v>138</v>
      </c>
      <c r="F28" s="103"/>
      <c r="G28" s="104"/>
      <c r="H28" s="105">
        <f t="shared" si="0"/>
        <v>0</v>
      </c>
      <c r="I28" s="106">
        <f t="shared" si="1"/>
        <v>0</v>
      </c>
      <c r="J28" s="107"/>
      <c r="K28" s="108">
        <f t="shared" si="2"/>
        <v>0</v>
      </c>
      <c r="L28" s="105">
        <f t="shared" si="3"/>
        <v>0</v>
      </c>
      <c r="M28" s="105">
        <f t="shared" si="4"/>
        <v>0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0</v>
      </c>
      <c r="T28" s="111">
        <f t="shared" si="7"/>
        <v>0</v>
      </c>
      <c r="U28" s="112">
        <f t="shared" si="8"/>
        <v>0</v>
      </c>
      <c r="V28" s="112">
        <f t="shared" si="9"/>
        <v>0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893</v>
      </c>
      <c r="C29" s="114" t="s">
        <v>750</v>
      </c>
      <c r="D29" s="88"/>
      <c r="E29" s="89" t="s">
        <v>138</v>
      </c>
      <c r="F29" s="115">
        <v>1</v>
      </c>
      <c r="G29" s="96">
        <v>133.80000000000001</v>
      </c>
      <c r="H29" s="91">
        <f t="shared" si="0"/>
        <v>184.64</v>
      </c>
      <c r="I29" s="92">
        <f t="shared" si="1"/>
        <v>184.64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73.86</v>
      </c>
      <c r="T29" s="96">
        <f t="shared" si="7"/>
        <v>73.86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894</v>
      </c>
      <c r="C30" s="101" t="s">
        <v>751</v>
      </c>
      <c r="D30" s="88"/>
      <c r="E30" s="102" t="s">
        <v>138</v>
      </c>
      <c r="F30" s="103">
        <v>1</v>
      </c>
      <c r="G30" s="104">
        <v>6123.54</v>
      </c>
      <c r="H30" s="105">
        <f t="shared" si="0"/>
        <v>8450.49</v>
      </c>
      <c r="I30" s="106">
        <f t="shared" si="1"/>
        <v>8450.49</v>
      </c>
      <c r="J30" s="107"/>
      <c r="K30" s="108">
        <f t="shared" si="2"/>
        <v>1</v>
      </c>
      <c r="L30" s="105">
        <f t="shared" si="3"/>
        <v>5070.29</v>
      </c>
      <c r="M30" s="105">
        <f t="shared" si="4"/>
        <v>5070.29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3380.2</v>
      </c>
      <c r="T30" s="111">
        <f t="shared" si="7"/>
        <v>3380.2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895</v>
      </c>
      <c r="C31" s="114" t="s">
        <v>752</v>
      </c>
      <c r="D31" s="88"/>
      <c r="E31" s="89" t="s">
        <v>138</v>
      </c>
      <c r="F31" s="115">
        <v>1</v>
      </c>
      <c r="G31" s="96">
        <v>4040.66</v>
      </c>
      <c r="H31" s="91">
        <f t="shared" si="0"/>
        <v>5576.11</v>
      </c>
      <c r="I31" s="92">
        <f t="shared" si="1"/>
        <v>5576.11</v>
      </c>
      <c r="J31" s="107"/>
      <c r="K31" s="90">
        <f t="shared" si="2"/>
        <v>1</v>
      </c>
      <c r="L31" s="91">
        <f t="shared" si="3"/>
        <v>3345.67</v>
      </c>
      <c r="M31" s="91">
        <f t="shared" si="4"/>
        <v>3345.67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2230.44</v>
      </c>
      <c r="T31" s="96">
        <f t="shared" si="7"/>
        <v>2230.44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896</v>
      </c>
      <c r="C32" s="101" t="s">
        <v>753</v>
      </c>
      <c r="D32" s="88"/>
      <c r="E32" s="102" t="s">
        <v>138</v>
      </c>
      <c r="F32" s="103">
        <v>1</v>
      </c>
      <c r="G32" s="104">
        <v>3003.51</v>
      </c>
      <c r="H32" s="105">
        <f t="shared" si="0"/>
        <v>4144.84</v>
      </c>
      <c r="I32" s="106">
        <f t="shared" si="1"/>
        <v>4144.84</v>
      </c>
      <c r="J32" s="107"/>
      <c r="K32" s="108">
        <f t="shared" si="2"/>
        <v>1</v>
      </c>
      <c r="L32" s="105">
        <f t="shared" si="3"/>
        <v>2486.9</v>
      </c>
      <c r="M32" s="105">
        <f t="shared" si="4"/>
        <v>2486.9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1657.94</v>
      </c>
      <c r="T32" s="111">
        <f t="shared" si="7"/>
        <v>1657.94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897</v>
      </c>
      <c r="C33" s="114" t="s">
        <v>877</v>
      </c>
      <c r="D33" s="88"/>
      <c r="E33" s="89" t="s">
        <v>138</v>
      </c>
      <c r="F33" s="115">
        <v>1</v>
      </c>
      <c r="G33" s="96">
        <v>6919.96</v>
      </c>
      <c r="H33" s="91">
        <f t="shared" si="0"/>
        <v>9549.5400000000009</v>
      </c>
      <c r="I33" s="92">
        <f t="shared" si="1"/>
        <v>9549.5400000000009</v>
      </c>
      <c r="J33" s="107"/>
      <c r="K33" s="90">
        <f t="shared" si="2"/>
        <v>1</v>
      </c>
      <c r="L33" s="91">
        <f t="shared" si="3"/>
        <v>4774.7700000000004</v>
      </c>
      <c r="M33" s="91">
        <f t="shared" si="4"/>
        <v>4774.7700000000004</v>
      </c>
      <c r="N33" s="116"/>
      <c r="O33" s="95"/>
      <c r="P33" s="117"/>
      <c r="Q33" s="96"/>
      <c r="R33" s="96">
        <f t="shared" si="5"/>
        <v>0</v>
      </c>
      <c r="S33" s="96">
        <f t="shared" si="6"/>
        <v>4774.7700000000004</v>
      </c>
      <c r="T33" s="96">
        <f t="shared" si="7"/>
        <v>4774.7700000000004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878</v>
      </c>
      <c r="C34" s="101" t="s">
        <v>898</v>
      </c>
      <c r="D34" s="88"/>
      <c r="E34" s="102" t="s">
        <v>138</v>
      </c>
      <c r="F34" s="103">
        <v>2</v>
      </c>
      <c r="G34" s="104">
        <v>404.78</v>
      </c>
      <c r="H34" s="105">
        <f t="shared" si="0"/>
        <v>558.6</v>
      </c>
      <c r="I34" s="106">
        <f t="shared" si="1"/>
        <v>1117.2</v>
      </c>
      <c r="J34" s="107"/>
      <c r="K34" s="108">
        <f t="shared" si="2"/>
        <v>2</v>
      </c>
      <c r="L34" s="105">
        <f t="shared" si="3"/>
        <v>279.3</v>
      </c>
      <c r="M34" s="105">
        <f t="shared" si="4"/>
        <v>558.6</v>
      </c>
      <c r="N34" s="109"/>
      <c r="O34" s="95"/>
      <c r="P34" s="100"/>
      <c r="Q34" s="104"/>
      <c r="R34" s="110">
        <f t="shared" si="5"/>
        <v>0</v>
      </c>
      <c r="S34" s="111">
        <f t="shared" si="6"/>
        <v>279.3</v>
      </c>
      <c r="T34" s="111">
        <f t="shared" si="7"/>
        <v>558.6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899</v>
      </c>
      <c r="C35" s="114" t="s">
        <v>144</v>
      </c>
      <c r="D35" s="88"/>
      <c r="E35" s="89" t="s">
        <v>138</v>
      </c>
      <c r="F35" s="115">
        <v>1</v>
      </c>
      <c r="G35" s="96">
        <v>3837.47</v>
      </c>
      <c r="H35" s="91">
        <f t="shared" si="0"/>
        <v>5295.71</v>
      </c>
      <c r="I35" s="92">
        <f t="shared" si="1"/>
        <v>5295.71</v>
      </c>
      <c r="J35" s="107"/>
      <c r="K35" s="90">
        <f t="shared" si="2"/>
        <v>1</v>
      </c>
      <c r="L35" s="91">
        <f t="shared" si="3"/>
        <v>2647.86</v>
      </c>
      <c r="M35" s="91">
        <f t="shared" si="4"/>
        <v>2647.86</v>
      </c>
      <c r="N35" s="116"/>
      <c r="O35" s="95"/>
      <c r="P35" s="117"/>
      <c r="Q35" s="96"/>
      <c r="R35" s="96">
        <f t="shared" si="5"/>
        <v>0</v>
      </c>
      <c r="S35" s="96">
        <f t="shared" si="6"/>
        <v>2647.85</v>
      </c>
      <c r="T35" s="96">
        <f t="shared" si="7"/>
        <v>2647.85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900</v>
      </c>
      <c r="C36" s="101" t="s">
        <v>758</v>
      </c>
      <c r="D36" s="88"/>
      <c r="E36" s="102" t="s">
        <v>138</v>
      </c>
      <c r="F36" s="103">
        <v>6</v>
      </c>
      <c r="G36" s="104">
        <v>658.99</v>
      </c>
      <c r="H36" s="105">
        <f t="shared" si="0"/>
        <v>909.41</v>
      </c>
      <c r="I36" s="106">
        <f t="shared" si="1"/>
        <v>5456.46</v>
      </c>
      <c r="J36" s="107"/>
      <c r="K36" s="108">
        <f t="shared" si="2"/>
        <v>6</v>
      </c>
      <c r="L36" s="105">
        <f t="shared" si="3"/>
        <v>636.59</v>
      </c>
      <c r="M36" s="105">
        <f t="shared" si="4"/>
        <v>3819.54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272.82</v>
      </c>
      <c r="T36" s="111">
        <f t="shared" si="7"/>
        <v>1636.92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901</v>
      </c>
      <c r="C37" s="114" t="s">
        <v>784</v>
      </c>
      <c r="D37" s="88"/>
      <c r="E37" s="89">
        <v>4000</v>
      </c>
      <c r="F37" s="115">
        <v>1</v>
      </c>
      <c r="G37" s="96">
        <v>40654.879999999997</v>
      </c>
      <c r="H37" s="91">
        <f t="shared" si="0"/>
        <v>56103.73</v>
      </c>
      <c r="I37" s="92">
        <f t="shared" si="1"/>
        <v>56103.73</v>
      </c>
      <c r="J37" s="107"/>
      <c r="K37" s="90">
        <f t="shared" si="2"/>
        <v>1</v>
      </c>
      <c r="L37" s="91">
        <f t="shared" si="3"/>
        <v>39272.61</v>
      </c>
      <c r="M37" s="91">
        <f t="shared" si="4"/>
        <v>39272.61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16831.12</v>
      </c>
      <c r="T37" s="96">
        <f t="shared" si="7"/>
        <v>16831.12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785</v>
      </c>
      <c r="C39" s="114" t="s">
        <v>761</v>
      </c>
      <c r="D39" s="88"/>
      <c r="E39" s="89" t="s">
        <v>138</v>
      </c>
      <c r="F39" s="115">
        <v>1</v>
      </c>
      <c r="G39" s="96">
        <v>370.07</v>
      </c>
      <c r="H39" s="91">
        <f t="shared" si="0"/>
        <v>510.7</v>
      </c>
      <c r="I39" s="92">
        <f t="shared" si="1"/>
        <v>510.7</v>
      </c>
      <c r="J39" s="107"/>
      <c r="K39" s="90">
        <f t="shared" si="2"/>
        <v>1</v>
      </c>
      <c r="L39" s="91">
        <f t="shared" si="3"/>
        <v>357.49</v>
      </c>
      <c r="M39" s="91">
        <f t="shared" si="4"/>
        <v>357.49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153.21</v>
      </c>
      <c r="T39" s="96">
        <f t="shared" si="7"/>
        <v>153.21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786</v>
      </c>
      <c r="C40" s="101" t="s">
        <v>763</v>
      </c>
      <c r="D40" s="88"/>
      <c r="E40" s="102" t="s">
        <v>138</v>
      </c>
      <c r="F40" s="103">
        <v>1</v>
      </c>
      <c r="G40" s="104">
        <v>370.07</v>
      </c>
      <c r="H40" s="105">
        <f t="shared" si="0"/>
        <v>510.7</v>
      </c>
      <c r="I40" s="106">
        <f t="shared" si="1"/>
        <v>510.7</v>
      </c>
      <c r="J40" s="107"/>
      <c r="K40" s="108">
        <f t="shared" si="2"/>
        <v>1</v>
      </c>
      <c r="L40" s="105">
        <f t="shared" si="3"/>
        <v>357.49</v>
      </c>
      <c r="M40" s="105">
        <f t="shared" si="4"/>
        <v>357.49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153.21</v>
      </c>
      <c r="T40" s="111">
        <f t="shared" si="7"/>
        <v>153.21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764</v>
      </c>
      <c r="C41" s="114" t="s">
        <v>765</v>
      </c>
      <c r="D41" s="88"/>
      <c r="E41" s="89" t="s">
        <v>138</v>
      </c>
      <c r="F41" s="115">
        <v>2</v>
      </c>
      <c r="G41" s="96">
        <v>353.3</v>
      </c>
      <c r="H41" s="91">
        <f t="shared" si="0"/>
        <v>487.55</v>
      </c>
      <c r="I41" s="92">
        <f t="shared" si="1"/>
        <v>975.1</v>
      </c>
      <c r="J41" s="107"/>
      <c r="K41" s="90">
        <f t="shared" si="2"/>
        <v>2</v>
      </c>
      <c r="L41" s="91">
        <f t="shared" si="3"/>
        <v>341.29</v>
      </c>
      <c r="M41" s="91">
        <f t="shared" si="4"/>
        <v>682.58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146.26</v>
      </c>
      <c r="T41" s="96">
        <f t="shared" si="7"/>
        <v>292.52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902</v>
      </c>
      <c r="C42" s="101" t="s">
        <v>267</v>
      </c>
      <c r="D42" s="88"/>
      <c r="E42" s="102" t="s">
        <v>138</v>
      </c>
      <c r="F42" s="103">
        <v>5</v>
      </c>
      <c r="G42" s="104">
        <v>284</v>
      </c>
      <c r="H42" s="105">
        <f t="shared" si="0"/>
        <v>391.92</v>
      </c>
      <c r="I42" s="106">
        <f t="shared" si="1"/>
        <v>1959.6</v>
      </c>
      <c r="J42" s="107"/>
      <c r="K42" s="108">
        <f t="shared" si="2"/>
        <v>5</v>
      </c>
      <c r="L42" s="105">
        <f t="shared" si="3"/>
        <v>274.33999999999997</v>
      </c>
      <c r="M42" s="105">
        <f t="shared" si="4"/>
        <v>1371.7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117.58</v>
      </c>
      <c r="T42" s="111">
        <f t="shared" si="7"/>
        <v>587.9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903</v>
      </c>
      <c r="C43" s="114" t="s">
        <v>233</v>
      </c>
      <c r="D43" s="88"/>
      <c r="E43" s="89" t="s">
        <v>138</v>
      </c>
      <c r="F43" s="115">
        <v>5</v>
      </c>
      <c r="G43" s="96">
        <v>113.69</v>
      </c>
      <c r="H43" s="91">
        <f t="shared" si="0"/>
        <v>156.88999999999999</v>
      </c>
      <c r="I43" s="92">
        <f t="shared" si="1"/>
        <v>784.45</v>
      </c>
      <c r="J43" s="107"/>
      <c r="K43" s="90">
        <f t="shared" si="2"/>
        <v>5</v>
      </c>
      <c r="L43" s="91">
        <f t="shared" si="3"/>
        <v>109.82</v>
      </c>
      <c r="M43" s="91">
        <f t="shared" si="4"/>
        <v>549.1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47.07</v>
      </c>
      <c r="T43" s="96">
        <f t="shared" si="7"/>
        <v>235.35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38</v>
      </c>
      <c r="G50" s="123">
        <f t="shared" si="10"/>
        <v>67858.410000000018</v>
      </c>
      <c r="H50" s="124">
        <f t="shared" si="10"/>
        <v>93644.599999999991</v>
      </c>
      <c r="I50" s="125">
        <f t="shared" si="10"/>
        <v>101433.04000000001</v>
      </c>
      <c r="J50" s="126"/>
      <c r="K50" s="127">
        <f t="shared" ref="K50:M50" si="11">SUM(K19:K49)</f>
        <v>38</v>
      </c>
      <c r="L50" s="124">
        <f t="shared" si="11"/>
        <v>60513.079999999994</v>
      </c>
      <c r="M50" s="125">
        <f t="shared" si="11"/>
        <v>65853.259999999995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33131.520000000004</v>
      </c>
      <c r="T50" s="125">
        <f t="shared" si="12"/>
        <v>35579.779999999992</v>
      </c>
      <c r="U50" s="130"/>
      <c r="V50" s="130"/>
      <c r="W50" s="131"/>
    </row>
  </sheetData>
  <mergeCells count="89">
    <mergeCell ref="I4:K4"/>
    <mergeCell ref="I5:K5"/>
    <mergeCell ref="M5:N5"/>
    <mergeCell ref="I6:K6"/>
    <mergeCell ref="M6:N6"/>
    <mergeCell ref="M4:N4"/>
    <mergeCell ref="I7:K7"/>
    <mergeCell ref="M7:N7"/>
    <mergeCell ref="G15:I15"/>
    <mergeCell ref="G16:I16"/>
    <mergeCell ref="B12:C16"/>
    <mergeCell ref="M10:N10"/>
    <mergeCell ref="E12:F14"/>
    <mergeCell ref="G12:I13"/>
    <mergeCell ref="K12:N14"/>
    <mergeCell ref="G14:H14"/>
    <mergeCell ref="M15:M16"/>
    <mergeCell ref="N16:N18"/>
    <mergeCell ref="D10:F10"/>
    <mergeCell ref="G10:H10"/>
    <mergeCell ref="D7:F7"/>
    <mergeCell ref="G7:H7"/>
    <mergeCell ref="B17:B18"/>
    <mergeCell ref="C17:C18"/>
    <mergeCell ref="E17:E18"/>
    <mergeCell ref="F17:F18"/>
    <mergeCell ref="K15:L16"/>
    <mergeCell ref="K17:K18"/>
    <mergeCell ref="G17:H17"/>
    <mergeCell ref="L18:M18"/>
    <mergeCell ref="D4:F4"/>
    <mergeCell ref="D5:F5"/>
    <mergeCell ref="G5:H5"/>
    <mergeCell ref="D6:F6"/>
    <mergeCell ref="G6:H6"/>
    <mergeCell ref="G4:H4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7:R7"/>
    <mergeCell ref="P2:R2"/>
    <mergeCell ref="P3:R3"/>
    <mergeCell ref="P4:R4"/>
    <mergeCell ref="P5:R5"/>
    <mergeCell ref="P6:R6"/>
  </mergeCells>
  <conditionalFormatting sqref="U9:U11">
    <cfRule type="expression" dxfId="79" priority="1" stopIfTrue="1">
      <formula>$U$9&gt;100%</formula>
    </cfRule>
    <cfRule type="expression" dxfId="78" priority="2">
      <formula>$U$9&lt;50%</formula>
    </cfRule>
  </conditionalFormatting>
  <conditionalFormatting sqref="V9:V11">
    <cfRule type="expression" dxfId="77" priority="3">
      <formula>$V$9&lt;50%</formula>
    </cfRule>
    <cfRule type="expression" dxfId="76" priority="4">
      <formula>$V$9&gt;50%</formula>
    </cfRule>
  </conditionalFormatting>
  <dataValidations count="4">
    <dataValidation type="list" allowBlank="1" showErrorMessage="1" sqref="E19:E49" xr:uid="{00000000-0002-0000-3500-000000000000}">
      <formula1>$Z$19:$Z$30</formula1>
    </dataValidation>
    <dataValidation type="list" allowBlank="1" showErrorMessage="1" sqref="I14" xr:uid="{00000000-0002-0000-3500-000001000000}">
      <formula1>$Y$14:$Y$15</formula1>
    </dataValidation>
    <dataValidation type="list" allowBlank="1" showErrorMessage="1" sqref="J14" xr:uid="{00000000-0002-0000-3500-000002000000}">
      <formula1>$L$9</formula1>
    </dataValidation>
    <dataValidation type="list" allowBlank="1" showErrorMessage="1" sqref="Q15 G18 L18 Q18" xr:uid="{00000000-0002-0000-35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904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12185.999999999998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7238.8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4947.199999999998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905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0.4059740686033152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906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4947.2000000000007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7238.8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907</v>
      </c>
      <c r="C20" s="101" t="s">
        <v>118</v>
      </c>
      <c r="D20" s="88"/>
      <c r="E20" s="102">
        <v>1000</v>
      </c>
      <c r="F20" s="103">
        <v>1</v>
      </c>
      <c r="G20" s="104">
        <v>15.36</v>
      </c>
      <c r="H20" s="105">
        <f t="shared" si="0"/>
        <v>21.2</v>
      </c>
      <c r="I20" s="106">
        <f t="shared" si="1"/>
        <v>21.2</v>
      </c>
      <c r="J20" s="107"/>
      <c r="K20" s="108">
        <f t="shared" si="2"/>
        <v>1</v>
      </c>
      <c r="L20" s="105">
        <f t="shared" si="3"/>
        <v>10.6</v>
      </c>
      <c r="M20" s="105">
        <f t="shared" si="4"/>
        <v>10.6</v>
      </c>
      <c r="N20" s="109"/>
      <c r="O20" s="95"/>
      <c r="P20" s="100"/>
      <c r="Q20" s="104"/>
      <c r="R20" s="110">
        <f t="shared" si="5"/>
        <v>0</v>
      </c>
      <c r="S20" s="111">
        <f t="shared" si="6"/>
        <v>10.6</v>
      </c>
      <c r="T20" s="111">
        <f t="shared" si="7"/>
        <v>10.6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908</v>
      </c>
      <c r="C21" s="114" t="s">
        <v>743</v>
      </c>
      <c r="D21" s="88"/>
      <c r="E21" s="89">
        <v>1000</v>
      </c>
      <c r="F21" s="115">
        <v>1</v>
      </c>
      <c r="G21" s="96">
        <v>10.68</v>
      </c>
      <c r="H21" s="91">
        <f t="shared" si="0"/>
        <v>14.74</v>
      </c>
      <c r="I21" s="92">
        <f t="shared" si="1"/>
        <v>14.74</v>
      </c>
      <c r="J21" s="107"/>
      <c r="K21" s="90">
        <f t="shared" si="2"/>
        <v>1</v>
      </c>
      <c r="L21" s="91">
        <f t="shared" si="3"/>
        <v>7.37</v>
      </c>
      <c r="M21" s="91">
        <f t="shared" si="4"/>
        <v>7.37</v>
      </c>
      <c r="N21" s="116"/>
      <c r="O21" s="95"/>
      <c r="P21" s="117"/>
      <c r="Q21" s="96"/>
      <c r="R21" s="96">
        <f t="shared" si="5"/>
        <v>0</v>
      </c>
      <c r="S21" s="96">
        <f t="shared" si="6"/>
        <v>7.37</v>
      </c>
      <c r="T21" s="96">
        <f t="shared" si="7"/>
        <v>7.37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909</v>
      </c>
      <c r="C22" s="101" t="s">
        <v>174</v>
      </c>
      <c r="D22" s="88"/>
      <c r="E22" s="102">
        <v>1000</v>
      </c>
      <c r="F22" s="103">
        <v>1</v>
      </c>
      <c r="G22" s="104">
        <v>39.22</v>
      </c>
      <c r="H22" s="105">
        <f t="shared" si="0"/>
        <v>54.12</v>
      </c>
      <c r="I22" s="106">
        <f t="shared" si="1"/>
        <v>54.12</v>
      </c>
      <c r="J22" s="107"/>
      <c r="K22" s="108">
        <f t="shared" si="2"/>
        <v>1</v>
      </c>
      <c r="L22" s="105">
        <f t="shared" si="3"/>
        <v>27.06</v>
      </c>
      <c r="M22" s="105">
        <f t="shared" si="4"/>
        <v>27.06</v>
      </c>
      <c r="N22" s="109"/>
      <c r="O22" s="95"/>
      <c r="P22" s="100"/>
      <c r="Q22" s="104"/>
      <c r="R22" s="110">
        <f t="shared" si="5"/>
        <v>0</v>
      </c>
      <c r="S22" s="111">
        <f t="shared" si="6"/>
        <v>27.06</v>
      </c>
      <c r="T22" s="111">
        <f t="shared" si="7"/>
        <v>27.06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910</v>
      </c>
      <c r="C23" s="114" t="s">
        <v>174</v>
      </c>
      <c r="D23" s="88"/>
      <c r="E23" s="89">
        <v>1000</v>
      </c>
      <c r="F23" s="115">
        <v>1</v>
      </c>
      <c r="G23" s="96">
        <v>76.89</v>
      </c>
      <c r="H23" s="91">
        <f t="shared" si="0"/>
        <v>106.11</v>
      </c>
      <c r="I23" s="92">
        <f t="shared" si="1"/>
        <v>106.11</v>
      </c>
      <c r="J23" s="107"/>
      <c r="K23" s="90">
        <f t="shared" si="2"/>
        <v>1</v>
      </c>
      <c r="L23" s="91">
        <f t="shared" si="3"/>
        <v>53.06</v>
      </c>
      <c r="M23" s="91">
        <f t="shared" si="4"/>
        <v>53.06</v>
      </c>
      <c r="N23" s="116"/>
      <c r="O23" s="95"/>
      <c r="P23" s="117"/>
      <c r="Q23" s="96"/>
      <c r="R23" s="96">
        <f t="shared" si="5"/>
        <v>0</v>
      </c>
      <c r="S23" s="96">
        <f t="shared" si="6"/>
        <v>53.05</v>
      </c>
      <c r="T23" s="96">
        <f t="shared" si="7"/>
        <v>53.05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911</v>
      </c>
      <c r="C24" s="101" t="s">
        <v>128</v>
      </c>
      <c r="D24" s="88"/>
      <c r="E24" s="102">
        <v>1000</v>
      </c>
      <c r="F24" s="103">
        <v>1</v>
      </c>
      <c r="G24" s="104">
        <v>60.77</v>
      </c>
      <c r="H24" s="105">
        <f t="shared" si="0"/>
        <v>83.86</v>
      </c>
      <c r="I24" s="106">
        <f t="shared" si="1"/>
        <v>83.86</v>
      </c>
      <c r="J24" s="107"/>
      <c r="K24" s="108">
        <f t="shared" si="2"/>
        <v>1</v>
      </c>
      <c r="L24" s="105">
        <f t="shared" si="3"/>
        <v>50.32</v>
      </c>
      <c r="M24" s="105">
        <f t="shared" si="4"/>
        <v>50.32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33.54</v>
      </c>
      <c r="T24" s="111">
        <f t="shared" si="7"/>
        <v>33.54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912</v>
      </c>
      <c r="C25" s="114" t="s">
        <v>131</v>
      </c>
      <c r="D25" s="88"/>
      <c r="E25" s="89">
        <v>1000</v>
      </c>
      <c r="F25" s="115">
        <v>1</v>
      </c>
      <c r="G25" s="96">
        <v>33.58</v>
      </c>
      <c r="H25" s="91">
        <f t="shared" si="0"/>
        <v>46.34</v>
      </c>
      <c r="I25" s="92">
        <f t="shared" si="1"/>
        <v>46.34</v>
      </c>
      <c r="J25" s="107"/>
      <c r="K25" s="90">
        <f t="shared" si="2"/>
        <v>1</v>
      </c>
      <c r="L25" s="91">
        <f t="shared" si="3"/>
        <v>27.8</v>
      </c>
      <c r="M25" s="91">
        <f t="shared" si="4"/>
        <v>27.8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18.54</v>
      </c>
      <c r="T25" s="96">
        <f t="shared" si="7"/>
        <v>18.54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>
        <v>4673287</v>
      </c>
      <c r="C26" s="101" t="s">
        <v>134</v>
      </c>
      <c r="D26" s="88"/>
      <c r="E26" s="102">
        <v>1000</v>
      </c>
      <c r="F26" s="103">
        <v>1</v>
      </c>
      <c r="G26" s="104">
        <v>55.48</v>
      </c>
      <c r="H26" s="105">
        <f t="shared" si="0"/>
        <v>76.56</v>
      </c>
      <c r="I26" s="106">
        <f t="shared" si="1"/>
        <v>76.56</v>
      </c>
      <c r="J26" s="107"/>
      <c r="K26" s="108">
        <f t="shared" si="2"/>
        <v>1</v>
      </c>
      <c r="L26" s="105">
        <f t="shared" si="3"/>
        <v>45.94</v>
      </c>
      <c r="M26" s="105">
        <f t="shared" si="4"/>
        <v>45.94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30.62</v>
      </c>
      <c r="T26" s="111">
        <f t="shared" si="7"/>
        <v>30.62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>
        <v>4684045</v>
      </c>
      <c r="C27" s="114" t="s">
        <v>134</v>
      </c>
      <c r="D27" s="88"/>
      <c r="E27" s="89">
        <v>1000</v>
      </c>
      <c r="F27" s="115">
        <v>1</v>
      </c>
      <c r="G27" s="96">
        <v>51.25</v>
      </c>
      <c r="H27" s="91">
        <f t="shared" si="0"/>
        <v>70.73</v>
      </c>
      <c r="I27" s="92">
        <f t="shared" si="1"/>
        <v>70.73</v>
      </c>
      <c r="J27" s="107"/>
      <c r="K27" s="90">
        <f t="shared" si="2"/>
        <v>1</v>
      </c>
      <c r="L27" s="91">
        <f t="shared" si="3"/>
        <v>42.44</v>
      </c>
      <c r="M27" s="91">
        <f t="shared" si="4"/>
        <v>42.44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28.29</v>
      </c>
      <c r="T27" s="96">
        <f t="shared" si="7"/>
        <v>28.29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>
        <v>4700770</v>
      </c>
      <c r="C28" s="101" t="s">
        <v>877</v>
      </c>
      <c r="D28" s="88"/>
      <c r="E28" s="102" t="s">
        <v>138</v>
      </c>
      <c r="F28" s="103">
        <v>1</v>
      </c>
      <c r="G28" s="104">
        <v>2212.9299999999998</v>
      </c>
      <c r="H28" s="105">
        <f t="shared" si="0"/>
        <v>3053.84</v>
      </c>
      <c r="I28" s="106">
        <f t="shared" si="1"/>
        <v>3053.84</v>
      </c>
      <c r="J28" s="107"/>
      <c r="K28" s="108">
        <f t="shared" si="2"/>
        <v>1</v>
      </c>
      <c r="L28" s="105">
        <f t="shared" si="3"/>
        <v>1526.92</v>
      </c>
      <c r="M28" s="105">
        <f t="shared" si="4"/>
        <v>1526.92</v>
      </c>
      <c r="N28" s="109"/>
      <c r="O28" s="95"/>
      <c r="P28" s="100"/>
      <c r="Q28" s="104"/>
      <c r="R28" s="110">
        <f t="shared" si="5"/>
        <v>0</v>
      </c>
      <c r="S28" s="111">
        <f t="shared" si="6"/>
        <v>1526.92</v>
      </c>
      <c r="T28" s="111">
        <f t="shared" si="7"/>
        <v>1526.92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913</v>
      </c>
      <c r="C29" s="114" t="s">
        <v>914</v>
      </c>
      <c r="D29" s="88"/>
      <c r="E29" s="89" t="s">
        <v>138</v>
      </c>
      <c r="F29" s="115">
        <v>1</v>
      </c>
      <c r="G29" s="96">
        <v>173.27</v>
      </c>
      <c r="H29" s="91">
        <f t="shared" si="0"/>
        <v>239.11</v>
      </c>
      <c r="I29" s="92">
        <f t="shared" si="1"/>
        <v>239.11</v>
      </c>
      <c r="J29" s="107"/>
      <c r="K29" s="90">
        <f t="shared" si="2"/>
        <v>1</v>
      </c>
      <c r="L29" s="91">
        <f t="shared" si="3"/>
        <v>119.56</v>
      </c>
      <c r="M29" s="91">
        <f t="shared" si="4"/>
        <v>119.56</v>
      </c>
      <c r="N29" s="116"/>
      <c r="O29" s="95"/>
      <c r="P29" s="117"/>
      <c r="Q29" s="96"/>
      <c r="R29" s="96">
        <f t="shared" si="5"/>
        <v>0</v>
      </c>
      <c r="S29" s="96">
        <f t="shared" si="6"/>
        <v>119.55</v>
      </c>
      <c r="T29" s="96">
        <f t="shared" si="7"/>
        <v>119.55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/>
      <c r="C30" s="101" t="s">
        <v>144</v>
      </c>
      <c r="D30" s="88"/>
      <c r="E30" s="102" t="s">
        <v>138</v>
      </c>
      <c r="F30" s="103">
        <v>1</v>
      </c>
      <c r="G30" s="104"/>
      <c r="H30" s="105">
        <f t="shared" si="0"/>
        <v>0</v>
      </c>
      <c r="I30" s="106">
        <f t="shared" si="1"/>
        <v>0</v>
      </c>
      <c r="J30" s="107"/>
      <c r="K30" s="108">
        <f t="shared" si="2"/>
        <v>1</v>
      </c>
      <c r="L30" s="105">
        <f t="shared" si="3"/>
        <v>0</v>
      </c>
      <c r="M30" s="105">
        <f t="shared" si="4"/>
        <v>0</v>
      </c>
      <c r="N30" s="109"/>
      <c r="O30" s="95"/>
      <c r="P30" s="100"/>
      <c r="Q30" s="104"/>
      <c r="R30" s="110">
        <f t="shared" si="5"/>
        <v>0</v>
      </c>
      <c r="S30" s="111">
        <f t="shared" si="6"/>
        <v>0</v>
      </c>
      <c r="T30" s="111">
        <f t="shared" si="7"/>
        <v>0</v>
      </c>
      <c r="U30" s="112">
        <f t="shared" si="8"/>
        <v>0</v>
      </c>
      <c r="V30" s="112">
        <f t="shared" si="9"/>
        <v>0</v>
      </c>
      <c r="W30" s="113"/>
      <c r="X30" s="99"/>
      <c r="Y30" s="8" t="s">
        <v>145</v>
      </c>
      <c r="Z30" s="8"/>
    </row>
    <row r="31" spans="2:26" ht="15.75" customHeight="1">
      <c r="B31" s="86" t="s">
        <v>915</v>
      </c>
      <c r="C31" s="114" t="s">
        <v>758</v>
      </c>
      <c r="D31" s="88"/>
      <c r="E31" s="89" t="s">
        <v>138</v>
      </c>
      <c r="F31" s="115">
        <v>3</v>
      </c>
      <c r="G31" s="96">
        <v>278.91000000000003</v>
      </c>
      <c r="H31" s="91">
        <f t="shared" si="0"/>
        <v>384.9</v>
      </c>
      <c r="I31" s="92">
        <f t="shared" si="1"/>
        <v>1154.7</v>
      </c>
      <c r="J31" s="107"/>
      <c r="K31" s="90">
        <f t="shared" si="2"/>
        <v>3</v>
      </c>
      <c r="L31" s="91">
        <f t="shared" si="3"/>
        <v>269.43</v>
      </c>
      <c r="M31" s="91">
        <f t="shared" si="4"/>
        <v>808.29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115.47</v>
      </c>
      <c r="T31" s="96">
        <f t="shared" si="7"/>
        <v>346.41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916</v>
      </c>
      <c r="C32" s="101" t="s">
        <v>917</v>
      </c>
      <c r="D32" s="88"/>
      <c r="E32" s="102">
        <v>4000</v>
      </c>
      <c r="F32" s="103">
        <v>2</v>
      </c>
      <c r="G32" s="104">
        <v>2031.47</v>
      </c>
      <c r="H32" s="105">
        <f t="shared" si="0"/>
        <v>2803.43</v>
      </c>
      <c r="I32" s="106">
        <f t="shared" si="1"/>
        <v>5606.86</v>
      </c>
      <c r="J32" s="107"/>
      <c r="K32" s="108">
        <f t="shared" si="2"/>
        <v>2</v>
      </c>
      <c r="L32" s="105">
        <f t="shared" si="3"/>
        <v>1682.06</v>
      </c>
      <c r="M32" s="105">
        <f t="shared" si="4"/>
        <v>3364.12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1121.3699999999999</v>
      </c>
      <c r="T32" s="111">
        <f t="shared" si="7"/>
        <v>2242.7399999999998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590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918</v>
      </c>
      <c r="C34" s="101" t="s">
        <v>919</v>
      </c>
      <c r="D34" s="88"/>
      <c r="E34" s="102" t="s">
        <v>138</v>
      </c>
      <c r="F34" s="103">
        <v>1</v>
      </c>
      <c r="G34" s="104">
        <v>499.51</v>
      </c>
      <c r="H34" s="105">
        <f t="shared" si="0"/>
        <v>689.32</v>
      </c>
      <c r="I34" s="106">
        <f t="shared" si="1"/>
        <v>689.32</v>
      </c>
      <c r="J34" s="107"/>
      <c r="K34" s="108">
        <f t="shared" si="2"/>
        <v>1</v>
      </c>
      <c r="L34" s="105">
        <f t="shared" si="3"/>
        <v>482.52</v>
      </c>
      <c r="M34" s="105">
        <f t="shared" si="4"/>
        <v>482.52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206.8</v>
      </c>
      <c r="T34" s="111">
        <f t="shared" si="7"/>
        <v>206.8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920</v>
      </c>
      <c r="C35" s="114" t="s">
        <v>156</v>
      </c>
      <c r="D35" s="88"/>
      <c r="E35" s="89" t="s">
        <v>138</v>
      </c>
      <c r="F35" s="115">
        <v>1</v>
      </c>
      <c r="G35" s="96">
        <v>181.49</v>
      </c>
      <c r="H35" s="91">
        <f t="shared" si="0"/>
        <v>250.46</v>
      </c>
      <c r="I35" s="92">
        <f t="shared" si="1"/>
        <v>250.46</v>
      </c>
      <c r="J35" s="107"/>
      <c r="K35" s="90">
        <f t="shared" si="2"/>
        <v>1</v>
      </c>
      <c r="L35" s="91">
        <f t="shared" si="3"/>
        <v>175.32</v>
      </c>
      <c r="M35" s="91">
        <f t="shared" si="4"/>
        <v>175.32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75.14</v>
      </c>
      <c r="T35" s="96">
        <f t="shared" si="7"/>
        <v>75.14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921</v>
      </c>
      <c r="C36" s="101" t="s">
        <v>160</v>
      </c>
      <c r="D36" s="88"/>
      <c r="E36" s="102" t="s">
        <v>138</v>
      </c>
      <c r="F36" s="103">
        <v>6</v>
      </c>
      <c r="G36" s="104">
        <v>62.63</v>
      </c>
      <c r="H36" s="105">
        <f t="shared" si="0"/>
        <v>86.43</v>
      </c>
      <c r="I36" s="106">
        <f t="shared" si="1"/>
        <v>518.58000000000004</v>
      </c>
      <c r="J36" s="107"/>
      <c r="K36" s="108">
        <f t="shared" si="2"/>
        <v>6</v>
      </c>
      <c r="L36" s="105">
        <f t="shared" si="3"/>
        <v>60.5</v>
      </c>
      <c r="M36" s="105">
        <f t="shared" si="4"/>
        <v>363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25.93</v>
      </c>
      <c r="T36" s="111">
        <f t="shared" si="7"/>
        <v>155.58000000000001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922</v>
      </c>
      <c r="C37" s="114" t="s">
        <v>923</v>
      </c>
      <c r="D37" s="88"/>
      <c r="E37" s="89" t="s">
        <v>138</v>
      </c>
      <c r="F37" s="115">
        <v>6</v>
      </c>
      <c r="G37" s="96">
        <v>5.19</v>
      </c>
      <c r="H37" s="91">
        <f t="shared" si="0"/>
        <v>7.16</v>
      </c>
      <c r="I37" s="92">
        <f t="shared" si="1"/>
        <v>42.96</v>
      </c>
      <c r="J37" s="107"/>
      <c r="K37" s="90">
        <f t="shared" si="2"/>
        <v>6</v>
      </c>
      <c r="L37" s="91">
        <f t="shared" si="3"/>
        <v>5.01</v>
      </c>
      <c r="M37" s="91">
        <f t="shared" si="4"/>
        <v>30.06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2.15</v>
      </c>
      <c r="T37" s="96">
        <f t="shared" si="7"/>
        <v>12.9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924</v>
      </c>
      <c r="C38" s="101" t="s">
        <v>233</v>
      </c>
      <c r="D38" s="88"/>
      <c r="E38" s="102" t="s">
        <v>138</v>
      </c>
      <c r="F38" s="103">
        <v>6</v>
      </c>
      <c r="G38" s="104">
        <v>15.78</v>
      </c>
      <c r="H38" s="105">
        <f t="shared" si="0"/>
        <v>21.78</v>
      </c>
      <c r="I38" s="106">
        <f t="shared" si="1"/>
        <v>130.68</v>
      </c>
      <c r="J38" s="107"/>
      <c r="K38" s="108">
        <f t="shared" si="2"/>
        <v>6</v>
      </c>
      <c r="L38" s="105">
        <f t="shared" si="3"/>
        <v>15.25</v>
      </c>
      <c r="M38" s="105">
        <f t="shared" si="4"/>
        <v>91.5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6.53</v>
      </c>
      <c r="T38" s="111">
        <f t="shared" si="7"/>
        <v>39.18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37</v>
      </c>
      <c r="G50" s="123">
        <f t="shared" si="10"/>
        <v>5823.1299999999992</v>
      </c>
      <c r="H50" s="124">
        <f t="shared" si="10"/>
        <v>8035.92</v>
      </c>
      <c r="I50" s="125">
        <f t="shared" si="10"/>
        <v>12185.999999999998</v>
      </c>
      <c r="J50" s="126"/>
      <c r="K50" s="127">
        <f t="shared" ref="K50:M50" si="11">SUM(K19:K49)</f>
        <v>37</v>
      </c>
      <c r="L50" s="124">
        <f t="shared" si="11"/>
        <v>4614.08</v>
      </c>
      <c r="M50" s="125">
        <f t="shared" si="11"/>
        <v>7238.8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3421.84</v>
      </c>
      <c r="T50" s="125">
        <f t="shared" si="12"/>
        <v>4947.2000000000007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75" priority="1" stopIfTrue="1">
      <formula>$U$9&gt;100%</formula>
    </cfRule>
    <cfRule type="expression" dxfId="74" priority="2">
      <formula>$U$9&lt;50%</formula>
    </cfRule>
  </conditionalFormatting>
  <conditionalFormatting sqref="V9:V11">
    <cfRule type="expression" dxfId="73" priority="3">
      <formula>$V$9&lt;50%</formula>
    </cfRule>
    <cfRule type="expression" dxfId="72" priority="4">
      <formula>$V$9&gt;50%</formula>
    </cfRule>
  </conditionalFormatting>
  <dataValidations count="4">
    <dataValidation type="list" allowBlank="1" showErrorMessage="1" sqref="E19:E49" xr:uid="{00000000-0002-0000-3600-000000000000}">
      <formula1>$Z$19:$Z$30</formula1>
    </dataValidation>
    <dataValidation type="list" allowBlank="1" showErrorMessage="1" sqref="I14" xr:uid="{00000000-0002-0000-3600-000001000000}">
      <formula1>$Y$14:$Y$15</formula1>
    </dataValidation>
    <dataValidation type="list" allowBlank="1" showErrorMessage="1" sqref="J14" xr:uid="{00000000-0002-0000-3600-000002000000}">
      <formula1>$L$9</formula1>
    </dataValidation>
    <dataValidation type="list" allowBlank="1" showErrorMessage="1" sqref="Q15 G18 L18 Q18" xr:uid="{00000000-0002-0000-36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925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185983.07000000004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124120.31999999999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61862.750000000044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926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0.33262570620003223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927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61862.75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124120.31999999999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928</v>
      </c>
      <c r="C19" s="87" t="s">
        <v>169</v>
      </c>
      <c r="D19" s="88"/>
      <c r="E19" s="89">
        <v>500</v>
      </c>
      <c r="F19" s="90">
        <v>1</v>
      </c>
      <c r="G19" s="91">
        <v>87.34</v>
      </c>
      <c r="H19" s="91">
        <f t="shared" ref="H19:H49" si="0">ROUND(IF($G$18="USD $", G19*$F$16,G19*$E$16),2)</f>
        <v>120.53</v>
      </c>
      <c r="I19" s="92">
        <f t="shared" ref="I19:I49" si="1">ROUND(IF($I$18=$H$18,F19*H19,F19*G19),2)</f>
        <v>120.53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60.27</v>
      </c>
      <c r="M19" s="91">
        <f t="shared" ref="M19:M49" si="4">ROUND((K19*L19),2)</f>
        <v>60.27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60.26</v>
      </c>
      <c r="T19" s="96">
        <f t="shared" ref="T19:T49" si="7">ROUND(I19-M19,2)</f>
        <v>60.26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929</v>
      </c>
      <c r="C20" s="101" t="s">
        <v>118</v>
      </c>
      <c r="D20" s="88"/>
      <c r="E20" s="102">
        <v>1000</v>
      </c>
      <c r="F20" s="103">
        <v>1</v>
      </c>
      <c r="G20" s="104">
        <v>136.07</v>
      </c>
      <c r="H20" s="105">
        <f t="shared" si="0"/>
        <v>187.78</v>
      </c>
      <c r="I20" s="106">
        <f t="shared" si="1"/>
        <v>187.78</v>
      </c>
      <c r="J20" s="107"/>
      <c r="K20" s="108">
        <f t="shared" si="2"/>
        <v>1</v>
      </c>
      <c r="L20" s="105">
        <f t="shared" si="3"/>
        <v>93.89</v>
      </c>
      <c r="M20" s="105">
        <f t="shared" si="4"/>
        <v>93.89</v>
      </c>
      <c r="N20" s="109"/>
      <c r="O20" s="95"/>
      <c r="P20" s="100"/>
      <c r="Q20" s="104"/>
      <c r="R20" s="110">
        <f t="shared" si="5"/>
        <v>0</v>
      </c>
      <c r="S20" s="111">
        <f t="shared" si="6"/>
        <v>93.89</v>
      </c>
      <c r="T20" s="111">
        <f t="shared" si="7"/>
        <v>93.89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930</v>
      </c>
      <c r="C21" s="114" t="s">
        <v>743</v>
      </c>
      <c r="D21" s="88"/>
      <c r="E21" s="89">
        <v>1000</v>
      </c>
      <c r="F21" s="115">
        <v>1</v>
      </c>
      <c r="G21" s="96">
        <v>133.93</v>
      </c>
      <c r="H21" s="91">
        <f t="shared" si="0"/>
        <v>184.82</v>
      </c>
      <c r="I21" s="92">
        <f t="shared" si="1"/>
        <v>184.82</v>
      </c>
      <c r="J21" s="107"/>
      <c r="K21" s="90">
        <f t="shared" si="2"/>
        <v>1</v>
      </c>
      <c r="L21" s="91">
        <f t="shared" si="3"/>
        <v>92.41</v>
      </c>
      <c r="M21" s="91">
        <f t="shared" si="4"/>
        <v>92.41</v>
      </c>
      <c r="N21" s="116"/>
      <c r="O21" s="95"/>
      <c r="P21" s="117"/>
      <c r="Q21" s="96"/>
      <c r="R21" s="96">
        <f t="shared" si="5"/>
        <v>0</v>
      </c>
      <c r="S21" s="96">
        <f t="shared" si="6"/>
        <v>92.41</v>
      </c>
      <c r="T21" s="96">
        <f t="shared" si="7"/>
        <v>92.41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4363399</v>
      </c>
      <c r="C22" s="101" t="s">
        <v>174</v>
      </c>
      <c r="D22" s="88"/>
      <c r="E22" s="102">
        <v>1000</v>
      </c>
      <c r="F22" s="103">
        <v>1</v>
      </c>
      <c r="G22" s="104">
        <v>37.119999999999997</v>
      </c>
      <c r="H22" s="105">
        <f t="shared" si="0"/>
        <v>51.23</v>
      </c>
      <c r="I22" s="106">
        <f t="shared" si="1"/>
        <v>51.23</v>
      </c>
      <c r="J22" s="107"/>
      <c r="K22" s="108">
        <f t="shared" si="2"/>
        <v>1</v>
      </c>
      <c r="L22" s="105">
        <f t="shared" si="3"/>
        <v>25.62</v>
      </c>
      <c r="M22" s="105">
        <f t="shared" si="4"/>
        <v>25.62</v>
      </c>
      <c r="N22" s="109"/>
      <c r="O22" s="95"/>
      <c r="P22" s="100"/>
      <c r="Q22" s="104"/>
      <c r="R22" s="110">
        <f t="shared" si="5"/>
        <v>0</v>
      </c>
      <c r="S22" s="111">
        <f t="shared" si="6"/>
        <v>25.61</v>
      </c>
      <c r="T22" s="111">
        <f t="shared" si="7"/>
        <v>25.61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4630525</v>
      </c>
      <c r="C23" s="114" t="s">
        <v>174</v>
      </c>
      <c r="D23" s="88"/>
      <c r="E23" s="89">
        <v>1000</v>
      </c>
      <c r="F23" s="115">
        <v>1</v>
      </c>
      <c r="G23" s="96">
        <v>29.73</v>
      </c>
      <c r="H23" s="91">
        <f t="shared" si="0"/>
        <v>41.03</v>
      </c>
      <c r="I23" s="92">
        <f t="shared" si="1"/>
        <v>41.03</v>
      </c>
      <c r="J23" s="107"/>
      <c r="K23" s="90">
        <f t="shared" si="2"/>
        <v>1</v>
      </c>
      <c r="L23" s="91">
        <f t="shared" si="3"/>
        <v>20.52</v>
      </c>
      <c r="M23" s="91">
        <f t="shared" si="4"/>
        <v>20.52</v>
      </c>
      <c r="N23" s="116"/>
      <c r="O23" s="95"/>
      <c r="P23" s="117"/>
      <c r="Q23" s="96"/>
      <c r="R23" s="96">
        <f t="shared" si="5"/>
        <v>0</v>
      </c>
      <c r="S23" s="96">
        <f t="shared" si="6"/>
        <v>20.51</v>
      </c>
      <c r="T23" s="96">
        <f t="shared" si="7"/>
        <v>20.51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>
        <v>4654745</v>
      </c>
      <c r="C24" s="101" t="s">
        <v>174</v>
      </c>
      <c r="D24" s="88"/>
      <c r="E24" s="102">
        <v>1000</v>
      </c>
      <c r="F24" s="103">
        <v>1</v>
      </c>
      <c r="G24" s="104">
        <v>132.96</v>
      </c>
      <c r="H24" s="105">
        <f t="shared" si="0"/>
        <v>183.48</v>
      </c>
      <c r="I24" s="106">
        <f t="shared" si="1"/>
        <v>183.48</v>
      </c>
      <c r="J24" s="107"/>
      <c r="K24" s="108">
        <f t="shared" si="2"/>
        <v>1</v>
      </c>
      <c r="L24" s="105">
        <f t="shared" si="3"/>
        <v>91.74</v>
      </c>
      <c r="M24" s="105">
        <f t="shared" si="4"/>
        <v>91.74</v>
      </c>
      <c r="N24" s="109"/>
      <c r="O24" s="95"/>
      <c r="P24" s="100"/>
      <c r="Q24" s="104"/>
      <c r="R24" s="110">
        <f t="shared" si="5"/>
        <v>0</v>
      </c>
      <c r="S24" s="111">
        <f t="shared" si="6"/>
        <v>91.74</v>
      </c>
      <c r="T24" s="111">
        <f t="shared" si="7"/>
        <v>91.74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931</v>
      </c>
      <c r="C25" s="114" t="s">
        <v>128</v>
      </c>
      <c r="D25" s="88"/>
      <c r="E25" s="89">
        <v>1000</v>
      </c>
      <c r="F25" s="115">
        <v>1</v>
      </c>
      <c r="G25" s="96">
        <v>148.51</v>
      </c>
      <c r="H25" s="91">
        <f t="shared" si="0"/>
        <v>204.94</v>
      </c>
      <c r="I25" s="92">
        <f t="shared" si="1"/>
        <v>204.94</v>
      </c>
      <c r="J25" s="107"/>
      <c r="K25" s="90">
        <f t="shared" si="2"/>
        <v>1</v>
      </c>
      <c r="L25" s="91">
        <f t="shared" si="3"/>
        <v>122.96</v>
      </c>
      <c r="M25" s="91">
        <f t="shared" si="4"/>
        <v>122.96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81.98</v>
      </c>
      <c r="T25" s="96">
        <f t="shared" si="7"/>
        <v>81.98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932</v>
      </c>
      <c r="C26" s="101" t="s">
        <v>131</v>
      </c>
      <c r="D26" s="88"/>
      <c r="E26" s="102">
        <v>1000</v>
      </c>
      <c r="F26" s="103">
        <v>1</v>
      </c>
      <c r="G26" s="104">
        <v>90.04</v>
      </c>
      <c r="H26" s="105">
        <f t="shared" si="0"/>
        <v>124.26</v>
      </c>
      <c r="I26" s="106">
        <f t="shared" si="1"/>
        <v>124.26</v>
      </c>
      <c r="J26" s="107"/>
      <c r="K26" s="108">
        <f t="shared" si="2"/>
        <v>1</v>
      </c>
      <c r="L26" s="105">
        <f t="shared" si="3"/>
        <v>74.56</v>
      </c>
      <c r="M26" s="105">
        <f t="shared" si="4"/>
        <v>74.56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49.7</v>
      </c>
      <c r="T26" s="111">
        <f t="shared" si="7"/>
        <v>49.7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874</v>
      </c>
      <c r="C27" s="114" t="s">
        <v>134</v>
      </c>
      <c r="D27" s="88"/>
      <c r="E27" s="89">
        <v>1000</v>
      </c>
      <c r="F27" s="115">
        <v>1</v>
      </c>
      <c r="G27" s="96">
        <v>48.79</v>
      </c>
      <c r="H27" s="91">
        <f t="shared" si="0"/>
        <v>67.33</v>
      </c>
      <c r="I27" s="92">
        <f t="shared" si="1"/>
        <v>67.33</v>
      </c>
      <c r="J27" s="107"/>
      <c r="K27" s="90">
        <f t="shared" si="2"/>
        <v>1</v>
      </c>
      <c r="L27" s="91">
        <f t="shared" si="3"/>
        <v>40.4</v>
      </c>
      <c r="M27" s="91">
        <f t="shared" si="4"/>
        <v>40.4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26.93</v>
      </c>
      <c r="T27" s="96">
        <f t="shared" si="7"/>
        <v>26.93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873</v>
      </c>
      <c r="C28" s="101" t="s">
        <v>134</v>
      </c>
      <c r="D28" s="88"/>
      <c r="E28" s="102">
        <v>1000</v>
      </c>
      <c r="F28" s="103">
        <v>1</v>
      </c>
      <c r="G28" s="104">
        <v>70.42</v>
      </c>
      <c r="H28" s="105">
        <f t="shared" si="0"/>
        <v>97.18</v>
      </c>
      <c r="I28" s="106">
        <f t="shared" si="1"/>
        <v>97.18</v>
      </c>
      <c r="J28" s="107"/>
      <c r="K28" s="108">
        <f t="shared" si="2"/>
        <v>1</v>
      </c>
      <c r="L28" s="105">
        <f t="shared" si="3"/>
        <v>58.31</v>
      </c>
      <c r="M28" s="105">
        <f t="shared" si="4"/>
        <v>58.31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38.869999999999997</v>
      </c>
      <c r="T28" s="111">
        <f t="shared" si="7"/>
        <v>38.869999999999997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933</v>
      </c>
      <c r="C29" s="114" t="s">
        <v>323</v>
      </c>
      <c r="D29" s="88"/>
      <c r="E29" s="89" t="s">
        <v>138</v>
      </c>
      <c r="F29" s="115">
        <v>1</v>
      </c>
      <c r="G29" s="96">
        <v>79.459999999999994</v>
      </c>
      <c r="H29" s="91">
        <f t="shared" si="0"/>
        <v>109.65</v>
      </c>
      <c r="I29" s="92">
        <f t="shared" si="1"/>
        <v>109.65</v>
      </c>
      <c r="J29" s="107"/>
      <c r="K29" s="90">
        <f t="shared" si="2"/>
        <v>1</v>
      </c>
      <c r="L29" s="91">
        <f t="shared" si="3"/>
        <v>65.790000000000006</v>
      </c>
      <c r="M29" s="91">
        <f t="shared" si="4"/>
        <v>65.790000000000006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43.86</v>
      </c>
      <c r="T29" s="96">
        <f t="shared" si="7"/>
        <v>43.86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934</v>
      </c>
      <c r="C31" s="114" t="s">
        <v>751</v>
      </c>
      <c r="D31" s="88"/>
      <c r="E31" s="89" t="s">
        <v>138</v>
      </c>
      <c r="F31" s="115">
        <v>1</v>
      </c>
      <c r="G31" s="96">
        <v>7108.48</v>
      </c>
      <c r="H31" s="91">
        <f t="shared" si="0"/>
        <v>9809.7000000000007</v>
      </c>
      <c r="I31" s="92">
        <f t="shared" si="1"/>
        <v>9809.7000000000007</v>
      </c>
      <c r="J31" s="107"/>
      <c r="K31" s="90">
        <f t="shared" si="2"/>
        <v>1</v>
      </c>
      <c r="L31" s="91">
        <f t="shared" si="3"/>
        <v>5885.82</v>
      </c>
      <c r="M31" s="91">
        <f t="shared" si="4"/>
        <v>5885.82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3923.88</v>
      </c>
      <c r="T31" s="96">
        <f t="shared" si="7"/>
        <v>3923.88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935</v>
      </c>
      <c r="C32" s="101" t="s">
        <v>752</v>
      </c>
      <c r="D32" s="88"/>
      <c r="E32" s="102" t="s">
        <v>138</v>
      </c>
      <c r="F32" s="103">
        <v>1</v>
      </c>
      <c r="G32" s="104">
        <v>7584.72</v>
      </c>
      <c r="H32" s="105">
        <f t="shared" si="0"/>
        <v>10466.91</v>
      </c>
      <c r="I32" s="106">
        <f t="shared" si="1"/>
        <v>10466.91</v>
      </c>
      <c r="J32" s="107"/>
      <c r="K32" s="108">
        <f t="shared" si="2"/>
        <v>1</v>
      </c>
      <c r="L32" s="105">
        <f t="shared" si="3"/>
        <v>6280.15</v>
      </c>
      <c r="M32" s="105">
        <f t="shared" si="4"/>
        <v>6280.15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4186.76</v>
      </c>
      <c r="T32" s="111">
        <f t="shared" si="7"/>
        <v>4186.76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936</v>
      </c>
      <c r="C33" s="114" t="s">
        <v>753</v>
      </c>
      <c r="D33" s="88"/>
      <c r="E33" s="89" t="s">
        <v>138</v>
      </c>
      <c r="F33" s="115">
        <v>1</v>
      </c>
      <c r="G33" s="96">
        <v>2094.1</v>
      </c>
      <c r="H33" s="91">
        <f t="shared" si="0"/>
        <v>2889.86</v>
      </c>
      <c r="I33" s="92">
        <f t="shared" si="1"/>
        <v>2889.86</v>
      </c>
      <c r="J33" s="107"/>
      <c r="K33" s="90">
        <f t="shared" si="2"/>
        <v>1</v>
      </c>
      <c r="L33" s="91">
        <f t="shared" si="3"/>
        <v>1733.92</v>
      </c>
      <c r="M33" s="91">
        <f t="shared" si="4"/>
        <v>1733.92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1155.94</v>
      </c>
      <c r="T33" s="96">
        <f t="shared" si="7"/>
        <v>1155.94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780</v>
      </c>
      <c r="C34" s="101" t="s">
        <v>937</v>
      </c>
      <c r="D34" s="88"/>
      <c r="E34" s="102" t="s">
        <v>138</v>
      </c>
      <c r="F34" s="103">
        <v>1</v>
      </c>
      <c r="G34" s="104">
        <v>4515.9799999999996</v>
      </c>
      <c r="H34" s="105">
        <f t="shared" si="0"/>
        <v>6232.05</v>
      </c>
      <c r="I34" s="106">
        <f t="shared" si="1"/>
        <v>6232.05</v>
      </c>
      <c r="J34" s="107"/>
      <c r="K34" s="108">
        <f t="shared" si="2"/>
        <v>1</v>
      </c>
      <c r="L34" s="105">
        <f t="shared" si="3"/>
        <v>3116.03</v>
      </c>
      <c r="M34" s="105">
        <f t="shared" si="4"/>
        <v>3116.03</v>
      </c>
      <c r="N34" s="109"/>
      <c r="O34" s="95"/>
      <c r="P34" s="100"/>
      <c r="Q34" s="104"/>
      <c r="R34" s="110">
        <f t="shared" si="5"/>
        <v>0</v>
      </c>
      <c r="S34" s="111">
        <f t="shared" si="6"/>
        <v>3116.02</v>
      </c>
      <c r="T34" s="111">
        <f t="shared" si="7"/>
        <v>3116.02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878</v>
      </c>
      <c r="C35" s="114" t="s">
        <v>938</v>
      </c>
      <c r="D35" s="88"/>
      <c r="E35" s="89" t="s">
        <v>138</v>
      </c>
      <c r="F35" s="115">
        <v>2</v>
      </c>
      <c r="G35" s="96">
        <v>404.78</v>
      </c>
      <c r="H35" s="91">
        <f t="shared" si="0"/>
        <v>558.6</v>
      </c>
      <c r="I35" s="92">
        <f t="shared" si="1"/>
        <v>1117.2</v>
      </c>
      <c r="J35" s="107"/>
      <c r="K35" s="90">
        <f t="shared" si="2"/>
        <v>2</v>
      </c>
      <c r="L35" s="91">
        <f t="shared" si="3"/>
        <v>279.3</v>
      </c>
      <c r="M35" s="91">
        <f t="shared" si="4"/>
        <v>558.6</v>
      </c>
      <c r="N35" s="116"/>
      <c r="O35" s="95"/>
      <c r="P35" s="117"/>
      <c r="Q35" s="96"/>
      <c r="R35" s="96">
        <f t="shared" si="5"/>
        <v>0</v>
      </c>
      <c r="S35" s="96">
        <f t="shared" si="6"/>
        <v>279.3</v>
      </c>
      <c r="T35" s="96">
        <f t="shared" si="7"/>
        <v>558.6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939</v>
      </c>
      <c r="C36" s="101" t="s">
        <v>940</v>
      </c>
      <c r="D36" s="88"/>
      <c r="E36" s="102" t="s">
        <v>138</v>
      </c>
      <c r="F36" s="103">
        <v>1</v>
      </c>
      <c r="G36" s="104">
        <v>4330.42</v>
      </c>
      <c r="H36" s="105">
        <f t="shared" si="0"/>
        <v>5975.98</v>
      </c>
      <c r="I36" s="106">
        <f t="shared" si="1"/>
        <v>5975.98</v>
      </c>
      <c r="J36" s="107"/>
      <c r="K36" s="108">
        <f t="shared" si="2"/>
        <v>1</v>
      </c>
      <c r="L36" s="105">
        <f t="shared" si="3"/>
        <v>2987.99</v>
      </c>
      <c r="M36" s="105">
        <f t="shared" si="4"/>
        <v>2987.99</v>
      </c>
      <c r="N36" s="109"/>
      <c r="O36" s="95"/>
      <c r="P36" s="100"/>
      <c r="Q36" s="104"/>
      <c r="R36" s="110">
        <f t="shared" si="5"/>
        <v>0</v>
      </c>
      <c r="S36" s="111">
        <f t="shared" si="6"/>
        <v>2987.99</v>
      </c>
      <c r="T36" s="111">
        <f t="shared" si="7"/>
        <v>2987.99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941</v>
      </c>
      <c r="C37" s="114" t="s">
        <v>942</v>
      </c>
      <c r="D37" s="88"/>
      <c r="E37" s="89" t="s">
        <v>138</v>
      </c>
      <c r="F37" s="115">
        <v>1</v>
      </c>
      <c r="G37" s="96">
        <v>3092.8</v>
      </c>
      <c r="H37" s="91">
        <f t="shared" si="0"/>
        <v>4268.0600000000004</v>
      </c>
      <c r="I37" s="92">
        <f t="shared" si="1"/>
        <v>4268.0600000000004</v>
      </c>
      <c r="J37" s="107"/>
      <c r="K37" s="90">
        <f t="shared" si="2"/>
        <v>1</v>
      </c>
      <c r="L37" s="91">
        <f t="shared" si="3"/>
        <v>2134.0300000000002</v>
      </c>
      <c r="M37" s="91">
        <f t="shared" si="4"/>
        <v>2134.0300000000002</v>
      </c>
      <c r="N37" s="116"/>
      <c r="O37" s="95"/>
      <c r="P37" s="117"/>
      <c r="Q37" s="96"/>
      <c r="R37" s="96">
        <f t="shared" si="5"/>
        <v>0</v>
      </c>
      <c r="S37" s="96">
        <f t="shared" si="6"/>
        <v>2134.0300000000002</v>
      </c>
      <c r="T37" s="96">
        <f t="shared" si="7"/>
        <v>2134.0300000000002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943</v>
      </c>
      <c r="C38" s="101" t="s">
        <v>758</v>
      </c>
      <c r="D38" s="88"/>
      <c r="E38" s="102" t="s">
        <v>138</v>
      </c>
      <c r="F38" s="103">
        <v>6</v>
      </c>
      <c r="G38" s="104">
        <v>1494.77</v>
      </c>
      <c r="H38" s="105">
        <f t="shared" si="0"/>
        <v>2062.7800000000002</v>
      </c>
      <c r="I38" s="106">
        <f t="shared" si="1"/>
        <v>12376.68</v>
      </c>
      <c r="J38" s="107"/>
      <c r="K38" s="108">
        <f t="shared" si="2"/>
        <v>6</v>
      </c>
      <c r="L38" s="105">
        <f t="shared" si="3"/>
        <v>1443.95</v>
      </c>
      <c r="M38" s="105">
        <f t="shared" si="4"/>
        <v>8663.7000000000007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618.83000000000004</v>
      </c>
      <c r="T38" s="111">
        <f t="shared" si="7"/>
        <v>3712.98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944</v>
      </c>
      <c r="C39" s="114" t="s">
        <v>784</v>
      </c>
      <c r="D39" s="88"/>
      <c r="E39" s="89">
        <v>4000</v>
      </c>
      <c r="F39" s="115">
        <v>1</v>
      </c>
      <c r="G39" s="96">
        <v>89926.36</v>
      </c>
      <c r="H39" s="91">
        <f t="shared" si="0"/>
        <v>124098.38</v>
      </c>
      <c r="I39" s="92">
        <f t="shared" si="1"/>
        <v>124098.38</v>
      </c>
      <c r="J39" s="107"/>
      <c r="K39" s="90">
        <f t="shared" si="2"/>
        <v>1</v>
      </c>
      <c r="L39" s="91">
        <f t="shared" si="3"/>
        <v>86868.87</v>
      </c>
      <c r="M39" s="91">
        <f t="shared" si="4"/>
        <v>86868.87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37229.51</v>
      </c>
      <c r="T39" s="96">
        <f t="shared" si="7"/>
        <v>37229.51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590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786</v>
      </c>
      <c r="C41" s="114" t="s">
        <v>761</v>
      </c>
      <c r="D41" s="88"/>
      <c r="E41" s="89" t="s">
        <v>138</v>
      </c>
      <c r="F41" s="115">
        <v>1</v>
      </c>
      <c r="G41" s="96">
        <v>370.07</v>
      </c>
      <c r="H41" s="91">
        <f t="shared" si="0"/>
        <v>510.7</v>
      </c>
      <c r="I41" s="92">
        <f t="shared" si="1"/>
        <v>510.7</v>
      </c>
      <c r="J41" s="107"/>
      <c r="K41" s="90">
        <f t="shared" si="2"/>
        <v>1</v>
      </c>
      <c r="L41" s="91">
        <f t="shared" si="3"/>
        <v>357.49</v>
      </c>
      <c r="M41" s="91">
        <f t="shared" si="4"/>
        <v>357.49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153.21</v>
      </c>
      <c r="T41" s="96">
        <f t="shared" si="7"/>
        <v>153.21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785</v>
      </c>
      <c r="C42" s="101" t="s">
        <v>763</v>
      </c>
      <c r="D42" s="88"/>
      <c r="E42" s="102" t="s">
        <v>138</v>
      </c>
      <c r="F42" s="103">
        <v>1</v>
      </c>
      <c r="G42" s="104">
        <v>370.07</v>
      </c>
      <c r="H42" s="105">
        <f t="shared" si="0"/>
        <v>510.7</v>
      </c>
      <c r="I42" s="106">
        <f t="shared" si="1"/>
        <v>510.7</v>
      </c>
      <c r="J42" s="107"/>
      <c r="K42" s="108">
        <f t="shared" si="2"/>
        <v>1</v>
      </c>
      <c r="L42" s="105">
        <f t="shared" si="3"/>
        <v>357.49</v>
      </c>
      <c r="M42" s="105">
        <f t="shared" si="4"/>
        <v>357.49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153.21</v>
      </c>
      <c r="T42" s="111">
        <f t="shared" si="7"/>
        <v>153.21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945</v>
      </c>
      <c r="C43" s="114" t="s">
        <v>267</v>
      </c>
      <c r="D43" s="88"/>
      <c r="E43" s="89" t="s">
        <v>138</v>
      </c>
      <c r="F43" s="115">
        <v>6</v>
      </c>
      <c r="G43" s="96">
        <v>512.12</v>
      </c>
      <c r="H43" s="91">
        <f t="shared" si="0"/>
        <v>706.73</v>
      </c>
      <c r="I43" s="92">
        <f t="shared" si="1"/>
        <v>4240.38</v>
      </c>
      <c r="J43" s="107"/>
      <c r="K43" s="90">
        <f t="shared" si="2"/>
        <v>6</v>
      </c>
      <c r="L43" s="91">
        <f t="shared" si="3"/>
        <v>494.71</v>
      </c>
      <c r="M43" s="91">
        <f t="shared" si="4"/>
        <v>2968.26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212.02</v>
      </c>
      <c r="T43" s="96">
        <f t="shared" si="7"/>
        <v>1272.1199999999999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946</v>
      </c>
      <c r="C44" s="101" t="s">
        <v>233</v>
      </c>
      <c r="D44" s="88"/>
      <c r="E44" s="102" t="s">
        <v>138</v>
      </c>
      <c r="F44" s="103">
        <v>6</v>
      </c>
      <c r="G44" s="104">
        <v>233.04</v>
      </c>
      <c r="H44" s="105">
        <f t="shared" si="0"/>
        <v>321.60000000000002</v>
      </c>
      <c r="I44" s="106">
        <f t="shared" si="1"/>
        <v>1929.6</v>
      </c>
      <c r="J44" s="107"/>
      <c r="K44" s="108">
        <f t="shared" si="2"/>
        <v>6</v>
      </c>
      <c r="L44" s="105">
        <f t="shared" si="3"/>
        <v>225.12</v>
      </c>
      <c r="M44" s="105">
        <f t="shared" si="4"/>
        <v>1350.72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96.48</v>
      </c>
      <c r="T44" s="111">
        <f t="shared" si="7"/>
        <v>578.88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123165.87999999999</v>
      </c>
      <c r="H50" s="124">
        <f t="shared" si="10"/>
        <v>169968.92000000004</v>
      </c>
      <c r="I50" s="125">
        <f t="shared" si="10"/>
        <v>185983.07000000004</v>
      </c>
      <c r="J50" s="126"/>
      <c r="K50" s="127">
        <f t="shared" ref="K50:M50" si="11">SUM(K19:K49)</f>
        <v>41</v>
      </c>
      <c r="L50" s="124">
        <f t="shared" si="11"/>
        <v>113022.12000000001</v>
      </c>
      <c r="M50" s="125">
        <f t="shared" si="11"/>
        <v>124120.31999999999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56946.8</v>
      </c>
      <c r="T50" s="125">
        <f t="shared" si="12"/>
        <v>61862.75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71" priority="1" stopIfTrue="1">
      <formula>$U$9&gt;100%</formula>
    </cfRule>
    <cfRule type="expression" dxfId="70" priority="2">
      <formula>$U$9&lt;50%</formula>
    </cfRule>
  </conditionalFormatting>
  <conditionalFormatting sqref="V9:V11">
    <cfRule type="expression" dxfId="69" priority="3">
      <formula>$V$9&lt;50%</formula>
    </cfRule>
    <cfRule type="expression" dxfId="68" priority="4">
      <formula>$V$9&gt;50%</formula>
    </cfRule>
  </conditionalFormatting>
  <dataValidations count="4">
    <dataValidation type="list" allowBlank="1" showErrorMessage="1" sqref="E19:E49" xr:uid="{00000000-0002-0000-3700-000000000000}">
      <formula1>$Z$19:$Z$30</formula1>
    </dataValidation>
    <dataValidation type="list" allowBlank="1" showErrorMessage="1" sqref="I14" xr:uid="{00000000-0002-0000-3700-000001000000}">
      <formula1>$Y$14:$Y$15</formula1>
    </dataValidation>
    <dataValidation type="list" allowBlank="1" showErrorMessage="1" sqref="J14" xr:uid="{00000000-0002-0000-3700-000002000000}">
      <formula1>$L$9</formula1>
    </dataValidation>
    <dataValidation type="list" allowBlank="1" showErrorMessage="1" sqref="Q15 G18 L18 Q18" xr:uid="{00000000-0002-0000-37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5" sqref="G15:I1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947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185983.07000000004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124120.31999999999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61862.750000000044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926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0.33262570620003223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948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61862.75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124120.31999999999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928</v>
      </c>
      <c r="C19" s="87" t="s">
        <v>169</v>
      </c>
      <c r="D19" s="88"/>
      <c r="E19" s="89">
        <v>500</v>
      </c>
      <c r="F19" s="90">
        <v>1</v>
      </c>
      <c r="G19" s="91">
        <v>87.34</v>
      </c>
      <c r="H19" s="91">
        <f t="shared" ref="H19:H49" si="0">ROUND(IF($G$18="USD $", G19*$F$16,G19*$E$16),2)</f>
        <v>120.53</v>
      </c>
      <c r="I19" s="92">
        <f t="shared" ref="I19:I49" si="1">ROUND(IF($I$18=$H$18,F19*H19,F19*G19),2)</f>
        <v>120.53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60.27</v>
      </c>
      <c r="M19" s="91">
        <f t="shared" ref="M19:M49" si="4">ROUND((K19*L19),2)</f>
        <v>60.27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60.26</v>
      </c>
      <c r="T19" s="96">
        <f t="shared" ref="T19:T49" si="7">ROUND(I19-M19,2)</f>
        <v>60.26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929</v>
      </c>
      <c r="C20" s="101" t="s">
        <v>118</v>
      </c>
      <c r="D20" s="88"/>
      <c r="E20" s="102">
        <v>1000</v>
      </c>
      <c r="F20" s="103">
        <v>1</v>
      </c>
      <c r="G20" s="104">
        <v>136.07</v>
      </c>
      <c r="H20" s="105">
        <f t="shared" si="0"/>
        <v>187.78</v>
      </c>
      <c r="I20" s="106">
        <f t="shared" si="1"/>
        <v>187.78</v>
      </c>
      <c r="J20" s="107"/>
      <c r="K20" s="108">
        <f t="shared" si="2"/>
        <v>1</v>
      </c>
      <c r="L20" s="105">
        <f t="shared" si="3"/>
        <v>93.89</v>
      </c>
      <c r="M20" s="105">
        <f t="shared" si="4"/>
        <v>93.89</v>
      </c>
      <c r="N20" s="109"/>
      <c r="O20" s="95"/>
      <c r="P20" s="100"/>
      <c r="Q20" s="104"/>
      <c r="R20" s="110">
        <f t="shared" si="5"/>
        <v>0</v>
      </c>
      <c r="S20" s="111">
        <f t="shared" si="6"/>
        <v>93.89</v>
      </c>
      <c r="T20" s="111">
        <f t="shared" si="7"/>
        <v>93.89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930</v>
      </c>
      <c r="C21" s="114" t="s">
        <v>743</v>
      </c>
      <c r="D21" s="88"/>
      <c r="E21" s="89">
        <v>1000</v>
      </c>
      <c r="F21" s="115">
        <v>1</v>
      </c>
      <c r="G21" s="96">
        <v>133.93</v>
      </c>
      <c r="H21" s="91">
        <f t="shared" si="0"/>
        <v>184.82</v>
      </c>
      <c r="I21" s="92">
        <f t="shared" si="1"/>
        <v>184.82</v>
      </c>
      <c r="J21" s="107"/>
      <c r="K21" s="90">
        <f t="shared" si="2"/>
        <v>1</v>
      </c>
      <c r="L21" s="91">
        <f t="shared" si="3"/>
        <v>92.41</v>
      </c>
      <c r="M21" s="91">
        <f t="shared" si="4"/>
        <v>92.41</v>
      </c>
      <c r="N21" s="116"/>
      <c r="O21" s="95"/>
      <c r="P21" s="117"/>
      <c r="Q21" s="96"/>
      <c r="R21" s="96">
        <f t="shared" si="5"/>
        <v>0</v>
      </c>
      <c r="S21" s="96">
        <f t="shared" si="6"/>
        <v>92.41</v>
      </c>
      <c r="T21" s="96">
        <f t="shared" si="7"/>
        <v>92.41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4363399</v>
      </c>
      <c r="C22" s="101" t="s">
        <v>174</v>
      </c>
      <c r="D22" s="88"/>
      <c r="E22" s="102">
        <v>1000</v>
      </c>
      <c r="F22" s="103">
        <v>1</v>
      </c>
      <c r="G22" s="104">
        <v>37.119999999999997</v>
      </c>
      <c r="H22" s="105">
        <f t="shared" si="0"/>
        <v>51.23</v>
      </c>
      <c r="I22" s="106">
        <f t="shared" si="1"/>
        <v>51.23</v>
      </c>
      <c r="J22" s="107"/>
      <c r="K22" s="108">
        <f t="shared" si="2"/>
        <v>1</v>
      </c>
      <c r="L22" s="105">
        <f t="shared" si="3"/>
        <v>25.62</v>
      </c>
      <c r="M22" s="105">
        <f t="shared" si="4"/>
        <v>25.62</v>
      </c>
      <c r="N22" s="109"/>
      <c r="O22" s="95"/>
      <c r="P22" s="100"/>
      <c r="Q22" s="104"/>
      <c r="R22" s="110">
        <f t="shared" si="5"/>
        <v>0</v>
      </c>
      <c r="S22" s="111">
        <f t="shared" si="6"/>
        <v>25.61</v>
      </c>
      <c r="T22" s="111">
        <f t="shared" si="7"/>
        <v>25.61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4630525</v>
      </c>
      <c r="C23" s="114" t="s">
        <v>174</v>
      </c>
      <c r="D23" s="88"/>
      <c r="E23" s="89">
        <v>1000</v>
      </c>
      <c r="F23" s="115">
        <v>1</v>
      </c>
      <c r="G23" s="96">
        <v>29.73</v>
      </c>
      <c r="H23" s="91">
        <f t="shared" si="0"/>
        <v>41.03</v>
      </c>
      <c r="I23" s="92">
        <f t="shared" si="1"/>
        <v>41.03</v>
      </c>
      <c r="J23" s="107"/>
      <c r="K23" s="90">
        <f t="shared" si="2"/>
        <v>1</v>
      </c>
      <c r="L23" s="91">
        <f t="shared" si="3"/>
        <v>20.52</v>
      </c>
      <c r="M23" s="91">
        <f t="shared" si="4"/>
        <v>20.52</v>
      </c>
      <c r="N23" s="116"/>
      <c r="O23" s="95"/>
      <c r="P23" s="117"/>
      <c r="Q23" s="96"/>
      <c r="R23" s="96">
        <f t="shared" si="5"/>
        <v>0</v>
      </c>
      <c r="S23" s="96">
        <f t="shared" si="6"/>
        <v>20.51</v>
      </c>
      <c r="T23" s="96">
        <f t="shared" si="7"/>
        <v>20.51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>
        <v>4654745</v>
      </c>
      <c r="C24" s="101" t="s">
        <v>174</v>
      </c>
      <c r="D24" s="88"/>
      <c r="E24" s="102">
        <v>1000</v>
      </c>
      <c r="F24" s="103">
        <v>1</v>
      </c>
      <c r="G24" s="104">
        <v>132.96</v>
      </c>
      <c r="H24" s="105">
        <f t="shared" si="0"/>
        <v>183.48</v>
      </c>
      <c r="I24" s="106">
        <f t="shared" si="1"/>
        <v>183.48</v>
      </c>
      <c r="J24" s="107"/>
      <c r="K24" s="108">
        <f t="shared" si="2"/>
        <v>1</v>
      </c>
      <c r="L24" s="105">
        <f t="shared" si="3"/>
        <v>91.74</v>
      </c>
      <c r="M24" s="105">
        <f t="shared" si="4"/>
        <v>91.74</v>
      </c>
      <c r="N24" s="109"/>
      <c r="O24" s="95"/>
      <c r="P24" s="100"/>
      <c r="Q24" s="104"/>
      <c r="R24" s="110">
        <f t="shared" si="5"/>
        <v>0</v>
      </c>
      <c r="S24" s="111">
        <f t="shared" si="6"/>
        <v>91.74</v>
      </c>
      <c r="T24" s="111">
        <f t="shared" si="7"/>
        <v>91.74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931</v>
      </c>
      <c r="C25" s="114" t="s">
        <v>128</v>
      </c>
      <c r="D25" s="88"/>
      <c r="E25" s="89">
        <v>1000</v>
      </c>
      <c r="F25" s="115">
        <v>1</v>
      </c>
      <c r="G25" s="96">
        <v>148.51</v>
      </c>
      <c r="H25" s="91">
        <f t="shared" si="0"/>
        <v>204.94</v>
      </c>
      <c r="I25" s="92">
        <f t="shared" si="1"/>
        <v>204.94</v>
      </c>
      <c r="J25" s="107"/>
      <c r="K25" s="90">
        <f t="shared" si="2"/>
        <v>1</v>
      </c>
      <c r="L25" s="91">
        <f t="shared" si="3"/>
        <v>122.96</v>
      </c>
      <c r="M25" s="91">
        <f t="shared" si="4"/>
        <v>122.96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81.98</v>
      </c>
      <c r="T25" s="96">
        <f t="shared" si="7"/>
        <v>81.98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932</v>
      </c>
      <c r="C26" s="101" t="s">
        <v>131</v>
      </c>
      <c r="D26" s="88"/>
      <c r="E26" s="102">
        <v>1000</v>
      </c>
      <c r="F26" s="103">
        <v>1</v>
      </c>
      <c r="G26" s="104">
        <v>90.04</v>
      </c>
      <c r="H26" s="105">
        <f t="shared" si="0"/>
        <v>124.26</v>
      </c>
      <c r="I26" s="106">
        <f t="shared" si="1"/>
        <v>124.26</v>
      </c>
      <c r="J26" s="107"/>
      <c r="K26" s="108">
        <f t="shared" si="2"/>
        <v>1</v>
      </c>
      <c r="L26" s="105">
        <f t="shared" si="3"/>
        <v>74.56</v>
      </c>
      <c r="M26" s="105">
        <f t="shared" si="4"/>
        <v>74.56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49.7</v>
      </c>
      <c r="T26" s="111">
        <f t="shared" si="7"/>
        <v>49.7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874</v>
      </c>
      <c r="C27" s="114" t="s">
        <v>134</v>
      </c>
      <c r="D27" s="88"/>
      <c r="E27" s="89">
        <v>1000</v>
      </c>
      <c r="F27" s="115">
        <v>1</v>
      </c>
      <c r="G27" s="96">
        <v>48.79</v>
      </c>
      <c r="H27" s="91">
        <f t="shared" si="0"/>
        <v>67.33</v>
      </c>
      <c r="I27" s="92">
        <f t="shared" si="1"/>
        <v>67.33</v>
      </c>
      <c r="J27" s="107"/>
      <c r="K27" s="90">
        <f t="shared" si="2"/>
        <v>1</v>
      </c>
      <c r="L27" s="91">
        <f t="shared" si="3"/>
        <v>40.4</v>
      </c>
      <c r="M27" s="91">
        <f t="shared" si="4"/>
        <v>40.4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26.93</v>
      </c>
      <c r="T27" s="96">
        <f t="shared" si="7"/>
        <v>26.93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873</v>
      </c>
      <c r="C28" s="101" t="s">
        <v>134</v>
      </c>
      <c r="D28" s="88"/>
      <c r="E28" s="102">
        <v>1000</v>
      </c>
      <c r="F28" s="103">
        <v>1</v>
      </c>
      <c r="G28" s="104">
        <v>70.42</v>
      </c>
      <c r="H28" s="105">
        <f t="shared" si="0"/>
        <v>97.18</v>
      </c>
      <c r="I28" s="106">
        <f t="shared" si="1"/>
        <v>97.18</v>
      </c>
      <c r="J28" s="107"/>
      <c r="K28" s="108">
        <f t="shared" si="2"/>
        <v>1</v>
      </c>
      <c r="L28" s="105">
        <f t="shared" si="3"/>
        <v>58.31</v>
      </c>
      <c r="M28" s="105">
        <f t="shared" si="4"/>
        <v>58.31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38.869999999999997</v>
      </c>
      <c r="T28" s="111">
        <f t="shared" si="7"/>
        <v>38.869999999999997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933</v>
      </c>
      <c r="C29" s="114" t="s">
        <v>323</v>
      </c>
      <c r="D29" s="88"/>
      <c r="E29" s="89" t="s">
        <v>138</v>
      </c>
      <c r="F29" s="115">
        <v>1</v>
      </c>
      <c r="G29" s="96">
        <v>79.459999999999994</v>
      </c>
      <c r="H29" s="91">
        <f t="shared" si="0"/>
        <v>109.65</v>
      </c>
      <c r="I29" s="92">
        <f t="shared" si="1"/>
        <v>109.65</v>
      </c>
      <c r="J29" s="107"/>
      <c r="K29" s="90">
        <f t="shared" si="2"/>
        <v>1</v>
      </c>
      <c r="L29" s="91">
        <f t="shared" si="3"/>
        <v>65.790000000000006</v>
      </c>
      <c r="M29" s="91">
        <f t="shared" si="4"/>
        <v>65.790000000000006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43.86</v>
      </c>
      <c r="T29" s="96">
        <f t="shared" si="7"/>
        <v>43.86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934</v>
      </c>
      <c r="C31" s="114" t="s">
        <v>751</v>
      </c>
      <c r="D31" s="88"/>
      <c r="E31" s="89" t="s">
        <v>138</v>
      </c>
      <c r="F31" s="115">
        <v>1</v>
      </c>
      <c r="G31" s="96">
        <v>7108.48</v>
      </c>
      <c r="H31" s="91">
        <f t="shared" si="0"/>
        <v>9809.7000000000007</v>
      </c>
      <c r="I31" s="92">
        <f t="shared" si="1"/>
        <v>9809.7000000000007</v>
      </c>
      <c r="J31" s="107"/>
      <c r="K31" s="90">
        <f t="shared" si="2"/>
        <v>1</v>
      </c>
      <c r="L31" s="91">
        <f t="shared" si="3"/>
        <v>5885.82</v>
      </c>
      <c r="M31" s="91">
        <f t="shared" si="4"/>
        <v>5885.82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3923.88</v>
      </c>
      <c r="T31" s="96">
        <f t="shared" si="7"/>
        <v>3923.88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935</v>
      </c>
      <c r="C32" s="101" t="s">
        <v>752</v>
      </c>
      <c r="D32" s="88"/>
      <c r="E32" s="102" t="s">
        <v>138</v>
      </c>
      <c r="F32" s="103">
        <v>1</v>
      </c>
      <c r="G32" s="104">
        <v>7584.72</v>
      </c>
      <c r="H32" s="105">
        <f t="shared" si="0"/>
        <v>10466.91</v>
      </c>
      <c r="I32" s="106">
        <f t="shared" si="1"/>
        <v>10466.91</v>
      </c>
      <c r="J32" s="107"/>
      <c r="K32" s="108">
        <f t="shared" si="2"/>
        <v>1</v>
      </c>
      <c r="L32" s="105">
        <f t="shared" si="3"/>
        <v>6280.15</v>
      </c>
      <c r="M32" s="105">
        <f t="shared" si="4"/>
        <v>6280.15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4186.76</v>
      </c>
      <c r="T32" s="111">
        <f t="shared" si="7"/>
        <v>4186.76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936</v>
      </c>
      <c r="C33" s="114" t="s">
        <v>753</v>
      </c>
      <c r="D33" s="88"/>
      <c r="E33" s="89" t="s">
        <v>138</v>
      </c>
      <c r="F33" s="115">
        <v>1</v>
      </c>
      <c r="G33" s="96">
        <v>2094.1</v>
      </c>
      <c r="H33" s="91">
        <f t="shared" si="0"/>
        <v>2889.86</v>
      </c>
      <c r="I33" s="92">
        <f t="shared" si="1"/>
        <v>2889.86</v>
      </c>
      <c r="J33" s="107"/>
      <c r="K33" s="90">
        <f t="shared" si="2"/>
        <v>1</v>
      </c>
      <c r="L33" s="91">
        <f t="shared" si="3"/>
        <v>1733.92</v>
      </c>
      <c r="M33" s="91">
        <f t="shared" si="4"/>
        <v>1733.92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1155.94</v>
      </c>
      <c r="T33" s="96">
        <f t="shared" si="7"/>
        <v>1155.94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780</v>
      </c>
      <c r="C34" s="101" t="s">
        <v>937</v>
      </c>
      <c r="D34" s="88"/>
      <c r="E34" s="102" t="s">
        <v>138</v>
      </c>
      <c r="F34" s="103">
        <v>1</v>
      </c>
      <c r="G34" s="104">
        <v>4515.9799999999996</v>
      </c>
      <c r="H34" s="105">
        <f t="shared" si="0"/>
        <v>6232.05</v>
      </c>
      <c r="I34" s="106">
        <f t="shared" si="1"/>
        <v>6232.05</v>
      </c>
      <c r="J34" s="107"/>
      <c r="K34" s="108">
        <f t="shared" si="2"/>
        <v>1</v>
      </c>
      <c r="L34" s="105">
        <f t="shared" si="3"/>
        <v>3116.03</v>
      </c>
      <c r="M34" s="105">
        <f t="shared" si="4"/>
        <v>3116.03</v>
      </c>
      <c r="N34" s="109"/>
      <c r="O34" s="95"/>
      <c r="P34" s="100"/>
      <c r="Q34" s="104"/>
      <c r="R34" s="110">
        <f t="shared" si="5"/>
        <v>0</v>
      </c>
      <c r="S34" s="111">
        <f t="shared" si="6"/>
        <v>3116.02</v>
      </c>
      <c r="T34" s="111">
        <f t="shared" si="7"/>
        <v>3116.02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878</v>
      </c>
      <c r="C35" s="114" t="s">
        <v>938</v>
      </c>
      <c r="D35" s="88"/>
      <c r="E35" s="89" t="s">
        <v>138</v>
      </c>
      <c r="F35" s="115">
        <v>2</v>
      </c>
      <c r="G35" s="96">
        <v>404.78</v>
      </c>
      <c r="H35" s="91">
        <f t="shared" si="0"/>
        <v>558.6</v>
      </c>
      <c r="I35" s="92">
        <f t="shared" si="1"/>
        <v>1117.2</v>
      </c>
      <c r="J35" s="107"/>
      <c r="K35" s="90">
        <f t="shared" si="2"/>
        <v>2</v>
      </c>
      <c r="L35" s="91">
        <f t="shared" si="3"/>
        <v>279.3</v>
      </c>
      <c r="M35" s="91">
        <f t="shared" si="4"/>
        <v>558.6</v>
      </c>
      <c r="N35" s="116"/>
      <c r="O35" s="95"/>
      <c r="P35" s="117"/>
      <c r="Q35" s="96"/>
      <c r="R35" s="96">
        <f t="shared" si="5"/>
        <v>0</v>
      </c>
      <c r="S35" s="96">
        <f t="shared" si="6"/>
        <v>279.3</v>
      </c>
      <c r="T35" s="96">
        <f t="shared" si="7"/>
        <v>558.6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939</v>
      </c>
      <c r="C36" s="101" t="s">
        <v>940</v>
      </c>
      <c r="D36" s="88"/>
      <c r="E36" s="102" t="s">
        <v>138</v>
      </c>
      <c r="F36" s="103">
        <v>1</v>
      </c>
      <c r="G36" s="104">
        <v>4330.42</v>
      </c>
      <c r="H36" s="105">
        <f t="shared" si="0"/>
        <v>5975.98</v>
      </c>
      <c r="I36" s="106">
        <f t="shared" si="1"/>
        <v>5975.98</v>
      </c>
      <c r="J36" s="107"/>
      <c r="K36" s="108">
        <f t="shared" si="2"/>
        <v>1</v>
      </c>
      <c r="L36" s="105">
        <f t="shared" si="3"/>
        <v>2987.99</v>
      </c>
      <c r="M36" s="105">
        <f t="shared" si="4"/>
        <v>2987.99</v>
      </c>
      <c r="N36" s="109"/>
      <c r="O36" s="95"/>
      <c r="P36" s="100"/>
      <c r="Q36" s="104"/>
      <c r="R36" s="110">
        <f t="shared" si="5"/>
        <v>0</v>
      </c>
      <c r="S36" s="111">
        <f t="shared" si="6"/>
        <v>2987.99</v>
      </c>
      <c r="T36" s="111">
        <f t="shared" si="7"/>
        <v>2987.99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941</v>
      </c>
      <c r="C37" s="114" t="s">
        <v>942</v>
      </c>
      <c r="D37" s="88"/>
      <c r="E37" s="89" t="s">
        <v>138</v>
      </c>
      <c r="F37" s="115">
        <v>1</v>
      </c>
      <c r="G37" s="96">
        <v>3092.8</v>
      </c>
      <c r="H37" s="91">
        <f t="shared" si="0"/>
        <v>4268.0600000000004</v>
      </c>
      <c r="I37" s="92">
        <f t="shared" si="1"/>
        <v>4268.0600000000004</v>
      </c>
      <c r="J37" s="107"/>
      <c r="K37" s="90">
        <f t="shared" si="2"/>
        <v>1</v>
      </c>
      <c r="L37" s="91">
        <f t="shared" si="3"/>
        <v>2134.0300000000002</v>
      </c>
      <c r="M37" s="91">
        <f t="shared" si="4"/>
        <v>2134.0300000000002</v>
      </c>
      <c r="N37" s="116"/>
      <c r="O37" s="95"/>
      <c r="P37" s="117"/>
      <c r="Q37" s="96"/>
      <c r="R37" s="96">
        <f t="shared" si="5"/>
        <v>0</v>
      </c>
      <c r="S37" s="96">
        <f t="shared" si="6"/>
        <v>2134.0300000000002</v>
      </c>
      <c r="T37" s="96">
        <f t="shared" si="7"/>
        <v>2134.0300000000002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943</v>
      </c>
      <c r="C38" s="101" t="s">
        <v>758</v>
      </c>
      <c r="D38" s="88"/>
      <c r="E38" s="102" t="s">
        <v>138</v>
      </c>
      <c r="F38" s="103">
        <v>6</v>
      </c>
      <c r="G38" s="104">
        <v>1494.77</v>
      </c>
      <c r="H38" s="105">
        <f t="shared" si="0"/>
        <v>2062.7800000000002</v>
      </c>
      <c r="I38" s="106">
        <f t="shared" si="1"/>
        <v>12376.68</v>
      </c>
      <c r="J38" s="107"/>
      <c r="K38" s="108">
        <f t="shared" si="2"/>
        <v>6</v>
      </c>
      <c r="L38" s="105">
        <f t="shared" si="3"/>
        <v>1443.95</v>
      </c>
      <c r="M38" s="105">
        <f t="shared" si="4"/>
        <v>8663.7000000000007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618.83000000000004</v>
      </c>
      <c r="T38" s="111">
        <f t="shared" si="7"/>
        <v>3712.98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944</v>
      </c>
      <c r="C39" s="114" t="s">
        <v>784</v>
      </c>
      <c r="D39" s="88"/>
      <c r="E39" s="89">
        <v>4000</v>
      </c>
      <c r="F39" s="115">
        <v>1</v>
      </c>
      <c r="G39" s="96">
        <v>89926.36</v>
      </c>
      <c r="H39" s="91">
        <f t="shared" si="0"/>
        <v>124098.38</v>
      </c>
      <c r="I39" s="92">
        <f t="shared" si="1"/>
        <v>124098.38</v>
      </c>
      <c r="J39" s="107"/>
      <c r="K39" s="90">
        <f t="shared" si="2"/>
        <v>1</v>
      </c>
      <c r="L39" s="91">
        <f t="shared" si="3"/>
        <v>86868.87</v>
      </c>
      <c r="M39" s="91">
        <f t="shared" si="4"/>
        <v>86868.87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37229.51</v>
      </c>
      <c r="T39" s="96">
        <f t="shared" si="7"/>
        <v>37229.51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590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786</v>
      </c>
      <c r="C41" s="114" t="s">
        <v>761</v>
      </c>
      <c r="D41" s="88"/>
      <c r="E41" s="89" t="s">
        <v>138</v>
      </c>
      <c r="F41" s="115">
        <v>1</v>
      </c>
      <c r="G41" s="96">
        <v>370.07</v>
      </c>
      <c r="H41" s="91">
        <f t="shared" si="0"/>
        <v>510.7</v>
      </c>
      <c r="I41" s="92">
        <f t="shared" si="1"/>
        <v>510.7</v>
      </c>
      <c r="J41" s="107"/>
      <c r="K41" s="90">
        <f t="shared" si="2"/>
        <v>1</v>
      </c>
      <c r="L41" s="91">
        <f t="shared" si="3"/>
        <v>357.49</v>
      </c>
      <c r="M41" s="91">
        <f t="shared" si="4"/>
        <v>357.49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153.21</v>
      </c>
      <c r="T41" s="96">
        <f t="shared" si="7"/>
        <v>153.21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785</v>
      </c>
      <c r="C42" s="101" t="s">
        <v>763</v>
      </c>
      <c r="D42" s="88"/>
      <c r="E42" s="102" t="s">
        <v>138</v>
      </c>
      <c r="F42" s="103">
        <v>1</v>
      </c>
      <c r="G42" s="104">
        <v>370.07</v>
      </c>
      <c r="H42" s="105">
        <f t="shared" si="0"/>
        <v>510.7</v>
      </c>
      <c r="I42" s="106">
        <f t="shared" si="1"/>
        <v>510.7</v>
      </c>
      <c r="J42" s="107"/>
      <c r="K42" s="108">
        <f t="shared" si="2"/>
        <v>1</v>
      </c>
      <c r="L42" s="105">
        <f t="shared" si="3"/>
        <v>357.49</v>
      </c>
      <c r="M42" s="105">
        <f t="shared" si="4"/>
        <v>357.49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153.21</v>
      </c>
      <c r="T42" s="111">
        <f t="shared" si="7"/>
        <v>153.21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945</v>
      </c>
      <c r="C43" s="114" t="s">
        <v>267</v>
      </c>
      <c r="D43" s="88"/>
      <c r="E43" s="89" t="s">
        <v>138</v>
      </c>
      <c r="F43" s="115">
        <v>6</v>
      </c>
      <c r="G43" s="96">
        <v>512.12</v>
      </c>
      <c r="H43" s="91">
        <f t="shared" si="0"/>
        <v>706.73</v>
      </c>
      <c r="I43" s="92">
        <f t="shared" si="1"/>
        <v>4240.38</v>
      </c>
      <c r="J43" s="107"/>
      <c r="K43" s="90">
        <f t="shared" si="2"/>
        <v>6</v>
      </c>
      <c r="L43" s="91">
        <f t="shared" si="3"/>
        <v>494.71</v>
      </c>
      <c r="M43" s="91">
        <f t="shared" si="4"/>
        <v>2968.26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212.02</v>
      </c>
      <c r="T43" s="96">
        <f t="shared" si="7"/>
        <v>1272.1199999999999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946</v>
      </c>
      <c r="C44" s="101" t="s">
        <v>233</v>
      </c>
      <c r="D44" s="88"/>
      <c r="E44" s="102" t="s">
        <v>138</v>
      </c>
      <c r="F44" s="103">
        <v>6</v>
      </c>
      <c r="G44" s="104">
        <v>233.04</v>
      </c>
      <c r="H44" s="105">
        <f t="shared" si="0"/>
        <v>321.60000000000002</v>
      </c>
      <c r="I44" s="106">
        <f t="shared" si="1"/>
        <v>1929.6</v>
      </c>
      <c r="J44" s="107"/>
      <c r="K44" s="108">
        <f t="shared" si="2"/>
        <v>6</v>
      </c>
      <c r="L44" s="105">
        <f t="shared" si="3"/>
        <v>225.12</v>
      </c>
      <c r="M44" s="105">
        <f t="shared" si="4"/>
        <v>1350.72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96.48</v>
      </c>
      <c r="T44" s="111">
        <f t="shared" si="7"/>
        <v>578.88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123165.87999999999</v>
      </c>
      <c r="H50" s="124">
        <f t="shared" si="10"/>
        <v>169968.92000000004</v>
      </c>
      <c r="I50" s="125">
        <f t="shared" si="10"/>
        <v>185983.07000000004</v>
      </c>
      <c r="J50" s="126"/>
      <c r="K50" s="127">
        <f t="shared" ref="K50:M50" si="11">SUM(K19:K49)</f>
        <v>41</v>
      </c>
      <c r="L50" s="124">
        <f t="shared" si="11"/>
        <v>113022.12000000001</v>
      </c>
      <c r="M50" s="125">
        <f t="shared" si="11"/>
        <v>124120.31999999999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56946.8</v>
      </c>
      <c r="T50" s="125">
        <f t="shared" si="12"/>
        <v>61862.75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67" priority="1" stopIfTrue="1">
      <formula>$U$9&gt;100%</formula>
    </cfRule>
    <cfRule type="expression" dxfId="66" priority="2">
      <formula>$U$9&lt;50%</formula>
    </cfRule>
  </conditionalFormatting>
  <conditionalFormatting sqref="V9:V11">
    <cfRule type="expression" dxfId="65" priority="3">
      <formula>$V$9&lt;50%</formula>
    </cfRule>
    <cfRule type="expression" dxfId="64" priority="4">
      <formula>$V$9&gt;50%</formula>
    </cfRule>
  </conditionalFormatting>
  <dataValidations count="4">
    <dataValidation type="list" allowBlank="1" showErrorMessage="1" sqref="E19:E49" xr:uid="{00000000-0002-0000-3800-000000000000}">
      <formula1>$Z$19:$Z$30</formula1>
    </dataValidation>
    <dataValidation type="list" allowBlank="1" showErrorMessage="1" sqref="I14" xr:uid="{00000000-0002-0000-3800-000001000000}">
      <formula1>$Y$14:$Y$15</formula1>
    </dataValidation>
    <dataValidation type="list" allowBlank="1" showErrorMessage="1" sqref="J14" xr:uid="{00000000-0002-0000-3800-000002000000}">
      <formula1>$L$9</formula1>
    </dataValidation>
    <dataValidation type="list" allowBlank="1" showErrorMessage="1" sqref="Q15 G18 L18 Q18" xr:uid="{00000000-0002-0000-38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6" sqref="G16:I1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949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53603.839999999997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36439.990000000005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17163.849999999991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950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0.32019814252113266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951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17163.849999999999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36439.990000000005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26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952</v>
      </c>
      <c r="C20" s="101" t="s">
        <v>118</v>
      </c>
      <c r="D20" s="88"/>
      <c r="E20" s="102">
        <v>1000</v>
      </c>
      <c r="F20" s="103">
        <v>1</v>
      </c>
      <c r="G20" s="104">
        <v>54.6</v>
      </c>
      <c r="H20" s="105">
        <f t="shared" si="0"/>
        <v>75.349999999999994</v>
      </c>
      <c r="I20" s="106">
        <f t="shared" si="1"/>
        <v>75.349999999999994</v>
      </c>
      <c r="J20" s="107"/>
      <c r="K20" s="108">
        <f t="shared" si="2"/>
        <v>1</v>
      </c>
      <c r="L20" s="105">
        <f t="shared" si="3"/>
        <v>37.68</v>
      </c>
      <c r="M20" s="105">
        <f t="shared" si="4"/>
        <v>37.68</v>
      </c>
      <c r="N20" s="109"/>
      <c r="O20" s="95"/>
      <c r="P20" s="100"/>
      <c r="Q20" s="104"/>
      <c r="R20" s="110">
        <f t="shared" si="5"/>
        <v>0</v>
      </c>
      <c r="S20" s="111">
        <f t="shared" si="6"/>
        <v>37.67</v>
      </c>
      <c r="T20" s="111">
        <f t="shared" si="7"/>
        <v>37.67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805</v>
      </c>
      <c r="C21" s="114" t="s">
        <v>743</v>
      </c>
      <c r="D21" s="88"/>
      <c r="E21" s="89">
        <v>1000</v>
      </c>
      <c r="F21" s="115">
        <v>1</v>
      </c>
      <c r="G21" s="96">
        <v>35.020000000000003</v>
      </c>
      <c r="H21" s="91">
        <f t="shared" si="0"/>
        <v>48.33</v>
      </c>
      <c r="I21" s="92">
        <f t="shared" si="1"/>
        <v>48.33</v>
      </c>
      <c r="J21" s="107"/>
      <c r="K21" s="90">
        <f t="shared" si="2"/>
        <v>1</v>
      </c>
      <c r="L21" s="91">
        <f t="shared" si="3"/>
        <v>24.17</v>
      </c>
      <c r="M21" s="91">
        <f t="shared" si="4"/>
        <v>24.17</v>
      </c>
      <c r="N21" s="116"/>
      <c r="O21" s="95"/>
      <c r="P21" s="117"/>
      <c r="Q21" s="96"/>
      <c r="R21" s="96">
        <f t="shared" si="5"/>
        <v>0</v>
      </c>
      <c r="S21" s="96">
        <f t="shared" si="6"/>
        <v>24.16</v>
      </c>
      <c r="T21" s="96">
        <f t="shared" si="7"/>
        <v>24.16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>
        <v>4294130</v>
      </c>
      <c r="C22" s="101" t="s">
        <v>174</v>
      </c>
      <c r="D22" s="88"/>
      <c r="E22" s="102">
        <v>1000</v>
      </c>
      <c r="F22" s="103">
        <v>1</v>
      </c>
      <c r="G22" s="104">
        <v>31.49</v>
      </c>
      <c r="H22" s="105">
        <f t="shared" si="0"/>
        <v>43.46</v>
      </c>
      <c r="I22" s="106">
        <f t="shared" si="1"/>
        <v>43.46</v>
      </c>
      <c r="J22" s="107"/>
      <c r="K22" s="108">
        <f t="shared" si="2"/>
        <v>1</v>
      </c>
      <c r="L22" s="105">
        <f t="shared" si="3"/>
        <v>21.73</v>
      </c>
      <c r="M22" s="105">
        <f t="shared" si="4"/>
        <v>21.73</v>
      </c>
      <c r="N22" s="109"/>
      <c r="O22" s="95"/>
      <c r="P22" s="100"/>
      <c r="Q22" s="104"/>
      <c r="R22" s="110">
        <f t="shared" si="5"/>
        <v>0</v>
      </c>
      <c r="S22" s="111">
        <f t="shared" si="6"/>
        <v>21.73</v>
      </c>
      <c r="T22" s="111">
        <f t="shared" si="7"/>
        <v>21.73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910</v>
      </c>
      <c r="C23" s="114" t="s">
        <v>174</v>
      </c>
      <c r="D23" s="88"/>
      <c r="E23" s="89">
        <v>1000</v>
      </c>
      <c r="F23" s="115">
        <v>1</v>
      </c>
      <c r="G23" s="96">
        <v>76.89</v>
      </c>
      <c r="H23" s="91">
        <f t="shared" si="0"/>
        <v>106.11</v>
      </c>
      <c r="I23" s="92">
        <f t="shared" si="1"/>
        <v>106.11</v>
      </c>
      <c r="J23" s="107"/>
      <c r="K23" s="90">
        <f t="shared" si="2"/>
        <v>1</v>
      </c>
      <c r="L23" s="91">
        <f t="shared" si="3"/>
        <v>53.06</v>
      </c>
      <c r="M23" s="91">
        <f t="shared" si="4"/>
        <v>53.06</v>
      </c>
      <c r="N23" s="116"/>
      <c r="O23" s="95"/>
      <c r="P23" s="117"/>
      <c r="Q23" s="96"/>
      <c r="R23" s="96">
        <f t="shared" si="5"/>
        <v>0</v>
      </c>
      <c r="S23" s="96">
        <f t="shared" si="6"/>
        <v>53.05</v>
      </c>
      <c r="T23" s="96">
        <f t="shared" si="7"/>
        <v>53.05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911</v>
      </c>
      <c r="C24" s="101" t="s">
        <v>128</v>
      </c>
      <c r="D24" s="88"/>
      <c r="E24" s="102">
        <v>1000</v>
      </c>
      <c r="F24" s="103">
        <v>1</v>
      </c>
      <c r="G24" s="104">
        <v>60.77</v>
      </c>
      <c r="H24" s="105">
        <f t="shared" si="0"/>
        <v>83.86</v>
      </c>
      <c r="I24" s="106">
        <f t="shared" si="1"/>
        <v>83.86</v>
      </c>
      <c r="J24" s="107"/>
      <c r="K24" s="108">
        <f t="shared" si="2"/>
        <v>1</v>
      </c>
      <c r="L24" s="105">
        <f t="shared" si="3"/>
        <v>50.32</v>
      </c>
      <c r="M24" s="105">
        <f t="shared" si="4"/>
        <v>50.32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33.54</v>
      </c>
      <c r="T24" s="111">
        <f t="shared" si="7"/>
        <v>33.54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912</v>
      </c>
      <c r="C25" s="114" t="s">
        <v>131</v>
      </c>
      <c r="D25" s="88"/>
      <c r="E25" s="89">
        <v>1000</v>
      </c>
      <c r="F25" s="115">
        <v>1</v>
      </c>
      <c r="G25" s="96">
        <v>33.58</v>
      </c>
      <c r="H25" s="91">
        <f t="shared" si="0"/>
        <v>46.34</v>
      </c>
      <c r="I25" s="92">
        <f t="shared" si="1"/>
        <v>46.34</v>
      </c>
      <c r="J25" s="107"/>
      <c r="K25" s="90">
        <f t="shared" si="2"/>
        <v>1</v>
      </c>
      <c r="L25" s="91">
        <f t="shared" si="3"/>
        <v>27.8</v>
      </c>
      <c r="M25" s="91">
        <f t="shared" si="4"/>
        <v>27.8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18.54</v>
      </c>
      <c r="T25" s="96">
        <f t="shared" si="7"/>
        <v>18.54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>
        <v>4673287</v>
      </c>
      <c r="C26" s="101" t="s">
        <v>134</v>
      </c>
      <c r="D26" s="88"/>
      <c r="E26" s="102">
        <v>1000</v>
      </c>
      <c r="F26" s="103">
        <v>1</v>
      </c>
      <c r="G26" s="104">
        <v>55.48</v>
      </c>
      <c r="H26" s="105">
        <f t="shared" si="0"/>
        <v>76.56</v>
      </c>
      <c r="I26" s="106">
        <f t="shared" si="1"/>
        <v>76.56</v>
      </c>
      <c r="J26" s="107"/>
      <c r="K26" s="108">
        <f t="shared" si="2"/>
        <v>1</v>
      </c>
      <c r="L26" s="105">
        <f t="shared" si="3"/>
        <v>45.94</v>
      </c>
      <c r="M26" s="105">
        <f t="shared" si="4"/>
        <v>45.94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30.62</v>
      </c>
      <c r="T26" s="111">
        <f t="shared" si="7"/>
        <v>30.62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>
        <v>4684045</v>
      </c>
      <c r="C27" s="114" t="s">
        <v>134</v>
      </c>
      <c r="D27" s="88"/>
      <c r="E27" s="89">
        <v>1000</v>
      </c>
      <c r="F27" s="115">
        <v>1</v>
      </c>
      <c r="G27" s="96">
        <v>51.25</v>
      </c>
      <c r="H27" s="91">
        <f t="shared" si="0"/>
        <v>70.73</v>
      </c>
      <c r="I27" s="92">
        <f t="shared" si="1"/>
        <v>70.73</v>
      </c>
      <c r="J27" s="107"/>
      <c r="K27" s="90">
        <f t="shared" si="2"/>
        <v>1</v>
      </c>
      <c r="L27" s="91">
        <f t="shared" si="3"/>
        <v>42.44</v>
      </c>
      <c r="M27" s="91">
        <f t="shared" si="4"/>
        <v>42.44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28.29</v>
      </c>
      <c r="T27" s="96">
        <f t="shared" si="7"/>
        <v>28.29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953</v>
      </c>
      <c r="C28" s="101" t="s">
        <v>954</v>
      </c>
      <c r="D28" s="88"/>
      <c r="E28" s="102" t="s">
        <v>138</v>
      </c>
      <c r="F28" s="103">
        <v>1</v>
      </c>
      <c r="G28" s="104">
        <v>2408.39</v>
      </c>
      <c r="H28" s="105">
        <f t="shared" si="0"/>
        <v>3323.58</v>
      </c>
      <c r="I28" s="106">
        <f t="shared" si="1"/>
        <v>3323.58</v>
      </c>
      <c r="J28" s="107"/>
      <c r="K28" s="108">
        <f t="shared" si="2"/>
        <v>1</v>
      </c>
      <c r="L28" s="105">
        <f t="shared" si="3"/>
        <v>1994.15</v>
      </c>
      <c r="M28" s="105">
        <f t="shared" si="4"/>
        <v>1994.15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1329.43</v>
      </c>
      <c r="T28" s="111">
        <f t="shared" si="7"/>
        <v>1329.43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>
        <v>4700770</v>
      </c>
      <c r="C29" s="114" t="s">
        <v>877</v>
      </c>
      <c r="D29" s="88"/>
      <c r="E29" s="89" t="s">
        <v>138</v>
      </c>
      <c r="F29" s="115">
        <v>1</v>
      </c>
      <c r="G29" s="96">
        <v>2212.9299999999998</v>
      </c>
      <c r="H29" s="91">
        <f t="shared" si="0"/>
        <v>3053.84</v>
      </c>
      <c r="I29" s="92">
        <f t="shared" si="1"/>
        <v>3053.84</v>
      </c>
      <c r="J29" s="107"/>
      <c r="K29" s="90">
        <f t="shared" si="2"/>
        <v>1</v>
      </c>
      <c r="L29" s="91">
        <f t="shared" si="3"/>
        <v>1526.92</v>
      </c>
      <c r="M29" s="91">
        <f t="shared" si="4"/>
        <v>1526.92</v>
      </c>
      <c r="N29" s="116"/>
      <c r="O29" s="95"/>
      <c r="P29" s="117"/>
      <c r="Q29" s="96"/>
      <c r="R29" s="96">
        <f t="shared" si="5"/>
        <v>0</v>
      </c>
      <c r="S29" s="96">
        <f t="shared" si="6"/>
        <v>1526.92</v>
      </c>
      <c r="T29" s="96">
        <f t="shared" si="7"/>
        <v>1526.92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955</v>
      </c>
      <c r="C30" s="101" t="s">
        <v>898</v>
      </c>
      <c r="D30" s="88"/>
      <c r="E30" s="102" t="s">
        <v>138</v>
      </c>
      <c r="F30" s="103">
        <v>1</v>
      </c>
      <c r="G30" s="104">
        <v>188.59</v>
      </c>
      <c r="H30" s="105">
        <f t="shared" si="0"/>
        <v>260.25</v>
      </c>
      <c r="I30" s="106">
        <f t="shared" si="1"/>
        <v>260.25</v>
      </c>
      <c r="J30" s="107"/>
      <c r="K30" s="108">
        <f t="shared" si="2"/>
        <v>1</v>
      </c>
      <c r="L30" s="105">
        <f t="shared" si="3"/>
        <v>130.13</v>
      </c>
      <c r="M30" s="105">
        <f t="shared" si="4"/>
        <v>130.13</v>
      </c>
      <c r="N30" s="109"/>
      <c r="O30" s="95"/>
      <c r="P30" s="100"/>
      <c r="Q30" s="104"/>
      <c r="R30" s="110">
        <f t="shared" si="5"/>
        <v>0</v>
      </c>
      <c r="S30" s="111">
        <f t="shared" si="6"/>
        <v>130.12</v>
      </c>
      <c r="T30" s="111">
        <f t="shared" si="7"/>
        <v>130.12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956</v>
      </c>
      <c r="C31" s="114" t="s">
        <v>758</v>
      </c>
      <c r="D31" s="88"/>
      <c r="E31" s="89" t="s">
        <v>138</v>
      </c>
      <c r="F31" s="115">
        <v>4</v>
      </c>
      <c r="G31" s="96">
        <v>977</v>
      </c>
      <c r="H31" s="91">
        <f t="shared" si="0"/>
        <v>1348.26</v>
      </c>
      <c r="I31" s="92">
        <f t="shared" si="1"/>
        <v>5393.04</v>
      </c>
      <c r="J31" s="107"/>
      <c r="K31" s="90">
        <f t="shared" si="2"/>
        <v>4</v>
      </c>
      <c r="L31" s="91">
        <f t="shared" si="3"/>
        <v>943.78</v>
      </c>
      <c r="M31" s="91">
        <f t="shared" si="4"/>
        <v>3775.12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404.48</v>
      </c>
      <c r="T31" s="96">
        <f t="shared" si="7"/>
        <v>1617.92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957</v>
      </c>
      <c r="C32" s="101" t="s">
        <v>784</v>
      </c>
      <c r="D32" s="88"/>
      <c r="E32" s="102">
        <v>4000</v>
      </c>
      <c r="F32" s="103">
        <v>1</v>
      </c>
      <c r="G32" s="104">
        <v>29388.48</v>
      </c>
      <c r="H32" s="105">
        <f t="shared" si="0"/>
        <v>40556.1</v>
      </c>
      <c r="I32" s="106">
        <f t="shared" si="1"/>
        <v>40556.1</v>
      </c>
      <c r="J32" s="107"/>
      <c r="K32" s="108">
        <f t="shared" si="2"/>
        <v>1</v>
      </c>
      <c r="L32" s="105">
        <f t="shared" si="3"/>
        <v>28389.27</v>
      </c>
      <c r="M32" s="105">
        <f t="shared" si="4"/>
        <v>28389.27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12166.83</v>
      </c>
      <c r="T32" s="111">
        <f t="shared" si="7"/>
        <v>12166.83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590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958</v>
      </c>
      <c r="C34" s="101" t="s">
        <v>267</v>
      </c>
      <c r="D34" s="88"/>
      <c r="E34" s="102" t="s">
        <v>138</v>
      </c>
      <c r="F34" s="103">
        <v>4</v>
      </c>
      <c r="G34" s="104">
        <v>28.55</v>
      </c>
      <c r="H34" s="105">
        <f t="shared" si="0"/>
        <v>39.4</v>
      </c>
      <c r="I34" s="106">
        <f t="shared" si="1"/>
        <v>157.6</v>
      </c>
      <c r="J34" s="107"/>
      <c r="K34" s="108">
        <f t="shared" si="2"/>
        <v>4</v>
      </c>
      <c r="L34" s="105">
        <f t="shared" si="3"/>
        <v>27.58</v>
      </c>
      <c r="M34" s="105">
        <f t="shared" si="4"/>
        <v>110.32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11.82</v>
      </c>
      <c r="T34" s="111">
        <f t="shared" si="7"/>
        <v>47.28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959</v>
      </c>
      <c r="C35" s="114" t="s">
        <v>233</v>
      </c>
      <c r="D35" s="88"/>
      <c r="E35" s="89" t="s">
        <v>138</v>
      </c>
      <c r="F35" s="115">
        <v>4</v>
      </c>
      <c r="G35" s="96">
        <v>20.13</v>
      </c>
      <c r="H35" s="91">
        <f t="shared" si="0"/>
        <v>27.78</v>
      </c>
      <c r="I35" s="92">
        <f t="shared" si="1"/>
        <v>111.12</v>
      </c>
      <c r="J35" s="107"/>
      <c r="K35" s="90">
        <f t="shared" si="2"/>
        <v>4</v>
      </c>
      <c r="L35" s="91">
        <f t="shared" si="3"/>
        <v>19.45</v>
      </c>
      <c r="M35" s="91">
        <f t="shared" si="4"/>
        <v>77.8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8.33</v>
      </c>
      <c r="T35" s="96">
        <f t="shared" si="7"/>
        <v>33.32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960</v>
      </c>
      <c r="C36" s="101" t="s">
        <v>156</v>
      </c>
      <c r="D36" s="88"/>
      <c r="E36" s="102" t="s">
        <v>138</v>
      </c>
      <c r="F36" s="103">
        <v>1</v>
      </c>
      <c r="G36" s="104">
        <v>124.45</v>
      </c>
      <c r="H36" s="105">
        <f t="shared" si="0"/>
        <v>171.74</v>
      </c>
      <c r="I36" s="106">
        <f t="shared" si="1"/>
        <v>171.74</v>
      </c>
      <c r="J36" s="107"/>
      <c r="K36" s="108">
        <f t="shared" si="2"/>
        <v>1</v>
      </c>
      <c r="L36" s="105">
        <f t="shared" si="3"/>
        <v>120.22</v>
      </c>
      <c r="M36" s="105">
        <f t="shared" si="4"/>
        <v>120.22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51.52</v>
      </c>
      <c r="T36" s="111">
        <f t="shared" si="7"/>
        <v>51.52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/>
      <c r="D37" s="88"/>
      <c r="E37" s="89"/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/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26</v>
      </c>
      <c r="G50" s="123">
        <f t="shared" si="10"/>
        <v>35766.32</v>
      </c>
      <c r="H50" s="124">
        <f t="shared" si="10"/>
        <v>49357.52</v>
      </c>
      <c r="I50" s="125">
        <f t="shared" si="10"/>
        <v>53603.839999999997</v>
      </c>
      <c r="J50" s="126"/>
      <c r="K50" s="127">
        <f t="shared" ref="K50:M50" si="11">SUM(K19:K49)</f>
        <v>26</v>
      </c>
      <c r="L50" s="124">
        <f t="shared" si="11"/>
        <v>33467.56</v>
      </c>
      <c r="M50" s="125">
        <f t="shared" si="11"/>
        <v>36439.990000000005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15889.960000000001</v>
      </c>
      <c r="T50" s="125">
        <f t="shared" si="12"/>
        <v>17163.849999999999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63" priority="1" stopIfTrue="1">
      <formula>$U$9&gt;100%</formula>
    </cfRule>
    <cfRule type="expression" dxfId="62" priority="2">
      <formula>$U$9&lt;50%</formula>
    </cfRule>
  </conditionalFormatting>
  <conditionalFormatting sqref="V9:V11">
    <cfRule type="expression" dxfId="61" priority="3">
      <formula>$V$9&lt;50%</formula>
    </cfRule>
    <cfRule type="expression" dxfId="60" priority="4">
      <formula>$V$9&gt;50%</formula>
    </cfRule>
  </conditionalFormatting>
  <dataValidations count="4">
    <dataValidation type="list" allowBlank="1" showErrorMessage="1" sqref="E19:E49" xr:uid="{00000000-0002-0000-3900-000000000000}">
      <formula1>$Z$19:$Z$30</formula1>
    </dataValidation>
    <dataValidation type="list" allowBlank="1" showErrorMessage="1" sqref="I14" xr:uid="{00000000-0002-0000-3900-000001000000}">
      <formula1>$Y$14:$Y$15</formula1>
    </dataValidation>
    <dataValidation type="list" allowBlank="1" showErrorMessage="1" sqref="J14" xr:uid="{00000000-0002-0000-3900-000002000000}">
      <formula1>$L$9</formula1>
    </dataValidation>
    <dataValidation type="list" allowBlank="1" showErrorMessage="1" sqref="Q15 G18 L18 Q18" xr:uid="{00000000-0002-0000-39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961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50651.13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33222.639999999999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17428.489999999998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962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0.34408886830362911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963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17428.490000000005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33222.639999999999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1165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33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802</v>
      </c>
      <c r="C19" s="87" t="s">
        <v>169</v>
      </c>
      <c r="D19" s="88"/>
      <c r="E19" s="89">
        <v>500</v>
      </c>
      <c r="F19" s="90">
        <v>1</v>
      </c>
      <c r="G19" s="91">
        <v>18.72</v>
      </c>
      <c r="H19" s="91">
        <f t="shared" ref="H19:H49" si="0">ROUND(IF($G$18="USD $", G19*$F$16,G19*$E$16),2)</f>
        <v>25.83</v>
      </c>
      <c r="I19" s="92">
        <f t="shared" ref="I19:I49" si="1">ROUND(IF($I$18=$H$18,F19*H19,F19*G19),2)</f>
        <v>25.83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12.92</v>
      </c>
      <c r="M19" s="91">
        <f t="shared" ref="M19:M49" si="4">ROUND((K19*L19),2)</f>
        <v>12.92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12.91</v>
      </c>
      <c r="T19" s="96">
        <f t="shared" ref="T19:T49" si="7">ROUND(I19-M19,2)</f>
        <v>12.91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803</v>
      </c>
      <c r="C20" s="101" t="s">
        <v>118</v>
      </c>
      <c r="D20" s="88"/>
      <c r="E20" s="102">
        <v>1000</v>
      </c>
      <c r="F20" s="103">
        <v>1</v>
      </c>
      <c r="G20" s="104">
        <v>64.67</v>
      </c>
      <c r="H20" s="105">
        <f t="shared" si="0"/>
        <v>89.24</v>
      </c>
      <c r="I20" s="106">
        <f t="shared" si="1"/>
        <v>89.24</v>
      </c>
      <c r="J20" s="107"/>
      <c r="K20" s="108">
        <f t="shared" si="2"/>
        <v>1</v>
      </c>
      <c r="L20" s="105">
        <f t="shared" si="3"/>
        <v>44.62</v>
      </c>
      <c r="M20" s="105">
        <f t="shared" si="4"/>
        <v>44.62</v>
      </c>
      <c r="N20" s="109"/>
      <c r="O20" s="95"/>
      <c r="P20" s="100"/>
      <c r="Q20" s="104"/>
      <c r="R20" s="110">
        <f t="shared" si="5"/>
        <v>0</v>
      </c>
      <c r="S20" s="111">
        <f t="shared" si="6"/>
        <v>44.62</v>
      </c>
      <c r="T20" s="111">
        <f t="shared" si="7"/>
        <v>44.62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964</v>
      </c>
      <c r="C21" s="114" t="s">
        <v>743</v>
      </c>
      <c r="D21" s="88"/>
      <c r="E21" s="89">
        <v>1000</v>
      </c>
      <c r="F21" s="115">
        <v>1</v>
      </c>
      <c r="G21" s="96">
        <v>157.41999999999999</v>
      </c>
      <c r="H21" s="91">
        <f t="shared" si="0"/>
        <v>217.24</v>
      </c>
      <c r="I21" s="92">
        <f t="shared" si="1"/>
        <v>217.24</v>
      </c>
      <c r="J21" s="107"/>
      <c r="K21" s="90">
        <f t="shared" si="2"/>
        <v>1</v>
      </c>
      <c r="L21" s="91">
        <f t="shared" si="3"/>
        <v>108.62</v>
      </c>
      <c r="M21" s="91">
        <f t="shared" si="4"/>
        <v>108.62</v>
      </c>
      <c r="N21" s="116"/>
      <c r="O21" s="95"/>
      <c r="P21" s="117"/>
      <c r="Q21" s="96"/>
      <c r="R21" s="96">
        <f t="shared" si="5"/>
        <v>0</v>
      </c>
      <c r="S21" s="96">
        <f t="shared" si="6"/>
        <v>108.62</v>
      </c>
      <c r="T21" s="96">
        <f t="shared" si="7"/>
        <v>108.62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965</v>
      </c>
      <c r="C22" s="101" t="s">
        <v>174</v>
      </c>
      <c r="D22" s="88"/>
      <c r="E22" s="102">
        <v>1000</v>
      </c>
      <c r="F22" s="103">
        <v>1</v>
      </c>
      <c r="G22" s="104">
        <v>98.55</v>
      </c>
      <c r="H22" s="105">
        <f t="shared" si="0"/>
        <v>136</v>
      </c>
      <c r="I22" s="106">
        <f t="shared" si="1"/>
        <v>136</v>
      </c>
      <c r="J22" s="107"/>
      <c r="K22" s="108">
        <f t="shared" si="2"/>
        <v>1</v>
      </c>
      <c r="L22" s="105">
        <f t="shared" si="3"/>
        <v>68</v>
      </c>
      <c r="M22" s="105">
        <f t="shared" si="4"/>
        <v>68</v>
      </c>
      <c r="N22" s="109"/>
      <c r="O22" s="95"/>
      <c r="P22" s="100"/>
      <c r="Q22" s="104"/>
      <c r="R22" s="110">
        <f t="shared" si="5"/>
        <v>0</v>
      </c>
      <c r="S22" s="111">
        <f t="shared" si="6"/>
        <v>68</v>
      </c>
      <c r="T22" s="111">
        <f t="shared" si="7"/>
        <v>68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>
        <v>4463783</v>
      </c>
      <c r="C23" s="114" t="s">
        <v>174</v>
      </c>
      <c r="D23" s="88"/>
      <c r="E23" s="89">
        <v>1000</v>
      </c>
      <c r="F23" s="115">
        <v>1</v>
      </c>
      <c r="G23" s="96">
        <v>22.27</v>
      </c>
      <c r="H23" s="91">
        <f t="shared" si="0"/>
        <v>30.73</v>
      </c>
      <c r="I23" s="92">
        <f t="shared" si="1"/>
        <v>30.73</v>
      </c>
      <c r="J23" s="107"/>
      <c r="K23" s="90">
        <f t="shared" si="2"/>
        <v>1</v>
      </c>
      <c r="L23" s="91">
        <f t="shared" si="3"/>
        <v>15.37</v>
      </c>
      <c r="M23" s="91">
        <f t="shared" si="4"/>
        <v>15.37</v>
      </c>
      <c r="N23" s="116"/>
      <c r="O23" s="95"/>
      <c r="P23" s="117"/>
      <c r="Q23" s="96"/>
      <c r="R23" s="96">
        <f t="shared" si="5"/>
        <v>0</v>
      </c>
      <c r="S23" s="96">
        <f t="shared" si="6"/>
        <v>15.36</v>
      </c>
      <c r="T23" s="96">
        <f t="shared" si="7"/>
        <v>15.36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966</v>
      </c>
      <c r="C24" s="101" t="s">
        <v>128</v>
      </c>
      <c r="D24" s="88"/>
      <c r="E24" s="102">
        <v>1000</v>
      </c>
      <c r="F24" s="103">
        <v>1</v>
      </c>
      <c r="G24" s="104">
        <v>108.99</v>
      </c>
      <c r="H24" s="105">
        <f t="shared" si="0"/>
        <v>150.41</v>
      </c>
      <c r="I24" s="106">
        <f t="shared" si="1"/>
        <v>150.41</v>
      </c>
      <c r="J24" s="107"/>
      <c r="K24" s="108">
        <f t="shared" si="2"/>
        <v>1</v>
      </c>
      <c r="L24" s="105">
        <f t="shared" si="3"/>
        <v>90.25</v>
      </c>
      <c r="M24" s="105">
        <f t="shared" si="4"/>
        <v>90.25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60.16</v>
      </c>
      <c r="T24" s="111">
        <f t="shared" si="7"/>
        <v>60.16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967</v>
      </c>
      <c r="C25" s="114" t="s">
        <v>131</v>
      </c>
      <c r="D25" s="88"/>
      <c r="E25" s="89">
        <v>1000</v>
      </c>
      <c r="F25" s="115">
        <v>1</v>
      </c>
      <c r="G25" s="96">
        <v>80.489999999999995</v>
      </c>
      <c r="H25" s="91">
        <f t="shared" si="0"/>
        <v>111.08</v>
      </c>
      <c r="I25" s="92">
        <f t="shared" si="1"/>
        <v>111.08</v>
      </c>
      <c r="J25" s="107"/>
      <c r="K25" s="90">
        <f t="shared" si="2"/>
        <v>1</v>
      </c>
      <c r="L25" s="91">
        <f t="shared" si="3"/>
        <v>66.650000000000006</v>
      </c>
      <c r="M25" s="91">
        <f t="shared" si="4"/>
        <v>66.650000000000006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44.43</v>
      </c>
      <c r="T25" s="96">
        <f t="shared" si="7"/>
        <v>44.43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968</v>
      </c>
      <c r="C26" s="101" t="s">
        <v>134</v>
      </c>
      <c r="D26" s="88"/>
      <c r="E26" s="102">
        <v>1000</v>
      </c>
      <c r="F26" s="103">
        <v>1</v>
      </c>
      <c r="G26" s="104">
        <v>86.12</v>
      </c>
      <c r="H26" s="105">
        <f t="shared" si="0"/>
        <v>118.85</v>
      </c>
      <c r="I26" s="106">
        <f t="shared" si="1"/>
        <v>118.85</v>
      </c>
      <c r="J26" s="107"/>
      <c r="K26" s="108">
        <f t="shared" si="2"/>
        <v>1</v>
      </c>
      <c r="L26" s="105">
        <f t="shared" si="3"/>
        <v>71.31</v>
      </c>
      <c r="M26" s="105">
        <f t="shared" si="4"/>
        <v>71.31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47.54</v>
      </c>
      <c r="T26" s="111">
        <f t="shared" si="7"/>
        <v>47.54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>
        <v>4684045</v>
      </c>
      <c r="C27" s="114" t="s">
        <v>134</v>
      </c>
      <c r="D27" s="88"/>
      <c r="E27" s="89">
        <v>1000</v>
      </c>
      <c r="F27" s="115">
        <v>1</v>
      </c>
      <c r="G27" s="96">
        <v>51.25</v>
      </c>
      <c r="H27" s="91">
        <f t="shared" si="0"/>
        <v>70.73</v>
      </c>
      <c r="I27" s="92">
        <f t="shared" si="1"/>
        <v>70.73</v>
      </c>
      <c r="J27" s="107"/>
      <c r="K27" s="90">
        <f t="shared" si="2"/>
        <v>1</v>
      </c>
      <c r="L27" s="91">
        <f t="shared" si="3"/>
        <v>42.44</v>
      </c>
      <c r="M27" s="91">
        <f t="shared" si="4"/>
        <v>42.44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28.29</v>
      </c>
      <c r="T27" s="96">
        <f t="shared" si="7"/>
        <v>28.29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969</v>
      </c>
      <c r="C28" s="101" t="s">
        <v>954</v>
      </c>
      <c r="D28" s="88"/>
      <c r="E28" s="102" t="s">
        <v>138</v>
      </c>
      <c r="F28" s="103">
        <v>1</v>
      </c>
      <c r="G28" s="104">
        <v>3764</v>
      </c>
      <c r="H28" s="105">
        <f t="shared" si="0"/>
        <v>5194.32</v>
      </c>
      <c r="I28" s="106">
        <f t="shared" si="1"/>
        <v>5194.32</v>
      </c>
      <c r="J28" s="107"/>
      <c r="K28" s="108">
        <f t="shared" si="2"/>
        <v>1</v>
      </c>
      <c r="L28" s="105">
        <f t="shared" si="3"/>
        <v>3116.59</v>
      </c>
      <c r="M28" s="105">
        <f t="shared" si="4"/>
        <v>3116.59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2077.73</v>
      </c>
      <c r="T28" s="111">
        <f t="shared" si="7"/>
        <v>2077.73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970</v>
      </c>
      <c r="C29" s="114" t="s">
        <v>522</v>
      </c>
      <c r="D29" s="88"/>
      <c r="E29" s="89" t="s">
        <v>138</v>
      </c>
      <c r="F29" s="115">
        <v>1</v>
      </c>
      <c r="G29" s="96">
        <v>2189.34</v>
      </c>
      <c r="H29" s="91">
        <f t="shared" si="0"/>
        <v>3021.29</v>
      </c>
      <c r="I29" s="92">
        <f t="shared" si="1"/>
        <v>3021.29</v>
      </c>
      <c r="J29" s="107"/>
      <c r="K29" s="90">
        <f t="shared" si="2"/>
        <v>1</v>
      </c>
      <c r="L29" s="91">
        <f t="shared" si="3"/>
        <v>1510.65</v>
      </c>
      <c r="M29" s="91">
        <f t="shared" si="4"/>
        <v>1510.65</v>
      </c>
      <c r="N29" s="116"/>
      <c r="O29" s="95"/>
      <c r="P29" s="117"/>
      <c r="Q29" s="96"/>
      <c r="R29" s="96">
        <f t="shared" si="5"/>
        <v>0</v>
      </c>
      <c r="S29" s="96">
        <f t="shared" si="6"/>
        <v>1510.64</v>
      </c>
      <c r="T29" s="96">
        <f t="shared" si="7"/>
        <v>1510.64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971</v>
      </c>
      <c r="C30" s="101" t="s">
        <v>649</v>
      </c>
      <c r="D30" s="88"/>
      <c r="E30" s="102" t="s">
        <v>138</v>
      </c>
      <c r="F30" s="103">
        <v>1</v>
      </c>
      <c r="G30" s="104">
        <v>867.04</v>
      </c>
      <c r="H30" s="105">
        <f t="shared" si="0"/>
        <v>1196.52</v>
      </c>
      <c r="I30" s="106">
        <f t="shared" si="1"/>
        <v>1196.52</v>
      </c>
      <c r="J30" s="107"/>
      <c r="K30" s="108">
        <f t="shared" si="2"/>
        <v>1</v>
      </c>
      <c r="L30" s="105">
        <f t="shared" si="3"/>
        <v>598.26</v>
      </c>
      <c r="M30" s="105">
        <f t="shared" si="4"/>
        <v>598.26</v>
      </c>
      <c r="N30" s="109"/>
      <c r="O30" s="95"/>
      <c r="P30" s="100"/>
      <c r="Q30" s="104"/>
      <c r="R30" s="110">
        <f t="shared" si="5"/>
        <v>0</v>
      </c>
      <c r="S30" s="111">
        <f t="shared" si="6"/>
        <v>598.26</v>
      </c>
      <c r="T30" s="111">
        <f t="shared" si="7"/>
        <v>598.26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756</v>
      </c>
      <c r="C31" s="114" t="s">
        <v>757</v>
      </c>
      <c r="D31" s="88"/>
      <c r="E31" s="89" t="s">
        <v>138</v>
      </c>
      <c r="F31" s="115">
        <v>2</v>
      </c>
      <c r="G31" s="96">
        <v>197.41</v>
      </c>
      <c r="H31" s="91">
        <f t="shared" si="0"/>
        <v>272.43</v>
      </c>
      <c r="I31" s="92">
        <f t="shared" si="1"/>
        <v>544.86</v>
      </c>
      <c r="J31" s="107"/>
      <c r="K31" s="90">
        <f t="shared" si="2"/>
        <v>2</v>
      </c>
      <c r="L31" s="91">
        <f t="shared" si="3"/>
        <v>136.22</v>
      </c>
      <c r="M31" s="91">
        <f t="shared" si="4"/>
        <v>272.44</v>
      </c>
      <c r="N31" s="116"/>
      <c r="O31" s="95"/>
      <c r="P31" s="117"/>
      <c r="Q31" s="96"/>
      <c r="R31" s="96">
        <f t="shared" si="5"/>
        <v>0</v>
      </c>
      <c r="S31" s="96">
        <f t="shared" si="6"/>
        <v>136.21</v>
      </c>
      <c r="T31" s="96">
        <f t="shared" si="7"/>
        <v>272.42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823</v>
      </c>
      <c r="C32" s="101" t="s">
        <v>144</v>
      </c>
      <c r="D32" s="88"/>
      <c r="E32" s="102" t="s">
        <v>138</v>
      </c>
      <c r="F32" s="103">
        <v>1</v>
      </c>
      <c r="G32" s="104">
        <v>2233.09</v>
      </c>
      <c r="H32" s="105">
        <f t="shared" si="0"/>
        <v>3081.66</v>
      </c>
      <c r="I32" s="106">
        <f t="shared" si="1"/>
        <v>3081.66</v>
      </c>
      <c r="J32" s="107"/>
      <c r="K32" s="108">
        <f t="shared" si="2"/>
        <v>1</v>
      </c>
      <c r="L32" s="105">
        <f t="shared" si="3"/>
        <v>1540.83</v>
      </c>
      <c r="M32" s="105">
        <f t="shared" si="4"/>
        <v>1540.83</v>
      </c>
      <c r="N32" s="109"/>
      <c r="O32" s="95"/>
      <c r="P32" s="100"/>
      <c r="Q32" s="104"/>
      <c r="R32" s="110">
        <f t="shared" si="5"/>
        <v>0</v>
      </c>
      <c r="S32" s="111">
        <f t="shared" si="6"/>
        <v>1540.83</v>
      </c>
      <c r="T32" s="111">
        <f t="shared" si="7"/>
        <v>1540.83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825</v>
      </c>
      <c r="C33" s="114" t="s">
        <v>758</v>
      </c>
      <c r="D33" s="88"/>
      <c r="E33" s="89" t="s">
        <v>138</v>
      </c>
      <c r="F33" s="115">
        <v>4</v>
      </c>
      <c r="G33" s="96">
        <v>769.6</v>
      </c>
      <c r="H33" s="91">
        <f t="shared" si="0"/>
        <v>1062.05</v>
      </c>
      <c r="I33" s="92">
        <f t="shared" si="1"/>
        <v>4248.2</v>
      </c>
      <c r="J33" s="107"/>
      <c r="K33" s="90">
        <f t="shared" si="2"/>
        <v>4</v>
      </c>
      <c r="L33" s="91">
        <f t="shared" si="3"/>
        <v>743.44</v>
      </c>
      <c r="M33" s="91">
        <f t="shared" si="4"/>
        <v>2973.76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318.61</v>
      </c>
      <c r="T33" s="96">
        <f t="shared" si="7"/>
        <v>1274.44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972</v>
      </c>
      <c r="C34" s="101" t="s">
        <v>784</v>
      </c>
      <c r="D34" s="88"/>
      <c r="E34" s="102">
        <v>4000</v>
      </c>
      <c r="F34" s="103">
        <v>1</v>
      </c>
      <c r="G34" s="104">
        <v>22148.32</v>
      </c>
      <c r="H34" s="105">
        <f t="shared" si="0"/>
        <v>30564.68</v>
      </c>
      <c r="I34" s="106">
        <f t="shared" si="1"/>
        <v>30564.68</v>
      </c>
      <c r="J34" s="107"/>
      <c r="K34" s="108">
        <f t="shared" si="2"/>
        <v>1</v>
      </c>
      <c r="L34" s="105">
        <f t="shared" si="3"/>
        <v>21395.279999999999</v>
      </c>
      <c r="M34" s="105">
        <f t="shared" si="4"/>
        <v>21395.279999999999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9169.4</v>
      </c>
      <c r="T34" s="111">
        <f t="shared" si="7"/>
        <v>9169.4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/>
      <c r="C35" s="114"/>
      <c r="D35" s="88"/>
      <c r="E35" s="89"/>
      <c r="F35" s="115"/>
      <c r="G35" s="96"/>
      <c r="H35" s="91">
        <f t="shared" si="0"/>
        <v>0</v>
      </c>
      <c r="I35" s="92">
        <f t="shared" si="1"/>
        <v>0</v>
      </c>
      <c r="J35" s="107"/>
      <c r="K35" s="90">
        <f t="shared" si="2"/>
        <v>0</v>
      </c>
      <c r="L35" s="91">
        <f t="shared" si="3"/>
        <v>0</v>
      </c>
      <c r="M35" s="91">
        <f t="shared" si="4"/>
        <v>0</v>
      </c>
      <c r="N35" s="116"/>
      <c r="O35" s="95"/>
      <c r="P35" s="117"/>
      <c r="Q35" s="96"/>
      <c r="R35" s="96">
        <f t="shared" si="5"/>
        <v>0</v>
      </c>
      <c r="S35" s="96">
        <f t="shared" si="6"/>
        <v>0</v>
      </c>
      <c r="T35" s="96">
        <f t="shared" si="7"/>
        <v>0</v>
      </c>
      <c r="U35" s="97">
        <f t="shared" si="8"/>
        <v>0</v>
      </c>
      <c r="V35" s="97">
        <f t="shared" si="9"/>
        <v>0</v>
      </c>
      <c r="W35" s="98"/>
    </row>
    <row r="36" spans="2:23" ht="15.75" customHeight="1">
      <c r="B36" s="100"/>
      <c r="C36" s="101" t="s">
        <v>590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973</v>
      </c>
      <c r="C37" s="114" t="s">
        <v>267</v>
      </c>
      <c r="D37" s="88"/>
      <c r="E37" s="89" t="s">
        <v>138</v>
      </c>
      <c r="F37" s="115">
        <v>5</v>
      </c>
      <c r="G37" s="96">
        <v>47.43</v>
      </c>
      <c r="H37" s="91">
        <f t="shared" si="0"/>
        <v>65.45</v>
      </c>
      <c r="I37" s="92">
        <f t="shared" si="1"/>
        <v>327.25</v>
      </c>
      <c r="J37" s="107"/>
      <c r="K37" s="90">
        <f t="shared" si="2"/>
        <v>5</v>
      </c>
      <c r="L37" s="91">
        <f t="shared" si="3"/>
        <v>45.82</v>
      </c>
      <c r="M37" s="91">
        <f t="shared" si="4"/>
        <v>229.1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19.63</v>
      </c>
      <c r="T37" s="96">
        <f t="shared" si="7"/>
        <v>98.15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974</v>
      </c>
      <c r="C38" s="101" t="s">
        <v>233</v>
      </c>
      <c r="D38" s="88"/>
      <c r="E38" s="102" t="s">
        <v>138</v>
      </c>
      <c r="F38" s="103">
        <v>5</v>
      </c>
      <c r="G38" s="104">
        <v>29.9</v>
      </c>
      <c r="H38" s="105">
        <f t="shared" si="0"/>
        <v>41.26</v>
      </c>
      <c r="I38" s="106">
        <f t="shared" si="1"/>
        <v>206.3</v>
      </c>
      <c r="J38" s="107"/>
      <c r="K38" s="108">
        <f t="shared" si="2"/>
        <v>5</v>
      </c>
      <c r="L38" s="105">
        <f t="shared" si="3"/>
        <v>28.88</v>
      </c>
      <c r="M38" s="105">
        <f t="shared" si="4"/>
        <v>144.4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12.38</v>
      </c>
      <c r="T38" s="111">
        <f t="shared" si="7"/>
        <v>61.9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975</v>
      </c>
      <c r="C39" s="114" t="s">
        <v>156</v>
      </c>
      <c r="D39" s="88"/>
      <c r="E39" s="89" t="s">
        <v>138</v>
      </c>
      <c r="F39" s="115">
        <v>1</v>
      </c>
      <c r="G39" s="96">
        <v>106.2</v>
      </c>
      <c r="H39" s="91">
        <f t="shared" si="0"/>
        <v>146.56</v>
      </c>
      <c r="I39" s="92">
        <f t="shared" si="1"/>
        <v>146.56</v>
      </c>
      <c r="J39" s="107"/>
      <c r="K39" s="90">
        <f t="shared" si="2"/>
        <v>1</v>
      </c>
      <c r="L39" s="91">
        <f t="shared" si="3"/>
        <v>102.59</v>
      </c>
      <c r="M39" s="91">
        <f t="shared" si="4"/>
        <v>102.59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43.97</v>
      </c>
      <c r="T39" s="96">
        <f t="shared" si="7"/>
        <v>43.97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976</v>
      </c>
      <c r="C40" s="101" t="s">
        <v>571</v>
      </c>
      <c r="D40" s="88"/>
      <c r="E40" s="102" t="s">
        <v>138</v>
      </c>
      <c r="F40" s="103">
        <v>2</v>
      </c>
      <c r="G40" s="104">
        <v>423.69</v>
      </c>
      <c r="H40" s="105">
        <f t="shared" si="0"/>
        <v>584.69000000000005</v>
      </c>
      <c r="I40" s="106">
        <f t="shared" si="1"/>
        <v>1169.3800000000001</v>
      </c>
      <c r="J40" s="107"/>
      <c r="K40" s="108">
        <f t="shared" si="2"/>
        <v>2</v>
      </c>
      <c r="L40" s="105">
        <f t="shared" si="3"/>
        <v>409.28</v>
      </c>
      <c r="M40" s="105">
        <f t="shared" si="4"/>
        <v>818.56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175.41</v>
      </c>
      <c r="T40" s="111">
        <f t="shared" si="7"/>
        <v>350.82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33</v>
      </c>
      <c r="G50" s="123">
        <f t="shared" si="10"/>
        <v>33464.5</v>
      </c>
      <c r="H50" s="124">
        <f t="shared" si="10"/>
        <v>46181.02</v>
      </c>
      <c r="I50" s="125">
        <f t="shared" si="10"/>
        <v>50651.13</v>
      </c>
      <c r="J50" s="126"/>
      <c r="K50" s="127">
        <f t="shared" ref="K50:M50" si="11">SUM(K19:K49)</f>
        <v>33</v>
      </c>
      <c r="L50" s="124">
        <f t="shared" si="11"/>
        <v>30148.019999999997</v>
      </c>
      <c r="M50" s="125">
        <f t="shared" si="11"/>
        <v>33222.639999999999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16032.999999999998</v>
      </c>
      <c r="T50" s="125">
        <f t="shared" si="12"/>
        <v>17428.490000000005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E19:E49" xr:uid="{00000000-0002-0000-3A00-000000000000}">
      <formula1>$Z$19:$Z$30</formula1>
    </dataValidation>
    <dataValidation type="list" allowBlank="1" showErrorMessage="1" sqref="I14" xr:uid="{00000000-0002-0000-3A00-000001000000}">
      <formula1>$Y$14:$Y$15</formula1>
    </dataValidation>
    <dataValidation type="list" allowBlank="1" showErrorMessage="1" sqref="J14" xr:uid="{00000000-0002-0000-3A00-000002000000}">
      <formula1>$L$9</formula1>
    </dataValidation>
    <dataValidation type="list" allowBlank="1" showErrorMessage="1" sqref="Q15 G18 L18 Q18" xr:uid="{00000000-0002-0000-3A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977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60570.080000000002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2012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31944.300000000003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28625.78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978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0.47260594669843592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979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28625.78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31944.300000000003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49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981</v>
      </c>
      <c r="C20" s="101" t="s">
        <v>118</v>
      </c>
      <c r="D20" s="88"/>
      <c r="E20" s="102">
        <v>500</v>
      </c>
      <c r="F20" s="103">
        <v>1</v>
      </c>
      <c r="G20" s="104">
        <v>44.56</v>
      </c>
      <c r="H20" s="105">
        <f t="shared" si="0"/>
        <v>61.49</v>
      </c>
      <c r="I20" s="106">
        <f t="shared" si="1"/>
        <v>61.49</v>
      </c>
      <c r="J20" s="107"/>
      <c r="K20" s="108">
        <f t="shared" si="2"/>
        <v>1</v>
      </c>
      <c r="L20" s="105">
        <f t="shared" si="3"/>
        <v>30.75</v>
      </c>
      <c r="M20" s="105">
        <f t="shared" si="4"/>
        <v>30.75</v>
      </c>
      <c r="N20" s="109"/>
      <c r="O20" s="95"/>
      <c r="P20" s="100"/>
      <c r="Q20" s="104"/>
      <c r="R20" s="110">
        <f t="shared" si="5"/>
        <v>0</v>
      </c>
      <c r="S20" s="111">
        <f t="shared" si="6"/>
        <v>30.74</v>
      </c>
      <c r="T20" s="111">
        <f t="shared" si="7"/>
        <v>30.74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982</v>
      </c>
      <c r="C21" s="114" t="s">
        <v>743</v>
      </c>
      <c r="D21" s="88"/>
      <c r="E21" s="89">
        <v>500</v>
      </c>
      <c r="F21" s="115">
        <v>1</v>
      </c>
      <c r="G21" s="96">
        <v>38.51</v>
      </c>
      <c r="H21" s="91">
        <f t="shared" si="0"/>
        <v>53.14</v>
      </c>
      <c r="I21" s="92">
        <f t="shared" si="1"/>
        <v>53.14</v>
      </c>
      <c r="J21" s="107"/>
      <c r="K21" s="90">
        <f t="shared" si="2"/>
        <v>1</v>
      </c>
      <c r="L21" s="91">
        <f t="shared" si="3"/>
        <v>26.57</v>
      </c>
      <c r="M21" s="91">
        <f t="shared" si="4"/>
        <v>26.57</v>
      </c>
      <c r="N21" s="116"/>
      <c r="O21" s="95"/>
      <c r="P21" s="117"/>
      <c r="Q21" s="96"/>
      <c r="R21" s="96">
        <f t="shared" si="5"/>
        <v>0</v>
      </c>
      <c r="S21" s="96">
        <f t="shared" si="6"/>
        <v>26.57</v>
      </c>
      <c r="T21" s="96">
        <f t="shared" si="7"/>
        <v>26.57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983</v>
      </c>
      <c r="C22" s="101" t="s">
        <v>984</v>
      </c>
      <c r="D22" s="88"/>
      <c r="E22" s="102">
        <v>500</v>
      </c>
      <c r="F22" s="103">
        <v>1</v>
      </c>
      <c r="G22" s="104">
        <v>13.09</v>
      </c>
      <c r="H22" s="105">
        <f t="shared" si="0"/>
        <v>18.059999999999999</v>
      </c>
      <c r="I22" s="106">
        <f t="shared" si="1"/>
        <v>18.059999999999999</v>
      </c>
      <c r="J22" s="107"/>
      <c r="K22" s="108">
        <f t="shared" si="2"/>
        <v>1</v>
      </c>
      <c r="L22" s="105">
        <f t="shared" si="3"/>
        <v>9.0299999999999994</v>
      </c>
      <c r="M22" s="105">
        <f t="shared" si="4"/>
        <v>9.0299999999999994</v>
      </c>
      <c r="N22" s="109"/>
      <c r="O22" s="95"/>
      <c r="P22" s="100"/>
      <c r="Q22" s="104"/>
      <c r="R22" s="110">
        <f t="shared" si="5"/>
        <v>0</v>
      </c>
      <c r="S22" s="111">
        <f t="shared" si="6"/>
        <v>9.0299999999999994</v>
      </c>
      <c r="T22" s="111">
        <f t="shared" si="7"/>
        <v>9.0299999999999994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985</v>
      </c>
      <c r="C23" s="114" t="s">
        <v>986</v>
      </c>
      <c r="D23" s="88"/>
      <c r="E23" s="89">
        <v>500</v>
      </c>
      <c r="F23" s="115">
        <v>1</v>
      </c>
      <c r="G23" s="96">
        <v>120.38</v>
      </c>
      <c r="H23" s="91">
        <f t="shared" si="0"/>
        <v>166.12</v>
      </c>
      <c r="I23" s="92">
        <f t="shared" si="1"/>
        <v>166.12</v>
      </c>
      <c r="J23" s="107"/>
      <c r="K23" s="90">
        <f t="shared" si="2"/>
        <v>1</v>
      </c>
      <c r="L23" s="91">
        <f t="shared" si="3"/>
        <v>83.06</v>
      </c>
      <c r="M23" s="91">
        <f t="shared" si="4"/>
        <v>83.06</v>
      </c>
      <c r="N23" s="116"/>
      <c r="O23" s="95"/>
      <c r="P23" s="117"/>
      <c r="Q23" s="96"/>
      <c r="R23" s="96">
        <f t="shared" si="5"/>
        <v>0</v>
      </c>
      <c r="S23" s="96">
        <f t="shared" si="6"/>
        <v>83.06</v>
      </c>
      <c r="T23" s="96">
        <f t="shared" si="7"/>
        <v>83.06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987</v>
      </c>
      <c r="C24" s="101" t="s">
        <v>415</v>
      </c>
      <c r="D24" s="88"/>
      <c r="E24" s="102">
        <v>1000</v>
      </c>
      <c r="F24" s="103">
        <v>1</v>
      </c>
      <c r="G24" s="104">
        <v>43.63</v>
      </c>
      <c r="H24" s="105">
        <f t="shared" si="0"/>
        <v>60.21</v>
      </c>
      <c r="I24" s="106">
        <f t="shared" si="1"/>
        <v>60.21</v>
      </c>
      <c r="J24" s="107"/>
      <c r="K24" s="108">
        <f t="shared" si="2"/>
        <v>1</v>
      </c>
      <c r="L24" s="105">
        <f t="shared" si="3"/>
        <v>30.11</v>
      </c>
      <c r="M24" s="105">
        <f t="shared" si="4"/>
        <v>30.11</v>
      </c>
      <c r="N24" s="109"/>
      <c r="O24" s="95"/>
      <c r="P24" s="100"/>
      <c r="Q24" s="104"/>
      <c r="R24" s="110">
        <f t="shared" si="5"/>
        <v>0</v>
      </c>
      <c r="S24" s="111">
        <f t="shared" si="6"/>
        <v>30.1</v>
      </c>
      <c r="T24" s="111">
        <f t="shared" si="7"/>
        <v>30.1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988</v>
      </c>
      <c r="C25" s="114" t="s">
        <v>174</v>
      </c>
      <c r="D25" s="88"/>
      <c r="E25" s="89">
        <v>1000</v>
      </c>
      <c r="F25" s="115">
        <v>1</v>
      </c>
      <c r="G25" s="96">
        <v>159.29</v>
      </c>
      <c r="H25" s="91">
        <f t="shared" si="0"/>
        <v>219.82</v>
      </c>
      <c r="I25" s="92">
        <f t="shared" si="1"/>
        <v>219.82</v>
      </c>
      <c r="J25" s="107"/>
      <c r="K25" s="90">
        <f t="shared" si="2"/>
        <v>1</v>
      </c>
      <c r="L25" s="91">
        <f t="shared" si="3"/>
        <v>109.91</v>
      </c>
      <c r="M25" s="91">
        <f t="shared" si="4"/>
        <v>109.91</v>
      </c>
      <c r="N25" s="116"/>
      <c r="O25" s="95"/>
      <c r="P25" s="117"/>
      <c r="Q25" s="96"/>
      <c r="R25" s="96">
        <f t="shared" si="5"/>
        <v>0</v>
      </c>
      <c r="S25" s="96">
        <f t="shared" si="6"/>
        <v>109.91</v>
      </c>
      <c r="T25" s="96">
        <f t="shared" si="7"/>
        <v>109.91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989</v>
      </c>
      <c r="C26" s="101" t="s">
        <v>174</v>
      </c>
      <c r="D26" s="88"/>
      <c r="E26" s="102">
        <v>1000</v>
      </c>
      <c r="F26" s="103">
        <v>1</v>
      </c>
      <c r="G26" s="104">
        <v>15.92</v>
      </c>
      <c r="H26" s="105">
        <f t="shared" si="0"/>
        <v>21.97</v>
      </c>
      <c r="I26" s="106">
        <f t="shared" si="1"/>
        <v>21.97</v>
      </c>
      <c r="J26" s="107"/>
      <c r="K26" s="108">
        <f t="shared" si="2"/>
        <v>1</v>
      </c>
      <c r="L26" s="105">
        <f t="shared" si="3"/>
        <v>10.99</v>
      </c>
      <c r="M26" s="105">
        <f t="shared" si="4"/>
        <v>10.99</v>
      </c>
      <c r="N26" s="109"/>
      <c r="O26" s="95"/>
      <c r="P26" s="100"/>
      <c r="Q26" s="104"/>
      <c r="R26" s="110">
        <f t="shared" si="5"/>
        <v>0</v>
      </c>
      <c r="S26" s="111">
        <f t="shared" si="6"/>
        <v>10.98</v>
      </c>
      <c r="T26" s="111">
        <f t="shared" si="7"/>
        <v>10.98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990</v>
      </c>
      <c r="C27" s="114" t="s">
        <v>128</v>
      </c>
      <c r="D27" s="88"/>
      <c r="E27" s="89">
        <v>1000</v>
      </c>
      <c r="F27" s="115">
        <v>1</v>
      </c>
      <c r="G27" s="96">
        <v>76.040000000000006</v>
      </c>
      <c r="H27" s="91">
        <f t="shared" si="0"/>
        <v>104.94</v>
      </c>
      <c r="I27" s="92">
        <f t="shared" si="1"/>
        <v>104.94</v>
      </c>
      <c r="J27" s="107"/>
      <c r="K27" s="90">
        <f t="shared" si="2"/>
        <v>1</v>
      </c>
      <c r="L27" s="91">
        <f t="shared" si="3"/>
        <v>62.96</v>
      </c>
      <c r="M27" s="91">
        <f t="shared" si="4"/>
        <v>62.96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41.98</v>
      </c>
      <c r="T27" s="96">
        <f t="shared" si="7"/>
        <v>41.98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991</v>
      </c>
      <c r="C28" s="101" t="s">
        <v>131</v>
      </c>
      <c r="D28" s="88"/>
      <c r="E28" s="102">
        <v>1000</v>
      </c>
      <c r="F28" s="103">
        <v>1</v>
      </c>
      <c r="G28" s="104">
        <v>47.67</v>
      </c>
      <c r="H28" s="105">
        <f t="shared" si="0"/>
        <v>65.78</v>
      </c>
      <c r="I28" s="106">
        <f t="shared" si="1"/>
        <v>65.78</v>
      </c>
      <c r="J28" s="107"/>
      <c r="K28" s="108">
        <f t="shared" si="2"/>
        <v>1</v>
      </c>
      <c r="L28" s="105">
        <f t="shared" si="3"/>
        <v>39.47</v>
      </c>
      <c r="M28" s="105">
        <f t="shared" si="4"/>
        <v>39.47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26.31</v>
      </c>
      <c r="T28" s="111">
        <f t="shared" si="7"/>
        <v>26.31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992</v>
      </c>
      <c r="C29" s="114" t="s">
        <v>134</v>
      </c>
      <c r="D29" s="88"/>
      <c r="E29" s="89">
        <v>1000</v>
      </c>
      <c r="F29" s="115">
        <v>1</v>
      </c>
      <c r="G29" s="96">
        <v>15.24</v>
      </c>
      <c r="H29" s="91">
        <f t="shared" si="0"/>
        <v>21.03</v>
      </c>
      <c r="I29" s="92">
        <f t="shared" si="1"/>
        <v>21.03</v>
      </c>
      <c r="J29" s="107"/>
      <c r="K29" s="90">
        <f t="shared" si="2"/>
        <v>1</v>
      </c>
      <c r="L29" s="91">
        <f t="shared" si="3"/>
        <v>12.62</v>
      </c>
      <c r="M29" s="91">
        <f t="shared" si="4"/>
        <v>12.62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8.41</v>
      </c>
      <c r="T29" s="96">
        <f t="shared" si="7"/>
        <v>8.41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849</v>
      </c>
      <c r="C30" s="101" t="s">
        <v>134</v>
      </c>
      <c r="D30" s="88"/>
      <c r="E30" s="102">
        <v>1000</v>
      </c>
      <c r="F30" s="103">
        <v>1</v>
      </c>
      <c r="G30" s="104">
        <v>19.23</v>
      </c>
      <c r="H30" s="105">
        <f t="shared" si="0"/>
        <v>26.54</v>
      </c>
      <c r="I30" s="106">
        <f t="shared" si="1"/>
        <v>26.54</v>
      </c>
      <c r="J30" s="107"/>
      <c r="K30" s="108">
        <f t="shared" si="2"/>
        <v>1</v>
      </c>
      <c r="L30" s="105">
        <f t="shared" si="3"/>
        <v>15.92</v>
      </c>
      <c r="M30" s="105">
        <f t="shared" si="4"/>
        <v>15.92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10.62</v>
      </c>
      <c r="T30" s="111">
        <f t="shared" si="7"/>
        <v>10.62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993</v>
      </c>
      <c r="C31" s="114" t="s">
        <v>877</v>
      </c>
      <c r="D31" s="88"/>
      <c r="E31" s="89" t="s">
        <v>138</v>
      </c>
      <c r="F31" s="115">
        <v>1</v>
      </c>
      <c r="G31" s="96">
        <v>3539.03</v>
      </c>
      <c r="H31" s="91">
        <f t="shared" si="0"/>
        <v>4883.8599999999997</v>
      </c>
      <c r="I31" s="92">
        <f t="shared" si="1"/>
        <v>4883.8599999999997</v>
      </c>
      <c r="J31" s="107"/>
      <c r="K31" s="90">
        <f t="shared" si="2"/>
        <v>1</v>
      </c>
      <c r="L31" s="91">
        <f t="shared" si="3"/>
        <v>2441.9299999999998</v>
      </c>
      <c r="M31" s="91">
        <f t="shared" si="4"/>
        <v>2441.9299999999998</v>
      </c>
      <c r="N31" s="116"/>
      <c r="O31" s="95"/>
      <c r="P31" s="117"/>
      <c r="Q31" s="96"/>
      <c r="R31" s="96">
        <f t="shared" si="5"/>
        <v>0</v>
      </c>
      <c r="S31" s="96">
        <f t="shared" si="6"/>
        <v>2441.9299999999998</v>
      </c>
      <c r="T31" s="96">
        <f t="shared" si="7"/>
        <v>2441.9299999999998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822</v>
      </c>
      <c r="C32" s="101" t="s">
        <v>994</v>
      </c>
      <c r="D32" s="88"/>
      <c r="E32" s="102" t="s">
        <v>138</v>
      </c>
      <c r="F32" s="103">
        <v>2</v>
      </c>
      <c r="G32" s="104">
        <v>221.18</v>
      </c>
      <c r="H32" s="105">
        <f t="shared" si="0"/>
        <v>305.23</v>
      </c>
      <c r="I32" s="106">
        <f t="shared" si="1"/>
        <v>610.46</v>
      </c>
      <c r="J32" s="107"/>
      <c r="K32" s="108">
        <f t="shared" si="2"/>
        <v>2</v>
      </c>
      <c r="L32" s="105">
        <f t="shared" si="3"/>
        <v>152.62</v>
      </c>
      <c r="M32" s="105">
        <f t="shared" si="4"/>
        <v>305.24</v>
      </c>
      <c r="N32" s="109"/>
      <c r="O32" s="95"/>
      <c r="P32" s="100"/>
      <c r="Q32" s="104"/>
      <c r="R32" s="110">
        <f t="shared" si="5"/>
        <v>0</v>
      </c>
      <c r="S32" s="111">
        <f t="shared" si="6"/>
        <v>152.61000000000001</v>
      </c>
      <c r="T32" s="111">
        <f t="shared" si="7"/>
        <v>305.22000000000003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995</v>
      </c>
      <c r="C33" s="114" t="s">
        <v>144</v>
      </c>
      <c r="D33" s="88"/>
      <c r="E33" s="89" t="s">
        <v>138</v>
      </c>
      <c r="F33" s="115">
        <v>1</v>
      </c>
      <c r="G33" s="96">
        <v>1688.94</v>
      </c>
      <c r="H33" s="91">
        <f t="shared" si="0"/>
        <v>2330.7399999999998</v>
      </c>
      <c r="I33" s="92">
        <f t="shared" si="1"/>
        <v>2330.7399999999998</v>
      </c>
      <c r="J33" s="107"/>
      <c r="K33" s="90">
        <f t="shared" si="2"/>
        <v>1</v>
      </c>
      <c r="L33" s="91">
        <f t="shared" si="3"/>
        <v>1165.3699999999999</v>
      </c>
      <c r="M33" s="91">
        <f t="shared" si="4"/>
        <v>1165.3699999999999</v>
      </c>
      <c r="N33" s="116"/>
      <c r="O33" s="95"/>
      <c r="P33" s="117"/>
      <c r="Q33" s="96"/>
      <c r="R33" s="96">
        <f t="shared" si="5"/>
        <v>0</v>
      </c>
      <c r="S33" s="96">
        <f t="shared" si="6"/>
        <v>1165.3699999999999</v>
      </c>
      <c r="T33" s="96">
        <f t="shared" si="7"/>
        <v>1165.3699999999999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996</v>
      </c>
      <c r="C34" s="101" t="s">
        <v>758</v>
      </c>
      <c r="D34" s="88"/>
      <c r="E34" s="102" t="s">
        <v>138</v>
      </c>
      <c r="F34" s="103">
        <v>6</v>
      </c>
      <c r="G34" s="104">
        <v>549.16</v>
      </c>
      <c r="H34" s="105">
        <f t="shared" si="0"/>
        <v>757.84</v>
      </c>
      <c r="I34" s="106">
        <f t="shared" si="1"/>
        <v>4547.04</v>
      </c>
      <c r="J34" s="107"/>
      <c r="K34" s="108">
        <f t="shared" si="2"/>
        <v>6</v>
      </c>
      <c r="L34" s="105">
        <f t="shared" si="3"/>
        <v>530.49</v>
      </c>
      <c r="M34" s="105">
        <f t="shared" si="4"/>
        <v>3182.94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227.35</v>
      </c>
      <c r="T34" s="111">
        <f t="shared" si="7"/>
        <v>1364.1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493</v>
      </c>
      <c r="C35" s="114" t="s">
        <v>494</v>
      </c>
      <c r="D35" s="88"/>
      <c r="E35" s="89">
        <v>4000</v>
      </c>
      <c r="F35" s="115">
        <v>4</v>
      </c>
      <c r="G35" s="96">
        <v>7917.94</v>
      </c>
      <c r="H35" s="91">
        <f t="shared" si="0"/>
        <v>10926.76</v>
      </c>
      <c r="I35" s="92">
        <f t="shared" si="1"/>
        <v>43707.040000000001</v>
      </c>
      <c r="J35" s="107"/>
      <c r="K35" s="90">
        <f t="shared" si="2"/>
        <v>4</v>
      </c>
      <c r="L35" s="91">
        <f t="shared" si="3"/>
        <v>5463.38</v>
      </c>
      <c r="M35" s="91">
        <f t="shared" si="4"/>
        <v>21853.52</v>
      </c>
      <c r="N35" s="116"/>
      <c r="O35" s="95"/>
      <c r="P35" s="117"/>
      <c r="Q35" s="96"/>
      <c r="R35" s="96">
        <f t="shared" si="5"/>
        <v>0</v>
      </c>
      <c r="S35" s="96">
        <f t="shared" si="6"/>
        <v>5463.38</v>
      </c>
      <c r="T35" s="96">
        <f t="shared" si="7"/>
        <v>21853.52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590</v>
      </c>
      <c r="D36" s="88"/>
      <c r="E36" s="102"/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/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997</v>
      </c>
      <c r="C37" s="114" t="s">
        <v>998</v>
      </c>
      <c r="D37" s="88"/>
      <c r="E37" s="89" t="s">
        <v>138</v>
      </c>
      <c r="F37" s="115">
        <v>6</v>
      </c>
      <c r="G37" s="96">
        <v>158.03</v>
      </c>
      <c r="H37" s="91">
        <f t="shared" si="0"/>
        <v>218.08</v>
      </c>
      <c r="I37" s="92">
        <f t="shared" si="1"/>
        <v>1308.48</v>
      </c>
      <c r="J37" s="107"/>
      <c r="K37" s="90">
        <f t="shared" si="2"/>
        <v>6</v>
      </c>
      <c r="L37" s="91">
        <f t="shared" si="3"/>
        <v>152.66</v>
      </c>
      <c r="M37" s="91">
        <f t="shared" si="4"/>
        <v>915.96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65.42</v>
      </c>
      <c r="T37" s="96">
        <f t="shared" si="7"/>
        <v>392.52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999</v>
      </c>
      <c r="C38" s="101" t="s">
        <v>233</v>
      </c>
      <c r="D38" s="88"/>
      <c r="E38" s="102" t="s">
        <v>138</v>
      </c>
      <c r="F38" s="103">
        <v>8</v>
      </c>
      <c r="G38" s="104">
        <v>66.180000000000007</v>
      </c>
      <c r="H38" s="105">
        <f t="shared" si="0"/>
        <v>91.33</v>
      </c>
      <c r="I38" s="106">
        <f t="shared" si="1"/>
        <v>730.64</v>
      </c>
      <c r="J38" s="107"/>
      <c r="K38" s="108">
        <f t="shared" si="2"/>
        <v>8</v>
      </c>
      <c r="L38" s="105">
        <f t="shared" si="3"/>
        <v>63.93</v>
      </c>
      <c r="M38" s="105">
        <f t="shared" si="4"/>
        <v>511.44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27.4</v>
      </c>
      <c r="T38" s="111">
        <f t="shared" si="7"/>
        <v>219.2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1000</v>
      </c>
      <c r="C39" s="114" t="s">
        <v>156</v>
      </c>
      <c r="D39" s="88"/>
      <c r="E39" s="89" t="s">
        <v>138</v>
      </c>
      <c r="F39" s="115">
        <v>7</v>
      </c>
      <c r="G39" s="96">
        <v>116.02</v>
      </c>
      <c r="H39" s="91">
        <f t="shared" si="0"/>
        <v>160.11000000000001</v>
      </c>
      <c r="I39" s="92">
        <f t="shared" si="1"/>
        <v>1120.77</v>
      </c>
      <c r="J39" s="107"/>
      <c r="K39" s="90">
        <f t="shared" si="2"/>
        <v>7</v>
      </c>
      <c r="L39" s="91">
        <f t="shared" si="3"/>
        <v>112.08</v>
      </c>
      <c r="M39" s="91">
        <f t="shared" si="4"/>
        <v>784.56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48.03</v>
      </c>
      <c r="T39" s="96">
        <f t="shared" si="7"/>
        <v>336.21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1001</v>
      </c>
      <c r="C40" s="101" t="s">
        <v>1002</v>
      </c>
      <c r="D40" s="88"/>
      <c r="E40" s="102" t="s">
        <v>138</v>
      </c>
      <c r="F40" s="103">
        <v>2</v>
      </c>
      <c r="G40" s="104">
        <v>173.86</v>
      </c>
      <c r="H40" s="105">
        <f t="shared" si="0"/>
        <v>239.93</v>
      </c>
      <c r="I40" s="106">
        <f t="shared" si="1"/>
        <v>479.86</v>
      </c>
      <c r="J40" s="107"/>
      <c r="K40" s="108">
        <f t="shared" si="2"/>
        <v>2</v>
      </c>
      <c r="L40" s="105">
        <f t="shared" si="3"/>
        <v>167.95</v>
      </c>
      <c r="M40" s="105">
        <f t="shared" si="4"/>
        <v>335.9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71.98</v>
      </c>
      <c r="T40" s="111">
        <f t="shared" si="7"/>
        <v>143.96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49</v>
      </c>
      <c r="G50" s="123">
        <f t="shared" si="10"/>
        <v>15047.150000000003</v>
      </c>
      <c r="H50" s="124">
        <f t="shared" si="10"/>
        <v>20765.070000000003</v>
      </c>
      <c r="I50" s="125">
        <f t="shared" si="10"/>
        <v>60570.080000000002</v>
      </c>
      <c r="J50" s="126"/>
      <c r="K50" s="127">
        <f t="shared" ref="K50:M50" si="11">SUM(K19:K49)</f>
        <v>49</v>
      </c>
      <c r="L50" s="124">
        <f t="shared" si="11"/>
        <v>10697.85</v>
      </c>
      <c r="M50" s="125">
        <f t="shared" si="11"/>
        <v>31944.300000000003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10067.219999999999</v>
      </c>
      <c r="T50" s="125">
        <f t="shared" si="12"/>
        <v>28625.78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E19:E49" xr:uid="{00000000-0002-0000-3B00-000000000000}">
      <formula1>$Z$19:$Z$30</formula1>
    </dataValidation>
    <dataValidation type="list" allowBlank="1" showErrorMessage="1" sqref="I14" xr:uid="{00000000-0002-0000-3B00-000001000000}">
      <formula1>$Y$14:$Y$15</formula1>
    </dataValidation>
    <dataValidation type="list" allowBlank="1" showErrorMessage="1" sqref="J14" xr:uid="{00000000-0002-0000-3B00-000002000000}">
      <formula1>$L$9</formula1>
    </dataValidation>
    <dataValidation type="list" allowBlank="1" showErrorMessage="1" sqref="Q15 G18 L18 Q18" xr:uid="{00000000-0002-0000-3B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6" sqref="G16:I1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1003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81731.17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2019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44050.090000000004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37681.079999999994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1004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0.46103683576290411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1005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37681.079999999994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44050.090000000004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52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1006</v>
      </c>
      <c r="C19" s="87" t="s">
        <v>169</v>
      </c>
      <c r="D19" s="88"/>
      <c r="E19" s="89">
        <v>500</v>
      </c>
      <c r="F19" s="90">
        <v>1</v>
      </c>
      <c r="G19" s="91">
        <v>30.82</v>
      </c>
      <c r="H19" s="91">
        <f t="shared" ref="H19:H49" si="0">ROUND(IF($G$18="USD $", G19*$F$16,G19*$E$16),2)</f>
        <v>42.53</v>
      </c>
      <c r="I19" s="92">
        <f t="shared" ref="I19:I49" si="1">ROUND(IF($I$18=$H$18,F19*H19,F19*G19),2)</f>
        <v>42.53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21.27</v>
      </c>
      <c r="M19" s="91">
        <f t="shared" ref="M19:M49" si="4">ROUND((K19*L19),2)</f>
        <v>21.27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21.26</v>
      </c>
      <c r="T19" s="96">
        <f t="shared" ref="T19:T49" si="7">ROUND(I19-M19,2)</f>
        <v>21.26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1007</v>
      </c>
      <c r="C20" s="101" t="s">
        <v>118</v>
      </c>
      <c r="D20" s="88"/>
      <c r="E20" s="102">
        <v>1000</v>
      </c>
      <c r="F20" s="103">
        <v>1</v>
      </c>
      <c r="G20" s="104">
        <v>48.89</v>
      </c>
      <c r="H20" s="105">
        <f t="shared" si="0"/>
        <v>67.47</v>
      </c>
      <c r="I20" s="106">
        <f t="shared" si="1"/>
        <v>67.47</v>
      </c>
      <c r="J20" s="107"/>
      <c r="K20" s="108">
        <f t="shared" si="2"/>
        <v>1</v>
      </c>
      <c r="L20" s="105">
        <f t="shared" si="3"/>
        <v>33.74</v>
      </c>
      <c r="M20" s="105">
        <f t="shared" si="4"/>
        <v>33.74</v>
      </c>
      <c r="N20" s="109"/>
      <c r="O20" s="95"/>
      <c r="P20" s="100"/>
      <c r="Q20" s="104"/>
      <c r="R20" s="110">
        <f t="shared" si="5"/>
        <v>0</v>
      </c>
      <c r="S20" s="111">
        <f t="shared" si="6"/>
        <v>33.729999999999997</v>
      </c>
      <c r="T20" s="111">
        <f t="shared" si="7"/>
        <v>33.729999999999997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1008</v>
      </c>
      <c r="C21" s="114" t="s">
        <v>743</v>
      </c>
      <c r="D21" s="88"/>
      <c r="E21" s="89">
        <v>1000</v>
      </c>
      <c r="F21" s="115">
        <v>1</v>
      </c>
      <c r="G21" s="96">
        <v>42.23</v>
      </c>
      <c r="H21" s="91">
        <f t="shared" si="0"/>
        <v>58.28</v>
      </c>
      <c r="I21" s="92">
        <f t="shared" si="1"/>
        <v>58.28</v>
      </c>
      <c r="J21" s="107"/>
      <c r="K21" s="90">
        <f t="shared" si="2"/>
        <v>1</v>
      </c>
      <c r="L21" s="91">
        <f t="shared" si="3"/>
        <v>29.14</v>
      </c>
      <c r="M21" s="91">
        <f t="shared" si="4"/>
        <v>29.14</v>
      </c>
      <c r="N21" s="116"/>
      <c r="O21" s="95"/>
      <c r="P21" s="117"/>
      <c r="Q21" s="96"/>
      <c r="R21" s="96">
        <f t="shared" si="5"/>
        <v>0</v>
      </c>
      <c r="S21" s="96">
        <f t="shared" si="6"/>
        <v>29.14</v>
      </c>
      <c r="T21" s="96">
        <f t="shared" si="7"/>
        <v>29.14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1009</v>
      </c>
      <c r="C22" s="101" t="s">
        <v>174</v>
      </c>
      <c r="D22" s="88"/>
      <c r="E22" s="102">
        <v>4000</v>
      </c>
      <c r="F22" s="103">
        <v>1</v>
      </c>
      <c r="G22" s="104">
        <v>146.43</v>
      </c>
      <c r="H22" s="105">
        <f t="shared" si="0"/>
        <v>202.07</v>
      </c>
      <c r="I22" s="106">
        <f t="shared" si="1"/>
        <v>202.07</v>
      </c>
      <c r="J22" s="107"/>
      <c r="K22" s="108">
        <f t="shared" si="2"/>
        <v>1</v>
      </c>
      <c r="L22" s="105">
        <f t="shared" si="3"/>
        <v>101.04</v>
      </c>
      <c r="M22" s="105">
        <f t="shared" si="4"/>
        <v>101.04</v>
      </c>
      <c r="N22" s="109"/>
      <c r="O22" s="95"/>
      <c r="P22" s="100"/>
      <c r="Q22" s="104"/>
      <c r="R22" s="110">
        <f t="shared" si="5"/>
        <v>0</v>
      </c>
      <c r="S22" s="111">
        <f t="shared" si="6"/>
        <v>101.03</v>
      </c>
      <c r="T22" s="111">
        <f t="shared" si="7"/>
        <v>101.03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1010</v>
      </c>
      <c r="C23" s="114" t="s">
        <v>174</v>
      </c>
      <c r="D23" s="88"/>
      <c r="E23" s="89">
        <v>1000</v>
      </c>
      <c r="F23" s="115">
        <v>1</v>
      </c>
      <c r="G23" s="96">
        <v>11.63</v>
      </c>
      <c r="H23" s="91">
        <f t="shared" si="0"/>
        <v>16.05</v>
      </c>
      <c r="I23" s="92">
        <f t="shared" si="1"/>
        <v>16.05</v>
      </c>
      <c r="J23" s="107"/>
      <c r="K23" s="90">
        <f t="shared" si="2"/>
        <v>1</v>
      </c>
      <c r="L23" s="91">
        <f t="shared" si="3"/>
        <v>8.0299999999999994</v>
      </c>
      <c r="M23" s="91">
        <f t="shared" si="4"/>
        <v>8.0299999999999994</v>
      </c>
      <c r="N23" s="116"/>
      <c r="O23" s="95"/>
      <c r="P23" s="117"/>
      <c r="Q23" s="96"/>
      <c r="R23" s="96">
        <f t="shared" si="5"/>
        <v>0</v>
      </c>
      <c r="S23" s="96">
        <f t="shared" si="6"/>
        <v>8.02</v>
      </c>
      <c r="T23" s="96">
        <f t="shared" si="7"/>
        <v>8.02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1011</v>
      </c>
      <c r="C24" s="101" t="s">
        <v>415</v>
      </c>
      <c r="D24" s="88"/>
      <c r="E24" s="102">
        <v>1000</v>
      </c>
      <c r="F24" s="103">
        <v>1</v>
      </c>
      <c r="G24" s="104">
        <v>62.77</v>
      </c>
      <c r="H24" s="105">
        <f t="shared" si="0"/>
        <v>86.62</v>
      </c>
      <c r="I24" s="106">
        <f t="shared" si="1"/>
        <v>86.62</v>
      </c>
      <c r="J24" s="107"/>
      <c r="K24" s="108">
        <f t="shared" si="2"/>
        <v>1</v>
      </c>
      <c r="L24" s="105">
        <f t="shared" si="3"/>
        <v>43.31</v>
      </c>
      <c r="M24" s="105">
        <f t="shared" si="4"/>
        <v>43.31</v>
      </c>
      <c r="N24" s="109"/>
      <c r="O24" s="95"/>
      <c r="P24" s="100"/>
      <c r="Q24" s="104"/>
      <c r="R24" s="110">
        <f t="shared" si="5"/>
        <v>0</v>
      </c>
      <c r="S24" s="111">
        <f t="shared" si="6"/>
        <v>43.31</v>
      </c>
      <c r="T24" s="111">
        <f t="shared" si="7"/>
        <v>43.31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1012</v>
      </c>
      <c r="C25" s="114" t="s">
        <v>128</v>
      </c>
      <c r="D25" s="88"/>
      <c r="E25" s="89">
        <v>1000</v>
      </c>
      <c r="F25" s="115">
        <v>1</v>
      </c>
      <c r="G25" s="96">
        <v>67.08</v>
      </c>
      <c r="H25" s="91">
        <f t="shared" si="0"/>
        <v>92.57</v>
      </c>
      <c r="I25" s="92">
        <f t="shared" si="1"/>
        <v>92.57</v>
      </c>
      <c r="J25" s="107"/>
      <c r="K25" s="90">
        <f t="shared" si="2"/>
        <v>1</v>
      </c>
      <c r="L25" s="91">
        <f t="shared" si="3"/>
        <v>55.54</v>
      </c>
      <c r="M25" s="91">
        <f t="shared" si="4"/>
        <v>55.54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37.03</v>
      </c>
      <c r="T25" s="96">
        <f t="shared" si="7"/>
        <v>37.03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1013</v>
      </c>
      <c r="C26" s="101" t="s">
        <v>131</v>
      </c>
      <c r="D26" s="88"/>
      <c r="E26" s="102">
        <v>1000</v>
      </c>
      <c r="F26" s="103">
        <v>1</v>
      </c>
      <c r="G26" s="104">
        <v>54.4</v>
      </c>
      <c r="H26" s="105">
        <f t="shared" si="0"/>
        <v>75.069999999999993</v>
      </c>
      <c r="I26" s="106">
        <f t="shared" si="1"/>
        <v>75.069999999999993</v>
      </c>
      <c r="J26" s="107"/>
      <c r="K26" s="108">
        <f t="shared" si="2"/>
        <v>1</v>
      </c>
      <c r="L26" s="105">
        <f t="shared" si="3"/>
        <v>45.04</v>
      </c>
      <c r="M26" s="105">
        <f t="shared" si="4"/>
        <v>45.04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30.03</v>
      </c>
      <c r="T26" s="111">
        <f t="shared" si="7"/>
        <v>30.03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992</v>
      </c>
      <c r="C27" s="114" t="s">
        <v>134</v>
      </c>
      <c r="D27" s="88"/>
      <c r="E27" s="89">
        <v>1000</v>
      </c>
      <c r="F27" s="115">
        <v>1</v>
      </c>
      <c r="G27" s="96">
        <v>15.24</v>
      </c>
      <c r="H27" s="91">
        <f t="shared" si="0"/>
        <v>21.03</v>
      </c>
      <c r="I27" s="92">
        <f t="shared" si="1"/>
        <v>21.03</v>
      </c>
      <c r="J27" s="107"/>
      <c r="K27" s="90">
        <f t="shared" si="2"/>
        <v>1</v>
      </c>
      <c r="L27" s="91">
        <f t="shared" si="3"/>
        <v>12.62</v>
      </c>
      <c r="M27" s="91">
        <f t="shared" si="4"/>
        <v>12.62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8.41</v>
      </c>
      <c r="T27" s="96">
        <f t="shared" si="7"/>
        <v>8.41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849</v>
      </c>
      <c r="C28" s="101" t="s">
        <v>134</v>
      </c>
      <c r="D28" s="88"/>
      <c r="E28" s="102">
        <v>1000</v>
      </c>
      <c r="F28" s="103">
        <v>1</v>
      </c>
      <c r="G28" s="104">
        <v>19.23</v>
      </c>
      <c r="H28" s="105">
        <f t="shared" si="0"/>
        <v>26.54</v>
      </c>
      <c r="I28" s="106">
        <f t="shared" si="1"/>
        <v>26.54</v>
      </c>
      <c r="J28" s="107"/>
      <c r="K28" s="108">
        <f t="shared" si="2"/>
        <v>1</v>
      </c>
      <c r="L28" s="105">
        <f t="shared" si="3"/>
        <v>15.92</v>
      </c>
      <c r="M28" s="105">
        <f t="shared" si="4"/>
        <v>15.92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10.62</v>
      </c>
      <c r="T28" s="111">
        <f t="shared" si="7"/>
        <v>10.62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1014</v>
      </c>
      <c r="C29" s="114" t="s">
        <v>323</v>
      </c>
      <c r="D29" s="88"/>
      <c r="E29" s="89" t="s">
        <v>138</v>
      </c>
      <c r="F29" s="115">
        <v>1</v>
      </c>
      <c r="G29" s="96">
        <v>122.33</v>
      </c>
      <c r="H29" s="91">
        <f t="shared" si="0"/>
        <v>168.82</v>
      </c>
      <c r="I29" s="92">
        <f t="shared" si="1"/>
        <v>168.82</v>
      </c>
      <c r="J29" s="107"/>
      <c r="K29" s="90">
        <f t="shared" si="2"/>
        <v>1</v>
      </c>
      <c r="L29" s="91">
        <f t="shared" si="3"/>
        <v>101.29</v>
      </c>
      <c r="M29" s="91">
        <f t="shared" si="4"/>
        <v>101.29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67.53</v>
      </c>
      <c r="T29" s="96">
        <f t="shared" si="7"/>
        <v>67.53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1015</v>
      </c>
      <c r="C31" s="114" t="s">
        <v>751</v>
      </c>
      <c r="D31" s="88"/>
      <c r="E31" s="89" t="s">
        <v>138</v>
      </c>
      <c r="F31" s="115">
        <v>1</v>
      </c>
      <c r="G31" s="96">
        <v>4103.78</v>
      </c>
      <c r="H31" s="91">
        <f t="shared" si="0"/>
        <v>5663.22</v>
      </c>
      <c r="I31" s="92">
        <f t="shared" si="1"/>
        <v>5663.22</v>
      </c>
      <c r="J31" s="107"/>
      <c r="K31" s="90">
        <f t="shared" si="2"/>
        <v>1</v>
      </c>
      <c r="L31" s="91">
        <f t="shared" si="3"/>
        <v>3397.93</v>
      </c>
      <c r="M31" s="91">
        <f t="shared" si="4"/>
        <v>3397.93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2265.29</v>
      </c>
      <c r="T31" s="96">
        <f t="shared" si="7"/>
        <v>2265.29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1016</v>
      </c>
      <c r="C32" s="101" t="s">
        <v>752</v>
      </c>
      <c r="D32" s="88"/>
      <c r="E32" s="102" t="s">
        <v>138</v>
      </c>
      <c r="F32" s="103">
        <v>1</v>
      </c>
      <c r="G32" s="104">
        <v>3211.4</v>
      </c>
      <c r="H32" s="105">
        <f t="shared" si="0"/>
        <v>4431.7299999999996</v>
      </c>
      <c r="I32" s="106">
        <f t="shared" si="1"/>
        <v>4431.7299999999996</v>
      </c>
      <c r="J32" s="107"/>
      <c r="K32" s="108">
        <f t="shared" si="2"/>
        <v>1</v>
      </c>
      <c r="L32" s="105">
        <f t="shared" si="3"/>
        <v>2659.04</v>
      </c>
      <c r="M32" s="105">
        <f t="shared" si="4"/>
        <v>2659.04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1772.69</v>
      </c>
      <c r="T32" s="111">
        <f t="shared" si="7"/>
        <v>1772.69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1017</v>
      </c>
      <c r="C33" s="114" t="s">
        <v>753</v>
      </c>
      <c r="D33" s="88"/>
      <c r="E33" s="89" t="s">
        <v>138</v>
      </c>
      <c r="F33" s="115">
        <v>1</v>
      </c>
      <c r="G33" s="96">
        <v>2835.63</v>
      </c>
      <c r="H33" s="91">
        <f t="shared" si="0"/>
        <v>3913.17</v>
      </c>
      <c r="I33" s="92">
        <f t="shared" si="1"/>
        <v>3913.17</v>
      </c>
      <c r="J33" s="107"/>
      <c r="K33" s="90">
        <f t="shared" si="2"/>
        <v>1</v>
      </c>
      <c r="L33" s="91">
        <f t="shared" si="3"/>
        <v>2347.9</v>
      </c>
      <c r="M33" s="91">
        <f t="shared" si="4"/>
        <v>2347.9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1565.27</v>
      </c>
      <c r="T33" s="96">
        <f t="shared" si="7"/>
        <v>1565.27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1018</v>
      </c>
      <c r="C34" s="101" t="s">
        <v>937</v>
      </c>
      <c r="D34" s="88"/>
      <c r="E34" s="102" t="s">
        <v>138</v>
      </c>
      <c r="F34" s="103">
        <v>1</v>
      </c>
      <c r="G34" s="104">
        <v>5840.4</v>
      </c>
      <c r="H34" s="105">
        <f t="shared" si="0"/>
        <v>8059.75</v>
      </c>
      <c r="I34" s="106">
        <f t="shared" si="1"/>
        <v>8059.75</v>
      </c>
      <c r="J34" s="107"/>
      <c r="K34" s="108">
        <f t="shared" si="2"/>
        <v>1</v>
      </c>
      <c r="L34" s="105">
        <f t="shared" si="3"/>
        <v>4029.88</v>
      </c>
      <c r="M34" s="105">
        <f t="shared" si="4"/>
        <v>4029.88</v>
      </c>
      <c r="N34" s="109"/>
      <c r="O34" s="95"/>
      <c r="P34" s="100"/>
      <c r="Q34" s="104"/>
      <c r="R34" s="110">
        <f t="shared" si="5"/>
        <v>0</v>
      </c>
      <c r="S34" s="111">
        <f t="shared" si="6"/>
        <v>4029.87</v>
      </c>
      <c r="T34" s="111">
        <f t="shared" si="7"/>
        <v>4029.87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822</v>
      </c>
      <c r="C35" s="114" t="s">
        <v>1019</v>
      </c>
      <c r="D35" s="88"/>
      <c r="E35" s="89" t="s">
        <v>138</v>
      </c>
      <c r="F35" s="115">
        <v>2</v>
      </c>
      <c r="G35" s="96">
        <v>221.18</v>
      </c>
      <c r="H35" s="91">
        <f t="shared" si="0"/>
        <v>305.23</v>
      </c>
      <c r="I35" s="92">
        <f t="shared" si="1"/>
        <v>610.46</v>
      </c>
      <c r="J35" s="107"/>
      <c r="K35" s="90">
        <f t="shared" si="2"/>
        <v>2</v>
      </c>
      <c r="L35" s="91">
        <f t="shared" si="3"/>
        <v>152.62</v>
      </c>
      <c r="M35" s="91">
        <f t="shared" si="4"/>
        <v>305.24</v>
      </c>
      <c r="N35" s="116"/>
      <c r="O35" s="95"/>
      <c r="P35" s="117"/>
      <c r="Q35" s="96"/>
      <c r="R35" s="96">
        <f t="shared" si="5"/>
        <v>0</v>
      </c>
      <c r="S35" s="96">
        <f t="shared" si="6"/>
        <v>152.61000000000001</v>
      </c>
      <c r="T35" s="96">
        <f t="shared" si="7"/>
        <v>305.22000000000003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1020</v>
      </c>
      <c r="C36" s="101" t="s">
        <v>144</v>
      </c>
      <c r="D36" s="88"/>
      <c r="E36" s="102" t="s">
        <v>138</v>
      </c>
      <c r="F36" s="103">
        <v>1</v>
      </c>
      <c r="G36" s="104">
        <v>4108.84</v>
      </c>
      <c r="H36" s="105">
        <f t="shared" si="0"/>
        <v>5670.2</v>
      </c>
      <c r="I36" s="106">
        <f t="shared" si="1"/>
        <v>5670.2</v>
      </c>
      <c r="J36" s="107"/>
      <c r="K36" s="108">
        <f t="shared" si="2"/>
        <v>1</v>
      </c>
      <c r="L36" s="105">
        <f t="shared" si="3"/>
        <v>2835.1</v>
      </c>
      <c r="M36" s="105">
        <f t="shared" si="4"/>
        <v>2835.1</v>
      </c>
      <c r="N36" s="109"/>
      <c r="O36" s="95"/>
      <c r="P36" s="100"/>
      <c r="Q36" s="104"/>
      <c r="R36" s="110">
        <f t="shared" si="5"/>
        <v>0</v>
      </c>
      <c r="S36" s="111">
        <f t="shared" si="6"/>
        <v>2835.1</v>
      </c>
      <c r="T36" s="111">
        <f t="shared" si="7"/>
        <v>2835.1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1021</v>
      </c>
      <c r="C37" s="114" t="s">
        <v>1022</v>
      </c>
      <c r="D37" s="88"/>
      <c r="E37" s="89" t="s">
        <v>138</v>
      </c>
      <c r="F37" s="115">
        <v>6</v>
      </c>
      <c r="G37" s="96">
        <v>603.16</v>
      </c>
      <c r="H37" s="91">
        <f t="shared" si="0"/>
        <v>832.36</v>
      </c>
      <c r="I37" s="92">
        <f t="shared" si="1"/>
        <v>4994.16</v>
      </c>
      <c r="J37" s="107"/>
      <c r="K37" s="90">
        <f t="shared" si="2"/>
        <v>6</v>
      </c>
      <c r="L37" s="91">
        <f t="shared" si="3"/>
        <v>582.65</v>
      </c>
      <c r="M37" s="91">
        <f t="shared" si="4"/>
        <v>3495.9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249.71</v>
      </c>
      <c r="T37" s="96">
        <f t="shared" si="7"/>
        <v>1498.26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493</v>
      </c>
      <c r="C38" s="101" t="s">
        <v>1023</v>
      </c>
      <c r="D38" s="88"/>
      <c r="E38" s="102">
        <v>6000</v>
      </c>
      <c r="F38" s="103">
        <v>4</v>
      </c>
      <c r="G38" s="104">
        <v>7917.94</v>
      </c>
      <c r="H38" s="105">
        <f t="shared" si="0"/>
        <v>10926.76</v>
      </c>
      <c r="I38" s="106">
        <f t="shared" si="1"/>
        <v>43707.040000000001</v>
      </c>
      <c r="J38" s="107"/>
      <c r="K38" s="108">
        <f t="shared" si="2"/>
        <v>4</v>
      </c>
      <c r="L38" s="105">
        <f t="shared" si="3"/>
        <v>5463.38</v>
      </c>
      <c r="M38" s="105">
        <f t="shared" si="4"/>
        <v>21853.52</v>
      </c>
      <c r="N38" s="109"/>
      <c r="O38" s="95"/>
      <c r="P38" s="100"/>
      <c r="Q38" s="104"/>
      <c r="R38" s="110">
        <f t="shared" si="5"/>
        <v>0</v>
      </c>
      <c r="S38" s="111">
        <f t="shared" si="6"/>
        <v>5463.38</v>
      </c>
      <c r="T38" s="111">
        <f t="shared" si="7"/>
        <v>21853.52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/>
      <c r="C39" s="114"/>
      <c r="D39" s="88"/>
      <c r="E39" s="89"/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/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/>
      <c r="C40" s="101" t="s">
        <v>590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997</v>
      </c>
      <c r="C41" s="114" t="s">
        <v>998</v>
      </c>
      <c r="D41" s="88"/>
      <c r="E41" s="89" t="s">
        <v>138</v>
      </c>
      <c r="F41" s="115">
        <v>6</v>
      </c>
      <c r="G41" s="96">
        <v>158.03</v>
      </c>
      <c r="H41" s="91">
        <f t="shared" si="0"/>
        <v>218.08</v>
      </c>
      <c r="I41" s="92">
        <f t="shared" si="1"/>
        <v>1308.48</v>
      </c>
      <c r="J41" s="107"/>
      <c r="K41" s="90">
        <f t="shared" si="2"/>
        <v>6</v>
      </c>
      <c r="L41" s="91">
        <f t="shared" si="3"/>
        <v>152.66</v>
      </c>
      <c r="M41" s="91">
        <f t="shared" si="4"/>
        <v>915.96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65.42</v>
      </c>
      <c r="T41" s="96">
        <f t="shared" si="7"/>
        <v>392.52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999</v>
      </c>
      <c r="C42" s="101" t="s">
        <v>233</v>
      </c>
      <c r="D42" s="88"/>
      <c r="E42" s="102" t="s">
        <v>138</v>
      </c>
      <c r="F42" s="103">
        <v>8</v>
      </c>
      <c r="G42" s="104">
        <v>66.180000000000007</v>
      </c>
      <c r="H42" s="105">
        <f t="shared" si="0"/>
        <v>91.33</v>
      </c>
      <c r="I42" s="106">
        <f t="shared" si="1"/>
        <v>730.64</v>
      </c>
      <c r="J42" s="107"/>
      <c r="K42" s="108">
        <f t="shared" si="2"/>
        <v>8</v>
      </c>
      <c r="L42" s="105">
        <f t="shared" si="3"/>
        <v>63.93</v>
      </c>
      <c r="M42" s="105">
        <f t="shared" si="4"/>
        <v>511.44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27.4</v>
      </c>
      <c r="T42" s="111">
        <f t="shared" si="7"/>
        <v>219.2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1000</v>
      </c>
      <c r="C43" s="114" t="s">
        <v>156</v>
      </c>
      <c r="D43" s="88"/>
      <c r="E43" s="89" t="s">
        <v>138</v>
      </c>
      <c r="F43" s="115">
        <v>7</v>
      </c>
      <c r="G43" s="96">
        <v>116.02</v>
      </c>
      <c r="H43" s="91">
        <f t="shared" si="0"/>
        <v>160.11000000000001</v>
      </c>
      <c r="I43" s="92">
        <f t="shared" si="1"/>
        <v>1120.77</v>
      </c>
      <c r="J43" s="107"/>
      <c r="K43" s="90">
        <f t="shared" si="2"/>
        <v>7</v>
      </c>
      <c r="L43" s="91">
        <f t="shared" si="3"/>
        <v>112.08</v>
      </c>
      <c r="M43" s="91">
        <f t="shared" si="4"/>
        <v>784.56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48.03</v>
      </c>
      <c r="T43" s="96">
        <f t="shared" si="7"/>
        <v>336.21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1001</v>
      </c>
      <c r="C44" s="101" t="s">
        <v>1002</v>
      </c>
      <c r="D44" s="88"/>
      <c r="E44" s="102" t="s">
        <v>138</v>
      </c>
      <c r="F44" s="103">
        <v>2</v>
      </c>
      <c r="G44" s="104">
        <v>173.86</v>
      </c>
      <c r="H44" s="105">
        <f t="shared" si="0"/>
        <v>239.93</v>
      </c>
      <c r="I44" s="106">
        <f t="shared" si="1"/>
        <v>479.86</v>
      </c>
      <c r="J44" s="107"/>
      <c r="K44" s="108">
        <f t="shared" si="2"/>
        <v>2</v>
      </c>
      <c r="L44" s="105">
        <f t="shared" si="3"/>
        <v>167.95</v>
      </c>
      <c r="M44" s="105">
        <f t="shared" si="4"/>
        <v>335.9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71.98</v>
      </c>
      <c r="T44" s="111">
        <f t="shared" si="7"/>
        <v>143.96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52</v>
      </c>
      <c r="G50" s="123">
        <f t="shared" si="10"/>
        <v>30111.269999999997</v>
      </c>
      <c r="H50" s="124">
        <f t="shared" si="10"/>
        <v>41553.560000000005</v>
      </c>
      <c r="I50" s="125">
        <f t="shared" si="10"/>
        <v>81731.17</v>
      </c>
      <c r="J50" s="126"/>
      <c r="K50" s="127">
        <f t="shared" ref="K50:M50" si="11">SUM(K19:K49)</f>
        <v>52</v>
      </c>
      <c r="L50" s="124">
        <f t="shared" si="11"/>
        <v>22542.840000000007</v>
      </c>
      <c r="M50" s="125">
        <f t="shared" si="11"/>
        <v>44050.090000000004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19010.719999999998</v>
      </c>
      <c r="T50" s="125">
        <f t="shared" si="12"/>
        <v>37681.079999999994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E19:E49" xr:uid="{00000000-0002-0000-3C00-000000000000}">
      <formula1>$Z$19:$Z$30</formula1>
    </dataValidation>
    <dataValidation type="list" allowBlank="1" showErrorMessage="1" sqref="I14" xr:uid="{00000000-0002-0000-3C00-000001000000}">
      <formula1>$Y$14:$Y$15</formula1>
    </dataValidation>
    <dataValidation type="list" allowBlank="1" showErrorMessage="1" sqref="J14" xr:uid="{00000000-0002-0000-3C00-000002000000}">
      <formula1>$L$9</formula1>
    </dataValidation>
    <dataValidation type="list" allowBlank="1" showErrorMessage="1" sqref="Q15 G18 L18 Q18" xr:uid="{00000000-0002-0000-3C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1024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75774.76999999999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41052.080000000002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34722.689999999988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1025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0.45823550503683474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1026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34722.689999999995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41052.080000000002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30.82</v>
      </c>
      <c r="H19" s="91">
        <f t="shared" ref="H19:H49" si="0">ROUND(IF($G$18="USD $", G19*$F$16,G19*$E$16),2)</f>
        <v>42.53</v>
      </c>
      <c r="I19" s="92">
        <f t="shared" ref="I19:I49" si="1">ROUND(IF($I$18=$H$18,F19*H19,F19*G19),2)</f>
        <v>42.53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21.27</v>
      </c>
      <c r="M19" s="91">
        <f t="shared" ref="M19:M49" si="4">ROUND((K19*L19),2)</f>
        <v>21.27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21.26</v>
      </c>
      <c r="T19" s="96">
        <f t="shared" ref="T19:T49" si="7">ROUND(I19-M19,2)</f>
        <v>21.26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1007</v>
      </c>
      <c r="C20" s="101" t="s">
        <v>118</v>
      </c>
      <c r="D20" s="88"/>
      <c r="E20" s="102">
        <v>500</v>
      </c>
      <c r="F20" s="103">
        <v>1</v>
      </c>
      <c r="G20" s="104">
        <v>48.89</v>
      </c>
      <c r="H20" s="105">
        <f t="shared" si="0"/>
        <v>67.47</v>
      </c>
      <c r="I20" s="106">
        <f t="shared" si="1"/>
        <v>67.47</v>
      </c>
      <c r="J20" s="107"/>
      <c r="K20" s="108">
        <f t="shared" si="2"/>
        <v>1</v>
      </c>
      <c r="L20" s="105">
        <f t="shared" si="3"/>
        <v>33.74</v>
      </c>
      <c r="M20" s="105">
        <f t="shared" si="4"/>
        <v>33.74</v>
      </c>
      <c r="N20" s="109"/>
      <c r="O20" s="95"/>
      <c r="P20" s="100"/>
      <c r="Q20" s="104"/>
      <c r="R20" s="110">
        <f t="shared" si="5"/>
        <v>0</v>
      </c>
      <c r="S20" s="111">
        <f t="shared" si="6"/>
        <v>33.729999999999997</v>
      </c>
      <c r="T20" s="111">
        <f t="shared" si="7"/>
        <v>33.729999999999997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980</v>
      </c>
      <c r="C21" s="114" t="s">
        <v>743</v>
      </c>
      <c r="D21" s="88"/>
      <c r="E21" s="89">
        <v>500</v>
      </c>
      <c r="F21" s="115">
        <v>1</v>
      </c>
      <c r="G21" s="96">
        <v>58.85</v>
      </c>
      <c r="H21" s="91">
        <f t="shared" si="0"/>
        <v>81.209999999999994</v>
      </c>
      <c r="I21" s="92">
        <f t="shared" si="1"/>
        <v>81.209999999999994</v>
      </c>
      <c r="J21" s="107"/>
      <c r="K21" s="90">
        <f t="shared" si="2"/>
        <v>1</v>
      </c>
      <c r="L21" s="91">
        <f t="shared" si="3"/>
        <v>40.61</v>
      </c>
      <c r="M21" s="91">
        <f t="shared" si="4"/>
        <v>40.61</v>
      </c>
      <c r="N21" s="116"/>
      <c r="O21" s="95"/>
      <c r="P21" s="117"/>
      <c r="Q21" s="96"/>
      <c r="R21" s="96">
        <f t="shared" si="5"/>
        <v>0</v>
      </c>
      <c r="S21" s="96">
        <f t="shared" si="6"/>
        <v>40.6</v>
      </c>
      <c r="T21" s="96">
        <f t="shared" si="7"/>
        <v>40.6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988</v>
      </c>
      <c r="C22" s="101" t="s">
        <v>174</v>
      </c>
      <c r="D22" s="88"/>
      <c r="E22" s="102">
        <v>4000</v>
      </c>
      <c r="F22" s="103">
        <v>1</v>
      </c>
      <c r="G22" s="104">
        <v>159.29</v>
      </c>
      <c r="H22" s="105">
        <f t="shared" si="0"/>
        <v>219.82</v>
      </c>
      <c r="I22" s="106">
        <f t="shared" si="1"/>
        <v>219.82</v>
      </c>
      <c r="J22" s="107"/>
      <c r="K22" s="108">
        <f t="shared" si="2"/>
        <v>1</v>
      </c>
      <c r="L22" s="105">
        <f t="shared" si="3"/>
        <v>109.91</v>
      </c>
      <c r="M22" s="105">
        <f t="shared" si="4"/>
        <v>109.91</v>
      </c>
      <c r="N22" s="109"/>
      <c r="O22" s="95"/>
      <c r="P22" s="100"/>
      <c r="Q22" s="104"/>
      <c r="R22" s="110">
        <f t="shared" si="5"/>
        <v>0</v>
      </c>
      <c r="S22" s="111">
        <f t="shared" si="6"/>
        <v>109.91</v>
      </c>
      <c r="T22" s="111">
        <f t="shared" si="7"/>
        <v>109.91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1010</v>
      </c>
      <c r="C23" s="114" t="s">
        <v>174</v>
      </c>
      <c r="D23" s="88"/>
      <c r="E23" s="89">
        <v>500</v>
      </c>
      <c r="F23" s="115">
        <v>1</v>
      </c>
      <c r="G23" s="96">
        <v>11.63</v>
      </c>
      <c r="H23" s="91">
        <f t="shared" si="0"/>
        <v>16.05</v>
      </c>
      <c r="I23" s="92">
        <f t="shared" si="1"/>
        <v>16.05</v>
      </c>
      <c r="J23" s="107"/>
      <c r="K23" s="90">
        <f t="shared" si="2"/>
        <v>1</v>
      </c>
      <c r="L23" s="91">
        <f t="shared" si="3"/>
        <v>8.0299999999999994</v>
      </c>
      <c r="M23" s="91">
        <f t="shared" si="4"/>
        <v>8.0299999999999994</v>
      </c>
      <c r="N23" s="116"/>
      <c r="O23" s="95"/>
      <c r="P23" s="117"/>
      <c r="Q23" s="96"/>
      <c r="R23" s="96">
        <f t="shared" si="5"/>
        <v>0</v>
      </c>
      <c r="S23" s="96">
        <f t="shared" si="6"/>
        <v>8.02</v>
      </c>
      <c r="T23" s="96">
        <f t="shared" si="7"/>
        <v>8.02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1011</v>
      </c>
      <c r="C24" s="101" t="s">
        <v>415</v>
      </c>
      <c r="D24" s="88"/>
      <c r="E24" s="102">
        <v>2000</v>
      </c>
      <c r="F24" s="103">
        <v>1</v>
      </c>
      <c r="G24" s="104">
        <v>62.77</v>
      </c>
      <c r="H24" s="105">
        <f t="shared" si="0"/>
        <v>86.62</v>
      </c>
      <c r="I24" s="106">
        <f t="shared" si="1"/>
        <v>86.62</v>
      </c>
      <c r="J24" s="107"/>
      <c r="K24" s="108">
        <f t="shared" si="2"/>
        <v>1</v>
      </c>
      <c r="L24" s="105">
        <f t="shared" si="3"/>
        <v>43.31</v>
      </c>
      <c r="M24" s="105">
        <f t="shared" si="4"/>
        <v>43.31</v>
      </c>
      <c r="N24" s="109"/>
      <c r="O24" s="95"/>
      <c r="P24" s="100"/>
      <c r="Q24" s="104"/>
      <c r="R24" s="110">
        <f t="shared" si="5"/>
        <v>0</v>
      </c>
      <c r="S24" s="111">
        <f t="shared" si="6"/>
        <v>43.31</v>
      </c>
      <c r="T24" s="111">
        <f t="shared" si="7"/>
        <v>43.31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1027</v>
      </c>
      <c r="C25" s="114" t="s">
        <v>1028</v>
      </c>
      <c r="D25" s="88"/>
      <c r="E25" s="89">
        <v>1000</v>
      </c>
      <c r="F25" s="115">
        <v>1</v>
      </c>
      <c r="G25" s="96">
        <v>52.21</v>
      </c>
      <c r="H25" s="91">
        <f t="shared" si="0"/>
        <v>72.05</v>
      </c>
      <c r="I25" s="92">
        <f t="shared" si="1"/>
        <v>72.05</v>
      </c>
      <c r="J25" s="107"/>
      <c r="K25" s="90">
        <f t="shared" si="2"/>
        <v>1</v>
      </c>
      <c r="L25" s="91">
        <f t="shared" si="3"/>
        <v>43.23</v>
      </c>
      <c r="M25" s="91">
        <f t="shared" si="4"/>
        <v>43.23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28.82</v>
      </c>
      <c r="T25" s="96">
        <f t="shared" si="7"/>
        <v>28.82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1029</v>
      </c>
      <c r="C26" s="101" t="s">
        <v>134</v>
      </c>
      <c r="D26" s="88"/>
      <c r="E26" s="102">
        <v>1000</v>
      </c>
      <c r="F26" s="103">
        <v>1</v>
      </c>
      <c r="G26" s="104">
        <v>3.61</v>
      </c>
      <c r="H26" s="105">
        <f t="shared" si="0"/>
        <v>4.9800000000000004</v>
      </c>
      <c r="I26" s="106">
        <f t="shared" si="1"/>
        <v>4.9800000000000004</v>
      </c>
      <c r="J26" s="107"/>
      <c r="K26" s="108">
        <f t="shared" si="2"/>
        <v>1</v>
      </c>
      <c r="L26" s="105">
        <f t="shared" si="3"/>
        <v>2.99</v>
      </c>
      <c r="M26" s="105">
        <f t="shared" si="4"/>
        <v>2.99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1.99</v>
      </c>
      <c r="T26" s="111">
        <f t="shared" si="7"/>
        <v>1.99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849</v>
      </c>
      <c r="C27" s="114" t="s">
        <v>134</v>
      </c>
      <c r="D27" s="88"/>
      <c r="E27" s="89">
        <v>1000</v>
      </c>
      <c r="F27" s="115">
        <v>1</v>
      </c>
      <c r="G27" s="96">
        <v>19.23</v>
      </c>
      <c r="H27" s="91">
        <f t="shared" si="0"/>
        <v>26.54</v>
      </c>
      <c r="I27" s="92">
        <f t="shared" si="1"/>
        <v>26.54</v>
      </c>
      <c r="J27" s="107"/>
      <c r="K27" s="90">
        <f t="shared" si="2"/>
        <v>1</v>
      </c>
      <c r="L27" s="91">
        <f t="shared" si="3"/>
        <v>15.92</v>
      </c>
      <c r="M27" s="91">
        <f t="shared" si="4"/>
        <v>15.92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10.62</v>
      </c>
      <c r="T27" s="96">
        <f t="shared" si="7"/>
        <v>10.62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933</v>
      </c>
      <c r="C28" s="101" t="s">
        <v>323</v>
      </c>
      <c r="D28" s="88"/>
      <c r="E28" s="102" t="s">
        <v>138</v>
      </c>
      <c r="F28" s="103">
        <v>1</v>
      </c>
      <c r="G28" s="104">
        <v>79.459999999999994</v>
      </c>
      <c r="H28" s="105">
        <f t="shared" si="0"/>
        <v>109.65</v>
      </c>
      <c r="I28" s="106">
        <f t="shared" si="1"/>
        <v>109.65</v>
      </c>
      <c r="J28" s="107"/>
      <c r="K28" s="108">
        <f t="shared" si="2"/>
        <v>1</v>
      </c>
      <c r="L28" s="105">
        <f t="shared" si="3"/>
        <v>65.790000000000006</v>
      </c>
      <c r="M28" s="105">
        <f t="shared" si="4"/>
        <v>65.790000000000006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43.86</v>
      </c>
      <c r="T28" s="111">
        <f t="shared" si="7"/>
        <v>43.86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893</v>
      </c>
      <c r="C29" s="114" t="s">
        <v>750</v>
      </c>
      <c r="D29" s="88"/>
      <c r="E29" s="89" t="s">
        <v>138</v>
      </c>
      <c r="F29" s="115">
        <v>1</v>
      </c>
      <c r="G29" s="96">
        <v>133.80000000000001</v>
      </c>
      <c r="H29" s="91">
        <f t="shared" si="0"/>
        <v>184.64</v>
      </c>
      <c r="I29" s="92">
        <f t="shared" si="1"/>
        <v>184.64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73.86</v>
      </c>
      <c r="T29" s="96">
        <f t="shared" si="7"/>
        <v>73.86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1015</v>
      </c>
      <c r="C30" s="101" t="s">
        <v>751</v>
      </c>
      <c r="D30" s="88"/>
      <c r="E30" s="102" t="s">
        <v>138</v>
      </c>
      <c r="F30" s="103">
        <v>1</v>
      </c>
      <c r="G30" s="104">
        <v>4103.78</v>
      </c>
      <c r="H30" s="105">
        <f t="shared" si="0"/>
        <v>5663.22</v>
      </c>
      <c r="I30" s="106">
        <f t="shared" si="1"/>
        <v>5663.22</v>
      </c>
      <c r="J30" s="107"/>
      <c r="K30" s="108">
        <f t="shared" si="2"/>
        <v>1</v>
      </c>
      <c r="L30" s="105">
        <f t="shared" si="3"/>
        <v>3397.93</v>
      </c>
      <c r="M30" s="105">
        <f t="shared" si="4"/>
        <v>3397.93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2265.29</v>
      </c>
      <c r="T30" s="111">
        <f t="shared" si="7"/>
        <v>2265.29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1016</v>
      </c>
      <c r="C31" s="114" t="s">
        <v>752</v>
      </c>
      <c r="D31" s="88"/>
      <c r="E31" s="89" t="s">
        <v>138</v>
      </c>
      <c r="F31" s="115">
        <v>1</v>
      </c>
      <c r="G31" s="96">
        <v>3211.4</v>
      </c>
      <c r="H31" s="91">
        <f t="shared" si="0"/>
        <v>4431.7299999999996</v>
      </c>
      <c r="I31" s="92">
        <f t="shared" si="1"/>
        <v>4431.7299999999996</v>
      </c>
      <c r="J31" s="107"/>
      <c r="K31" s="90">
        <f t="shared" si="2"/>
        <v>1</v>
      </c>
      <c r="L31" s="91">
        <f t="shared" si="3"/>
        <v>2659.04</v>
      </c>
      <c r="M31" s="91">
        <f t="shared" si="4"/>
        <v>2659.04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1772.69</v>
      </c>
      <c r="T31" s="96">
        <f t="shared" si="7"/>
        <v>1772.69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1017</v>
      </c>
      <c r="C32" s="101" t="s">
        <v>753</v>
      </c>
      <c r="D32" s="88"/>
      <c r="E32" s="102" t="s">
        <v>138</v>
      </c>
      <c r="F32" s="103">
        <v>1</v>
      </c>
      <c r="G32" s="104">
        <v>2835.63</v>
      </c>
      <c r="H32" s="105">
        <f t="shared" si="0"/>
        <v>3913.17</v>
      </c>
      <c r="I32" s="106">
        <f t="shared" si="1"/>
        <v>3913.17</v>
      </c>
      <c r="J32" s="107"/>
      <c r="K32" s="108">
        <f t="shared" si="2"/>
        <v>1</v>
      </c>
      <c r="L32" s="105">
        <f t="shared" si="3"/>
        <v>2347.9</v>
      </c>
      <c r="M32" s="105">
        <f t="shared" si="4"/>
        <v>2347.9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1565.27</v>
      </c>
      <c r="T32" s="111">
        <f t="shared" si="7"/>
        <v>1565.27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1030</v>
      </c>
      <c r="C33" s="114" t="s">
        <v>877</v>
      </c>
      <c r="D33" s="88"/>
      <c r="E33" s="89" t="s">
        <v>138</v>
      </c>
      <c r="F33" s="115">
        <v>1</v>
      </c>
      <c r="G33" s="96">
        <v>1628.2</v>
      </c>
      <c r="H33" s="91">
        <f t="shared" si="0"/>
        <v>2246.92</v>
      </c>
      <c r="I33" s="92">
        <f t="shared" si="1"/>
        <v>2246.92</v>
      </c>
      <c r="J33" s="107"/>
      <c r="K33" s="90">
        <f t="shared" si="2"/>
        <v>1</v>
      </c>
      <c r="L33" s="91">
        <f t="shared" si="3"/>
        <v>1123.46</v>
      </c>
      <c r="M33" s="91">
        <f t="shared" si="4"/>
        <v>1123.46</v>
      </c>
      <c r="N33" s="116"/>
      <c r="O33" s="95"/>
      <c r="P33" s="117"/>
      <c r="Q33" s="96"/>
      <c r="R33" s="96">
        <f t="shared" si="5"/>
        <v>0</v>
      </c>
      <c r="S33" s="96">
        <f t="shared" si="6"/>
        <v>1123.46</v>
      </c>
      <c r="T33" s="96">
        <f t="shared" si="7"/>
        <v>1123.46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822</v>
      </c>
      <c r="C34" s="101" t="s">
        <v>1019</v>
      </c>
      <c r="D34" s="88"/>
      <c r="E34" s="102" t="s">
        <v>138</v>
      </c>
      <c r="F34" s="103">
        <v>2</v>
      </c>
      <c r="G34" s="104">
        <v>221.18</v>
      </c>
      <c r="H34" s="105">
        <f t="shared" si="0"/>
        <v>305.23</v>
      </c>
      <c r="I34" s="106">
        <f t="shared" si="1"/>
        <v>610.46</v>
      </c>
      <c r="J34" s="107"/>
      <c r="K34" s="108">
        <f t="shared" si="2"/>
        <v>2</v>
      </c>
      <c r="L34" s="105">
        <f t="shared" si="3"/>
        <v>152.62</v>
      </c>
      <c r="M34" s="105">
        <f t="shared" si="4"/>
        <v>305.24</v>
      </c>
      <c r="N34" s="109"/>
      <c r="O34" s="95"/>
      <c r="P34" s="100"/>
      <c r="Q34" s="104"/>
      <c r="R34" s="110">
        <f t="shared" si="5"/>
        <v>0</v>
      </c>
      <c r="S34" s="111">
        <f t="shared" si="6"/>
        <v>152.61000000000001</v>
      </c>
      <c r="T34" s="111">
        <f t="shared" si="7"/>
        <v>305.22000000000003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1020</v>
      </c>
      <c r="C35" s="114" t="s">
        <v>144</v>
      </c>
      <c r="D35" s="88"/>
      <c r="E35" s="89" t="s">
        <v>138</v>
      </c>
      <c r="F35" s="115">
        <v>1</v>
      </c>
      <c r="G35" s="96">
        <v>4108.84</v>
      </c>
      <c r="H35" s="91">
        <f t="shared" si="0"/>
        <v>5670.2</v>
      </c>
      <c r="I35" s="92">
        <f t="shared" si="1"/>
        <v>5670.2</v>
      </c>
      <c r="J35" s="107"/>
      <c r="K35" s="90">
        <f t="shared" si="2"/>
        <v>1</v>
      </c>
      <c r="L35" s="91">
        <f t="shared" si="3"/>
        <v>2835.1</v>
      </c>
      <c r="M35" s="91">
        <f t="shared" si="4"/>
        <v>2835.1</v>
      </c>
      <c r="N35" s="116"/>
      <c r="O35" s="95"/>
      <c r="P35" s="117"/>
      <c r="Q35" s="96"/>
      <c r="R35" s="96">
        <f t="shared" si="5"/>
        <v>0</v>
      </c>
      <c r="S35" s="96">
        <f t="shared" si="6"/>
        <v>2835.1</v>
      </c>
      <c r="T35" s="96">
        <f t="shared" si="7"/>
        <v>2835.1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1021</v>
      </c>
      <c r="C36" s="101" t="s">
        <v>1022</v>
      </c>
      <c r="D36" s="88"/>
      <c r="E36" s="102" t="s">
        <v>138</v>
      </c>
      <c r="F36" s="103">
        <v>6</v>
      </c>
      <c r="G36" s="104">
        <v>603.16</v>
      </c>
      <c r="H36" s="105">
        <f t="shared" si="0"/>
        <v>832.36</v>
      </c>
      <c r="I36" s="106">
        <f t="shared" si="1"/>
        <v>4994.16</v>
      </c>
      <c r="J36" s="107"/>
      <c r="K36" s="108">
        <f t="shared" si="2"/>
        <v>6</v>
      </c>
      <c r="L36" s="105">
        <f t="shared" si="3"/>
        <v>582.65</v>
      </c>
      <c r="M36" s="105">
        <f t="shared" si="4"/>
        <v>3495.9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249.71</v>
      </c>
      <c r="T36" s="111">
        <f t="shared" si="7"/>
        <v>1498.26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493</v>
      </c>
      <c r="C37" s="114" t="s">
        <v>1023</v>
      </c>
      <c r="D37" s="88"/>
      <c r="E37" s="89">
        <v>6000</v>
      </c>
      <c r="F37" s="115">
        <v>4</v>
      </c>
      <c r="G37" s="96">
        <v>7917.94</v>
      </c>
      <c r="H37" s="91">
        <f t="shared" si="0"/>
        <v>10926.76</v>
      </c>
      <c r="I37" s="92">
        <f t="shared" si="1"/>
        <v>43707.040000000001</v>
      </c>
      <c r="J37" s="107"/>
      <c r="K37" s="90">
        <f t="shared" si="2"/>
        <v>4</v>
      </c>
      <c r="L37" s="91">
        <f t="shared" si="3"/>
        <v>5463.38</v>
      </c>
      <c r="M37" s="91">
        <f t="shared" si="4"/>
        <v>21853.52</v>
      </c>
      <c r="N37" s="116"/>
      <c r="O37" s="95"/>
      <c r="P37" s="117"/>
      <c r="Q37" s="96"/>
      <c r="R37" s="96">
        <f t="shared" si="5"/>
        <v>0</v>
      </c>
      <c r="S37" s="96">
        <f t="shared" si="6"/>
        <v>5463.38</v>
      </c>
      <c r="T37" s="96">
        <f t="shared" si="7"/>
        <v>21853.52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997</v>
      </c>
      <c r="C39" s="114" t="s">
        <v>998</v>
      </c>
      <c r="D39" s="88"/>
      <c r="E39" s="89" t="s">
        <v>138</v>
      </c>
      <c r="F39" s="115">
        <v>6</v>
      </c>
      <c r="G39" s="96">
        <v>158.03</v>
      </c>
      <c r="H39" s="91">
        <f t="shared" si="0"/>
        <v>218.08</v>
      </c>
      <c r="I39" s="92">
        <f t="shared" si="1"/>
        <v>1308.48</v>
      </c>
      <c r="J39" s="107"/>
      <c r="K39" s="90">
        <f t="shared" si="2"/>
        <v>6</v>
      </c>
      <c r="L39" s="91">
        <f t="shared" si="3"/>
        <v>152.66</v>
      </c>
      <c r="M39" s="91">
        <f t="shared" si="4"/>
        <v>915.96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65.42</v>
      </c>
      <c r="T39" s="96">
        <f t="shared" si="7"/>
        <v>392.52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999</v>
      </c>
      <c r="C40" s="101" t="s">
        <v>1031</v>
      </c>
      <c r="D40" s="88"/>
      <c r="E40" s="102" t="s">
        <v>138</v>
      </c>
      <c r="F40" s="103">
        <v>8</v>
      </c>
      <c r="G40" s="104">
        <v>66.180000000000007</v>
      </c>
      <c r="H40" s="105">
        <f t="shared" si="0"/>
        <v>91.33</v>
      </c>
      <c r="I40" s="106">
        <f t="shared" si="1"/>
        <v>730.64</v>
      </c>
      <c r="J40" s="107"/>
      <c r="K40" s="108">
        <f t="shared" si="2"/>
        <v>8</v>
      </c>
      <c r="L40" s="105">
        <f t="shared" si="3"/>
        <v>63.93</v>
      </c>
      <c r="M40" s="105">
        <f t="shared" si="4"/>
        <v>511.44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27.4</v>
      </c>
      <c r="T40" s="111">
        <f t="shared" si="7"/>
        <v>219.2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1032</v>
      </c>
      <c r="C41" s="114" t="s">
        <v>156</v>
      </c>
      <c r="D41" s="88"/>
      <c r="E41" s="89" t="s">
        <v>138</v>
      </c>
      <c r="F41" s="115">
        <v>7</v>
      </c>
      <c r="G41" s="96">
        <v>114.63</v>
      </c>
      <c r="H41" s="91">
        <f t="shared" si="0"/>
        <v>158.19</v>
      </c>
      <c r="I41" s="92">
        <f t="shared" si="1"/>
        <v>1107.33</v>
      </c>
      <c r="J41" s="107"/>
      <c r="K41" s="90">
        <f t="shared" si="2"/>
        <v>7</v>
      </c>
      <c r="L41" s="91">
        <f t="shared" si="3"/>
        <v>110.73</v>
      </c>
      <c r="M41" s="91">
        <f t="shared" si="4"/>
        <v>775.11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47.46</v>
      </c>
      <c r="T41" s="96">
        <f t="shared" si="7"/>
        <v>332.22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1001</v>
      </c>
      <c r="C42" s="101" t="s">
        <v>1002</v>
      </c>
      <c r="D42" s="88"/>
      <c r="E42" s="102" t="s">
        <v>138</v>
      </c>
      <c r="F42" s="103">
        <v>2</v>
      </c>
      <c r="G42" s="104">
        <v>173.86</v>
      </c>
      <c r="H42" s="105">
        <f t="shared" si="0"/>
        <v>239.93</v>
      </c>
      <c r="I42" s="106">
        <f t="shared" si="1"/>
        <v>479.86</v>
      </c>
      <c r="J42" s="107"/>
      <c r="K42" s="108">
        <f t="shared" si="2"/>
        <v>2</v>
      </c>
      <c r="L42" s="105">
        <f t="shared" si="3"/>
        <v>167.95</v>
      </c>
      <c r="M42" s="105">
        <f t="shared" si="4"/>
        <v>335.9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71.98</v>
      </c>
      <c r="T42" s="111">
        <f t="shared" si="7"/>
        <v>143.96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51</v>
      </c>
      <c r="G50" s="123">
        <f t="shared" si="10"/>
        <v>25803.39</v>
      </c>
      <c r="H50" s="124">
        <f t="shared" si="10"/>
        <v>35608.680000000008</v>
      </c>
      <c r="I50" s="125">
        <f t="shared" si="10"/>
        <v>75774.76999999999</v>
      </c>
      <c r="J50" s="126"/>
      <c r="K50" s="127">
        <f t="shared" ref="K50:M50" si="11">SUM(K19:K49)</f>
        <v>51</v>
      </c>
      <c r="L50" s="124">
        <f t="shared" si="11"/>
        <v>19552.93</v>
      </c>
      <c r="M50" s="125">
        <f t="shared" si="11"/>
        <v>41052.080000000002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16055.749999999996</v>
      </c>
      <c r="T50" s="125">
        <f t="shared" si="12"/>
        <v>34722.689999999995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E19:E49" xr:uid="{00000000-0002-0000-3D00-000000000000}">
      <formula1>$Z$19:$Z$30</formula1>
    </dataValidation>
    <dataValidation type="list" allowBlank="1" showErrorMessage="1" sqref="I14" xr:uid="{00000000-0002-0000-3D00-000001000000}">
      <formula1>$Y$14:$Y$15</formula1>
    </dataValidation>
    <dataValidation type="list" allowBlank="1" showErrorMessage="1" sqref="J14" xr:uid="{00000000-0002-0000-3D00-000002000000}">
      <formula1>$L$9</formula1>
    </dataValidation>
    <dataValidation type="list" allowBlank="1" showErrorMessage="1" sqref="Q15 G18 L18 Q18" xr:uid="{00000000-0002-0000-3D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1033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75774.76999999999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41052.080000000002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34722.689999999988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1025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0.45823550503683474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1034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34722.689999999995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41052.080000000002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51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30.82</v>
      </c>
      <c r="H19" s="91">
        <f t="shared" ref="H19:H49" si="0">ROUND(IF($G$18="USD $", G19*$F$16,G19*$E$16),2)</f>
        <v>42.53</v>
      </c>
      <c r="I19" s="92">
        <f t="shared" ref="I19:I49" si="1">ROUND(IF($I$18=$H$18,F19*H19,F19*G19),2)</f>
        <v>42.53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21.27</v>
      </c>
      <c r="M19" s="91">
        <f t="shared" ref="M19:M49" si="4">ROUND((K19*L19),2)</f>
        <v>21.27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21.26</v>
      </c>
      <c r="T19" s="96">
        <f t="shared" ref="T19:T49" si="7">ROUND(I19-M19,2)</f>
        <v>21.26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1007</v>
      </c>
      <c r="C20" s="101" t="s">
        <v>118</v>
      </c>
      <c r="D20" s="88"/>
      <c r="E20" s="102">
        <v>500</v>
      </c>
      <c r="F20" s="103">
        <v>1</v>
      </c>
      <c r="G20" s="104">
        <v>48.89</v>
      </c>
      <c r="H20" s="105">
        <f t="shared" si="0"/>
        <v>67.47</v>
      </c>
      <c r="I20" s="106">
        <f t="shared" si="1"/>
        <v>67.47</v>
      </c>
      <c r="J20" s="107"/>
      <c r="K20" s="108">
        <f t="shared" si="2"/>
        <v>1</v>
      </c>
      <c r="L20" s="105">
        <f t="shared" si="3"/>
        <v>33.74</v>
      </c>
      <c r="M20" s="105">
        <f t="shared" si="4"/>
        <v>33.74</v>
      </c>
      <c r="N20" s="109"/>
      <c r="O20" s="95"/>
      <c r="P20" s="100"/>
      <c r="Q20" s="104"/>
      <c r="R20" s="110">
        <f t="shared" si="5"/>
        <v>0</v>
      </c>
      <c r="S20" s="111">
        <f t="shared" si="6"/>
        <v>33.729999999999997</v>
      </c>
      <c r="T20" s="111">
        <f t="shared" si="7"/>
        <v>33.729999999999997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980</v>
      </c>
      <c r="C21" s="114" t="s">
        <v>743</v>
      </c>
      <c r="D21" s="88"/>
      <c r="E21" s="89">
        <v>500</v>
      </c>
      <c r="F21" s="115">
        <v>1</v>
      </c>
      <c r="G21" s="96">
        <v>58.85</v>
      </c>
      <c r="H21" s="91">
        <f t="shared" si="0"/>
        <v>81.209999999999994</v>
      </c>
      <c r="I21" s="92">
        <f t="shared" si="1"/>
        <v>81.209999999999994</v>
      </c>
      <c r="J21" s="107"/>
      <c r="K21" s="90">
        <f t="shared" si="2"/>
        <v>1</v>
      </c>
      <c r="L21" s="91">
        <f t="shared" si="3"/>
        <v>40.61</v>
      </c>
      <c r="M21" s="91">
        <f t="shared" si="4"/>
        <v>40.61</v>
      </c>
      <c r="N21" s="116"/>
      <c r="O21" s="95"/>
      <c r="P21" s="117"/>
      <c r="Q21" s="96"/>
      <c r="R21" s="96">
        <f t="shared" si="5"/>
        <v>0</v>
      </c>
      <c r="S21" s="96">
        <f t="shared" si="6"/>
        <v>40.6</v>
      </c>
      <c r="T21" s="96">
        <f t="shared" si="7"/>
        <v>40.6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988</v>
      </c>
      <c r="C22" s="101" t="s">
        <v>174</v>
      </c>
      <c r="D22" s="88"/>
      <c r="E22" s="102">
        <v>4000</v>
      </c>
      <c r="F22" s="103">
        <v>1</v>
      </c>
      <c r="G22" s="104">
        <v>159.29</v>
      </c>
      <c r="H22" s="105">
        <f t="shared" si="0"/>
        <v>219.82</v>
      </c>
      <c r="I22" s="106">
        <f t="shared" si="1"/>
        <v>219.82</v>
      </c>
      <c r="J22" s="107"/>
      <c r="K22" s="108">
        <f t="shared" si="2"/>
        <v>1</v>
      </c>
      <c r="L22" s="105">
        <f t="shared" si="3"/>
        <v>109.91</v>
      </c>
      <c r="M22" s="105">
        <f t="shared" si="4"/>
        <v>109.91</v>
      </c>
      <c r="N22" s="109"/>
      <c r="O22" s="95"/>
      <c r="P22" s="100"/>
      <c r="Q22" s="104"/>
      <c r="R22" s="110">
        <f t="shared" si="5"/>
        <v>0</v>
      </c>
      <c r="S22" s="111">
        <f t="shared" si="6"/>
        <v>109.91</v>
      </c>
      <c r="T22" s="111">
        <f t="shared" si="7"/>
        <v>109.91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1010</v>
      </c>
      <c r="C23" s="114" t="s">
        <v>174</v>
      </c>
      <c r="D23" s="88"/>
      <c r="E23" s="89">
        <v>500</v>
      </c>
      <c r="F23" s="115">
        <v>1</v>
      </c>
      <c r="G23" s="96">
        <v>11.63</v>
      </c>
      <c r="H23" s="91">
        <f t="shared" si="0"/>
        <v>16.05</v>
      </c>
      <c r="I23" s="92">
        <f t="shared" si="1"/>
        <v>16.05</v>
      </c>
      <c r="J23" s="107"/>
      <c r="K23" s="90">
        <f t="shared" si="2"/>
        <v>1</v>
      </c>
      <c r="L23" s="91">
        <f t="shared" si="3"/>
        <v>8.0299999999999994</v>
      </c>
      <c r="M23" s="91">
        <f t="shared" si="4"/>
        <v>8.0299999999999994</v>
      </c>
      <c r="N23" s="116"/>
      <c r="O23" s="95"/>
      <c r="P23" s="117"/>
      <c r="Q23" s="96"/>
      <c r="R23" s="96">
        <f t="shared" si="5"/>
        <v>0</v>
      </c>
      <c r="S23" s="96">
        <f t="shared" si="6"/>
        <v>8.02</v>
      </c>
      <c r="T23" s="96">
        <f t="shared" si="7"/>
        <v>8.02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1011</v>
      </c>
      <c r="C24" s="101" t="s">
        <v>415</v>
      </c>
      <c r="D24" s="88"/>
      <c r="E24" s="102">
        <v>2000</v>
      </c>
      <c r="F24" s="103">
        <v>1</v>
      </c>
      <c r="G24" s="104">
        <v>62.77</v>
      </c>
      <c r="H24" s="105">
        <f t="shared" si="0"/>
        <v>86.62</v>
      </c>
      <c r="I24" s="106">
        <f t="shared" si="1"/>
        <v>86.62</v>
      </c>
      <c r="J24" s="107"/>
      <c r="K24" s="108">
        <f t="shared" si="2"/>
        <v>1</v>
      </c>
      <c r="L24" s="105">
        <f t="shared" si="3"/>
        <v>43.31</v>
      </c>
      <c r="M24" s="105">
        <f t="shared" si="4"/>
        <v>43.31</v>
      </c>
      <c r="N24" s="109"/>
      <c r="O24" s="95"/>
      <c r="P24" s="100"/>
      <c r="Q24" s="104"/>
      <c r="R24" s="110">
        <f t="shared" si="5"/>
        <v>0</v>
      </c>
      <c r="S24" s="111">
        <f t="shared" si="6"/>
        <v>43.31</v>
      </c>
      <c r="T24" s="111">
        <f t="shared" si="7"/>
        <v>43.31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1027</v>
      </c>
      <c r="C25" s="114" t="s">
        <v>1028</v>
      </c>
      <c r="D25" s="88"/>
      <c r="E25" s="89">
        <v>1000</v>
      </c>
      <c r="F25" s="115">
        <v>1</v>
      </c>
      <c r="G25" s="96">
        <v>52.21</v>
      </c>
      <c r="H25" s="91">
        <f t="shared" si="0"/>
        <v>72.05</v>
      </c>
      <c r="I25" s="92">
        <f t="shared" si="1"/>
        <v>72.05</v>
      </c>
      <c r="J25" s="107"/>
      <c r="K25" s="90">
        <f t="shared" si="2"/>
        <v>1</v>
      </c>
      <c r="L25" s="91">
        <f t="shared" si="3"/>
        <v>43.23</v>
      </c>
      <c r="M25" s="91">
        <f t="shared" si="4"/>
        <v>43.23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28.82</v>
      </c>
      <c r="T25" s="96">
        <f t="shared" si="7"/>
        <v>28.82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1029</v>
      </c>
      <c r="C26" s="101" t="s">
        <v>134</v>
      </c>
      <c r="D26" s="88"/>
      <c r="E26" s="102">
        <v>1000</v>
      </c>
      <c r="F26" s="103">
        <v>1</v>
      </c>
      <c r="G26" s="104">
        <v>3.61</v>
      </c>
      <c r="H26" s="105">
        <f t="shared" si="0"/>
        <v>4.9800000000000004</v>
      </c>
      <c r="I26" s="106">
        <f t="shared" si="1"/>
        <v>4.9800000000000004</v>
      </c>
      <c r="J26" s="107"/>
      <c r="K26" s="108">
        <f t="shared" si="2"/>
        <v>1</v>
      </c>
      <c r="L26" s="105">
        <f t="shared" si="3"/>
        <v>2.99</v>
      </c>
      <c r="M26" s="105">
        <f t="shared" si="4"/>
        <v>2.99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1.99</v>
      </c>
      <c r="T26" s="111">
        <f t="shared" si="7"/>
        <v>1.99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849</v>
      </c>
      <c r="C27" s="114" t="s">
        <v>134</v>
      </c>
      <c r="D27" s="88"/>
      <c r="E27" s="89">
        <v>1000</v>
      </c>
      <c r="F27" s="115">
        <v>1</v>
      </c>
      <c r="G27" s="96">
        <v>19.23</v>
      </c>
      <c r="H27" s="91">
        <f t="shared" si="0"/>
        <v>26.54</v>
      </c>
      <c r="I27" s="92">
        <f t="shared" si="1"/>
        <v>26.54</v>
      </c>
      <c r="J27" s="107"/>
      <c r="K27" s="90">
        <f t="shared" si="2"/>
        <v>1</v>
      </c>
      <c r="L27" s="91">
        <f t="shared" si="3"/>
        <v>15.92</v>
      </c>
      <c r="M27" s="91">
        <f t="shared" si="4"/>
        <v>15.92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10.62</v>
      </c>
      <c r="T27" s="96">
        <f t="shared" si="7"/>
        <v>10.62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933</v>
      </c>
      <c r="C28" s="101" t="s">
        <v>323</v>
      </c>
      <c r="D28" s="88"/>
      <c r="E28" s="102" t="s">
        <v>138</v>
      </c>
      <c r="F28" s="103">
        <v>1</v>
      </c>
      <c r="G28" s="104">
        <v>79.459999999999994</v>
      </c>
      <c r="H28" s="105">
        <f t="shared" si="0"/>
        <v>109.65</v>
      </c>
      <c r="I28" s="106">
        <f t="shared" si="1"/>
        <v>109.65</v>
      </c>
      <c r="J28" s="107"/>
      <c r="K28" s="108">
        <f t="shared" si="2"/>
        <v>1</v>
      </c>
      <c r="L28" s="105">
        <f t="shared" si="3"/>
        <v>65.790000000000006</v>
      </c>
      <c r="M28" s="105">
        <f t="shared" si="4"/>
        <v>65.790000000000006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43.86</v>
      </c>
      <c r="T28" s="111">
        <f t="shared" si="7"/>
        <v>43.86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893</v>
      </c>
      <c r="C29" s="114" t="s">
        <v>750</v>
      </c>
      <c r="D29" s="88"/>
      <c r="E29" s="89" t="s">
        <v>138</v>
      </c>
      <c r="F29" s="115">
        <v>1</v>
      </c>
      <c r="G29" s="96">
        <v>133.80000000000001</v>
      </c>
      <c r="H29" s="91">
        <f t="shared" si="0"/>
        <v>184.64</v>
      </c>
      <c r="I29" s="92">
        <f t="shared" si="1"/>
        <v>184.64</v>
      </c>
      <c r="J29" s="107"/>
      <c r="K29" s="90">
        <f t="shared" si="2"/>
        <v>1</v>
      </c>
      <c r="L29" s="91">
        <f t="shared" si="3"/>
        <v>110.78</v>
      </c>
      <c r="M29" s="91">
        <f t="shared" si="4"/>
        <v>110.78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73.86</v>
      </c>
      <c r="T29" s="96">
        <f t="shared" si="7"/>
        <v>73.86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1015</v>
      </c>
      <c r="C30" s="101" t="s">
        <v>751</v>
      </c>
      <c r="D30" s="88"/>
      <c r="E30" s="102" t="s">
        <v>138</v>
      </c>
      <c r="F30" s="103">
        <v>1</v>
      </c>
      <c r="G30" s="104">
        <v>4103.78</v>
      </c>
      <c r="H30" s="105">
        <f t="shared" si="0"/>
        <v>5663.22</v>
      </c>
      <c r="I30" s="106">
        <f t="shared" si="1"/>
        <v>5663.22</v>
      </c>
      <c r="J30" s="107"/>
      <c r="K30" s="108">
        <f t="shared" si="2"/>
        <v>1</v>
      </c>
      <c r="L30" s="105">
        <f t="shared" si="3"/>
        <v>3397.93</v>
      </c>
      <c r="M30" s="105">
        <f t="shared" si="4"/>
        <v>3397.93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2265.29</v>
      </c>
      <c r="T30" s="111">
        <f t="shared" si="7"/>
        <v>2265.29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1016</v>
      </c>
      <c r="C31" s="114" t="s">
        <v>752</v>
      </c>
      <c r="D31" s="88"/>
      <c r="E31" s="89" t="s">
        <v>138</v>
      </c>
      <c r="F31" s="115">
        <v>1</v>
      </c>
      <c r="G31" s="96">
        <v>3211.4</v>
      </c>
      <c r="H31" s="91">
        <f t="shared" si="0"/>
        <v>4431.7299999999996</v>
      </c>
      <c r="I31" s="92">
        <f t="shared" si="1"/>
        <v>4431.7299999999996</v>
      </c>
      <c r="J31" s="107"/>
      <c r="K31" s="90">
        <f t="shared" si="2"/>
        <v>1</v>
      </c>
      <c r="L31" s="91">
        <f t="shared" si="3"/>
        <v>2659.04</v>
      </c>
      <c r="M31" s="91">
        <f t="shared" si="4"/>
        <v>2659.04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1772.69</v>
      </c>
      <c r="T31" s="96">
        <f t="shared" si="7"/>
        <v>1772.69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1017</v>
      </c>
      <c r="C32" s="101" t="s">
        <v>753</v>
      </c>
      <c r="D32" s="88"/>
      <c r="E32" s="102" t="s">
        <v>138</v>
      </c>
      <c r="F32" s="103">
        <v>1</v>
      </c>
      <c r="G32" s="104">
        <v>2835.63</v>
      </c>
      <c r="H32" s="105">
        <f t="shared" si="0"/>
        <v>3913.17</v>
      </c>
      <c r="I32" s="106">
        <f t="shared" si="1"/>
        <v>3913.17</v>
      </c>
      <c r="J32" s="107"/>
      <c r="K32" s="108">
        <f t="shared" si="2"/>
        <v>1</v>
      </c>
      <c r="L32" s="105">
        <f t="shared" si="3"/>
        <v>2347.9</v>
      </c>
      <c r="M32" s="105">
        <f t="shared" si="4"/>
        <v>2347.9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1565.27</v>
      </c>
      <c r="T32" s="111">
        <f t="shared" si="7"/>
        <v>1565.27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1030</v>
      </c>
      <c r="C33" s="114" t="s">
        <v>877</v>
      </c>
      <c r="D33" s="88"/>
      <c r="E33" s="89" t="s">
        <v>138</v>
      </c>
      <c r="F33" s="115">
        <v>1</v>
      </c>
      <c r="G33" s="96">
        <v>1628.2</v>
      </c>
      <c r="H33" s="91">
        <f t="shared" si="0"/>
        <v>2246.92</v>
      </c>
      <c r="I33" s="92">
        <f t="shared" si="1"/>
        <v>2246.92</v>
      </c>
      <c r="J33" s="107"/>
      <c r="K33" s="90">
        <f t="shared" si="2"/>
        <v>1</v>
      </c>
      <c r="L33" s="91">
        <f t="shared" si="3"/>
        <v>1123.46</v>
      </c>
      <c r="M33" s="91">
        <f t="shared" si="4"/>
        <v>1123.46</v>
      </c>
      <c r="N33" s="116"/>
      <c r="O33" s="95"/>
      <c r="P33" s="117"/>
      <c r="Q33" s="96"/>
      <c r="R33" s="96">
        <f t="shared" si="5"/>
        <v>0</v>
      </c>
      <c r="S33" s="96">
        <f t="shared" si="6"/>
        <v>1123.46</v>
      </c>
      <c r="T33" s="96">
        <f t="shared" si="7"/>
        <v>1123.46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822</v>
      </c>
      <c r="C34" s="101" t="s">
        <v>1019</v>
      </c>
      <c r="D34" s="88"/>
      <c r="E34" s="102" t="s">
        <v>138</v>
      </c>
      <c r="F34" s="103">
        <v>2</v>
      </c>
      <c r="G34" s="104">
        <v>221.18</v>
      </c>
      <c r="H34" s="105">
        <f t="shared" si="0"/>
        <v>305.23</v>
      </c>
      <c r="I34" s="106">
        <f t="shared" si="1"/>
        <v>610.46</v>
      </c>
      <c r="J34" s="107"/>
      <c r="K34" s="108">
        <f t="shared" si="2"/>
        <v>2</v>
      </c>
      <c r="L34" s="105">
        <f t="shared" si="3"/>
        <v>152.62</v>
      </c>
      <c r="M34" s="105">
        <f t="shared" si="4"/>
        <v>305.24</v>
      </c>
      <c r="N34" s="109"/>
      <c r="O34" s="95"/>
      <c r="P34" s="100"/>
      <c r="Q34" s="104"/>
      <c r="R34" s="110">
        <f t="shared" si="5"/>
        <v>0</v>
      </c>
      <c r="S34" s="111">
        <f t="shared" si="6"/>
        <v>152.61000000000001</v>
      </c>
      <c r="T34" s="111">
        <f t="shared" si="7"/>
        <v>305.22000000000003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1020</v>
      </c>
      <c r="C35" s="114" t="s">
        <v>144</v>
      </c>
      <c r="D35" s="88"/>
      <c r="E35" s="89" t="s">
        <v>138</v>
      </c>
      <c r="F35" s="115">
        <v>1</v>
      </c>
      <c r="G35" s="96">
        <v>4108.84</v>
      </c>
      <c r="H35" s="91">
        <f t="shared" si="0"/>
        <v>5670.2</v>
      </c>
      <c r="I35" s="92">
        <f t="shared" si="1"/>
        <v>5670.2</v>
      </c>
      <c r="J35" s="107"/>
      <c r="K35" s="90">
        <f t="shared" si="2"/>
        <v>1</v>
      </c>
      <c r="L35" s="91">
        <f t="shared" si="3"/>
        <v>2835.1</v>
      </c>
      <c r="M35" s="91">
        <f t="shared" si="4"/>
        <v>2835.1</v>
      </c>
      <c r="N35" s="116"/>
      <c r="O35" s="95"/>
      <c r="P35" s="117"/>
      <c r="Q35" s="96"/>
      <c r="R35" s="96">
        <f t="shared" si="5"/>
        <v>0</v>
      </c>
      <c r="S35" s="96">
        <f t="shared" si="6"/>
        <v>2835.1</v>
      </c>
      <c r="T35" s="96">
        <f t="shared" si="7"/>
        <v>2835.1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1021</v>
      </c>
      <c r="C36" s="101" t="s">
        <v>1022</v>
      </c>
      <c r="D36" s="88"/>
      <c r="E36" s="102" t="s">
        <v>138</v>
      </c>
      <c r="F36" s="103">
        <v>6</v>
      </c>
      <c r="G36" s="104">
        <v>603.16</v>
      </c>
      <c r="H36" s="105">
        <f t="shared" si="0"/>
        <v>832.36</v>
      </c>
      <c r="I36" s="106">
        <f t="shared" si="1"/>
        <v>4994.16</v>
      </c>
      <c r="J36" s="107"/>
      <c r="K36" s="108">
        <f t="shared" si="2"/>
        <v>6</v>
      </c>
      <c r="L36" s="105">
        <f t="shared" si="3"/>
        <v>582.65</v>
      </c>
      <c r="M36" s="105">
        <f t="shared" si="4"/>
        <v>3495.9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249.71</v>
      </c>
      <c r="T36" s="111">
        <f t="shared" si="7"/>
        <v>1498.26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493</v>
      </c>
      <c r="C37" s="114" t="s">
        <v>1023</v>
      </c>
      <c r="D37" s="88"/>
      <c r="E37" s="89">
        <v>6000</v>
      </c>
      <c r="F37" s="115">
        <v>4</v>
      </c>
      <c r="G37" s="96">
        <v>7917.94</v>
      </c>
      <c r="H37" s="91">
        <f t="shared" si="0"/>
        <v>10926.76</v>
      </c>
      <c r="I37" s="92">
        <f t="shared" si="1"/>
        <v>43707.040000000001</v>
      </c>
      <c r="J37" s="107"/>
      <c r="K37" s="90">
        <f t="shared" si="2"/>
        <v>4</v>
      </c>
      <c r="L37" s="91">
        <f t="shared" si="3"/>
        <v>5463.38</v>
      </c>
      <c r="M37" s="91">
        <f t="shared" si="4"/>
        <v>21853.52</v>
      </c>
      <c r="N37" s="116"/>
      <c r="O37" s="95"/>
      <c r="P37" s="117"/>
      <c r="Q37" s="96"/>
      <c r="R37" s="96">
        <f t="shared" si="5"/>
        <v>0</v>
      </c>
      <c r="S37" s="96">
        <f t="shared" si="6"/>
        <v>5463.38</v>
      </c>
      <c r="T37" s="96">
        <f t="shared" si="7"/>
        <v>21853.52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997</v>
      </c>
      <c r="C39" s="114" t="s">
        <v>998</v>
      </c>
      <c r="D39" s="88"/>
      <c r="E39" s="89" t="s">
        <v>138</v>
      </c>
      <c r="F39" s="115">
        <v>6</v>
      </c>
      <c r="G39" s="96">
        <v>158.03</v>
      </c>
      <c r="H39" s="91">
        <f t="shared" si="0"/>
        <v>218.08</v>
      </c>
      <c r="I39" s="92">
        <f t="shared" si="1"/>
        <v>1308.48</v>
      </c>
      <c r="J39" s="107"/>
      <c r="K39" s="90">
        <f t="shared" si="2"/>
        <v>6</v>
      </c>
      <c r="L39" s="91">
        <f t="shared" si="3"/>
        <v>152.66</v>
      </c>
      <c r="M39" s="91">
        <f t="shared" si="4"/>
        <v>915.96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65.42</v>
      </c>
      <c r="T39" s="96">
        <f t="shared" si="7"/>
        <v>392.52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999</v>
      </c>
      <c r="C40" s="101" t="s">
        <v>1031</v>
      </c>
      <c r="D40" s="88"/>
      <c r="E40" s="102" t="s">
        <v>138</v>
      </c>
      <c r="F40" s="103">
        <v>8</v>
      </c>
      <c r="G40" s="104">
        <v>66.180000000000007</v>
      </c>
      <c r="H40" s="105">
        <f t="shared" si="0"/>
        <v>91.33</v>
      </c>
      <c r="I40" s="106">
        <f t="shared" si="1"/>
        <v>730.64</v>
      </c>
      <c r="J40" s="107"/>
      <c r="K40" s="108">
        <f t="shared" si="2"/>
        <v>8</v>
      </c>
      <c r="L40" s="105">
        <f t="shared" si="3"/>
        <v>63.93</v>
      </c>
      <c r="M40" s="105">
        <f t="shared" si="4"/>
        <v>511.44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27.4</v>
      </c>
      <c r="T40" s="111">
        <f t="shared" si="7"/>
        <v>219.2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1032</v>
      </c>
      <c r="C41" s="114" t="s">
        <v>156</v>
      </c>
      <c r="D41" s="88"/>
      <c r="E41" s="89" t="s">
        <v>138</v>
      </c>
      <c r="F41" s="115">
        <v>7</v>
      </c>
      <c r="G41" s="96">
        <v>114.63</v>
      </c>
      <c r="H41" s="91">
        <f t="shared" si="0"/>
        <v>158.19</v>
      </c>
      <c r="I41" s="92">
        <f t="shared" si="1"/>
        <v>1107.33</v>
      </c>
      <c r="J41" s="107"/>
      <c r="K41" s="90">
        <f t="shared" si="2"/>
        <v>7</v>
      </c>
      <c r="L41" s="91">
        <f t="shared" si="3"/>
        <v>110.73</v>
      </c>
      <c r="M41" s="91">
        <f t="shared" si="4"/>
        <v>775.11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47.46</v>
      </c>
      <c r="T41" s="96">
        <f t="shared" si="7"/>
        <v>332.22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1001</v>
      </c>
      <c r="C42" s="101" t="s">
        <v>1002</v>
      </c>
      <c r="D42" s="88"/>
      <c r="E42" s="102" t="s">
        <v>138</v>
      </c>
      <c r="F42" s="103">
        <v>2</v>
      </c>
      <c r="G42" s="104">
        <v>173.86</v>
      </c>
      <c r="H42" s="105">
        <f t="shared" si="0"/>
        <v>239.93</v>
      </c>
      <c r="I42" s="106">
        <f t="shared" si="1"/>
        <v>479.86</v>
      </c>
      <c r="J42" s="107"/>
      <c r="K42" s="108">
        <f t="shared" si="2"/>
        <v>2</v>
      </c>
      <c r="L42" s="105">
        <f t="shared" si="3"/>
        <v>167.95</v>
      </c>
      <c r="M42" s="105">
        <f t="shared" si="4"/>
        <v>335.9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71.98</v>
      </c>
      <c r="T42" s="111">
        <f t="shared" si="7"/>
        <v>143.96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51</v>
      </c>
      <c r="G50" s="123">
        <f t="shared" si="10"/>
        <v>25803.39</v>
      </c>
      <c r="H50" s="124">
        <f t="shared" si="10"/>
        <v>35608.680000000008</v>
      </c>
      <c r="I50" s="125">
        <f t="shared" si="10"/>
        <v>75774.76999999999</v>
      </c>
      <c r="J50" s="126"/>
      <c r="K50" s="127">
        <f t="shared" ref="K50:M50" si="11">SUM(K19:K49)</f>
        <v>51</v>
      </c>
      <c r="L50" s="124">
        <f t="shared" si="11"/>
        <v>19552.93</v>
      </c>
      <c r="M50" s="125">
        <f t="shared" si="11"/>
        <v>41052.080000000002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16055.749999999996</v>
      </c>
      <c r="T50" s="125">
        <f t="shared" si="12"/>
        <v>34722.689999999995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E19:E49" xr:uid="{00000000-0002-0000-3E00-000000000000}">
      <formula1>$Z$19:$Z$30</formula1>
    </dataValidation>
    <dataValidation type="list" allowBlank="1" showErrorMessage="1" sqref="I14" xr:uid="{00000000-0002-0000-3E00-000001000000}">
      <formula1>$Y$14:$Y$15</formula1>
    </dataValidation>
    <dataValidation type="list" allowBlank="1" showErrorMessage="1" sqref="J14" xr:uid="{00000000-0002-0000-3E00-000002000000}">
      <formula1>$L$9</formula1>
    </dataValidation>
    <dataValidation type="list" allowBlank="1" showErrorMessage="1" sqref="Q15 G18 L18 Q18" xr:uid="{00000000-0002-0000-3E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1035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63375.16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33592.35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29782.810000000005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1036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0.46994453347336723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1037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29782.809999999998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33592.35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983</v>
      </c>
      <c r="C20" s="101" t="s">
        <v>118</v>
      </c>
      <c r="D20" s="88"/>
      <c r="E20" s="102">
        <v>500</v>
      </c>
      <c r="F20" s="103">
        <v>1</v>
      </c>
      <c r="G20" s="104">
        <v>13.09</v>
      </c>
      <c r="H20" s="105">
        <f t="shared" si="0"/>
        <v>18.059999999999999</v>
      </c>
      <c r="I20" s="106">
        <f t="shared" si="1"/>
        <v>18.059999999999999</v>
      </c>
      <c r="J20" s="107"/>
      <c r="K20" s="108">
        <f t="shared" si="2"/>
        <v>1</v>
      </c>
      <c r="L20" s="105">
        <f t="shared" si="3"/>
        <v>9.0299999999999994</v>
      </c>
      <c r="M20" s="105">
        <f t="shared" si="4"/>
        <v>9.0299999999999994</v>
      </c>
      <c r="N20" s="109"/>
      <c r="O20" s="95"/>
      <c r="P20" s="100"/>
      <c r="Q20" s="104"/>
      <c r="R20" s="110">
        <f t="shared" si="5"/>
        <v>0</v>
      </c>
      <c r="S20" s="111">
        <f t="shared" si="6"/>
        <v>9.0299999999999994</v>
      </c>
      <c r="T20" s="111">
        <f t="shared" si="7"/>
        <v>9.0299999999999994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982</v>
      </c>
      <c r="C21" s="114" t="s">
        <v>1038</v>
      </c>
      <c r="D21" s="88"/>
      <c r="E21" s="89">
        <v>500</v>
      </c>
      <c r="F21" s="115">
        <v>1</v>
      </c>
      <c r="G21" s="96">
        <v>38.51</v>
      </c>
      <c r="H21" s="91">
        <f t="shared" si="0"/>
        <v>53.14</v>
      </c>
      <c r="I21" s="92">
        <f t="shared" si="1"/>
        <v>53.14</v>
      </c>
      <c r="J21" s="107"/>
      <c r="K21" s="90">
        <f t="shared" si="2"/>
        <v>1</v>
      </c>
      <c r="L21" s="91">
        <f t="shared" si="3"/>
        <v>26.57</v>
      </c>
      <c r="M21" s="91">
        <f t="shared" si="4"/>
        <v>26.57</v>
      </c>
      <c r="N21" s="116"/>
      <c r="O21" s="95"/>
      <c r="P21" s="117"/>
      <c r="Q21" s="96"/>
      <c r="R21" s="96">
        <f t="shared" si="5"/>
        <v>0</v>
      </c>
      <c r="S21" s="96">
        <f t="shared" si="6"/>
        <v>26.57</v>
      </c>
      <c r="T21" s="96">
        <f t="shared" si="7"/>
        <v>26.57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845</v>
      </c>
      <c r="C22" s="101" t="s">
        <v>1039</v>
      </c>
      <c r="D22" s="88"/>
      <c r="E22" s="102">
        <v>500</v>
      </c>
      <c r="F22" s="103">
        <v>1</v>
      </c>
      <c r="G22" s="104">
        <v>49.24</v>
      </c>
      <c r="H22" s="105">
        <f t="shared" si="0"/>
        <v>67.95</v>
      </c>
      <c r="I22" s="106">
        <f t="shared" si="1"/>
        <v>67.95</v>
      </c>
      <c r="J22" s="107"/>
      <c r="K22" s="108">
        <f t="shared" si="2"/>
        <v>1</v>
      </c>
      <c r="L22" s="105">
        <f t="shared" si="3"/>
        <v>33.979999999999997</v>
      </c>
      <c r="M22" s="105">
        <f t="shared" si="4"/>
        <v>33.979999999999997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33.97</v>
      </c>
      <c r="T22" s="111">
        <f t="shared" si="7"/>
        <v>33.97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985</v>
      </c>
      <c r="C23" s="114" t="s">
        <v>1040</v>
      </c>
      <c r="D23" s="88"/>
      <c r="E23" s="89">
        <v>1000</v>
      </c>
      <c r="F23" s="115">
        <v>1</v>
      </c>
      <c r="G23" s="96">
        <v>120.38</v>
      </c>
      <c r="H23" s="91">
        <f t="shared" si="0"/>
        <v>166.12</v>
      </c>
      <c r="I23" s="92">
        <f t="shared" si="1"/>
        <v>166.12</v>
      </c>
      <c r="J23" s="107"/>
      <c r="K23" s="90">
        <f t="shared" si="2"/>
        <v>1</v>
      </c>
      <c r="L23" s="91">
        <f t="shared" si="3"/>
        <v>83.06</v>
      </c>
      <c r="M23" s="91">
        <f t="shared" si="4"/>
        <v>83.06</v>
      </c>
      <c r="N23" s="116"/>
      <c r="O23" s="95"/>
      <c r="P23" s="117"/>
      <c r="Q23" s="96"/>
      <c r="R23" s="96">
        <f t="shared" si="5"/>
        <v>0</v>
      </c>
      <c r="S23" s="96">
        <f t="shared" si="6"/>
        <v>83.06</v>
      </c>
      <c r="T23" s="96">
        <f t="shared" si="7"/>
        <v>83.06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1011</v>
      </c>
      <c r="C24" s="101" t="s">
        <v>415</v>
      </c>
      <c r="D24" s="88"/>
      <c r="E24" s="102">
        <v>2000</v>
      </c>
      <c r="F24" s="103">
        <v>1</v>
      </c>
      <c r="G24" s="104">
        <v>62.77</v>
      </c>
      <c r="H24" s="105">
        <f t="shared" si="0"/>
        <v>86.62</v>
      </c>
      <c r="I24" s="106">
        <f t="shared" si="1"/>
        <v>86.62</v>
      </c>
      <c r="J24" s="107"/>
      <c r="K24" s="108">
        <f t="shared" si="2"/>
        <v>1</v>
      </c>
      <c r="L24" s="105">
        <f t="shared" si="3"/>
        <v>43.31</v>
      </c>
      <c r="M24" s="105">
        <f t="shared" si="4"/>
        <v>43.31</v>
      </c>
      <c r="N24" s="109"/>
      <c r="O24" s="95"/>
      <c r="P24" s="100"/>
      <c r="Q24" s="104"/>
      <c r="R24" s="110">
        <f t="shared" si="5"/>
        <v>0</v>
      </c>
      <c r="S24" s="111">
        <f t="shared" si="6"/>
        <v>43.31</v>
      </c>
      <c r="T24" s="111">
        <f t="shared" si="7"/>
        <v>43.31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988</v>
      </c>
      <c r="C25" s="114" t="s">
        <v>174</v>
      </c>
      <c r="D25" s="88"/>
      <c r="E25" s="89">
        <v>4000</v>
      </c>
      <c r="F25" s="115">
        <v>1</v>
      </c>
      <c r="G25" s="96">
        <v>159.29</v>
      </c>
      <c r="H25" s="91">
        <f t="shared" si="0"/>
        <v>219.82</v>
      </c>
      <c r="I25" s="92">
        <f t="shared" si="1"/>
        <v>219.82</v>
      </c>
      <c r="J25" s="107"/>
      <c r="K25" s="90">
        <f t="shared" si="2"/>
        <v>1</v>
      </c>
      <c r="L25" s="91">
        <f t="shared" si="3"/>
        <v>109.91</v>
      </c>
      <c r="M25" s="91">
        <f t="shared" si="4"/>
        <v>109.91</v>
      </c>
      <c r="N25" s="116"/>
      <c r="O25" s="95"/>
      <c r="P25" s="117"/>
      <c r="Q25" s="96"/>
      <c r="R25" s="96">
        <f t="shared" si="5"/>
        <v>0</v>
      </c>
      <c r="S25" s="96">
        <f t="shared" si="6"/>
        <v>109.91</v>
      </c>
      <c r="T25" s="96">
        <f t="shared" si="7"/>
        <v>109.91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990</v>
      </c>
      <c r="C26" s="101" t="s">
        <v>128</v>
      </c>
      <c r="D26" s="88"/>
      <c r="E26" s="102">
        <v>1000</v>
      </c>
      <c r="F26" s="103">
        <v>1</v>
      </c>
      <c r="G26" s="104">
        <v>76.040000000000006</v>
      </c>
      <c r="H26" s="105">
        <f t="shared" si="0"/>
        <v>104.94</v>
      </c>
      <c r="I26" s="106">
        <f t="shared" si="1"/>
        <v>104.94</v>
      </c>
      <c r="J26" s="107"/>
      <c r="K26" s="108">
        <f t="shared" si="2"/>
        <v>1</v>
      </c>
      <c r="L26" s="105">
        <f t="shared" si="3"/>
        <v>62.96</v>
      </c>
      <c r="M26" s="105">
        <f t="shared" si="4"/>
        <v>62.96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41.98</v>
      </c>
      <c r="T26" s="111">
        <f t="shared" si="7"/>
        <v>41.98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991</v>
      </c>
      <c r="C27" s="114" t="s">
        <v>131</v>
      </c>
      <c r="D27" s="88"/>
      <c r="E27" s="89">
        <v>1000</v>
      </c>
      <c r="F27" s="115">
        <v>1</v>
      </c>
      <c r="G27" s="96">
        <v>47.67</v>
      </c>
      <c r="H27" s="91">
        <f t="shared" si="0"/>
        <v>65.78</v>
      </c>
      <c r="I27" s="92">
        <f t="shared" si="1"/>
        <v>65.78</v>
      </c>
      <c r="J27" s="107"/>
      <c r="K27" s="90">
        <f t="shared" si="2"/>
        <v>1</v>
      </c>
      <c r="L27" s="91">
        <f t="shared" si="3"/>
        <v>39.47</v>
      </c>
      <c r="M27" s="91">
        <f t="shared" si="4"/>
        <v>39.47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26.31</v>
      </c>
      <c r="T27" s="96">
        <f t="shared" si="7"/>
        <v>26.31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992</v>
      </c>
      <c r="C28" s="101" t="s">
        <v>134</v>
      </c>
      <c r="D28" s="88"/>
      <c r="E28" s="102">
        <v>1000</v>
      </c>
      <c r="F28" s="103">
        <v>1</v>
      </c>
      <c r="G28" s="104">
        <v>15.24</v>
      </c>
      <c r="H28" s="105">
        <f t="shared" si="0"/>
        <v>21.03</v>
      </c>
      <c r="I28" s="106">
        <f t="shared" si="1"/>
        <v>21.03</v>
      </c>
      <c r="J28" s="107"/>
      <c r="K28" s="108">
        <f t="shared" si="2"/>
        <v>1</v>
      </c>
      <c r="L28" s="105">
        <f t="shared" si="3"/>
        <v>12.62</v>
      </c>
      <c r="M28" s="105">
        <f t="shared" si="4"/>
        <v>12.62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8.41</v>
      </c>
      <c r="T28" s="111">
        <f t="shared" si="7"/>
        <v>8.41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849</v>
      </c>
      <c r="C29" s="114" t="s">
        <v>134</v>
      </c>
      <c r="D29" s="88"/>
      <c r="E29" s="89">
        <v>1000</v>
      </c>
      <c r="F29" s="115">
        <v>1</v>
      </c>
      <c r="G29" s="96">
        <v>19.23</v>
      </c>
      <c r="H29" s="91">
        <f t="shared" si="0"/>
        <v>26.54</v>
      </c>
      <c r="I29" s="92">
        <f t="shared" si="1"/>
        <v>26.54</v>
      </c>
      <c r="J29" s="107"/>
      <c r="K29" s="90">
        <f t="shared" si="2"/>
        <v>1</v>
      </c>
      <c r="L29" s="91">
        <f t="shared" si="3"/>
        <v>15.92</v>
      </c>
      <c r="M29" s="91">
        <f t="shared" si="4"/>
        <v>15.92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10.62</v>
      </c>
      <c r="T29" s="96">
        <f t="shared" si="7"/>
        <v>10.62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/>
      <c r="C30" s="101" t="s">
        <v>751</v>
      </c>
      <c r="D30" s="88"/>
      <c r="E30" s="102" t="s">
        <v>138</v>
      </c>
      <c r="F30" s="103">
        <v>1</v>
      </c>
      <c r="G30" s="104"/>
      <c r="H30" s="105">
        <f t="shared" si="0"/>
        <v>0</v>
      </c>
      <c r="I30" s="106">
        <f t="shared" si="1"/>
        <v>0</v>
      </c>
      <c r="J30" s="107"/>
      <c r="K30" s="108">
        <f t="shared" si="2"/>
        <v>1</v>
      </c>
      <c r="L30" s="105">
        <f t="shared" si="3"/>
        <v>0</v>
      </c>
      <c r="M30" s="105">
        <f t="shared" si="4"/>
        <v>0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0</v>
      </c>
      <c r="T30" s="111">
        <f t="shared" si="7"/>
        <v>0</v>
      </c>
      <c r="U30" s="112">
        <f t="shared" si="8"/>
        <v>0</v>
      </c>
      <c r="V30" s="112">
        <f t="shared" si="9"/>
        <v>0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752</v>
      </c>
      <c r="D31" s="88"/>
      <c r="E31" s="89" t="s">
        <v>138</v>
      </c>
      <c r="F31" s="115">
        <v>1</v>
      </c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1</v>
      </c>
      <c r="L31" s="91">
        <f t="shared" si="3"/>
        <v>0</v>
      </c>
      <c r="M31" s="91">
        <f t="shared" si="4"/>
        <v>0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00"/>
      <c r="C32" s="101" t="s">
        <v>753</v>
      </c>
      <c r="D32" s="88"/>
      <c r="E32" s="102" t="s">
        <v>138</v>
      </c>
      <c r="F32" s="103">
        <v>1</v>
      </c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1</v>
      </c>
      <c r="L32" s="105">
        <f t="shared" si="3"/>
        <v>0</v>
      </c>
      <c r="M32" s="105">
        <f t="shared" si="4"/>
        <v>0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 t="s">
        <v>1041</v>
      </c>
      <c r="C33" s="114" t="s">
        <v>877</v>
      </c>
      <c r="D33" s="88"/>
      <c r="E33" s="89" t="s">
        <v>138</v>
      </c>
      <c r="F33" s="115">
        <v>1</v>
      </c>
      <c r="G33" s="96">
        <v>4674.18</v>
      </c>
      <c r="H33" s="91">
        <f t="shared" si="0"/>
        <v>6450.37</v>
      </c>
      <c r="I33" s="92">
        <f t="shared" si="1"/>
        <v>6450.37</v>
      </c>
      <c r="J33" s="107"/>
      <c r="K33" s="90">
        <f t="shared" si="2"/>
        <v>1</v>
      </c>
      <c r="L33" s="91">
        <f t="shared" si="3"/>
        <v>3225.19</v>
      </c>
      <c r="M33" s="91">
        <f t="shared" si="4"/>
        <v>3225.19</v>
      </c>
      <c r="N33" s="116"/>
      <c r="O33" s="95"/>
      <c r="P33" s="117"/>
      <c r="Q33" s="96"/>
      <c r="R33" s="96">
        <f t="shared" si="5"/>
        <v>0</v>
      </c>
      <c r="S33" s="96">
        <f t="shared" si="6"/>
        <v>3225.18</v>
      </c>
      <c r="T33" s="96">
        <f t="shared" si="7"/>
        <v>3225.18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822</v>
      </c>
      <c r="C34" s="101" t="s">
        <v>1042</v>
      </c>
      <c r="D34" s="88"/>
      <c r="E34" s="102" t="s">
        <v>138</v>
      </c>
      <c r="F34" s="103">
        <v>2</v>
      </c>
      <c r="G34" s="104">
        <v>221.18</v>
      </c>
      <c r="H34" s="105">
        <f t="shared" si="0"/>
        <v>305.23</v>
      </c>
      <c r="I34" s="106">
        <f t="shared" si="1"/>
        <v>610.46</v>
      </c>
      <c r="J34" s="107"/>
      <c r="K34" s="108">
        <f t="shared" si="2"/>
        <v>2</v>
      </c>
      <c r="L34" s="105">
        <f t="shared" si="3"/>
        <v>152.62</v>
      </c>
      <c r="M34" s="105">
        <f t="shared" si="4"/>
        <v>305.24</v>
      </c>
      <c r="N34" s="109"/>
      <c r="O34" s="95"/>
      <c r="P34" s="100"/>
      <c r="Q34" s="104"/>
      <c r="R34" s="110">
        <f t="shared" si="5"/>
        <v>0</v>
      </c>
      <c r="S34" s="111">
        <f t="shared" si="6"/>
        <v>152.61000000000001</v>
      </c>
      <c r="T34" s="111">
        <f t="shared" si="7"/>
        <v>305.22000000000003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995</v>
      </c>
      <c r="C35" s="114" t="s">
        <v>144</v>
      </c>
      <c r="D35" s="88"/>
      <c r="E35" s="89" t="s">
        <v>138</v>
      </c>
      <c r="F35" s="115">
        <v>1</v>
      </c>
      <c r="G35" s="96">
        <v>1688.94</v>
      </c>
      <c r="H35" s="91">
        <f t="shared" si="0"/>
        <v>2330.7399999999998</v>
      </c>
      <c r="I35" s="92">
        <f t="shared" si="1"/>
        <v>2330.7399999999998</v>
      </c>
      <c r="J35" s="107"/>
      <c r="K35" s="90">
        <f t="shared" si="2"/>
        <v>1</v>
      </c>
      <c r="L35" s="91">
        <f t="shared" si="3"/>
        <v>1165.3699999999999</v>
      </c>
      <c r="M35" s="91">
        <f t="shared" si="4"/>
        <v>1165.3699999999999</v>
      </c>
      <c r="N35" s="116"/>
      <c r="O35" s="95"/>
      <c r="P35" s="117"/>
      <c r="Q35" s="96"/>
      <c r="R35" s="96">
        <f t="shared" si="5"/>
        <v>0</v>
      </c>
      <c r="S35" s="96">
        <f t="shared" si="6"/>
        <v>1165.3699999999999</v>
      </c>
      <c r="T35" s="96">
        <f t="shared" si="7"/>
        <v>1165.3699999999999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996</v>
      </c>
      <c r="C36" s="101" t="s">
        <v>1022</v>
      </c>
      <c r="D36" s="88"/>
      <c r="E36" s="102" t="s">
        <v>138</v>
      </c>
      <c r="F36" s="103">
        <v>6</v>
      </c>
      <c r="G36" s="104">
        <v>549.16</v>
      </c>
      <c r="H36" s="105">
        <f t="shared" si="0"/>
        <v>757.84</v>
      </c>
      <c r="I36" s="106">
        <f t="shared" si="1"/>
        <v>4547.04</v>
      </c>
      <c r="J36" s="107"/>
      <c r="K36" s="108">
        <f t="shared" si="2"/>
        <v>6</v>
      </c>
      <c r="L36" s="105">
        <f t="shared" si="3"/>
        <v>530.49</v>
      </c>
      <c r="M36" s="105">
        <f t="shared" si="4"/>
        <v>3182.94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227.35</v>
      </c>
      <c r="T36" s="111">
        <f t="shared" si="7"/>
        <v>1364.1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493</v>
      </c>
      <c r="C37" s="114" t="s">
        <v>1023</v>
      </c>
      <c r="D37" s="88"/>
      <c r="E37" s="89">
        <v>6000</v>
      </c>
      <c r="F37" s="115">
        <v>4</v>
      </c>
      <c r="G37" s="96">
        <v>7917.94</v>
      </c>
      <c r="H37" s="91">
        <f t="shared" si="0"/>
        <v>10926.76</v>
      </c>
      <c r="I37" s="92">
        <f t="shared" si="1"/>
        <v>43707.040000000001</v>
      </c>
      <c r="J37" s="107"/>
      <c r="K37" s="90">
        <f t="shared" si="2"/>
        <v>4</v>
      </c>
      <c r="L37" s="91">
        <f t="shared" si="3"/>
        <v>5463.38</v>
      </c>
      <c r="M37" s="91">
        <f t="shared" si="4"/>
        <v>21853.52</v>
      </c>
      <c r="N37" s="116"/>
      <c r="O37" s="95"/>
      <c r="P37" s="117"/>
      <c r="Q37" s="96"/>
      <c r="R37" s="96">
        <f t="shared" si="5"/>
        <v>0</v>
      </c>
      <c r="S37" s="96">
        <f t="shared" si="6"/>
        <v>5463.38</v>
      </c>
      <c r="T37" s="96">
        <f t="shared" si="7"/>
        <v>21853.52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997</v>
      </c>
      <c r="C39" s="114" t="s">
        <v>998</v>
      </c>
      <c r="D39" s="88"/>
      <c r="E39" s="89" t="s">
        <v>138</v>
      </c>
      <c r="F39" s="115">
        <v>6</v>
      </c>
      <c r="G39" s="96">
        <v>158.03</v>
      </c>
      <c r="H39" s="91">
        <f t="shared" si="0"/>
        <v>218.08</v>
      </c>
      <c r="I39" s="92">
        <f t="shared" si="1"/>
        <v>1308.48</v>
      </c>
      <c r="J39" s="107"/>
      <c r="K39" s="90">
        <f t="shared" si="2"/>
        <v>6</v>
      </c>
      <c r="L39" s="91">
        <f t="shared" si="3"/>
        <v>152.66</v>
      </c>
      <c r="M39" s="91">
        <f t="shared" si="4"/>
        <v>915.96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65.42</v>
      </c>
      <c r="T39" s="96">
        <f t="shared" si="7"/>
        <v>392.52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999</v>
      </c>
      <c r="C40" s="101" t="s">
        <v>1031</v>
      </c>
      <c r="D40" s="88"/>
      <c r="E40" s="102" t="s">
        <v>138</v>
      </c>
      <c r="F40" s="103">
        <v>8</v>
      </c>
      <c r="G40" s="104">
        <v>66.180000000000007</v>
      </c>
      <c r="H40" s="105">
        <f t="shared" si="0"/>
        <v>91.33</v>
      </c>
      <c r="I40" s="106">
        <f t="shared" si="1"/>
        <v>730.64</v>
      </c>
      <c r="J40" s="107"/>
      <c r="K40" s="108">
        <f t="shared" si="2"/>
        <v>8</v>
      </c>
      <c r="L40" s="105">
        <f t="shared" si="3"/>
        <v>63.93</v>
      </c>
      <c r="M40" s="105">
        <f t="shared" si="4"/>
        <v>511.44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27.4</v>
      </c>
      <c r="T40" s="111">
        <f t="shared" si="7"/>
        <v>219.2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1043</v>
      </c>
      <c r="C41" s="114" t="s">
        <v>156</v>
      </c>
      <c r="D41" s="88"/>
      <c r="E41" s="89" t="s">
        <v>138</v>
      </c>
      <c r="F41" s="115">
        <v>1</v>
      </c>
      <c r="G41" s="96">
        <v>974.09</v>
      </c>
      <c r="H41" s="91">
        <f t="shared" si="0"/>
        <v>1344.24</v>
      </c>
      <c r="I41" s="92">
        <f t="shared" si="1"/>
        <v>1344.24</v>
      </c>
      <c r="J41" s="107"/>
      <c r="K41" s="90">
        <f t="shared" si="2"/>
        <v>1</v>
      </c>
      <c r="L41" s="91">
        <f t="shared" si="3"/>
        <v>940.97</v>
      </c>
      <c r="M41" s="91">
        <f t="shared" si="4"/>
        <v>940.97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403.27</v>
      </c>
      <c r="T41" s="96">
        <f t="shared" si="7"/>
        <v>403.27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1001</v>
      </c>
      <c r="C42" s="101" t="s">
        <v>1002</v>
      </c>
      <c r="D42" s="88"/>
      <c r="E42" s="102" t="s">
        <v>138</v>
      </c>
      <c r="F42" s="103">
        <v>2</v>
      </c>
      <c r="G42" s="137">
        <v>173.86</v>
      </c>
      <c r="H42" s="105">
        <f t="shared" si="0"/>
        <v>239.93</v>
      </c>
      <c r="I42" s="106">
        <f t="shared" si="1"/>
        <v>479.86</v>
      </c>
      <c r="J42" s="107"/>
      <c r="K42" s="108">
        <f t="shared" si="2"/>
        <v>2</v>
      </c>
      <c r="L42" s="105">
        <f t="shared" si="3"/>
        <v>167.95</v>
      </c>
      <c r="M42" s="105">
        <f t="shared" si="4"/>
        <v>335.9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71.98</v>
      </c>
      <c r="T42" s="111">
        <f t="shared" si="7"/>
        <v>143.96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1044</v>
      </c>
      <c r="C43" s="114" t="s">
        <v>1045</v>
      </c>
      <c r="D43" s="88"/>
      <c r="E43" s="89" t="s">
        <v>138</v>
      </c>
      <c r="F43" s="115">
        <v>2</v>
      </c>
      <c r="G43" s="96">
        <v>363.84</v>
      </c>
      <c r="H43" s="91">
        <f t="shared" si="0"/>
        <v>502.1</v>
      </c>
      <c r="I43" s="92">
        <f t="shared" si="1"/>
        <v>1004.2</v>
      </c>
      <c r="J43" s="107"/>
      <c r="K43" s="90">
        <f t="shared" si="2"/>
        <v>2</v>
      </c>
      <c r="L43" s="91">
        <f t="shared" si="3"/>
        <v>351.47</v>
      </c>
      <c r="M43" s="91">
        <f t="shared" si="4"/>
        <v>702.94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150.63</v>
      </c>
      <c r="T43" s="96">
        <f t="shared" si="7"/>
        <v>301.26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47</v>
      </c>
      <c r="G50" s="123">
        <f t="shared" si="10"/>
        <v>17412.11</v>
      </c>
      <c r="H50" s="124">
        <f t="shared" si="10"/>
        <v>24028.710000000003</v>
      </c>
      <c r="I50" s="125">
        <f t="shared" si="10"/>
        <v>63375.16</v>
      </c>
      <c r="J50" s="126"/>
      <c r="K50" s="127">
        <f t="shared" ref="K50:M50" si="11">SUM(K19:K49)</f>
        <v>47</v>
      </c>
      <c r="L50" s="124">
        <f t="shared" si="11"/>
        <v>12666.91</v>
      </c>
      <c r="M50" s="125">
        <f t="shared" si="11"/>
        <v>33592.35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11361.8</v>
      </c>
      <c r="T50" s="125">
        <f t="shared" si="12"/>
        <v>29782.809999999998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E19:E49" xr:uid="{00000000-0002-0000-3F00-000000000000}">
      <formula1>$Z$19:$Z$30</formula1>
    </dataValidation>
    <dataValidation type="list" allowBlank="1" showErrorMessage="1" sqref="I14" xr:uid="{00000000-0002-0000-3F00-000001000000}">
      <formula1>$Y$14:$Y$15</formula1>
    </dataValidation>
    <dataValidation type="list" allowBlank="1" showErrorMessage="1" sqref="J14" xr:uid="{00000000-0002-0000-3F00-000002000000}">
      <formula1>$L$9</formula1>
    </dataValidation>
    <dataValidation type="list" allowBlank="1" showErrorMessage="1" sqref="Q15 G18 L18 Q18" xr:uid="{00000000-0002-0000-3F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1046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63375.16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2016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33592.35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29782.810000000005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1036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0.46994453347336723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1047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29782.809999999998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33592.35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1167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983</v>
      </c>
      <c r="C20" s="101" t="s">
        <v>118</v>
      </c>
      <c r="D20" s="88"/>
      <c r="E20" s="102">
        <v>500</v>
      </c>
      <c r="F20" s="103">
        <v>1</v>
      </c>
      <c r="G20" s="104">
        <v>13.09</v>
      </c>
      <c r="H20" s="105">
        <f t="shared" si="0"/>
        <v>18.059999999999999</v>
      </c>
      <c r="I20" s="106">
        <f t="shared" si="1"/>
        <v>18.059999999999999</v>
      </c>
      <c r="J20" s="107"/>
      <c r="K20" s="108">
        <f t="shared" si="2"/>
        <v>1</v>
      </c>
      <c r="L20" s="105">
        <f t="shared" si="3"/>
        <v>9.0299999999999994</v>
      </c>
      <c r="M20" s="105">
        <f t="shared" si="4"/>
        <v>9.0299999999999994</v>
      </c>
      <c r="N20" s="109"/>
      <c r="O20" s="95"/>
      <c r="P20" s="100"/>
      <c r="Q20" s="104"/>
      <c r="R20" s="110">
        <f t="shared" si="5"/>
        <v>0</v>
      </c>
      <c r="S20" s="111">
        <f t="shared" si="6"/>
        <v>9.0299999999999994</v>
      </c>
      <c r="T20" s="111">
        <f t="shared" si="7"/>
        <v>9.0299999999999994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982</v>
      </c>
      <c r="C21" s="114" t="s">
        <v>1038</v>
      </c>
      <c r="D21" s="88"/>
      <c r="E21" s="89">
        <v>500</v>
      </c>
      <c r="F21" s="115">
        <v>1</v>
      </c>
      <c r="G21" s="96">
        <v>38.51</v>
      </c>
      <c r="H21" s="91">
        <f t="shared" si="0"/>
        <v>53.14</v>
      </c>
      <c r="I21" s="92">
        <f t="shared" si="1"/>
        <v>53.14</v>
      </c>
      <c r="J21" s="107"/>
      <c r="K21" s="90">
        <f t="shared" si="2"/>
        <v>1</v>
      </c>
      <c r="L21" s="91">
        <f t="shared" si="3"/>
        <v>26.57</v>
      </c>
      <c r="M21" s="91">
        <f t="shared" si="4"/>
        <v>26.57</v>
      </c>
      <c r="N21" s="116"/>
      <c r="O21" s="95"/>
      <c r="P21" s="117"/>
      <c r="Q21" s="96"/>
      <c r="R21" s="96">
        <f t="shared" si="5"/>
        <v>0</v>
      </c>
      <c r="S21" s="96">
        <f t="shared" si="6"/>
        <v>26.57</v>
      </c>
      <c r="T21" s="96">
        <f t="shared" si="7"/>
        <v>26.57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845</v>
      </c>
      <c r="C22" s="101" t="s">
        <v>1039</v>
      </c>
      <c r="D22" s="88"/>
      <c r="E22" s="102">
        <v>500</v>
      </c>
      <c r="F22" s="103">
        <v>1</v>
      </c>
      <c r="G22" s="104">
        <v>49.24</v>
      </c>
      <c r="H22" s="105">
        <f t="shared" si="0"/>
        <v>67.95</v>
      </c>
      <c r="I22" s="106">
        <f t="shared" si="1"/>
        <v>67.95</v>
      </c>
      <c r="J22" s="107"/>
      <c r="K22" s="108">
        <f t="shared" si="2"/>
        <v>1</v>
      </c>
      <c r="L22" s="105">
        <f t="shared" si="3"/>
        <v>33.979999999999997</v>
      </c>
      <c r="M22" s="105">
        <f t="shared" si="4"/>
        <v>33.979999999999997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33.97</v>
      </c>
      <c r="T22" s="111">
        <f t="shared" si="7"/>
        <v>33.97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985</v>
      </c>
      <c r="C23" s="114" t="s">
        <v>1040</v>
      </c>
      <c r="D23" s="88"/>
      <c r="E23" s="89">
        <v>1000</v>
      </c>
      <c r="F23" s="115">
        <v>1</v>
      </c>
      <c r="G23" s="96">
        <v>120.38</v>
      </c>
      <c r="H23" s="91">
        <f t="shared" si="0"/>
        <v>166.12</v>
      </c>
      <c r="I23" s="92">
        <f t="shared" si="1"/>
        <v>166.12</v>
      </c>
      <c r="J23" s="107"/>
      <c r="K23" s="90">
        <f t="shared" si="2"/>
        <v>1</v>
      </c>
      <c r="L23" s="91">
        <f t="shared" si="3"/>
        <v>83.06</v>
      </c>
      <c r="M23" s="91">
        <f t="shared" si="4"/>
        <v>83.06</v>
      </c>
      <c r="N23" s="116"/>
      <c r="O23" s="95"/>
      <c r="P23" s="117"/>
      <c r="Q23" s="96"/>
      <c r="R23" s="96">
        <f t="shared" si="5"/>
        <v>0</v>
      </c>
      <c r="S23" s="96">
        <f t="shared" si="6"/>
        <v>83.06</v>
      </c>
      <c r="T23" s="96">
        <f t="shared" si="7"/>
        <v>83.06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1011</v>
      </c>
      <c r="C24" s="101" t="s">
        <v>415</v>
      </c>
      <c r="D24" s="88"/>
      <c r="E24" s="102">
        <v>2000</v>
      </c>
      <c r="F24" s="103">
        <v>1</v>
      </c>
      <c r="G24" s="104">
        <v>62.77</v>
      </c>
      <c r="H24" s="105">
        <f t="shared" si="0"/>
        <v>86.62</v>
      </c>
      <c r="I24" s="106">
        <f t="shared" si="1"/>
        <v>86.62</v>
      </c>
      <c r="J24" s="107"/>
      <c r="K24" s="108">
        <f t="shared" si="2"/>
        <v>1</v>
      </c>
      <c r="L24" s="105">
        <f t="shared" si="3"/>
        <v>43.31</v>
      </c>
      <c r="M24" s="105">
        <f t="shared" si="4"/>
        <v>43.31</v>
      </c>
      <c r="N24" s="109"/>
      <c r="O24" s="95"/>
      <c r="P24" s="100"/>
      <c r="Q24" s="104"/>
      <c r="R24" s="110">
        <f t="shared" si="5"/>
        <v>0</v>
      </c>
      <c r="S24" s="111">
        <f t="shared" si="6"/>
        <v>43.31</v>
      </c>
      <c r="T24" s="111">
        <f t="shared" si="7"/>
        <v>43.31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988</v>
      </c>
      <c r="C25" s="114" t="s">
        <v>174</v>
      </c>
      <c r="D25" s="88"/>
      <c r="E25" s="89">
        <v>4000</v>
      </c>
      <c r="F25" s="115">
        <v>1</v>
      </c>
      <c r="G25" s="96">
        <v>159.29</v>
      </c>
      <c r="H25" s="91">
        <f t="shared" si="0"/>
        <v>219.82</v>
      </c>
      <c r="I25" s="92">
        <f t="shared" si="1"/>
        <v>219.82</v>
      </c>
      <c r="J25" s="107"/>
      <c r="K25" s="90">
        <f t="shared" si="2"/>
        <v>1</v>
      </c>
      <c r="L25" s="91">
        <f t="shared" si="3"/>
        <v>109.91</v>
      </c>
      <c r="M25" s="91">
        <f t="shared" si="4"/>
        <v>109.91</v>
      </c>
      <c r="N25" s="116"/>
      <c r="O25" s="95"/>
      <c r="P25" s="117"/>
      <c r="Q25" s="96"/>
      <c r="R25" s="96">
        <f t="shared" si="5"/>
        <v>0</v>
      </c>
      <c r="S25" s="96">
        <f t="shared" si="6"/>
        <v>109.91</v>
      </c>
      <c r="T25" s="96">
        <f t="shared" si="7"/>
        <v>109.91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990</v>
      </c>
      <c r="C26" s="101" t="s">
        <v>128</v>
      </c>
      <c r="D26" s="88"/>
      <c r="E26" s="102">
        <v>1000</v>
      </c>
      <c r="F26" s="103">
        <v>1</v>
      </c>
      <c r="G26" s="104">
        <v>76.040000000000006</v>
      </c>
      <c r="H26" s="105">
        <f t="shared" si="0"/>
        <v>104.94</v>
      </c>
      <c r="I26" s="106">
        <f t="shared" si="1"/>
        <v>104.94</v>
      </c>
      <c r="J26" s="107"/>
      <c r="K26" s="108">
        <f t="shared" si="2"/>
        <v>1</v>
      </c>
      <c r="L26" s="105">
        <f t="shared" si="3"/>
        <v>62.96</v>
      </c>
      <c r="M26" s="105">
        <f t="shared" si="4"/>
        <v>62.96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41.98</v>
      </c>
      <c r="T26" s="111">
        <f t="shared" si="7"/>
        <v>41.98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991</v>
      </c>
      <c r="C27" s="114" t="s">
        <v>131</v>
      </c>
      <c r="D27" s="88"/>
      <c r="E27" s="89">
        <v>1000</v>
      </c>
      <c r="F27" s="115">
        <v>1</v>
      </c>
      <c r="G27" s="96">
        <v>47.67</v>
      </c>
      <c r="H27" s="91">
        <f t="shared" si="0"/>
        <v>65.78</v>
      </c>
      <c r="I27" s="92">
        <f t="shared" si="1"/>
        <v>65.78</v>
      </c>
      <c r="J27" s="107"/>
      <c r="K27" s="90">
        <f t="shared" si="2"/>
        <v>1</v>
      </c>
      <c r="L27" s="91">
        <f t="shared" si="3"/>
        <v>39.47</v>
      </c>
      <c r="M27" s="91">
        <f t="shared" si="4"/>
        <v>39.47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26.31</v>
      </c>
      <c r="T27" s="96">
        <f t="shared" si="7"/>
        <v>26.31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992</v>
      </c>
      <c r="C28" s="101" t="s">
        <v>134</v>
      </c>
      <c r="D28" s="88"/>
      <c r="E28" s="102">
        <v>1000</v>
      </c>
      <c r="F28" s="103">
        <v>1</v>
      </c>
      <c r="G28" s="104">
        <v>15.24</v>
      </c>
      <c r="H28" s="105">
        <f t="shared" si="0"/>
        <v>21.03</v>
      </c>
      <c r="I28" s="106">
        <f t="shared" si="1"/>
        <v>21.03</v>
      </c>
      <c r="J28" s="107"/>
      <c r="K28" s="108">
        <f t="shared" si="2"/>
        <v>1</v>
      </c>
      <c r="L28" s="105">
        <f t="shared" si="3"/>
        <v>12.62</v>
      </c>
      <c r="M28" s="105">
        <f t="shared" si="4"/>
        <v>12.62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8.41</v>
      </c>
      <c r="T28" s="111">
        <f t="shared" si="7"/>
        <v>8.41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849</v>
      </c>
      <c r="C29" s="114" t="s">
        <v>134</v>
      </c>
      <c r="D29" s="88"/>
      <c r="E29" s="89">
        <v>1000</v>
      </c>
      <c r="F29" s="115">
        <v>1</v>
      </c>
      <c r="G29" s="96">
        <v>19.23</v>
      </c>
      <c r="H29" s="91">
        <f t="shared" si="0"/>
        <v>26.54</v>
      </c>
      <c r="I29" s="92">
        <f t="shared" si="1"/>
        <v>26.54</v>
      </c>
      <c r="J29" s="107"/>
      <c r="K29" s="90">
        <f t="shared" si="2"/>
        <v>1</v>
      </c>
      <c r="L29" s="91">
        <f t="shared" si="3"/>
        <v>15.92</v>
      </c>
      <c r="M29" s="91">
        <f t="shared" si="4"/>
        <v>15.92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10.62</v>
      </c>
      <c r="T29" s="96">
        <f t="shared" si="7"/>
        <v>10.62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/>
      <c r="C30" s="101" t="s">
        <v>751</v>
      </c>
      <c r="D30" s="88"/>
      <c r="E30" s="102" t="s">
        <v>138</v>
      </c>
      <c r="F30" s="103">
        <v>1</v>
      </c>
      <c r="G30" s="104"/>
      <c r="H30" s="105">
        <f t="shared" si="0"/>
        <v>0</v>
      </c>
      <c r="I30" s="106">
        <f t="shared" si="1"/>
        <v>0</v>
      </c>
      <c r="J30" s="107"/>
      <c r="K30" s="108">
        <f t="shared" si="2"/>
        <v>1</v>
      </c>
      <c r="L30" s="105">
        <f t="shared" si="3"/>
        <v>0</v>
      </c>
      <c r="M30" s="105">
        <f t="shared" si="4"/>
        <v>0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0</v>
      </c>
      <c r="T30" s="111">
        <f t="shared" si="7"/>
        <v>0</v>
      </c>
      <c r="U30" s="112">
        <f t="shared" si="8"/>
        <v>0</v>
      </c>
      <c r="V30" s="112">
        <f t="shared" si="9"/>
        <v>0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752</v>
      </c>
      <c r="D31" s="88"/>
      <c r="E31" s="89" t="s">
        <v>138</v>
      </c>
      <c r="F31" s="115">
        <v>1</v>
      </c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1</v>
      </c>
      <c r="L31" s="91">
        <f t="shared" si="3"/>
        <v>0</v>
      </c>
      <c r="M31" s="91">
        <f t="shared" si="4"/>
        <v>0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00"/>
      <c r="C32" s="101" t="s">
        <v>753</v>
      </c>
      <c r="D32" s="88"/>
      <c r="E32" s="102" t="s">
        <v>138</v>
      </c>
      <c r="F32" s="103">
        <v>1</v>
      </c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1</v>
      </c>
      <c r="L32" s="105">
        <f t="shared" si="3"/>
        <v>0</v>
      </c>
      <c r="M32" s="105">
        <f t="shared" si="4"/>
        <v>0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 t="s">
        <v>1041</v>
      </c>
      <c r="C33" s="114" t="s">
        <v>877</v>
      </c>
      <c r="D33" s="88"/>
      <c r="E33" s="89" t="s">
        <v>138</v>
      </c>
      <c r="F33" s="115">
        <v>1</v>
      </c>
      <c r="G33" s="96">
        <v>4674.18</v>
      </c>
      <c r="H33" s="91">
        <f t="shared" si="0"/>
        <v>6450.37</v>
      </c>
      <c r="I33" s="92">
        <f t="shared" si="1"/>
        <v>6450.37</v>
      </c>
      <c r="J33" s="107"/>
      <c r="K33" s="90">
        <f t="shared" si="2"/>
        <v>1</v>
      </c>
      <c r="L33" s="91">
        <f t="shared" si="3"/>
        <v>3225.19</v>
      </c>
      <c r="M33" s="91">
        <f t="shared" si="4"/>
        <v>3225.19</v>
      </c>
      <c r="N33" s="116"/>
      <c r="O33" s="95"/>
      <c r="P33" s="117"/>
      <c r="Q33" s="96"/>
      <c r="R33" s="96">
        <f t="shared" si="5"/>
        <v>0</v>
      </c>
      <c r="S33" s="96">
        <f t="shared" si="6"/>
        <v>3225.18</v>
      </c>
      <c r="T33" s="96">
        <f t="shared" si="7"/>
        <v>3225.18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822</v>
      </c>
      <c r="C34" s="101" t="s">
        <v>1042</v>
      </c>
      <c r="D34" s="88"/>
      <c r="E34" s="102" t="s">
        <v>138</v>
      </c>
      <c r="F34" s="103">
        <v>2</v>
      </c>
      <c r="G34" s="104">
        <v>221.18</v>
      </c>
      <c r="H34" s="105">
        <f t="shared" si="0"/>
        <v>305.23</v>
      </c>
      <c r="I34" s="106">
        <f t="shared" si="1"/>
        <v>610.46</v>
      </c>
      <c r="J34" s="107"/>
      <c r="K34" s="108">
        <f t="shared" si="2"/>
        <v>2</v>
      </c>
      <c r="L34" s="105">
        <f t="shared" si="3"/>
        <v>152.62</v>
      </c>
      <c r="M34" s="105">
        <f t="shared" si="4"/>
        <v>305.24</v>
      </c>
      <c r="N34" s="109"/>
      <c r="O34" s="95"/>
      <c r="P34" s="100"/>
      <c r="Q34" s="104"/>
      <c r="R34" s="110">
        <f t="shared" si="5"/>
        <v>0</v>
      </c>
      <c r="S34" s="111">
        <f t="shared" si="6"/>
        <v>152.61000000000001</v>
      </c>
      <c r="T34" s="111">
        <f t="shared" si="7"/>
        <v>305.22000000000003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995</v>
      </c>
      <c r="C35" s="114" t="s">
        <v>144</v>
      </c>
      <c r="D35" s="88"/>
      <c r="E35" s="89" t="s">
        <v>138</v>
      </c>
      <c r="F35" s="115">
        <v>1</v>
      </c>
      <c r="G35" s="96">
        <v>1688.94</v>
      </c>
      <c r="H35" s="91">
        <f t="shared" si="0"/>
        <v>2330.7399999999998</v>
      </c>
      <c r="I35" s="92">
        <f t="shared" si="1"/>
        <v>2330.7399999999998</v>
      </c>
      <c r="J35" s="107"/>
      <c r="K35" s="90">
        <f t="shared" si="2"/>
        <v>1</v>
      </c>
      <c r="L35" s="91">
        <f t="shared" si="3"/>
        <v>1165.3699999999999</v>
      </c>
      <c r="M35" s="91">
        <f t="shared" si="4"/>
        <v>1165.3699999999999</v>
      </c>
      <c r="N35" s="116"/>
      <c r="O35" s="95"/>
      <c r="P35" s="117"/>
      <c r="Q35" s="96"/>
      <c r="R35" s="96">
        <f t="shared" si="5"/>
        <v>0</v>
      </c>
      <c r="S35" s="96">
        <f t="shared" si="6"/>
        <v>1165.3699999999999</v>
      </c>
      <c r="T35" s="96">
        <f t="shared" si="7"/>
        <v>1165.3699999999999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996</v>
      </c>
      <c r="C36" s="101" t="s">
        <v>1022</v>
      </c>
      <c r="D36" s="88"/>
      <c r="E36" s="102" t="s">
        <v>138</v>
      </c>
      <c r="F36" s="103">
        <v>6</v>
      </c>
      <c r="G36" s="104">
        <v>549.16</v>
      </c>
      <c r="H36" s="105">
        <f t="shared" si="0"/>
        <v>757.84</v>
      </c>
      <c r="I36" s="106">
        <f t="shared" si="1"/>
        <v>4547.04</v>
      </c>
      <c r="J36" s="107"/>
      <c r="K36" s="108">
        <f t="shared" si="2"/>
        <v>6</v>
      </c>
      <c r="L36" s="105">
        <f t="shared" si="3"/>
        <v>530.49</v>
      </c>
      <c r="M36" s="105">
        <f t="shared" si="4"/>
        <v>3182.94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227.35</v>
      </c>
      <c r="T36" s="111">
        <f t="shared" si="7"/>
        <v>1364.1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493</v>
      </c>
      <c r="C37" s="114" t="s">
        <v>1023</v>
      </c>
      <c r="D37" s="88"/>
      <c r="E37" s="89">
        <v>6000</v>
      </c>
      <c r="F37" s="115">
        <v>4</v>
      </c>
      <c r="G37" s="96">
        <v>7917.94</v>
      </c>
      <c r="H37" s="91">
        <f t="shared" si="0"/>
        <v>10926.76</v>
      </c>
      <c r="I37" s="92">
        <f t="shared" si="1"/>
        <v>43707.040000000001</v>
      </c>
      <c r="J37" s="107"/>
      <c r="K37" s="90">
        <f t="shared" si="2"/>
        <v>4</v>
      </c>
      <c r="L37" s="91">
        <f t="shared" si="3"/>
        <v>5463.38</v>
      </c>
      <c r="M37" s="91">
        <f t="shared" si="4"/>
        <v>21853.52</v>
      </c>
      <c r="N37" s="116"/>
      <c r="O37" s="95"/>
      <c r="P37" s="117"/>
      <c r="Q37" s="96"/>
      <c r="R37" s="96">
        <f t="shared" si="5"/>
        <v>0</v>
      </c>
      <c r="S37" s="96">
        <f t="shared" si="6"/>
        <v>5463.38</v>
      </c>
      <c r="T37" s="96">
        <f t="shared" si="7"/>
        <v>21853.52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/>
      <c r="C38" s="101" t="s">
        <v>590</v>
      </c>
      <c r="D38" s="88"/>
      <c r="E38" s="102"/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/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997</v>
      </c>
      <c r="C39" s="114" t="s">
        <v>998</v>
      </c>
      <c r="D39" s="88"/>
      <c r="E39" s="89" t="s">
        <v>138</v>
      </c>
      <c r="F39" s="115">
        <v>6</v>
      </c>
      <c r="G39" s="96">
        <v>158.03</v>
      </c>
      <c r="H39" s="91">
        <f t="shared" si="0"/>
        <v>218.08</v>
      </c>
      <c r="I39" s="92">
        <f t="shared" si="1"/>
        <v>1308.48</v>
      </c>
      <c r="J39" s="107"/>
      <c r="K39" s="90">
        <f t="shared" si="2"/>
        <v>6</v>
      </c>
      <c r="L39" s="91">
        <f t="shared" si="3"/>
        <v>152.66</v>
      </c>
      <c r="M39" s="91">
        <f t="shared" si="4"/>
        <v>915.96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65.42</v>
      </c>
      <c r="T39" s="96">
        <f t="shared" si="7"/>
        <v>392.52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999</v>
      </c>
      <c r="C40" s="101" t="s">
        <v>1031</v>
      </c>
      <c r="D40" s="88"/>
      <c r="E40" s="102" t="s">
        <v>138</v>
      </c>
      <c r="F40" s="103">
        <v>8</v>
      </c>
      <c r="G40" s="104">
        <v>66.180000000000007</v>
      </c>
      <c r="H40" s="105">
        <f t="shared" si="0"/>
        <v>91.33</v>
      </c>
      <c r="I40" s="106">
        <f t="shared" si="1"/>
        <v>730.64</v>
      </c>
      <c r="J40" s="107"/>
      <c r="K40" s="108">
        <f t="shared" si="2"/>
        <v>8</v>
      </c>
      <c r="L40" s="105">
        <f t="shared" si="3"/>
        <v>63.93</v>
      </c>
      <c r="M40" s="105">
        <f t="shared" si="4"/>
        <v>511.44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27.4</v>
      </c>
      <c r="T40" s="111">
        <f t="shared" si="7"/>
        <v>219.2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1043</v>
      </c>
      <c r="C41" s="114" t="s">
        <v>156</v>
      </c>
      <c r="D41" s="88"/>
      <c r="E41" s="89" t="s">
        <v>138</v>
      </c>
      <c r="F41" s="115">
        <v>1</v>
      </c>
      <c r="G41" s="96">
        <v>974.09</v>
      </c>
      <c r="H41" s="91">
        <f t="shared" si="0"/>
        <v>1344.24</v>
      </c>
      <c r="I41" s="92">
        <f t="shared" si="1"/>
        <v>1344.24</v>
      </c>
      <c r="J41" s="107"/>
      <c r="K41" s="90">
        <f t="shared" si="2"/>
        <v>1</v>
      </c>
      <c r="L41" s="91">
        <f t="shared" si="3"/>
        <v>940.97</v>
      </c>
      <c r="M41" s="91">
        <f t="shared" si="4"/>
        <v>940.97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403.27</v>
      </c>
      <c r="T41" s="96">
        <f t="shared" si="7"/>
        <v>403.27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1001</v>
      </c>
      <c r="C42" s="101" t="s">
        <v>1002</v>
      </c>
      <c r="D42" s="88"/>
      <c r="E42" s="102" t="s">
        <v>138</v>
      </c>
      <c r="F42" s="103">
        <v>2</v>
      </c>
      <c r="G42" s="104">
        <v>173.86</v>
      </c>
      <c r="H42" s="105">
        <f t="shared" si="0"/>
        <v>239.93</v>
      </c>
      <c r="I42" s="106">
        <f t="shared" si="1"/>
        <v>479.86</v>
      </c>
      <c r="J42" s="107"/>
      <c r="K42" s="108">
        <f t="shared" si="2"/>
        <v>2</v>
      </c>
      <c r="L42" s="105">
        <f t="shared" si="3"/>
        <v>167.95</v>
      </c>
      <c r="M42" s="105">
        <f t="shared" si="4"/>
        <v>335.9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71.98</v>
      </c>
      <c r="T42" s="111">
        <f t="shared" si="7"/>
        <v>143.96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1044</v>
      </c>
      <c r="C43" s="114" t="s">
        <v>1045</v>
      </c>
      <c r="D43" s="88"/>
      <c r="E43" s="89" t="s">
        <v>138</v>
      </c>
      <c r="F43" s="115">
        <v>2</v>
      </c>
      <c r="G43" s="96">
        <v>363.84</v>
      </c>
      <c r="H43" s="91">
        <f t="shared" si="0"/>
        <v>502.1</v>
      </c>
      <c r="I43" s="92">
        <f t="shared" si="1"/>
        <v>1004.2</v>
      </c>
      <c r="J43" s="107"/>
      <c r="K43" s="90">
        <f t="shared" si="2"/>
        <v>2</v>
      </c>
      <c r="L43" s="91">
        <f t="shared" si="3"/>
        <v>351.47</v>
      </c>
      <c r="M43" s="91">
        <f t="shared" si="4"/>
        <v>702.94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150.63</v>
      </c>
      <c r="T43" s="96">
        <f t="shared" si="7"/>
        <v>301.26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47</v>
      </c>
      <c r="G50" s="123">
        <f t="shared" si="10"/>
        <v>17412.11</v>
      </c>
      <c r="H50" s="124">
        <f t="shared" si="10"/>
        <v>24028.710000000003</v>
      </c>
      <c r="I50" s="125">
        <f t="shared" si="10"/>
        <v>63375.16</v>
      </c>
      <c r="J50" s="126"/>
      <c r="K50" s="127">
        <f t="shared" ref="K50:M50" si="11">SUM(K19:K49)</f>
        <v>47</v>
      </c>
      <c r="L50" s="124">
        <f t="shared" si="11"/>
        <v>12666.91</v>
      </c>
      <c r="M50" s="125">
        <f t="shared" si="11"/>
        <v>33592.35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11361.8</v>
      </c>
      <c r="T50" s="125">
        <f t="shared" si="12"/>
        <v>29782.809999999998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49" xr:uid="{00000000-0002-0000-4000-000000000000}">
      <formula1>$Z$19:$Z$30</formula1>
    </dataValidation>
    <dataValidation type="list" allowBlank="1" showErrorMessage="1" sqref="I14" xr:uid="{00000000-0002-0000-4000-000001000000}">
      <formula1>$Y$14:$Y$15</formula1>
    </dataValidation>
    <dataValidation type="list" allowBlank="1" showErrorMessage="1" sqref="J14" xr:uid="{00000000-0002-0000-4000-000002000000}">
      <formula1>$L$9</formula1>
    </dataValidation>
    <dataValidation type="list" allowBlank="1" showErrorMessage="1" sqref="Q15 G18 L18 Q18" xr:uid="{00000000-0002-0000-40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1048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56355.94000000001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37671.39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18684.55000000001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1049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0.33154535262831225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1050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18684.55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37671.39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1051</v>
      </c>
      <c r="C20" s="101" t="s">
        <v>804</v>
      </c>
      <c r="D20" s="88"/>
      <c r="E20" s="102">
        <v>500</v>
      </c>
      <c r="F20" s="103">
        <v>1</v>
      </c>
      <c r="G20" s="104">
        <v>38.54</v>
      </c>
      <c r="H20" s="105">
        <f t="shared" si="0"/>
        <v>53.19</v>
      </c>
      <c r="I20" s="106">
        <f t="shared" si="1"/>
        <v>53.19</v>
      </c>
      <c r="J20" s="107"/>
      <c r="K20" s="108">
        <f t="shared" si="2"/>
        <v>1</v>
      </c>
      <c r="L20" s="105">
        <f t="shared" si="3"/>
        <v>26.6</v>
      </c>
      <c r="M20" s="105">
        <f t="shared" si="4"/>
        <v>26.6</v>
      </c>
      <c r="N20" s="109"/>
      <c r="O20" s="95"/>
      <c r="P20" s="100"/>
      <c r="Q20" s="104"/>
      <c r="R20" s="110">
        <f t="shared" si="5"/>
        <v>0</v>
      </c>
      <c r="S20" s="111">
        <f t="shared" si="6"/>
        <v>26.59</v>
      </c>
      <c r="T20" s="111">
        <f t="shared" si="7"/>
        <v>26.59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1052</v>
      </c>
      <c r="C21" s="114" t="s">
        <v>743</v>
      </c>
      <c r="D21" s="88"/>
      <c r="E21" s="89">
        <v>500</v>
      </c>
      <c r="F21" s="115">
        <v>1</v>
      </c>
      <c r="G21" s="96">
        <v>31.71</v>
      </c>
      <c r="H21" s="91">
        <f t="shared" si="0"/>
        <v>43.76</v>
      </c>
      <c r="I21" s="92">
        <f t="shared" si="1"/>
        <v>43.76</v>
      </c>
      <c r="J21" s="107"/>
      <c r="K21" s="90">
        <f t="shared" si="2"/>
        <v>1</v>
      </c>
      <c r="L21" s="91">
        <f t="shared" si="3"/>
        <v>21.88</v>
      </c>
      <c r="M21" s="91">
        <f t="shared" si="4"/>
        <v>21.88</v>
      </c>
      <c r="N21" s="116"/>
      <c r="O21" s="95"/>
      <c r="P21" s="117"/>
      <c r="Q21" s="96"/>
      <c r="R21" s="96">
        <f t="shared" si="5"/>
        <v>0</v>
      </c>
      <c r="S21" s="96">
        <f t="shared" si="6"/>
        <v>21.88</v>
      </c>
      <c r="T21" s="96">
        <f t="shared" si="7"/>
        <v>21.88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1053</v>
      </c>
      <c r="C22" s="101" t="s">
        <v>174</v>
      </c>
      <c r="D22" s="88"/>
      <c r="E22" s="102">
        <v>1000</v>
      </c>
      <c r="F22" s="103">
        <v>1</v>
      </c>
      <c r="G22" s="104">
        <v>67.400000000000006</v>
      </c>
      <c r="H22" s="105">
        <f t="shared" si="0"/>
        <v>93.01</v>
      </c>
      <c r="I22" s="106">
        <f t="shared" si="1"/>
        <v>93.01</v>
      </c>
      <c r="J22" s="107"/>
      <c r="K22" s="108">
        <f t="shared" si="2"/>
        <v>1</v>
      </c>
      <c r="L22" s="105">
        <f t="shared" si="3"/>
        <v>46.51</v>
      </c>
      <c r="M22" s="105">
        <f t="shared" si="4"/>
        <v>46.51</v>
      </c>
      <c r="N22" s="109"/>
      <c r="O22" s="95"/>
      <c r="P22" s="100"/>
      <c r="Q22" s="104"/>
      <c r="R22" s="110">
        <f t="shared" si="5"/>
        <v>0</v>
      </c>
      <c r="S22" s="111">
        <f t="shared" si="6"/>
        <v>46.5</v>
      </c>
      <c r="T22" s="111">
        <f t="shared" si="7"/>
        <v>46.5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1054</v>
      </c>
      <c r="C23" s="114" t="s">
        <v>415</v>
      </c>
      <c r="D23" s="88"/>
      <c r="E23" s="89">
        <v>1000</v>
      </c>
      <c r="F23" s="115">
        <v>1</v>
      </c>
      <c r="G23" s="96">
        <v>64.48</v>
      </c>
      <c r="H23" s="91">
        <f t="shared" si="0"/>
        <v>88.98</v>
      </c>
      <c r="I23" s="92">
        <f t="shared" si="1"/>
        <v>88.98</v>
      </c>
      <c r="J23" s="107"/>
      <c r="K23" s="90">
        <f t="shared" si="2"/>
        <v>1</v>
      </c>
      <c r="L23" s="91">
        <f t="shared" si="3"/>
        <v>44.49</v>
      </c>
      <c r="M23" s="91">
        <f t="shared" si="4"/>
        <v>44.49</v>
      </c>
      <c r="N23" s="116"/>
      <c r="O23" s="95"/>
      <c r="P23" s="117"/>
      <c r="Q23" s="96"/>
      <c r="R23" s="96">
        <f t="shared" si="5"/>
        <v>0</v>
      </c>
      <c r="S23" s="96">
        <f t="shared" si="6"/>
        <v>44.49</v>
      </c>
      <c r="T23" s="96">
        <f t="shared" si="7"/>
        <v>44.49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1055</v>
      </c>
      <c r="C24" s="101" t="s">
        <v>128</v>
      </c>
      <c r="D24" s="88"/>
      <c r="E24" s="102">
        <v>2000</v>
      </c>
      <c r="F24" s="103">
        <v>1</v>
      </c>
      <c r="G24" s="104">
        <v>69.69</v>
      </c>
      <c r="H24" s="105">
        <f t="shared" si="0"/>
        <v>96.17</v>
      </c>
      <c r="I24" s="106">
        <f t="shared" si="1"/>
        <v>96.17</v>
      </c>
      <c r="J24" s="107"/>
      <c r="K24" s="108">
        <f t="shared" si="2"/>
        <v>1</v>
      </c>
      <c r="L24" s="105">
        <f t="shared" si="3"/>
        <v>57.7</v>
      </c>
      <c r="M24" s="105">
        <f t="shared" si="4"/>
        <v>57.7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38.47</v>
      </c>
      <c r="T24" s="111">
        <f t="shared" si="7"/>
        <v>38.47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1056</v>
      </c>
      <c r="C25" s="114" t="s">
        <v>131</v>
      </c>
      <c r="D25" s="88"/>
      <c r="E25" s="89">
        <v>2000</v>
      </c>
      <c r="F25" s="115">
        <v>1</v>
      </c>
      <c r="G25" s="96">
        <v>35.119999999999997</v>
      </c>
      <c r="H25" s="91">
        <f t="shared" si="0"/>
        <v>48.47</v>
      </c>
      <c r="I25" s="92">
        <f t="shared" si="1"/>
        <v>48.47</v>
      </c>
      <c r="J25" s="107"/>
      <c r="K25" s="90">
        <f t="shared" si="2"/>
        <v>1</v>
      </c>
      <c r="L25" s="91">
        <f t="shared" si="3"/>
        <v>29.08</v>
      </c>
      <c r="M25" s="91">
        <f t="shared" si="4"/>
        <v>29.08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19.39</v>
      </c>
      <c r="T25" s="96">
        <f t="shared" si="7"/>
        <v>19.39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849</v>
      </c>
      <c r="C26" s="101" t="s">
        <v>701</v>
      </c>
      <c r="D26" s="88"/>
      <c r="E26" s="102">
        <v>2000</v>
      </c>
      <c r="F26" s="103">
        <v>1</v>
      </c>
      <c r="G26" s="104">
        <v>19.23</v>
      </c>
      <c r="H26" s="105">
        <f t="shared" si="0"/>
        <v>26.54</v>
      </c>
      <c r="I26" s="106">
        <f t="shared" si="1"/>
        <v>26.54</v>
      </c>
      <c r="J26" s="107"/>
      <c r="K26" s="108">
        <f t="shared" si="2"/>
        <v>1</v>
      </c>
      <c r="L26" s="105">
        <f t="shared" si="3"/>
        <v>15.92</v>
      </c>
      <c r="M26" s="105">
        <f t="shared" si="4"/>
        <v>15.92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10.62</v>
      </c>
      <c r="T26" s="111">
        <f t="shared" si="7"/>
        <v>10.62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1057</v>
      </c>
      <c r="C27" s="114" t="s">
        <v>701</v>
      </c>
      <c r="D27" s="88"/>
      <c r="E27" s="89">
        <v>2000</v>
      </c>
      <c r="F27" s="115">
        <v>1</v>
      </c>
      <c r="G27" s="96">
        <v>38.450000000000003</v>
      </c>
      <c r="H27" s="91">
        <f t="shared" si="0"/>
        <v>53.06</v>
      </c>
      <c r="I27" s="92">
        <f t="shared" si="1"/>
        <v>53.06</v>
      </c>
      <c r="J27" s="107"/>
      <c r="K27" s="90">
        <f t="shared" si="2"/>
        <v>1</v>
      </c>
      <c r="L27" s="91">
        <f t="shared" si="3"/>
        <v>31.84</v>
      </c>
      <c r="M27" s="91">
        <f t="shared" si="4"/>
        <v>31.84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21.22</v>
      </c>
      <c r="T27" s="96">
        <f t="shared" si="7"/>
        <v>21.22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1058</v>
      </c>
      <c r="C28" s="101" t="s">
        <v>1059</v>
      </c>
      <c r="D28" s="88"/>
      <c r="E28" s="102" t="s">
        <v>138</v>
      </c>
      <c r="F28" s="103">
        <v>1</v>
      </c>
      <c r="G28" s="104">
        <v>3997.63</v>
      </c>
      <c r="H28" s="105">
        <f t="shared" si="0"/>
        <v>5516.73</v>
      </c>
      <c r="I28" s="106">
        <f t="shared" si="1"/>
        <v>5516.73</v>
      </c>
      <c r="J28" s="107"/>
      <c r="K28" s="108">
        <f t="shared" si="2"/>
        <v>1</v>
      </c>
      <c r="L28" s="105">
        <f t="shared" si="3"/>
        <v>2758.37</v>
      </c>
      <c r="M28" s="105">
        <f t="shared" si="4"/>
        <v>2758.37</v>
      </c>
      <c r="N28" s="109"/>
      <c r="O28" s="95"/>
      <c r="P28" s="100"/>
      <c r="Q28" s="104"/>
      <c r="R28" s="110">
        <f t="shared" si="5"/>
        <v>0</v>
      </c>
      <c r="S28" s="111">
        <f t="shared" si="6"/>
        <v>2758.36</v>
      </c>
      <c r="T28" s="111">
        <f t="shared" si="7"/>
        <v>2758.36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822</v>
      </c>
      <c r="C29" s="114" t="s">
        <v>1060</v>
      </c>
      <c r="D29" s="88"/>
      <c r="E29" s="89" t="s">
        <v>138</v>
      </c>
      <c r="F29" s="115">
        <v>2</v>
      </c>
      <c r="G29" s="96">
        <v>221.18</v>
      </c>
      <c r="H29" s="91">
        <f t="shared" si="0"/>
        <v>305.23</v>
      </c>
      <c r="I29" s="92">
        <f t="shared" si="1"/>
        <v>610.46</v>
      </c>
      <c r="J29" s="107"/>
      <c r="K29" s="90">
        <f t="shared" si="2"/>
        <v>2</v>
      </c>
      <c r="L29" s="91">
        <f t="shared" si="3"/>
        <v>152.62</v>
      </c>
      <c r="M29" s="91">
        <f t="shared" si="4"/>
        <v>305.24</v>
      </c>
      <c r="N29" s="116"/>
      <c r="O29" s="95"/>
      <c r="P29" s="117"/>
      <c r="Q29" s="96"/>
      <c r="R29" s="96">
        <f t="shared" si="5"/>
        <v>0</v>
      </c>
      <c r="S29" s="96">
        <f t="shared" si="6"/>
        <v>152.61000000000001</v>
      </c>
      <c r="T29" s="96">
        <f t="shared" si="7"/>
        <v>305.22000000000003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1061</v>
      </c>
      <c r="C30" s="101" t="s">
        <v>144</v>
      </c>
      <c r="D30" s="88"/>
      <c r="E30" s="102" t="s">
        <v>138</v>
      </c>
      <c r="F30" s="103">
        <v>1</v>
      </c>
      <c r="G30" s="104">
        <v>1694.77</v>
      </c>
      <c r="H30" s="105">
        <f t="shared" si="0"/>
        <v>2338.7800000000002</v>
      </c>
      <c r="I30" s="106">
        <f t="shared" si="1"/>
        <v>2338.7800000000002</v>
      </c>
      <c r="J30" s="107"/>
      <c r="K30" s="108">
        <f t="shared" si="2"/>
        <v>1</v>
      </c>
      <c r="L30" s="105">
        <f t="shared" si="3"/>
        <v>1169.3900000000001</v>
      </c>
      <c r="M30" s="105">
        <f t="shared" si="4"/>
        <v>1169.3900000000001</v>
      </c>
      <c r="N30" s="109"/>
      <c r="O30" s="95"/>
      <c r="P30" s="100"/>
      <c r="Q30" s="104"/>
      <c r="R30" s="110">
        <f t="shared" si="5"/>
        <v>0</v>
      </c>
      <c r="S30" s="111">
        <f t="shared" si="6"/>
        <v>1169.3900000000001</v>
      </c>
      <c r="T30" s="111">
        <f t="shared" si="7"/>
        <v>1169.3900000000001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996</v>
      </c>
      <c r="C31" s="114" t="s">
        <v>258</v>
      </c>
      <c r="D31" s="88"/>
      <c r="E31" s="89" t="s">
        <v>138</v>
      </c>
      <c r="F31" s="115">
        <v>4</v>
      </c>
      <c r="G31" s="96">
        <v>549.16</v>
      </c>
      <c r="H31" s="91">
        <f t="shared" si="0"/>
        <v>757.84</v>
      </c>
      <c r="I31" s="92">
        <f t="shared" si="1"/>
        <v>3031.36</v>
      </c>
      <c r="J31" s="107"/>
      <c r="K31" s="90">
        <f t="shared" si="2"/>
        <v>4</v>
      </c>
      <c r="L31" s="91">
        <f t="shared" si="3"/>
        <v>530.49</v>
      </c>
      <c r="M31" s="91">
        <f t="shared" si="4"/>
        <v>2121.96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227.35</v>
      </c>
      <c r="T31" s="96">
        <f t="shared" si="7"/>
        <v>909.4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1062</v>
      </c>
      <c r="C32" s="101" t="s">
        <v>292</v>
      </c>
      <c r="D32" s="88"/>
      <c r="E32" s="102">
        <v>1200</v>
      </c>
      <c r="F32" s="103">
        <v>1</v>
      </c>
      <c r="G32" s="104">
        <v>26276.58</v>
      </c>
      <c r="H32" s="105">
        <f t="shared" si="0"/>
        <v>36261.68</v>
      </c>
      <c r="I32" s="106">
        <f t="shared" si="1"/>
        <v>36261.68</v>
      </c>
      <c r="J32" s="107"/>
      <c r="K32" s="108">
        <f t="shared" si="2"/>
        <v>1</v>
      </c>
      <c r="L32" s="105">
        <f t="shared" si="3"/>
        <v>25383.18</v>
      </c>
      <c r="M32" s="105">
        <f t="shared" si="4"/>
        <v>25383.18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10878.5</v>
      </c>
      <c r="T32" s="111">
        <f t="shared" si="7"/>
        <v>10878.5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293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1063</v>
      </c>
      <c r="C34" s="101" t="s">
        <v>156</v>
      </c>
      <c r="D34" s="88"/>
      <c r="E34" s="102" t="s">
        <v>138</v>
      </c>
      <c r="F34" s="103">
        <v>1</v>
      </c>
      <c r="G34" s="104">
        <v>374.18</v>
      </c>
      <c r="H34" s="105">
        <f t="shared" si="0"/>
        <v>516.37</v>
      </c>
      <c r="I34" s="106">
        <f t="shared" si="1"/>
        <v>516.37</v>
      </c>
      <c r="J34" s="107"/>
      <c r="K34" s="108">
        <f t="shared" si="2"/>
        <v>1</v>
      </c>
      <c r="L34" s="105">
        <f t="shared" si="3"/>
        <v>361.46</v>
      </c>
      <c r="M34" s="105">
        <f t="shared" si="4"/>
        <v>361.46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154.91</v>
      </c>
      <c r="T34" s="111">
        <f t="shared" si="7"/>
        <v>154.91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1064</v>
      </c>
      <c r="C35" s="114" t="s">
        <v>152</v>
      </c>
      <c r="D35" s="88"/>
      <c r="E35" s="89" t="s">
        <v>138</v>
      </c>
      <c r="F35" s="115">
        <v>1</v>
      </c>
      <c r="G35" s="96">
        <v>107.07</v>
      </c>
      <c r="H35" s="91">
        <f t="shared" si="0"/>
        <v>147.76</v>
      </c>
      <c r="I35" s="92">
        <f t="shared" si="1"/>
        <v>147.76</v>
      </c>
      <c r="J35" s="107"/>
      <c r="K35" s="90">
        <f t="shared" si="2"/>
        <v>1</v>
      </c>
      <c r="L35" s="91">
        <f t="shared" si="3"/>
        <v>103.43</v>
      </c>
      <c r="M35" s="91">
        <f t="shared" si="4"/>
        <v>103.43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44.33</v>
      </c>
      <c r="T35" s="96">
        <f t="shared" si="7"/>
        <v>44.33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1065</v>
      </c>
      <c r="C36" s="101" t="s">
        <v>152</v>
      </c>
      <c r="D36" s="88"/>
      <c r="E36" s="102" t="s">
        <v>138</v>
      </c>
      <c r="F36" s="103">
        <v>1</v>
      </c>
      <c r="G36" s="104">
        <v>79.989999999999995</v>
      </c>
      <c r="H36" s="105">
        <f t="shared" si="0"/>
        <v>110.39</v>
      </c>
      <c r="I36" s="106">
        <f t="shared" si="1"/>
        <v>110.39</v>
      </c>
      <c r="J36" s="107"/>
      <c r="K36" s="108">
        <f t="shared" si="2"/>
        <v>1</v>
      </c>
      <c r="L36" s="105">
        <f t="shared" si="3"/>
        <v>77.27</v>
      </c>
      <c r="M36" s="105">
        <f t="shared" si="4"/>
        <v>77.27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33.119999999999997</v>
      </c>
      <c r="T36" s="111">
        <f t="shared" si="7"/>
        <v>33.119999999999997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1066</v>
      </c>
      <c r="C37" s="114" t="s">
        <v>152</v>
      </c>
      <c r="D37" s="88"/>
      <c r="E37" s="89" t="s">
        <v>138</v>
      </c>
      <c r="F37" s="115">
        <v>1</v>
      </c>
      <c r="G37" s="96">
        <v>123.9</v>
      </c>
      <c r="H37" s="91">
        <f t="shared" si="0"/>
        <v>170.98</v>
      </c>
      <c r="I37" s="92">
        <f t="shared" si="1"/>
        <v>170.98</v>
      </c>
      <c r="J37" s="107"/>
      <c r="K37" s="90">
        <f t="shared" si="2"/>
        <v>1</v>
      </c>
      <c r="L37" s="91">
        <f t="shared" si="3"/>
        <v>119.69</v>
      </c>
      <c r="M37" s="91">
        <f t="shared" si="4"/>
        <v>119.69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51.29</v>
      </c>
      <c r="T37" s="96">
        <f t="shared" si="7"/>
        <v>51.29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1067</v>
      </c>
      <c r="C38" s="101" t="s">
        <v>152</v>
      </c>
      <c r="D38" s="88"/>
      <c r="E38" s="102" t="s">
        <v>138</v>
      </c>
      <c r="F38" s="103">
        <v>1</v>
      </c>
      <c r="G38" s="104">
        <v>126.28</v>
      </c>
      <c r="H38" s="105">
        <f t="shared" si="0"/>
        <v>174.27</v>
      </c>
      <c r="I38" s="106">
        <f t="shared" si="1"/>
        <v>174.27</v>
      </c>
      <c r="J38" s="107"/>
      <c r="K38" s="108">
        <f t="shared" si="2"/>
        <v>1</v>
      </c>
      <c r="L38" s="105">
        <f t="shared" si="3"/>
        <v>121.99</v>
      </c>
      <c r="M38" s="105">
        <f t="shared" si="4"/>
        <v>121.99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52.28</v>
      </c>
      <c r="T38" s="111">
        <f t="shared" si="7"/>
        <v>52.28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1068</v>
      </c>
      <c r="C39" s="114" t="s">
        <v>201</v>
      </c>
      <c r="D39" s="88"/>
      <c r="E39" s="89" t="s">
        <v>138</v>
      </c>
      <c r="F39" s="115">
        <v>5</v>
      </c>
      <c r="G39" s="96">
        <v>619.32000000000005</v>
      </c>
      <c r="H39" s="91">
        <f t="shared" si="0"/>
        <v>854.66</v>
      </c>
      <c r="I39" s="92">
        <f t="shared" si="1"/>
        <v>4273.3</v>
      </c>
      <c r="J39" s="107"/>
      <c r="K39" s="90">
        <f t="shared" si="2"/>
        <v>5</v>
      </c>
      <c r="L39" s="91">
        <f t="shared" si="3"/>
        <v>598.26</v>
      </c>
      <c r="M39" s="91">
        <f t="shared" si="4"/>
        <v>2991.3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256.39999999999998</v>
      </c>
      <c r="T39" s="96">
        <f t="shared" si="7"/>
        <v>1282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1069</v>
      </c>
      <c r="C40" s="101" t="s">
        <v>670</v>
      </c>
      <c r="D40" s="88"/>
      <c r="E40" s="102" t="s">
        <v>138</v>
      </c>
      <c r="F40" s="103">
        <v>3</v>
      </c>
      <c r="G40" s="104">
        <v>558.01</v>
      </c>
      <c r="H40" s="105">
        <f t="shared" si="0"/>
        <v>770.05</v>
      </c>
      <c r="I40" s="106">
        <f t="shared" si="1"/>
        <v>2310.15</v>
      </c>
      <c r="J40" s="107"/>
      <c r="K40" s="108">
        <f t="shared" si="2"/>
        <v>3</v>
      </c>
      <c r="L40" s="105">
        <f t="shared" si="3"/>
        <v>539.04</v>
      </c>
      <c r="M40" s="105">
        <f t="shared" si="4"/>
        <v>1617.12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231.01</v>
      </c>
      <c r="T40" s="111">
        <f t="shared" si="7"/>
        <v>693.03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1070</v>
      </c>
      <c r="C41" s="114" t="s">
        <v>233</v>
      </c>
      <c r="D41" s="88"/>
      <c r="E41" s="89" t="s">
        <v>138</v>
      </c>
      <c r="F41" s="115">
        <v>3</v>
      </c>
      <c r="G41" s="96">
        <v>86.58</v>
      </c>
      <c r="H41" s="91">
        <f t="shared" si="0"/>
        <v>119.48</v>
      </c>
      <c r="I41" s="92">
        <f t="shared" si="1"/>
        <v>358.44</v>
      </c>
      <c r="J41" s="107"/>
      <c r="K41" s="90">
        <f t="shared" si="2"/>
        <v>3</v>
      </c>
      <c r="L41" s="91">
        <f t="shared" si="3"/>
        <v>83.64</v>
      </c>
      <c r="M41" s="91">
        <f t="shared" si="4"/>
        <v>250.92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35.840000000000003</v>
      </c>
      <c r="T41" s="96">
        <f t="shared" si="7"/>
        <v>107.52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35202.520000000004</v>
      </c>
      <c r="H50" s="124">
        <f t="shared" si="10"/>
        <v>48579.490000000013</v>
      </c>
      <c r="I50" s="125">
        <f t="shared" si="10"/>
        <v>56355.94000000001</v>
      </c>
      <c r="J50" s="126"/>
      <c r="K50" s="127">
        <f t="shared" ref="K50:M50" si="11">SUM(K19:K49)</f>
        <v>34</v>
      </c>
      <c r="L50" s="124">
        <f t="shared" si="11"/>
        <v>32288.899999999998</v>
      </c>
      <c r="M50" s="125">
        <f t="shared" si="11"/>
        <v>37671.39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16290.590000000002</v>
      </c>
      <c r="T50" s="125">
        <f t="shared" si="12"/>
        <v>18684.55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E19:E49" xr:uid="{00000000-0002-0000-4100-000000000000}">
      <formula1>$Z$19:$Z$30</formula1>
    </dataValidation>
    <dataValidation type="list" allowBlank="1" showErrorMessage="1" sqref="I14" xr:uid="{00000000-0002-0000-4100-000001000000}">
      <formula1>$Y$14:$Y$15</formula1>
    </dataValidation>
    <dataValidation type="list" allowBlank="1" showErrorMessage="1" sqref="J14" xr:uid="{00000000-0002-0000-4100-000002000000}">
      <formula1>$L$9</formula1>
    </dataValidation>
    <dataValidation type="list" allowBlank="1" showErrorMessage="1" sqref="Q15 G18 L18 Q18" xr:uid="{00000000-0002-0000-4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1071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56355.94000000001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2010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37671.39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18684.55000000001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1049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0.33154535262831225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1072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18684.55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37671.39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34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1051</v>
      </c>
      <c r="C20" s="101" t="s">
        <v>804</v>
      </c>
      <c r="D20" s="88"/>
      <c r="E20" s="102">
        <v>500</v>
      </c>
      <c r="F20" s="103">
        <v>1</v>
      </c>
      <c r="G20" s="104">
        <v>38.54</v>
      </c>
      <c r="H20" s="105">
        <f t="shared" si="0"/>
        <v>53.19</v>
      </c>
      <c r="I20" s="106">
        <f t="shared" si="1"/>
        <v>53.19</v>
      </c>
      <c r="J20" s="107"/>
      <c r="K20" s="108">
        <f t="shared" si="2"/>
        <v>1</v>
      </c>
      <c r="L20" s="105">
        <f t="shared" si="3"/>
        <v>26.6</v>
      </c>
      <c r="M20" s="105">
        <f t="shared" si="4"/>
        <v>26.6</v>
      </c>
      <c r="N20" s="109"/>
      <c r="O20" s="95"/>
      <c r="P20" s="100"/>
      <c r="Q20" s="104"/>
      <c r="R20" s="110">
        <f t="shared" si="5"/>
        <v>0</v>
      </c>
      <c r="S20" s="111">
        <f t="shared" si="6"/>
        <v>26.59</v>
      </c>
      <c r="T20" s="111">
        <f t="shared" si="7"/>
        <v>26.59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1052</v>
      </c>
      <c r="C21" s="114" t="s">
        <v>743</v>
      </c>
      <c r="D21" s="88"/>
      <c r="E21" s="89">
        <v>500</v>
      </c>
      <c r="F21" s="115">
        <v>1</v>
      </c>
      <c r="G21" s="96">
        <v>31.71</v>
      </c>
      <c r="H21" s="91">
        <f t="shared" si="0"/>
        <v>43.76</v>
      </c>
      <c r="I21" s="92">
        <f t="shared" si="1"/>
        <v>43.76</v>
      </c>
      <c r="J21" s="107"/>
      <c r="K21" s="90">
        <f t="shared" si="2"/>
        <v>1</v>
      </c>
      <c r="L21" s="91">
        <f t="shared" si="3"/>
        <v>21.88</v>
      </c>
      <c r="M21" s="91">
        <f t="shared" si="4"/>
        <v>21.88</v>
      </c>
      <c r="N21" s="116"/>
      <c r="O21" s="95"/>
      <c r="P21" s="117"/>
      <c r="Q21" s="96"/>
      <c r="R21" s="96">
        <f t="shared" si="5"/>
        <v>0</v>
      </c>
      <c r="S21" s="96">
        <f t="shared" si="6"/>
        <v>21.88</v>
      </c>
      <c r="T21" s="96">
        <f t="shared" si="7"/>
        <v>21.88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1053</v>
      </c>
      <c r="C22" s="101" t="s">
        <v>174</v>
      </c>
      <c r="D22" s="88"/>
      <c r="E22" s="102">
        <v>1000</v>
      </c>
      <c r="F22" s="103">
        <v>1</v>
      </c>
      <c r="G22" s="104">
        <v>67.400000000000006</v>
      </c>
      <c r="H22" s="105">
        <f t="shared" si="0"/>
        <v>93.01</v>
      </c>
      <c r="I22" s="106">
        <f t="shared" si="1"/>
        <v>93.01</v>
      </c>
      <c r="J22" s="107"/>
      <c r="K22" s="108">
        <f t="shared" si="2"/>
        <v>1</v>
      </c>
      <c r="L22" s="105">
        <f t="shared" si="3"/>
        <v>46.51</v>
      </c>
      <c r="M22" s="105">
        <f t="shared" si="4"/>
        <v>46.51</v>
      </c>
      <c r="N22" s="109"/>
      <c r="O22" s="95"/>
      <c r="P22" s="100"/>
      <c r="Q22" s="104"/>
      <c r="R22" s="110">
        <f t="shared" si="5"/>
        <v>0</v>
      </c>
      <c r="S22" s="111">
        <f t="shared" si="6"/>
        <v>46.5</v>
      </c>
      <c r="T22" s="111">
        <f t="shared" si="7"/>
        <v>46.5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1054</v>
      </c>
      <c r="C23" s="114" t="s">
        <v>415</v>
      </c>
      <c r="D23" s="88"/>
      <c r="E23" s="89">
        <v>1000</v>
      </c>
      <c r="F23" s="115">
        <v>1</v>
      </c>
      <c r="G23" s="96">
        <v>64.48</v>
      </c>
      <c r="H23" s="91">
        <f t="shared" si="0"/>
        <v>88.98</v>
      </c>
      <c r="I23" s="92">
        <f t="shared" si="1"/>
        <v>88.98</v>
      </c>
      <c r="J23" s="107"/>
      <c r="K23" s="90">
        <f t="shared" si="2"/>
        <v>1</v>
      </c>
      <c r="L23" s="91">
        <f t="shared" si="3"/>
        <v>44.49</v>
      </c>
      <c r="M23" s="91">
        <f t="shared" si="4"/>
        <v>44.49</v>
      </c>
      <c r="N23" s="116"/>
      <c r="O23" s="95"/>
      <c r="P23" s="117"/>
      <c r="Q23" s="96"/>
      <c r="R23" s="96">
        <f t="shared" si="5"/>
        <v>0</v>
      </c>
      <c r="S23" s="96">
        <f t="shared" si="6"/>
        <v>44.49</v>
      </c>
      <c r="T23" s="96">
        <f t="shared" si="7"/>
        <v>44.49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1055</v>
      </c>
      <c r="C24" s="101" t="s">
        <v>128</v>
      </c>
      <c r="D24" s="88"/>
      <c r="E24" s="102">
        <v>2000</v>
      </c>
      <c r="F24" s="103">
        <v>1</v>
      </c>
      <c r="G24" s="104">
        <v>69.69</v>
      </c>
      <c r="H24" s="105">
        <f t="shared" si="0"/>
        <v>96.17</v>
      </c>
      <c r="I24" s="106">
        <f t="shared" si="1"/>
        <v>96.17</v>
      </c>
      <c r="J24" s="107"/>
      <c r="K24" s="108">
        <f t="shared" si="2"/>
        <v>1</v>
      </c>
      <c r="L24" s="105">
        <f t="shared" si="3"/>
        <v>57.7</v>
      </c>
      <c r="M24" s="105">
        <f t="shared" si="4"/>
        <v>57.7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38.47</v>
      </c>
      <c r="T24" s="111">
        <f t="shared" si="7"/>
        <v>38.47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1056</v>
      </c>
      <c r="C25" s="114" t="s">
        <v>131</v>
      </c>
      <c r="D25" s="88"/>
      <c r="E25" s="89">
        <v>2000</v>
      </c>
      <c r="F25" s="115">
        <v>1</v>
      </c>
      <c r="G25" s="96">
        <v>35.119999999999997</v>
      </c>
      <c r="H25" s="91">
        <f t="shared" si="0"/>
        <v>48.47</v>
      </c>
      <c r="I25" s="92">
        <f t="shared" si="1"/>
        <v>48.47</v>
      </c>
      <c r="J25" s="107"/>
      <c r="K25" s="90">
        <f t="shared" si="2"/>
        <v>1</v>
      </c>
      <c r="L25" s="91">
        <f t="shared" si="3"/>
        <v>29.08</v>
      </c>
      <c r="M25" s="91">
        <f t="shared" si="4"/>
        <v>29.08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19.39</v>
      </c>
      <c r="T25" s="96">
        <f t="shared" si="7"/>
        <v>19.39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849</v>
      </c>
      <c r="C26" s="101" t="s">
        <v>701</v>
      </c>
      <c r="D26" s="88"/>
      <c r="E26" s="102">
        <v>2000</v>
      </c>
      <c r="F26" s="103">
        <v>1</v>
      </c>
      <c r="G26" s="104">
        <v>19.23</v>
      </c>
      <c r="H26" s="105">
        <f t="shared" si="0"/>
        <v>26.54</v>
      </c>
      <c r="I26" s="106">
        <f t="shared" si="1"/>
        <v>26.54</v>
      </c>
      <c r="J26" s="107"/>
      <c r="K26" s="108">
        <f t="shared" si="2"/>
        <v>1</v>
      </c>
      <c r="L26" s="105">
        <f t="shared" si="3"/>
        <v>15.92</v>
      </c>
      <c r="M26" s="105">
        <f t="shared" si="4"/>
        <v>15.92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10.62</v>
      </c>
      <c r="T26" s="111">
        <f t="shared" si="7"/>
        <v>10.62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1057</v>
      </c>
      <c r="C27" s="114" t="s">
        <v>701</v>
      </c>
      <c r="D27" s="88"/>
      <c r="E27" s="89">
        <v>2000</v>
      </c>
      <c r="F27" s="115">
        <v>1</v>
      </c>
      <c r="G27" s="96">
        <v>38.450000000000003</v>
      </c>
      <c r="H27" s="91">
        <f t="shared" si="0"/>
        <v>53.06</v>
      </c>
      <c r="I27" s="92">
        <f t="shared" si="1"/>
        <v>53.06</v>
      </c>
      <c r="J27" s="107"/>
      <c r="K27" s="90">
        <f t="shared" si="2"/>
        <v>1</v>
      </c>
      <c r="L27" s="91">
        <f t="shared" si="3"/>
        <v>31.84</v>
      </c>
      <c r="M27" s="91">
        <f t="shared" si="4"/>
        <v>31.84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21.22</v>
      </c>
      <c r="T27" s="96">
        <f t="shared" si="7"/>
        <v>21.22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1058</v>
      </c>
      <c r="C28" s="101" t="s">
        <v>1059</v>
      </c>
      <c r="D28" s="88"/>
      <c r="E28" s="102" t="s">
        <v>138</v>
      </c>
      <c r="F28" s="103">
        <v>1</v>
      </c>
      <c r="G28" s="104">
        <v>3997.63</v>
      </c>
      <c r="H28" s="105">
        <f t="shared" si="0"/>
        <v>5516.73</v>
      </c>
      <c r="I28" s="106">
        <f t="shared" si="1"/>
        <v>5516.73</v>
      </c>
      <c r="J28" s="107"/>
      <c r="K28" s="108">
        <f t="shared" si="2"/>
        <v>1</v>
      </c>
      <c r="L28" s="105">
        <f t="shared" si="3"/>
        <v>2758.37</v>
      </c>
      <c r="M28" s="105">
        <f t="shared" si="4"/>
        <v>2758.37</v>
      </c>
      <c r="N28" s="109"/>
      <c r="O28" s="95"/>
      <c r="P28" s="100"/>
      <c r="Q28" s="104"/>
      <c r="R28" s="110">
        <f t="shared" si="5"/>
        <v>0</v>
      </c>
      <c r="S28" s="111">
        <f t="shared" si="6"/>
        <v>2758.36</v>
      </c>
      <c r="T28" s="111">
        <f t="shared" si="7"/>
        <v>2758.36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822</v>
      </c>
      <c r="C29" s="114" t="s">
        <v>1060</v>
      </c>
      <c r="D29" s="88"/>
      <c r="E29" s="89" t="s">
        <v>138</v>
      </c>
      <c r="F29" s="115">
        <v>2</v>
      </c>
      <c r="G29" s="96">
        <v>221.18</v>
      </c>
      <c r="H29" s="91">
        <f t="shared" si="0"/>
        <v>305.23</v>
      </c>
      <c r="I29" s="92">
        <f t="shared" si="1"/>
        <v>610.46</v>
      </c>
      <c r="J29" s="107"/>
      <c r="K29" s="90">
        <f t="shared" si="2"/>
        <v>2</v>
      </c>
      <c r="L29" s="91">
        <f t="shared" si="3"/>
        <v>152.62</v>
      </c>
      <c r="M29" s="91">
        <f t="shared" si="4"/>
        <v>305.24</v>
      </c>
      <c r="N29" s="116"/>
      <c r="O29" s="95"/>
      <c r="P29" s="117"/>
      <c r="Q29" s="96"/>
      <c r="R29" s="96">
        <f t="shared" si="5"/>
        <v>0</v>
      </c>
      <c r="S29" s="96">
        <f t="shared" si="6"/>
        <v>152.61000000000001</v>
      </c>
      <c r="T29" s="96">
        <f t="shared" si="7"/>
        <v>305.22000000000003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1061</v>
      </c>
      <c r="C30" s="101" t="s">
        <v>144</v>
      </c>
      <c r="D30" s="88"/>
      <c r="E30" s="102" t="s">
        <v>138</v>
      </c>
      <c r="F30" s="103">
        <v>1</v>
      </c>
      <c r="G30" s="104">
        <v>1694.77</v>
      </c>
      <c r="H30" s="105">
        <f t="shared" si="0"/>
        <v>2338.7800000000002</v>
      </c>
      <c r="I30" s="106">
        <f t="shared" si="1"/>
        <v>2338.7800000000002</v>
      </c>
      <c r="J30" s="107"/>
      <c r="K30" s="108">
        <f t="shared" si="2"/>
        <v>1</v>
      </c>
      <c r="L30" s="105">
        <f t="shared" si="3"/>
        <v>1169.3900000000001</v>
      </c>
      <c r="M30" s="105">
        <f t="shared" si="4"/>
        <v>1169.3900000000001</v>
      </c>
      <c r="N30" s="109"/>
      <c r="O30" s="95"/>
      <c r="P30" s="100"/>
      <c r="Q30" s="104"/>
      <c r="R30" s="110">
        <f t="shared" si="5"/>
        <v>0</v>
      </c>
      <c r="S30" s="111">
        <f t="shared" si="6"/>
        <v>1169.3900000000001</v>
      </c>
      <c r="T30" s="111">
        <f t="shared" si="7"/>
        <v>1169.3900000000001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996</v>
      </c>
      <c r="C31" s="114" t="s">
        <v>258</v>
      </c>
      <c r="D31" s="88"/>
      <c r="E31" s="89" t="s">
        <v>138</v>
      </c>
      <c r="F31" s="115">
        <v>4</v>
      </c>
      <c r="G31" s="96">
        <v>549.16</v>
      </c>
      <c r="H31" s="91">
        <f t="shared" si="0"/>
        <v>757.84</v>
      </c>
      <c r="I31" s="92">
        <f t="shared" si="1"/>
        <v>3031.36</v>
      </c>
      <c r="J31" s="107"/>
      <c r="K31" s="90">
        <f t="shared" si="2"/>
        <v>4</v>
      </c>
      <c r="L31" s="91">
        <f t="shared" si="3"/>
        <v>530.49</v>
      </c>
      <c r="M31" s="91">
        <f t="shared" si="4"/>
        <v>2121.96</v>
      </c>
      <c r="N31" s="116">
        <v>-0.2</v>
      </c>
      <c r="O31" s="95"/>
      <c r="P31" s="117"/>
      <c r="Q31" s="96"/>
      <c r="R31" s="96">
        <f t="shared" si="5"/>
        <v>0</v>
      </c>
      <c r="S31" s="96">
        <f t="shared" si="6"/>
        <v>227.35</v>
      </c>
      <c r="T31" s="96">
        <f t="shared" si="7"/>
        <v>909.4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1062</v>
      </c>
      <c r="C32" s="101" t="s">
        <v>292</v>
      </c>
      <c r="D32" s="88"/>
      <c r="E32" s="102">
        <v>1200</v>
      </c>
      <c r="F32" s="103">
        <v>1</v>
      </c>
      <c r="G32" s="104">
        <v>26276.58</v>
      </c>
      <c r="H32" s="105">
        <f t="shared" si="0"/>
        <v>36261.68</v>
      </c>
      <c r="I32" s="106">
        <f t="shared" si="1"/>
        <v>36261.68</v>
      </c>
      <c r="J32" s="107"/>
      <c r="K32" s="108">
        <f t="shared" si="2"/>
        <v>1</v>
      </c>
      <c r="L32" s="105">
        <f t="shared" si="3"/>
        <v>25383.18</v>
      </c>
      <c r="M32" s="105">
        <f t="shared" si="4"/>
        <v>25383.18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10878.5</v>
      </c>
      <c r="T32" s="111">
        <f t="shared" si="7"/>
        <v>10878.5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/>
      <c r="C33" s="114" t="s">
        <v>293</v>
      </c>
      <c r="D33" s="88"/>
      <c r="E33" s="89"/>
      <c r="F33" s="115"/>
      <c r="G33" s="96"/>
      <c r="H33" s="91">
        <f t="shared" si="0"/>
        <v>0</v>
      </c>
      <c r="I33" s="92">
        <f t="shared" si="1"/>
        <v>0</v>
      </c>
      <c r="J33" s="107"/>
      <c r="K33" s="90">
        <f t="shared" si="2"/>
        <v>0</v>
      </c>
      <c r="L33" s="91">
        <f t="shared" si="3"/>
        <v>0</v>
      </c>
      <c r="M33" s="91">
        <f t="shared" si="4"/>
        <v>0</v>
      </c>
      <c r="N33" s="116"/>
      <c r="O33" s="95"/>
      <c r="P33" s="117"/>
      <c r="Q33" s="96"/>
      <c r="R33" s="96">
        <f t="shared" si="5"/>
        <v>0</v>
      </c>
      <c r="S33" s="96">
        <f t="shared" si="6"/>
        <v>0</v>
      </c>
      <c r="T33" s="96">
        <f t="shared" si="7"/>
        <v>0</v>
      </c>
      <c r="U33" s="97">
        <f t="shared" si="8"/>
        <v>0</v>
      </c>
      <c r="V33" s="97">
        <f t="shared" si="9"/>
        <v>0</v>
      </c>
      <c r="W33" s="98"/>
    </row>
    <row r="34" spans="2:23" ht="15.75" customHeight="1">
      <c r="B34" s="100" t="s">
        <v>1063</v>
      </c>
      <c r="C34" s="101" t="s">
        <v>156</v>
      </c>
      <c r="D34" s="88"/>
      <c r="E34" s="102" t="s">
        <v>138</v>
      </c>
      <c r="F34" s="103">
        <v>1</v>
      </c>
      <c r="G34" s="104">
        <v>374.18</v>
      </c>
      <c r="H34" s="105">
        <f t="shared" si="0"/>
        <v>516.37</v>
      </c>
      <c r="I34" s="106">
        <f t="shared" si="1"/>
        <v>516.37</v>
      </c>
      <c r="J34" s="107"/>
      <c r="K34" s="108">
        <f t="shared" si="2"/>
        <v>1</v>
      </c>
      <c r="L34" s="105">
        <f t="shared" si="3"/>
        <v>361.46</v>
      </c>
      <c r="M34" s="105">
        <f t="shared" si="4"/>
        <v>361.46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154.91</v>
      </c>
      <c r="T34" s="111">
        <f t="shared" si="7"/>
        <v>154.91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1064</v>
      </c>
      <c r="C35" s="114" t="s">
        <v>152</v>
      </c>
      <c r="D35" s="88"/>
      <c r="E35" s="89" t="s">
        <v>138</v>
      </c>
      <c r="F35" s="115">
        <v>1</v>
      </c>
      <c r="G35" s="96">
        <v>107.07</v>
      </c>
      <c r="H35" s="91">
        <f t="shared" si="0"/>
        <v>147.76</v>
      </c>
      <c r="I35" s="92">
        <f t="shared" si="1"/>
        <v>147.76</v>
      </c>
      <c r="J35" s="107"/>
      <c r="K35" s="90">
        <f t="shared" si="2"/>
        <v>1</v>
      </c>
      <c r="L35" s="91">
        <f t="shared" si="3"/>
        <v>103.43</v>
      </c>
      <c r="M35" s="91">
        <f t="shared" si="4"/>
        <v>103.43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44.33</v>
      </c>
      <c r="T35" s="96">
        <f t="shared" si="7"/>
        <v>44.33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1065</v>
      </c>
      <c r="C36" s="101" t="s">
        <v>152</v>
      </c>
      <c r="D36" s="88"/>
      <c r="E36" s="102" t="s">
        <v>138</v>
      </c>
      <c r="F36" s="103">
        <v>1</v>
      </c>
      <c r="G36" s="104">
        <v>79.989999999999995</v>
      </c>
      <c r="H36" s="105">
        <f t="shared" si="0"/>
        <v>110.39</v>
      </c>
      <c r="I36" s="106">
        <f t="shared" si="1"/>
        <v>110.39</v>
      </c>
      <c r="J36" s="107"/>
      <c r="K36" s="108">
        <f t="shared" si="2"/>
        <v>1</v>
      </c>
      <c r="L36" s="105">
        <f t="shared" si="3"/>
        <v>77.27</v>
      </c>
      <c r="M36" s="105">
        <f t="shared" si="4"/>
        <v>77.27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33.119999999999997</v>
      </c>
      <c r="T36" s="111">
        <f t="shared" si="7"/>
        <v>33.119999999999997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1066</v>
      </c>
      <c r="C37" s="114" t="s">
        <v>152</v>
      </c>
      <c r="D37" s="88"/>
      <c r="E37" s="89" t="s">
        <v>138</v>
      </c>
      <c r="F37" s="115">
        <v>1</v>
      </c>
      <c r="G37" s="96">
        <v>123.9</v>
      </c>
      <c r="H37" s="91">
        <f t="shared" si="0"/>
        <v>170.98</v>
      </c>
      <c r="I37" s="92">
        <f t="shared" si="1"/>
        <v>170.98</v>
      </c>
      <c r="J37" s="107"/>
      <c r="K37" s="90">
        <f t="shared" si="2"/>
        <v>1</v>
      </c>
      <c r="L37" s="91">
        <f t="shared" si="3"/>
        <v>119.69</v>
      </c>
      <c r="M37" s="91">
        <f t="shared" si="4"/>
        <v>119.69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51.29</v>
      </c>
      <c r="T37" s="96">
        <f t="shared" si="7"/>
        <v>51.29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1067</v>
      </c>
      <c r="C38" s="101" t="s">
        <v>152</v>
      </c>
      <c r="D38" s="88"/>
      <c r="E38" s="102" t="s">
        <v>138</v>
      </c>
      <c r="F38" s="103">
        <v>1</v>
      </c>
      <c r="G38" s="104">
        <v>126.28</v>
      </c>
      <c r="H38" s="105">
        <f t="shared" si="0"/>
        <v>174.27</v>
      </c>
      <c r="I38" s="106">
        <f t="shared" si="1"/>
        <v>174.27</v>
      </c>
      <c r="J38" s="107"/>
      <c r="K38" s="108">
        <f t="shared" si="2"/>
        <v>1</v>
      </c>
      <c r="L38" s="105">
        <f t="shared" si="3"/>
        <v>121.99</v>
      </c>
      <c r="M38" s="105">
        <f t="shared" si="4"/>
        <v>121.99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52.28</v>
      </c>
      <c r="T38" s="111">
        <f t="shared" si="7"/>
        <v>52.28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1068</v>
      </c>
      <c r="C39" s="114" t="s">
        <v>201</v>
      </c>
      <c r="D39" s="88"/>
      <c r="E39" s="89" t="s">
        <v>138</v>
      </c>
      <c r="F39" s="115">
        <v>5</v>
      </c>
      <c r="G39" s="96">
        <v>619.32000000000005</v>
      </c>
      <c r="H39" s="91">
        <f t="shared" si="0"/>
        <v>854.66</v>
      </c>
      <c r="I39" s="92">
        <f t="shared" si="1"/>
        <v>4273.3</v>
      </c>
      <c r="J39" s="107"/>
      <c r="K39" s="90">
        <f t="shared" si="2"/>
        <v>5</v>
      </c>
      <c r="L39" s="91">
        <f t="shared" si="3"/>
        <v>598.26</v>
      </c>
      <c r="M39" s="91">
        <f t="shared" si="4"/>
        <v>2991.3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256.39999999999998</v>
      </c>
      <c r="T39" s="96">
        <f t="shared" si="7"/>
        <v>1282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1069</v>
      </c>
      <c r="C40" s="101" t="s">
        <v>670</v>
      </c>
      <c r="D40" s="88"/>
      <c r="E40" s="102" t="s">
        <v>138</v>
      </c>
      <c r="F40" s="103">
        <v>3</v>
      </c>
      <c r="G40" s="104">
        <v>558.01</v>
      </c>
      <c r="H40" s="105">
        <f t="shared" si="0"/>
        <v>770.05</v>
      </c>
      <c r="I40" s="106">
        <f t="shared" si="1"/>
        <v>2310.15</v>
      </c>
      <c r="J40" s="107"/>
      <c r="K40" s="108">
        <f t="shared" si="2"/>
        <v>3</v>
      </c>
      <c r="L40" s="105">
        <f t="shared" si="3"/>
        <v>539.04</v>
      </c>
      <c r="M40" s="105">
        <f t="shared" si="4"/>
        <v>1617.12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231.01</v>
      </c>
      <c r="T40" s="111">
        <f t="shared" si="7"/>
        <v>693.03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1070</v>
      </c>
      <c r="C41" s="114" t="s">
        <v>233</v>
      </c>
      <c r="D41" s="88"/>
      <c r="E41" s="89" t="s">
        <v>138</v>
      </c>
      <c r="F41" s="115">
        <v>3</v>
      </c>
      <c r="G41" s="96">
        <v>86.58</v>
      </c>
      <c r="H41" s="91">
        <f t="shared" si="0"/>
        <v>119.48</v>
      </c>
      <c r="I41" s="92">
        <f t="shared" si="1"/>
        <v>358.44</v>
      </c>
      <c r="J41" s="107"/>
      <c r="K41" s="90">
        <f t="shared" si="2"/>
        <v>3</v>
      </c>
      <c r="L41" s="91">
        <f t="shared" si="3"/>
        <v>83.64</v>
      </c>
      <c r="M41" s="91">
        <f t="shared" si="4"/>
        <v>250.92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35.840000000000003</v>
      </c>
      <c r="T41" s="96">
        <f t="shared" si="7"/>
        <v>107.52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34</v>
      </c>
      <c r="G50" s="123">
        <f t="shared" si="10"/>
        <v>35202.520000000004</v>
      </c>
      <c r="H50" s="124">
        <f t="shared" si="10"/>
        <v>48579.490000000013</v>
      </c>
      <c r="I50" s="125">
        <f t="shared" si="10"/>
        <v>56355.94000000001</v>
      </c>
      <c r="J50" s="126"/>
      <c r="K50" s="127">
        <f t="shared" ref="K50:M50" si="11">SUM(K19:K49)</f>
        <v>34</v>
      </c>
      <c r="L50" s="124">
        <f t="shared" si="11"/>
        <v>32288.899999999998</v>
      </c>
      <c r="M50" s="125">
        <f t="shared" si="11"/>
        <v>37671.39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16290.590000000002</v>
      </c>
      <c r="T50" s="125">
        <f t="shared" si="12"/>
        <v>18684.55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0000000-0002-0000-4200-000000000000}">
      <formula1>$Z$19:$Z$30</formula1>
    </dataValidation>
    <dataValidation type="list" allowBlank="1" showErrorMessage="1" sqref="I14" xr:uid="{00000000-0002-0000-4200-000001000000}">
      <formula1>$Y$14:$Y$15</formula1>
    </dataValidation>
    <dataValidation type="list" allowBlank="1" showErrorMessage="1" sqref="J14" xr:uid="{00000000-0002-0000-4200-000002000000}">
      <formula1>$L$9</formula1>
    </dataValidation>
    <dataValidation type="list" allowBlank="1" showErrorMessage="1" sqref="Q15 G18 L18 Q18" xr:uid="{00000000-0002-0000-4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1073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63608.87000000001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2017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42337.16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21271.710000000006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1074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0.334414209842118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1075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21271.71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42337.16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1076</v>
      </c>
      <c r="C20" s="101" t="s">
        <v>118</v>
      </c>
      <c r="D20" s="88"/>
      <c r="E20" s="102">
        <v>500</v>
      </c>
      <c r="F20" s="103">
        <v>1</v>
      </c>
      <c r="G20" s="104">
        <v>50.1</v>
      </c>
      <c r="H20" s="105">
        <f t="shared" si="0"/>
        <v>69.14</v>
      </c>
      <c r="I20" s="106">
        <f t="shared" si="1"/>
        <v>69.14</v>
      </c>
      <c r="J20" s="107"/>
      <c r="K20" s="108">
        <f t="shared" si="2"/>
        <v>1</v>
      </c>
      <c r="L20" s="105">
        <f t="shared" si="3"/>
        <v>34.57</v>
      </c>
      <c r="M20" s="105">
        <f t="shared" si="4"/>
        <v>34.57</v>
      </c>
      <c r="N20" s="109"/>
      <c r="O20" s="95"/>
      <c r="P20" s="100"/>
      <c r="Q20" s="104"/>
      <c r="R20" s="110">
        <f t="shared" si="5"/>
        <v>0</v>
      </c>
      <c r="S20" s="111">
        <f t="shared" si="6"/>
        <v>34.57</v>
      </c>
      <c r="T20" s="111">
        <f t="shared" si="7"/>
        <v>34.57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1077</v>
      </c>
      <c r="C21" s="114" t="s">
        <v>1078</v>
      </c>
      <c r="D21" s="88"/>
      <c r="E21" s="89">
        <v>500</v>
      </c>
      <c r="F21" s="115">
        <v>1</v>
      </c>
      <c r="G21" s="96">
        <v>58.85</v>
      </c>
      <c r="H21" s="91">
        <f t="shared" si="0"/>
        <v>81.209999999999994</v>
      </c>
      <c r="I21" s="92">
        <f t="shared" si="1"/>
        <v>81.209999999999994</v>
      </c>
      <c r="J21" s="107"/>
      <c r="K21" s="90">
        <f t="shared" si="2"/>
        <v>1</v>
      </c>
      <c r="L21" s="91">
        <f t="shared" si="3"/>
        <v>40.61</v>
      </c>
      <c r="M21" s="91">
        <f t="shared" si="4"/>
        <v>40.61</v>
      </c>
      <c r="N21" s="116"/>
      <c r="O21" s="95"/>
      <c r="P21" s="117"/>
      <c r="Q21" s="96"/>
      <c r="R21" s="96">
        <f t="shared" si="5"/>
        <v>0</v>
      </c>
      <c r="S21" s="96">
        <f t="shared" si="6"/>
        <v>40.6</v>
      </c>
      <c r="T21" s="96">
        <f t="shared" si="7"/>
        <v>40.6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845</v>
      </c>
      <c r="C22" s="101" t="s">
        <v>1039</v>
      </c>
      <c r="D22" s="88"/>
      <c r="E22" s="102">
        <v>500</v>
      </c>
      <c r="F22" s="103">
        <v>1</v>
      </c>
      <c r="G22" s="104">
        <v>49.24</v>
      </c>
      <c r="H22" s="105">
        <f t="shared" si="0"/>
        <v>67.95</v>
      </c>
      <c r="I22" s="106">
        <f t="shared" si="1"/>
        <v>67.95</v>
      </c>
      <c r="J22" s="107"/>
      <c r="K22" s="108">
        <f t="shared" si="2"/>
        <v>1</v>
      </c>
      <c r="L22" s="105">
        <f t="shared" si="3"/>
        <v>33.979999999999997</v>
      </c>
      <c r="M22" s="105">
        <f t="shared" si="4"/>
        <v>33.979999999999997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33.97</v>
      </c>
      <c r="T22" s="111">
        <f t="shared" si="7"/>
        <v>33.97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/>
      <c r="C23" s="114" t="s">
        <v>1040</v>
      </c>
      <c r="D23" s="88"/>
      <c r="E23" s="89">
        <v>1000</v>
      </c>
      <c r="F23" s="115">
        <v>1</v>
      </c>
      <c r="G23" s="96"/>
      <c r="H23" s="91">
        <f t="shared" si="0"/>
        <v>0</v>
      </c>
      <c r="I23" s="92">
        <f t="shared" si="1"/>
        <v>0</v>
      </c>
      <c r="J23" s="107"/>
      <c r="K23" s="90">
        <f t="shared" si="2"/>
        <v>1</v>
      </c>
      <c r="L23" s="91">
        <f t="shared" si="3"/>
        <v>0</v>
      </c>
      <c r="M23" s="91">
        <f t="shared" si="4"/>
        <v>0</v>
      </c>
      <c r="N23" s="116"/>
      <c r="O23" s="95"/>
      <c r="P23" s="117"/>
      <c r="Q23" s="96"/>
      <c r="R23" s="96">
        <f t="shared" si="5"/>
        <v>0</v>
      </c>
      <c r="S23" s="96">
        <f t="shared" si="6"/>
        <v>0</v>
      </c>
      <c r="T23" s="96">
        <f t="shared" si="7"/>
        <v>0</v>
      </c>
      <c r="U23" s="97">
        <f t="shared" si="8"/>
        <v>0</v>
      </c>
      <c r="V23" s="97">
        <f t="shared" si="9"/>
        <v>0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1054</v>
      </c>
      <c r="C24" s="101" t="s">
        <v>415</v>
      </c>
      <c r="D24" s="88"/>
      <c r="E24" s="102">
        <v>2000</v>
      </c>
      <c r="F24" s="103">
        <v>1</v>
      </c>
      <c r="G24" s="104">
        <v>64.48</v>
      </c>
      <c r="H24" s="105">
        <f t="shared" si="0"/>
        <v>88.98</v>
      </c>
      <c r="I24" s="106">
        <f t="shared" si="1"/>
        <v>88.98</v>
      </c>
      <c r="J24" s="107"/>
      <c r="K24" s="108">
        <f t="shared" si="2"/>
        <v>1</v>
      </c>
      <c r="L24" s="105">
        <f t="shared" si="3"/>
        <v>44.49</v>
      </c>
      <c r="M24" s="105">
        <f t="shared" si="4"/>
        <v>44.49</v>
      </c>
      <c r="N24" s="109"/>
      <c r="O24" s="95"/>
      <c r="P24" s="100"/>
      <c r="Q24" s="104"/>
      <c r="R24" s="110">
        <f t="shared" si="5"/>
        <v>0</v>
      </c>
      <c r="S24" s="111">
        <f t="shared" si="6"/>
        <v>44.49</v>
      </c>
      <c r="T24" s="111">
        <f t="shared" si="7"/>
        <v>44.49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1053</v>
      </c>
      <c r="C25" s="114" t="s">
        <v>174</v>
      </c>
      <c r="D25" s="88"/>
      <c r="E25" s="89">
        <v>4000</v>
      </c>
      <c r="F25" s="115">
        <v>1</v>
      </c>
      <c r="G25" s="96">
        <v>67.400000000000006</v>
      </c>
      <c r="H25" s="91">
        <f t="shared" si="0"/>
        <v>93.01</v>
      </c>
      <c r="I25" s="92">
        <f t="shared" si="1"/>
        <v>93.01</v>
      </c>
      <c r="J25" s="107"/>
      <c r="K25" s="90">
        <f t="shared" si="2"/>
        <v>1</v>
      </c>
      <c r="L25" s="91">
        <f t="shared" si="3"/>
        <v>46.51</v>
      </c>
      <c r="M25" s="91">
        <f t="shared" si="4"/>
        <v>46.51</v>
      </c>
      <c r="N25" s="116"/>
      <c r="O25" s="95"/>
      <c r="P25" s="117"/>
      <c r="Q25" s="96"/>
      <c r="R25" s="96">
        <f t="shared" si="5"/>
        <v>0</v>
      </c>
      <c r="S25" s="96">
        <f t="shared" si="6"/>
        <v>46.5</v>
      </c>
      <c r="T25" s="96">
        <f t="shared" si="7"/>
        <v>46.5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1079</v>
      </c>
      <c r="C26" s="101" t="s">
        <v>128</v>
      </c>
      <c r="D26" s="88"/>
      <c r="E26" s="102">
        <v>1000</v>
      </c>
      <c r="F26" s="103">
        <v>1</v>
      </c>
      <c r="G26" s="104">
        <v>83.09</v>
      </c>
      <c r="H26" s="105">
        <f t="shared" si="0"/>
        <v>114.66</v>
      </c>
      <c r="I26" s="106">
        <f t="shared" si="1"/>
        <v>114.66</v>
      </c>
      <c r="J26" s="107"/>
      <c r="K26" s="108">
        <f t="shared" si="2"/>
        <v>1</v>
      </c>
      <c r="L26" s="105">
        <f t="shared" si="3"/>
        <v>68.8</v>
      </c>
      <c r="M26" s="105">
        <f t="shared" si="4"/>
        <v>68.8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45.86</v>
      </c>
      <c r="T26" s="111">
        <f t="shared" si="7"/>
        <v>45.86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1080</v>
      </c>
      <c r="C27" s="114" t="s">
        <v>131</v>
      </c>
      <c r="D27" s="88"/>
      <c r="E27" s="89">
        <v>1000</v>
      </c>
      <c r="F27" s="115">
        <v>1</v>
      </c>
      <c r="G27" s="96">
        <v>83.96</v>
      </c>
      <c r="H27" s="91">
        <f t="shared" si="0"/>
        <v>115.86</v>
      </c>
      <c r="I27" s="92">
        <f t="shared" si="1"/>
        <v>115.86</v>
      </c>
      <c r="J27" s="107"/>
      <c r="K27" s="90">
        <f t="shared" si="2"/>
        <v>1</v>
      </c>
      <c r="L27" s="91">
        <f t="shared" si="3"/>
        <v>69.52</v>
      </c>
      <c r="M27" s="91">
        <f t="shared" si="4"/>
        <v>69.52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46.34</v>
      </c>
      <c r="T27" s="96">
        <f t="shared" si="7"/>
        <v>46.34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849</v>
      </c>
      <c r="C28" s="101" t="s">
        <v>134</v>
      </c>
      <c r="D28" s="88"/>
      <c r="E28" s="102">
        <v>1000</v>
      </c>
      <c r="F28" s="103">
        <v>1</v>
      </c>
      <c r="G28" s="104">
        <v>19.23</v>
      </c>
      <c r="H28" s="105">
        <f t="shared" si="0"/>
        <v>26.54</v>
      </c>
      <c r="I28" s="106">
        <f t="shared" si="1"/>
        <v>26.54</v>
      </c>
      <c r="J28" s="107"/>
      <c r="K28" s="108">
        <f t="shared" si="2"/>
        <v>1</v>
      </c>
      <c r="L28" s="105">
        <f t="shared" si="3"/>
        <v>15.92</v>
      </c>
      <c r="M28" s="105">
        <f t="shared" si="4"/>
        <v>15.92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10.62</v>
      </c>
      <c r="T28" s="111">
        <f t="shared" si="7"/>
        <v>10.62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1057</v>
      </c>
      <c r="C29" s="114" t="s">
        <v>134</v>
      </c>
      <c r="D29" s="88"/>
      <c r="E29" s="89">
        <v>1000</v>
      </c>
      <c r="F29" s="115">
        <v>1</v>
      </c>
      <c r="G29" s="96">
        <v>38.450000000000003</v>
      </c>
      <c r="H29" s="91">
        <f t="shared" si="0"/>
        <v>53.06</v>
      </c>
      <c r="I29" s="92">
        <f t="shared" si="1"/>
        <v>53.06</v>
      </c>
      <c r="J29" s="107"/>
      <c r="K29" s="90">
        <f t="shared" si="2"/>
        <v>1</v>
      </c>
      <c r="L29" s="91">
        <f t="shared" si="3"/>
        <v>31.84</v>
      </c>
      <c r="M29" s="91">
        <f t="shared" si="4"/>
        <v>31.84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21.22</v>
      </c>
      <c r="T29" s="96">
        <f t="shared" si="7"/>
        <v>21.22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1014</v>
      </c>
      <c r="C31" s="114" t="s">
        <v>1081</v>
      </c>
      <c r="D31" s="88"/>
      <c r="E31" s="89" t="s">
        <v>138</v>
      </c>
      <c r="F31" s="115">
        <v>1</v>
      </c>
      <c r="G31" s="96">
        <v>122.33</v>
      </c>
      <c r="H31" s="91">
        <f t="shared" si="0"/>
        <v>168.82</v>
      </c>
      <c r="I31" s="92">
        <f t="shared" si="1"/>
        <v>168.82</v>
      </c>
      <c r="J31" s="107"/>
      <c r="K31" s="90">
        <f t="shared" si="2"/>
        <v>1</v>
      </c>
      <c r="L31" s="91">
        <f t="shared" si="3"/>
        <v>101.29</v>
      </c>
      <c r="M31" s="91">
        <f t="shared" si="4"/>
        <v>101.29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67.53</v>
      </c>
      <c r="T31" s="96">
        <f t="shared" si="7"/>
        <v>67.53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1082</v>
      </c>
      <c r="C32" s="101" t="s">
        <v>751</v>
      </c>
      <c r="D32" s="88"/>
      <c r="E32" s="102" t="s">
        <v>138</v>
      </c>
      <c r="F32" s="103">
        <v>1</v>
      </c>
      <c r="G32" s="104">
        <v>3505.92</v>
      </c>
      <c r="H32" s="105">
        <f t="shared" si="0"/>
        <v>4838.17</v>
      </c>
      <c r="I32" s="106">
        <f t="shared" si="1"/>
        <v>4838.17</v>
      </c>
      <c r="J32" s="107"/>
      <c r="K32" s="108">
        <f t="shared" si="2"/>
        <v>1</v>
      </c>
      <c r="L32" s="105">
        <f t="shared" si="3"/>
        <v>2902.9</v>
      </c>
      <c r="M32" s="105">
        <f t="shared" si="4"/>
        <v>2902.9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1935.27</v>
      </c>
      <c r="T32" s="111">
        <f t="shared" si="7"/>
        <v>1935.27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1083</v>
      </c>
      <c r="C33" s="114" t="s">
        <v>752</v>
      </c>
      <c r="D33" s="88"/>
      <c r="E33" s="89" t="s">
        <v>138</v>
      </c>
      <c r="F33" s="115">
        <v>1</v>
      </c>
      <c r="G33" s="96">
        <v>1839.47</v>
      </c>
      <c r="H33" s="91">
        <f t="shared" si="0"/>
        <v>2538.4699999999998</v>
      </c>
      <c r="I33" s="92">
        <f t="shared" si="1"/>
        <v>2538.4699999999998</v>
      </c>
      <c r="J33" s="107"/>
      <c r="K33" s="90">
        <f t="shared" si="2"/>
        <v>1</v>
      </c>
      <c r="L33" s="91">
        <f t="shared" si="3"/>
        <v>1523.08</v>
      </c>
      <c r="M33" s="91">
        <f t="shared" si="4"/>
        <v>1523.08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1015.39</v>
      </c>
      <c r="T33" s="96">
        <f t="shared" si="7"/>
        <v>1015.39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1084</v>
      </c>
      <c r="C34" s="101" t="s">
        <v>753</v>
      </c>
      <c r="D34" s="88"/>
      <c r="E34" s="102" t="s">
        <v>138</v>
      </c>
      <c r="F34" s="103">
        <v>1</v>
      </c>
      <c r="G34" s="104">
        <v>1435.49</v>
      </c>
      <c r="H34" s="105">
        <f t="shared" si="0"/>
        <v>1980.98</v>
      </c>
      <c r="I34" s="106">
        <f t="shared" si="1"/>
        <v>1980.98</v>
      </c>
      <c r="J34" s="107"/>
      <c r="K34" s="108">
        <f t="shared" si="2"/>
        <v>1</v>
      </c>
      <c r="L34" s="105">
        <f t="shared" si="3"/>
        <v>1188.5899999999999</v>
      </c>
      <c r="M34" s="105">
        <f t="shared" si="4"/>
        <v>1188.5899999999999</v>
      </c>
      <c r="N34" s="109">
        <v>-0.1</v>
      </c>
      <c r="O34" s="95"/>
      <c r="P34" s="100"/>
      <c r="Q34" s="104"/>
      <c r="R34" s="110">
        <f t="shared" si="5"/>
        <v>0</v>
      </c>
      <c r="S34" s="111">
        <f t="shared" si="6"/>
        <v>792.39</v>
      </c>
      <c r="T34" s="111">
        <f t="shared" si="7"/>
        <v>792.39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1085</v>
      </c>
      <c r="C35" s="114" t="s">
        <v>877</v>
      </c>
      <c r="D35" s="88"/>
      <c r="E35" s="89" t="s">
        <v>138</v>
      </c>
      <c r="F35" s="115">
        <v>1</v>
      </c>
      <c r="G35" s="96">
        <v>1958.39</v>
      </c>
      <c r="H35" s="91">
        <f t="shared" si="0"/>
        <v>2702.58</v>
      </c>
      <c r="I35" s="92">
        <f t="shared" si="1"/>
        <v>2702.58</v>
      </c>
      <c r="J35" s="107"/>
      <c r="K35" s="90">
        <f t="shared" si="2"/>
        <v>1</v>
      </c>
      <c r="L35" s="91">
        <f t="shared" si="3"/>
        <v>1351.29</v>
      </c>
      <c r="M35" s="91">
        <f t="shared" si="4"/>
        <v>1351.29</v>
      </c>
      <c r="N35" s="116"/>
      <c r="O35" s="95"/>
      <c r="P35" s="117"/>
      <c r="Q35" s="96"/>
      <c r="R35" s="96">
        <f t="shared" si="5"/>
        <v>0</v>
      </c>
      <c r="S35" s="96">
        <f t="shared" si="6"/>
        <v>1351.29</v>
      </c>
      <c r="T35" s="96">
        <f t="shared" si="7"/>
        <v>1351.29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822</v>
      </c>
      <c r="C36" s="101" t="s">
        <v>1042</v>
      </c>
      <c r="D36" s="88"/>
      <c r="E36" s="102" t="s">
        <v>138</v>
      </c>
      <c r="F36" s="103">
        <v>2</v>
      </c>
      <c r="G36" s="104">
        <v>221.18</v>
      </c>
      <c r="H36" s="105">
        <f t="shared" si="0"/>
        <v>305.23</v>
      </c>
      <c r="I36" s="106">
        <f t="shared" si="1"/>
        <v>610.46</v>
      </c>
      <c r="J36" s="107"/>
      <c r="K36" s="108">
        <f t="shared" si="2"/>
        <v>2</v>
      </c>
      <c r="L36" s="105">
        <f t="shared" si="3"/>
        <v>152.62</v>
      </c>
      <c r="M36" s="105">
        <f t="shared" si="4"/>
        <v>305.24</v>
      </c>
      <c r="N36" s="109"/>
      <c r="O36" s="95"/>
      <c r="P36" s="100"/>
      <c r="Q36" s="104"/>
      <c r="R36" s="110">
        <f t="shared" si="5"/>
        <v>0</v>
      </c>
      <c r="S36" s="111">
        <f t="shared" si="6"/>
        <v>152.61000000000001</v>
      </c>
      <c r="T36" s="111">
        <f t="shared" si="7"/>
        <v>305.22000000000003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1086</v>
      </c>
      <c r="C37" s="114" t="s">
        <v>144</v>
      </c>
      <c r="D37" s="88"/>
      <c r="E37" s="89" t="s">
        <v>138</v>
      </c>
      <c r="F37" s="115">
        <v>1</v>
      </c>
      <c r="G37" s="96">
        <v>1586.57</v>
      </c>
      <c r="H37" s="91">
        <f t="shared" si="0"/>
        <v>2189.4699999999998</v>
      </c>
      <c r="I37" s="92">
        <f t="shared" si="1"/>
        <v>2189.4699999999998</v>
      </c>
      <c r="J37" s="107"/>
      <c r="K37" s="90">
        <f t="shared" si="2"/>
        <v>1</v>
      </c>
      <c r="L37" s="91">
        <f t="shared" si="3"/>
        <v>1094.74</v>
      </c>
      <c r="M37" s="91">
        <f t="shared" si="4"/>
        <v>1094.74</v>
      </c>
      <c r="N37" s="116"/>
      <c r="O37" s="95"/>
      <c r="P37" s="117"/>
      <c r="Q37" s="96"/>
      <c r="R37" s="96">
        <f t="shared" si="5"/>
        <v>0</v>
      </c>
      <c r="S37" s="96">
        <f t="shared" si="6"/>
        <v>1094.73</v>
      </c>
      <c r="T37" s="96">
        <f t="shared" si="7"/>
        <v>1094.73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1021</v>
      </c>
      <c r="C38" s="101" t="s">
        <v>1022</v>
      </c>
      <c r="D38" s="88"/>
      <c r="E38" s="102" t="s">
        <v>138</v>
      </c>
      <c r="F38" s="103">
        <v>4</v>
      </c>
      <c r="G38" s="104">
        <v>603.16</v>
      </c>
      <c r="H38" s="105">
        <f t="shared" si="0"/>
        <v>832.36</v>
      </c>
      <c r="I38" s="106">
        <f t="shared" si="1"/>
        <v>3329.44</v>
      </c>
      <c r="J38" s="107"/>
      <c r="K38" s="108">
        <f t="shared" si="2"/>
        <v>4</v>
      </c>
      <c r="L38" s="105">
        <f t="shared" si="3"/>
        <v>582.65</v>
      </c>
      <c r="M38" s="105">
        <f t="shared" si="4"/>
        <v>2330.6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249.71</v>
      </c>
      <c r="T38" s="111">
        <f t="shared" si="7"/>
        <v>998.84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1087</v>
      </c>
      <c r="C39" s="114" t="s">
        <v>1088</v>
      </c>
      <c r="D39" s="88"/>
      <c r="E39" s="89">
        <v>1200</v>
      </c>
      <c r="F39" s="115">
        <v>1</v>
      </c>
      <c r="G39" s="96">
        <v>26276.58</v>
      </c>
      <c r="H39" s="91">
        <f t="shared" si="0"/>
        <v>36261.68</v>
      </c>
      <c r="I39" s="92">
        <f t="shared" si="1"/>
        <v>36261.68</v>
      </c>
      <c r="J39" s="107"/>
      <c r="K39" s="90">
        <f t="shared" si="2"/>
        <v>1</v>
      </c>
      <c r="L39" s="91">
        <f t="shared" si="3"/>
        <v>25383.18</v>
      </c>
      <c r="M39" s="91">
        <f t="shared" si="4"/>
        <v>25383.18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10878.5</v>
      </c>
      <c r="T39" s="96">
        <f t="shared" si="7"/>
        <v>10878.5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293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1063</v>
      </c>
      <c r="C41" s="114" t="s">
        <v>156</v>
      </c>
      <c r="D41" s="88"/>
      <c r="E41" s="89" t="s">
        <v>138</v>
      </c>
      <c r="F41" s="115">
        <v>1</v>
      </c>
      <c r="G41" s="96">
        <v>374.18</v>
      </c>
      <c r="H41" s="91">
        <f t="shared" si="0"/>
        <v>516.37</v>
      </c>
      <c r="I41" s="92">
        <f t="shared" si="1"/>
        <v>516.37</v>
      </c>
      <c r="J41" s="107"/>
      <c r="K41" s="90">
        <f t="shared" si="2"/>
        <v>1</v>
      </c>
      <c r="L41" s="91">
        <f t="shared" si="3"/>
        <v>361.46</v>
      </c>
      <c r="M41" s="91">
        <f t="shared" si="4"/>
        <v>361.46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154.91</v>
      </c>
      <c r="T41" s="96">
        <f t="shared" si="7"/>
        <v>154.91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1064</v>
      </c>
      <c r="C42" s="101" t="s">
        <v>152</v>
      </c>
      <c r="D42" s="88"/>
      <c r="E42" s="102" t="s">
        <v>138</v>
      </c>
      <c r="F42" s="103">
        <v>1</v>
      </c>
      <c r="G42" s="104">
        <v>107.07</v>
      </c>
      <c r="H42" s="105">
        <f t="shared" si="0"/>
        <v>147.76</v>
      </c>
      <c r="I42" s="106">
        <f t="shared" si="1"/>
        <v>147.76</v>
      </c>
      <c r="J42" s="107"/>
      <c r="K42" s="108">
        <f t="shared" si="2"/>
        <v>1</v>
      </c>
      <c r="L42" s="105">
        <f t="shared" si="3"/>
        <v>103.43</v>
      </c>
      <c r="M42" s="105">
        <f t="shared" si="4"/>
        <v>103.43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44.33</v>
      </c>
      <c r="T42" s="111">
        <f t="shared" si="7"/>
        <v>44.33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1065</v>
      </c>
      <c r="C43" s="114" t="s">
        <v>152</v>
      </c>
      <c r="D43" s="88"/>
      <c r="E43" s="89" t="s">
        <v>138</v>
      </c>
      <c r="F43" s="115">
        <v>1</v>
      </c>
      <c r="G43" s="96">
        <v>79.989999999999995</v>
      </c>
      <c r="H43" s="91">
        <f t="shared" si="0"/>
        <v>110.39</v>
      </c>
      <c r="I43" s="92">
        <f t="shared" si="1"/>
        <v>110.39</v>
      </c>
      <c r="J43" s="107"/>
      <c r="K43" s="90">
        <f t="shared" si="2"/>
        <v>1</v>
      </c>
      <c r="L43" s="91">
        <f t="shared" si="3"/>
        <v>77.27</v>
      </c>
      <c r="M43" s="91">
        <f t="shared" si="4"/>
        <v>77.27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33.119999999999997</v>
      </c>
      <c r="T43" s="96">
        <f t="shared" si="7"/>
        <v>33.119999999999997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1066</v>
      </c>
      <c r="C44" s="101" t="s">
        <v>152</v>
      </c>
      <c r="D44" s="88"/>
      <c r="E44" s="102" t="s">
        <v>138</v>
      </c>
      <c r="F44" s="103">
        <v>1</v>
      </c>
      <c r="G44" s="104">
        <v>123.9</v>
      </c>
      <c r="H44" s="105">
        <f t="shared" si="0"/>
        <v>170.98</v>
      </c>
      <c r="I44" s="106">
        <f t="shared" si="1"/>
        <v>170.98</v>
      </c>
      <c r="J44" s="107"/>
      <c r="K44" s="108">
        <f t="shared" si="2"/>
        <v>1</v>
      </c>
      <c r="L44" s="105">
        <f t="shared" si="3"/>
        <v>119.69</v>
      </c>
      <c r="M44" s="105">
        <f t="shared" si="4"/>
        <v>119.69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51.29</v>
      </c>
      <c r="T44" s="111">
        <f t="shared" si="7"/>
        <v>51.29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1067</v>
      </c>
      <c r="C45" s="114" t="s">
        <v>152</v>
      </c>
      <c r="D45" s="88"/>
      <c r="E45" s="89" t="s">
        <v>138</v>
      </c>
      <c r="F45" s="115">
        <v>1</v>
      </c>
      <c r="G45" s="96">
        <v>126.28</v>
      </c>
      <c r="H45" s="91">
        <f t="shared" si="0"/>
        <v>174.27</v>
      </c>
      <c r="I45" s="92">
        <f t="shared" si="1"/>
        <v>174.27</v>
      </c>
      <c r="J45" s="107"/>
      <c r="K45" s="90">
        <f t="shared" si="2"/>
        <v>1</v>
      </c>
      <c r="L45" s="91">
        <f t="shared" si="3"/>
        <v>121.99</v>
      </c>
      <c r="M45" s="91">
        <f t="shared" si="4"/>
        <v>121.99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52.28</v>
      </c>
      <c r="T45" s="96">
        <f t="shared" si="7"/>
        <v>52.28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1068</v>
      </c>
      <c r="C46" s="101" t="s">
        <v>201</v>
      </c>
      <c r="D46" s="88"/>
      <c r="E46" s="102" t="s">
        <v>138</v>
      </c>
      <c r="F46" s="103">
        <v>5</v>
      </c>
      <c r="G46" s="104">
        <v>619.32000000000005</v>
      </c>
      <c r="H46" s="105">
        <f t="shared" si="0"/>
        <v>854.66</v>
      </c>
      <c r="I46" s="106">
        <f t="shared" si="1"/>
        <v>4273.3</v>
      </c>
      <c r="J46" s="107"/>
      <c r="K46" s="108">
        <f t="shared" si="2"/>
        <v>5</v>
      </c>
      <c r="L46" s="105">
        <f t="shared" si="3"/>
        <v>598.26</v>
      </c>
      <c r="M46" s="105">
        <f t="shared" si="4"/>
        <v>2991.3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256.39999999999998</v>
      </c>
      <c r="T46" s="111">
        <f t="shared" si="7"/>
        <v>1282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1069</v>
      </c>
      <c r="C47" s="114" t="s">
        <v>670</v>
      </c>
      <c r="D47" s="88"/>
      <c r="E47" s="89" t="s">
        <v>138</v>
      </c>
      <c r="F47" s="115">
        <v>3</v>
      </c>
      <c r="G47" s="96">
        <v>558.01</v>
      </c>
      <c r="H47" s="91">
        <f t="shared" si="0"/>
        <v>770.05</v>
      </c>
      <c r="I47" s="92">
        <f t="shared" si="1"/>
        <v>2310.15</v>
      </c>
      <c r="J47" s="107"/>
      <c r="K47" s="90">
        <f t="shared" si="2"/>
        <v>3</v>
      </c>
      <c r="L47" s="91">
        <f t="shared" si="3"/>
        <v>539.04</v>
      </c>
      <c r="M47" s="91">
        <f t="shared" si="4"/>
        <v>1617.12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231.01</v>
      </c>
      <c r="T47" s="96">
        <f t="shared" si="7"/>
        <v>693.03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1070</v>
      </c>
      <c r="C48" s="101" t="s">
        <v>233</v>
      </c>
      <c r="D48" s="88"/>
      <c r="E48" s="102" t="s">
        <v>138</v>
      </c>
      <c r="F48" s="103">
        <v>3</v>
      </c>
      <c r="G48" s="104">
        <v>86.58</v>
      </c>
      <c r="H48" s="105">
        <f t="shared" si="0"/>
        <v>119.48</v>
      </c>
      <c r="I48" s="106">
        <f t="shared" si="1"/>
        <v>358.44</v>
      </c>
      <c r="J48" s="107"/>
      <c r="K48" s="108">
        <f t="shared" si="2"/>
        <v>3</v>
      </c>
      <c r="L48" s="105">
        <f t="shared" si="3"/>
        <v>83.64</v>
      </c>
      <c r="M48" s="105">
        <f t="shared" si="4"/>
        <v>250.92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35.840000000000003</v>
      </c>
      <c r="T48" s="111">
        <f t="shared" si="7"/>
        <v>107.52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40296.270000000004</v>
      </c>
      <c r="H50" s="124">
        <f t="shared" si="10"/>
        <v>55608.860000000008</v>
      </c>
      <c r="I50" s="125">
        <f t="shared" si="10"/>
        <v>63608.87000000001</v>
      </c>
      <c r="J50" s="126"/>
      <c r="K50" s="127">
        <f t="shared" ref="K50:M50" si="11">SUM(K19:K49)</f>
        <v>41</v>
      </c>
      <c r="L50" s="124">
        <f t="shared" si="11"/>
        <v>36798.19</v>
      </c>
      <c r="M50" s="125">
        <f t="shared" si="11"/>
        <v>42337.16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18810.669999999998</v>
      </c>
      <c r="T50" s="125">
        <f t="shared" si="12"/>
        <v>21271.71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49" xr:uid="{00000000-0002-0000-4300-000000000000}">
      <formula1>$Z$19:$Z$30</formula1>
    </dataValidation>
    <dataValidation type="list" allowBlank="1" showErrorMessage="1" sqref="I14" xr:uid="{00000000-0002-0000-4300-000001000000}">
      <formula1>$Y$14:$Y$15</formula1>
    </dataValidation>
    <dataValidation type="list" allowBlank="1" showErrorMessage="1" sqref="J14" xr:uid="{00000000-0002-0000-4300-000002000000}">
      <formula1>$L$9</formula1>
    </dataValidation>
    <dataValidation type="list" allowBlank="1" showErrorMessage="1" sqref="Q15 G18 L18 Q18" xr:uid="{00000000-0002-0000-43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1089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65609.41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2023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43396.73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22212.68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1090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0.33855936214027832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1091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22212.68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43396.73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41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1076</v>
      </c>
      <c r="C20" s="101" t="s">
        <v>118</v>
      </c>
      <c r="D20" s="88"/>
      <c r="E20" s="102">
        <v>500</v>
      </c>
      <c r="F20" s="103">
        <v>1</v>
      </c>
      <c r="G20" s="104">
        <v>50.1</v>
      </c>
      <c r="H20" s="105">
        <f t="shared" si="0"/>
        <v>69.14</v>
      </c>
      <c r="I20" s="106">
        <f t="shared" si="1"/>
        <v>69.14</v>
      </c>
      <c r="J20" s="107"/>
      <c r="K20" s="108">
        <f t="shared" si="2"/>
        <v>1</v>
      </c>
      <c r="L20" s="105">
        <f t="shared" si="3"/>
        <v>34.57</v>
      </c>
      <c r="M20" s="105">
        <f t="shared" si="4"/>
        <v>34.57</v>
      </c>
      <c r="N20" s="109"/>
      <c r="O20" s="95"/>
      <c r="P20" s="100"/>
      <c r="Q20" s="104"/>
      <c r="R20" s="110">
        <f t="shared" si="5"/>
        <v>0</v>
      </c>
      <c r="S20" s="111">
        <f t="shared" si="6"/>
        <v>34.57</v>
      </c>
      <c r="T20" s="111">
        <f t="shared" si="7"/>
        <v>34.57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1077</v>
      </c>
      <c r="C21" s="114" t="s">
        <v>1078</v>
      </c>
      <c r="D21" s="88"/>
      <c r="E21" s="89">
        <v>500</v>
      </c>
      <c r="F21" s="115">
        <v>1</v>
      </c>
      <c r="G21" s="96">
        <v>58.85</v>
      </c>
      <c r="H21" s="91">
        <f t="shared" si="0"/>
        <v>81.209999999999994</v>
      </c>
      <c r="I21" s="92">
        <f t="shared" si="1"/>
        <v>81.209999999999994</v>
      </c>
      <c r="J21" s="107"/>
      <c r="K21" s="90">
        <f t="shared" si="2"/>
        <v>1</v>
      </c>
      <c r="L21" s="91">
        <f t="shared" si="3"/>
        <v>40.61</v>
      </c>
      <c r="M21" s="91">
        <f t="shared" si="4"/>
        <v>40.61</v>
      </c>
      <c r="N21" s="116"/>
      <c r="O21" s="95"/>
      <c r="P21" s="117"/>
      <c r="Q21" s="96"/>
      <c r="R21" s="96">
        <f t="shared" si="5"/>
        <v>0</v>
      </c>
      <c r="S21" s="96">
        <f t="shared" si="6"/>
        <v>40.6</v>
      </c>
      <c r="T21" s="96">
        <f t="shared" si="7"/>
        <v>40.6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845</v>
      </c>
      <c r="C22" s="101" t="s">
        <v>1039</v>
      </c>
      <c r="D22" s="88"/>
      <c r="E22" s="102">
        <v>500</v>
      </c>
      <c r="F22" s="103">
        <v>1</v>
      </c>
      <c r="G22" s="104">
        <v>49.24</v>
      </c>
      <c r="H22" s="105">
        <f t="shared" si="0"/>
        <v>67.95</v>
      </c>
      <c r="I22" s="106">
        <f t="shared" si="1"/>
        <v>67.95</v>
      </c>
      <c r="J22" s="107"/>
      <c r="K22" s="108">
        <f t="shared" si="2"/>
        <v>1</v>
      </c>
      <c r="L22" s="105">
        <f t="shared" si="3"/>
        <v>33.979999999999997</v>
      </c>
      <c r="M22" s="105">
        <f t="shared" si="4"/>
        <v>33.979999999999997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33.97</v>
      </c>
      <c r="T22" s="111">
        <f t="shared" si="7"/>
        <v>33.97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/>
      <c r="C23" s="114" t="s">
        <v>1040</v>
      </c>
      <c r="D23" s="88"/>
      <c r="E23" s="89">
        <v>1000</v>
      </c>
      <c r="F23" s="115">
        <v>1</v>
      </c>
      <c r="G23" s="96"/>
      <c r="H23" s="91">
        <f t="shared" si="0"/>
        <v>0</v>
      </c>
      <c r="I23" s="92">
        <f t="shared" si="1"/>
        <v>0</v>
      </c>
      <c r="J23" s="107"/>
      <c r="K23" s="90">
        <f t="shared" si="2"/>
        <v>1</v>
      </c>
      <c r="L23" s="91">
        <f t="shared" si="3"/>
        <v>0</v>
      </c>
      <c r="M23" s="91">
        <f t="shared" si="4"/>
        <v>0</v>
      </c>
      <c r="N23" s="116"/>
      <c r="O23" s="95"/>
      <c r="P23" s="117"/>
      <c r="Q23" s="96"/>
      <c r="R23" s="96">
        <f t="shared" si="5"/>
        <v>0</v>
      </c>
      <c r="S23" s="96">
        <f t="shared" si="6"/>
        <v>0</v>
      </c>
      <c r="T23" s="96">
        <f t="shared" si="7"/>
        <v>0</v>
      </c>
      <c r="U23" s="97">
        <f t="shared" si="8"/>
        <v>0</v>
      </c>
      <c r="V23" s="97">
        <f t="shared" si="9"/>
        <v>0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1054</v>
      </c>
      <c r="C24" s="101" t="s">
        <v>415</v>
      </c>
      <c r="D24" s="88"/>
      <c r="E24" s="102">
        <v>2000</v>
      </c>
      <c r="F24" s="103">
        <v>1</v>
      </c>
      <c r="G24" s="104">
        <v>64.48</v>
      </c>
      <c r="H24" s="105">
        <f t="shared" si="0"/>
        <v>88.98</v>
      </c>
      <c r="I24" s="106">
        <f t="shared" si="1"/>
        <v>88.98</v>
      </c>
      <c r="J24" s="107"/>
      <c r="K24" s="108">
        <f t="shared" si="2"/>
        <v>1</v>
      </c>
      <c r="L24" s="105">
        <f t="shared" si="3"/>
        <v>44.49</v>
      </c>
      <c r="M24" s="105">
        <f t="shared" si="4"/>
        <v>44.49</v>
      </c>
      <c r="N24" s="109"/>
      <c r="O24" s="95"/>
      <c r="P24" s="100"/>
      <c r="Q24" s="104"/>
      <c r="R24" s="110">
        <f t="shared" si="5"/>
        <v>0</v>
      </c>
      <c r="S24" s="111">
        <f t="shared" si="6"/>
        <v>44.49</v>
      </c>
      <c r="T24" s="111">
        <f t="shared" si="7"/>
        <v>44.49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1092</v>
      </c>
      <c r="C25" s="114" t="s">
        <v>174</v>
      </c>
      <c r="D25" s="88"/>
      <c r="E25" s="89">
        <v>4000</v>
      </c>
      <c r="F25" s="115">
        <v>1</v>
      </c>
      <c r="G25" s="96">
        <v>233.4</v>
      </c>
      <c r="H25" s="91">
        <f t="shared" si="0"/>
        <v>322.08999999999997</v>
      </c>
      <c r="I25" s="92">
        <f t="shared" si="1"/>
        <v>322.08999999999997</v>
      </c>
      <c r="J25" s="107"/>
      <c r="K25" s="90">
        <f t="shared" si="2"/>
        <v>1</v>
      </c>
      <c r="L25" s="91">
        <f t="shared" si="3"/>
        <v>161.05000000000001</v>
      </c>
      <c r="M25" s="91">
        <f t="shared" si="4"/>
        <v>161.05000000000001</v>
      </c>
      <c r="N25" s="116"/>
      <c r="O25" s="95"/>
      <c r="P25" s="117"/>
      <c r="Q25" s="96"/>
      <c r="R25" s="96">
        <f t="shared" si="5"/>
        <v>0</v>
      </c>
      <c r="S25" s="96">
        <f t="shared" si="6"/>
        <v>161.04</v>
      </c>
      <c r="T25" s="96">
        <f t="shared" si="7"/>
        <v>161.04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1079</v>
      </c>
      <c r="C26" s="101" t="s">
        <v>128</v>
      </c>
      <c r="D26" s="88"/>
      <c r="E26" s="102">
        <v>1000</v>
      </c>
      <c r="F26" s="103">
        <v>1</v>
      </c>
      <c r="G26" s="104">
        <v>83.09</v>
      </c>
      <c r="H26" s="105">
        <f t="shared" si="0"/>
        <v>114.66</v>
      </c>
      <c r="I26" s="106">
        <f t="shared" si="1"/>
        <v>114.66</v>
      </c>
      <c r="J26" s="107"/>
      <c r="K26" s="108">
        <f t="shared" si="2"/>
        <v>1</v>
      </c>
      <c r="L26" s="105">
        <f t="shared" si="3"/>
        <v>68.8</v>
      </c>
      <c r="M26" s="105">
        <f t="shared" si="4"/>
        <v>68.8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45.86</v>
      </c>
      <c r="T26" s="111">
        <f t="shared" si="7"/>
        <v>45.86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1080</v>
      </c>
      <c r="C27" s="114" t="s">
        <v>131</v>
      </c>
      <c r="D27" s="88"/>
      <c r="E27" s="89">
        <v>1000</v>
      </c>
      <c r="F27" s="115">
        <v>1</v>
      </c>
      <c r="G27" s="96">
        <v>83.96</v>
      </c>
      <c r="H27" s="91">
        <f t="shared" si="0"/>
        <v>115.86</v>
      </c>
      <c r="I27" s="92">
        <f t="shared" si="1"/>
        <v>115.86</v>
      </c>
      <c r="J27" s="107"/>
      <c r="K27" s="90">
        <f t="shared" si="2"/>
        <v>1</v>
      </c>
      <c r="L27" s="91">
        <f t="shared" si="3"/>
        <v>69.52</v>
      </c>
      <c r="M27" s="91">
        <f t="shared" si="4"/>
        <v>69.52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46.34</v>
      </c>
      <c r="T27" s="96">
        <f t="shared" si="7"/>
        <v>46.34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849</v>
      </c>
      <c r="C28" s="101" t="s">
        <v>134</v>
      </c>
      <c r="D28" s="88"/>
      <c r="E28" s="102">
        <v>1000</v>
      </c>
      <c r="F28" s="103">
        <v>1</v>
      </c>
      <c r="G28" s="104">
        <v>19.23</v>
      </c>
      <c r="H28" s="105">
        <f t="shared" si="0"/>
        <v>26.54</v>
      </c>
      <c r="I28" s="106">
        <f t="shared" si="1"/>
        <v>26.54</v>
      </c>
      <c r="J28" s="107"/>
      <c r="K28" s="108">
        <f t="shared" si="2"/>
        <v>1</v>
      </c>
      <c r="L28" s="105">
        <f t="shared" si="3"/>
        <v>15.92</v>
      </c>
      <c r="M28" s="105">
        <f t="shared" si="4"/>
        <v>15.92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10.62</v>
      </c>
      <c r="T28" s="111">
        <f t="shared" si="7"/>
        <v>10.62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1057</v>
      </c>
      <c r="C29" s="114" t="s">
        <v>134</v>
      </c>
      <c r="D29" s="88"/>
      <c r="E29" s="89">
        <v>1000</v>
      </c>
      <c r="F29" s="115">
        <v>1</v>
      </c>
      <c r="G29" s="96">
        <v>38.450000000000003</v>
      </c>
      <c r="H29" s="91">
        <f t="shared" si="0"/>
        <v>53.06</v>
      </c>
      <c r="I29" s="92">
        <f t="shared" si="1"/>
        <v>53.06</v>
      </c>
      <c r="J29" s="107"/>
      <c r="K29" s="90">
        <f t="shared" si="2"/>
        <v>1</v>
      </c>
      <c r="L29" s="91">
        <f t="shared" si="3"/>
        <v>31.84</v>
      </c>
      <c r="M29" s="91">
        <f t="shared" si="4"/>
        <v>31.84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21.22</v>
      </c>
      <c r="T29" s="96">
        <f t="shared" si="7"/>
        <v>21.22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1093</v>
      </c>
      <c r="D31" s="88"/>
      <c r="E31" s="89" t="s">
        <v>138</v>
      </c>
      <c r="F31" s="115">
        <v>1</v>
      </c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1</v>
      </c>
      <c r="L31" s="91">
        <f t="shared" si="3"/>
        <v>0</v>
      </c>
      <c r="M31" s="91">
        <f t="shared" si="4"/>
        <v>0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00" t="s">
        <v>1094</v>
      </c>
      <c r="C32" s="101" t="s">
        <v>751</v>
      </c>
      <c r="D32" s="88"/>
      <c r="E32" s="102" t="s">
        <v>138</v>
      </c>
      <c r="F32" s="103">
        <v>1</v>
      </c>
      <c r="G32" s="104">
        <v>4464.8500000000004</v>
      </c>
      <c r="H32" s="105">
        <f t="shared" si="0"/>
        <v>6161.49</v>
      </c>
      <c r="I32" s="106">
        <f t="shared" si="1"/>
        <v>6161.49</v>
      </c>
      <c r="J32" s="107"/>
      <c r="K32" s="108">
        <f t="shared" si="2"/>
        <v>1</v>
      </c>
      <c r="L32" s="105">
        <f t="shared" si="3"/>
        <v>3696.89</v>
      </c>
      <c r="M32" s="105">
        <f t="shared" si="4"/>
        <v>3696.89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2464.6</v>
      </c>
      <c r="T32" s="111">
        <f t="shared" si="7"/>
        <v>2464.6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1095</v>
      </c>
      <c r="C33" s="114" t="s">
        <v>752</v>
      </c>
      <c r="D33" s="88"/>
      <c r="E33" s="89" t="s">
        <v>138</v>
      </c>
      <c r="F33" s="115">
        <v>1</v>
      </c>
      <c r="G33" s="96">
        <v>1864.46</v>
      </c>
      <c r="H33" s="91">
        <f t="shared" si="0"/>
        <v>2572.9499999999998</v>
      </c>
      <c r="I33" s="92">
        <f t="shared" si="1"/>
        <v>2572.9499999999998</v>
      </c>
      <c r="J33" s="107"/>
      <c r="K33" s="90">
        <f t="shared" si="2"/>
        <v>1</v>
      </c>
      <c r="L33" s="91">
        <f t="shared" si="3"/>
        <v>1543.77</v>
      </c>
      <c r="M33" s="91">
        <f t="shared" si="4"/>
        <v>1543.77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1029.18</v>
      </c>
      <c r="T33" s="96">
        <f t="shared" si="7"/>
        <v>1029.18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1084</v>
      </c>
      <c r="C34" s="101" t="s">
        <v>753</v>
      </c>
      <c r="D34" s="88"/>
      <c r="E34" s="102" t="s">
        <v>138</v>
      </c>
      <c r="F34" s="103">
        <v>1</v>
      </c>
      <c r="G34" s="104">
        <v>1435.49</v>
      </c>
      <c r="H34" s="105">
        <f t="shared" si="0"/>
        <v>1980.98</v>
      </c>
      <c r="I34" s="106">
        <f t="shared" si="1"/>
        <v>1980.98</v>
      </c>
      <c r="J34" s="107"/>
      <c r="K34" s="108">
        <f t="shared" si="2"/>
        <v>1</v>
      </c>
      <c r="L34" s="105">
        <f t="shared" si="3"/>
        <v>1188.5899999999999</v>
      </c>
      <c r="M34" s="105">
        <f t="shared" si="4"/>
        <v>1188.5899999999999</v>
      </c>
      <c r="N34" s="109">
        <v>-0.1</v>
      </c>
      <c r="O34" s="95"/>
      <c r="P34" s="100"/>
      <c r="Q34" s="104"/>
      <c r="R34" s="110">
        <f t="shared" si="5"/>
        <v>0</v>
      </c>
      <c r="S34" s="111">
        <f t="shared" si="6"/>
        <v>792.39</v>
      </c>
      <c r="T34" s="111">
        <f t="shared" si="7"/>
        <v>792.39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1096</v>
      </c>
      <c r="C35" s="114" t="s">
        <v>877</v>
      </c>
      <c r="D35" s="88"/>
      <c r="E35" s="89" t="s">
        <v>138</v>
      </c>
      <c r="F35" s="115">
        <v>1</v>
      </c>
      <c r="G35" s="96">
        <v>2488.2800000000002</v>
      </c>
      <c r="H35" s="91">
        <f t="shared" si="0"/>
        <v>3433.83</v>
      </c>
      <c r="I35" s="92">
        <f t="shared" si="1"/>
        <v>3433.83</v>
      </c>
      <c r="J35" s="107"/>
      <c r="K35" s="90">
        <f t="shared" si="2"/>
        <v>1</v>
      </c>
      <c r="L35" s="91">
        <f t="shared" si="3"/>
        <v>1716.92</v>
      </c>
      <c r="M35" s="91">
        <f t="shared" si="4"/>
        <v>1716.92</v>
      </c>
      <c r="N35" s="116"/>
      <c r="O35" s="95"/>
      <c r="P35" s="117"/>
      <c r="Q35" s="96"/>
      <c r="R35" s="96">
        <f t="shared" si="5"/>
        <v>0</v>
      </c>
      <c r="S35" s="96">
        <f t="shared" si="6"/>
        <v>1716.91</v>
      </c>
      <c r="T35" s="96">
        <f t="shared" si="7"/>
        <v>1716.91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822</v>
      </c>
      <c r="C36" s="101" t="s">
        <v>1042</v>
      </c>
      <c r="D36" s="88"/>
      <c r="E36" s="102" t="s">
        <v>138</v>
      </c>
      <c r="F36" s="103">
        <v>2</v>
      </c>
      <c r="G36" s="104">
        <v>221.18</v>
      </c>
      <c r="H36" s="105">
        <f t="shared" si="0"/>
        <v>305.23</v>
      </c>
      <c r="I36" s="106">
        <f t="shared" si="1"/>
        <v>610.46</v>
      </c>
      <c r="J36" s="107"/>
      <c r="K36" s="108">
        <f t="shared" si="2"/>
        <v>2</v>
      </c>
      <c r="L36" s="105">
        <f t="shared" si="3"/>
        <v>152.62</v>
      </c>
      <c r="M36" s="105">
        <f t="shared" si="4"/>
        <v>305.24</v>
      </c>
      <c r="N36" s="109"/>
      <c r="O36" s="95"/>
      <c r="P36" s="100"/>
      <c r="Q36" s="104"/>
      <c r="R36" s="110">
        <f t="shared" si="5"/>
        <v>0</v>
      </c>
      <c r="S36" s="111">
        <f t="shared" si="6"/>
        <v>152.61000000000001</v>
      </c>
      <c r="T36" s="111">
        <f t="shared" si="7"/>
        <v>305.22000000000003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1061</v>
      </c>
      <c r="C37" s="114" t="s">
        <v>144</v>
      </c>
      <c r="D37" s="88"/>
      <c r="E37" s="89" t="s">
        <v>138</v>
      </c>
      <c r="F37" s="115">
        <v>1</v>
      </c>
      <c r="G37" s="96">
        <v>1694.77</v>
      </c>
      <c r="H37" s="91">
        <f t="shared" si="0"/>
        <v>2338.7800000000002</v>
      </c>
      <c r="I37" s="92">
        <f t="shared" si="1"/>
        <v>2338.7800000000002</v>
      </c>
      <c r="J37" s="107"/>
      <c r="K37" s="90">
        <f t="shared" si="2"/>
        <v>1</v>
      </c>
      <c r="L37" s="91">
        <f t="shared" si="3"/>
        <v>1169.3900000000001</v>
      </c>
      <c r="M37" s="91">
        <f t="shared" si="4"/>
        <v>1169.3900000000001</v>
      </c>
      <c r="N37" s="116"/>
      <c r="O37" s="95"/>
      <c r="P37" s="117"/>
      <c r="Q37" s="96"/>
      <c r="R37" s="96">
        <f t="shared" si="5"/>
        <v>0</v>
      </c>
      <c r="S37" s="96">
        <f t="shared" si="6"/>
        <v>1169.3900000000001</v>
      </c>
      <c r="T37" s="96">
        <f t="shared" si="7"/>
        <v>1169.3900000000001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996</v>
      </c>
      <c r="C38" s="101" t="s">
        <v>1022</v>
      </c>
      <c r="D38" s="88"/>
      <c r="E38" s="102" t="s">
        <v>138</v>
      </c>
      <c r="F38" s="103">
        <v>4</v>
      </c>
      <c r="G38" s="104">
        <v>549.16</v>
      </c>
      <c r="H38" s="105">
        <f t="shared" si="0"/>
        <v>757.84</v>
      </c>
      <c r="I38" s="106">
        <f t="shared" si="1"/>
        <v>3031.36</v>
      </c>
      <c r="J38" s="107"/>
      <c r="K38" s="108">
        <f t="shared" si="2"/>
        <v>4</v>
      </c>
      <c r="L38" s="105">
        <f t="shared" si="3"/>
        <v>530.49</v>
      </c>
      <c r="M38" s="105">
        <f t="shared" si="4"/>
        <v>2121.96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227.35</v>
      </c>
      <c r="T38" s="111">
        <f t="shared" si="7"/>
        <v>909.4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1097</v>
      </c>
      <c r="C39" s="114" t="s">
        <v>1088</v>
      </c>
      <c r="D39" s="88"/>
      <c r="E39" s="89">
        <v>1200</v>
      </c>
      <c r="F39" s="115">
        <v>1</v>
      </c>
      <c r="G39" s="96">
        <v>26276.58</v>
      </c>
      <c r="H39" s="91">
        <f t="shared" si="0"/>
        <v>36261.68</v>
      </c>
      <c r="I39" s="92">
        <f t="shared" si="1"/>
        <v>36261.68</v>
      </c>
      <c r="J39" s="107"/>
      <c r="K39" s="90">
        <f t="shared" si="2"/>
        <v>1</v>
      </c>
      <c r="L39" s="91">
        <f t="shared" si="3"/>
        <v>25383.18</v>
      </c>
      <c r="M39" s="91">
        <f t="shared" si="4"/>
        <v>25383.18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10878.5</v>
      </c>
      <c r="T39" s="96">
        <f t="shared" si="7"/>
        <v>10878.5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293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1063</v>
      </c>
      <c r="C41" s="114" t="s">
        <v>156</v>
      </c>
      <c r="D41" s="88"/>
      <c r="E41" s="89" t="s">
        <v>138</v>
      </c>
      <c r="F41" s="115">
        <v>1</v>
      </c>
      <c r="G41" s="96">
        <v>374.18</v>
      </c>
      <c r="H41" s="91">
        <f t="shared" si="0"/>
        <v>516.37</v>
      </c>
      <c r="I41" s="92">
        <f t="shared" si="1"/>
        <v>516.37</v>
      </c>
      <c r="J41" s="107"/>
      <c r="K41" s="90">
        <f t="shared" si="2"/>
        <v>1</v>
      </c>
      <c r="L41" s="91">
        <f t="shared" si="3"/>
        <v>361.46</v>
      </c>
      <c r="M41" s="91">
        <f t="shared" si="4"/>
        <v>361.46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154.91</v>
      </c>
      <c r="T41" s="96">
        <f t="shared" si="7"/>
        <v>154.91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1064</v>
      </c>
      <c r="C42" s="101" t="s">
        <v>152</v>
      </c>
      <c r="D42" s="88"/>
      <c r="E42" s="102" t="s">
        <v>138</v>
      </c>
      <c r="F42" s="103">
        <v>1</v>
      </c>
      <c r="G42" s="104">
        <v>107.07</v>
      </c>
      <c r="H42" s="105">
        <f t="shared" si="0"/>
        <v>147.76</v>
      </c>
      <c r="I42" s="106">
        <f t="shared" si="1"/>
        <v>147.76</v>
      </c>
      <c r="J42" s="107"/>
      <c r="K42" s="108">
        <f t="shared" si="2"/>
        <v>1</v>
      </c>
      <c r="L42" s="105">
        <f t="shared" si="3"/>
        <v>103.43</v>
      </c>
      <c r="M42" s="105">
        <f t="shared" si="4"/>
        <v>103.43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44.33</v>
      </c>
      <c r="T42" s="111">
        <f t="shared" si="7"/>
        <v>44.33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1065</v>
      </c>
      <c r="C43" s="114" t="s">
        <v>152</v>
      </c>
      <c r="D43" s="88"/>
      <c r="E43" s="89" t="s">
        <v>138</v>
      </c>
      <c r="F43" s="115">
        <v>1</v>
      </c>
      <c r="G43" s="96">
        <v>79.989999999999995</v>
      </c>
      <c r="H43" s="91">
        <f t="shared" si="0"/>
        <v>110.39</v>
      </c>
      <c r="I43" s="92">
        <f t="shared" si="1"/>
        <v>110.39</v>
      </c>
      <c r="J43" s="107"/>
      <c r="K43" s="90">
        <f t="shared" si="2"/>
        <v>1</v>
      </c>
      <c r="L43" s="91">
        <f t="shared" si="3"/>
        <v>77.27</v>
      </c>
      <c r="M43" s="91">
        <f t="shared" si="4"/>
        <v>77.27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33.119999999999997</v>
      </c>
      <c r="T43" s="96">
        <f t="shared" si="7"/>
        <v>33.119999999999997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1066</v>
      </c>
      <c r="C44" s="101" t="s">
        <v>152</v>
      </c>
      <c r="D44" s="88"/>
      <c r="E44" s="102" t="s">
        <v>138</v>
      </c>
      <c r="F44" s="103">
        <v>1</v>
      </c>
      <c r="G44" s="104">
        <v>123.9</v>
      </c>
      <c r="H44" s="105">
        <f t="shared" si="0"/>
        <v>170.98</v>
      </c>
      <c r="I44" s="106">
        <f t="shared" si="1"/>
        <v>170.98</v>
      </c>
      <c r="J44" s="107"/>
      <c r="K44" s="108">
        <f t="shared" si="2"/>
        <v>1</v>
      </c>
      <c r="L44" s="105">
        <f t="shared" si="3"/>
        <v>119.69</v>
      </c>
      <c r="M44" s="105">
        <f t="shared" si="4"/>
        <v>119.69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51.29</v>
      </c>
      <c r="T44" s="111">
        <f t="shared" si="7"/>
        <v>51.29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 t="s">
        <v>1067</v>
      </c>
      <c r="C45" s="114" t="s">
        <v>152</v>
      </c>
      <c r="D45" s="88"/>
      <c r="E45" s="89" t="s">
        <v>138</v>
      </c>
      <c r="F45" s="115">
        <v>1</v>
      </c>
      <c r="G45" s="96">
        <v>126.28</v>
      </c>
      <c r="H45" s="91">
        <f t="shared" si="0"/>
        <v>174.27</v>
      </c>
      <c r="I45" s="92">
        <f t="shared" si="1"/>
        <v>174.27</v>
      </c>
      <c r="J45" s="107"/>
      <c r="K45" s="90">
        <f t="shared" si="2"/>
        <v>1</v>
      </c>
      <c r="L45" s="91">
        <f t="shared" si="3"/>
        <v>121.99</v>
      </c>
      <c r="M45" s="91">
        <f t="shared" si="4"/>
        <v>121.99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52.28</v>
      </c>
      <c r="T45" s="96">
        <f t="shared" si="7"/>
        <v>52.28</v>
      </c>
      <c r="U45" s="97">
        <f t="shared" si="8"/>
        <v>0</v>
      </c>
      <c r="V45" s="97">
        <f t="shared" si="9"/>
        <v>1</v>
      </c>
      <c r="W45" s="113"/>
    </row>
    <row r="46" spans="2:23" ht="15.75" customHeight="1">
      <c r="B46" s="100" t="s">
        <v>1068</v>
      </c>
      <c r="C46" s="101" t="s">
        <v>201</v>
      </c>
      <c r="D46" s="88"/>
      <c r="E46" s="102" t="s">
        <v>138</v>
      </c>
      <c r="F46" s="103">
        <v>5</v>
      </c>
      <c r="G46" s="104">
        <v>619.32000000000005</v>
      </c>
      <c r="H46" s="105">
        <f t="shared" si="0"/>
        <v>854.66</v>
      </c>
      <c r="I46" s="106">
        <f t="shared" si="1"/>
        <v>4273.3</v>
      </c>
      <c r="J46" s="107"/>
      <c r="K46" s="108">
        <f t="shared" si="2"/>
        <v>5</v>
      </c>
      <c r="L46" s="105">
        <f t="shared" si="3"/>
        <v>598.26</v>
      </c>
      <c r="M46" s="105">
        <f t="shared" si="4"/>
        <v>2991.3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256.39999999999998</v>
      </c>
      <c r="T46" s="111">
        <f t="shared" si="7"/>
        <v>1282</v>
      </c>
      <c r="U46" s="112">
        <f t="shared" si="8"/>
        <v>0</v>
      </c>
      <c r="V46" s="112">
        <f t="shared" si="9"/>
        <v>1</v>
      </c>
      <c r="W46" s="113"/>
    </row>
    <row r="47" spans="2:23" ht="15.75" customHeight="1">
      <c r="B47" s="86" t="s">
        <v>1069</v>
      </c>
      <c r="C47" s="114" t="s">
        <v>670</v>
      </c>
      <c r="D47" s="88"/>
      <c r="E47" s="89" t="s">
        <v>138</v>
      </c>
      <c r="F47" s="115">
        <v>3</v>
      </c>
      <c r="G47" s="96">
        <v>558.01</v>
      </c>
      <c r="H47" s="91">
        <f t="shared" si="0"/>
        <v>770.05</v>
      </c>
      <c r="I47" s="92">
        <f t="shared" si="1"/>
        <v>2310.15</v>
      </c>
      <c r="J47" s="107"/>
      <c r="K47" s="90">
        <f t="shared" si="2"/>
        <v>3</v>
      </c>
      <c r="L47" s="91">
        <f t="shared" si="3"/>
        <v>539.04</v>
      </c>
      <c r="M47" s="91">
        <f t="shared" si="4"/>
        <v>1617.12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231.01</v>
      </c>
      <c r="T47" s="96">
        <f t="shared" si="7"/>
        <v>693.03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1070</v>
      </c>
      <c r="C48" s="101" t="s">
        <v>233</v>
      </c>
      <c r="D48" s="88"/>
      <c r="E48" s="102" t="s">
        <v>138</v>
      </c>
      <c r="F48" s="103">
        <v>3</v>
      </c>
      <c r="G48" s="104">
        <v>86.58</v>
      </c>
      <c r="H48" s="105">
        <f t="shared" si="0"/>
        <v>119.48</v>
      </c>
      <c r="I48" s="106">
        <f t="shared" si="1"/>
        <v>358.44</v>
      </c>
      <c r="J48" s="107"/>
      <c r="K48" s="108">
        <f t="shared" si="2"/>
        <v>3</v>
      </c>
      <c r="L48" s="105">
        <f t="shared" si="3"/>
        <v>83.64</v>
      </c>
      <c r="M48" s="105">
        <f t="shared" si="4"/>
        <v>250.92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35.840000000000003</v>
      </c>
      <c r="T48" s="111">
        <f t="shared" si="7"/>
        <v>107.52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41</v>
      </c>
      <c r="G50" s="123">
        <f t="shared" si="10"/>
        <v>41907.950000000004</v>
      </c>
      <c r="H50" s="124">
        <f t="shared" si="10"/>
        <v>57832.960000000014</v>
      </c>
      <c r="I50" s="125">
        <f t="shared" si="10"/>
        <v>65609.41</v>
      </c>
      <c r="J50" s="126"/>
      <c r="K50" s="127">
        <f t="shared" ref="K50:M50" si="11">SUM(K19:K49)</f>
        <v>41</v>
      </c>
      <c r="L50" s="124">
        <f t="shared" si="11"/>
        <v>38014.239999999998</v>
      </c>
      <c r="M50" s="125">
        <f t="shared" si="11"/>
        <v>43396.73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19818.72</v>
      </c>
      <c r="T50" s="125">
        <f t="shared" si="12"/>
        <v>22212.68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49" xr:uid="{00000000-0002-0000-4400-000000000000}">
      <formula1>$Z$19:$Z$30</formula1>
    </dataValidation>
    <dataValidation type="list" allowBlank="1" showErrorMessage="1" sqref="I14" xr:uid="{00000000-0002-0000-4400-000001000000}">
      <formula1>$Y$14:$Y$15</formula1>
    </dataValidation>
    <dataValidation type="list" allowBlank="1" showErrorMessage="1" sqref="J14" xr:uid="{00000000-0002-0000-4400-000002000000}">
      <formula1>$L$9</formula1>
    </dataValidation>
    <dataValidation type="list" allowBlank="1" showErrorMessage="1" sqref="Q15 G18 L18 Q18" xr:uid="{00000000-0002-0000-4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1098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111174.49999999999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2021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72542.409999999989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38632.089999999997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1099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0.34749056663173661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1100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38632.089999999997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72542.409999999989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43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1006</v>
      </c>
      <c r="C19" s="87" t="s">
        <v>169</v>
      </c>
      <c r="D19" s="88"/>
      <c r="E19" s="89">
        <v>500</v>
      </c>
      <c r="F19" s="90">
        <v>1</v>
      </c>
      <c r="G19" s="91">
        <v>30.82</v>
      </c>
      <c r="H19" s="91">
        <f t="shared" ref="H19:H49" si="0">ROUND(IF($G$18="USD $", G19*$F$16,G19*$E$16),2)</f>
        <v>42.53</v>
      </c>
      <c r="I19" s="92">
        <f t="shared" ref="I19:I49" si="1">ROUND(IF($I$18=$H$18,F19*H19,F19*G19),2)</f>
        <v>42.53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21.27</v>
      </c>
      <c r="M19" s="91">
        <f t="shared" ref="M19:M49" si="4">ROUND((K19*L19),2)</f>
        <v>21.27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21.26</v>
      </c>
      <c r="T19" s="96">
        <f t="shared" ref="T19:T49" si="7">ROUND(I19-M19,2)</f>
        <v>21.26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1101</v>
      </c>
      <c r="C20" s="101" t="s">
        <v>118</v>
      </c>
      <c r="D20" s="88"/>
      <c r="E20" s="102">
        <v>500</v>
      </c>
      <c r="F20" s="103">
        <v>1</v>
      </c>
      <c r="G20" s="104">
        <v>72.39</v>
      </c>
      <c r="H20" s="105">
        <f t="shared" si="0"/>
        <v>99.9</v>
      </c>
      <c r="I20" s="106">
        <f t="shared" si="1"/>
        <v>99.9</v>
      </c>
      <c r="J20" s="107"/>
      <c r="K20" s="108">
        <f t="shared" si="2"/>
        <v>1</v>
      </c>
      <c r="L20" s="105">
        <f t="shared" si="3"/>
        <v>49.95</v>
      </c>
      <c r="M20" s="105">
        <f t="shared" si="4"/>
        <v>49.95</v>
      </c>
      <c r="N20" s="109"/>
      <c r="O20" s="95"/>
      <c r="P20" s="100"/>
      <c r="Q20" s="104"/>
      <c r="R20" s="110">
        <f t="shared" si="5"/>
        <v>0</v>
      </c>
      <c r="S20" s="111">
        <f t="shared" si="6"/>
        <v>49.95</v>
      </c>
      <c r="T20" s="111">
        <f t="shared" si="7"/>
        <v>49.95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1077</v>
      </c>
      <c r="C21" s="114" t="s">
        <v>1078</v>
      </c>
      <c r="D21" s="88"/>
      <c r="E21" s="89">
        <v>500</v>
      </c>
      <c r="F21" s="115">
        <v>1</v>
      </c>
      <c r="G21" s="96">
        <v>58.85</v>
      </c>
      <c r="H21" s="91">
        <f t="shared" si="0"/>
        <v>81.209999999999994</v>
      </c>
      <c r="I21" s="92">
        <f t="shared" si="1"/>
        <v>81.209999999999994</v>
      </c>
      <c r="J21" s="107"/>
      <c r="K21" s="90">
        <f t="shared" si="2"/>
        <v>1</v>
      </c>
      <c r="L21" s="91">
        <f t="shared" si="3"/>
        <v>40.61</v>
      </c>
      <c r="M21" s="91">
        <f t="shared" si="4"/>
        <v>40.61</v>
      </c>
      <c r="N21" s="116"/>
      <c r="O21" s="95"/>
      <c r="P21" s="117"/>
      <c r="Q21" s="96"/>
      <c r="R21" s="96">
        <f t="shared" si="5"/>
        <v>0</v>
      </c>
      <c r="S21" s="96">
        <f t="shared" si="6"/>
        <v>40.6</v>
      </c>
      <c r="T21" s="96">
        <f t="shared" si="7"/>
        <v>40.6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/>
      <c r="C22" s="101" t="s">
        <v>1039</v>
      </c>
      <c r="D22" s="88"/>
      <c r="E22" s="102">
        <v>500</v>
      </c>
      <c r="F22" s="103">
        <v>1</v>
      </c>
      <c r="G22" s="104"/>
      <c r="H22" s="105">
        <f t="shared" si="0"/>
        <v>0</v>
      </c>
      <c r="I22" s="106">
        <f t="shared" si="1"/>
        <v>0</v>
      </c>
      <c r="J22" s="107"/>
      <c r="K22" s="108">
        <f t="shared" si="2"/>
        <v>1</v>
      </c>
      <c r="L22" s="105">
        <f t="shared" si="3"/>
        <v>0</v>
      </c>
      <c r="M22" s="105">
        <f t="shared" si="4"/>
        <v>0</v>
      </c>
      <c r="N22" s="109"/>
      <c r="O22" s="95"/>
      <c r="P22" s="100"/>
      <c r="Q22" s="104"/>
      <c r="R22" s="110">
        <f t="shared" si="5"/>
        <v>0</v>
      </c>
      <c r="S22" s="111">
        <f t="shared" si="6"/>
        <v>0</v>
      </c>
      <c r="T22" s="111">
        <f t="shared" si="7"/>
        <v>0</v>
      </c>
      <c r="U22" s="112">
        <f t="shared" si="8"/>
        <v>0</v>
      </c>
      <c r="V22" s="112">
        <f t="shared" si="9"/>
        <v>0</v>
      </c>
      <c r="W22" s="113"/>
      <c r="X22" s="99"/>
      <c r="Y22" s="8" t="s">
        <v>122</v>
      </c>
      <c r="Z22" s="8">
        <v>1000</v>
      </c>
    </row>
    <row r="23" spans="2:26" ht="15.75" customHeight="1">
      <c r="B23" s="86"/>
      <c r="C23" s="114" t="s">
        <v>1040</v>
      </c>
      <c r="D23" s="88"/>
      <c r="E23" s="89">
        <v>1000</v>
      </c>
      <c r="F23" s="115">
        <v>1</v>
      </c>
      <c r="G23" s="96"/>
      <c r="H23" s="91">
        <f t="shared" si="0"/>
        <v>0</v>
      </c>
      <c r="I23" s="92">
        <f t="shared" si="1"/>
        <v>0</v>
      </c>
      <c r="J23" s="107"/>
      <c r="K23" s="90">
        <f t="shared" si="2"/>
        <v>1</v>
      </c>
      <c r="L23" s="91">
        <f t="shared" si="3"/>
        <v>0</v>
      </c>
      <c r="M23" s="91">
        <f t="shared" si="4"/>
        <v>0</v>
      </c>
      <c r="N23" s="116"/>
      <c r="O23" s="95"/>
      <c r="P23" s="117"/>
      <c r="Q23" s="96"/>
      <c r="R23" s="96">
        <f t="shared" si="5"/>
        <v>0</v>
      </c>
      <c r="S23" s="96">
        <f t="shared" si="6"/>
        <v>0</v>
      </c>
      <c r="T23" s="96">
        <f t="shared" si="7"/>
        <v>0</v>
      </c>
      <c r="U23" s="97">
        <f t="shared" si="8"/>
        <v>0</v>
      </c>
      <c r="V23" s="97">
        <f t="shared" si="9"/>
        <v>0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1054</v>
      </c>
      <c r="C24" s="101" t="s">
        <v>415</v>
      </c>
      <c r="D24" s="88"/>
      <c r="E24" s="102">
        <v>2000</v>
      </c>
      <c r="F24" s="103">
        <v>1</v>
      </c>
      <c r="G24" s="104">
        <v>64.48</v>
      </c>
      <c r="H24" s="105">
        <f t="shared" si="0"/>
        <v>88.98</v>
      </c>
      <c r="I24" s="106">
        <f t="shared" si="1"/>
        <v>88.98</v>
      </c>
      <c r="J24" s="107"/>
      <c r="K24" s="108">
        <f t="shared" si="2"/>
        <v>1</v>
      </c>
      <c r="L24" s="105">
        <f t="shared" si="3"/>
        <v>44.49</v>
      </c>
      <c r="M24" s="105">
        <f t="shared" si="4"/>
        <v>44.49</v>
      </c>
      <c r="N24" s="109"/>
      <c r="O24" s="95"/>
      <c r="P24" s="100"/>
      <c r="Q24" s="104"/>
      <c r="R24" s="110">
        <f t="shared" si="5"/>
        <v>0</v>
      </c>
      <c r="S24" s="111">
        <f t="shared" si="6"/>
        <v>44.49</v>
      </c>
      <c r="T24" s="111">
        <f t="shared" si="7"/>
        <v>44.49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1053</v>
      </c>
      <c r="C25" s="114" t="s">
        <v>174</v>
      </c>
      <c r="D25" s="88"/>
      <c r="E25" s="89">
        <v>4000</v>
      </c>
      <c r="F25" s="115">
        <v>1</v>
      </c>
      <c r="G25" s="96">
        <v>67.400000000000006</v>
      </c>
      <c r="H25" s="91">
        <f t="shared" si="0"/>
        <v>93.01</v>
      </c>
      <c r="I25" s="92">
        <f t="shared" si="1"/>
        <v>93.01</v>
      </c>
      <c r="J25" s="107"/>
      <c r="K25" s="90">
        <f t="shared" si="2"/>
        <v>1</v>
      </c>
      <c r="L25" s="91">
        <f t="shared" si="3"/>
        <v>46.51</v>
      </c>
      <c r="M25" s="91">
        <f t="shared" si="4"/>
        <v>46.51</v>
      </c>
      <c r="N25" s="116"/>
      <c r="O25" s="95"/>
      <c r="P25" s="117"/>
      <c r="Q25" s="96"/>
      <c r="R25" s="96">
        <f t="shared" si="5"/>
        <v>0</v>
      </c>
      <c r="S25" s="96">
        <f t="shared" si="6"/>
        <v>46.5</v>
      </c>
      <c r="T25" s="96">
        <f t="shared" si="7"/>
        <v>46.5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990</v>
      </c>
      <c r="C26" s="101" t="s">
        <v>128</v>
      </c>
      <c r="D26" s="88"/>
      <c r="E26" s="102">
        <v>1000</v>
      </c>
      <c r="F26" s="103">
        <v>1</v>
      </c>
      <c r="G26" s="104">
        <v>76.040000000000006</v>
      </c>
      <c r="H26" s="105">
        <f t="shared" si="0"/>
        <v>104.94</v>
      </c>
      <c r="I26" s="106">
        <f t="shared" si="1"/>
        <v>104.94</v>
      </c>
      <c r="J26" s="107"/>
      <c r="K26" s="108">
        <f t="shared" si="2"/>
        <v>1</v>
      </c>
      <c r="L26" s="105">
        <f t="shared" si="3"/>
        <v>62.96</v>
      </c>
      <c r="M26" s="105">
        <f t="shared" si="4"/>
        <v>62.96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41.98</v>
      </c>
      <c r="T26" s="111">
        <f t="shared" si="7"/>
        <v>41.98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991</v>
      </c>
      <c r="C27" s="114" t="s">
        <v>131</v>
      </c>
      <c r="D27" s="88"/>
      <c r="E27" s="89">
        <v>1000</v>
      </c>
      <c r="F27" s="115">
        <v>1</v>
      </c>
      <c r="G27" s="96">
        <v>47.67</v>
      </c>
      <c r="H27" s="91">
        <f t="shared" si="0"/>
        <v>65.78</v>
      </c>
      <c r="I27" s="92">
        <f t="shared" si="1"/>
        <v>65.78</v>
      </c>
      <c r="J27" s="107"/>
      <c r="K27" s="90">
        <f t="shared" si="2"/>
        <v>1</v>
      </c>
      <c r="L27" s="91">
        <f t="shared" si="3"/>
        <v>39.47</v>
      </c>
      <c r="M27" s="91">
        <f t="shared" si="4"/>
        <v>39.47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26.31</v>
      </c>
      <c r="T27" s="96">
        <f t="shared" si="7"/>
        <v>26.31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1057</v>
      </c>
      <c r="C28" s="101" t="s">
        <v>134</v>
      </c>
      <c r="D28" s="88"/>
      <c r="E28" s="102">
        <v>1000</v>
      </c>
      <c r="F28" s="103">
        <v>1</v>
      </c>
      <c r="G28" s="104">
        <v>38.450000000000003</v>
      </c>
      <c r="H28" s="105">
        <f t="shared" si="0"/>
        <v>53.06</v>
      </c>
      <c r="I28" s="106">
        <f t="shared" si="1"/>
        <v>53.06</v>
      </c>
      <c r="J28" s="107"/>
      <c r="K28" s="108">
        <f t="shared" si="2"/>
        <v>1</v>
      </c>
      <c r="L28" s="105">
        <f t="shared" si="3"/>
        <v>31.84</v>
      </c>
      <c r="M28" s="105">
        <f t="shared" si="4"/>
        <v>31.84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21.22</v>
      </c>
      <c r="T28" s="111">
        <f t="shared" si="7"/>
        <v>21.22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849</v>
      </c>
      <c r="C29" s="114" t="s">
        <v>134</v>
      </c>
      <c r="D29" s="88"/>
      <c r="E29" s="89">
        <v>1000</v>
      </c>
      <c r="F29" s="115">
        <v>1</v>
      </c>
      <c r="G29" s="96">
        <v>19.23</v>
      </c>
      <c r="H29" s="91">
        <f t="shared" si="0"/>
        <v>26.54</v>
      </c>
      <c r="I29" s="92">
        <f t="shared" si="1"/>
        <v>26.54</v>
      </c>
      <c r="J29" s="107"/>
      <c r="K29" s="90">
        <f t="shared" si="2"/>
        <v>1</v>
      </c>
      <c r="L29" s="91">
        <f t="shared" si="3"/>
        <v>15.92</v>
      </c>
      <c r="M29" s="91">
        <f t="shared" si="4"/>
        <v>15.92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10.62</v>
      </c>
      <c r="T29" s="96">
        <f t="shared" si="7"/>
        <v>10.62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1014</v>
      </c>
      <c r="C31" s="114" t="s">
        <v>1081</v>
      </c>
      <c r="D31" s="88"/>
      <c r="E31" s="89" t="s">
        <v>138</v>
      </c>
      <c r="F31" s="115">
        <v>1</v>
      </c>
      <c r="G31" s="96">
        <v>122.33</v>
      </c>
      <c r="H31" s="91">
        <f t="shared" si="0"/>
        <v>168.82</v>
      </c>
      <c r="I31" s="92">
        <f t="shared" si="1"/>
        <v>168.82</v>
      </c>
      <c r="J31" s="107"/>
      <c r="K31" s="90">
        <f t="shared" si="2"/>
        <v>1</v>
      </c>
      <c r="L31" s="91">
        <f t="shared" si="3"/>
        <v>101.29</v>
      </c>
      <c r="M31" s="91">
        <f t="shared" si="4"/>
        <v>101.29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67.53</v>
      </c>
      <c r="T31" s="96">
        <f t="shared" si="7"/>
        <v>67.53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1102</v>
      </c>
      <c r="C32" s="101" t="s">
        <v>751</v>
      </c>
      <c r="D32" s="88"/>
      <c r="E32" s="102" t="s">
        <v>138</v>
      </c>
      <c r="F32" s="103">
        <v>1</v>
      </c>
      <c r="G32" s="104">
        <v>3904.3</v>
      </c>
      <c r="H32" s="105">
        <f t="shared" si="0"/>
        <v>5387.93</v>
      </c>
      <c r="I32" s="106">
        <f t="shared" si="1"/>
        <v>5387.93</v>
      </c>
      <c r="J32" s="107"/>
      <c r="K32" s="108">
        <f t="shared" si="2"/>
        <v>1</v>
      </c>
      <c r="L32" s="105">
        <f t="shared" si="3"/>
        <v>3232.76</v>
      </c>
      <c r="M32" s="105">
        <f t="shared" si="4"/>
        <v>3232.76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2155.17</v>
      </c>
      <c r="T32" s="111">
        <f t="shared" si="7"/>
        <v>2155.17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1016</v>
      </c>
      <c r="C33" s="114" t="s">
        <v>752</v>
      </c>
      <c r="D33" s="88"/>
      <c r="E33" s="89" t="s">
        <v>138</v>
      </c>
      <c r="F33" s="115">
        <v>1</v>
      </c>
      <c r="G33" s="96">
        <v>3211.4</v>
      </c>
      <c r="H33" s="91">
        <f t="shared" si="0"/>
        <v>4431.7299999999996</v>
      </c>
      <c r="I33" s="92">
        <f t="shared" si="1"/>
        <v>4431.7299999999996</v>
      </c>
      <c r="J33" s="107"/>
      <c r="K33" s="90">
        <f t="shared" si="2"/>
        <v>1</v>
      </c>
      <c r="L33" s="91">
        <f t="shared" si="3"/>
        <v>2659.04</v>
      </c>
      <c r="M33" s="91">
        <f t="shared" si="4"/>
        <v>2659.04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1772.69</v>
      </c>
      <c r="T33" s="96">
        <f t="shared" si="7"/>
        <v>1772.69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1103</v>
      </c>
      <c r="C34" s="101" t="s">
        <v>753</v>
      </c>
      <c r="D34" s="88"/>
      <c r="E34" s="102" t="s">
        <v>138</v>
      </c>
      <c r="F34" s="103">
        <v>1</v>
      </c>
      <c r="G34" s="104">
        <v>2081.9699999999998</v>
      </c>
      <c r="H34" s="105">
        <f t="shared" si="0"/>
        <v>2873.12</v>
      </c>
      <c r="I34" s="106">
        <f t="shared" si="1"/>
        <v>2873.12</v>
      </c>
      <c r="J34" s="107"/>
      <c r="K34" s="108">
        <f t="shared" si="2"/>
        <v>1</v>
      </c>
      <c r="L34" s="105">
        <f t="shared" si="3"/>
        <v>1723.87</v>
      </c>
      <c r="M34" s="105">
        <f t="shared" si="4"/>
        <v>1723.87</v>
      </c>
      <c r="N34" s="109">
        <v>-0.1</v>
      </c>
      <c r="O34" s="95"/>
      <c r="P34" s="100"/>
      <c r="Q34" s="104"/>
      <c r="R34" s="110">
        <f t="shared" si="5"/>
        <v>0</v>
      </c>
      <c r="S34" s="111">
        <f t="shared" si="6"/>
        <v>1149.25</v>
      </c>
      <c r="T34" s="111">
        <f t="shared" si="7"/>
        <v>1149.25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1104</v>
      </c>
      <c r="C35" s="114" t="s">
        <v>877</v>
      </c>
      <c r="D35" s="88"/>
      <c r="E35" s="89" t="s">
        <v>138</v>
      </c>
      <c r="F35" s="115">
        <v>1</v>
      </c>
      <c r="G35" s="96">
        <v>2418.94</v>
      </c>
      <c r="H35" s="91">
        <f t="shared" si="0"/>
        <v>3338.14</v>
      </c>
      <c r="I35" s="92">
        <f t="shared" si="1"/>
        <v>3338.14</v>
      </c>
      <c r="J35" s="107"/>
      <c r="K35" s="90">
        <f t="shared" si="2"/>
        <v>1</v>
      </c>
      <c r="L35" s="91">
        <f t="shared" si="3"/>
        <v>1669.07</v>
      </c>
      <c r="M35" s="91">
        <f t="shared" si="4"/>
        <v>1669.07</v>
      </c>
      <c r="N35" s="116"/>
      <c r="O35" s="95"/>
      <c r="P35" s="117"/>
      <c r="Q35" s="96"/>
      <c r="R35" s="96">
        <f t="shared" si="5"/>
        <v>0</v>
      </c>
      <c r="S35" s="96">
        <f t="shared" si="6"/>
        <v>1669.07</v>
      </c>
      <c r="T35" s="96">
        <f t="shared" si="7"/>
        <v>1669.07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822</v>
      </c>
      <c r="C36" s="101" t="s">
        <v>1042</v>
      </c>
      <c r="D36" s="88"/>
      <c r="E36" s="102" t="s">
        <v>138</v>
      </c>
      <c r="F36" s="103">
        <v>2</v>
      </c>
      <c r="G36" s="104">
        <v>221.18</v>
      </c>
      <c r="H36" s="105">
        <f t="shared" si="0"/>
        <v>305.23</v>
      </c>
      <c r="I36" s="106">
        <f t="shared" si="1"/>
        <v>610.46</v>
      </c>
      <c r="J36" s="107"/>
      <c r="K36" s="108">
        <f t="shared" si="2"/>
        <v>2</v>
      </c>
      <c r="L36" s="105">
        <f t="shared" si="3"/>
        <v>152.62</v>
      </c>
      <c r="M36" s="105">
        <f t="shared" si="4"/>
        <v>305.24</v>
      </c>
      <c r="N36" s="109"/>
      <c r="O36" s="95"/>
      <c r="P36" s="100"/>
      <c r="Q36" s="104"/>
      <c r="R36" s="110">
        <f t="shared" si="5"/>
        <v>0</v>
      </c>
      <c r="S36" s="111">
        <f t="shared" si="6"/>
        <v>152.61000000000001</v>
      </c>
      <c r="T36" s="111">
        <f t="shared" si="7"/>
        <v>305.22000000000003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1105</v>
      </c>
      <c r="C37" s="114" t="s">
        <v>144</v>
      </c>
      <c r="D37" s="88"/>
      <c r="E37" s="89" t="s">
        <v>138</v>
      </c>
      <c r="F37" s="115">
        <v>1</v>
      </c>
      <c r="G37" s="96">
        <v>3918.93</v>
      </c>
      <c r="H37" s="91">
        <f t="shared" si="0"/>
        <v>5408.12</v>
      </c>
      <c r="I37" s="92">
        <f t="shared" si="1"/>
        <v>5408.12</v>
      </c>
      <c r="J37" s="107"/>
      <c r="K37" s="90">
        <f t="shared" si="2"/>
        <v>1</v>
      </c>
      <c r="L37" s="91">
        <f t="shared" si="3"/>
        <v>2704.06</v>
      </c>
      <c r="M37" s="91">
        <f t="shared" si="4"/>
        <v>2704.06</v>
      </c>
      <c r="N37" s="116"/>
      <c r="O37" s="95"/>
      <c r="P37" s="117"/>
      <c r="Q37" s="96"/>
      <c r="R37" s="96">
        <f t="shared" si="5"/>
        <v>0</v>
      </c>
      <c r="S37" s="96">
        <f t="shared" si="6"/>
        <v>2704.06</v>
      </c>
      <c r="T37" s="96">
        <f t="shared" si="7"/>
        <v>2704.06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1021</v>
      </c>
      <c r="C38" s="101" t="s">
        <v>1022</v>
      </c>
      <c r="D38" s="88"/>
      <c r="E38" s="102" t="s">
        <v>138</v>
      </c>
      <c r="F38" s="103">
        <v>6</v>
      </c>
      <c r="G38" s="104">
        <v>603.16</v>
      </c>
      <c r="H38" s="105">
        <f t="shared" si="0"/>
        <v>832.36</v>
      </c>
      <c r="I38" s="106">
        <f t="shared" si="1"/>
        <v>4994.16</v>
      </c>
      <c r="J38" s="107"/>
      <c r="K38" s="108">
        <f t="shared" si="2"/>
        <v>6</v>
      </c>
      <c r="L38" s="105">
        <f t="shared" si="3"/>
        <v>249.71</v>
      </c>
      <c r="M38" s="105">
        <f t="shared" si="4"/>
        <v>1498.26</v>
      </c>
      <c r="N38" s="109">
        <v>0.2</v>
      </c>
      <c r="O38" s="95"/>
      <c r="P38" s="100"/>
      <c r="Q38" s="104"/>
      <c r="R38" s="110">
        <f t="shared" si="5"/>
        <v>0</v>
      </c>
      <c r="S38" s="111">
        <f t="shared" si="6"/>
        <v>582.65</v>
      </c>
      <c r="T38" s="111">
        <f t="shared" si="7"/>
        <v>3495.9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1106</v>
      </c>
      <c r="C39" s="114" t="s">
        <v>1088</v>
      </c>
      <c r="D39" s="88"/>
      <c r="E39" s="89">
        <v>1200</v>
      </c>
      <c r="F39" s="115">
        <v>1</v>
      </c>
      <c r="G39" s="96">
        <v>52973.56</v>
      </c>
      <c r="H39" s="91">
        <f t="shared" si="0"/>
        <v>73103.509999999995</v>
      </c>
      <c r="I39" s="92">
        <f t="shared" si="1"/>
        <v>73103.509999999995</v>
      </c>
      <c r="J39" s="107"/>
      <c r="K39" s="90">
        <f t="shared" si="2"/>
        <v>1</v>
      </c>
      <c r="L39" s="91">
        <f t="shared" si="3"/>
        <v>51172.46</v>
      </c>
      <c r="M39" s="91">
        <f t="shared" si="4"/>
        <v>51172.46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21931.05</v>
      </c>
      <c r="T39" s="96">
        <f t="shared" si="7"/>
        <v>21931.05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293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1107</v>
      </c>
      <c r="C41" s="114" t="s">
        <v>156</v>
      </c>
      <c r="D41" s="88"/>
      <c r="E41" s="89" t="s">
        <v>138</v>
      </c>
      <c r="F41" s="115">
        <v>1</v>
      </c>
      <c r="G41" s="96">
        <v>427.66</v>
      </c>
      <c r="H41" s="91">
        <f t="shared" si="0"/>
        <v>590.16999999999996</v>
      </c>
      <c r="I41" s="92">
        <f t="shared" si="1"/>
        <v>590.16999999999996</v>
      </c>
      <c r="J41" s="107"/>
      <c r="K41" s="90">
        <f t="shared" si="2"/>
        <v>1</v>
      </c>
      <c r="L41" s="91">
        <f t="shared" si="3"/>
        <v>413.12</v>
      </c>
      <c r="M41" s="91">
        <f t="shared" si="4"/>
        <v>413.12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177.05</v>
      </c>
      <c r="T41" s="96">
        <f t="shared" si="7"/>
        <v>177.05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1108</v>
      </c>
      <c r="C42" s="101" t="s">
        <v>152</v>
      </c>
      <c r="D42" s="88"/>
      <c r="E42" s="102" t="s">
        <v>138</v>
      </c>
      <c r="F42" s="103">
        <v>1</v>
      </c>
      <c r="G42" s="104">
        <v>89.31</v>
      </c>
      <c r="H42" s="105">
        <f t="shared" si="0"/>
        <v>123.25</v>
      </c>
      <c r="I42" s="106">
        <f t="shared" si="1"/>
        <v>123.25</v>
      </c>
      <c r="J42" s="107"/>
      <c r="K42" s="108">
        <f t="shared" si="2"/>
        <v>1</v>
      </c>
      <c r="L42" s="105">
        <f t="shared" si="3"/>
        <v>86.28</v>
      </c>
      <c r="M42" s="105">
        <f t="shared" si="4"/>
        <v>86.28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36.97</v>
      </c>
      <c r="T42" s="111">
        <f t="shared" si="7"/>
        <v>36.97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1109</v>
      </c>
      <c r="C43" s="114" t="s">
        <v>152</v>
      </c>
      <c r="D43" s="88"/>
      <c r="E43" s="89" t="s">
        <v>138</v>
      </c>
      <c r="F43" s="115">
        <v>1</v>
      </c>
      <c r="G43" s="96">
        <v>84.26</v>
      </c>
      <c r="H43" s="91">
        <f t="shared" si="0"/>
        <v>116.28</v>
      </c>
      <c r="I43" s="92">
        <f t="shared" si="1"/>
        <v>116.28</v>
      </c>
      <c r="J43" s="107"/>
      <c r="K43" s="90">
        <f t="shared" si="2"/>
        <v>1</v>
      </c>
      <c r="L43" s="91">
        <f t="shared" si="3"/>
        <v>81.400000000000006</v>
      </c>
      <c r="M43" s="91">
        <f t="shared" si="4"/>
        <v>81.400000000000006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34.880000000000003</v>
      </c>
      <c r="T43" s="96">
        <f t="shared" si="7"/>
        <v>34.880000000000003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/>
      <c r="C44" s="101" t="s">
        <v>152</v>
      </c>
      <c r="D44" s="88"/>
      <c r="E44" s="102" t="s">
        <v>138</v>
      </c>
      <c r="F44" s="103">
        <v>1</v>
      </c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1</v>
      </c>
      <c r="L44" s="105">
        <f t="shared" si="3"/>
        <v>0</v>
      </c>
      <c r="M44" s="105">
        <f t="shared" si="4"/>
        <v>0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 t="s">
        <v>152</v>
      </c>
      <c r="D45" s="88"/>
      <c r="E45" s="89" t="s">
        <v>138</v>
      </c>
      <c r="F45" s="115">
        <v>1</v>
      </c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1</v>
      </c>
      <c r="L45" s="91">
        <f t="shared" si="3"/>
        <v>0</v>
      </c>
      <c r="M45" s="91">
        <f t="shared" si="4"/>
        <v>0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 t="s">
        <v>201</v>
      </c>
      <c r="D46" s="88"/>
      <c r="E46" s="102" t="s">
        <v>138</v>
      </c>
      <c r="F46" s="103">
        <v>5</v>
      </c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5</v>
      </c>
      <c r="L46" s="105">
        <f t="shared" si="3"/>
        <v>0</v>
      </c>
      <c r="M46" s="105">
        <f t="shared" si="4"/>
        <v>0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 t="s">
        <v>1110</v>
      </c>
      <c r="C47" s="114" t="s">
        <v>670</v>
      </c>
      <c r="D47" s="88"/>
      <c r="E47" s="89" t="s">
        <v>138</v>
      </c>
      <c r="F47" s="115">
        <v>3</v>
      </c>
      <c r="G47" s="96">
        <v>2132.8000000000002</v>
      </c>
      <c r="H47" s="91">
        <f t="shared" si="0"/>
        <v>2943.26</v>
      </c>
      <c r="I47" s="92">
        <f t="shared" si="1"/>
        <v>8829.7800000000007</v>
      </c>
      <c r="J47" s="107"/>
      <c r="K47" s="90">
        <f t="shared" si="2"/>
        <v>3</v>
      </c>
      <c r="L47" s="91">
        <f t="shared" si="3"/>
        <v>2060.2800000000002</v>
      </c>
      <c r="M47" s="91">
        <f t="shared" si="4"/>
        <v>6180.84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882.98</v>
      </c>
      <c r="T47" s="96">
        <f t="shared" si="7"/>
        <v>2648.94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1070</v>
      </c>
      <c r="C48" s="101" t="s">
        <v>233</v>
      </c>
      <c r="D48" s="88"/>
      <c r="E48" s="102" t="s">
        <v>138</v>
      </c>
      <c r="F48" s="103">
        <v>3</v>
      </c>
      <c r="G48" s="104">
        <v>86.58</v>
      </c>
      <c r="H48" s="105">
        <f t="shared" si="0"/>
        <v>119.48</v>
      </c>
      <c r="I48" s="106">
        <f t="shared" si="1"/>
        <v>358.44</v>
      </c>
      <c r="J48" s="107"/>
      <c r="K48" s="108">
        <f t="shared" si="2"/>
        <v>3</v>
      </c>
      <c r="L48" s="105">
        <f t="shared" si="3"/>
        <v>83.64</v>
      </c>
      <c r="M48" s="105">
        <f t="shared" si="4"/>
        <v>250.92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35.840000000000003</v>
      </c>
      <c r="T48" s="111">
        <f t="shared" si="7"/>
        <v>107.52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43</v>
      </c>
      <c r="G50" s="123">
        <f t="shared" si="10"/>
        <v>72885.509999999995</v>
      </c>
      <c r="H50" s="124">
        <f t="shared" si="10"/>
        <v>100581.98999999998</v>
      </c>
      <c r="I50" s="125">
        <f t="shared" si="10"/>
        <v>111174.49999999999</v>
      </c>
      <c r="J50" s="126"/>
      <c r="K50" s="127">
        <f t="shared" ref="K50:M50" si="11">SUM(K19:K49)</f>
        <v>43</v>
      </c>
      <c r="L50" s="124">
        <f t="shared" si="11"/>
        <v>66853.400000000009</v>
      </c>
      <c r="M50" s="125">
        <f t="shared" si="11"/>
        <v>72542.409999999989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33728.589999999997</v>
      </c>
      <c r="T50" s="125">
        <f t="shared" si="12"/>
        <v>38632.089999999997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49" xr:uid="{00000000-0002-0000-4500-000000000000}">
      <formula1>$Z$19:$Z$30</formula1>
    </dataValidation>
    <dataValidation type="list" allowBlank="1" showErrorMessage="1" sqref="I14" xr:uid="{00000000-0002-0000-4500-000001000000}">
      <formula1>$Y$14:$Y$15</formula1>
    </dataValidation>
    <dataValidation type="list" allowBlank="1" showErrorMessage="1" sqref="J14" xr:uid="{00000000-0002-0000-4500-000002000000}">
      <formula1>$L$9</formula1>
    </dataValidation>
    <dataValidation type="list" allowBlank="1" showErrorMessage="1" sqref="Q15 G18 L18 Q18" xr:uid="{00000000-0002-0000-45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1111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87804.88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2015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57690.100000000006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30114.78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1112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0.34297387571169163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237" t="s">
        <v>1113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30114.78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57690.100000000006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1168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43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1006</v>
      </c>
      <c r="C19" s="87" t="s">
        <v>169</v>
      </c>
      <c r="D19" s="88"/>
      <c r="E19" s="89">
        <v>500</v>
      </c>
      <c r="F19" s="90">
        <v>1</v>
      </c>
      <c r="G19" s="91">
        <v>30.82</v>
      </c>
      <c r="H19" s="91">
        <f t="shared" ref="H19:H49" si="0">ROUND(IF($G$18="USD $", G19*$F$16,G19*$E$16),2)</f>
        <v>42.53</v>
      </c>
      <c r="I19" s="92">
        <f t="shared" ref="I19:I49" si="1">ROUND(IF($I$18=$H$18,F19*H19,F19*G19),2)</f>
        <v>42.53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21.27</v>
      </c>
      <c r="M19" s="91">
        <f t="shared" ref="M19:M49" si="4">ROUND((K19*L19),2)</f>
        <v>21.27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21.26</v>
      </c>
      <c r="T19" s="96">
        <f t="shared" ref="T19:T49" si="7">ROUND(I19-M19,2)</f>
        <v>21.26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/>
      <c r="C20" s="101"/>
      <c r="D20" s="88"/>
      <c r="E20" s="102"/>
      <c r="F20" s="103"/>
      <c r="G20" s="104"/>
      <c r="H20" s="105">
        <f t="shared" si="0"/>
        <v>0</v>
      </c>
      <c r="I20" s="106">
        <f t="shared" si="1"/>
        <v>0</v>
      </c>
      <c r="J20" s="107"/>
      <c r="K20" s="108">
        <f t="shared" si="2"/>
        <v>0</v>
      </c>
      <c r="L20" s="105">
        <f t="shared" si="3"/>
        <v>0</v>
      </c>
      <c r="M20" s="105">
        <f t="shared" si="4"/>
        <v>0</v>
      </c>
      <c r="N20" s="109"/>
      <c r="O20" s="95"/>
      <c r="P20" s="100"/>
      <c r="Q20" s="104"/>
      <c r="R20" s="110">
        <f t="shared" si="5"/>
        <v>0</v>
      </c>
      <c r="S20" s="111">
        <f t="shared" si="6"/>
        <v>0</v>
      </c>
      <c r="T20" s="111">
        <f t="shared" si="7"/>
        <v>0</v>
      </c>
      <c r="U20" s="112">
        <f t="shared" si="8"/>
        <v>0</v>
      </c>
      <c r="V20" s="112">
        <f t="shared" si="9"/>
        <v>0</v>
      </c>
      <c r="W20" s="113"/>
      <c r="X20" s="99"/>
      <c r="Y20" s="8" t="s">
        <v>116</v>
      </c>
      <c r="Z20" s="8">
        <v>500</v>
      </c>
    </row>
    <row r="21" spans="2:26">
      <c r="B21" s="86" t="s">
        <v>1114</v>
      </c>
      <c r="C21" s="114" t="s">
        <v>1078</v>
      </c>
      <c r="D21" s="88"/>
      <c r="E21" s="89">
        <v>500</v>
      </c>
      <c r="F21" s="115">
        <v>1</v>
      </c>
      <c r="G21" s="96">
        <v>127.47</v>
      </c>
      <c r="H21" s="91">
        <f t="shared" si="0"/>
        <v>175.91</v>
      </c>
      <c r="I21" s="92">
        <f t="shared" si="1"/>
        <v>175.91</v>
      </c>
      <c r="J21" s="107"/>
      <c r="K21" s="90">
        <f t="shared" si="2"/>
        <v>1</v>
      </c>
      <c r="L21" s="91">
        <f t="shared" si="3"/>
        <v>87.96</v>
      </c>
      <c r="M21" s="91">
        <f t="shared" si="4"/>
        <v>87.96</v>
      </c>
      <c r="N21" s="116"/>
      <c r="O21" s="95"/>
      <c r="P21" s="117"/>
      <c r="Q21" s="96"/>
      <c r="R21" s="96">
        <f t="shared" si="5"/>
        <v>0</v>
      </c>
      <c r="S21" s="96">
        <f t="shared" si="6"/>
        <v>87.95</v>
      </c>
      <c r="T21" s="96">
        <f t="shared" si="7"/>
        <v>87.95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845</v>
      </c>
      <c r="C22" s="101" t="s">
        <v>1039</v>
      </c>
      <c r="D22" s="88"/>
      <c r="E22" s="102">
        <v>500</v>
      </c>
      <c r="F22" s="103">
        <v>1</v>
      </c>
      <c r="G22" s="104">
        <v>49.24</v>
      </c>
      <c r="H22" s="105">
        <f t="shared" si="0"/>
        <v>67.95</v>
      </c>
      <c r="I22" s="106">
        <f t="shared" si="1"/>
        <v>67.95</v>
      </c>
      <c r="J22" s="107"/>
      <c r="K22" s="108">
        <f t="shared" si="2"/>
        <v>1</v>
      </c>
      <c r="L22" s="105">
        <f t="shared" si="3"/>
        <v>33.979999999999997</v>
      </c>
      <c r="M22" s="105">
        <f t="shared" si="4"/>
        <v>33.979999999999997</v>
      </c>
      <c r="N22" s="109"/>
      <c r="O22" s="95"/>
      <c r="P22" s="100"/>
      <c r="Q22" s="104"/>
      <c r="R22" s="110">
        <f t="shared" si="5"/>
        <v>0</v>
      </c>
      <c r="S22" s="111">
        <f t="shared" si="6"/>
        <v>33.97</v>
      </c>
      <c r="T22" s="111">
        <f t="shared" si="7"/>
        <v>33.97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1027</v>
      </c>
      <c r="C23" s="114" t="s">
        <v>1115</v>
      </c>
      <c r="D23" s="88"/>
      <c r="E23" s="89">
        <v>1000</v>
      </c>
      <c r="F23" s="115">
        <v>1</v>
      </c>
      <c r="G23" s="96">
        <v>52.21</v>
      </c>
      <c r="H23" s="91">
        <f t="shared" si="0"/>
        <v>72.05</v>
      </c>
      <c r="I23" s="92">
        <f t="shared" si="1"/>
        <v>72.05</v>
      </c>
      <c r="J23" s="107"/>
      <c r="K23" s="90">
        <f t="shared" si="2"/>
        <v>1</v>
      </c>
      <c r="L23" s="91">
        <f t="shared" si="3"/>
        <v>36.03</v>
      </c>
      <c r="M23" s="91">
        <f t="shared" si="4"/>
        <v>36.03</v>
      </c>
      <c r="N23" s="116"/>
      <c r="O23" s="95"/>
      <c r="P23" s="117"/>
      <c r="Q23" s="96"/>
      <c r="R23" s="96">
        <f t="shared" si="5"/>
        <v>0</v>
      </c>
      <c r="S23" s="96">
        <f t="shared" si="6"/>
        <v>36.020000000000003</v>
      </c>
      <c r="T23" s="96">
        <f t="shared" si="7"/>
        <v>36.020000000000003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/>
      <c r="C24" s="101" t="s">
        <v>415</v>
      </c>
      <c r="D24" s="88"/>
      <c r="E24" s="102">
        <v>2000</v>
      </c>
      <c r="F24" s="103">
        <v>1</v>
      </c>
      <c r="G24" s="104"/>
      <c r="H24" s="105">
        <f t="shared" si="0"/>
        <v>0</v>
      </c>
      <c r="I24" s="106">
        <f t="shared" si="1"/>
        <v>0</v>
      </c>
      <c r="J24" s="107"/>
      <c r="K24" s="108">
        <f t="shared" si="2"/>
        <v>1</v>
      </c>
      <c r="L24" s="105">
        <f t="shared" si="3"/>
        <v>0</v>
      </c>
      <c r="M24" s="105">
        <f t="shared" si="4"/>
        <v>0</v>
      </c>
      <c r="N24" s="109"/>
      <c r="O24" s="95"/>
      <c r="P24" s="100"/>
      <c r="Q24" s="104"/>
      <c r="R24" s="110">
        <f t="shared" si="5"/>
        <v>0</v>
      </c>
      <c r="S24" s="111">
        <f t="shared" si="6"/>
        <v>0</v>
      </c>
      <c r="T24" s="111">
        <f t="shared" si="7"/>
        <v>0</v>
      </c>
      <c r="U24" s="112">
        <f t="shared" si="8"/>
        <v>0</v>
      </c>
      <c r="V24" s="112">
        <f t="shared" si="9"/>
        <v>0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1116</v>
      </c>
      <c r="C25" s="114" t="s">
        <v>174</v>
      </c>
      <c r="D25" s="88"/>
      <c r="E25" s="89">
        <v>4000</v>
      </c>
      <c r="F25" s="115">
        <v>1</v>
      </c>
      <c r="G25" s="96">
        <v>120.8</v>
      </c>
      <c r="H25" s="91">
        <f t="shared" si="0"/>
        <v>166.7</v>
      </c>
      <c r="I25" s="92">
        <f t="shared" si="1"/>
        <v>166.7</v>
      </c>
      <c r="J25" s="107"/>
      <c r="K25" s="90">
        <f t="shared" si="2"/>
        <v>1</v>
      </c>
      <c r="L25" s="91">
        <f t="shared" si="3"/>
        <v>83.35</v>
      </c>
      <c r="M25" s="91">
        <f t="shared" si="4"/>
        <v>83.35</v>
      </c>
      <c r="N25" s="116"/>
      <c r="O25" s="95"/>
      <c r="P25" s="117"/>
      <c r="Q25" s="96"/>
      <c r="R25" s="96">
        <f t="shared" si="5"/>
        <v>0</v>
      </c>
      <c r="S25" s="96">
        <f t="shared" si="6"/>
        <v>83.35</v>
      </c>
      <c r="T25" s="96">
        <f t="shared" si="7"/>
        <v>83.35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1117</v>
      </c>
      <c r="C26" s="101" t="s">
        <v>128</v>
      </c>
      <c r="D26" s="88"/>
      <c r="E26" s="102">
        <v>1000</v>
      </c>
      <c r="F26" s="103">
        <v>1</v>
      </c>
      <c r="G26" s="104">
        <v>53.91</v>
      </c>
      <c r="H26" s="105">
        <f t="shared" si="0"/>
        <v>74.400000000000006</v>
      </c>
      <c r="I26" s="106">
        <f t="shared" si="1"/>
        <v>74.400000000000006</v>
      </c>
      <c r="J26" s="107"/>
      <c r="K26" s="108">
        <f t="shared" si="2"/>
        <v>1</v>
      </c>
      <c r="L26" s="105">
        <f t="shared" si="3"/>
        <v>44.64</v>
      </c>
      <c r="M26" s="105">
        <f t="shared" si="4"/>
        <v>44.64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29.76</v>
      </c>
      <c r="T26" s="111">
        <f t="shared" si="7"/>
        <v>29.76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745</v>
      </c>
      <c r="C27" s="114" t="s">
        <v>131</v>
      </c>
      <c r="D27" s="88"/>
      <c r="E27" s="89">
        <v>1000</v>
      </c>
      <c r="F27" s="115">
        <v>1</v>
      </c>
      <c r="G27" s="96">
        <v>30.98</v>
      </c>
      <c r="H27" s="91">
        <f t="shared" si="0"/>
        <v>42.75</v>
      </c>
      <c r="I27" s="92">
        <f t="shared" si="1"/>
        <v>42.75</v>
      </c>
      <c r="J27" s="107"/>
      <c r="K27" s="90">
        <f t="shared" si="2"/>
        <v>1</v>
      </c>
      <c r="L27" s="91">
        <f t="shared" si="3"/>
        <v>25.65</v>
      </c>
      <c r="M27" s="91">
        <f t="shared" si="4"/>
        <v>25.65</v>
      </c>
      <c r="N27" s="116">
        <v>-0.1</v>
      </c>
      <c r="O27" s="95"/>
      <c r="P27" s="117"/>
      <c r="Q27" s="96"/>
      <c r="R27" s="96">
        <f t="shared" si="5"/>
        <v>0</v>
      </c>
      <c r="S27" s="96">
        <f t="shared" si="6"/>
        <v>17.100000000000001</v>
      </c>
      <c r="T27" s="96">
        <f t="shared" si="7"/>
        <v>17.100000000000001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849</v>
      </c>
      <c r="C28" s="101" t="s">
        <v>134</v>
      </c>
      <c r="D28" s="88"/>
      <c r="E28" s="102">
        <v>1000</v>
      </c>
      <c r="F28" s="103">
        <v>1</v>
      </c>
      <c r="G28" s="104">
        <v>19.23</v>
      </c>
      <c r="H28" s="105">
        <f t="shared" si="0"/>
        <v>26.54</v>
      </c>
      <c r="I28" s="106">
        <f t="shared" si="1"/>
        <v>26.54</v>
      </c>
      <c r="J28" s="107"/>
      <c r="K28" s="108">
        <f t="shared" si="2"/>
        <v>1</v>
      </c>
      <c r="L28" s="105">
        <f t="shared" si="3"/>
        <v>15.92</v>
      </c>
      <c r="M28" s="105">
        <f t="shared" si="4"/>
        <v>15.92</v>
      </c>
      <c r="N28" s="109">
        <v>-0.1</v>
      </c>
      <c r="O28" s="95"/>
      <c r="P28" s="100"/>
      <c r="Q28" s="104"/>
      <c r="R28" s="110">
        <f t="shared" si="5"/>
        <v>0</v>
      </c>
      <c r="S28" s="111">
        <f t="shared" si="6"/>
        <v>10.62</v>
      </c>
      <c r="T28" s="111">
        <f t="shared" si="7"/>
        <v>10.62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1057</v>
      </c>
      <c r="C29" s="114" t="s">
        <v>134</v>
      </c>
      <c r="D29" s="88"/>
      <c r="E29" s="89">
        <v>1000</v>
      </c>
      <c r="F29" s="115">
        <v>1</v>
      </c>
      <c r="G29" s="96">
        <v>38.450000000000003</v>
      </c>
      <c r="H29" s="91">
        <f t="shared" si="0"/>
        <v>53.06</v>
      </c>
      <c r="I29" s="92">
        <f t="shared" si="1"/>
        <v>53.06</v>
      </c>
      <c r="J29" s="107"/>
      <c r="K29" s="90">
        <f t="shared" si="2"/>
        <v>1</v>
      </c>
      <c r="L29" s="91">
        <f t="shared" si="3"/>
        <v>31.84</v>
      </c>
      <c r="M29" s="91">
        <f t="shared" si="4"/>
        <v>31.84</v>
      </c>
      <c r="N29" s="116">
        <v>-0.1</v>
      </c>
      <c r="O29" s="95"/>
      <c r="P29" s="117"/>
      <c r="Q29" s="96"/>
      <c r="R29" s="96">
        <f t="shared" si="5"/>
        <v>0</v>
      </c>
      <c r="S29" s="96">
        <f t="shared" si="6"/>
        <v>21.22</v>
      </c>
      <c r="T29" s="96">
        <f t="shared" si="7"/>
        <v>21.22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893</v>
      </c>
      <c r="C30" s="101" t="s">
        <v>750</v>
      </c>
      <c r="D30" s="88"/>
      <c r="E30" s="102" t="s">
        <v>138</v>
      </c>
      <c r="F30" s="103">
        <v>1</v>
      </c>
      <c r="G30" s="104">
        <v>133.80000000000001</v>
      </c>
      <c r="H30" s="105">
        <f t="shared" si="0"/>
        <v>184.64</v>
      </c>
      <c r="I30" s="106">
        <f t="shared" si="1"/>
        <v>184.64</v>
      </c>
      <c r="J30" s="107"/>
      <c r="K30" s="108">
        <f t="shared" si="2"/>
        <v>1</v>
      </c>
      <c r="L30" s="105">
        <f t="shared" si="3"/>
        <v>110.78</v>
      </c>
      <c r="M30" s="105">
        <f t="shared" si="4"/>
        <v>110.78</v>
      </c>
      <c r="N30" s="109">
        <v>-0.1</v>
      </c>
      <c r="O30" s="95"/>
      <c r="P30" s="100"/>
      <c r="Q30" s="104"/>
      <c r="R30" s="110">
        <f t="shared" si="5"/>
        <v>0</v>
      </c>
      <c r="S30" s="111">
        <f t="shared" si="6"/>
        <v>73.86</v>
      </c>
      <c r="T30" s="111">
        <f t="shared" si="7"/>
        <v>73.86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1118</v>
      </c>
      <c r="C31" s="114" t="s">
        <v>1081</v>
      </c>
      <c r="D31" s="88"/>
      <c r="E31" s="89" t="s">
        <v>138</v>
      </c>
      <c r="F31" s="115">
        <v>1</v>
      </c>
      <c r="G31" s="96">
        <v>260.55</v>
      </c>
      <c r="H31" s="91">
        <f t="shared" si="0"/>
        <v>359.56</v>
      </c>
      <c r="I31" s="92">
        <f t="shared" si="1"/>
        <v>359.56</v>
      </c>
      <c r="J31" s="107"/>
      <c r="K31" s="90">
        <f t="shared" si="2"/>
        <v>1</v>
      </c>
      <c r="L31" s="91">
        <f t="shared" si="3"/>
        <v>215.74</v>
      </c>
      <c r="M31" s="91">
        <f t="shared" si="4"/>
        <v>215.74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143.82</v>
      </c>
      <c r="T31" s="96">
        <f t="shared" si="7"/>
        <v>143.82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 t="s">
        <v>1119</v>
      </c>
      <c r="C32" s="101" t="s">
        <v>751</v>
      </c>
      <c r="D32" s="88"/>
      <c r="E32" s="102" t="s">
        <v>138</v>
      </c>
      <c r="F32" s="103">
        <v>1</v>
      </c>
      <c r="G32" s="104">
        <v>4769.51</v>
      </c>
      <c r="H32" s="105">
        <f t="shared" si="0"/>
        <v>6581.92</v>
      </c>
      <c r="I32" s="106">
        <f t="shared" si="1"/>
        <v>6581.92</v>
      </c>
      <c r="J32" s="107"/>
      <c r="K32" s="108">
        <f t="shared" si="2"/>
        <v>1</v>
      </c>
      <c r="L32" s="105">
        <f t="shared" si="3"/>
        <v>3949.15</v>
      </c>
      <c r="M32" s="105">
        <f t="shared" si="4"/>
        <v>3949.15</v>
      </c>
      <c r="N32" s="109">
        <v>-0.1</v>
      </c>
      <c r="O32" s="95"/>
      <c r="P32" s="100"/>
      <c r="Q32" s="104"/>
      <c r="R32" s="110">
        <f t="shared" si="5"/>
        <v>0</v>
      </c>
      <c r="S32" s="111">
        <f t="shared" si="6"/>
        <v>2632.77</v>
      </c>
      <c r="T32" s="111">
        <f t="shared" si="7"/>
        <v>2632.77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1120</v>
      </c>
      <c r="C33" s="114" t="s">
        <v>752</v>
      </c>
      <c r="D33" s="88"/>
      <c r="E33" s="89" t="s">
        <v>138</v>
      </c>
      <c r="F33" s="115">
        <v>1</v>
      </c>
      <c r="G33" s="96">
        <v>3624.8</v>
      </c>
      <c r="H33" s="91">
        <f t="shared" si="0"/>
        <v>5002.22</v>
      </c>
      <c r="I33" s="92">
        <f t="shared" si="1"/>
        <v>5002.22</v>
      </c>
      <c r="J33" s="107"/>
      <c r="K33" s="90">
        <f t="shared" si="2"/>
        <v>1</v>
      </c>
      <c r="L33" s="91">
        <f t="shared" si="3"/>
        <v>3001.33</v>
      </c>
      <c r="M33" s="91">
        <f t="shared" si="4"/>
        <v>3001.33</v>
      </c>
      <c r="N33" s="116">
        <v>-0.1</v>
      </c>
      <c r="O33" s="95"/>
      <c r="P33" s="117"/>
      <c r="Q33" s="96"/>
      <c r="R33" s="96">
        <f t="shared" si="5"/>
        <v>0</v>
      </c>
      <c r="S33" s="96">
        <f t="shared" si="6"/>
        <v>2000.89</v>
      </c>
      <c r="T33" s="96">
        <f t="shared" si="7"/>
        <v>2000.89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1121</v>
      </c>
      <c r="C34" s="101" t="s">
        <v>753</v>
      </c>
      <c r="D34" s="88"/>
      <c r="E34" s="102" t="s">
        <v>138</v>
      </c>
      <c r="F34" s="103">
        <v>1</v>
      </c>
      <c r="G34" s="104">
        <v>2421.5100000000002</v>
      </c>
      <c r="H34" s="105">
        <f t="shared" si="0"/>
        <v>3341.68</v>
      </c>
      <c r="I34" s="106">
        <f t="shared" si="1"/>
        <v>3341.68</v>
      </c>
      <c r="J34" s="107"/>
      <c r="K34" s="108">
        <f t="shared" si="2"/>
        <v>1</v>
      </c>
      <c r="L34" s="105">
        <f t="shared" si="3"/>
        <v>2005.01</v>
      </c>
      <c r="M34" s="105">
        <f t="shared" si="4"/>
        <v>2005.01</v>
      </c>
      <c r="N34" s="109">
        <v>-0.1</v>
      </c>
      <c r="O34" s="95"/>
      <c r="P34" s="100"/>
      <c r="Q34" s="104"/>
      <c r="R34" s="110">
        <f t="shared" si="5"/>
        <v>0</v>
      </c>
      <c r="S34" s="111">
        <f t="shared" si="6"/>
        <v>1336.67</v>
      </c>
      <c r="T34" s="111">
        <f t="shared" si="7"/>
        <v>1336.67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1122</v>
      </c>
      <c r="C35" s="114" t="s">
        <v>877</v>
      </c>
      <c r="D35" s="88"/>
      <c r="E35" s="89" t="s">
        <v>138</v>
      </c>
      <c r="F35" s="115">
        <v>1</v>
      </c>
      <c r="G35" s="96">
        <v>3253.34</v>
      </c>
      <c r="H35" s="91">
        <f t="shared" si="0"/>
        <v>4489.6099999999997</v>
      </c>
      <c r="I35" s="92">
        <f t="shared" si="1"/>
        <v>4489.6099999999997</v>
      </c>
      <c r="J35" s="107"/>
      <c r="K35" s="90">
        <f t="shared" si="2"/>
        <v>1</v>
      </c>
      <c r="L35" s="91">
        <f t="shared" si="3"/>
        <v>2244.81</v>
      </c>
      <c r="M35" s="91">
        <f t="shared" si="4"/>
        <v>2244.81</v>
      </c>
      <c r="N35" s="116"/>
      <c r="O35" s="95"/>
      <c r="P35" s="117"/>
      <c r="Q35" s="96"/>
      <c r="R35" s="96">
        <f t="shared" si="5"/>
        <v>0</v>
      </c>
      <c r="S35" s="96">
        <f t="shared" si="6"/>
        <v>2244.8000000000002</v>
      </c>
      <c r="T35" s="96">
        <f t="shared" si="7"/>
        <v>2244.8000000000002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822</v>
      </c>
      <c r="C36" s="101" t="s">
        <v>1042</v>
      </c>
      <c r="D36" s="88"/>
      <c r="E36" s="102" t="s">
        <v>138</v>
      </c>
      <c r="F36" s="103">
        <v>2</v>
      </c>
      <c r="G36" s="104">
        <v>221.18</v>
      </c>
      <c r="H36" s="105">
        <f t="shared" si="0"/>
        <v>305.23</v>
      </c>
      <c r="I36" s="106">
        <f t="shared" si="1"/>
        <v>610.46</v>
      </c>
      <c r="J36" s="107"/>
      <c r="K36" s="108">
        <f t="shared" si="2"/>
        <v>2</v>
      </c>
      <c r="L36" s="105">
        <f t="shared" si="3"/>
        <v>152.62</v>
      </c>
      <c r="M36" s="105">
        <f t="shared" si="4"/>
        <v>305.24</v>
      </c>
      <c r="N36" s="109"/>
      <c r="O36" s="95"/>
      <c r="P36" s="100"/>
      <c r="Q36" s="104"/>
      <c r="R36" s="110">
        <f t="shared" si="5"/>
        <v>0</v>
      </c>
      <c r="S36" s="111">
        <f t="shared" si="6"/>
        <v>152.61000000000001</v>
      </c>
      <c r="T36" s="111">
        <f t="shared" si="7"/>
        <v>305.22000000000003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 t="s">
        <v>1123</v>
      </c>
      <c r="C37" s="114" t="s">
        <v>144</v>
      </c>
      <c r="D37" s="88"/>
      <c r="E37" s="89" t="s">
        <v>138</v>
      </c>
      <c r="F37" s="115">
        <v>1</v>
      </c>
      <c r="G37" s="96">
        <v>3918.93</v>
      </c>
      <c r="H37" s="91">
        <f t="shared" si="0"/>
        <v>5408.12</v>
      </c>
      <c r="I37" s="92">
        <f t="shared" si="1"/>
        <v>5408.12</v>
      </c>
      <c r="J37" s="107"/>
      <c r="K37" s="90">
        <f t="shared" si="2"/>
        <v>1</v>
      </c>
      <c r="L37" s="91">
        <f t="shared" si="3"/>
        <v>2704.06</v>
      </c>
      <c r="M37" s="91">
        <f t="shared" si="4"/>
        <v>2704.06</v>
      </c>
      <c r="N37" s="116"/>
      <c r="O37" s="95"/>
      <c r="P37" s="117"/>
      <c r="Q37" s="96"/>
      <c r="R37" s="96">
        <f t="shared" si="5"/>
        <v>0</v>
      </c>
      <c r="S37" s="96">
        <f t="shared" si="6"/>
        <v>2704.06</v>
      </c>
      <c r="T37" s="96">
        <f t="shared" si="7"/>
        <v>2704.06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1021</v>
      </c>
      <c r="C38" s="101" t="s">
        <v>1022</v>
      </c>
      <c r="D38" s="88"/>
      <c r="E38" s="102" t="s">
        <v>138</v>
      </c>
      <c r="F38" s="103">
        <v>6</v>
      </c>
      <c r="G38" s="104">
        <v>603.16</v>
      </c>
      <c r="H38" s="105">
        <f t="shared" si="0"/>
        <v>832.36</v>
      </c>
      <c r="I38" s="106">
        <f t="shared" si="1"/>
        <v>4994.16</v>
      </c>
      <c r="J38" s="107"/>
      <c r="K38" s="108">
        <f t="shared" si="2"/>
        <v>6</v>
      </c>
      <c r="L38" s="105">
        <f t="shared" si="3"/>
        <v>582.65</v>
      </c>
      <c r="M38" s="105">
        <f t="shared" si="4"/>
        <v>3495.9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249.71</v>
      </c>
      <c r="T38" s="111">
        <f t="shared" si="7"/>
        <v>1498.26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1124</v>
      </c>
      <c r="C39" s="114" t="s">
        <v>1088</v>
      </c>
      <c r="D39" s="88"/>
      <c r="E39" s="89">
        <v>1200</v>
      </c>
      <c r="F39" s="115">
        <v>1</v>
      </c>
      <c r="G39" s="96">
        <v>35080.019999999997</v>
      </c>
      <c r="H39" s="91">
        <f t="shared" si="0"/>
        <v>48410.43</v>
      </c>
      <c r="I39" s="92">
        <f t="shared" si="1"/>
        <v>48410.43</v>
      </c>
      <c r="J39" s="107"/>
      <c r="K39" s="90">
        <f t="shared" si="2"/>
        <v>1</v>
      </c>
      <c r="L39" s="91">
        <f t="shared" si="3"/>
        <v>33887.300000000003</v>
      </c>
      <c r="M39" s="91">
        <f t="shared" si="4"/>
        <v>33887.300000000003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14523.13</v>
      </c>
      <c r="T39" s="96">
        <f t="shared" si="7"/>
        <v>14523.13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/>
      <c r="C40" s="101" t="s">
        <v>293</v>
      </c>
      <c r="D40" s="88"/>
      <c r="E40" s="102"/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/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 t="s">
        <v>1125</v>
      </c>
      <c r="C41" s="114" t="s">
        <v>156</v>
      </c>
      <c r="D41" s="88"/>
      <c r="E41" s="89" t="s">
        <v>138</v>
      </c>
      <c r="F41" s="115">
        <v>1</v>
      </c>
      <c r="G41" s="96">
        <v>181.77</v>
      </c>
      <c r="H41" s="91">
        <f t="shared" si="0"/>
        <v>250.84</v>
      </c>
      <c r="I41" s="92">
        <f t="shared" si="1"/>
        <v>250.84</v>
      </c>
      <c r="J41" s="107"/>
      <c r="K41" s="90">
        <f t="shared" si="2"/>
        <v>1</v>
      </c>
      <c r="L41" s="91">
        <f t="shared" si="3"/>
        <v>175.59</v>
      </c>
      <c r="M41" s="91">
        <f t="shared" si="4"/>
        <v>175.59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75.25</v>
      </c>
      <c r="T41" s="96">
        <f t="shared" si="7"/>
        <v>75.25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1126</v>
      </c>
      <c r="C42" s="101" t="s">
        <v>156</v>
      </c>
      <c r="D42" s="88"/>
      <c r="E42" s="102" t="s">
        <v>138</v>
      </c>
      <c r="F42" s="103">
        <v>2</v>
      </c>
      <c r="G42" s="104">
        <v>207.26</v>
      </c>
      <c r="H42" s="105">
        <f t="shared" si="0"/>
        <v>286.02</v>
      </c>
      <c r="I42" s="106">
        <f t="shared" si="1"/>
        <v>572.04</v>
      </c>
      <c r="J42" s="107"/>
      <c r="K42" s="108">
        <f t="shared" si="2"/>
        <v>2</v>
      </c>
      <c r="L42" s="105">
        <f t="shared" si="3"/>
        <v>200.21</v>
      </c>
      <c r="M42" s="105">
        <f t="shared" si="4"/>
        <v>400.42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85.81</v>
      </c>
      <c r="T42" s="111">
        <f t="shared" si="7"/>
        <v>171.62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 t="s">
        <v>1127</v>
      </c>
      <c r="C43" s="114" t="s">
        <v>152</v>
      </c>
      <c r="D43" s="88"/>
      <c r="E43" s="89" t="s">
        <v>138</v>
      </c>
      <c r="F43" s="115">
        <v>1</v>
      </c>
      <c r="G43" s="96">
        <v>87.55</v>
      </c>
      <c r="H43" s="91">
        <f t="shared" si="0"/>
        <v>120.82</v>
      </c>
      <c r="I43" s="92">
        <f t="shared" si="1"/>
        <v>120.82</v>
      </c>
      <c r="J43" s="107"/>
      <c r="K43" s="90">
        <f t="shared" si="2"/>
        <v>1</v>
      </c>
      <c r="L43" s="91">
        <f t="shared" si="3"/>
        <v>84.57</v>
      </c>
      <c r="M43" s="91">
        <f t="shared" si="4"/>
        <v>84.57</v>
      </c>
      <c r="N43" s="116">
        <v>-0.2</v>
      </c>
      <c r="O43" s="95"/>
      <c r="P43" s="117"/>
      <c r="Q43" s="96"/>
      <c r="R43" s="96">
        <f t="shared" si="5"/>
        <v>0</v>
      </c>
      <c r="S43" s="96">
        <f t="shared" si="6"/>
        <v>36.25</v>
      </c>
      <c r="T43" s="96">
        <f t="shared" si="7"/>
        <v>36.25</v>
      </c>
      <c r="U43" s="97">
        <f t="shared" si="8"/>
        <v>0</v>
      </c>
      <c r="V43" s="97">
        <f t="shared" si="9"/>
        <v>1</v>
      </c>
      <c r="W43" s="113"/>
    </row>
    <row r="44" spans="2:23" ht="15.75" customHeight="1">
      <c r="B44" s="100" t="s">
        <v>1128</v>
      </c>
      <c r="C44" s="101" t="s">
        <v>152</v>
      </c>
      <c r="D44" s="88"/>
      <c r="E44" s="102" t="s">
        <v>138</v>
      </c>
      <c r="F44" s="103">
        <v>1</v>
      </c>
      <c r="G44" s="104">
        <v>87.55</v>
      </c>
      <c r="H44" s="105">
        <f t="shared" si="0"/>
        <v>120.82</v>
      </c>
      <c r="I44" s="106">
        <f t="shared" si="1"/>
        <v>120.82</v>
      </c>
      <c r="J44" s="107"/>
      <c r="K44" s="108">
        <f t="shared" si="2"/>
        <v>1</v>
      </c>
      <c r="L44" s="105">
        <f t="shared" si="3"/>
        <v>84.57</v>
      </c>
      <c r="M44" s="105">
        <f t="shared" si="4"/>
        <v>84.57</v>
      </c>
      <c r="N44" s="109">
        <v>-0.2</v>
      </c>
      <c r="O44" s="95"/>
      <c r="P44" s="100"/>
      <c r="Q44" s="104"/>
      <c r="R44" s="110">
        <f t="shared" si="5"/>
        <v>0</v>
      </c>
      <c r="S44" s="111">
        <f t="shared" si="6"/>
        <v>36.25</v>
      </c>
      <c r="T44" s="111">
        <f t="shared" si="7"/>
        <v>36.25</v>
      </c>
      <c r="U44" s="112">
        <f t="shared" si="8"/>
        <v>0</v>
      </c>
      <c r="V44" s="112">
        <f t="shared" si="9"/>
        <v>1</v>
      </c>
      <c r="W44" s="113"/>
    </row>
    <row r="45" spans="2:23" ht="15.75" customHeight="1">
      <c r="B45" s="86"/>
      <c r="C45" s="114" t="s">
        <v>152</v>
      </c>
      <c r="D45" s="88"/>
      <c r="E45" s="89" t="s">
        <v>138</v>
      </c>
      <c r="F45" s="115">
        <v>1</v>
      </c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1</v>
      </c>
      <c r="L45" s="91">
        <f t="shared" si="3"/>
        <v>0</v>
      </c>
      <c r="M45" s="91">
        <f t="shared" si="4"/>
        <v>0</v>
      </c>
      <c r="N45" s="116">
        <v>-0.2</v>
      </c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 t="s">
        <v>201</v>
      </c>
      <c r="D46" s="88"/>
      <c r="E46" s="102" t="s">
        <v>138</v>
      </c>
      <c r="F46" s="103">
        <v>5</v>
      </c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5</v>
      </c>
      <c r="L46" s="105">
        <f t="shared" si="3"/>
        <v>0</v>
      </c>
      <c r="M46" s="105">
        <f t="shared" si="4"/>
        <v>0</v>
      </c>
      <c r="N46" s="109">
        <v>-0.2</v>
      </c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 t="s">
        <v>1129</v>
      </c>
      <c r="C47" s="114" t="s">
        <v>670</v>
      </c>
      <c r="D47" s="88"/>
      <c r="E47" s="89" t="s">
        <v>138</v>
      </c>
      <c r="F47" s="115">
        <v>3</v>
      </c>
      <c r="G47" s="96">
        <v>1448.87</v>
      </c>
      <c r="H47" s="91">
        <f t="shared" si="0"/>
        <v>1999.44</v>
      </c>
      <c r="I47" s="92">
        <f t="shared" si="1"/>
        <v>5998.32</v>
      </c>
      <c r="J47" s="107"/>
      <c r="K47" s="90">
        <f t="shared" si="2"/>
        <v>3</v>
      </c>
      <c r="L47" s="91">
        <f t="shared" si="3"/>
        <v>1399.61</v>
      </c>
      <c r="M47" s="91">
        <f t="shared" si="4"/>
        <v>4198.83</v>
      </c>
      <c r="N47" s="116">
        <v>-0.2</v>
      </c>
      <c r="O47" s="95"/>
      <c r="P47" s="117"/>
      <c r="Q47" s="96"/>
      <c r="R47" s="96">
        <f t="shared" si="5"/>
        <v>0</v>
      </c>
      <c r="S47" s="96">
        <f t="shared" si="6"/>
        <v>599.83000000000004</v>
      </c>
      <c r="T47" s="96">
        <f t="shared" si="7"/>
        <v>1799.49</v>
      </c>
      <c r="U47" s="97">
        <f t="shared" si="8"/>
        <v>0</v>
      </c>
      <c r="V47" s="97">
        <f t="shared" si="9"/>
        <v>1</v>
      </c>
      <c r="W47" s="113"/>
    </row>
    <row r="48" spans="2:23" ht="15.75" customHeight="1">
      <c r="B48" s="100" t="s">
        <v>1130</v>
      </c>
      <c r="C48" s="101" t="s">
        <v>233</v>
      </c>
      <c r="D48" s="88"/>
      <c r="E48" s="102" t="s">
        <v>138</v>
      </c>
      <c r="F48" s="103">
        <v>3</v>
      </c>
      <c r="G48" s="104">
        <v>153.94999999999999</v>
      </c>
      <c r="H48" s="105">
        <f t="shared" si="0"/>
        <v>212.45</v>
      </c>
      <c r="I48" s="106">
        <f t="shared" si="1"/>
        <v>637.35</v>
      </c>
      <c r="J48" s="107"/>
      <c r="K48" s="108">
        <f t="shared" si="2"/>
        <v>3</v>
      </c>
      <c r="L48" s="105">
        <f t="shared" si="3"/>
        <v>148.72</v>
      </c>
      <c r="M48" s="105">
        <f t="shared" si="4"/>
        <v>446.16</v>
      </c>
      <c r="N48" s="109">
        <v>-0.2</v>
      </c>
      <c r="O48" s="95"/>
      <c r="P48" s="100"/>
      <c r="Q48" s="104"/>
      <c r="R48" s="110">
        <f t="shared" si="5"/>
        <v>0</v>
      </c>
      <c r="S48" s="111">
        <f t="shared" si="6"/>
        <v>63.73</v>
      </c>
      <c r="T48" s="111">
        <f t="shared" si="7"/>
        <v>191.19</v>
      </c>
      <c r="U48" s="112">
        <f t="shared" si="8"/>
        <v>0</v>
      </c>
      <c r="V48" s="112">
        <f t="shared" si="9"/>
        <v>1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43</v>
      </c>
      <c r="G50" s="123">
        <f t="shared" si="10"/>
        <v>56976.86</v>
      </c>
      <c r="H50" s="124">
        <f t="shared" si="10"/>
        <v>78628.050000000017</v>
      </c>
      <c r="I50" s="125">
        <f t="shared" si="10"/>
        <v>87804.88</v>
      </c>
      <c r="J50" s="126"/>
      <c r="K50" s="127">
        <f t="shared" ref="K50:M50" si="11">SUM(K19:K49)</f>
        <v>43</v>
      </c>
      <c r="L50" s="124">
        <f t="shared" si="11"/>
        <v>51327.360000000001</v>
      </c>
      <c r="M50" s="125">
        <f t="shared" si="11"/>
        <v>57690.100000000006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27300.690000000002</v>
      </c>
      <c r="T50" s="125">
        <f t="shared" si="12"/>
        <v>30114.78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49" xr:uid="{00000000-0002-0000-4600-000000000000}">
      <formula1>$Z$19:$Z$30</formula1>
    </dataValidation>
    <dataValidation type="list" allowBlank="1" showErrorMessage="1" sqref="I14" xr:uid="{00000000-0002-0000-4600-000001000000}">
      <formula1>$Y$14:$Y$15</formula1>
    </dataValidation>
    <dataValidation type="list" allowBlank="1" showErrorMessage="1" sqref="J14" xr:uid="{00000000-0002-0000-4600-000002000000}">
      <formula1>$L$9</formula1>
    </dataValidation>
    <dataValidation type="list" allowBlank="1" showErrorMessage="1" sqref="Q15 G18 L18 Q18" xr:uid="{00000000-0002-0000-46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1131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50492.38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29868.3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20624.079999999998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1132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0.40845925662446492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1133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20624.080000000005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29868.3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1172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24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980</v>
      </c>
      <c r="C19" s="87" t="s">
        <v>169</v>
      </c>
      <c r="D19" s="88"/>
      <c r="E19" s="89">
        <v>500</v>
      </c>
      <c r="F19" s="90">
        <v>1</v>
      </c>
      <c r="G19" s="91">
        <v>23.25</v>
      </c>
      <c r="H19" s="91">
        <f t="shared" ref="H19:H49" si="0">ROUND(IF($G$18="USD $", G19*$F$16,G19*$E$16),2)</f>
        <v>32.090000000000003</v>
      </c>
      <c r="I19" s="92">
        <f t="shared" ref="I19:I49" si="1">ROUND(IF($I$18=$H$18,F19*H19,F19*G19),2)</f>
        <v>32.090000000000003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16.05</v>
      </c>
      <c r="M19" s="91">
        <f t="shared" ref="M19:M49" si="4">ROUND((K19*L19),2)</f>
        <v>16.05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16.04</v>
      </c>
      <c r="T19" s="96">
        <f t="shared" ref="T19:T49" si="7">ROUND(I19-M19,2)</f>
        <v>16.04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1051</v>
      </c>
      <c r="C20" s="101" t="s">
        <v>804</v>
      </c>
      <c r="D20" s="88"/>
      <c r="E20" s="102">
        <v>500</v>
      </c>
      <c r="F20" s="103">
        <v>1</v>
      </c>
      <c r="G20" s="104">
        <v>38.54</v>
      </c>
      <c r="H20" s="105">
        <f t="shared" si="0"/>
        <v>53.19</v>
      </c>
      <c r="I20" s="106">
        <f t="shared" si="1"/>
        <v>53.19</v>
      </c>
      <c r="J20" s="107"/>
      <c r="K20" s="108">
        <f t="shared" si="2"/>
        <v>1</v>
      </c>
      <c r="L20" s="105">
        <f t="shared" si="3"/>
        <v>26.6</v>
      </c>
      <c r="M20" s="105">
        <f t="shared" si="4"/>
        <v>26.6</v>
      </c>
      <c r="N20" s="109"/>
      <c r="O20" s="95"/>
      <c r="P20" s="100"/>
      <c r="Q20" s="104"/>
      <c r="R20" s="110">
        <f t="shared" si="5"/>
        <v>0</v>
      </c>
      <c r="S20" s="111">
        <f t="shared" si="6"/>
        <v>26.59</v>
      </c>
      <c r="T20" s="111">
        <f t="shared" si="7"/>
        <v>26.59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982</v>
      </c>
      <c r="C21" s="114" t="s">
        <v>743</v>
      </c>
      <c r="D21" s="88"/>
      <c r="E21" s="89">
        <v>500</v>
      </c>
      <c r="F21" s="115">
        <v>1</v>
      </c>
      <c r="G21" s="96">
        <v>38.51</v>
      </c>
      <c r="H21" s="91">
        <f t="shared" si="0"/>
        <v>53.14</v>
      </c>
      <c r="I21" s="92">
        <f t="shared" si="1"/>
        <v>53.14</v>
      </c>
      <c r="J21" s="107"/>
      <c r="K21" s="90">
        <f t="shared" si="2"/>
        <v>1</v>
      </c>
      <c r="L21" s="91">
        <f t="shared" si="3"/>
        <v>26.57</v>
      </c>
      <c r="M21" s="91">
        <f t="shared" si="4"/>
        <v>26.57</v>
      </c>
      <c r="N21" s="116"/>
      <c r="O21" s="95"/>
      <c r="P21" s="117"/>
      <c r="Q21" s="96"/>
      <c r="R21" s="96">
        <f t="shared" si="5"/>
        <v>0</v>
      </c>
      <c r="S21" s="96">
        <f t="shared" si="6"/>
        <v>26.57</v>
      </c>
      <c r="T21" s="96">
        <f t="shared" si="7"/>
        <v>26.57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1116</v>
      </c>
      <c r="C22" s="101" t="s">
        <v>174</v>
      </c>
      <c r="D22" s="88"/>
      <c r="E22" s="102">
        <v>1000</v>
      </c>
      <c r="F22" s="103">
        <v>1</v>
      </c>
      <c r="G22" s="104">
        <v>120.8</v>
      </c>
      <c r="H22" s="105">
        <f t="shared" si="0"/>
        <v>166.7</v>
      </c>
      <c r="I22" s="106">
        <f t="shared" si="1"/>
        <v>166.7</v>
      </c>
      <c r="J22" s="107"/>
      <c r="K22" s="108">
        <f t="shared" si="2"/>
        <v>1</v>
      </c>
      <c r="L22" s="105">
        <f t="shared" si="3"/>
        <v>83.35</v>
      </c>
      <c r="M22" s="105">
        <f t="shared" si="4"/>
        <v>83.35</v>
      </c>
      <c r="N22" s="109"/>
      <c r="O22" s="95"/>
      <c r="P22" s="100"/>
      <c r="Q22" s="104"/>
      <c r="R22" s="110">
        <f t="shared" si="5"/>
        <v>0</v>
      </c>
      <c r="S22" s="111">
        <f t="shared" si="6"/>
        <v>83.35</v>
      </c>
      <c r="T22" s="111">
        <f t="shared" si="7"/>
        <v>83.35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990</v>
      </c>
      <c r="C23" s="114" t="s">
        <v>128</v>
      </c>
      <c r="D23" s="88"/>
      <c r="E23" s="89">
        <v>2000</v>
      </c>
      <c r="F23" s="115">
        <v>1</v>
      </c>
      <c r="G23" s="96">
        <v>76.040000000000006</v>
      </c>
      <c r="H23" s="91">
        <f t="shared" si="0"/>
        <v>104.94</v>
      </c>
      <c r="I23" s="92">
        <f t="shared" si="1"/>
        <v>104.94</v>
      </c>
      <c r="J23" s="107"/>
      <c r="K23" s="90">
        <f t="shared" si="2"/>
        <v>1</v>
      </c>
      <c r="L23" s="91">
        <f t="shared" si="3"/>
        <v>62.96</v>
      </c>
      <c r="M23" s="91">
        <f t="shared" si="4"/>
        <v>62.96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41.98</v>
      </c>
      <c r="T23" s="96">
        <f t="shared" si="7"/>
        <v>41.98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991</v>
      </c>
      <c r="C24" s="101" t="s">
        <v>131</v>
      </c>
      <c r="D24" s="88"/>
      <c r="E24" s="102">
        <v>2000</v>
      </c>
      <c r="F24" s="103">
        <v>1</v>
      </c>
      <c r="G24" s="104">
        <v>47.67</v>
      </c>
      <c r="H24" s="105">
        <f t="shared" si="0"/>
        <v>65.78</v>
      </c>
      <c r="I24" s="106">
        <f t="shared" si="1"/>
        <v>65.78</v>
      </c>
      <c r="J24" s="107"/>
      <c r="K24" s="108">
        <f t="shared" si="2"/>
        <v>1</v>
      </c>
      <c r="L24" s="105">
        <f t="shared" si="3"/>
        <v>39.47</v>
      </c>
      <c r="M24" s="105">
        <f t="shared" si="4"/>
        <v>39.47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26.31</v>
      </c>
      <c r="T24" s="111">
        <f t="shared" si="7"/>
        <v>26.31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849</v>
      </c>
      <c r="C25" s="114" t="s">
        <v>134</v>
      </c>
      <c r="D25" s="88"/>
      <c r="E25" s="89">
        <v>2000</v>
      </c>
      <c r="F25" s="115">
        <v>1</v>
      </c>
      <c r="G25" s="96">
        <v>19.23</v>
      </c>
      <c r="H25" s="91">
        <f t="shared" si="0"/>
        <v>26.54</v>
      </c>
      <c r="I25" s="92">
        <f t="shared" si="1"/>
        <v>26.54</v>
      </c>
      <c r="J25" s="107"/>
      <c r="K25" s="90">
        <f t="shared" si="2"/>
        <v>1</v>
      </c>
      <c r="L25" s="91">
        <f t="shared" si="3"/>
        <v>15.92</v>
      </c>
      <c r="M25" s="91">
        <f t="shared" si="4"/>
        <v>15.92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10.62</v>
      </c>
      <c r="T25" s="96">
        <f t="shared" si="7"/>
        <v>10.62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992</v>
      </c>
      <c r="C26" s="101" t="s">
        <v>134</v>
      </c>
      <c r="D26" s="88"/>
      <c r="E26" s="102">
        <v>2000</v>
      </c>
      <c r="F26" s="103">
        <v>1</v>
      </c>
      <c r="G26" s="104">
        <v>15.24</v>
      </c>
      <c r="H26" s="105">
        <f t="shared" si="0"/>
        <v>21.03</v>
      </c>
      <c r="I26" s="106">
        <f t="shared" si="1"/>
        <v>21.03</v>
      </c>
      <c r="J26" s="107"/>
      <c r="K26" s="108">
        <f t="shared" si="2"/>
        <v>1</v>
      </c>
      <c r="L26" s="105">
        <f t="shared" si="3"/>
        <v>12.62</v>
      </c>
      <c r="M26" s="105">
        <f t="shared" si="4"/>
        <v>12.62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8.41</v>
      </c>
      <c r="T26" s="111">
        <f t="shared" si="7"/>
        <v>8.41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1134</v>
      </c>
      <c r="C27" s="114" t="s">
        <v>821</v>
      </c>
      <c r="D27" s="88"/>
      <c r="E27" s="89" t="s">
        <v>138</v>
      </c>
      <c r="F27" s="115">
        <v>1</v>
      </c>
      <c r="G27" s="96">
        <v>3817.22</v>
      </c>
      <c r="H27" s="91">
        <f t="shared" si="0"/>
        <v>5267.76</v>
      </c>
      <c r="I27" s="92">
        <f t="shared" si="1"/>
        <v>5267.76</v>
      </c>
      <c r="J27" s="107"/>
      <c r="K27" s="90">
        <f t="shared" si="2"/>
        <v>1</v>
      </c>
      <c r="L27" s="91">
        <f t="shared" si="3"/>
        <v>2633.88</v>
      </c>
      <c r="M27" s="91">
        <f t="shared" si="4"/>
        <v>2633.88</v>
      </c>
      <c r="N27" s="116"/>
      <c r="O27" s="95"/>
      <c r="P27" s="117"/>
      <c r="Q27" s="96"/>
      <c r="R27" s="96">
        <f t="shared" si="5"/>
        <v>0</v>
      </c>
      <c r="S27" s="96">
        <f t="shared" si="6"/>
        <v>2633.88</v>
      </c>
      <c r="T27" s="96">
        <f t="shared" si="7"/>
        <v>2633.88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822</v>
      </c>
      <c r="C28" s="101" t="s">
        <v>1019</v>
      </c>
      <c r="D28" s="88"/>
      <c r="E28" s="102" t="s">
        <v>138</v>
      </c>
      <c r="F28" s="103">
        <v>2</v>
      </c>
      <c r="G28" s="104">
        <v>221.18</v>
      </c>
      <c r="H28" s="105">
        <f t="shared" si="0"/>
        <v>305.23</v>
      </c>
      <c r="I28" s="106">
        <f t="shared" si="1"/>
        <v>610.46</v>
      </c>
      <c r="J28" s="107"/>
      <c r="K28" s="108">
        <f t="shared" si="2"/>
        <v>2</v>
      </c>
      <c r="L28" s="105">
        <f t="shared" si="3"/>
        <v>152.62</v>
      </c>
      <c r="M28" s="105">
        <f t="shared" si="4"/>
        <v>305.24</v>
      </c>
      <c r="N28" s="109"/>
      <c r="O28" s="95"/>
      <c r="P28" s="100"/>
      <c r="Q28" s="104"/>
      <c r="R28" s="110">
        <f t="shared" si="5"/>
        <v>0</v>
      </c>
      <c r="S28" s="111">
        <f t="shared" si="6"/>
        <v>152.61000000000001</v>
      </c>
      <c r="T28" s="111">
        <f t="shared" si="7"/>
        <v>305.22000000000003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1135</v>
      </c>
      <c r="C29" s="114" t="s">
        <v>1136</v>
      </c>
      <c r="D29" s="88"/>
      <c r="E29" s="89" t="s">
        <v>138</v>
      </c>
      <c r="F29" s="115">
        <v>1</v>
      </c>
      <c r="G29" s="96">
        <v>3153.42</v>
      </c>
      <c r="H29" s="91">
        <f t="shared" si="0"/>
        <v>4351.72</v>
      </c>
      <c r="I29" s="92">
        <f t="shared" si="1"/>
        <v>4351.72</v>
      </c>
      <c r="J29" s="107"/>
      <c r="K29" s="90">
        <f t="shared" si="2"/>
        <v>1</v>
      </c>
      <c r="L29" s="91">
        <f t="shared" si="3"/>
        <v>2175.86</v>
      </c>
      <c r="M29" s="91">
        <f t="shared" si="4"/>
        <v>2175.86</v>
      </c>
      <c r="N29" s="116"/>
      <c r="O29" s="95"/>
      <c r="P29" s="117"/>
      <c r="Q29" s="96"/>
      <c r="R29" s="96">
        <f t="shared" si="5"/>
        <v>0</v>
      </c>
      <c r="S29" s="96">
        <f t="shared" si="6"/>
        <v>2175.86</v>
      </c>
      <c r="T29" s="96">
        <f t="shared" si="7"/>
        <v>2175.86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1137</v>
      </c>
      <c r="C30" s="101" t="s">
        <v>228</v>
      </c>
      <c r="D30" s="88"/>
      <c r="E30" s="102" t="s">
        <v>138</v>
      </c>
      <c r="F30" s="103">
        <v>6</v>
      </c>
      <c r="G30" s="104">
        <v>627.05999999999995</v>
      </c>
      <c r="H30" s="105">
        <f t="shared" si="0"/>
        <v>865.34</v>
      </c>
      <c r="I30" s="106">
        <f t="shared" si="1"/>
        <v>5192.04</v>
      </c>
      <c r="J30" s="107"/>
      <c r="K30" s="108">
        <f t="shared" si="2"/>
        <v>6</v>
      </c>
      <c r="L30" s="105">
        <f t="shared" si="3"/>
        <v>605.74</v>
      </c>
      <c r="M30" s="105">
        <f t="shared" si="4"/>
        <v>3634.44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259.60000000000002</v>
      </c>
      <c r="T30" s="111">
        <f t="shared" si="7"/>
        <v>1557.6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 t="s">
        <v>1138</v>
      </c>
      <c r="C31" s="114" t="s">
        <v>917</v>
      </c>
      <c r="D31" s="88"/>
      <c r="E31" s="89" t="s">
        <v>138</v>
      </c>
      <c r="F31" s="115">
        <v>2</v>
      </c>
      <c r="G31" s="96">
        <v>12128.82</v>
      </c>
      <c r="H31" s="91">
        <f t="shared" si="0"/>
        <v>16737.77</v>
      </c>
      <c r="I31" s="92">
        <f t="shared" si="1"/>
        <v>33475.54</v>
      </c>
      <c r="J31" s="107"/>
      <c r="K31" s="90">
        <f t="shared" si="2"/>
        <v>2</v>
      </c>
      <c r="L31" s="91">
        <f t="shared" si="3"/>
        <v>10042.66</v>
      </c>
      <c r="M31" s="91">
        <f t="shared" si="4"/>
        <v>20085.32</v>
      </c>
      <c r="N31" s="116">
        <v>-0.1</v>
      </c>
      <c r="O31" s="95"/>
      <c r="P31" s="117"/>
      <c r="Q31" s="96"/>
      <c r="R31" s="96">
        <f t="shared" si="5"/>
        <v>0</v>
      </c>
      <c r="S31" s="96">
        <f t="shared" si="6"/>
        <v>6695.11</v>
      </c>
      <c r="T31" s="96">
        <f t="shared" si="7"/>
        <v>13390.22</v>
      </c>
      <c r="U31" s="97">
        <f t="shared" si="8"/>
        <v>0</v>
      </c>
      <c r="V31" s="97">
        <f t="shared" si="9"/>
        <v>1</v>
      </c>
      <c r="W31" s="98"/>
      <c r="X31" s="99"/>
      <c r="Y31" s="8"/>
      <c r="Z31" s="8"/>
    </row>
    <row r="32" spans="2:26" ht="15.75" customHeight="1">
      <c r="B32" s="100"/>
      <c r="C32" s="101" t="s">
        <v>293</v>
      </c>
      <c r="D32" s="88"/>
      <c r="E32" s="102"/>
      <c r="F32" s="103"/>
      <c r="G32" s="104"/>
      <c r="H32" s="105">
        <f t="shared" si="0"/>
        <v>0</v>
      </c>
      <c r="I32" s="106">
        <f t="shared" si="1"/>
        <v>0</v>
      </c>
      <c r="J32" s="107"/>
      <c r="K32" s="108">
        <f t="shared" si="2"/>
        <v>0</v>
      </c>
      <c r="L32" s="105">
        <f t="shared" si="3"/>
        <v>0</v>
      </c>
      <c r="M32" s="105">
        <f t="shared" si="4"/>
        <v>0</v>
      </c>
      <c r="N32" s="109"/>
      <c r="O32" s="95"/>
      <c r="P32" s="100"/>
      <c r="Q32" s="104"/>
      <c r="R32" s="110">
        <f t="shared" si="5"/>
        <v>0</v>
      </c>
      <c r="S32" s="111">
        <f t="shared" si="6"/>
        <v>0</v>
      </c>
      <c r="T32" s="111">
        <f t="shared" si="7"/>
        <v>0</v>
      </c>
      <c r="U32" s="112">
        <f t="shared" si="8"/>
        <v>0</v>
      </c>
      <c r="V32" s="112">
        <f t="shared" si="9"/>
        <v>0</v>
      </c>
      <c r="W32" s="113"/>
      <c r="X32" s="99"/>
      <c r="Y32" s="8"/>
      <c r="Z32" s="8"/>
    </row>
    <row r="33" spans="2:23" ht="15.75" customHeight="1">
      <c r="B33" s="86" t="s">
        <v>1139</v>
      </c>
      <c r="C33" s="114" t="s">
        <v>156</v>
      </c>
      <c r="D33" s="88"/>
      <c r="E33" s="89" t="s">
        <v>138</v>
      </c>
      <c r="F33" s="115">
        <v>2</v>
      </c>
      <c r="G33" s="96">
        <v>301.42</v>
      </c>
      <c r="H33" s="91">
        <f t="shared" si="0"/>
        <v>415.96</v>
      </c>
      <c r="I33" s="92">
        <f t="shared" si="1"/>
        <v>831.92</v>
      </c>
      <c r="J33" s="107"/>
      <c r="K33" s="90">
        <f t="shared" si="2"/>
        <v>2</v>
      </c>
      <c r="L33" s="91">
        <f t="shared" si="3"/>
        <v>291.17</v>
      </c>
      <c r="M33" s="91">
        <f t="shared" si="4"/>
        <v>582.34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124.79</v>
      </c>
      <c r="T33" s="96">
        <f t="shared" si="7"/>
        <v>249.58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1126</v>
      </c>
      <c r="C34" s="101" t="s">
        <v>156</v>
      </c>
      <c r="D34" s="88"/>
      <c r="E34" s="102" t="s">
        <v>138</v>
      </c>
      <c r="F34" s="103"/>
      <c r="G34" s="104"/>
      <c r="H34" s="105">
        <f t="shared" si="0"/>
        <v>0</v>
      </c>
      <c r="I34" s="106">
        <f t="shared" si="1"/>
        <v>0</v>
      </c>
      <c r="J34" s="107"/>
      <c r="K34" s="108">
        <f t="shared" si="2"/>
        <v>0</v>
      </c>
      <c r="L34" s="105">
        <f t="shared" si="3"/>
        <v>0</v>
      </c>
      <c r="M34" s="105">
        <f t="shared" si="4"/>
        <v>0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0</v>
      </c>
      <c r="T34" s="111">
        <f t="shared" si="7"/>
        <v>0</v>
      </c>
      <c r="U34" s="112">
        <f t="shared" si="8"/>
        <v>0</v>
      </c>
      <c r="V34" s="112">
        <f t="shared" si="9"/>
        <v>0</v>
      </c>
      <c r="W34" s="113"/>
    </row>
    <row r="35" spans="2:23" ht="15.75" customHeight="1">
      <c r="B35" s="86" t="s">
        <v>1108</v>
      </c>
      <c r="C35" s="114" t="s">
        <v>152</v>
      </c>
      <c r="D35" s="88"/>
      <c r="E35" s="89" t="s">
        <v>138</v>
      </c>
      <c r="F35" s="115">
        <v>1</v>
      </c>
      <c r="G35" s="96">
        <v>89.31</v>
      </c>
      <c r="H35" s="91">
        <f t="shared" si="0"/>
        <v>123.25</v>
      </c>
      <c r="I35" s="92">
        <f t="shared" si="1"/>
        <v>123.25</v>
      </c>
      <c r="J35" s="107"/>
      <c r="K35" s="90">
        <f t="shared" si="2"/>
        <v>1</v>
      </c>
      <c r="L35" s="91">
        <f t="shared" si="3"/>
        <v>86.28</v>
      </c>
      <c r="M35" s="91">
        <f t="shared" si="4"/>
        <v>86.28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36.97</v>
      </c>
      <c r="T35" s="96">
        <f t="shared" si="7"/>
        <v>36.97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 t="s">
        <v>1109</v>
      </c>
      <c r="C36" s="101" t="s">
        <v>152</v>
      </c>
      <c r="D36" s="88"/>
      <c r="E36" s="102" t="s">
        <v>138</v>
      </c>
      <c r="F36" s="103">
        <v>1</v>
      </c>
      <c r="G36" s="104">
        <v>84.26</v>
      </c>
      <c r="H36" s="105">
        <f t="shared" si="0"/>
        <v>116.28</v>
      </c>
      <c r="I36" s="106">
        <f t="shared" si="1"/>
        <v>116.28</v>
      </c>
      <c r="J36" s="107"/>
      <c r="K36" s="108">
        <f t="shared" si="2"/>
        <v>1</v>
      </c>
      <c r="L36" s="105">
        <f t="shared" si="3"/>
        <v>81.400000000000006</v>
      </c>
      <c r="M36" s="105">
        <f t="shared" si="4"/>
        <v>81.400000000000006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34.880000000000003</v>
      </c>
      <c r="T36" s="111">
        <f t="shared" si="7"/>
        <v>34.880000000000003</v>
      </c>
      <c r="U36" s="112">
        <f t="shared" si="8"/>
        <v>0</v>
      </c>
      <c r="V36" s="112">
        <f t="shared" si="9"/>
        <v>1</v>
      </c>
      <c r="W36" s="113"/>
    </row>
    <row r="37" spans="2:23" ht="15.75" customHeight="1">
      <c r="B37" s="86"/>
      <c r="C37" s="114" t="s">
        <v>152</v>
      </c>
      <c r="D37" s="88"/>
      <c r="E37" s="89" t="s">
        <v>138</v>
      </c>
      <c r="F37" s="115"/>
      <c r="G37" s="96"/>
      <c r="H37" s="91">
        <f t="shared" si="0"/>
        <v>0</v>
      </c>
      <c r="I37" s="92">
        <f t="shared" si="1"/>
        <v>0</v>
      </c>
      <c r="J37" s="107"/>
      <c r="K37" s="90">
        <f t="shared" si="2"/>
        <v>0</v>
      </c>
      <c r="L37" s="91">
        <f t="shared" si="3"/>
        <v>0</v>
      </c>
      <c r="M37" s="91">
        <f t="shared" si="4"/>
        <v>0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0</v>
      </c>
      <c r="T37" s="96">
        <f t="shared" si="7"/>
        <v>0</v>
      </c>
      <c r="U37" s="97">
        <f t="shared" si="8"/>
        <v>0</v>
      </c>
      <c r="V37" s="97">
        <f t="shared" si="9"/>
        <v>0</v>
      </c>
      <c r="W37" s="98"/>
    </row>
    <row r="38" spans="2:23" ht="15.75" customHeight="1">
      <c r="B38" s="100"/>
      <c r="C38" s="101" t="s">
        <v>201</v>
      </c>
      <c r="D38" s="88"/>
      <c r="E38" s="102" t="s">
        <v>138</v>
      </c>
      <c r="F38" s="103"/>
      <c r="G38" s="104"/>
      <c r="H38" s="105">
        <f t="shared" si="0"/>
        <v>0</v>
      </c>
      <c r="I38" s="106">
        <f t="shared" si="1"/>
        <v>0</v>
      </c>
      <c r="J38" s="107"/>
      <c r="K38" s="108">
        <f t="shared" si="2"/>
        <v>0</v>
      </c>
      <c r="L38" s="105">
        <f t="shared" si="3"/>
        <v>0</v>
      </c>
      <c r="M38" s="105">
        <f t="shared" si="4"/>
        <v>0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0</v>
      </c>
      <c r="T38" s="111">
        <f t="shared" si="7"/>
        <v>0</v>
      </c>
      <c r="U38" s="112">
        <f t="shared" si="8"/>
        <v>0</v>
      </c>
      <c r="V38" s="112">
        <f t="shared" si="9"/>
        <v>0</v>
      </c>
      <c r="W38" s="113"/>
    </row>
    <row r="39" spans="2:23" ht="15.75" customHeight="1">
      <c r="B39" s="86" t="s">
        <v>1129</v>
      </c>
      <c r="C39" s="114" t="s">
        <v>670</v>
      </c>
      <c r="D39" s="88"/>
      <c r="E39" s="89" t="s">
        <v>138</v>
      </c>
      <c r="F39" s="115"/>
      <c r="G39" s="96"/>
      <c r="H39" s="91">
        <f t="shared" si="0"/>
        <v>0</v>
      </c>
      <c r="I39" s="92">
        <f t="shared" si="1"/>
        <v>0</v>
      </c>
      <c r="J39" s="107"/>
      <c r="K39" s="90">
        <f t="shared" si="2"/>
        <v>0</v>
      </c>
      <c r="L39" s="91">
        <f t="shared" si="3"/>
        <v>0</v>
      </c>
      <c r="M39" s="91">
        <f t="shared" si="4"/>
        <v>0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0</v>
      </c>
      <c r="T39" s="96">
        <f t="shared" si="7"/>
        <v>0</v>
      </c>
      <c r="U39" s="97">
        <f t="shared" si="8"/>
        <v>0</v>
      </c>
      <c r="V39" s="97">
        <f t="shared" si="9"/>
        <v>0</v>
      </c>
      <c r="W39" s="113"/>
    </row>
    <row r="40" spans="2:23" ht="15.75" customHeight="1">
      <c r="B40" s="100" t="s">
        <v>1130</v>
      </c>
      <c r="C40" s="101" t="s">
        <v>233</v>
      </c>
      <c r="D40" s="88"/>
      <c r="E40" s="102" t="s">
        <v>138</v>
      </c>
      <c r="F40" s="103"/>
      <c r="G40" s="104"/>
      <c r="H40" s="105">
        <f t="shared" si="0"/>
        <v>0</v>
      </c>
      <c r="I40" s="106">
        <f t="shared" si="1"/>
        <v>0</v>
      </c>
      <c r="J40" s="107"/>
      <c r="K40" s="108">
        <f t="shared" si="2"/>
        <v>0</v>
      </c>
      <c r="L40" s="105">
        <f t="shared" si="3"/>
        <v>0</v>
      </c>
      <c r="M40" s="105">
        <f t="shared" si="4"/>
        <v>0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0</v>
      </c>
      <c r="T40" s="111">
        <f t="shared" si="7"/>
        <v>0</v>
      </c>
      <c r="U40" s="112">
        <f t="shared" si="8"/>
        <v>0</v>
      </c>
      <c r="V40" s="112">
        <f t="shared" si="9"/>
        <v>0</v>
      </c>
      <c r="W40" s="113"/>
    </row>
    <row r="41" spans="2:23" ht="15.75" customHeight="1">
      <c r="B41" s="86"/>
      <c r="C41" s="114"/>
      <c r="D41" s="88"/>
      <c r="E41" s="89"/>
      <c r="F41" s="115"/>
      <c r="G41" s="96"/>
      <c r="H41" s="91">
        <f t="shared" si="0"/>
        <v>0</v>
      </c>
      <c r="I41" s="92">
        <f t="shared" si="1"/>
        <v>0</v>
      </c>
      <c r="J41" s="107"/>
      <c r="K41" s="90">
        <f t="shared" si="2"/>
        <v>0</v>
      </c>
      <c r="L41" s="91">
        <f t="shared" si="3"/>
        <v>0</v>
      </c>
      <c r="M41" s="91">
        <f t="shared" si="4"/>
        <v>0</v>
      </c>
      <c r="N41" s="116"/>
      <c r="O41" s="95"/>
      <c r="P41" s="117"/>
      <c r="Q41" s="96"/>
      <c r="R41" s="96">
        <f t="shared" si="5"/>
        <v>0</v>
      </c>
      <c r="S41" s="96">
        <f t="shared" si="6"/>
        <v>0</v>
      </c>
      <c r="T41" s="96">
        <f t="shared" si="7"/>
        <v>0</v>
      </c>
      <c r="U41" s="97">
        <f t="shared" si="8"/>
        <v>0</v>
      </c>
      <c r="V41" s="97">
        <f t="shared" si="9"/>
        <v>0</v>
      </c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>
        <f t="shared" si="0"/>
        <v>0</v>
      </c>
      <c r="I42" s="106">
        <f t="shared" si="1"/>
        <v>0</v>
      </c>
      <c r="J42" s="107"/>
      <c r="K42" s="108">
        <f t="shared" si="2"/>
        <v>0</v>
      </c>
      <c r="L42" s="105">
        <f t="shared" si="3"/>
        <v>0</v>
      </c>
      <c r="M42" s="105">
        <f t="shared" si="4"/>
        <v>0</v>
      </c>
      <c r="N42" s="109"/>
      <c r="O42" s="95"/>
      <c r="P42" s="100"/>
      <c r="Q42" s="104"/>
      <c r="R42" s="110">
        <f t="shared" si="5"/>
        <v>0</v>
      </c>
      <c r="S42" s="111">
        <f t="shared" si="6"/>
        <v>0</v>
      </c>
      <c r="T42" s="111">
        <f t="shared" si="7"/>
        <v>0</v>
      </c>
      <c r="U42" s="112">
        <f t="shared" si="8"/>
        <v>0</v>
      </c>
      <c r="V42" s="112">
        <f t="shared" si="9"/>
        <v>0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24</v>
      </c>
      <c r="G50" s="123">
        <f t="shared" si="10"/>
        <v>20801.969999999998</v>
      </c>
      <c r="H50" s="124">
        <f t="shared" si="10"/>
        <v>28706.719999999998</v>
      </c>
      <c r="I50" s="125">
        <f t="shared" si="10"/>
        <v>50492.38</v>
      </c>
      <c r="J50" s="126"/>
      <c r="K50" s="127">
        <f t="shared" ref="K50:M50" si="11">SUM(K19:K49)</f>
        <v>24</v>
      </c>
      <c r="L50" s="124">
        <f t="shared" si="11"/>
        <v>16353.15</v>
      </c>
      <c r="M50" s="125">
        <f t="shared" si="11"/>
        <v>29868.3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12353.57</v>
      </c>
      <c r="T50" s="125">
        <f t="shared" si="12"/>
        <v>20624.080000000005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49" xr:uid="{00000000-0002-0000-4700-000000000000}">
      <formula1>$Z$19:$Z$30</formula1>
    </dataValidation>
    <dataValidation type="list" allowBlank="1" showErrorMessage="1" sqref="I14" xr:uid="{00000000-0002-0000-4700-000001000000}">
      <formula1>$Y$14:$Y$15</formula1>
    </dataValidation>
    <dataValidation type="list" allowBlank="1" showErrorMessage="1" sqref="J14" xr:uid="{00000000-0002-0000-4700-000002000000}">
      <formula1>$L$9</formula1>
    </dataValidation>
    <dataValidation type="list" allowBlank="1" showErrorMessage="1" sqref="Q15 G18 L18 Q18" xr:uid="{00000000-0002-0000-47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61" t="s">
        <v>29</v>
      </c>
      <c r="C1" s="162"/>
      <c r="D1" s="233" t="s">
        <v>30</v>
      </c>
      <c r="E1" s="166"/>
      <c r="F1" s="166"/>
      <c r="G1" s="166"/>
      <c r="H1" s="167"/>
      <c r="I1" s="161" t="s">
        <v>31</v>
      </c>
      <c r="J1" s="166"/>
      <c r="K1" s="166"/>
      <c r="L1" s="167"/>
      <c r="M1" s="168" t="s">
        <v>32</v>
      </c>
      <c r="N1" s="169"/>
      <c r="O1" s="170"/>
      <c r="P1" s="171" t="str">
        <f>L18</f>
        <v>CAD $</v>
      </c>
      <c r="Q1" s="166"/>
      <c r="R1" s="167"/>
      <c r="S1" s="161" t="s">
        <v>33</v>
      </c>
      <c r="T1" s="166"/>
      <c r="U1" s="166"/>
      <c r="V1" s="166"/>
      <c r="W1" s="167"/>
      <c r="X1" s="6"/>
      <c r="Y1" s="7"/>
    </row>
    <row r="2" spans="2:25" ht="15" customHeight="1">
      <c r="B2" s="9" t="s">
        <v>34</v>
      </c>
      <c r="C2" s="132"/>
      <c r="D2" s="160" t="s">
        <v>35</v>
      </c>
      <c r="E2" s="139"/>
      <c r="F2" s="140"/>
      <c r="G2" s="234" t="s">
        <v>1140</v>
      </c>
      <c r="H2" s="140"/>
      <c r="I2" s="160" t="s">
        <v>37</v>
      </c>
      <c r="J2" s="139"/>
      <c r="K2" s="140"/>
      <c r="L2" s="12"/>
      <c r="M2" s="150" t="s">
        <v>38</v>
      </c>
      <c r="N2" s="140"/>
      <c r="O2" s="13"/>
      <c r="P2" s="138">
        <f>I50</f>
        <v>25487.399999999994</v>
      </c>
      <c r="Q2" s="139"/>
      <c r="R2" s="140"/>
      <c r="S2" s="150" t="s">
        <v>39</v>
      </c>
      <c r="T2" s="140"/>
      <c r="U2" s="151"/>
      <c r="V2" s="140"/>
      <c r="W2" s="14"/>
      <c r="X2" s="15"/>
      <c r="Y2" s="7"/>
    </row>
    <row r="3" spans="2:25" ht="15" customHeight="1">
      <c r="B3" s="16" t="s">
        <v>40</v>
      </c>
      <c r="C3" s="101"/>
      <c r="D3" s="158" t="s">
        <v>41</v>
      </c>
      <c r="E3" s="142"/>
      <c r="F3" s="143"/>
      <c r="G3" s="159">
        <v>2014</v>
      </c>
      <c r="H3" s="143"/>
      <c r="I3" s="158" t="s">
        <v>42</v>
      </c>
      <c r="J3" s="142"/>
      <c r="K3" s="143"/>
      <c r="L3" s="17"/>
      <c r="M3" s="152" t="s">
        <v>43</v>
      </c>
      <c r="N3" s="143"/>
      <c r="O3" s="13"/>
      <c r="P3" s="141">
        <f>M50</f>
        <v>15353.789999999997</v>
      </c>
      <c r="Q3" s="142"/>
      <c r="R3" s="143"/>
      <c r="S3" s="152" t="s">
        <v>44</v>
      </c>
      <c r="T3" s="143"/>
      <c r="U3" s="153"/>
      <c r="V3" s="143"/>
      <c r="W3" s="18"/>
      <c r="X3" s="5"/>
      <c r="Y3" s="19"/>
    </row>
    <row r="4" spans="2:25" ht="15" customHeight="1">
      <c r="B4" s="20" t="s">
        <v>45</v>
      </c>
      <c r="C4" s="101"/>
      <c r="D4" s="158" t="s">
        <v>46</v>
      </c>
      <c r="E4" s="142"/>
      <c r="F4" s="143"/>
      <c r="G4" s="159" t="s">
        <v>737</v>
      </c>
      <c r="H4" s="143"/>
      <c r="I4" s="158" t="s">
        <v>48</v>
      </c>
      <c r="J4" s="142"/>
      <c r="K4" s="143"/>
      <c r="L4" s="17"/>
      <c r="M4" s="152" t="s">
        <v>49</v>
      </c>
      <c r="N4" s="143"/>
      <c r="O4" s="13"/>
      <c r="P4" s="141">
        <f>P2-P3</f>
        <v>10133.609999999997</v>
      </c>
      <c r="Q4" s="142"/>
      <c r="R4" s="143"/>
      <c r="S4" s="152" t="s">
        <v>50</v>
      </c>
      <c r="T4" s="143"/>
      <c r="U4" s="153"/>
      <c r="V4" s="143"/>
      <c r="W4" s="18"/>
      <c r="X4" s="5"/>
      <c r="Y4" s="19"/>
    </row>
    <row r="5" spans="2:25" ht="15" customHeight="1">
      <c r="B5" s="20" t="s">
        <v>51</v>
      </c>
      <c r="C5" s="101"/>
      <c r="D5" s="158" t="s">
        <v>52</v>
      </c>
      <c r="E5" s="142"/>
      <c r="F5" s="143"/>
      <c r="G5" s="159" t="s">
        <v>1141</v>
      </c>
      <c r="H5" s="143"/>
      <c r="I5" s="158" t="s">
        <v>54</v>
      </c>
      <c r="J5" s="142"/>
      <c r="K5" s="143"/>
      <c r="L5" s="17"/>
      <c r="M5" s="220" t="s">
        <v>55</v>
      </c>
      <c r="N5" s="146"/>
      <c r="O5" s="13"/>
      <c r="P5" s="144">
        <f>IFERROR((P2-P3)/P2,"")</f>
        <v>0.39759292827043946</v>
      </c>
      <c r="Q5" s="145"/>
      <c r="R5" s="146"/>
      <c r="S5" s="152" t="s">
        <v>56</v>
      </c>
      <c r="T5" s="143"/>
      <c r="U5" s="153"/>
      <c r="V5" s="143"/>
      <c r="W5" s="18"/>
      <c r="X5" s="5"/>
      <c r="Y5" s="19"/>
    </row>
    <row r="6" spans="2:25" ht="15" customHeight="1">
      <c r="B6" s="20" t="s">
        <v>57</v>
      </c>
      <c r="C6" s="133"/>
      <c r="D6" s="158" t="s">
        <v>58</v>
      </c>
      <c r="E6" s="142"/>
      <c r="F6" s="143"/>
      <c r="G6" s="159" t="s">
        <v>1142</v>
      </c>
      <c r="H6" s="143"/>
      <c r="I6" s="158" t="s">
        <v>60</v>
      </c>
      <c r="J6" s="142"/>
      <c r="K6" s="143"/>
      <c r="L6" s="17"/>
      <c r="M6" s="221" t="s">
        <v>61</v>
      </c>
      <c r="N6" s="149"/>
      <c r="O6" s="13"/>
      <c r="P6" s="147">
        <f>T50</f>
        <v>10133.61</v>
      </c>
      <c r="Q6" s="148"/>
      <c r="R6" s="149"/>
      <c r="S6" s="152" t="s">
        <v>62</v>
      </c>
      <c r="T6" s="143"/>
      <c r="U6" s="153"/>
      <c r="V6" s="143"/>
      <c r="W6" s="22"/>
      <c r="X6" s="23"/>
      <c r="Y6" s="24"/>
    </row>
    <row r="7" spans="2:25" ht="15" customHeight="1">
      <c r="B7" s="20" t="s">
        <v>63</v>
      </c>
      <c r="C7" s="101"/>
      <c r="D7" s="158" t="s">
        <v>64</v>
      </c>
      <c r="E7" s="142"/>
      <c r="F7" s="143"/>
      <c r="G7" s="159"/>
      <c r="H7" s="143"/>
      <c r="I7" s="158" t="s">
        <v>66</v>
      </c>
      <c r="J7" s="142"/>
      <c r="K7" s="143"/>
      <c r="L7" s="17"/>
      <c r="M7" s="222" t="s">
        <v>67</v>
      </c>
      <c r="N7" s="143"/>
      <c r="O7" s="13"/>
      <c r="P7" s="157">
        <f>R50</f>
        <v>0</v>
      </c>
      <c r="Q7" s="142"/>
      <c r="R7" s="143"/>
      <c r="S7" s="154" t="s">
        <v>68</v>
      </c>
      <c r="T7" s="155"/>
      <c r="U7" s="156"/>
      <c r="V7" s="155"/>
      <c r="W7" s="22"/>
      <c r="X7" s="26"/>
      <c r="Y7" s="8"/>
    </row>
    <row r="8" spans="2:25" ht="15" customHeight="1">
      <c r="B8" s="27"/>
      <c r="C8" s="34"/>
      <c r="D8" s="158" t="s">
        <v>69</v>
      </c>
      <c r="E8" s="142"/>
      <c r="F8" s="143"/>
      <c r="G8" s="159"/>
      <c r="H8" s="143"/>
      <c r="I8" s="158" t="s">
        <v>70</v>
      </c>
      <c r="J8" s="142"/>
      <c r="K8" s="143"/>
      <c r="L8" s="17"/>
      <c r="M8" s="222" t="s">
        <v>71</v>
      </c>
      <c r="N8" s="143"/>
      <c r="O8" s="13"/>
      <c r="P8" s="157">
        <f>IF(P1=Q15,R15,IF(Q15="CAD $",R15*E16,IF(Q15="USD $",R15*F16,0)))</f>
        <v>0</v>
      </c>
      <c r="Q8" s="142"/>
      <c r="R8" s="143"/>
      <c r="S8" s="29" t="s">
        <v>72</v>
      </c>
      <c r="T8" s="30" t="s">
        <v>73</v>
      </c>
      <c r="U8" s="30" t="s">
        <v>74</v>
      </c>
      <c r="V8" s="31" t="s">
        <v>75</v>
      </c>
      <c r="W8" s="32"/>
      <c r="X8" s="33"/>
      <c r="Y8" s="8"/>
    </row>
    <row r="9" spans="2:25" ht="15" customHeight="1">
      <c r="B9" s="34"/>
      <c r="C9" s="34"/>
      <c r="D9" s="158" t="s">
        <v>76</v>
      </c>
      <c r="E9" s="142"/>
      <c r="F9" s="143"/>
      <c r="G9" s="159"/>
      <c r="H9" s="143"/>
      <c r="I9" s="40"/>
      <c r="J9" s="36"/>
      <c r="K9" s="36"/>
      <c r="L9" s="37"/>
      <c r="M9" s="222" t="s">
        <v>77</v>
      </c>
      <c r="N9" s="143"/>
      <c r="O9" s="13"/>
      <c r="P9" s="194">
        <f>V15</f>
        <v>0</v>
      </c>
      <c r="Q9" s="142"/>
      <c r="R9" s="143"/>
      <c r="S9" s="187">
        <f>P7+P8+P9</f>
        <v>0</v>
      </c>
      <c r="T9" s="187">
        <f>P3-S9</f>
        <v>15353.789999999997</v>
      </c>
      <c r="U9" s="190">
        <f>IFERROR(((P3-S9)/S9),0)</f>
        <v>0</v>
      </c>
      <c r="V9" s="190">
        <f>IFERROR(T9/P3,0)</f>
        <v>1</v>
      </c>
      <c r="W9" s="191"/>
      <c r="X9" s="33"/>
      <c r="Y9" s="8"/>
    </row>
    <row r="10" spans="2:25" ht="15" customHeight="1">
      <c r="B10" s="34"/>
      <c r="C10" s="34"/>
      <c r="D10" s="158" t="s">
        <v>78</v>
      </c>
      <c r="E10" s="142"/>
      <c r="F10" s="143"/>
      <c r="G10" s="159" t="s">
        <v>1163</v>
      </c>
      <c r="H10" s="143"/>
      <c r="I10" s="40"/>
      <c r="J10" s="36"/>
      <c r="K10" s="36"/>
      <c r="L10" s="37"/>
      <c r="M10" s="222"/>
      <c r="N10" s="143"/>
      <c r="O10" s="13"/>
      <c r="P10" s="194"/>
      <c r="Q10" s="142"/>
      <c r="R10" s="143"/>
      <c r="S10" s="188"/>
      <c r="T10" s="188"/>
      <c r="U10" s="188"/>
      <c r="V10" s="188"/>
      <c r="W10" s="192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52" t="s">
        <v>79</v>
      </c>
      <c r="N11" s="143"/>
      <c r="O11" s="13"/>
      <c r="P11" s="195">
        <f>F50</f>
        <v>67</v>
      </c>
      <c r="Q11" s="142"/>
      <c r="R11" s="143"/>
      <c r="S11" s="189"/>
      <c r="T11" s="189"/>
      <c r="U11" s="189"/>
      <c r="V11" s="189"/>
      <c r="W11" s="193"/>
      <c r="X11" s="33"/>
      <c r="Y11" s="8"/>
    </row>
    <row r="12" spans="2:25" ht="15" customHeight="1">
      <c r="B12" s="206"/>
      <c r="C12" s="207"/>
      <c r="D12" s="41"/>
      <c r="E12" s="212" t="s">
        <v>80</v>
      </c>
      <c r="F12" s="174"/>
      <c r="G12" s="215" t="s">
        <v>38</v>
      </c>
      <c r="H12" s="173"/>
      <c r="I12" s="216"/>
      <c r="J12" s="42"/>
      <c r="K12" s="224" t="s">
        <v>81</v>
      </c>
      <c r="L12" s="173"/>
      <c r="M12" s="173"/>
      <c r="N12" s="216"/>
      <c r="O12" s="13"/>
      <c r="P12" s="172" t="s">
        <v>82</v>
      </c>
      <c r="Q12" s="173"/>
      <c r="R12" s="173"/>
      <c r="S12" s="173"/>
      <c r="T12" s="173"/>
      <c r="U12" s="173"/>
      <c r="V12" s="174"/>
      <c r="W12" s="43"/>
      <c r="X12" s="44"/>
      <c r="Y12" s="8" t="s">
        <v>83</v>
      </c>
    </row>
    <row r="13" spans="2:25" ht="15" customHeight="1">
      <c r="B13" s="208"/>
      <c r="C13" s="209"/>
      <c r="D13" s="45"/>
      <c r="E13" s="175"/>
      <c r="F13" s="177"/>
      <c r="G13" s="210"/>
      <c r="H13" s="217"/>
      <c r="I13" s="218"/>
      <c r="J13" s="46"/>
      <c r="K13" s="175"/>
      <c r="L13" s="176"/>
      <c r="M13" s="176"/>
      <c r="N13" s="225"/>
      <c r="O13" s="47"/>
      <c r="P13" s="175"/>
      <c r="Q13" s="176"/>
      <c r="R13" s="176"/>
      <c r="S13" s="176"/>
      <c r="T13" s="176"/>
      <c r="U13" s="176"/>
      <c r="V13" s="177"/>
      <c r="W13" s="48"/>
      <c r="X13" s="44"/>
      <c r="Y13" s="8" t="s">
        <v>84</v>
      </c>
    </row>
    <row r="14" spans="2:25" ht="15" customHeight="1">
      <c r="B14" s="208"/>
      <c r="C14" s="209"/>
      <c r="D14" s="45"/>
      <c r="E14" s="213"/>
      <c r="F14" s="214"/>
      <c r="G14" s="219" t="s">
        <v>85</v>
      </c>
      <c r="H14" s="167"/>
      <c r="I14" s="49" t="s">
        <v>86</v>
      </c>
      <c r="J14" s="50"/>
      <c r="K14" s="213"/>
      <c r="L14" s="217"/>
      <c r="M14" s="217"/>
      <c r="N14" s="218"/>
      <c r="O14" s="47"/>
      <c r="P14" s="178"/>
      <c r="Q14" s="179"/>
      <c r="R14" s="179"/>
      <c r="S14" s="179"/>
      <c r="T14" s="179"/>
      <c r="U14" s="179"/>
      <c r="V14" s="180"/>
      <c r="W14" s="51"/>
      <c r="X14" s="44"/>
      <c r="Y14" s="8" t="s">
        <v>86</v>
      </c>
    </row>
    <row r="15" spans="2:25" ht="30" customHeight="1">
      <c r="B15" s="208"/>
      <c r="C15" s="209"/>
      <c r="D15" s="45"/>
      <c r="E15" s="52" t="s">
        <v>87</v>
      </c>
      <c r="F15" s="53" t="s">
        <v>88</v>
      </c>
      <c r="G15" s="223" t="s">
        <v>89</v>
      </c>
      <c r="H15" s="139"/>
      <c r="I15" s="140"/>
      <c r="J15" s="54"/>
      <c r="K15" s="226" t="s">
        <v>90</v>
      </c>
      <c r="L15" s="165"/>
      <c r="M15" s="227">
        <v>0.5</v>
      </c>
      <c r="N15" s="55"/>
      <c r="O15" s="56"/>
      <c r="P15" s="57" t="s">
        <v>91</v>
      </c>
      <c r="Q15" s="58" t="s">
        <v>84</v>
      </c>
      <c r="R15" s="59"/>
      <c r="S15" s="57" t="s">
        <v>92</v>
      </c>
      <c r="T15" s="60">
        <v>2.5000000000000001E-2</v>
      </c>
      <c r="U15" s="57" t="s">
        <v>93</v>
      </c>
      <c r="V15" s="61">
        <f>ROUND(R50*T15,2)</f>
        <v>0</v>
      </c>
      <c r="W15" s="62"/>
      <c r="X15" s="44"/>
      <c r="Y15" s="8" t="s">
        <v>94</v>
      </c>
    </row>
    <row r="16" spans="2:25" ht="15" customHeight="1">
      <c r="B16" s="210"/>
      <c r="C16" s="211"/>
      <c r="D16" s="45"/>
      <c r="E16" s="63">
        <f>1/F16</f>
        <v>0.7246376811594204</v>
      </c>
      <c r="F16" s="64">
        <v>1.38</v>
      </c>
      <c r="G16" s="196"/>
      <c r="H16" s="142"/>
      <c r="I16" s="143"/>
      <c r="J16" s="65"/>
      <c r="K16" s="213"/>
      <c r="L16" s="214"/>
      <c r="M16" s="200"/>
      <c r="N16" s="228" t="s">
        <v>95</v>
      </c>
      <c r="O16" s="56"/>
      <c r="P16" s="181" t="s">
        <v>96</v>
      </c>
      <c r="Q16" s="182"/>
      <c r="R16" s="182"/>
      <c r="S16" s="182"/>
      <c r="T16" s="182"/>
      <c r="U16" s="182"/>
      <c r="V16" s="183"/>
      <c r="W16" s="66"/>
      <c r="X16" s="67"/>
      <c r="Y16" s="8"/>
    </row>
    <row r="17" spans="2:26" ht="15" customHeight="1">
      <c r="B17" s="199" t="s">
        <v>97</v>
      </c>
      <c r="C17" s="201" t="s">
        <v>98</v>
      </c>
      <c r="D17" s="68"/>
      <c r="E17" s="203" t="s">
        <v>99</v>
      </c>
      <c r="F17" s="205" t="s">
        <v>100</v>
      </c>
      <c r="G17" s="197" t="s">
        <v>101</v>
      </c>
      <c r="H17" s="198"/>
      <c r="I17" s="69" t="s">
        <v>102</v>
      </c>
      <c r="J17" s="70"/>
      <c r="K17" s="231" t="s">
        <v>100</v>
      </c>
      <c r="L17" s="71" t="s">
        <v>103</v>
      </c>
      <c r="M17" s="72" t="s">
        <v>104</v>
      </c>
      <c r="N17" s="229"/>
      <c r="O17" s="73"/>
      <c r="P17" s="184" t="s">
        <v>105</v>
      </c>
      <c r="Q17" s="74" t="s">
        <v>106</v>
      </c>
      <c r="R17" s="74" t="s">
        <v>107</v>
      </c>
      <c r="S17" s="75" t="s">
        <v>108</v>
      </c>
      <c r="T17" s="75" t="s">
        <v>109</v>
      </c>
      <c r="U17" s="72" t="s">
        <v>110</v>
      </c>
      <c r="V17" s="72" t="s">
        <v>111</v>
      </c>
      <c r="W17" s="76"/>
      <c r="X17" s="77"/>
      <c r="Y17" s="8"/>
      <c r="Z17" s="8"/>
    </row>
    <row r="18" spans="2:26" ht="15" customHeight="1">
      <c r="B18" s="200"/>
      <c r="C18" s="202"/>
      <c r="D18" s="78"/>
      <c r="E18" s="204"/>
      <c r="F18" s="200"/>
      <c r="G18" s="58" t="s">
        <v>84</v>
      </c>
      <c r="H18" s="79" t="str">
        <f>IF(G18="USD $", "CAD $", "USD $")</f>
        <v>CAD $</v>
      </c>
      <c r="I18" s="80" t="str">
        <f>L18</f>
        <v>CAD $</v>
      </c>
      <c r="J18" s="81"/>
      <c r="K18" s="204"/>
      <c r="L18" s="232" t="s">
        <v>83</v>
      </c>
      <c r="M18" s="140"/>
      <c r="N18" s="230"/>
      <c r="O18" s="82"/>
      <c r="P18" s="185"/>
      <c r="Q18" s="58" t="s">
        <v>84</v>
      </c>
      <c r="R18" s="186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s="86" t="s">
        <v>887</v>
      </c>
      <c r="C19" s="87" t="s">
        <v>169</v>
      </c>
      <c r="D19" s="88"/>
      <c r="E19" s="89">
        <v>500</v>
      </c>
      <c r="F19" s="90">
        <v>1</v>
      </c>
      <c r="G19" s="91">
        <v>26.33</v>
      </c>
      <c r="H19" s="91">
        <f t="shared" ref="H19:H49" si="0">ROUND(IF($G$18="USD $", G19*$F$16,G19*$E$16),2)</f>
        <v>36.340000000000003</v>
      </c>
      <c r="I19" s="92">
        <f t="shared" ref="I19:I49" si="1">ROUND(IF($I$18=$H$18,F19*H19,F19*G19),2)</f>
        <v>36.340000000000003</v>
      </c>
      <c r="J19" s="93"/>
      <c r="K19" s="90">
        <f t="shared" ref="K19:K49" si="2">F19</f>
        <v>1</v>
      </c>
      <c r="L19" s="91">
        <f t="shared" ref="L19:L49" si="3">ROUND(IF($L$18=$G$18,G19*($M$15-N19),H19*($M$15-N19)),2)</f>
        <v>18.170000000000002</v>
      </c>
      <c r="M19" s="91">
        <f t="shared" ref="M19:M49" si="4">ROUND((K19*L19),2)</f>
        <v>18.170000000000002</v>
      </c>
      <c r="N19" s="94"/>
      <c r="O19" s="95"/>
      <c r="P19" s="86"/>
      <c r="Q19" s="96"/>
      <c r="R19" s="96">
        <f t="shared" ref="R19:R49" si="5">ROUND(IF($R$18=$Q$18,Q19,IF($R$18="USD $",Q19*$E$16,Q19*$F$16))*F19,2)</f>
        <v>0</v>
      </c>
      <c r="S19" s="96">
        <f t="shared" ref="S19:S49" si="6">IFERROR(ROUND(T19/F19,2),0)</f>
        <v>18.170000000000002</v>
      </c>
      <c r="T19" s="96">
        <f t="shared" ref="T19:T49" si="7">ROUND(I19-M19,2)</f>
        <v>18.170000000000002</v>
      </c>
      <c r="U19" s="97">
        <f t="shared" ref="U19:U49" si="8">IFERROR(((L19-(R19/K19))/(R19/K19)),0)</f>
        <v>0</v>
      </c>
      <c r="V19" s="97">
        <f t="shared" ref="V19:V49" si="9">IFERROR(((L19-(R19/K19))/L19),0)</f>
        <v>1</v>
      </c>
      <c r="W19" s="98"/>
      <c r="X19" s="99"/>
      <c r="Y19" s="8"/>
      <c r="Z19" s="8">
        <v>250</v>
      </c>
    </row>
    <row r="20" spans="2:26">
      <c r="B20" s="100" t="s">
        <v>1143</v>
      </c>
      <c r="C20" s="101" t="s">
        <v>1144</v>
      </c>
      <c r="D20" s="88"/>
      <c r="E20" s="102">
        <v>500</v>
      </c>
      <c r="F20" s="103">
        <v>1</v>
      </c>
      <c r="G20" s="104">
        <v>111.74</v>
      </c>
      <c r="H20" s="105">
        <f t="shared" si="0"/>
        <v>154.19999999999999</v>
      </c>
      <c r="I20" s="106">
        <f t="shared" si="1"/>
        <v>154.19999999999999</v>
      </c>
      <c r="J20" s="107"/>
      <c r="K20" s="108">
        <f t="shared" si="2"/>
        <v>1</v>
      </c>
      <c r="L20" s="105">
        <f t="shared" si="3"/>
        <v>77.099999999999994</v>
      </c>
      <c r="M20" s="105">
        <f t="shared" si="4"/>
        <v>77.099999999999994</v>
      </c>
      <c r="N20" s="109"/>
      <c r="O20" s="95"/>
      <c r="P20" s="100"/>
      <c r="Q20" s="104"/>
      <c r="R20" s="110">
        <f t="shared" si="5"/>
        <v>0</v>
      </c>
      <c r="S20" s="111">
        <f t="shared" si="6"/>
        <v>77.099999999999994</v>
      </c>
      <c r="T20" s="111">
        <f t="shared" si="7"/>
        <v>77.099999999999994</v>
      </c>
      <c r="U20" s="112">
        <f t="shared" si="8"/>
        <v>0</v>
      </c>
      <c r="V20" s="112">
        <f t="shared" si="9"/>
        <v>1</v>
      </c>
      <c r="W20" s="113"/>
      <c r="X20" s="99"/>
      <c r="Y20" s="8" t="s">
        <v>116</v>
      </c>
      <c r="Z20" s="8">
        <v>500</v>
      </c>
    </row>
    <row r="21" spans="2:26">
      <c r="B21" s="86" t="s">
        <v>1145</v>
      </c>
      <c r="C21" s="114" t="s">
        <v>415</v>
      </c>
      <c r="D21" s="88"/>
      <c r="E21" s="89">
        <v>500</v>
      </c>
      <c r="F21" s="115">
        <v>1</v>
      </c>
      <c r="G21" s="96">
        <v>98.14</v>
      </c>
      <c r="H21" s="91">
        <f t="shared" si="0"/>
        <v>135.43</v>
      </c>
      <c r="I21" s="92">
        <f t="shared" si="1"/>
        <v>135.43</v>
      </c>
      <c r="J21" s="107"/>
      <c r="K21" s="90">
        <f t="shared" si="2"/>
        <v>1</v>
      </c>
      <c r="L21" s="91">
        <f t="shared" si="3"/>
        <v>67.72</v>
      </c>
      <c r="M21" s="91">
        <f t="shared" si="4"/>
        <v>67.72</v>
      </c>
      <c r="N21" s="116"/>
      <c r="O21" s="95"/>
      <c r="P21" s="117"/>
      <c r="Q21" s="96"/>
      <c r="R21" s="96">
        <f t="shared" si="5"/>
        <v>0</v>
      </c>
      <c r="S21" s="96">
        <f t="shared" si="6"/>
        <v>67.709999999999994</v>
      </c>
      <c r="T21" s="96">
        <f t="shared" si="7"/>
        <v>67.709999999999994</v>
      </c>
      <c r="U21" s="97">
        <f t="shared" si="8"/>
        <v>0</v>
      </c>
      <c r="V21" s="97">
        <f t="shared" si="9"/>
        <v>1</v>
      </c>
      <c r="W21" s="98"/>
      <c r="X21" s="99"/>
      <c r="Y21" s="8" t="s">
        <v>119</v>
      </c>
      <c r="Z21" s="8">
        <v>750</v>
      </c>
    </row>
    <row r="22" spans="2:26" ht="15.75" customHeight="1">
      <c r="B22" s="100" t="s">
        <v>1146</v>
      </c>
      <c r="C22" s="101" t="s">
        <v>174</v>
      </c>
      <c r="D22" s="88"/>
      <c r="E22" s="102">
        <v>1000</v>
      </c>
      <c r="F22" s="103">
        <v>1</v>
      </c>
      <c r="G22" s="104">
        <v>93.28</v>
      </c>
      <c r="H22" s="105">
        <f t="shared" si="0"/>
        <v>128.72999999999999</v>
      </c>
      <c r="I22" s="106">
        <f t="shared" si="1"/>
        <v>128.72999999999999</v>
      </c>
      <c r="J22" s="107"/>
      <c r="K22" s="108">
        <f t="shared" si="2"/>
        <v>1</v>
      </c>
      <c r="L22" s="105">
        <f t="shared" si="3"/>
        <v>64.37</v>
      </c>
      <c r="M22" s="105">
        <f t="shared" si="4"/>
        <v>64.37</v>
      </c>
      <c r="N22" s="109"/>
      <c r="O22" s="95"/>
      <c r="P22" s="100"/>
      <c r="Q22" s="104"/>
      <c r="R22" s="110">
        <f t="shared" si="5"/>
        <v>0</v>
      </c>
      <c r="S22" s="111">
        <f t="shared" si="6"/>
        <v>64.36</v>
      </c>
      <c r="T22" s="111">
        <f t="shared" si="7"/>
        <v>64.36</v>
      </c>
      <c r="U22" s="112">
        <f t="shared" si="8"/>
        <v>0</v>
      </c>
      <c r="V22" s="112">
        <f t="shared" si="9"/>
        <v>1</v>
      </c>
      <c r="W22" s="113"/>
      <c r="X22" s="99"/>
      <c r="Y22" s="8" t="s">
        <v>122</v>
      </c>
      <c r="Z22" s="8">
        <v>1000</v>
      </c>
    </row>
    <row r="23" spans="2:26" ht="15.75" customHeight="1">
      <c r="B23" s="86" t="s">
        <v>871</v>
      </c>
      <c r="C23" s="114" t="s">
        <v>128</v>
      </c>
      <c r="D23" s="88"/>
      <c r="E23" s="89">
        <v>2000</v>
      </c>
      <c r="F23" s="115">
        <v>1</v>
      </c>
      <c r="G23" s="96">
        <v>111.74</v>
      </c>
      <c r="H23" s="91">
        <f t="shared" si="0"/>
        <v>154.19999999999999</v>
      </c>
      <c r="I23" s="92">
        <f t="shared" si="1"/>
        <v>154.19999999999999</v>
      </c>
      <c r="J23" s="107"/>
      <c r="K23" s="90">
        <f t="shared" si="2"/>
        <v>1</v>
      </c>
      <c r="L23" s="91">
        <f t="shared" si="3"/>
        <v>92.52</v>
      </c>
      <c r="M23" s="91">
        <f t="shared" si="4"/>
        <v>92.52</v>
      </c>
      <c r="N23" s="116">
        <v>-0.1</v>
      </c>
      <c r="O23" s="95"/>
      <c r="P23" s="117"/>
      <c r="Q23" s="96"/>
      <c r="R23" s="96">
        <f t="shared" si="5"/>
        <v>0</v>
      </c>
      <c r="S23" s="96">
        <f t="shared" si="6"/>
        <v>61.68</v>
      </c>
      <c r="T23" s="96">
        <f t="shared" si="7"/>
        <v>61.68</v>
      </c>
      <c r="U23" s="97">
        <f t="shared" si="8"/>
        <v>0</v>
      </c>
      <c r="V23" s="97">
        <f t="shared" si="9"/>
        <v>1</v>
      </c>
      <c r="W23" s="98"/>
      <c r="X23" s="99"/>
      <c r="Y23" s="8" t="s">
        <v>47</v>
      </c>
      <c r="Z23" s="8">
        <v>1200</v>
      </c>
    </row>
    <row r="24" spans="2:26" ht="15.75" customHeight="1">
      <c r="B24" s="100" t="s">
        <v>872</v>
      </c>
      <c r="C24" s="101" t="s">
        <v>131</v>
      </c>
      <c r="D24" s="88"/>
      <c r="E24" s="102">
        <v>2000</v>
      </c>
      <c r="F24" s="103">
        <v>1</v>
      </c>
      <c r="G24" s="104">
        <v>60.68</v>
      </c>
      <c r="H24" s="105">
        <f t="shared" si="0"/>
        <v>83.74</v>
      </c>
      <c r="I24" s="106">
        <f t="shared" si="1"/>
        <v>83.74</v>
      </c>
      <c r="J24" s="107"/>
      <c r="K24" s="108">
        <f t="shared" si="2"/>
        <v>1</v>
      </c>
      <c r="L24" s="105">
        <f t="shared" si="3"/>
        <v>50.24</v>
      </c>
      <c r="M24" s="105">
        <f t="shared" si="4"/>
        <v>50.24</v>
      </c>
      <c r="N24" s="109">
        <v>-0.1</v>
      </c>
      <c r="O24" s="95"/>
      <c r="P24" s="100"/>
      <c r="Q24" s="104"/>
      <c r="R24" s="110">
        <f t="shared" si="5"/>
        <v>0</v>
      </c>
      <c r="S24" s="111">
        <f t="shared" si="6"/>
        <v>33.5</v>
      </c>
      <c r="T24" s="111">
        <f t="shared" si="7"/>
        <v>33.5</v>
      </c>
      <c r="U24" s="112">
        <f t="shared" si="8"/>
        <v>0</v>
      </c>
      <c r="V24" s="112">
        <f t="shared" si="9"/>
        <v>1</v>
      </c>
      <c r="W24" s="113"/>
      <c r="X24" s="99"/>
      <c r="Y24" s="8" t="s">
        <v>126</v>
      </c>
      <c r="Z24" s="8">
        <v>2000</v>
      </c>
    </row>
    <row r="25" spans="2:26" ht="15.75" customHeight="1">
      <c r="B25" s="86" t="s">
        <v>849</v>
      </c>
      <c r="C25" s="114" t="s">
        <v>134</v>
      </c>
      <c r="D25" s="88"/>
      <c r="E25" s="89">
        <v>2000</v>
      </c>
      <c r="F25" s="115">
        <v>1</v>
      </c>
      <c r="G25" s="96">
        <v>19.23</v>
      </c>
      <c r="H25" s="91">
        <f t="shared" si="0"/>
        <v>26.54</v>
      </c>
      <c r="I25" s="92">
        <f t="shared" si="1"/>
        <v>26.54</v>
      </c>
      <c r="J25" s="107"/>
      <c r="K25" s="90">
        <f t="shared" si="2"/>
        <v>1</v>
      </c>
      <c r="L25" s="91">
        <f t="shared" si="3"/>
        <v>15.92</v>
      </c>
      <c r="M25" s="91">
        <f t="shared" si="4"/>
        <v>15.92</v>
      </c>
      <c r="N25" s="116">
        <v>-0.1</v>
      </c>
      <c r="O25" s="95"/>
      <c r="P25" s="117"/>
      <c r="Q25" s="96"/>
      <c r="R25" s="96">
        <f t="shared" si="5"/>
        <v>0</v>
      </c>
      <c r="S25" s="96">
        <f t="shared" si="6"/>
        <v>10.62</v>
      </c>
      <c r="T25" s="96">
        <f t="shared" si="7"/>
        <v>10.62</v>
      </c>
      <c r="U25" s="97">
        <f t="shared" si="8"/>
        <v>0</v>
      </c>
      <c r="V25" s="97">
        <f t="shared" si="9"/>
        <v>1</v>
      </c>
      <c r="W25" s="98"/>
      <c r="X25" s="99"/>
      <c r="Y25" s="8" t="s">
        <v>129</v>
      </c>
      <c r="Z25" s="8">
        <v>4000</v>
      </c>
    </row>
    <row r="26" spans="2:26" ht="15.75" customHeight="1">
      <c r="B26" s="100" t="s">
        <v>992</v>
      </c>
      <c r="C26" s="101" t="s">
        <v>134</v>
      </c>
      <c r="D26" s="88"/>
      <c r="E26" s="102">
        <v>2000</v>
      </c>
      <c r="F26" s="103">
        <v>1</v>
      </c>
      <c r="G26" s="104">
        <v>15.24</v>
      </c>
      <c r="H26" s="105">
        <f t="shared" si="0"/>
        <v>21.03</v>
      </c>
      <c r="I26" s="106">
        <f t="shared" si="1"/>
        <v>21.03</v>
      </c>
      <c r="J26" s="107"/>
      <c r="K26" s="108">
        <f t="shared" si="2"/>
        <v>1</v>
      </c>
      <c r="L26" s="105">
        <f t="shared" si="3"/>
        <v>12.62</v>
      </c>
      <c r="M26" s="105">
        <f t="shared" si="4"/>
        <v>12.62</v>
      </c>
      <c r="N26" s="109">
        <v>-0.1</v>
      </c>
      <c r="O26" s="95"/>
      <c r="P26" s="100"/>
      <c r="Q26" s="104"/>
      <c r="R26" s="110">
        <f t="shared" si="5"/>
        <v>0</v>
      </c>
      <c r="S26" s="111">
        <f t="shared" si="6"/>
        <v>8.41</v>
      </c>
      <c r="T26" s="111">
        <f t="shared" si="7"/>
        <v>8.41</v>
      </c>
      <c r="U26" s="112">
        <f t="shared" si="8"/>
        <v>0</v>
      </c>
      <c r="V26" s="112">
        <f t="shared" si="9"/>
        <v>1</v>
      </c>
      <c r="W26" s="113"/>
      <c r="X26" s="99"/>
      <c r="Y26" s="8" t="s">
        <v>132</v>
      </c>
      <c r="Z26" s="8">
        <v>6000</v>
      </c>
    </row>
    <row r="27" spans="2:26" ht="15.75" customHeight="1">
      <c r="B27" s="86" t="s">
        <v>1147</v>
      </c>
      <c r="C27" s="114" t="s">
        <v>821</v>
      </c>
      <c r="D27" s="88"/>
      <c r="E27" s="89" t="s">
        <v>138</v>
      </c>
      <c r="F27" s="115">
        <v>1</v>
      </c>
      <c r="G27" s="96">
        <v>4419.55</v>
      </c>
      <c r="H27" s="91">
        <f t="shared" si="0"/>
        <v>6098.98</v>
      </c>
      <c r="I27" s="92">
        <f t="shared" si="1"/>
        <v>6098.98</v>
      </c>
      <c r="J27" s="107"/>
      <c r="K27" s="90">
        <f t="shared" si="2"/>
        <v>1</v>
      </c>
      <c r="L27" s="91">
        <f t="shared" si="3"/>
        <v>3049.49</v>
      </c>
      <c r="M27" s="91">
        <f t="shared" si="4"/>
        <v>3049.49</v>
      </c>
      <c r="N27" s="116"/>
      <c r="O27" s="95"/>
      <c r="P27" s="117"/>
      <c r="Q27" s="96"/>
      <c r="R27" s="96">
        <f t="shared" si="5"/>
        <v>0</v>
      </c>
      <c r="S27" s="96">
        <f t="shared" si="6"/>
        <v>3049.49</v>
      </c>
      <c r="T27" s="96">
        <f t="shared" si="7"/>
        <v>3049.49</v>
      </c>
      <c r="U27" s="97">
        <f t="shared" si="8"/>
        <v>0</v>
      </c>
      <c r="V27" s="97">
        <f t="shared" si="9"/>
        <v>1</v>
      </c>
      <c r="W27" s="98"/>
      <c r="X27" s="99"/>
      <c r="Y27" s="8" t="s">
        <v>135</v>
      </c>
      <c r="Z27" s="8">
        <v>8000</v>
      </c>
    </row>
    <row r="28" spans="2:26" ht="15.75" customHeight="1">
      <c r="B28" s="100" t="s">
        <v>878</v>
      </c>
      <c r="C28" s="101" t="s">
        <v>1148</v>
      </c>
      <c r="D28" s="88"/>
      <c r="E28" s="102" t="s">
        <v>138</v>
      </c>
      <c r="F28" s="103">
        <v>2</v>
      </c>
      <c r="G28" s="104">
        <v>404.78</v>
      </c>
      <c r="H28" s="105">
        <f t="shared" si="0"/>
        <v>558.6</v>
      </c>
      <c r="I28" s="106">
        <f t="shared" si="1"/>
        <v>1117.2</v>
      </c>
      <c r="J28" s="107"/>
      <c r="K28" s="108">
        <f t="shared" si="2"/>
        <v>2</v>
      </c>
      <c r="L28" s="105">
        <f t="shared" si="3"/>
        <v>279.3</v>
      </c>
      <c r="M28" s="105">
        <f t="shared" si="4"/>
        <v>558.6</v>
      </c>
      <c r="N28" s="109"/>
      <c r="O28" s="95"/>
      <c r="P28" s="100"/>
      <c r="Q28" s="104"/>
      <c r="R28" s="110">
        <f t="shared" si="5"/>
        <v>0</v>
      </c>
      <c r="S28" s="111">
        <f t="shared" si="6"/>
        <v>279.3</v>
      </c>
      <c r="T28" s="111">
        <f t="shared" si="7"/>
        <v>558.6</v>
      </c>
      <c r="U28" s="112">
        <f t="shared" si="8"/>
        <v>0</v>
      </c>
      <c r="V28" s="112">
        <f t="shared" si="9"/>
        <v>1</v>
      </c>
      <c r="W28" s="113"/>
      <c r="X28" s="99"/>
      <c r="Y28" s="8" t="s">
        <v>139</v>
      </c>
      <c r="Z28" s="118">
        <v>10000</v>
      </c>
    </row>
    <row r="29" spans="2:26" ht="15.75" customHeight="1">
      <c r="B29" s="86" t="s">
        <v>1149</v>
      </c>
      <c r="C29" s="114" t="s">
        <v>144</v>
      </c>
      <c r="D29" s="88"/>
      <c r="E29" s="89" t="s">
        <v>138</v>
      </c>
      <c r="F29" s="115">
        <v>1</v>
      </c>
      <c r="G29" s="96">
        <v>3350.33</v>
      </c>
      <c r="H29" s="91">
        <f t="shared" si="0"/>
        <v>4623.46</v>
      </c>
      <c r="I29" s="92">
        <f t="shared" si="1"/>
        <v>4623.46</v>
      </c>
      <c r="J29" s="107"/>
      <c r="K29" s="90">
        <f t="shared" si="2"/>
        <v>1</v>
      </c>
      <c r="L29" s="91">
        <f t="shared" si="3"/>
        <v>2311.73</v>
      </c>
      <c r="M29" s="91">
        <f t="shared" si="4"/>
        <v>2311.73</v>
      </c>
      <c r="N29" s="116"/>
      <c r="O29" s="95"/>
      <c r="P29" s="117"/>
      <c r="Q29" s="96"/>
      <c r="R29" s="96">
        <f t="shared" si="5"/>
        <v>0</v>
      </c>
      <c r="S29" s="96">
        <f t="shared" si="6"/>
        <v>2311.73</v>
      </c>
      <c r="T29" s="96">
        <f t="shared" si="7"/>
        <v>2311.73</v>
      </c>
      <c r="U29" s="97">
        <f t="shared" si="8"/>
        <v>0</v>
      </c>
      <c r="V29" s="97">
        <f t="shared" si="9"/>
        <v>1</v>
      </c>
      <c r="W29" s="98"/>
      <c r="X29" s="99"/>
      <c r="Y29" s="8" t="s">
        <v>142</v>
      </c>
      <c r="Z29" s="8" t="s">
        <v>138</v>
      </c>
    </row>
    <row r="30" spans="2:26" ht="15.75" customHeight="1">
      <c r="B30" s="100" t="s">
        <v>1150</v>
      </c>
      <c r="C30" s="101" t="s">
        <v>258</v>
      </c>
      <c r="D30" s="88"/>
      <c r="E30" s="102" t="s">
        <v>138</v>
      </c>
      <c r="F30" s="103">
        <v>6</v>
      </c>
      <c r="G30" s="104">
        <v>674.05600000000004</v>
      </c>
      <c r="H30" s="105">
        <f t="shared" si="0"/>
        <v>930.2</v>
      </c>
      <c r="I30" s="106">
        <f t="shared" si="1"/>
        <v>5581.2</v>
      </c>
      <c r="J30" s="107"/>
      <c r="K30" s="108">
        <f t="shared" si="2"/>
        <v>6</v>
      </c>
      <c r="L30" s="105">
        <f t="shared" si="3"/>
        <v>651.14</v>
      </c>
      <c r="M30" s="105">
        <f t="shared" si="4"/>
        <v>3906.84</v>
      </c>
      <c r="N30" s="109">
        <v>-0.2</v>
      </c>
      <c r="O30" s="95"/>
      <c r="P30" s="100"/>
      <c r="Q30" s="104"/>
      <c r="R30" s="110">
        <f t="shared" si="5"/>
        <v>0</v>
      </c>
      <c r="S30" s="111">
        <f t="shared" si="6"/>
        <v>279.06</v>
      </c>
      <c r="T30" s="111">
        <f t="shared" si="7"/>
        <v>1674.36</v>
      </c>
      <c r="U30" s="112">
        <f t="shared" si="8"/>
        <v>0</v>
      </c>
      <c r="V30" s="112">
        <f t="shared" si="9"/>
        <v>1</v>
      </c>
      <c r="W30" s="113"/>
      <c r="X30" s="99"/>
      <c r="Y30" s="8" t="s">
        <v>145</v>
      </c>
      <c r="Z30" s="8"/>
    </row>
    <row r="31" spans="2:26" ht="15.75" customHeight="1">
      <c r="B31" s="86"/>
      <c r="C31" s="114" t="s">
        <v>293</v>
      </c>
      <c r="D31" s="88"/>
      <c r="E31" s="89"/>
      <c r="F31" s="115"/>
      <c r="G31" s="96"/>
      <c r="H31" s="91">
        <f t="shared" si="0"/>
        <v>0</v>
      </c>
      <c r="I31" s="92">
        <f t="shared" si="1"/>
        <v>0</v>
      </c>
      <c r="J31" s="107"/>
      <c r="K31" s="90">
        <f t="shared" si="2"/>
        <v>0</v>
      </c>
      <c r="L31" s="91">
        <f t="shared" si="3"/>
        <v>0</v>
      </c>
      <c r="M31" s="91">
        <f t="shared" si="4"/>
        <v>0</v>
      </c>
      <c r="N31" s="116"/>
      <c r="O31" s="95"/>
      <c r="P31" s="117"/>
      <c r="Q31" s="96"/>
      <c r="R31" s="96">
        <f t="shared" si="5"/>
        <v>0</v>
      </c>
      <c r="S31" s="96">
        <f t="shared" si="6"/>
        <v>0</v>
      </c>
      <c r="T31" s="96">
        <f t="shared" si="7"/>
        <v>0</v>
      </c>
      <c r="U31" s="97">
        <f t="shared" si="8"/>
        <v>0</v>
      </c>
      <c r="V31" s="97">
        <f t="shared" si="9"/>
        <v>0</v>
      </c>
      <c r="W31" s="98"/>
      <c r="X31" s="99"/>
      <c r="Y31" s="8"/>
      <c r="Z31" s="8"/>
    </row>
    <row r="32" spans="2:26" ht="15.75" customHeight="1">
      <c r="B32" s="100" t="s">
        <v>1151</v>
      </c>
      <c r="C32" s="101" t="s">
        <v>156</v>
      </c>
      <c r="D32" s="88"/>
      <c r="E32" s="102" t="s">
        <v>138</v>
      </c>
      <c r="F32" s="103">
        <v>2</v>
      </c>
      <c r="G32" s="104">
        <v>275.05</v>
      </c>
      <c r="H32" s="105">
        <f t="shared" si="0"/>
        <v>379.57</v>
      </c>
      <c r="I32" s="106">
        <f t="shared" si="1"/>
        <v>759.14</v>
      </c>
      <c r="J32" s="107"/>
      <c r="K32" s="108">
        <f t="shared" si="2"/>
        <v>2</v>
      </c>
      <c r="L32" s="105">
        <f t="shared" si="3"/>
        <v>265.7</v>
      </c>
      <c r="M32" s="105">
        <f t="shared" si="4"/>
        <v>531.4</v>
      </c>
      <c r="N32" s="109">
        <v>-0.2</v>
      </c>
      <c r="O32" s="95"/>
      <c r="P32" s="100"/>
      <c r="Q32" s="104"/>
      <c r="R32" s="110">
        <f t="shared" si="5"/>
        <v>0</v>
      </c>
      <c r="S32" s="111">
        <f t="shared" si="6"/>
        <v>113.87</v>
      </c>
      <c r="T32" s="111">
        <f t="shared" si="7"/>
        <v>227.74</v>
      </c>
      <c r="U32" s="112">
        <f t="shared" si="8"/>
        <v>0</v>
      </c>
      <c r="V32" s="112">
        <f t="shared" si="9"/>
        <v>1</v>
      </c>
      <c r="W32" s="113"/>
      <c r="X32" s="99"/>
      <c r="Y32" s="8"/>
      <c r="Z32" s="8"/>
    </row>
    <row r="33" spans="2:23" ht="15.75" customHeight="1">
      <c r="B33" s="86" t="s">
        <v>1152</v>
      </c>
      <c r="C33" s="114" t="s">
        <v>156</v>
      </c>
      <c r="D33" s="88"/>
      <c r="E33" s="89" t="s">
        <v>138</v>
      </c>
      <c r="F33" s="115">
        <v>1</v>
      </c>
      <c r="G33" s="96">
        <v>266.52999999999997</v>
      </c>
      <c r="H33" s="91">
        <f t="shared" si="0"/>
        <v>367.81</v>
      </c>
      <c r="I33" s="92">
        <f t="shared" si="1"/>
        <v>367.81</v>
      </c>
      <c r="J33" s="107"/>
      <c r="K33" s="90">
        <f t="shared" si="2"/>
        <v>1</v>
      </c>
      <c r="L33" s="91">
        <f t="shared" si="3"/>
        <v>257.47000000000003</v>
      </c>
      <c r="M33" s="91">
        <f t="shared" si="4"/>
        <v>257.47000000000003</v>
      </c>
      <c r="N33" s="116">
        <v>-0.2</v>
      </c>
      <c r="O33" s="95"/>
      <c r="P33" s="117"/>
      <c r="Q33" s="96"/>
      <c r="R33" s="96">
        <f t="shared" si="5"/>
        <v>0</v>
      </c>
      <c r="S33" s="96">
        <f t="shared" si="6"/>
        <v>110.34</v>
      </c>
      <c r="T33" s="96">
        <f t="shared" si="7"/>
        <v>110.34</v>
      </c>
      <c r="U33" s="97">
        <f t="shared" si="8"/>
        <v>0</v>
      </c>
      <c r="V33" s="97">
        <f t="shared" si="9"/>
        <v>1</v>
      </c>
      <c r="W33" s="98"/>
    </row>
    <row r="34" spans="2:23" ht="15.75" customHeight="1">
      <c r="B34" s="100" t="s">
        <v>1153</v>
      </c>
      <c r="C34" s="101" t="s">
        <v>152</v>
      </c>
      <c r="D34" s="88"/>
      <c r="E34" s="102" t="s">
        <v>138</v>
      </c>
      <c r="F34" s="103">
        <v>2</v>
      </c>
      <c r="G34" s="104">
        <v>102.26</v>
      </c>
      <c r="H34" s="105">
        <f t="shared" si="0"/>
        <v>141.12</v>
      </c>
      <c r="I34" s="106">
        <f t="shared" si="1"/>
        <v>282.24</v>
      </c>
      <c r="J34" s="107"/>
      <c r="K34" s="108">
        <f t="shared" si="2"/>
        <v>2</v>
      </c>
      <c r="L34" s="105">
        <f t="shared" si="3"/>
        <v>98.78</v>
      </c>
      <c r="M34" s="105">
        <f t="shared" si="4"/>
        <v>197.56</v>
      </c>
      <c r="N34" s="109">
        <v>-0.2</v>
      </c>
      <c r="O34" s="95"/>
      <c r="P34" s="100"/>
      <c r="Q34" s="104"/>
      <c r="R34" s="110">
        <f t="shared" si="5"/>
        <v>0</v>
      </c>
      <c r="S34" s="111">
        <f t="shared" si="6"/>
        <v>42.34</v>
      </c>
      <c r="T34" s="111">
        <f t="shared" si="7"/>
        <v>84.68</v>
      </c>
      <c r="U34" s="112">
        <f t="shared" si="8"/>
        <v>0</v>
      </c>
      <c r="V34" s="112">
        <f t="shared" si="9"/>
        <v>1</v>
      </c>
      <c r="W34" s="113"/>
    </row>
    <row r="35" spans="2:23" ht="15.75" customHeight="1">
      <c r="B35" s="86" t="s">
        <v>1154</v>
      </c>
      <c r="C35" s="114" t="s">
        <v>152</v>
      </c>
      <c r="D35" s="88"/>
      <c r="E35" s="89" t="s">
        <v>138</v>
      </c>
      <c r="F35" s="115">
        <v>2</v>
      </c>
      <c r="G35" s="96">
        <v>62.34</v>
      </c>
      <c r="H35" s="91">
        <f t="shared" si="0"/>
        <v>86.03</v>
      </c>
      <c r="I35" s="92">
        <f t="shared" si="1"/>
        <v>172.06</v>
      </c>
      <c r="J35" s="107"/>
      <c r="K35" s="90">
        <f t="shared" si="2"/>
        <v>2</v>
      </c>
      <c r="L35" s="91">
        <f t="shared" si="3"/>
        <v>60.22</v>
      </c>
      <c r="M35" s="91">
        <f t="shared" si="4"/>
        <v>120.44</v>
      </c>
      <c r="N35" s="116">
        <v>-0.2</v>
      </c>
      <c r="O35" s="95"/>
      <c r="P35" s="117"/>
      <c r="Q35" s="96"/>
      <c r="R35" s="96">
        <f t="shared" si="5"/>
        <v>0</v>
      </c>
      <c r="S35" s="96">
        <f t="shared" si="6"/>
        <v>25.81</v>
      </c>
      <c r="T35" s="96">
        <f t="shared" si="7"/>
        <v>51.62</v>
      </c>
      <c r="U35" s="97">
        <f t="shared" si="8"/>
        <v>0</v>
      </c>
      <c r="V35" s="97">
        <f t="shared" si="9"/>
        <v>1</v>
      </c>
      <c r="W35" s="98"/>
    </row>
    <row r="36" spans="2:23" ht="15.75" customHeight="1">
      <c r="B36" s="100"/>
      <c r="C36" s="101" t="s">
        <v>152</v>
      </c>
      <c r="D36" s="88"/>
      <c r="E36" s="102" t="s">
        <v>138</v>
      </c>
      <c r="F36" s="103"/>
      <c r="G36" s="104"/>
      <c r="H36" s="105">
        <f t="shared" si="0"/>
        <v>0</v>
      </c>
      <c r="I36" s="106">
        <f t="shared" si="1"/>
        <v>0</v>
      </c>
      <c r="J36" s="107"/>
      <c r="K36" s="108">
        <f t="shared" si="2"/>
        <v>0</v>
      </c>
      <c r="L36" s="105">
        <f t="shared" si="3"/>
        <v>0</v>
      </c>
      <c r="M36" s="105">
        <f t="shared" si="4"/>
        <v>0</v>
      </c>
      <c r="N36" s="109">
        <v>-0.2</v>
      </c>
      <c r="O36" s="95"/>
      <c r="P36" s="100"/>
      <c r="Q36" s="104"/>
      <c r="R36" s="110">
        <f t="shared" si="5"/>
        <v>0</v>
      </c>
      <c r="S36" s="111">
        <f t="shared" si="6"/>
        <v>0</v>
      </c>
      <c r="T36" s="111">
        <f t="shared" si="7"/>
        <v>0</v>
      </c>
      <c r="U36" s="112">
        <f t="shared" si="8"/>
        <v>0</v>
      </c>
      <c r="V36" s="112">
        <f t="shared" si="9"/>
        <v>0</v>
      </c>
      <c r="W36" s="113"/>
    </row>
    <row r="37" spans="2:23" ht="15.75" customHeight="1">
      <c r="B37" s="86" t="s">
        <v>1155</v>
      </c>
      <c r="C37" s="114" t="s">
        <v>201</v>
      </c>
      <c r="D37" s="88"/>
      <c r="E37" s="89" t="s">
        <v>138</v>
      </c>
      <c r="F37" s="115">
        <v>3</v>
      </c>
      <c r="G37" s="96">
        <v>8.07</v>
      </c>
      <c r="H37" s="91">
        <f t="shared" si="0"/>
        <v>11.14</v>
      </c>
      <c r="I37" s="92">
        <f t="shared" si="1"/>
        <v>33.42</v>
      </c>
      <c r="J37" s="107"/>
      <c r="K37" s="90">
        <f t="shared" si="2"/>
        <v>3</v>
      </c>
      <c r="L37" s="91">
        <f t="shared" si="3"/>
        <v>7.8</v>
      </c>
      <c r="M37" s="91">
        <f t="shared" si="4"/>
        <v>23.4</v>
      </c>
      <c r="N37" s="116">
        <v>-0.2</v>
      </c>
      <c r="O37" s="95"/>
      <c r="P37" s="117"/>
      <c r="Q37" s="96"/>
      <c r="R37" s="96">
        <f t="shared" si="5"/>
        <v>0</v>
      </c>
      <c r="S37" s="96">
        <f t="shared" si="6"/>
        <v>3.34</v>
      </c>
      <c r="T37" s="96">
        <f t="shared" si="7"/>
        <v>10.02</v>
      </c>
      <c r="U37" s="97">
        <f t="shared" si="8"/>
        <v>0</v>
      </c>
      <c r="V37" s="97">
        <f t="shared" si="9"/>
        <v>1</v>
      </c>
      <c r="W37" s="98"/>
    </row>
    <row r="38" spans="2:23" ht="15.75" customHeight="1">
      <c r="B38" s="100" t="s">
        <v>1156</v>
      </c>
      <c r="C38" s="101" t="s">
        <v>670</v>
      </c>
      <c r="D38" s="88"/>
      <c r="E38" s="102" t="s">
        <v>138</v>
      </c>
      <c r="F38" s="103">
        <v>3</v>
      </c>
      <c r="G38" s="104">
        <v>497.81</v>
      </c>
      <c r="H38" s="105">
        <f t="shared" si="0"/>
        <v>686.98</v>
      </c>
      <c r="I38" s="106">
        <f t="shared" si="1"/>
        <v>2060.94</v>
      </c>
      <c r="J38" s="107"/>
      <c r="K38" s="108">
        <f t="shared" si="2"/>
        <v>3</v>
      </c>
      <c r="L38" s="105">
        <f t="shared" si="3"/>
        <v>480.89</v>
      </c>
      <c r="M38" s="105">
        <f t="shared" si="4"/>
        <v>1442.67</v>
      </c>
      <c r="N38" s="109">
        <v>-0.2</v>
      </c>
      <c r="O38" s="95"/>
      <c r="P38" s="100"/>
      <c r="Q38" s="104"/>
      <c r="R38" s="110">
        <f t="shared" si="5"/>
        <v>0</v>
      </c>
      <c r="S38" s="111">
        <f t="shared" si="6"/>
        <v>206.09</v>
      </c>
      <c r="T38" s="111">
        <f t="shared" si="7"/>
        <v>618.27</v>
      </c>
      <c r="U38" s="112">
        <f t="shared" si="8"/>
        <v>0</v>
      </c>
      <c r="V38" s="112">
        <f t="shared" si="9"/>
        <v>1</v>
      </c>
      <c r="W38" s="113"/>
    </row>
    <row r="39" spans="2:23" ht="15.75" customHeight="1">
      <c r="B39" s="86" t="s">
        <v>1070</v>
      </c>
      <c r="C39" s="114" t="s">
        <v>233</v>
      </c>
      <c r="D39" s="88"/>
      <c r="E39" s="89" t="s">
        <v>138</v>
      </c>
      <c r="F39" s="115">
        <v>3</v>
      </c>
      <c r="G39" s="96">
        <v>86.58</v>
      </c>
      <c r="H39" s="91">
        <f t="shared" si="0"/>
        <v>119.48</v>
      </c>
      <c r="I39" s="92">
        <f t="shared" si="1"/>
        <v>358.44</v>
      </c>
      <c r="J39" s="107"/>
      <c r="K39" s="90">
        <f t="shared" si="2"/>
        <v>3</v>
      </c>
      <c r="L39" s="91">
        <f t="shared" si="3"/>
        <v>83.64</v>
      </c>
      <c r="M39" s="91">
        <f t="shared" si="4"/>
        <v>250.92</v>
      </c>
      <c r="N39" s="116">
        <v>-0.2</v>
      </c>
      <c r="O39" s="95"/>
      <c r="P39" s="117"/>
      <c r="Q39" s="96"/>
      <c r="R39" s="96">
        <f t="shared" si="5"/>
        <v>0</v>
      </c>
      <c r="S39" s="96">
        <f t="shared" si="6"/>
        <v>35.840000000000003</v>
      </c>
      <c r="T39" s="96">
        <f t="shared" si="7"/>
        <v>107.52</v>
      </c>
      <c r="U39" s="97">
        <f t="shared" si="8"/>
        <v>0</v>
      </c>
      <c r="V39" s="97">
        <f t="shared" si="9"/>
        <v>1</v>
      </c>
      <c r="W39" s="113"/>
    </row>
    <row r="40" spans="2:23" ht="15.75" customHeight="1">
      <c r="B40" s="100" t="s">
        <v>1157</v>
      </c>
      <c r="C40" s="101" t="s">
        <v>1158</v>
      </c>
      <c r="D40" s="88"/>
      <c r="E40" s="102" t="s">
        <v>138</v>
      </c>
      <c r="F40" s="103">
        <v>11</v>
      </c>
      <c r="G40" s="104">
        <v>105.01</v>
      </c>
      <c r="H40" s="105">
        <f t="shared" si="0"/>
        <v>144.91</v>
      </c>
      <c r="I40" s="106">
        <f t="shared" si="1"/>
        <v>1594.01</v>
      </c>
      <c r="J40" s="107"/>
      <c r="K40" s="108">
        <f t="shared" si="2"/>
        <v>11</v>
      </c>
      <c r="L40" s="105">
        <f t="shared" si="3"/>
        <v>101.44</v>
      </c>
      <c r="M40" s="105">
        <f t="shared" si="4"/>
        <v>1115.8399999999999</v>
      </c>
      <c r="N40" s="109">
        <v>-0.2</v>
      </c>
      <c r="O40" s="95"/>
      <c r="P40" s="100"/>
      <c r="Q40" s="104"/>
      <c r="R40" s="110">
        <f t="shared" si="5"/>
        <v>0</v>
      </c>
      <c r="S40" s="111">
        <f t="shared" si="6"/>
        <v>43.47</v>
      </c>
      <c r="T40" s="111">
        <f t="shared" si="7"/>
        <v>478.17</v>
      </c>
      <c r="U40" s="112">
        <f t="shared" si="8"/>
        <v>0</v>
      </c>
      <c r="V40" s="112">
        <f t="shared" si="9"/>
        <v>1</v>
      </c>
      <c r="W40" s="113"/>
    </row>
    <row r="41" spans="2:23" ht="15.75" customHeight="1">
      <c r="B41" s="86" t="s">
        <v>1159</v>
      </c>
      <c r="C41" s="114" t="s">
        <v>1160</v>
      </c>
      <c r="D41" s="88"/>
      <c r="E41" s="89" t="s">
        <v>138</v>
      </c>
      <c r="F41" s="115">
        <v>11</v>
      </c>
      <c r="G41" s="96">
        <v>25.48</v>
      </c>
      <c r="H41" s="91">
        <f t="shared" si="0"/>
        <v>35.159999999999997</v>
      </c>
      <c r="I41" s="92">
        <f t="shared" si="1"/>
        <v>386.76</v>
      </c>
      <c r="J41" s="107"/>
      <c r="K41" s="90">
        <f t="shared" si="2"/>
        <v>11</v>
      </c>
      <c r="L41" s="91">
        <f t="shared" si="3"/>
        <v>24.61</v>
      </c>
      <c r="M41" s="91">
        <f t="shared" si="4"/>
        <v>270.70999999999998</v>
      </c>
      <c r="N41" s="116">
        <v>-0.2</v>
      </c>
      <c r="O41" s="95"/>
      <c r="P41" s="117"/>
      <c r="Q41" s="96"/>
      <c r="R41" s="96">
        <f t="shared" si="5"/>
        <v>0</v>
      </c>
      <c r="S41" s="96">
        <f t="shared" si="6"/>
        <v>10.55</v>
      </c>
      <c r="T41" s="96">
        <f t="shared" si="7"/>
        <v>116.05</v>
      </c>
      <c r="U41" s="97">
        <f t="shared" si="8"/>
        <v>0</v>
      </c>
      <c r="V41" s="97">
        <f t="shared" si="9"/>
        <v>1</v>
      </c>
      <c r="W41" s="113"/>
    </row>
    <row r="42" spans="2:23" ht="15.75" customHeight="1">
      <c r="B42" s="100" t="s">
        <v>1161</v>
      </c>
      <c r="C42" s="101" t="s">
        <v>1162</v>
      </c>
      <c r="D42" s="88"/>
      <c r="E42" s="102" t="s">
        <v>138</v>
      </c>
      <c r="F42" s="103">
        <v>11</v>
      </c>
      <c r="G42" s="104">
        <v>86.4</v>
      </c>
      <c r="H42" s="105">
        <f t="shared" si="0"/>
        <v>119.23</v>
      </c>
      <c r="I42" s="106">
        <f t="shared" si="1"/>
        <v>1311.53</v>
      </c>
      <c r="J42" s="107"/>
      <c r="K42" s="108">
        <f t="shared" si="2"/>
        <v>11</v>
      </c>
      <c r="L42" s="105">
        <f t="shared" si="3"/>
        <v>83.46</v>
      </c>
      <c r="M42" s="105">
        <f t="shared" si="4"/>
        <v>918.06</v>
      </c>
      <c r="N42" s="109">
        <v>-0.2</v>
      </c>
      <c r="O42" s="95"/>
      <c r="P42" s="100"/>
      <c r="Q42" s="104"/>
      <c r="R42" s="110">
        <f t="shared" si="5"/>
        <v>0</v>
      </c>
      <c r="S42" s="111">
        <f t="shared" si="6"/>
        <v>35.770000000000003</v>
      </c>
      <c r="T42" s="111">
        <f t="shared" si="7"/>
        <v>393.47</v>
      </c>
      <c r="U42" s="112">
        <f t="shared" si="8"/>
        <v>0</v>
      </c>
      <c r="V42" s="112">
        <f t="shared" si="9"/>
        <v>1</v>
      </c>
      <c r="W42" s="113"/>
    </row>
    <row r="43" spans="2:23" ht="15.75" customHeight="1">
      <c r="B43" s="86"/>
      <c r="C43" s="114"/>
      <c r="D43" s="88"/>
      <c r="E43" s="89"/>
      <c r="F43" s="115"/>
      <c r="G43" s="96"/>
      <c r="H43" s="91">
        <f t="shared" si="0"/>
        <v>0</v>
      </c>
      <c r="I43" s="92">
        <f t="shared" si="1"/>
        <v>0</v>
      </c>
      <c r="J43" s="107"/>
      <c r="K43" s="90">
        <f t="shared" si="2"/>
        <v>0</v>
      </c>
      <c r="L43" s="91">
        <f t="shared" si="3"/>
        <v>0</v>
      </c>
      <c r="M43" s="91">
        <f t="shared" si="4"/>
        <v>0</v>
      </c>
      <c r="N43" s="116"/>
      <c r="O43" s="95"/>
      <c r="P43" s="117"/>
      <c r="Q43" s="96"/>
      <c r="R43" s="96">
        <f t="shared" si="5"/>
        <v>0</v>
      </c>
      <c r="S43" s="96">
        <f t="shared" si="6"/>
        <v>0</v>
      </c>
      <c r="T43" s="96">
        <f t="shared" si="7"/>
        <v>0</v>
      </c>
      <c r="U43" s="97">
        <f t="shared" si="8"/>
        <v>0</v>
      </c>
      <c r="V43" s="97">
        <f t="shared" si="9"/>
        <v>0</v>
      </c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>
        <f t="shared" si="0"/>
        <v>0</v>
      </c>
      <c r="I44" s="106">
        <f t="shared" si="1"/>
        <v>0</v>
      </c>
      <c r="J44" s="107"/>
      <c r="K44" s="108">
        <f t="shared" si="2"/>
        <v>0</v>
      </c>
      <c r="L44" s="105">
        <f t="shared" si="3"/>
        <v>0</v>
      </c>
      <c r="M44" s="105">
        <f t="shared" si="4"/>
        <v>0</v>
      </c>
      <c r="N44" s="109"/>
      <c r="O44" s="95"/>
      <c r="P44" s="100"/>
      <c r="Q44" s="104"/>
      <c r="R44" s="110">
        <f t="shared" si="5"/>
        <v>0</v>
      </c>
      <c r="S44" s="111">
        <f t="shared" si="6"/>
        <v>0</v>
      </c>
      <c r="T44" s="111">
        <f t="shared" si="7"/>
        <v>0</v>
      </c>
      <c r="U44" s="112">
        <f t="shared" si="8"/>
        <v>0</v>
      </c>
      <c r="V44" s="112">
        <f t="shared" si="9"/>
        <v>0</v>
      </c>
      <c r="W44" s="113"/>
    </row>
    <row r="45" spans="2:23" ht="15.75" customHeight="1">
      <c r="B45" s="86"/>
      <c r="C45" s="114"/>
      <c r="D45" s="88"/>
      <c r="E45" s="89"/>
      <c r="F45" s="115"/>
      <c r="G45" s="96"/>
      <c r="H45" s="91">
        <f t="shared" si="0"/>
        <v>0</v>
      </c>
      <c r="I45" s="92">
        <f t="shared" si="1"/>
        <v>0</v>
      </c>
      <c r="J45" s="107"/>
      <c r="K45" s="90">
        <f t="shared" si="2"/>
        <v>0</v>
      </c>
      <c r="L45" s="91">
        <f t="shared" si="3"/>
        <v>0</v>
      </c>
      <c r="M45" s="91">
        <f t="shared" si="4"/>
        <v>0</v>
      </c>
      <c r="N45" s="116"/>
      <c r="O45" s="95"/>
      <c r="P45" s="117"/>
      <c r="Q45" s="96"/>
      <c r="R45" s="96">
        <f t="shared" si="5"/>
        <v>0</v>
      </c>
      <c r="S45" s="96">
        <f t="shared" si="6"/>
        <v>0</v>
      </c>
      <c r="T45" s="96">
        <f t="shared" si="7"/>
        <v>0</v>
      </c>
      <c r="U45" s="97">
        <f t="shared" si="8"/>
        <v>0</v>
      </c>
      <c r="V45" s="97">
        <f t="shared" si="9"/>
        <v>0</v>
      </c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>
        <f t="shared" si="0"/>
        <v>0</v>
      </c>
      <c r="I46" s="106">
        <f t="shared" si="1"/>
        <v>0</v>
      </c>
      <c r="J46" s="107"/>
      <c r="K46" s="108">
        <f t="shared" si="2"/>
        <v>0</v>
      </c>
      <c r="L46" s="105">
        <f t="shared" si="3"/>
        <v>0</v>
      </c>
      <c r="M46" s="105">
        <f t="shared" si="4"/>
        <v>0</v>
      </c>
      <c r="N46" s="109"/>
      <c r="O46" s="95"/>
      <c r="P46" s="100"/>
      <c r="Q46" s="104"/>
      <c r="R46" s="110">
        <f t="shared" si="5"/>
        <v>0</v>
      </c>
      <c r="S46" s="111">
        <f t="shared" si="6"/>
        <v>0</v>
      </c>
      <c r="T46" s="111">
        <f t="shared" si="7"/>
        <v>0</v>
      </c>
      <c r="U46" s="112">
        <f t="shared" si="8"/>
        <v>0</v>
      </c>
      <c r="V46" s="112">
        <f t="shared" si="9"/>
        <v>0</v>
      </c>
      <c r="W46" s="113"/>
    </row>
    <row r="47" spans="2:23" ht="15.75" customHeight="1">
      <c r="B47" s="86"/>
      <c r="C47" s="114"/>
      <c r="D47" s="88"/>
      <c r="E47" s="89"/>
      <c r="F47" s="115"/>
      <c r="G47" s="96"/>
      <c r="H47" s="91">
        <f t="shared" si="0"/>
        <v>0</v>
      </c>
      <c r="I47" s="92">
        <f t="shared" si="1"/>
        <v>0</v>
      </c>
      <c r="J47" s="107"/>
      <c r="K47" s="90">
        <f t="shared" si="2"/>
        <v>0</v>
      </c>
      <c r="L47" s="91">
        <f t="shared" si="3"/>
        <v>0</v>
      </c>
      <c r="M47" s="91">
        <f t="shared" si="4"/>
        <v>0</v>
      </c>
      <c r="N47" s="116"/>
      <c r="O47" s="95"/>
      <c r="P47" s="117"/>
      <c r="Q47" s="96"/>
      <c r="R47" s="96">
        <f t="shared" si="5"/>
        <v>0</v>
      </c>
      <c r="S47" s="96">
        <f t="shared" si="6"/>
        <v>0</v>
      </c>
      <c r="T47" s="96">
        <f t="shared" si="7"/>
        <v>0</v>
      </c>
      <c r="U47" s="97">
        <f t="shared" si="8"/>
        <v>0</v>
      </c>
      <c r="V47" s="97">
        <f t="shared" si="9"/>
        <v>0</v>
      </c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>
        <f t="shared" si="0"/>
        <v>0</v>
      </c>
      <c r="I48" s="106">
        <f t="shared" si="1"/>
        <v>0</v>
      </c>
      <c r="J48" s="107"/>
      <c r="K48" s="108">
        <f t="shared" si="2"/>
        <v>0</v>
      </c>
      <c r="L48" s="105">
        <f t="shared" si="3"/>
        <v>0</v>
      </c>
      <c r="M48" s="105">
        <f t="shared" si="4"/>
        <v>0</v>
      </c>
      <c r="N48" s="109"/>
      <c r="O48" s="95"/>
      <c r="P48" s="100"/>
      <c r="Q48" s="104"/>
      <c r="R48" s="110">
        <f t="shared" si="5"/>
        <v>0</v>
      </c>
      <c r="S48" s="111">
        <f t="shared" si="6"/>
        <v>0</v>
      </c>
      <c r="T48" s="111">
        <f t="shared" si="7"/>
        <v>0</v>
      </c>
      <c r="U48" s="112">
        <f t="shared" si="8"/>
        <v>0</v>
      </c>
      <c r="V48" s="112">
        <f t="shared" si="9"/>
        <v>0</v>
      </c>
      <c r="W48" s="113"/>
    </row>
    <row r="49" spans="2:23" ht="15.75" customHeight="1">
      <c r="B49" s="86"/>
      <c r="C49" s="114"/>
      <c r="D49" s="88"/>
      <c r="E49" s="89"/>
      <c r="F49" s="115"/>
      <c r="G49" s="96"/>
      <c r="H49" s="91">
        <f t="shared" si="0"/>
        <v>0</v>
      </c>
      <c r="I49" s="92">
        <f t="shared" si="1"/>
        <v>0</v>
      </c>
      <c r="J49" s="107"/>
      <c r="K49" s="90">
        <f t="shared" si="2"/>
        <v>0</v>
      </c>
      <c r="L49" s="91">
        <f t="shared" si="3"/>
        <v>0</v>
      </c>
      <c r="M49" s="91">
        <f t="shared" si="4"/>
        <v>0</v>
      </c>
      <c r="N49" s="116"/>
      <c r="O49" s="95"/>
      <c r="P49" s="117"/>
      <c r="Q49" s="96"/>
      <c r="R49" s="96">
        <f t="shared" si="5"/>
        <v>0</v>
      </c>
      <c r="S49" s="96">
        <f t="shared" si="6"/>
        <v>0</v>
      </c>
      <c r="T49" s="96">
        <f t="shared" si="7"/>
        <v>0</v>
      </c>
      <c r="U49" s="97">
        <f t="shared" si="8"/>
        <v>0</v>
      </c>
      <c r="V49" s="97">
        <f t="shared" si="9"/>
        <v>0</v>
      </c>
      <c r="W49" s="113"/>
    </row>
    <row r="50" spans="2:23" ht="20.25" customHeight="1">
      <c r="B50" s="119"/>
      <c r="C50" s="119"/>
      <c r="D50" s="120"/>
      <c r="E50" s="121" t="s">
        <v>163</v>
      </c>
      <c r="F50" s="122">
        <f t="shared" ref="F50:I50" si="10">SUM(F19:F49)</f>
        <v>67</v>
      </c>
      <c r="G50" s="123">
        <f t="shared" si="10"/>
        <v>10900.626</v>
      </c>
      <c r="H50" s="124">
        <f t="shared" si="10"/>
        <v>15042.88</v>
      </c>
      <c r="I50" s="125">
        <f t="shared" si="10"/>
        <v>25487.399999999994</v>
      </c>
      <c r="J50" s="126"/>
      <c r="K50" s="127">
        <f t="shared" ref="K50:M50" si="11">SUM(K19:K49)</f>
        <v>67</v>
      </c>
      <c r="L50" s="124">
        <f t="shared" si="11"/>
        <v>8154.3300000000008</v>
      </c>
      <c r="M50" s="125">
        <f t="shared" si="11"/>
        <v>15353.789999999997</v>
      </c>
      <c r="N50" s="125"/>
      <c r="O50" s="128"/>
      <c r="P50" s="129"/>
      <c r="Q50" s="124">
        <f t="shared" ref="Q50:T50" si="12">SUM(Q19:Q49)</f>
        <v>0</v>
      </c>
      <c r="R50" s="124">
        <f t="shared" si="12"/>
        <v>0</v>
      </c>
      <c r="S50" s="125">
        <f t="shared" si="12"/>
        <v>6888.550000000002</v>
      </c>
      <c r="T50" s="125">
        <f t="shared" si="12"/>
        <v>10133.61</v>
      </c>
      <c r="U50" s="130"/>
      <c r="V50" s="130"/>
      <c r="W50" s="131"/>
    </row>
  </sheetData>
  <mergeCells count="89"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S5:T5"/>
    <mergeCell ref="S6:T6"/>
    <mergeCell ref="S7:T7"/>
    <mergeCell ref="U6:V6"/>
    <mergeCell ref="U7:V7"/>
    <mergeCell ref="U5:V5"/>
    <mergeCell ref="S2:T2"/>
    <mergeCell ref="U2:V2"/>
    <mergeCell ref="S3:T3"/>
    <mergeCell ref="U3:V3"/>
    <mergeCell ref="S4:T4"/>
    <mergeCell ref="U4:V4"/>
    <mergeCell ref="D8:F8"/>
    <mergeCell ref="G8:H8"/>
    <mergeCell ref="I8:K8"/>
    <mergeCell ref="M8:N8"/>
    <mergeCell ref="D9:F9"/>
    <mergeCell ref="G9:H9"/>
    <mergeCell ref="M9:N9"/>
    <mergeCell ref="P2:R2"/>
    <mergeCell ref="P3:R3"/>
    <mergeCell ref="P4:R4"/>
    <mergeCell ref="P5:R5"/>
    <mergeCell ref="P6:R6"/>
    <mergeCell ref="I7:K7"/>
    <mergeCell ref="M7:N7"/>
    <mergeCell ref="D4:F4"/>
    <mergeCell ref="D5:F5"/>
    <mergeCell ref="G5:H5"/>
    <mergeCell ref="D6:F6"/>
    <mergeCell ref="G6:H6"/>
    <mergeCell ref="D7:F7"/>
    <mergeCell ref="G7:H7"/>
    <mergeCell ref="G4:H4"/>
    <mergeCell ref="I4:K4"/>
    <mergeCell ref="I5:K5"/>
    <mergeCell ref="M5:N5"/>
    <mergeCell ref="I6:K6"/>
    <mergeCell ref="M6:N6"/>
    <mergeCell ref="M4:N4"/>
    <mergeCell ref="B12:C16"/>
    <mergeCell ref="B17:B18"/>
    <mergeCell ref="C17:C18"/>
    <mergeCell ref="E17:E18"/>
    <mergeCell ref="F17:F18"/>
    <mergeCell ref="K15:L16"/>
    <mergeCell ref="K17:K18"/>
    <mergeCell ref="K12:N14"/>
    <mergeCell ref="M10:N10"/>
    <mergeCell ref="E12:F14"/>
    <mergeCell ref="G12:I13"/>
    <mergeCell ref="G14:H14"/>
    <mergeCell ref="M15:M16"/>
    <mergeCell ref="N16:N18"/>
    <mergeCell ref="G17:H17"/>
    <mergeCell ref="L18:M18"/>
    <mergeCell ref="D10:F10"/>
    <mergeCell ref="G10:H10"/>
    <mergeCell ref="G15:I15"/>
    <mergeCell ref="G16:I16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4800-000000000000}">
      <formula1>$Z$19:$Z$30</formula1>
    </dataValidation>
    <dataValidation type="list" allowBlank="1" showErrorMessage="1" sqref="I14" xr:uid="{00000000-0002-0000-4800-000001000000}">
      <formula1>$Y$14:$Y$15</formula1>
    </dataValidation>
    <dataValidation type="list" allowBlank="1" showErrorMessage="1" sqref="J14" xr:uid="{00000000-0002-0000-4800-000002000000}">
      <formula1>$L$9</formula1>
    </dataValidation>
    <dataValidation type="list" allowBlank="1" showErrorMessage="1" sqref="Q15 G18 L18 Q18" xr:uid="{00000000-0002-0000-48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C841-9FE9-4B63-83BE-D4E2DA85112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Instructions</vt:lpstr>
      <vt:lpstr>CAT 16G MOTOR GRADER</vt:lpstr>
      <vt:lpstr>CAT 140H MOTOR GRADER</vt:lpstr>
      <vt:lpstr>CAT 259D COMPACT TRACK LOADER</vt:lpstr>
      <vt:lpstr>CAT 305.E2 EXCAVATOR</vt:lpstr>
      <vt:lpstr>CAT 325F LCR EXCAVATOR</vt:lpstr>
      <vt:lpstr>CAT 325F LCR EXCAVATOR 2</vt:lpstr>
      <vt:lpstr>CAT 336 EXCAVATOR</vt:lpstr>
      <vt:lpstr>CAT 336 EXCAVATOR 2</vt:lpstr>
      <vt:lpstr>CAT 336 EXCAVATOR 3</vt:lpstr>
      <vt:lpstr>CAT 349 EXCAVATOR</vt:lpstr>
      <vt:lpstr>CAT 349 EXCAVATOR 2</vt:lpstr>
      <vt:lpstr>CAT 730 ARTICULATED TRUCK</vt:lpstr>
      <vt:lpstr>CAT 730 ARTICULATED TRUCK 2</vt:lpstr>
      <vt:lpstr>CAT 730 ARTICULATED TRUCK 3</vt:lpstr>
      <vt:lpstr>CAT 730 ARTICULATED TRUCK 4</vt:lpstr>
      <vt:lpstr>CAT 730C2 ARTICULATED TRUCK</vt:lpstr>
      <vt:lpstr>CAT 730C2 ARTICULATED TRUCK 3</vt:lpstr>
      <vt:lpstr>CAT 740 ARTICULATED TRUCK</vt:lpstr>
      <vt:lpstr>CAT 740 ARTICULATED TRUCK 2</vt:lpstr>
      <vt:lpstr>CAT 740 ARTICULATED TRUCK 3</vt:lpstr>
      <vt:lpstr>CAT 740 ARTICULATED TRUCK 4</vt:lpstr>
      <vt:lpstr>CAT 740B ARTICULATED TRUCK</vt:lpstr>
      <vt:lpstr>CAT 740B ARTICULATED TRUCK 2</vt:lpstr>
      <vt:lpstr>CAT 740B ARTICULATED TRUCK 3</vt:lpstr>
      <vt:lpstr>CAT 930K WHEEL LOADER</vt:lpstr>
      <vt:lpstr>CAT 930K WHEEL LOADER 2</vt:lpstr>
      <vt:lpstr>CAT 962G WHEEL LOADER</vt:lpstr>
      <vt:lpstr>CAT 966H WHEEL LOADER</vt:lpstr>
      <vt:lpstr>CAT 980H WHEEL LOADER</vt:lpstr>
      <vt:lpstr>CAT D6T DOZER</vt:lpstr>
      <vt:lpstr>CAT D6R DOZER</vt:lpstr>
      <vt:lpstr>CAT D8R DOZER</vt:lpstr>
      <vt:lpstr>CAT D8R II DOZER</vt:lpstr>
      <vt:lpstr>CAT IT62H INTEGRATED </vt:lpstr>
      <vt:lpstr>CAT M320F WHEELED EXCAVATOR</vt:lpstr>
      <vt:lpstr>JD 135G EXCAVATOR</vt:lpstr>
      <vt:lpstr>JD 135G EXCAVATOR 2</vt:lpstr>
      <vt:lpstr>JD 135G EXCAVATOR 3</vt:lpstr>
      <vt:lpstr>JD 245G LC EXCAVATOR</vt:lpstr>
      <vt:lpstr>JD 245G LC EXCAVATOR 2</vt:lpstr>
      <vt:lpstr>JD 245G LC EXCAVATOR 3</vt:lpstr>
      <vt:lpstr>JD 245G LC EXCAVATOR 4</vt:lpstr>
      <vt:lpstr>JD 245G LC EXCAVATOR 5</vt:lpstr>
      <vt:lpstr>JD 245G LC EXCAVATOR 6</vt:lpstr>
      <vt:lpstr>JD 325G SKID STEER</vt:lpstr>
      <vt:lpstr>JD 325G CTL SKID STEER</vt:lpstr>
      <vt:lpstr>JD 325G HF SKID STEER</vt:lpstr>
      <vt:lpstr>JD 329D TRACK LOADER</vt:lpstr>
      <vt:lpstr>JD 333E TRACK LOADER</vt:lpstr>
      <vt:lpstr>JD 345GLC EXCAVATOR </vt:lpstr>
      <vt:lpstr>JD 345GLC EXCAVATOR 2</vt:lpstr>
      <vt:lpstr>JD 345GLC EXCAVATOR 3</vt:lpstr>
      <vt:lpstr>JD 350GLC EXCAVATOR</vt:lpstr>
      <vt:lpstr>JD 35P EXCAVATOR </vt:lpstr>
      <vt:lpstr>JD 470GLC EXCAVATOR</vt:lpstr>
      <vt:lpstr>JD 470GLC EXCAVATOR 2</vt:lpstr>
      <vt:lpstr>JD 50G EXCAVATOR</vt:lpstr>
      <vt:lpstr>JD 75P EXACAVATOR</vt:lpstr>
      <vt:lpstr>JD 524K WHEEL LOADER</vt:lpstr>
      <vt:lpstr>JD 524L WHEEL LOADER</vt:lpstr>
      <vt:lpstr>JD 544G WHEEL LOADER</vt:lpstr>
      <vt:lpstr>JD 544G WHEEL LOADER 2</vt:lpstr>
      <vt:lpstr>JD 544K WHEEL LOADER</vt:lpstr>
      <vt:lpstr>JD 544K WHEEL LOADER 2</vt:lpstr>
      <vt:lpstr>JD 650J DOZER</vt:lpstr>
      <vt:lpstr>JD 650J DOZER 2</vt:lpstr>
      <vt:lpstr>JD650K DOZER</vt:lpstr>
      <vt:lpstr>JD 650P DOZER</vt:lpstr>
      <vt:lpstr>JD 700L DOZER</vt:lpstr>
      <vt:lpstr>JD 750K DOZER</vt:lpstr>
      <vt:lpstr>JD 764 HSD</vt:lpstr>
      <vt:lpstr>JD 872G MOTOR GRADER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Umair  Ansari</cp:lastModifiedBy>
  <dcterms:modified xsi:type="dcterms:W3CDTF">2024-11-26T16:10:44Z</dcterms:modified>
</cp:coreProperties>
</file>