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202300"/>
  <mc:AlternateContent xmlns:mc="http://schemas.openxmlformats.org/markup-compatibility/2006">
    <mc:Choice Requires="x15">
      <x15ac:absPath xmlns:x15ac="http://schemas.microsoft.com/office/spreadsheetml/2010/11/ac" url="C:\Users\rushi\Downloads\"/>
    </mc:Choice>
  </mc:AlternateContent>
  <xr:revisionPtr revIDLastSave="0" documentId="13_ncr:1_{FCDF6880-91C1-478F-899F-73CD46C97531}" xr6:coauthVersionLast="47" xr6:coauthVersionMax="47" xr10:uidLastSave="{00000000-0000-0000-0000-000000000000}"/>
  <bookViews>
    <workbookView xWindow="-120" yWindow="-120" windowWidth="20640" windowHeight="11160" tabRatio="897" firstSheet="5" activeTab="12" xr2:uid="{EAC116F2-D257-4308-B3E1-626B33CB1430}"/>
  </bookViews>
  <sheets>
    <sheet name="MOQ Batteries" sheetId="47" r:id="rId1"/>
    <sheet name="MOQ Engine" sheetId="61" r:id="rId2"/>
    <sheet name="MOQ Filters Q1" sheetId="48" r:id="rId3"/>
    <sheet name="MOQ Filters Q2" sheetId="63" r:id="rId4"/>
    <sheet name="MOQ Filters Q3" sheetId="65" r:id="rId5"/>
    <sheet name="MOQ Filters Q4" sheetId="66" r:id="rId6"/>
    <sheet name="MOQ GET Parts" sheetId="60" r:id="rId7"/>
    <sheet name="MOQ Injectors" sheetId="53" r:id="rId8"/>
    <sheet name="MOQ Operator Seats" sheetId="55" r:id="rId9"/>
    <sheet name="MOQ Tires" sheetId="69" r:id="rId10"/>
    <sheet name="MOQ Turbos" sheetId="56" r:id="rId11"/>
    <sheet name="MOQ Undercarriages" sheetId="62" r:id="rId12"/>
    <sheet name="MOQ Grand Total" sheetId="58" r:id="rId13"/>
  </sheets>
  <externalReferences>
    <externalReference r:id="rId14"/>
  </externalReferences>
  <definedNames>
    <definedName name="_xlnm._FilterDatabase" localSheetId="0" hidden="1">'MOQ Batteries'!$B$14:$I$64</definedName>
    <definedName name="_xlnm._FilterDatabase" localSheetId="1" hidden="1">'MOQ Engine'!$B$14:$I$97</definedName>
    <definedName name="_xlnm._FilterDatabase" localSheetId="6" hidden="1">'MOQ GET Parts'!$B$14:$I$116</definedName>
    <definedName name="_xlnm._FilterDatabase" localSheetId="7" hidden="1">'MOQ Injectors'!$B$14:$I$79</definedName>
    <definedName name="_xlnm._FilterDatabase" localSheetId="8" hidden="1">'MOQ Operator Seats'!$B$14:$I$63</definedName>
    <definedName name="_xlnm._FilterDatabase" localSheetId="9" hidden="1">'MOQ Tires'!$B$14:$I$79</definedName>
    <definedName name="_xlnm._FilterDatabase" localSheetId="10" hidden="1">'MOQ Turbos'!$B$14:$I$83</definedName>
    <definedName name="_xlnm._FilterDatabase" localSheetId="11" hidden="1">'MOQ Undercarriages'!$B$14:$I$276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1" i="58" l="1"/>
  <c r="E480" i="58"/>
  <c r="E482" i="58" s="1"/>
  <c r="C17" i="58"/>
  <c r="D17" i="58"/>
  <c r="E17" i="58"/>
  <c r="G17" i="58" s="1"/>
  <c r="F17" i="58"/>
  <c r="H17" i="58"/>
  <c r="C18" i="58"/>
  <c r="D18" i="58"/>
  <c r="E18" i="58"/>
  <c r="G18" i="58" s="1"/>
  <c r="F18" i="58"/>
  <c r="H18" i="58"/>
  <c r="C19" i="58"/>
  <c r="D19" i="58"/>
  <c r="E19" i="58"/>
  <c r="F19" i="58"/>
  <c r="H19" i="58"/>
  <c r="C20" i="58"/>
  <c r="D20" i="58"/>
  <c r="E20" i="58"/>
  <c r="G20" i="58" s="1"/>
  <c r="F20" i="58"/>
  <c r="H20" i="58"/>
  <c r="C21" i="58"/>
  <c r="D21" i="58"/>
  <c r="E21" i="58"/>
  <c r="F21" i="58"/>
  <c r="H21" i="58"/>
  <c r="C22" i="58"/>
  <c r="D22" i="58"/>
  <c r="E22" i="58"/>
  <c r="F22" i="58"/>
  <c r="H22" i="58"/>
  <c r="C23" i="58"/>
  <c r="D23" i="58"/>
  <c r="E23" i="58"/>
  <c r="G23" i="58" s="1"/>
  <c r="F23" i="58"/>
  <c r="H23" i="58"/>
  <c r="C24" i="58"/>
  <c r="D24" i="58"/>
  <c r="E24" i="58"/>
  <c r="G24" i="58" s="1"/>
  <c r="F24" i="58"/>
  <c r="H24" i="58"/>
  <c r="C25" i="58"/>
  <c r="D25" i="58"/>
  <c r="E25" i="58"/>
  <c r="F25" i="58"/>
  <c r="H25" i="58"/>
  <c r="C26" i="58"/>
  <c r="D26" i="58"/>
  <c r="E26" i="58"/>
  <c r="G26" i="58" s="1"/>
  <c r="F26" i="58"/>
  <c r="H26" i="58"/>
  <c r="C27" i="58"/>
  <c r="D27" i="58"/>
  <c r="E27" i="58"/>
  <c r="F27" i="58"/>
  <c r="H27" i="58"/>
  <c r="C28" i="58"/>
  <c r="D28" i="58"/>
  <c r="E28" i="58"/>
  <c r="F28" i="58"/>
  <c r="H28" i="58"/>
  <c r="C29" i="58"/>
  <c r="D29" i="58"/>
  <c r="E29" i="58"/>
  <c r="G29" i="58" s="1"/>
  <c r="F29" i="58"/>
  <c r="H29" i="58"/>
  <c r="C30" i="58"/>
  <c r="D30" i="58"/>
  <c r="E30" i="58"/>
  <c r="G30" i="58" s="1"/>
  <c r="F30" i="58"/>
  <c r="H30" i="58"/>
  <c r="C31" i="58"/>
  <c r="D31" i="58"/>
  <c r="E31" i="58"/>
  <c r="F31" i="58"/>
  <c r="H31" i="58"/>
  <c r="C32" i="58"/>
  <c r="D32" i="58"/>
  <c r="E32" i="58"/>
  <c r="G32" i="58" s="1"/>
  <c r="F32" i="58"/>
  <c r="H32" i="58"/>
  <c r="C33" i="58"/>
  <c r="D33" i="58"/>
  <c r="E33" i="58"/>
  <c r="F33" i="58"/>
  <c r="H33" i="58"/>
  <c r="C34" i="58"/>
  <c r="D34" i="58"/>
  <c r="E34" i="58"/>
  <c r="F34" i="58"/>
  <c r="H34" i="58"/>
  <c r="C35" i="58"/>
  <c r="D35" i="58"/>
  <c r="E35" i="58"/>
  <c r="G35" i="58" s="1"/>
  <c r="F35" i="58"/>
  <c r="H35" i="58"/>
  <c r="C36" i="58"/>
  <c r="D36" i="58"/>
  <c r="E36" i="58"/>
  <c r="F36" i="58"/>
  <c r="H36" i="58"/>
  <c r="C37" i="58"/>
  <c r="D37" i="58"/>
  <c r="E37" i="58"/>
  <c r="F37" i="58"/>
  <c r="H37" i="58"/>
  <c r="C38" i="58"/>
  <c r="D38" i="58"/>
  <c r="E38" i="58"/>
  <c r="G38" i="58" s="1"/>
  <c r="F38" i="58"/>
  <c r="H38" i="58"/>
  <c r="C39" i="58"/>
  <c r="D39" i="58"/>
  <c r="E39" i="58"/>
  <c r="F39" i="58"/>
  <c r="H39" i="58"/>
  <c r="C40" i="58"/>
  <c r="D40" i="58"/>
  <c r="E40" i="58"/>
  <c r="F40" i="58"/>
  <c r="H40" i="58"/>
  <c r="C41" i="58"/>
  <c r="D41" i="58"/>
  <c r="E41" i="58"/>
  <c r="G41" i="58" s="1"/>
  <c r="F41" i="58"/>
  <c r="H41" i="58"/>
  <c r="C42" i="58"/>
  <c r="D42" i="58"/>
  <c r="E42" i="58"/>
  <c r="G42" i="58" s="1"/>
  <c r="F42" i="58"/>
  <c r="H42" i="58"/>
  <c r="C43" i="58"/>
  <c r="D43" i="58"/>
  <c r="E43" i="58"/>
  <c r="F43" i="58"/>
  <c r="H43" i="58"/>
  <c r="C44" i="58"/>
  <c r="D44" i="58"/>
  <c r="E44" i="58"/>
  <c r="G44" i="58" s="1"/>
  <c r="F44" i="58"/>
  <c r="H44" i="58"/>
  <c r="C45" i="58"/>
  <c r="D45" i="58"/>
  <c r="E45" i="58"/>
  <c r="F45" i="58"/>
  <c r="H45" i="58"/>
  <c r="C46" i="58"/>
  <c r="D46" i="58"/>
  <c r="E46" i="58"/>
  <c r="F46" i="58"/>
  <c r="H46" i="58"/>
  <c r="C47" i="58"/>
  <c r="D47" i="58"/>
  <c r="E47" i="58"/>
  <c r="G47" i="58" s="1"/>
  <c r="F47" i="58"/>
  <c r="H47" i="58"/>
  <c r="C48" i="58"/>
  <c r="D48" i="58"/>
  <c r="E48" i="58"/>
  <c r="G48" i="58" s="1"/>
  <c r="F48" i="58"/>
  <c r="H48" i="58"/>
  <c r="C49" i="58"/>
  <c r="D49" i="58"/>
  <c r="E49" i="58"/>
  <c r="F49" i="58"/>
  <c r="H49" i="58"/>
  <c r="C50" i="58"/>
  <c r="D50" i="58"/>
  <c r="E50" i="58"/>
  <c r="G50" i="58" s="1"/>
  <c r="F50" i="58"/>
  <c r="H50" i="58"/>
  <c r="C51" i="58"/>
  <c r="D51" i="58"/>
  <c r="E51" i="58"/>
  <c r="F51" i="58"/>
  <c r="H51" i="58"/>
  <c r="C52" i="58"/>
  <c r="D52" i="58"/>
  <c r="E52" i="58"/>
  <c r="F52" i="58"/>
  <c r="H52" i="58"/>
  <c r="C53" i="58"/>
  <c r="D53" i="58"/>
  <c r="E53" i="58"/>
  <c r="G53" i="58" s="1"/>
  <c r="F53" i="58"/>
  <c r="H53" i="58"/>
  <c r="C54" i="58"/>
  <c r="D54" i="58"/>
  <c r="E54" i="58"/>
  <c r="G54" i="58" s="1"/>
  <c r="F54" i="58"/>
  <c r="H54" i="58"/>
  <c r="C55" i="58"/>
  <c r="D55" i="58"/>
  <c r="E55" i="58"/>
  <c r="F55" i="58"/>
  <c r="H55" i="58"/>
  <c r="C56" i="58"/>
  <c r="D56" i="58"/>
  <c r="E56" i="58"/>
  <c r="G56" i="58" s="1"/>
  <c r="F56" i="58"/>
  <c r="H56" i="58"/>
  <c r="C57" i="58"/>
  <c r="D57" i="58"/>
  <c r="E57" i="58"/>
  <c r="F57" i="58"/>
  <c r="H57" i="58"/>
  <c r="C58" i="58"/>
  <c r="D58" i="58"/>
  <c r="E58" i="58"/>
  <c r="F58" i="58"/>
  <c r="H58" i="58"/>
  <c r="C59" i="58"/>
  <c r="D59" i="58"/>
  <c r="E59" i="58"/>
  <c r="G59" i="58" s="1"/>
  <c r="F59" i="58"/>
  <c r="H59" i="58"/>
  <c r="C60" i="58"/>
  <c r="D60" i="58"/>
  <c r="E60" i="58"/>
  <c r="G60" i="58" s="1"/>
  <c r="F60" i="58"/>
  <c r="H60" i="58"/>
  <c r="C61" i="58"/>
  <c r="D61" i="58"/>
  <c r="E61" i="58"/>
  <c r="F61" i="58"/>
  <c r="H61" i="58"/>
  <c r="C62" i="58"/>
  <c r="D62" i="58"/>
  <c r="E62" i="58"/>
  <c r="G62" i="58" s="1"/>
  <c r="F62" i="58"/>
  <c r="H62" i="58"/>
  <c r="C63" i="58"/>
  <c r="D63" i="58"/>
  <c r="E63" i="58"/>
  <c r="F63" i="58"/>
  <c r="H63" i="58"/>
  <c r="C64" i="58"/>
  <c r="D64" i="58"/>
  <c r="E64" i="58"/>
  <c r="G64" i="58" s="1"/>
  <c r="F64" i="58"/>
  <c r="H64" i="58"/>
  <c r="C65" i="58"/>
  <c r="D65" i="58"/>
  <c r="E65" i="58"/>
  <c r="G65" i="58" s="1"/>
  <c r="F65" i="58"/>
  <c r="H65" i="58"/>
  <c r="C66" i="58"/>
  <c r="D66" i="58"/>
  <c r="E66" i="58"/>
  <c r="G66" i="58" s="1"/>
  <c r="F66" i="58"/>
  <c r="H66" i="58"/>
  <c r="C67" i="58"/>
  <c r="D67" i="58"/>
  <c r="E67" i="58"/>
  <c r="F67" i="58"/>
  <c r="H67" i="58"/>
  <c r="C68" i="58"/>
  <c r="D68" i="58"/>
  <c r="E68" i="58"/>
  <c r="G68" i="58" s="1"/>
  <c r="F68" i="58"/>
  <c r="H68" i="58"/>
  <c r="C69" i="58"/>
  <c r="D69" i="58"/>
  <c r="E69" i="58"/>
  <c r="F69" i="58"/>
  <c r="H69" i="58"/>
  <c r="C70" i="58"/>
  <c r="D70" i="58"/>
  <c r="E70" i="58"/>
  <c r="G70" i="58" s="1"/>
  <c r="F70" i="58"/>
  <c r="H70" i="58"/>
  <c r="C71" i="58"/>
  <c r="D71" i="58"/>
  <c r="E71" i="58"/>
  <c r="G71" i="58" s="1"/>
  <c r="F71" i="58"/>
  <c r="H71" i="58"/>
  <c r="C72" i="58"/>
  <c r="D72" i="58"/>
  <c r="E72" i="58"/>
  <c r="G72" i="58" s="1"/>
  <c r="F72" i="58"/>
  <c r="H72" i="58"/>
  <c r="C73" i="58"/>
  <c r="D73" i="58"/>
  <c r="E73" i="58"/>
  <c r="F73" i="58"/>
  <c r="H73" i="58"/>
  <c r="C74" i="58"/>
  <c r="D74" i="58"/>
  <c r="E74" i="58"/>
  <c r="G74" i="58" s="1"/>
  <c r="F74" i="58"/>
  <c r="H74" i="58"/>
  <c r="C75" i="58"/>
  <c r="D75" i="58"/>
  <c r="E75" i="58"/>
  <c r="F75" i="58"/>
  <c r="H75" i="58"/>
  <c r="C76" i="58"/>
  <c r="D76" i="58"/>
  <c r="E76" i="58"/>
  <c r="F76" i="58"/>
  <c r="H76" i="58"/>
  <c r="C77" i="58"/>
  <c r="D77" i="58"/>
  <c r="E77" i="58"/>
  <c r="G77" i="58" s="1"/>
  <c r="F77" i="58"/>
  <c r="H77" i="58"/>
  <c r="C78" i="58"/>
  <c r="D78" i="58"/>
  <c r="E78" i="58"/>
  <c r="G78" i="58" s="1"/>
  <c r="F78" i="58"/>
  <c r="H78" i="58"/>
  <c r="C79" i="58"/>
  <c r="D79" i="58"/>
  <c r="E79" i="58"/>
  <c r="F79" i="58"/>
  <c r="H79" i="58"/>
  <c r="C80" i="58"/>
  <c r="D80" i="58"/>
  <c r="E80" i="58"/>
  <c r="G80" i="58" s="1"/>
  <c r="F80" i="58"/>
  <c r="H80" i="58"/>
  <c r="C81" i="58"/>
  <c r="D81" i="58"/>
  <c r="E81" i="58"/>
  <c r="F81" i="58"/>
  <c r="H81" i="58"/>
  <c r="C82" i="58"/>
  <c r="D82" i="58"/>
  <c r="E82" i="58"/>
  <c r="G82" i="58" s="1"/>
  <c r="F82" i="58"/>
  <c r="H82" i="58"/>
  <c r="C83" i="58"/>
  <c r="D83" i="58"/>
  <c r="E83" i="58"/>
  <c r="G83" i="58" s="1"/>
  <c r="F83" i="58"/>
  <c r="H83" i="58"/>
  <c r="C84" i="58"/>
  <c r="D84" i="58"/>
  <c r="E84" i="58"/>
  <c r="G84" i="58" s="1"/>
  <c r="F84" i="58"/>
  <c r="H84" i="58"/>
  <c r="C85" i="58"/>
  <c r="D85" i="58"/>
  <c r="E85" i="58"/>
  <c r="F85" i="58"/>
  <c r="H85" i="58"/>
  <c r="C86" i="58"/>
  <c r="D86" i="58"/>
  <c r="E86" i="58"/>
  <c r="G86" i="58" s="1"/>
  <c r="F86" i="58"/>
  <c r="H86" i="58"/>
  <c r="C87" i="58"/>
  <c r="D87" i="58"/>
  <c r="E87" i="58"/>
  <c r="F87" i="58"/>
  <c r="H87" i="58"/>
  <c r="C88" i="58"/>
  <c r="D88" i="58"/>
  <c r="E88" i="58"/>
  <c r="G88" i="58" s="1"/>
  <c r="F88" i="58"/>
  <c r="H88" i="58"/>
  <c r="C89" i="58"/>
  <c r="D89" i="58"/>
  <c r="E89" i="58"/>
  <c r="G89" i="58" s="1"/>
  <c r="F89" i="58"/>
  <c r="H89" i="58"/>
  <c r="C90" i="58"/>
  <c r="D90" i="58"/>
  <c r="E90" i="58"/>
  <c r="G90" i="58" s="1"/>
  <c r="F90" i="58"/>
  <c r="H90" i="58"/>
  <c r="C91" i="58"/>
  <c r="D91" i="58"/>
  <c r="E91" i="58"/>
  <c r="F91" i="58"/>
  <c r="H91" i="58"/>
  <c r="C92" i="58"/>
  <c r="D92" i="58"/>
  <c r="E92" i="58"/>
  <c r="G92" i="58" s="1"/>
  <c r="F92" i="58"/>
  <c r="H92" i="58"/>
  <c r="C93" i="58"/>
  <c r="D93" i="58"/>
  <c r="E93" i="58"/>
  <c r="F93" i="58"/>
  <c r="H93" i="58"/>
  <c r="C94" i="58"/>
  <c r="D94" i="58"/>
  <c r="E94" i="58"/>
  <c r="G94" i="58" s="1"/>
  <c r="F94" i="58"/>
  <c r="H94" i="58"/>
  <c r="C95" i="58"/>
  <c r="D95" i="58"/>
  <c r="E95" i="58"/>
  <c r="G95" i="58" s="1"/>
  <c r="F95" i="58"/>
  <c r="H95" i="58"/>
  <c r="C96" i="58"/>
  <c r="D96" i="58"/>
  <c r="E96" i="58"/>
  <c r="G96" i="58" s="1"/>
  <c r="F96" i="58"/>
  <c r="H96" i="58"/>
  <c r="C97" i="58"/>
  <c r="D97" i="58"/>
  <c r="E97" i="58"/>
  <c r="F97" i="58"/>
  <c r="H97" i="58"/>
  <c r="C98" i="58"/>
  <c r="D98" i="58"/>
  <c r="E98" i="58"/>
  <c r="G98" i="58" s="1"/>
  <c r="F98" i="58"/>
  <c r="H98" i="58"/>
  <c r="C99" i="58"/>
  <c r="D99" i="58"/>
  <c r="E99" i="58"/>
  <c r="F99" i="58"/>
  <c r="H99" i="58"/>
  <c r="C100" i="58"/>
  <c r="D100" i="58"/>
  <c r="E100" i="58"/>
  <c r="G100" i="58" s="1"/>
  <c r="F100" i="58"/>
  <c r="H100" i="58"/>
  <c r="C101" i="58"/>
  <c r="D101" i="58"/>
  <c r="E101" i="58"/>
  <c r="G101" i="58" s="1"/>
  <c r="F101" i="58"/>
  <c r="H101" i="58"/>
  <c r="C102" i="58"/>
  <c r="D102" i="58"/>
  <c r="E102" i="58"/>
  <c r="G102" i="58" s="1"/>
  <c r="F102" i="58"/>
  <c r="H102" i="58"/>
  <c r="C103" i="58"/>
  <c r="D103" i="58"/>
  <c r="E103" i="58"/>
  <c r="F103" i="58"/>
  <c r="H103" i="58"/>
  <c r="C104" i="58"/>
  <c r="D104" i="58"/>
  <c r="E104" i="58"/>
  <c r="G104" i="58" s="1"/>
  <c r="F104" i="58"/>
  <c r="H104" i="58"/>
  <c r="C105" i="58"/>
  <c r="D105" i="58"/>
  <c r="E105" i="58"/>
  <c r="F105" i="58"/>
  <c r="H105" i="58"/>
  <c r="C106" i="58"/>
  <c r="D106" i="58"/>
  <c r="E106" i="58"/>
  <c r="G106" i="58" s="1"/>
  <c r="F106" i="58"/>
  <c r="H106" i="58"/>
  <c r="C107" i="58"/>
  <c r="D107" i="58"/>
  <c r="E107" i="58"/>
  <c r="F107" i="58"/>
  <c r="H107" i="58"/>
  <c r="C108" i="58"/>
  <c r="D108" i="58"/>
  <c r="E108" i="58"/>
  <c r="G108" i="58" s="1"/>
  <c r="F108" i="58"/>
  <c r="H108" i="58"/>
  <c r="C109" i="58"/>
  <c r="D109" i="58"/>
  <c r="E109" i="58"/>
  <c r="F109" i="58"/>
  <c r="H109" i="58"/>
  <c r="C110" i="58"/>
  <c r="D110" i="58"/>
  <c r="E110" i="58"/>
  <c r="G110" i="58" s="1"/>
  <c r="F110" i="58"/>
  <c r="H110" i="58"/>
  <c r="C111" i="58"/>
  <c r="D111" i="58"/>
  <c r="E111" i="58"/>
  <c r="F111" i="58"/>
  <c r="H111" i="58"/>
  <c r="C112" i="58"/>
  <c r="D112" i="58"/>
  <c r="E112" i="58"/>
  <c r="G112" i="58" s="1"/>
  <c r="F112" i="58"/>
  <c r="H112" i="58"/>
  <c r="C113" i="58"/>
  <c r="D113" i="58"/>
  <c r="E113" i="58"/>
  <c r="F113" i="58"/>
  <c r="H113" i="58"/>
  <c r="C114" i="58"/>
  <c r="D114" i="58"/>
  <c r="E114" i="58"/>
  <c r="G114" i="58" s="1"/>
  <c r="F114" i="58"/>
  <c r="H114" i="58"/>
  <c r="C115" i="58"/>
  <c r="D115" i="58"/>
  <c r="E115" i="58"/>
  <c r="F115" i="58"/>
  <c r="H115" i="58"/>
  <c r="C116" i="58"/>
  <c r="D116" i="58"/>
  <c r="E116" i="58"/>
  <c r="G116" i="58" s="1"/>
  <c r="F116" i="58"/>
  <c r="H116" i="58"/>
  <c r="C117" i="58"/>
  <c r="D117" i="58"/>
  <c r="E117" i="58"/>
  <c r="F117" i="58"/>
  <c r="H117" i="58"/>
  <c r="C118" i="58"/>
  <c r="D118" i="58"/>
  <c r="E118" i="58"/>
  <c r="G118" i="58" s="1"/>
  <c r="F118" i="58"/>
  <c r="H118" i="58"/>
  <c r="C119" i="58"/>
  <c r="D119" i="58"/>
  <c r="E119" i="58"/>
  <c r="F119" i="58"/>
  <c r="H119" i="58"/>
  <c r="C120" i="58"/>
  <c r="D120" i="58"/>
  <c r="E120" i="58"/>
  <c r="G120" i="58" s="1"/>
  <c r="F120" i="58"/>
  <c r="H120" i="58"/>
  <c r="C121" i="58"/>
  <c r="D121" i="58"/>
  <c r="E121" i="58"/>
  <c r="F121" i="58"/>
  <c r="H121" i="58"/>
  <c r="C122" i="58"/>
  <c r="D122" i="58"/>
  <c r="E122" i="58"/>
  <c r="G122" i="58" s="1"/>
  <c r="F122" i="58"/>
  <c r="H122" i="58"/>
  <c r="C123" i="58"/>
  <c r="D123" i="58"/>
  <c r="E123" i="58"/>
  <c r="F123" i="58"/>
  <c r="H123" i="58"/>
  <c r="C124" i="58"/>
  <c r="D124" i="58"/>
  <c r="E124" i="58"/>
  <c r="G124" i="58" s="1"/>
  <c r="F124" i="58"/>
  <c r="H124" i="58"/>
  <c r="C125" i="58"/>
  <c r="D125" i="58"/>
  <c r="E125" i="58"/>
  <c r="F125" i="58"/>
  <c r="H125" i="58"/>
  <c r="C126" i="58"/>
  <c r="D126" i="58"/>
  <c r="E126" i="58"/>
  <c r="G126" i="58" s="1"/>
  <c r="F126" i="58"/>
  <c r="H126" i="58"/>
  <c r="C127" i="58"/>
  <c r="D127" i="58"/>
  <c r="E127" i="58"/>
  <c r="F127" i="58"/>
  <c r="H127" i="58"/>
  <c r="C128" i="58"/>
  <c r="D128" i="58"/>
  <c r="E128" i="58"/>
  <c r="G128" i="58" s="1"/>
  <c r="F128" i="58"/>
  <c r="H128" i="58"/>
  <c r="C129" i="58"/>
  <c r="D129" i="58"/>
  <c r="E129" i="58"/>
  <c r="F129" i="58"/>
  <c r="H129" i="58"/>
  <c r="C130" i="58"/>
  <c r="D130" i="58"/>
  <c r="E130" i="58"/>
  <c r="G130" i="58" s="1"/>
  <c r="F130" i="58"/>
  <c r="H130" i="58"/>
  <c r="C131" i="58"/>
  <c r="D131" i="58"/>
  <c r="E131" i="58"/>
  <c r="F131" i="58"/>
  <c r="H131" i="58"/>
  <c r="C132" i="58"/>
  <c r="D132" i="58"/>
  <c r="E132" i="58"/>
  <c r="G132" i="58" s="1"/>
  <c r="F132" i="58"/>
  <c r="H132" i="58"/>
  <c r="C133" i="58"/>
  <c r="D133" i="58"/>
  <c r="E133" i="58"/>
  <c r="F133" i="58"/>
  <c r="H133" i="58"/>
  <c r="C134" i="58"/>
  <c r="D134" i="58"/>
  <c r="E134" i="58"/>
  <c r="G134" i="58" s="1"/>
  <c r="F134" i="58"/>
  <c r="H134" i="58"/>
  <c r="C135" i="58"/>
  <c r="D135" i="58"/>
  <c r="E135" i="58"/>
  <c r="F135" i="58"/>
  <c r="H135" i="58"/>
  <c r="C136" i="58"/>
  <c r="D136" i="58"/>
  <c r="E136" i="58"/>
  <c r="G136" i="58" s="1"/>
  <c r="F136" i="58"/>
  <c r="H136" i="58"/>
  <c r="C137" i="58"/>
  <c r="D137" i="58"/>
  <c r="E137" i="58"/>
  <c r="F137" i="58"/>
  <c r="H137" i="58"/>
  <c r="C138" i="58"/>
  <c r="D138" i="58"/>
  <c r="E138" i="58"/>
  <c r="G138" i="58" s="1"/>
  <c r="F138" i="58"/>
  <c r="H138" i="58"/>
  <c r="C139" i="58"/>
  <c r="D139" i="58"/>
  <c r="E139" i="58"/>
  <c r="F139" i="58"/>
  <c r="H139" i="58"/>
  <c r="C140" i="58"/>
  <c r="D140" i="58"/>
  <c r="E140" i="58"/>
  <c r="G140" i="58" s="1"/>
  <c r="F140" i="58"/>
  <c r="H140" i="58"/>
  <c r="C141" i="58"/>
  <c r="D141" i="58"/>
  <c r="E141" i="58"/>
  <c r="F141" i="58"/>
  <c r="H141" i="58"/>
  <c r="C142" i="58"/>
  <c r="D142" i="58"/>
  <c r="E142" i="58"/>
  <c r="G142" i="58" s="1"/>
  <c r="F142" i="58"/>
  <c r="H142" i="58"/>
  <c r="C143" i="58"/>
  <c r="D143" i="58"/>
  <c r="E143" i="58"/>
  <c r="F143" i="58"/>
  <c r="H143" i="58"/>
  <c r="C144" i="58"/>
  <c r="D144" i="58"/>
  <c r="E144" i="58"/>
  <c r="G144" i="58" s="1"/>
  <c r="F144" i="58"/>
  <c r="H144" i="58"/>
  <c r="C145" i="58"/>
  <c r="D145" i="58"/>
  <c r="E145" i="58"/>
  <c r="F145" i="58"/>
  <c r="H145" i="58"/>
  <c r="C146" i="58"/>
  <c r="D146" i="58"/>
  <c r="E146" i="58"/>
  <c r="G146" i="58" s="1"/>
  <c r="F146" i="58"/>
  <c r="H146" i="58"/>
  <c r="C147" i="58"/>
  <c r="D147" i="58"/>
  <c r="E147" i="58"/>
  <c r="F147" i="58"/>
  <c r="H147" i="58"/>
  <c r="C148" i="58"/>
  <c r="D148" i="58"/>
  <c r="E148" i="58"/>
  <c r="G148" i="58" s="1"/>
  <c r="F148" i="58"/>
  <c r="H148" i="58"/>
  <c r="C149" i="58"/>
  <c r="D149" i="58"/>
  <c r="E149" i="58"/>
  <c r="F149" i="58"/>
  <c r="H149" i="58"/>
  <c r="C150" i="58"/>
  <c r="D150" i="58"/>
  <c r="E150" i="58"/>
  <c r="G150" i="58" s="1"/>
  <c r="F150" i="58"/>
  <c r="H150" i="58"/>
  <c r="C151" i="58"/>
  <c r="D151" i="58"/>
  <c r="E151" i="58"/>
  <c r="F151" i="58"/>
  <c r="H151" i="58"/>
  <c r="C152" i="58"/>
  <c r="D152" i="58"/>
  <c r="E152" i="58"/>
  <c r="G152" i="58" s="1"/>
  <c r="F152" i="58"/>
  <c r="H152" i="58"/>
  <c r="C153" i="58"/>
  <c r="D153" i="58"/>
  <c r="E153" i="58"/>
  <c r="F153" i="58"/>
  <c r="H153" i="58"/>
  <c r="C154" i="58"/>
  <c r="D154" i="58"/>
  <c r="E154" i="58"/>
  <c r="G154" i="58" s="1"/>
  <c r="F154" i="58"/>
  <c r="H154" i="58"/>
  <c r="C155" i="58"/>
  <c r="D155" i="58"/>
  <c r="E155" i="58"/>
  <c r="F155" i="58"/>
  <c r="H155" i="58"/>
  <c r="C156" i="58"/>
  <c r="D156" i="58"/>
  <c r="E156" i="58"/>
  <c r="G156" i="58" s="1"/>
  <c r="F156" i="58"/>
  <c r="H156" i="58"/>
  <c r="C157" i="58"/>
  <c r="D157" i="58"/>
  <c r="E157" i="58"/>
  <c r="F157" i="58"/>
  <c r="H157" i="58"/>
  <c r="C158" i="58"/>
  <c r="D158" i="58"/>
  <c r="E158" i="58"/>
  <c r="G158" i="58" s="1"/>
  <c r="F158" i="58"/>
  <c r="H158" i="58"/>
  <c r="C159" i="58"/>
  <c r="D159" i="58"/>
  <c r="E159" i="58"/>
  <c r="F159" i="58"/>
  <c r="H159" i="58"/>
  <c r="C160" i="58"/>
  <c r="D160" i="58"/>
  <c r="E160" i="58"/>
  <c r="G160" i="58" s="1"/>
  <c r="F160" i="58"/>
  <c r="H160" i="58"/>
  <c r="C161" i="58"/>
  <c r="D161" i="58"/>
  <c r="E161" i="58"/>
  <c r="F161" i="58"/>
  <c r="H161" i="58"/>
  <c r="C162" i="58"/>
  <c r="D162" i="58"/>
  <c r="E162" i="58"/>
  <c r="G162" i="58" s="1"/>
  <c r="F162" i="58"/>
  <c r="H162" i="58"/>
  <c r="C163" i="58"/>
  <c r="D163" i="58"/>
  <c r="E163" i="58"/>
  <c r="F163" i="58"/>
  <c r="H163" i="58"/>
  <c r="C164" i="58"/>
  <c r="D164" i="58"/>
  <c r="E164" i="58"/>
  <c r="G164" i="58" s="1"/>
  <c r="F164" i="58"/>
  <c r="H164" i="58"/>
  <c r="C165" i="58"/>
  <c r="D165" i="58"/>
  <c r="E165" i="58"/>
  <c r="F165" i="58"/>
  <c r="H165" i="58"/>
  <c r="C166" i="58"/>
  <c r="D166" i="58"/>
  <c r="E166" i="58"/>
  <c r="G166" i="58" s="1"/>
  <c r="F166" i="58"/>
  <c r="H166" i="58"/>
  <c r="C167" i="58"/>
  <c r="D167" i="58"/>
  <c r="E167" i="58"/>
  <c r="F167" i="58"/>
  <c r="H167" i="58"/>
  <c r="C168" i="58"/>
  <c r="D168" i="58"/>
  <c r="E168" i="58"/>
  <c r="G168" i="58" s="1"/>
  <c r="F168" i="58"/>
  <c r="H168" i="58"/>
  <c r="C169" i="58"/>
  <c r="D169" i="58"/>
  <c r="E169" i="58"/>
  <c r="F169" i="58"/>
  <c r="H169" i="58"/>
  <c r="C170" i="58"/>
  <c r="D170" i="58"/>
  <c r="E170" i="58"/>
  <c r="G170" i="58" s="1"/>
  <c r="F170" i="58"/>
  <c r="H170" i="58"/>
  <c r="C171" i="58"/>
  <c r="D171" i="58"/>
  <c r="E171" i="58"/>
  <c r="F171" i="58"/>
  <c r="H171" i="58"/>
  <c r="C172" i="58"/>
  <c r="D172" i="58"/>
  <c r="E172" i="58"/>
  <c r="G172" i="58" s="1"/>
  <c r="F172" i="58"/>
  <c r="H172" i="58"/>
  <c r="C173" i="58"/>
  <c r="D173" i="58"/>
  <c r="E173" i="58"/>
  <c r="F173" i="58"/>
  <c r="H173" i="58"/>
  <c r="C174" i="58"/>
  <c r="D174" i="58"/>
  <c r="E174" i="58"/>
  <c r="G174" i="58" s="1"/>
  <c r="F174" i="58"/>
  <c r="H174" i="58"/>
  <c r="C175" i="58"/>
  <c r="D175" i="58"/>
  <c r="E175" i="58"/>
  <c r="F175" i="58"/>
  <c r="H175" i="58"/>
  <c r="C176" i="58"/>
  <c r="D176" i="58"/>
  <c r="E176" i="58"/>
  <c r="G176" i="58" s="1"/>
  <c r="F176" i="58"/>
  <c r="H176" i="58"/>
  <c r="C177" i="58"/>
  <c r="D177" i="58"/>
  <c r="E177" i="58"/>
  <c r="F177" i="58"/>
  <c r="H177" i="58"/>
  <c r="C178" i="58"/>
  <c r="D178" i="58"/>
  <c r="E178" i="58"/>
  <c r="G178" i="58" s="1"/>
  <c r="F178" i="58"/>
  <c r="H178" i="58"/>
  <c r="C179" i="58"/>
  <c r="D179" i="58"/>
  <c r="E179" i="58"/>
  <c r="G179" i="58" s="1"/>
  <c r="F179" i="58"/>
  <c r="H179" i="58"/>
  <c r="C180" i="58"/>
  <c r="D180" i="58"/>
  <c r="E180" i="58"/>
  <c r="G180" i="58" s="1"/>
  <c r="F180" i="58"/>
  <c r="H180" i="58"/>
  <c r="C181" i="58"/>
  <c r="D181" i="58"/>
  <c r="E181" i="58"/>
  <c r="G181" i="58" s="1"/>
  <c r="F181" i="58"/>
  <c r="H181" i="58"/>
  <c r="C182" i="58"/>
  <c r="D182" i="58"/>
  <c r="E182" i="58"/>
  <c r="G182" i="58" s="1"/>
  <c r="F182" i="58"/>
  <c r="H182" i="58"/>
  <c r="C183" i="58"/>
  <c r="D183" i="58"/>
  <c r="E183" i="58"/>
  <c r="F183" i="58"/>
  <c r="H183" i="58"/>
  <c r="C184" i="58"/>
  <c r="D184" i="58"/>
  <c r="E184" i="58"/>
  <c r="G184" i="58" s="1"/>
  <c r="F184" i="58"/>
  <c r="H184" i="58"/>
  <c r="C185" i="58"/>
  <c r="D185" i="58"/>
  <c r="E185" i="58"/>
  <c r="F185" i="58"/>
  <c r="H185" i="58"/>
  <c r="C186" i="58"/>
  <c r="D186" i="58"/>
  <c r="E186" i="58"/>
  <c r="G186" i="58" s="1"/>
  <c r="F186" i="58"/>
  <c r="H186" i="58"/>
  <c r="C187" i="58"/>
  <c r="D187" i="58"/>
  <c r="E187" i="58"/>
  <c r="G187" i="58" s="1"/>
  <c r="F187" i="58"/>
  <c r="H187" i="58"/>
  <c r="C188" i="58"/>
  <c r="D188" i="58"/>
  <c r="E188" i="58"/>
  <c r="G188" i="58" s="1"/>
  <c r="F188" i="58"/>
  <c r="H188" i="58"/>
  <c r="C189" i="58"/>
  <c r="D189" i="58"/>
  <c r="E189" i="58"/>
  <c r="F189" i="58"/>
  <c r="H189" i="58"/>
  <c r="C190" i="58"/>
  <c r="D190" i="58"/>
  <c r="E190" i="58"/>
  <c r="G190" i="58" s="1"/>
  <c r="F190" i="58"/>
  <c r="H190" i="58"/>
  <c r="C191" i="58"/>
  <c r="D191" i="58"/>
  <c r="E191" i="58"/>
  <c r="G191" i="58" s="1"/>
  <c r="F191" i="58"/>
  <c r="H191" i="58"/>
  <c r="C192" i="58"/>
  <c r="D192" i="58"/>
  <c r="E192" i="58"/>
  <c r="G192" i="58" s="1"/>
  <c r="F192" i="58"/>
  <c r="H192" i="58"/>
  <c r="C193" i="58"/>
  <c r="D193" i="58"/>
  <c r="E193" i="58"/>
  <c r="G193" i="58" s="1"/>
  <c r="F193" i="58"/>
  <c r="H193" i="58"/>
  <c r="C194" i="58"/>
  <c r="D194" i="58"/>
  <c r="E194" i="58"/>
  <c r="G194" i="58" s="1"/>
  <c r="F194" i="58"/>
  <c r="H194" i="58"/>
  <c r="C195" i="58"/>
  <c r="D195" i="58"/>
  <c r="E195" i="58"/>
  <c r="F195" i="58"/>
  <c r="H195" i="58"/>
  <c r="C196" i="58"/>
  <c r="D196" i="58"/>
  <c r="E196" i="58"/>
  <c r="G196" i="58" s="1"/>
  <c r="F196" i="58"/>
  <c r="H196" i="58"/>
  <c r="C197" i="58"/>
  <c r="D197" i="58"/>
  <c r="E197" i="58"/>
  <c r="G197" i="58" s="1"/>
  <c r="F197" i="58"/>
  <c r="H197" i="58"/>
  <c r="C198" i="58"/>
  <c r="D198" i="58"/>
  <c r="E198" i="58"/>
  <c r="G198" i="58" s="1"/>
  <c r="F198" i="58"/>
  <c r="H198" i="58"/>
  <c r="C199" i="58"/>
  <c r="D199" i="58"/>
  <c r="E199" i="58"/>
  <c r="G199" i="58" s="1"/>
  <c r="F199" i="58"/>
  <c r="H199" i="58"/>
  <c r="C200" i="58"/>
  <c r="D200" i="58"/>
  <c r="E200" i="58"/>
  <c r="G200" i="58" s="1"/>
  <c r="F200" i="58"/>
  <c r="H200" i="58"/>
  <c r="C201" i="58"/>
  <c r="D201" i="58"/>
  <c r="E201" i="58"/>
  <c r="F201" i="58"/>
  <c r="H201" i="58"/>
  <c r="C202" i="58"/>
  <c r="D202" i="58"/>
  <c r="E202" i="58"/>
  <c r="G202" i="58" s="1"/>
  <c r="F202" i="58"/>
  <c r="H202" i="58"/>
  <c r="C203" i="58"/>
  <c r="D203" i="58"/>
  <c r="E203" i="58"/>
  <c r="G203" i="58" s="1"/>
  <c r="F203" i="58"/>
  <c r="H203" i="58"/>
  <c r="C204" i="58"/>
  <c r="D204" i="58"/>
  <c r="E204" i="58"/>
  <c r="G204" i="58" s="1"/>
  <c r="F204" i="58"/>
  <c r="H204" i="58"/>
  <c r="C205" i="58"/>
  <c r="D205" i="58"/>
  <c r="E205" i="58"/>
  <c r="G205" i="58" s="1"/>
  <c r="F205" i="58"/>
  <c r="H205" i="58"/>
  <c r="C206" i="58"/>
  <c r="D206" i="58"/>
  <c r="E206" i="58"/>
  <c r="G206" i="58" s="1"/>
  <c r="F206" i="58"/>
  <c r="H206" i="58"/>
  <c r="C207" i="58"/>
  <c r="D207" i="58"/>
  <c r="E207" i="58"/>
  <c r="F207" i="58"/>
  <c r="H207" i="58"/>
  <c r="C208" i="58"/>
  <c r="D208" i="58"/>
  <c r="E208" i="58"/>
  <c r="G208" i="58" s="1"/>
  <c r="F208" i="58"/>
  <c r="H208" i="58"/>
  <c r="C209" i="58"/>
  <c r="D209" i="58"/>
  <c r="E209" i="58"/>
  <c r="G209" i="58" s="1"/>
  <c r="F209" i="58"/>
  <c r="H209" i="58"/>
  <c r="C210" i="58"/>
  <c r="D210" i="58"/>
  <c r="E210" i="58"/>
  <c r="G210" i="58" s="1"/>
  <c r="F210" i="58"/>
  <c r="H210" i="58"/>
  <c r="C211" i="58"/>
  <c r="D211" i="58"/>
  <c r="E211" i="58"/>
  <c r="G211" i="58" s="1"/>
  <c r="F211" i="58"/>
  <c r="H211" i="58"/>
  <c r="C212" i="58"/>
  <c r="D212" i="58"/>
  <c r="E212" i="58"/>
  <c r="G212" i="58" s="1"/>
  <c r="F212" i="58"/>
  <c r="H212" i="58"/>
  <c r="C213" i="58"/>
  <c r="D213" i="58"/>
  <c r="E213" i="58"/>
  <c r="F213" i="58"/>
  <c r="H213" i="58"/>
  <c r="C214" i="58"/>
  <c r="D214" i="58"/>
  <c r="E214" i="58"/>
  <c r="G214" i="58" s="1"/>
  <c r="F214" i="58"/>
  <c r="H214" i="58"/>
  <c r="C215" i="58"/>
  <c r="D215" i="58"/>
  <c r="E215" i="58"/>
  <c r="F215" i="58"/>
  <c r="H215" i="58"/>
  <c r="C216" i="58"/>
  <c r="D216" i="58"/>
  <c r="E216" i="58"/>
  <c r="G216" i="58" s="1"/>
  <c r="F216" i="58"/>
  <c r="H216" i="58"/>
  <c r="C217" i="58"/>
  <c r="D217" i="58"/>
  <c r="E217" i="58"/>
  <c r="G217" i="58" s="1"/>
  <c r="F217" i="58"/>
  <c r="H217" i="58"/>
  <c r="C218" i="58"/>
  <c r="D218" i="58"/>
  <c r="E218" i="58"/>
  <c r="G218" i="58" s="1"/>
  <c r="F218" i="58"/>
  <c r="H218" i="58"/>
  <c r="C219" i="58"/>
  <c r="D219" i="58"/>
  <c r="E219" i="58"/>
  <c r="F219" i="58"/>
  <c r="H219" i="58"/>
  <c r="C220" i="58"/>
  <c r="D220" i="58"/>
  <c r="E220" i="58"/>
  <c r="G220" i="58" s="1"/>
  <c r="F220" i="58"/>
  <c r="H220" i="58"/>
  <c r="C221" i="58"/>
  <c r="D221" i="58"/>
  <c r="E221" i="58"/>
  <c r="F221" i="58"/>
  <c r="H221" i="58"/>
  <c r="C222" i="58"/>
  <c r="D222" i="58"/>
  <c r="E222" i="58"/>
  <c r="G222" i="58" s="1"/>
  <c r="F222" i="58"/>
  <c r="H222" i="58"/>
  <c r="C223" i="58"/>
  <c r="D223" i="58"/>
  <c r="E223" i="58"/>
  <c r="G223" i="58" s="1"/>
  <c r="F223" i="58"/>
  <c r="H223" i="58"/>
  <c r="C224" i="58"/>
  <c r="D224" i="58"/>
  <c r="E224" i="58"/>
  <c r="G224" i="58" s="1"/>
  <c r="F224" i="58"/>
  <c r="H224" i="58"/>
  <c r="C225" i="58"/>
  <c r="D225" i="58"/>
  <c r="E225" i="58"/>
  <c r="F225" i="58"/>
  <c r="H225" i="58"/>
  <c r="C226" i="58"/>
  <c r="D226" i="58"/>
  <c r="E226" i="58"/>
  <c r="G226" i="58" s="1"/>
  <c r="F226" i="58"/>
  <c r="H226" i="58"/>
  <c r="C227" i="58"/>
  <c r="D227" i="58"/>
  <c r="E227" i="58"/>
  <c r="F227" i="58"/>
  <c r="H227" i="58"/>
  <c r="C228" i="58"/>
  <c r="D228" i="58"/>
  <c r="E228" i="58"/>
  <c r="G228" i="58" s="1"/>
  <c r="F228" i="58"/>
  <c r="H228" i="58"/>
  <c r="C229" i="58"/>
  <c r="D229" i="58"/>
  <c r="E229" i="58"/>
  <c r="G229" i="58" s="1"/>
  <c r="F229" i="58"/>
  <c r="H229" i="58"/>
  <c r="C230" i="58"/>
  <c r="D230" i="58"/>
  <c r="E230" i="58"/>
  <c r="G230" i="58" s="1"/>
  <c r="F230" i="58"/>
  <c r="H230" i="58"/>
  <c r="C231" i="58"/>
  <c r="D231" i="58"/>
  <c r="E231" i="58"/>
  <c r="F231" i="58"/>
  <c r="H231" i="58"/>
  <c r="C232" i="58"/>
  <c r="D232" i="58"/>
  <c r="E232" i="58"/>
  <c r="G232" i="58" s="1"/>
  <c r="F232" i="58"/>
  <c r="H232" i="58"/>
  <c r="C233" i="58"/>
  <c r="D233" i="58"/>
  <c r="E233" i="58"/>
  <c r="F233" i="58"/>
  <c r="H233" i="58"/>
  <c r="C234" i="58"/>
  <c r="D234" i="58"/>
  <c r="E234" i="58"/>
  <c r="G234" i="58" s="1"/>
  <c r="F234" i="58"/>
  <c r="H234" i="58"/>
  <c r="C235" i="58"/>
  <c r="D235" i="58"/>
  <c r="E235" i="58"/>
  <c r="G235" i="58" s="1"/>
  <c r="F235" i="58"/>
  <c r="H235" i="58"/>
  <c r="C236" i="58"/>
  <c r="D236" i="58"/>
  <c r="E236" i="58"/>
  <c r="G236" i="58" s="1"/>
  <c r="F236" i="58"/>
  <c r="H236" i="58"/>
  <c r="C237" i="58"/>
  <c r="D237" i="58"/>
  <c r="E237" i="58"/>
  <c r="F237" i="58"/>
  <c r="H237" i="58"/>
  <c r="C238" i="58"/>
  <c r="D238" i="58"/>
  <c r="E238" i="58"/>
  <c r="G238" i="58" s="1"/>
  <c r="F238" i="58"/>
  <c r="H238" i="58"/>
  <c r="C239" i="58"/>
  <c r="D239" i="58"/>
  <c r="E239" i="58"/>
  <c r="F239" i="58"/>
  <c r="H239" i="58"/>
  <c r="C240" i="58"/>
  <c r="D240" i="58"/>
  <c r="E240" i="58"/>
  <c r="G240" i="58" s="1"/>
  <c r="F240" i="58"/>
  <c r="H240" i="58"/>
  <c r="C241" i="58"/>
  <c r="D241" i="58"/>
  <c r="E241" i="58"/>
  <c r="G241" i="58" s="1"/>
  <c r="F241" i="58"/>
  <c r="H241" i="58"/>
  <c r="C242" i="58"/>
  <c r="D242" i="58"/>
  <c r="E242" i="58"/>
  <c r="G242" i="58" s="1"/>
  <c r="F242" i="58"/>
  <c r="H242" i="58"/>
  <c r="C243" i="58"/>
  <c r="D243" i="58"/>
  <c r="E243" i="58"/>
  <c r="F243" i="58"/>
  <c r="H243" i="58"/>
  <c r="C244" i="58"/>
  <c r="D244" i="58"/>
  <c r="E244" i="58"/>
  <c r="G244" i="58" s="1"/>
  <c r="F244" i="58"/>
  <c r="H244" i="58"/>
  <c r="C245" i="58"/>
  <c r="D245" i="58"/>
  <c r="E245" i="58"/>
  <c r="F245" i="58"/>
  <c r="H245" i="58"/>
  <c r="C246" i="58"/>
  <c r="D246" i="58"/>
  <c r="E246" i="58"/>
  <c r="G246" i="58" s="1"/>
  <c r="F246" i="58"/>
  <c r="H246" i="58"/>
  <c r="C247" i="58"/>
  <c r="D247" i="58"/>
  <c r="E247" i="58"/>
  <c r="G247" i="58" s="1"/>
  <c r="F247" i="58"/>
  <c r="H247" i="58"/>
  <c r="C248" i="58"/>
  <c r="D248" i="58"/>
  <c r="E248" i="58"/>
  <c r="G248" i="58" s="1"/>
  <c r="F248" i="58"/>
  <c r="H248" i="58"/>
  <c r="C249" i="58"/>
  <c r="D249" i="58"/>
  <c r="E249" i="58"/>
  <c r="F249" i="58"/>
  <c r="H249" i="58"/>
  <c r="C250" i="58"/>
  <c r="D250" i="58"/>
  <c r="E250" i="58"/>
  <c r="G250" i="58" s="1"/>
  <c r="F250" i="58"/>
  <c r="H250" i="58"/>
  <c r="C251" i="58"/>
  <c r="D251" i="58"/>
  <c r="E251" i="58"/>
  <c r="F251" i="58"/>
  <c r="H251" i="58"/>
  <c r="C252" i="58"/>
  <c r="D252" i="58"/>
  <c r="E252" i="58"/>
  <c r="G252" i="58" s="1"/>
  <c r="F252" i="58"/>
  <c r="H252" i="58"/>
  <c r="C253" i="58"/>
  <c r="D253" i="58"/>
  <c r="E253" i="58"/>
  <c r="G253" i="58" s="1"/>
  <c r="F253" i="58"/>
  <c r="H253" i="58"/>
  <c r="C254" i="58"/>
  <c r="D254" i="58"/>
  <c r="E254" i="58"/>
  <c r="G254" i="58" s="1"/>
  <c r="F254" i="58"/>
  <c r="H254" i="58"/>
  <c r="C255" i="58"/>
  <c r="D255" i="58"/>
  <c r="E255" i="58"/>
  <c r="F255" i="58"/>
  <c r="H255" i="58"/>
  <c r="C256" i="58"/>
  <c r="D256" i="58"/>
  <c r="E256" i="58"/>
  <c r="G256" i="58" s="1"/>
  <c r="F256" i="58"/>
  <c r="H256" i="58"/>
  <c r="C257" i="58"/>
  <c r="D257" i="58"/>
  <c r="E257" i="58"/>
  <c r="F257" i="58"/>
  <c r="H257" i="58"/>
  <c r="C258" i="58"/>
  <c r="D258" i="58"/>
  <c r="E258" i="58"/>
  <c r="G258" i="58" s="1"/>
  <c r="F258" i="58"/>
  <c r="H258" i="58"/>
  <c r="C259" i="58"/>
  <c r="D259" i="58"/>
  <c r="E259" i="58"/>
  <c r="G259" i="58" s="1"/>
  <c r="F259" i="58"/>
  <c r="H259" i="58"/>
  <c r="C260" i="58"/>
  <c r="D260" i="58"/>
  <c r="E260" i="58"/>
  <c r="G260" i="58" s="1"/>
  <c r="F260" i="58"/>
  <c r="H260" i="58"/>
  <c r="C261" i="58"/>
  <c r="D261" i="58"/>
  <c r="E261" i="58"/>
  <c r="F261" i="58"/>
  <c r="H261" i="58"/>
  <c r="C262" i="58"/>
  <c r="D262" i="58"/>
  <c r="E262" i="58"/>
  <c r="G262" i="58" s="1"/>
  <c r="F262" i="58"/>
  <c r="H262" i="58"/>
  <c r="C263" i="58"/>
  <c r="D263" i="58"/>
  <c r="E263" i="58"/>
  <c r="F263" i="58"/>
  <c r="H263" i="58"/>
  <c r="C264" i="58"/>
  <c r="D264" i="58"/>
  <c r="E264" i="58"/>
  <c r="G264" i="58" s="1"/>
  <c r="F264" i="58"/>
  <c r="H264" i="58"/>
  <c r="C265" i="58"/>
  <c r="D265" i="58"/>
  <c r="E265" i="58"/>
  <c r="G265" i="58" s="1"/>
  <c r="F265" i="58"/>
  <c r="H265" i="58"/>
  <c r="C266" i="58"/>
  <c r="D266" i="58"/>
  <c r="E266" i="58"/>
  <c r="G266" i="58" s="1"/>
  <c r="F266" i="58"/>
  <c r="H266" i="58"/>
  <c r="C267" i="58"/>
  <c r="D267" i="58"/>
  <c r="E267" i="58"/>
  <c r="F267" i="58"/>
  <c r="H267" i="58"/>
  <c r="C268" i="58"/>
  <c r="D268" i="58"/>
  <c r="E268" i="58"/>
  <c r="G268" i="58" s="1"/>
  <c r="F268" i="58"/>
  <c r="H268" i="58"/>
  <c r="C269" i="58"/>
  <c r="D269" i="58"/>
  <c r="E269" i="58"/>
  <c r="F269" i="58"/>
  <c r="H269" i="58"/>
  <c r="C270" i="58"/>
  <c r="D270" i="58"/>
  <c r="E270" i="58"/>
  <c r="G270" i="58" s="1"/>
  <c r="F270" i="58"/>
  <c r="H270" i="58"/>
  <c r="C271" i="58"/>
  <c r="D271" i="58"/>
  <c r="E271" i="58"/>
  <c r="G271" i="58" s="1"/>
  <c r="F271" i="58"/>
  <c r="H271" i="58"/>
  <c r="C272" i="58"/>
  <c r="D272" i="58"/>
  <c r="E272" i="58"/>
  <c r="G272" i="58" s="1"/>
  <c r="F272" i="58"/>
  <c r="H272" i="58"/>
  <c r="C273" i="58"/>
  <c r="D273" i="58"/>
  <c r="E273" i="58"/>
  <c r="F273" i="58"/>
  <c r="H273" i="58"/>
  <c r="C274" i="58"/>
  <c r="D274" i="58"/>
  <c r="E274" i="58"/>
  <c r="G274" i="58" s="1"/>
  <c r="F274" i="58"/>
  <c r="H274" i="58"/>
  <c r="C275" i="58"/>
  <c r="D275" i="58"/>
  <c r="E275" i="58"/>
  <c r="F275" i="58"/>
  <c r="H275" i="58"/>
  <c r="C276" i="58"/>
  <c r="D276" i="58"/>
  <c r="E276" i="58"/>
  <c r="G276" i="58" s="1"/>
  <c r="F276" i="58"/>
  <c r="H276" i="58"/>
  <c r="C277" i="58"/>
  <c r="D277" i="58"/>
  <c r="E277" i="58"/>
  <c r="G277" i="58" s="1"/>
  <c r="F277" i="58"/>
  <c r="H277" i="58"/>
  <c r="C278" i="58"/>
  <c r="D278" i="58"/>
  <c r="E278" i="58"/>
  <c r="G278" i="58" s="1"/>
  <c r="F278" i="58"/>
  <c r="H278" i="58"/>
  <c r="C279" i="58"/>
  <c r="D279" i="58"/>
  <c r="E279" i="58"/>
  <c r="F279" i="58"/>
  <c r="H279" i="58"/>
  <c r="C280" i="58"/>
  <c r="D280" i="58"/>
  <c r="E280" i="58"/>
  <c r="G280" i="58" s="1"/>
  <c r="F280" i="58"/>
  <c r="H280" i="58"/>
  <c r="C281" i="58"/>
  <c r="D281" i="58"/>
  <c r="E281" i="58"/>
  <c r="G281" i="58" s="1"/>
  <c r="F281" i="58"/>
  <c r="H281" i="58"/>
  <c r="C282" i="58"/>
  <c r="D282" i="58"/>
  <c r="E282" i="58"/>
  <c r="G282" i="58" s="1"/>
  <c r="F282" i="58"/>
  <c r="H282" i="58"/>
  <c r="C283" i="58"/>
  <c r="D283" i="58"/>
  <c r="E283" i="58"/>
  <c r="G283" i="58" s="1"/>
  <c r="F283" i="58"/>
  <c r="H283" i="58"/>
  <c r="C284" i="58"/>
  <c r="D284" i="58"/>
  <c r="E284" i="58"/>
  <c r="G284" i="58" s="1"/>
  <c r="F284" i="58"/>
  <c r="H284" i="58"/>
  <c r="C285" i="58"/>
  <c r="D285" i="58"/>
  <c r="E285" i="58"/>
  <c r="F285" i="58"/>
  <c r="H285" i="58"/>
  <c r="C286" i="58"/>
  <c r="D286" i="58"/>
  <c r="E286" i="58"/>
  <c r="G286" i="58" s="1"/>
  <c r="F286" i="58"/>
  <c r="H286" i="58"/>
  <c r="C287" i="58"/>
  <c r="D287" i="58"/>
  <c r="E287" i="58"/>
  <c r="G287" i="58" s="1"/>
  <c r="F287" i="58"/>
  <c r="H287" i="58"/>
  <c r="C288" i="58"/>
  <c r="D288" i="58"/>
  <c r="E288" i="58"/>
  <c r="G288" i="58" s="1"/>
  <c r="F288" i="58"/>
  <c r="H288" i="58"/>
  <c r="C289" i="58"/>
  <c r="D289" i="58"/>
  <c r="E289" i="58"/>
  <c r="G289" i="58" s="1"/>
  <c r="F289" i="58"/>
  <c r="H289" i="58"/>
  <c r="C290" i="58"/>
  <c r="D290" i="58"/>
  <c r="E290" i="58"/>
  <c r="G290" i="58" s="1"/>
  <c r="F290" i="58"/>
  <c r="H290" i="58"/>
  <c r="C291" i="58"/>
  <c r="D291" i="58"/>
  <c r="E291" i="58"/>
  <c r="F291" i="58"/>
  <c r="H291" i="58"/>
  <c r="C292" i="58"/>
  <c r="D292" i="58"/>
  <c r="E292" i="58"/>
  <c r="G292" i="58" s="1"/>
  <c r="F292" i="58"/>
  <c r="H292" i="58"/>
  <c r="C293" i="58"/>
  <c r="D293" i="58"/>
  <c r="E293" i="58"/>
  <c r="F293" i="58"/>
  <c r="H293" i="58"/>
  <c r="C294" i="58"/>
  <c r="D294" i="58"/>
  <c r="E294" i="58"/>
  <c r="G294" i="58" s="1"/>
  <c r="F294" i="58"/>
  <c r="H294" i="58"/>
  <c r="C295" i="58"/>
  <c r="D295" i="58"/>
  <c r="E295" i="58"/>
  <c r="G295" i="58" s="1"/>
  <c r="F295" i="58"/>
  <c r="H295" i="58"/>
  <c r="C296" i="58"/>
  <c r="D296" i="58"/>
  <c r="E296" i="58"/>
  <c r="G296" i="58" s="1"/>
  <c r="F296" i="58"/>
  <c r="H296" i="58"/>
  <c r="C297" i="58"/>
  <c r="D297" i="58"/>
  <c r="E297" i="58"/>
  <c r="F297" i="58"/>
  <c r="H297" i="58"/>
  <c r="C298" i="58"/>
  <c r="D298" i="58"/>
  <c r="E298" i="58"/>
  <c r="G298" i="58" s="1"/>
  <c r="F298" i="58"/>
  <c r="H298" i="58"/>
  <c r="C299" i="58"/>
  <c r="D299" i="58"/>
  <c r="E299" i="58"/>
  <c r="F299" i="58"/>
  <c r="H299" i="58"/>
  <c r="C300" i="58"/>
  <c r="D300" i="58"/>
  <c r="E300" i="58"/>
  <c r="G300" i="58" s="1"/>
  <c r="F300" i="58"/>
  <c r="H300" i="58"/>
  <c r="C301" i="58"/>
  <c r="D301" i="58"/>
  <c r="E301" i="58"/>
  <c r="G301" i="58" s="1"/>
  <c r="F301" i="58"/>
  <c r="H301" i="58"/>
  <c r="C302" i="58"/>
  <c r="D302" i="58"/>
  <c r="E302" i="58"/>
  <c r="G302" i="58" s="1"/>
  <c r="F302" i="58"/>
  <c r="H302" i="58"/>
  <c r="C303" i="58"/>
  <c r="D303" i="58"/>
  <c r="E303" i="58"/>
  <c r="F303" i="58"/>
  <c r="H303" i="58"/>
  <c r="C304" i="58"/>
  <c r="D304" i="58"/>
  <c r="E304" i="58"/>
  <c r="G304" i="58" s="1"/>
  <c r="F304" i="58"/>
  <c r="H304" i="58"/>
  <c r="C305" i="58"/>
  <c r="D305" i="58"/>
  <c r="E305" i="58"/>
  <c r="F305" i="58"/>
  <c r="H305" i="58"/>
  <c r="C306" i="58"/>
  <c r="D306" i="58"/>
  <c r="E306" i="58"/>
  <c r="G306" i="58" s="1"/>
  <c r="F306" i="58"/>
  <c r="H306" i="58"/>
  <c r="C307" i="58"/>
  <c r="D307" i="58"/>
  <c r="E307" i="58"/>
  <c r="G307" i="58" s="1"/>
  <c r="F307" i="58"/>
  <c r="H307" i="58"/>
  <c r="C308" i="58"/>
  <c r="D308" i="58"/>
  <c r="E308" i="58"/>
  <c r="G308" i="58" s="1"/>
  <c r="F308" i="58"/>
  <c r="H308" i="58"/>
  <c r="C309" i="58"/>
  <c r="D309" i="58"/>
  <c r="E309" i="58"/>
  <c r="F309" i="58"/>
  <c r="H309" i="58"/>
  <c r="C310" i="58"/>
  <c r="D310" i="58"/>
  <c r="E310" i="58"/>
  <c r="G310" i="58" s="1"/>
  <c r="F310" i="58"/>
  <c r="H310" i="58"/>
  <c r="C311" i="58"/>
  <c r="D311" i="58"/>
  <c r="E311" i="58"/>
  <c r="F311" i="58"/>
  <c r="H311" i="58"/>
  <c r="C312" i="58"/>
  <c r="D312" i="58"/>
  <c r="E312" i="58"/>
  <c r="G312" i="58" s="1"/>
  <c r="F312" i="58"/>
  <c r="H312" i="58"/>
  <c r="C313" i="58"/>
  <c r="D313" i="58"/>
  <c r="E313" i="58"/>
  <c r="G313" i="58" s="1"/>
  <c r="F313" i="58"/>
  <c r="H313" i="58"/>
  <c r="C314" i="58"/>
  <c r="D314" i="58"/>
  <c r="E314" i="58"/>
  <c r="G314" i="58" s="1"/>
  <c r="F314" i="58"/>
  <c r="H314" i="58"/>
  <c r="C315" i="58"/>
  <c r="D315" i="58"/>
  <c r="E315" i="58"/>
  <c r="F315" i="58"/>
  <c r="H315" i="58"/>
  <c r="C316" i="58"/>
  <c r="D316" i="58"/>
  <c r="E316" i="58"/>
  <c r="G316" i="58" s="1"/>
  <c r="F316" i="58"/>
  <c r="H316" i="58"/>
  <c r="C317" i="58"/>
  <c r="D317" i="58"/>
  <c r="E317" i="58"/>
  <c r="F317" i="58"/>
  <c r="H317" i="58"/>
  <c r="C318" i="58"/>
  <c r="D318" i="58"/>
  <c r="E318" i="58"/>
  <c r="G318" i="58" s="1"/>
  <c r="F318" i="58"/>
  <c r="H318" i="58"/>
  <c r="C319" i="58"/>
  <c r="D319" i="58"/>
  <c r="E319" i="58"/>
  <c r="G319" i="58" s="1"/>
  <c r="F319" i="58"/>
  <c r="H319" i="58"/>
  <c r="C320" i="58"/>
  <c r="D320" i="58"/>
  <c r="E320" i="58"/>
  <c r="G320" i="58" s="1"/>
  <c r="F320" i="58"/>
  <c r="H320" i="58"/>
  <c r="C321" i="58"/>
  <c r="D321" i="58"/>
  <c r="E321" i="58"/>
  <c r="F321" i="58"/>
  <c r="H321" i="58"/>
  <c r="C322" i="58"/>
  <c r="D322" i="58"/>
  <c r="E322" i="58"/>
  <c r="G322" i="58" s="1"/>
  <c r="F322" i="58"/>
  <c r="H322" i="58"/>
  <c r="C323" i="58"/>
  <c r="D323" i="58"/>
  <c r="E323" i="58"/>
  <c r="F323" i="58"/>
  <c r="H323" i="58"/>
  <c r="C324" i="58"/>
  <c r="D324" i="58"/>
  <c r="E324" i="58"/>
  <c r="G324" i="58" s="1"/>
  <c r="F324" i="58"/>
  <c r="H324" i="58"/>
  <c r="C325" i="58"/>
  <c r="D325" i="58"/>
  <c r="E325" i="58"/>
  <c r="G325" i="58" s="1"/>
  <c r="F325" i="58"/>
  <c r="H325" i="58"/>
  <c r="C326" i="58"/>
  <c r="D326" i="58"/>
  <c r="E326" i="58"/>
  <c r="G326" i="58" s="1"/>
  <c r="F326" i="58"/>
  <c r="H326" i="58"/>
  <c r="C327" i="58"/>
  <c r="D327" i="58"/>
  <c r="E327" i="58"/>
  <c r="F327" i="58"/>
  <c r="H327" i="58"/>
  <c r="C328" i="58"/>
  <c r="D328" i="58"/>
  <c r="E328" i="58"/>
  <c r="G328" i="58" s="1"/>
  <c r="F328" i="58"/>
  <c r="H328" i="58"/>
  <c r="C329" i="58"/>
  <c r="D329" i="58"/>
  <c r="E329" i="58"/>
  <c r="F329" i="58"/>
  <c r="H329" i="58"/>
  <c r="C330" i="58"/>
  <c r="D330" i="58"/>
  <c r="E330" i="58"/>
  <c r="G330" i="58" s="1"/>
  <c r="F330" i="58"/>
  <c r="H330" i="58"/>
  <c r="C331" i="58"/>
  <c r="D331" i="58"/>
  <c r="E331" i="58"/>
  <c r="G331" i="58" s="1"/>
  <c r="F331" i="58"/>
  <c r="H331" i="58"/>
  <c r="C332" i="58"/>
  <c r="D332" i="58"/>
  <c r="E332" i="58"/>
  <c r="G332" i="58" s="1"/>
  <c r="F332" i="58"/>
  <c r="H332" i="58"/>
  <c r="C333" i="58"/>
  <c r="D333" i="58"/>
  <c r="E333" i="58"/>
  <c r="F333" i="58"/>
  <c r="H333" i="58"/>
  <c r="C334" i="58"/>
  <c r="D334" i="58"/>
  <c r="E334" i="58"/>
  <c r="G334" i="58" s="1"/>
  <c r="F334" i="58"/>
  <c r="H334" i="58"/>
  <c r="C335" i="58"/>
  <c r="D335" i="58"/>
  <c r="E335" i="58"/>
  <c r="F335" i="58"/>
  <c r="H335" i="58"/>
  <c r="C336" i="58"/>
  <c r="D336" i="58"/>
  <c r="E336" i="58"/>
  <c r="G336" i="58" s="1"/>
  <c r="F336" i="58"/>
  <c r="H336" i="58"/>
  <c r="C337" i="58"/>
  <c r="D337" i="58"/>
  <c r="E337" i="58"/>
  <c r="G337" i="58" s="1"/>
  <c r="F337" i="58"/>
  <c r="H337" i="58"/>
  <c r="C338" i="58"/>
  <c r="D338" i="58"/>
  <c r="E338" i="58"/>
  <c r="G338" i="58" s="1"/>
  <c r="F338" i="58"/>
  <c r="H338" i="58"/>
  <c r="C339" i="58"/>
  <c r="D339" i="58"/>
  <c r="E339" i="58"/>
  <c r="G339" i="58" s="1"/>
  <c r="F339" i="58"/>
  <c r="H339" i="58"/>
  <c r="C340" i="58"/>
  <c r="D340" i="58"/>
  <c r="E340" i="58"/>
  <c r="G340" i="58" s="1"/>
  <c r="F340" i="58"/>
  <c r="H340" i="58"/>
  <c r="C341" i="58"/>
  <c r="D341" i="58"/>
  <c r="E341" i="58"/>
  <c r="G341" i="58" s="1"/>
  <c r="F341" i="58"/>
  <c r="H341" i="58"/>
  <c r="C342" i="58"/>
  <c r="D342" i="58"/>
  <c r="E342" i="58"/>
  <c r="G342" i="58" s="1"/>
  <c r="F342" i="58"/>
  <c r="H342" i="58"/>
  <c r="C343" i="58"/>
  <c r="D343" i="58"/>
  <c r="E343" i="58"/>
  <c r="G343" i="58" s="1"/>
  <c r="F343" i="58"/>
  <c r="H343" i="58"/>
  <c r="C344" i="58"/>
  <c r="D344" i="58"/>
  <c r="E344" i="58"/>
  <c r="G344" i="58" s="1"/>
  <c r="F344" i="58"/>
  <c r="H344" i="58"/>
  <c r="C345" i="58"/>
  <c r="D345" i="58"/>
  <c r="E345" i="58"/>
  <c r="G345" i="58" s="1"/>
  <c r="F345" i="58"/>
  <c r="H345" i="58"/>
  <c r="C346" i="58"/>
  <c r="D346" i="58"/>
  <c r="E346" i="58"/>
  <c r="G346" i="58" s="1"/>
  <c r="F346" i="58"/>
  <c r="H346" i="58"/>
  <c r="C347" i="58"/>
  <c r="D347" i="58"/>
  <c r="E347" i="58"/>
  <c r="G347" i="58" s="1"/>
  <c r="F347" i="58"/>
  <c r="H347" i="58"/>
  <c r="C348" i="58"/>
  <c r="D348" i="58"/>
  <c r="E348" i="58"/>
  <c r="G348" i="58" s="1"/>
  <c r="F348" i="58"/>
  <c r="H348" i="58"/>
  <c r="C349" i="58"/>
  <c r="D349" i="58"/>
  <c r="E349" i="58"/>
  <c r="G349" i="58" s="1"/>
  <c r="F349" i="58"/>
  <c r="H349" i="58"/>
  <c r="C350" i="58"/>
  <c r="D350" i="58"/>
  <c r="E350" i="58"/>
  <c r="G350" i="58" s="1"/>
  <c r="F350" i="58"/>
  <c r="H350" i="58"/>
  <c r="C351" i="58"/>
  <c r="D351" i="58"/>
  <c r="E351" i="58"/>
  <c r="G351" i="58" s="1"/>
  <c r="F351" i="58"/>
  <c r="H351" i="58"/>
  <c r="C352" i="58"/>
  <c r="D352" i="58"/>
  <c r="E352" i="58"/>
  <c r="G352" i="58" s="1"/>
  <c r="F352" i="58"/>
  <c r="H352" i="58"/>
  <c r="C353" i="58"/>
  <c r="D353" i="58"/>
  <c r="E353" i="58"/>
  <c r="G353" i="58" s="1"/>
  <c r="F353" i="58"/>
  <c r="H353" i="58"/>
  <c r="C354" i="58"/>
  <c r="D354" i="58"/>
  <c r="E354" i="58"/>
  <c r="G354" i="58" s="1"/>
  <c r="F354" i="58"/>
  <c r="H354" i="58"/>
  <c r="C355" i="58"/>
  <c r="D355" i="58"/>
  <c r="E355" i="58"/>
  <c r="G355" i="58" s="1"/>
  <c r="F355" i="58"/>
  <c r="H355" i="58"/>
  <c r="C356" i="58"/>
  <c r="D356" i="58"/>
  <c r="E356" i="58"/>
  <c r="G356" i="58" s="1"/>
  <c r="F356" i="58"/>
  <c r="H356" i="58"/>
  <c r="C357" i="58"/>
  <c r="D357" i="58"/>
  <c r="E357" i="58"/>
  <c r="G357" i="58" s="1"/>
  <c r="F357" i="58"/>
  <c r="H357" i="58"/>
  <c r="C358" i="58"/>
  <c r="D358" i="58"/>
  <c r="E358" i="58"/>
  <c r="G358" i="58" s="1"/>
  <c r="F358" i="58"/>
  <c r="H358" i="58"/>
  <c r="C359" i="58"/>
  <c r="D359" i="58"/>
  <c r="E359" i="58"/>
  <c r="G359" i="58" s="1"/>
  <c r="F359" i="58"/>
  <c r="H359" i="58"/>
  <c r="C360" i="58"/>
  <c r="D360" i="58"/>
  <c r="E360" i="58"/>
  <c r="G360" i="58" s="1"/>
  <c r="F360" i="58"/>
  <c r="H360" i="58"/>
  <c r="C361" i="58"/>
  <c r="D361" i="58"/>
  <c r="E361" i="58"/>
  <c r="G361" i="58" s="1"/>
  <c r="F361" i="58"/>
  <c r="H361" i="58"/>
  <c r="C362" i="58"/>
  <c r="D362" i="58"/>
  <c r="E362" i="58"/>
  <c r="G362" i="58" s="1"/>
  <c r="F362" i="58"/>
  <c r="H362" i="58"/>
  <c r="C363" i="58"/>
  <c r="D363" i="58"/>
  <c r="E363" i="58"/>
  <c r="G363" i="58" s="1"/>
  <c r="F363" i="58"/>
  <c r="H363" i="58"/>
  <c r="C364" i="58"/>
  <c r="D364" i="58"/>
  <c r="E364" i="58"/>
  <c r="G364" i="58" s="1"/>
  <c r="F364" i="58"/>
  <c r="H364" i="58"/>
  <c r="C365" i="58"/>
  <c r="D365" i="58"/>
  <c r="E365" i="58"/>
  <c r="G365" i="58" s="1"/>
  <c r="F365" i="58"/>
  <c r="H365" i="58"/>
  <c r="C366" i="58"/>
  <c r="D366" i="58"/>
  <c r="E366" i="58"/>
  <c r="G366" i="58" s="1"/>
  <c r="F366" i="58"/>
  <c r="H366" i="58"/>
  <c r="C367" i="58"/>
  <c r="D367" i="58"/>
  <c r="E367" i="58"/>
  <c r="G367" i="58" s="1"/>
  <c r="F367" i="58"/>
  <c r="H367" i="58"/>
  <c r="C368" i="58"/>
  <c r="D368" i="58"/>
  <c r="E368" i="58"/>
  <c r="G368" i="58" s="1"/>
  <c r="F368" i="58"/>
  <c r="H368" i="58"/>
  <c r="C369" i="58"/>
  <c r="D369" i="58"/>
  <c r="E369" i="58"/>
  <c r="G369" i="58" s="1"/>
  <c r="F369" i="58"/>
  <c r="H369" i="58"/>
  <c r="C370" i="58"/>
  <c r="D370" i="58"/>
  <c r="E370" i="58"/>
  <c r="G370" i="58" s="1"/>
  <c r="F370" i="58"/>
  <c r="H370" i="58"/>
  <c r="C371" i="58"/>
  <c r="D371" i="58"/>
  <c r="E371" i="58"/>
  <c r="G371" i="58" s="1"/>
  <c r="F371" i="58"/>
  <c r="H371" i="58"/>
  <c r="C372" i="58"/>
  <c r="D372" i="58"/>
  <c r="E372" i="58"/>
  <c r="G372" i="58" s="1"/>
  <c r="F372" i="58"/>
  <c r="H372" i="58"/>
  <c r="C373" i="58"/>
  <c r="D373" i="58"/>
  <c r="E373" i="58"/>
  <c r="G373" i="58" s="1"/>
  <c r="F373" i="58"/>
  <c r="H373" i="58"/>
  <c r="C374" i="58"/>
  <c r="D374" i="58"/>
  <c r="E374" i="58"/>
  <c r="G374" i="58" s="1"/>
  <c r="F374" i="58"/>
  <c r="H374" i="58"/>
  <c r="C375" i="58"/>
  <c r="D375" i="58"/>
  <c r="E375" i="58"/>
  <c r="G375" i="58" s="1"/>
  <c r="F375" i="58"/>
  <c r="H375" i="58"/>
  <c r="C376" i="58"/>
  <c r="D376" i="58"/>
  <c r="E376" i="58"/>
  <c r="G376" i="58" s="1"/>
  <c r="F376" i="58"/>
  <c r="H376" i="58"/>
  <c r="C377" i="58"/>
  <c r="D377" i="58"/>
  <c r="E377" i="58"/>
  <c r="G377" i="58" s="1"/>
  <c r="F377" i="58"/>
  <c r="H377" i="58"/>
  <c r="C378" i="58"/>
  <c r="D378" i="58"/>
  <c r="E378" i="58"/>
  <c r="G378" i="58" s="1"/>
  <c r="F378" i="58"/>
  <c r="H378" i="58"/>
  <c r="C379" i="58"/>
  <c r="D379" i="58"/>
  <c r="E379" i="58"/>
  <c r="G379" i="58" s="1"/>
  <c r="F379" i="58"/>
  <c r="H379" i="58"/>
  <c r="C380" i="58"/>
  <c r="D380" i="58"/>
  <c r="E380" i="58"/>
  <c r="G380" i="58" s="1"/>
  <c r="F380" i="58"/>
  <c r="H380" i="58"/>
  <c r="C381" i="58"/>
  <c r="D381" i="58"/>
  <c r="E381" i="58"/>
  <c r="G381" i="58" s="1"/>
  <c r="F381" i="58"/>
  <c r="H381" i="58"/>
  <c r="C382" i="58"/>
  <c r="D382" i="58"/>
  <c r="E382" i="58"/>
  <c r="G382" i="58" s="1"/>
  <c r="F382" i="58"/>
  <c r="H382" i="58"/>
  <c r="C383" i="58"/>
  <c r="D383" i="58"/>
  <c r="E383" i="58"/>
  <c r="G383" i="58" s="1"/>
  <c r="F383" i="58"/>
  <c r="H383" i="58"/>
  <c r="C384" i="58"/>
  <c r="D384" i="58"/>
  <c r="E384" i="58"/>
  <c r="G384" i="58" s="1"/>
  <c r="F384" i="58"/>
  <c r="H384" i="58"/>
  <c r="C385" i="58"/>
  <c r="D385" i="58"/>
  <c r="E385" i="58"/>
  <c r="G385" i="58" s="1"/>
  <c r="F385" i="58"/>
  <c r="H385" i="58"/>
  <c r="C386" i="58"/>
  <c r="D386" i="58"/>
  <c r="E386" i="58"/>
  <c r="G386" i="58" s="1"/>
  <c r="F386" i="58"/>
  <c r="H386" i="58"/>
  <c r="C387" i="58"/>
  <c r="D387" i="58"/>
  <c r="E387" i="58"/>
  <c r="G387" i="58" s="1"/>
  <c r="F387" i="58"/>
  <c r="H387" i="58"/>
  <c r="C388" i="58"/>
  <c r="D388" i="58"/>
  <c r="E388" i="58"/>
  <c r="G388" i="58" s="1"/>
  <c r="F388" i="58"/>
  <c r="H388" i="58"/>
  <c r="C389" i="58"/>
  <c r="D389" i="58"/>
  <c r="E389" i="58"/>
  <c r="G389" i="58" s="1"/>
  <c r="F389" i="58"/>
  <c r="H389" i="58"/>
  <c r="C390" i="58"/>
  <c r="D390" i="58"/>
  <c r="E390" i="58"/>
  <c r="G390" i="58" s="1"/>
  <c r="F390" i="58"/>
  <c r="H390" i="58"/>
  <c r="C391" i="58"/>
  <c r="D391" i="58"/>
  <c r="E391" i="58"/>
  <c r="G391" i="58" s="1"/>
  <c r="F391" i="58"/>
  <c r="H391" i="58"/>
  <c r="C392" i="58"/>
  <c r="D392" i="58"/>
  <c r="E392" i="58"/>
  <c r="G392" i="58" s="1"/>
  <c r="F392" i="58"/>
  <c r="H392" i="58"/>
  <c r="C393" i="58"/>
  <c r="D393" i="58"/>
  <c r="E393" i="58"/>
  <c r="G393" i="58" s="1"/>
  <c r="F393" i="58"/>
  <c r="H393" i="58"/>
  <c r="C394" i="58"/>
  <c r="D394" i="58"/>
  <c r="E394" i="58"/>
  <c r="G394" i="58" s="1"/>
  <c r="F394" i="58"/>
  <c r="H394" i="58"/>
  <c r="C395" i="58"/>
  <c r="D395" i="58"/>
  <c r="E395" i="58"/>
  <c r="G395" i="58" s="1"/>
  <c r="F395" i="58"/>
  <c r="H395" i="58"/>
  <c r="C396" i="58"/>
  <c r="D396" i="58"/>
  <c r="E396" i="58"/>
  <c r="G396" i="58" s="1"/>
  <c r="F396" i="58"/>
  <c r="H396" i="58"/>
  <c r="C397" i="58"/>
  <c r="D397" i="58"/>
  <c r="E397" i="58"/>
  <c r="G397" i="58" s="1"/>
  <c r="F397" i="58"/>
  <c r="H397" i="58"/>
  <c r="C398" i="58"/>
  <c r="D398" i="58"/>
  <c r="E398" i="58"/>
  <c r="G398" i="58" s="1"/>
  <c r="F398" i="58"/>
  <c r="H398" i="58"/>
  <c r="C399" i="58"/>
  <c r="D399" i="58"/>
  <c r="E399" i="58"/>
  <c r="G399" i="58" s="1"/>
  <c r="F399" i="58"/>
  <c r="H399" i="58"/>
  <c r="C400" i="58"/>
  <c r="D400" i="58"/>
  <c r="E400" i="58"/>
  <c r="G400" i="58" s="1"/>
  <c r="F400" i="58"/>
  <c r="H400" i="58"/>
  <c r="C401" i="58"/>
  <c r="D401" i="58"/>
  <c r="E401" i="58"/>
  <c r="G401" i="58" s="1"/>
  <c r="F401" i="58"/>
  <c r="H401" i="58"/>
  <c r="C402" i="58"/>
  <c r="D402" i="58"/>
  <c r="E402" i="58"/>
  <c r="G402" i="58" s="1"/>
  <c r="F402" i="58"/>
  <c r="H402" i="58"/>
  <c r="C403" i="58"/>
  <c r="D403" i="58"/>
  <c r="E403" i="58"/>
  <c r="G403" i="58" s="1"/>
  <c r="F403" i="58"/>
  <c r="H403" i="58"/>
  <c r="C404" i="58"/>
  <c r="D404" i="58"/>
  <c r="E404" i="58"/>
  <c r="G404" i="58" s="1"/>
  <c r="F404" i="58"/>
  <c r="H404" i="58"/>
  <c r="C405" i="58"/>
  <c r="D405" i="58"/>
  <c r="E405" i="58"/>
  <c r="G405" i="58" s="1"/>
  <c r="F405" i="58"/>
  <c r="H405" i="58"/>
  <c r="C406" i="58"/>
  <c r="D406" i="58"/>
  <c r="E406" i="58"/>
  <c r="G406" i="58" s="1"/>
  <c r="F406" i="58"/>
  <c r="H406" i="58"/>
  <c r="C407" i="58"/>
  <c r="D407" i="58"/>
  <c r="E407" i="58"/>
  <c r="G407" i="58" s="1"/>
  <c r="F407" i="58"/>
  <c r="H407" i="58"/>
  <c r="C408" i="58"/>
  <c r="D408" i="58"/>
  <c r="E408" i="58"/>
  <c r="G408" i="58" s="1"/>
  <c r="F408" i="58"/>
  <c r="H408" i="58"/>
  <c r="C409" i="58"/>
  <c r="D409" i="58"/>
  <c r="E409" i="58"/>
  <c r="G409" i="58" s="1"/>
  <c r="F409" i="58"/>
  <c r="H409" i="58"/>
  <c r="C410" i="58"/>
  <c r="D410" i="58"/>
  <c r="E410" i="58"/>
  <c r="G410" i="58" s="1"/>
  <c r="F410" i="58"/>
  <c r="H410" i="58"/>
  <c r="C411" i="58"/>
  <c r="D411" i="58"/>
  <c r="E411" i="58"/>
  <c r="G411" i="58" s="1"/>
  <c r="F411" i="58"/>
  <c r="H411" i="58"/>
  <c r="C412" i="58"/>
  <c r="D412" i="58"/>
  <c r="E412" i="58"/>
  <c r="G412" i="58" s="1"/>
  <c r="F412" i="58"/>
  <c r="H412" i="58"/>
  <c r="C413" i="58"/>
  <c r="D413" i="58"/>
  <c r="E413" i="58"/>
  <c r="G413" i="58" s="1"/>
  <c r="F413" i="58"/>
  <c r="H413" i="58"/>
  <c r="C414" i="58"/>
  <c r="D414" i="58"/>
  <c r="E414" i="58"/>
  <c r="G414" i="58" s="1"/>
  <c r="F414" i="58"/>
  <c r="H414" i="58"/>
  <c r="C415" i="58"/>
  <c r="D415" i="58"/>
  <c r="E415" i="58"/>
  <c r="G415" i="58" s="1"/>
  <c r="F415" i="58"/>
  <c r="H415" i="58"/>
  <c r="C416" i="58"/>
  <c r="D416" i="58"/>
  <c r="E416" i="58"/>
  <c r="G416" i="58" s="1"/>
  <c r="F416" i="58"/>
  <c r="H416" i="58"/>
  <c r="C417" i="58"/>
  <c r="D417" i="58"/>
  <c r="E417" i="58"/>
  <c r="G417" i="58" s="1"/>
  <c r="F417" i="58"/>
  <c r="H417" i="58"/>
  <c r="C418" i="58"/>
  <c r="D418" i="58"/>
  <c r="E418" i="58"/>
  <c r="G418" i="58" s="1"/>
  <c r="F418" i="58"/>
  <c r="H418" i="58"/>
  <c r="C419" i="58"/>
  <c r="D419" i="58"/>
  <c r="E419" i="58"/>
  <c r="G419" i="58" s="1"/>
  <c r="F419" i="58"/>
  <c r="H419" i="58"/>
  <c r="C420" i="58"/>
  <c r="D420" i="58"/>
  <c r="E420" i="58"/>
  <c r="G420" i="58" s="1"/>
  <c r="F420" i="58"/>
  <c r="H420" i="58"/>
  <c r="C421" i="58"/>
  <c r="D421" i="58"/>
  <c r="E421" i="58"/>
  <c r="G421" i="58" s="1"/>
  <c r="F421" i="58"/>
  <c r="H421" i="58"/>
  <c r="C422" i="58"/>
  <c r="D422" i="58"/>
  <c r="E422" i="58"/>
  <c r="G422" i="58" s="1"/>
  <c r="F422" i="58"/>
  <c r="H422" i="58"/>
  <c r="C423" i="58"/>
  <c r="D423" i="58"/>
  <c r="E423" i="58"/>
  <c r="G423" i="58" s="1"/>
  <c r="F423" i="58"/>
  <c r="H423" i="58"/>
  <c r="C424" i="58"/>
  <c r="D424" i="58"/>
  <c r="E424" i="58"/>
  <c r="G424" i="58" s="1"/>
  <c r="F424" i="58"/>
  <c r="H424" i="58"/>
  <c r="C425" i="58"/>
  <c r="D425" i="58"/>
  <c r="E425" i="58"/>
  <c r="G425" i="58" s="1"/>
  <c r="F425" i="58"/>
  <c r="H425" i="58"/>
  <c r="C426" i="58"/>
  <c r="D426" i="58"/>
  <c r="E426" i="58"/>
  <c r="G426" i="58" s="1"/>
  <c r="F426" i="58"/>
  <c r="H426" i="58"/>
  <c r="C427" i="58"/>
  <c r="D427" i="58"/>
  <c r="E427" i="58"/>
  <c r="G427" i="58" s="1"/>
  <c r="F427" i="58"/>
  <c r="H427" i="58"/>
  <c r="C428" i="58"/>
  <c r="D428" i="58"/>
  <c r="E428" i="58"/>
  <c r="G428" i="58" s="1"/>
  <c r="F428" i="58"/>
  <c r="H428" i="58"/>
  <c r="C429" i="58"/>
  <c r="D429" i="58"/>
  <c r="E429" i="58"/>
  <c r="G429" i="58" s="1"/>
  <c r="F429" i="58"/>
  <c r="H429" i="58"/>
  <c r="C430" i="58"/>
  <c r="D430" i="58"/>
  <c r="E430" i="58"/>
  <c r="G430" i="58" s="1"/>
  <c r="F430" i="58"/>
  <c r="H430" i="58"/>
  <c r="C431" i="58"/>
  <c r="D431" i="58"/>
  <c r="E431" i="58"/>
  <c r="G431" i="58" s="1"/>
  <c r="F431" i="58"/>
  <c r="H431" i="58"/>
  <c r="C432" i="58"/>
  <c r="D432" i="58"/>
  <c r="E432" i="58"/>
  <c r="G432" i="58" s="1"/>
  <c r="F432" i="58"/>
  <c r="H432" i="58"/>
  <c r="C433" i="58"/>
  <c r="D433" i="58"/>
  <c r="E433" i="58"/>
  <c r="G433" i="58" s="1"/>
  <c r="F433" i="58"/>
  <c r="H433" i="58"/>
  <c r="C434" i="58"/>
  <c r="D434" i="58"/>
  <c r="E434" i="58"/>
  <c r="G434" i="58" s="1"/>
  <c r="F434" i="58"/>
  <c r="H434" i="58"/>
  <c r="C435" i="58"/>
  <c r="D435" i="58"/>
  <c r="E435" i="58"/>
  <c r="G435" i="58" s="1"/>
  <c r="F435" i="58"/>
  <c r="H435" i="58"/>
  <c r="C436" i="58"/>
  <c r="D436" i="58"/>
  <c r="E436" i="58"/>
  <c r="G436" i="58" s="1"/>
  <c r="F436" i="58"/>
  <c r="H436" i="58"/>
  <c r="C437" i="58"/>
  <c r="D437" i="58"/>
  <c r="E437" i="58"/>
  <c r="G437" i="58" s="1"/>
  <c r="F437" i="58"/>
  <c r="H437" i="58"/>
  <c r="C438" i="58"/>
  <c r="D438" i="58"/>
  <c r="E438" i="58"/>
  <c r="G438" i="58" s="1"/>
  <c r="F438" i="58"/>
  <c r="H438" i="58"/>
  <c r="C439" i="58"/>
  <c r="D439" i="58"/>
  <c r="E439" i="58"/>
  <c r="G439" i="58" s="1"/>
  <c r="F439" i="58"/>
  <c r="H439" i="58"/>
  <c r="C440" i="58"/>
  <c r="D440" i="58"/>
  <c r="E440" i="58"/>
  <c r="G440" i="58" s="1"/>
  <c r="F440" i="58"/>
  <c r="H440" i="58"/>
  <c r="C441" i="58"/>
  <c r="D441" i="58"/>
  <c r="E441" i="58"/>
  <c r="G441" i="58" s="1"/>
  <c r="F441" i="58"/>
  <c r="H441" i="58"/>
  <c r="C442" i="58"/>
  <c r="D442" i="58"/>
  <c r="E442" i="58"/>
  <c r="G442" i="58" s="1"/>
  <c r="F442" i="58"/>
  <c r="H442" i="58"/>
  <c r="C443" i="58"/>
  <c r="D443" i="58"/>
  <c r="E443" i="58"/>
  <c r="G443" i="58" s="1"/>
  <c r="F443" i="58"/>
  <c r="H443" i="58"/>
  <c r="C444" i="58"/>
  <c r="D444" i="58"/>
  <c r="E444" i="58"/>
  <c r="G444" i="58" s="1"/>
  <c r="F444" i="58"/>
  <c r="H444" i="58"/>
  <c r="C445" i="58"/>
  <c r="D445" i="58"/>
  <c r="E445" i="58"/>
  <c r="G445" i="58" s="1"/>
  <c r="F445" i="58"/>
  <c r="H445" i="58"/>
  <c r="C446" i="58"/>
  <c r="D446" i="58"/>
  <c r="E446" i="58"/>
  <c r="G446" i="58" s="1"/>
  <c r="F446" i="58"/>
  <c r="H446" i="58"/>
  <c r="C447" i="58"/>
  <c r="D447" i="58"/>
  <c r="E447" i="58"/>
  <c r="G447" i="58" s="1"/>
  <c r="F447" i="58"/>
  <c r="H447" i="58"/>
  <c r="C448" i="58"/>
  <c r="D448" i="58"/>
  <c r="E448" i="58"/>
  <c r="G448" i="58" s="1"/>
  <c r="F448" i="58"/>
  <c r="H448" i="58"/>
  <c r="C449" i="58"/>
  <c r="D449" i="58"/>
  <c r="E449" i="58"/>
  <c r="G449" i="58" s="1"/>
  <c r="F449" i="58"/>
  <c r="H449" i="58"/>
  <c r="C450" i="58"/>
  <c r="D450" i="58"/>
  <c r="E450" i="58"/>
  <c r="G450" i="58" s="1"/>
  <c r="F450" i="58"/>
  <c r="H450" i="58"/>
  <c r="C451" i="58"/>
  <c r="D451" i="58"/>
  <c r="E451" i="58"/>
  <c r="G451" i="58" s="1"/>
  <c r="F451" i="58"/>
  <c r="H451" i="58"/>
  <c r="C452" i="58"/>
  <c r="D452" i="58"/>
  <c r="E452" i="58"/>
  <c r="G452" i="58" s="1"/>
  <c r="F452" i="58"/>
  <c r="H452" i="58"/>
  <c r="C453" i="58"/>
  <c r="D453" i="58"/>
  <c r="E453" i="58"/>
  <c r="G453" i="58" s="1"/>
  <c r="F453" i="58"/>
  <c r="H453" i="58"/>
  <c r="C454" i="58"/>
  <c r="D454" i="58"/>
  <c r="E454" i="58"/>
  <c r="G454" i="58" s="1"/>
  <c r="F454" i="58"/>
  <c r="H454" i="58"/>
  <c r="C455" i="58"/>
  <c r="D455" i="58"/>
  <c r="E455" i="58"/>
  <c r="G455" i="58" s="1"/>
  <c r="F455" i="58"/>
  <c r="H455" i="58"/>
  <c r="C456" i="58"/>
  <c r="D456" i="58"/>
  <c r="E456" i="58"/>
  <c r="G456" i="58" s="1"/>
  <c r="F456" i="58"/>
  <c r="H456" i="58"/>
  <c r="C457" i="58"/>
  <c r="D457" i="58"/>
  <c r="E457" i="58"/>
  <c r="G457" i="58" s="1"/>
  <c r="F457" i="58"/>
  <c r="H457" i="58"/>
  <c r="C458" i="58"/>
  <c r="D458" i="58"/>
  <c r="E458" i="58"/>
  <c r="G458" i="58" s="1"/>
  <c r="F458" i="58"/>
  <c r="H458" i="58"/>
  <c r="C459" i="58"/>
  <c r="D459" i="58"/>
  <c r="E459" i="58"/>
  <c r="G459" i="58" s="1"/>
  <c r="F459" i="58"/>
  <c r="H459" i="58"/>
  <c r="C460" i="58"/>
  <c r="D460" i="58"/>
  <c r="E460" i="58"/>
  <c r="G460" i="58" s="1"/>
  <c r="F460" i="58"/>
  <c r="H460" i="58"/>
  <c r="C461" i="58"/>
  <c r="D461" i="58"/>
  <c r="E461" i="58"/>
  <c r="G461" i="58" s="1"/>
  <c r="F461" i="58"/>
  <c r="H461" i="58"/>
  <c r="C462" i="58"/>
  <c r="D462" i="58"/>
  <c r="E462" i="58"/>
  <c r="G462" i="58" s="1"/>
  <c r="F462" i="58"/>
  <c r="H462" i="58"/>
  <c r="C463" i="58"/>
  <c r="D463" i="58"/>
  <c r="E463" i="58"/>
  <c r="G463" i="58" s="1"/>
  <c r="F463" i="58"/>
  <c r="H463" i="58"/>
  <c r="C464" i="58"/>
  <c r="D464" i="58"/>
  <c r="E464" i="58"/>
  <c r="G464" i="58" s="1"/>
  <c r="F464" i="58"/>
  <c r="H464" i="58"/>
  <c r="C465" i="58"/>
  <c r="D465" i="58"/>
  <c r="E465" i="58"/>
  <c r="G465" i="58" s="1"/>
  <c r="F465" i="58"/>
  <c r="H465" i="58"/>
  <c r="C466" i="58"/>
  <c r="D466" i="58"/>
  <c r="E466" i="58"/>
  <c r="G466" i="58" s="1"/>
  <c r="F466" i="58"/>
  <c r="H466" i="58"/>
  <c r="C467" i="58"/>
  <c r="D467" i="58"/>
  <c r="E467" i="58"/>
  <c r="I467" i="58" s="1"/>
  <c r="F467" i="58"/>
  <c r="H467" i="58"/>
  <c r="C468" i="58"/>
  <c r="D468" i="58"/>
  <c r="E468" i="58"/>
  <c r="G468" i="58" s="1"/>
  <c r="F468" i="58"/>
  <c r="H468" i="58"/>
  <c r="C469" i="58"/>
  <c r="D469" i="58"/>
  <c r="E469" i="58"/>
  <c r="G469" i="58" s="1"/>
  <c r="F469" i="58"/>
  <c r="H469" i="58"/>
  <c r="C470" i="58"/>
  <c r="D470" i="58"/>
  <c r="E470" i="58"/>
  <c r="G470" i="58" s="1"/>
  <c r="F470" i="58"/>
  <c r="H470" i="58"/>
  <c r="C471" i="58"/>
  <c r="D471" i="58"/>
  <c r="E471" i="58"/>
  <c r="G471" i="58" s="1"/>
  <c r="F471" i="58"/>
  <c r="H471" i="58"/>
  <c r="C472" i="58"/>
  <c r="D472" i="58"/>
  <c r="E472" i="58"/>
  <c r="G472" i="58" s="1"/>
  <c r="F472" i="58"/>
  <c r="H472" i="58"/>
  <c r="C473" i="58"/>
  <c r="D473" i="58"/>
  <c r="E473" i="58"/>
  <c r="I473" i="58" s="1"/>
  <c r="F473" i="58"/>
  <c r="H473" i="58"/>
  <c r="H16" i="58"/>
  <c r="F16" i="58"/>
  <c r="E16" i="58"/>
  <c r="G16" i="58" s="1"/>
  <c r="D16" i="58"/>
  <c r="C16" i="58"/>
  <c r="H15" i="58"/>
  <c r="F15" i="58"/>
  <c r="E15" i="58"/>
  <c r="G15" i="58" s="1"/>
  <c r="D15" i="58"/>
  <c r="C15" i="58"/>
  <c r="I72" i="69"/>
  <c r="I71" i="69"/>
  <c r="I70" i="69"/>
  <c r="I69" i="69"/>
  <c r="I68" i="69"/>
  <c r="I67" i="69"/>
  <c r="I66" i="69"/>
  <c r="I65" i="69"/>
  <c r="I64" i="69"/>
  <c r="I63" i="69"/>
  <c r="I62" i="69"/>
  <c r="I61" i="69"/>
  <c r="I60" i="69"/>
  <c r="I59" i="69"/>
  <c r="I58" i="69"/>
  <c r="I57" i="69"/>
  <c r="I56" i="69"/>
  <c r="I55" i="69"/>
  <c r="I54" i="69"/>
  <c r="I53" i="69"/>
  <c r="I52" i="69"/>
  <c r="I51" i="69"/>
  <c r="I50" i="69"/>
  <c r="I49" i="69"/>
  <c r="I48" i="69"/>
  <c r="I47" i="69"/>
  <c r="I46" i="69"/>
  <c r="I45" i="69"/>
  <c r="I44" i="69"/>
  <c r="I43" i="69"/>
  <c r="I42" i="69"/>
  <c r="I41" i="69"/>
  <c r="I40" i="69"/>
  <c r="I39" i="69"/>
  <c r="I38" i="69"/>
  <c r="I37" i="69"/>
  <c r="I36" i="69"/>
  <c r="G36" i="69"/>
  <c r="I35" i="69"/>
  <c r="G35" i="69"/>
  <c r="I34" i="69"/>
  <c r="G34" i="69"/>
  <c r="I33" i="69"/>
  <c r="G33" i="69"/>
  <c r="G231" i="62"/>
  <c r="G232" i="62"/>
  <c r="G233" i="62"/>
  <c r="G33" i="53"/>
  <c r="G34" i="53"/>
  <c r="G35" i="53"/>
  <c r="G36" i="53"/>
  <c r="G61" i="60"/>
  <c r="G62" i="60"/>
  <c r="G63" i="60"/>
  <c r="G64" i="60"/>
  <c r="G65" i="60"/>
  <c r="G66" i="60"/>
  <c r="G67" i="60"/>
  <c r="G68" i="60"/>
  <c r="G69" i="60"/>
  <c r="G70" i="60"/>
  <c r="G71" i="60"/>
  <c r="G72" i="60"/>
  <c r="G73" i="60"/>
  <c r="G74" i="60"/>
  <c r="G75" i="60"/>
  <c r="G76" i="60"/>
  <c r="G77" i="60"/>
  <c r="G78" i="60"/>
  <c r="G79" i="60"/>
  <c r="G80" i="60"/>
  <c r="G81" i="60"/>
  <c r="G82" i="60"/>
  <c r="G83" i="60"/>
  <c r="G84" i="60"/>
  <c r="G85" i="60"/>
  <c r="G86" i="60"/>
  <c r="G87" i="60"/>
  <c r="G88" i="60"/>
  <c r="G89" i="60"/>
  <c r="G90" i="60"/>
  <c r="G91" i="60"/>
  <c r="G92" i="60"/>
  <c r="G93" i="60"/>
  <c r="G94" i="60"/>
  <c r="G95" i="60"/>
  <c r="G96" i="60"/>
  <c r="G97" i="60"/>
  <c r="G98" i="60"/>
  <c r="G99" i="60"/>
  <c r="G100" i="60"/>
  <c r="G101" i="60"/>
  <c r="G102" i="60"/>
  <c r="G103" i="60"/>
  <c r="G104" i="60"/>
  <c r="G105" i="60"/>
  <c r="G106" i="60"/>
  <c r="G107" i="60"/>
  <c r="G108" i="60"/>
  <c r="G109" i="60"/>
  <c r="I16" i="58"/>
  <c r="I17" i="58"/>
  <c r="I18" i="58"/>
  <c r="I19" i="58"/>
  <c r="I20" i="58"/>
  <c r="I21" i="58"/>
  <c r="I22" i="58"/>
  <c r="I23" i="58"/>
  <c r="I24" i="58"/>
  <c r="I25" i="58"/>
  <c r="I26" i="58"/>
  <c r="I27" i="58"/>
  <c r="I28" i="58"/>
  <c r="I29" i="58"/>
  <c r="I30" i="58"/>
  <c r="I31" i="58"/>
  <c r="I32" i="58"/>
  <c r="I33" i="58"/>
  <c r="I34" i="58"/>
  <c r="I35" i="58"/>
  <c r="I36" i="58"/>
  <c r="I37" i="58"/>
  <c r="I38" i="58"/>
  <c r="I39" i="58"/>
  <c r="I40" i="58"/>
  <c r="I41" i="58"/>
  <c r="I42" i="58"/>
  <c r="I43" i="58"/>
  <c r="I44" i="58"/>
  <c r="I45" i="58"/>
  <c r="I46" i="58"/>
  <c r="I47" i="58"/>
  <c r="I48" i="58"/>
  <c r="I49" i="58"/>
  <c r="I50" i="58"/>
  <c r="I51" i="58"/>
  <c r="I52" i="58"/>
  <c r="I53" i="58"/>
  <c r="I54" i="58"/>
  <c r="I55" i="58"/>
  <c r="I56" i="58"/>
  <c r="I57" i="58"/>
  <c r="I58" i="58"/>
  <c r="I59" i="58"/>
  <c r="I60" i="58"/>
  <c r="I61" i="58"/>
  <c r="I62" i="58"/>
  <c r="I63" i="58"/>
  <c r="I64" i="58"/>
  <c r="I65" i="58"/>
  <c r="I66" i="58"/>
  <c r="I67" i="58"/>
  <c r="I68" i="58"/>
  <c r="I69" i="58"/>
  <c r="I70" i="58"/>
  <c r="I71" i="58"/>
  <c r="I72" i="58"/>
  <c r="I73" i="58"/>
  <c r="I74" i="58"/>
  <c r="I75" i="58"/>
  <c r="I76" i="58"/>
  <c r="I77" i="58"/>
  <c r="I78" i="58"/>
  <c r="I79" i="58"/>
  <c r="I80" i="58"/>
  <c r="I81" i="58"/>
  <c r="I82" i="58"/>
  <c r="I83" i="58"/>
  <c r="I84" i="58"/>
  <c r="I85" i="58"/>
  <c r="I86" i="58"/>
  <c r="I87" i="58"/>
  <c r="I88" i="58"/>
  <c r="I89" i="58"/>
  <c r="I90" i="58"/>
  <c r="I91" i="58"/>
  <c r="I92" i="58"/>
  <c r="I93" i="58"/>
  <c r="I94" i="58"/>
  <c r="I95" i="58"/>
  <c r="I96" i="58"/>
  <c r="I97" i="58"/>
  <c r="I98" i="58"/>
  <c r="I99" i="58"/>
  <c r="I100" i="58"/>
  <c r="I101" i="58"/>
  <c r="I102" i="58"/>
  <c r="I103" i="58"/>
  <c r="I104" i="58"/>
  <c r="I105" i="58"/>
  <c r="I106" i="58"/>
  <c r="I107" i="58"/>
  <c r="I108" i="58"/>
  <c r="I109" i="58"/>
  <c r="I110" i="58"/>
  <c r="I111" i="58"/>
  <c r="I112" i="58"/>
  <c r="I113" i="58"/>
  <c r="I114" i="58"/>
  <c r="I115" i="58"/>
  <c r="I116" i="58"/>
  <c r="I117" i="58"/>
  <c r="I118" i="58"/>
  <c r="I119" i="58"/>
  <c r="I120" i="58"/>
  <c r="I121" i="58"/>
  <c r="I122" i="58"/>
  <c r="I123" i="58"/>
  <c r="I124" i="58"/>
  <c r="I125" i="58"/>
  <c r="I126" i="58"/>
  <c r="I127" i="58"/>
  <c r="I128" i="58"/>
  <c r="I129" i="58"/>
  <c r="I130" i="58"/>
  <c r="I131" i="58"/>
  <c r="I132" i="58"/>
  <c r="I133" i="58"/>
  <c r="I134" i="58"/>
  <c r="I135" i="58"/>
  <c r="I136" i="58"/>
  <c r="I137" i="58"/>
  <c r="I138" i="58"/>
  <c r="I139" i="58"/>
  <c r="I140" i="58"/>
  <c r="I141" i="58"/>
  <c r="I142" i="58"/>
  <c r="I143" i="58"/>
  <c r="I144" i="58"/>
  <c r="I145" i="58"/>
  <c r="I146" i="58"/>
  <c r="I147" i="58"/>
  <c r="I148" i="58"/>
  <c r="I149" i="58"/>
  <c r="I150" i="58"/>
  <c r="I151" i="58"/>
  <c r="I152" i="58"/>
  <c r="I153" i="58"/>
  <c r="I154" i="58"/>
  <c r="I155" i="58"/>
  <c r="I156" i="58"/>
  <c r="I157" i="58"/>
  <c r="I158" i="58"/>
  <c r="I159" i="58"/>
  <c r="I160" i="58"/>
  <c r="I161" i="58"/>
  <c r="I162" i="58"/>
  <c r="I163" i="58"/>
  <c r="I164" i="58"/>
  <c r="I165" i="58"/>
  <c r="I166" i="58"/>
  <c r="I167" i="58"/>
  <c r="I168" i="58"/>
  <c r="I169" i="58"/>
  <c r="I170" i="58"/>
  <c r="I171" i="58"/>
  <c r="I172" i="58"/>
  <c r="I173" i="58"/>
  <c r="I174" i="58"/>
  <c r="I175" i="58"/>
  <c r="I176" i="58"/>
  <c r="I177" i="58"/>
  <c r="I178" i="58"/>
  <c r="I179" i="58"/>
  <c r="I180" i="58"/>
  <c r="I181" i="58"/>
  <c r="I182" i="58"/>
  <c r="I183" i="58"/>
  <c r="I184" i="58"/>
  <c r="I185" i="58"/>
  <c r="I186" i="58"/>
  <c r="I187" i="58"/>
  <c r="I188" i="58"/>
  <c r="I189" i="58"/>
  <c r="I190" i="58"/>
  <c r="I191" i="58"/>
  <c r="I192" i="58"/>
  <c r="I193" i="58"/>
  <c r="I194" i="58"/>
  <c r="I195" i="58"/>
  <c r="I196" i="58"/>
  <c r="I197" i="58"/>
  <c r="I198" i="58"/>
  <c r="I199" i="58"/>
  <c r="I200" i="58"/>
  <c r="I201" i="58"/>
  <c r="I202" i="58"/>
  <c r="I203" i="58"/>
  <c r="I204" i="58"/>
  <c r="I205" i="58"/>
  <c r="I206" i="58"/>
  <c r="I207" i="58"/>
  <c r="I208" i="58"/>
  <c r="I209" i="58"/>
  <c r="I210" i="58"/>
  <c r="I211" i="58"/>
  <c r="I212" i="58"/>
  <c r="I213" i="58"/>
  <c r="I214" i="58"/>
  <c r="I215" i="58"/>
  <c r="I216" i="58"/>
  <c r="I217" i="58"/>
  <c r="I218" i="58"/>
  <c r="I219" i="58"/>
  <c r="I220" i="58"/>
  <c r="I221" i="58"/>
  <c r="I222" i="58"/>
  <c r="I223" i="58"/>
  <c r="I224" i="58"/>
  <c r="I225" i="58"/>
  <c r="I226" i="58"/>
  <c r="I227" i="58"/>
  <c r="I228" i="58"/>
  <c r="I229" i="58"/>
  <c r="I230" i="58"/>
  <c r="I231" i="58"/>
  <c r="I232" i="58"/>
  <c r="I233" i="58"/>
  <c r="I234" i="58"/>
  <c r="I235" i="58"/>
  <c r="I236" i="58"/>
  <c r="I237" i="58"/>
  <c r="I238" i="58"/>
  <c r="I239" i="58"/>
  <c r="I240" i="58"/>
  <c r="I241" i="58"/>
  <c r="I242" i="58"/>
  <c r="I243" i="58"/>
  <c r="I244" i="58"/>
  <c r="I245" i="58"/>
  <c r="I246" i="58"/>
  <c r="I247" i="58"/>
  <c r="I248" i="58"/>
  <c r="I249" i="58"/>
  <c r="I250" i="58"/>
  <c r="I251" i="58"/>
  <c r="I252" i="58"/>
  <c r="I253" i="58"/>
  <c r="I254" i="58"/>
  <c r="I255" i="58"/>
  <c r="I256" i="58"/>
  <c r="I257" i="58"/>
  <c r="I258" i="58"/>
  <c r="I259" i="58"/>
  <c r="I260" i="58"/>
  <c r="I261" i="58"/>
  <c r="I262" i="58"/>
  <c r="I263" i="58"/>
  <c r="I264" i="58"/>
  <c r="I265" i="58"/>
  <c r="I266" i="58"/>
  <c r="I267" i="58"/>
  <c r="I268" i="58"/>
  <c r="I269" i="58"/>
  <c r="I270" i="58"/>
  <c r="I271" i="58"/>
  <c r="I272" i="58"/>
  <c r="I273" i="58"/>
  <c r="I274" i="58"/>
  <c r="I275" i="58"/>
  <c r="I276" i="58"/>
  <c r="I277" i="58"/>
  <c r="I278" i="58"/>
  <c r="I279" i="58"/>
  <c r="I280" i="58"/>
  <c r="I281" i="58"/>
  <c r="I282" i="58"/>
  <c r="I283" i="58"/>
  <c r="I284" i="58"/>
  <c r="I285" i="58"/>
  <c r="I286" i="58"/>
  <c r="I287" i="58"/>
  <c r="I288" i="58"/>
  <c r="I289" i="58"/>
  <c r="I290" i="58"/>
  <c r="I291" i="58"/>
  <c r="I292" i="58"/>
  <c r="I293" i="58"/>
  <c r="I294" i="58"/>
  <c r="I295" i="58"/>
  <c r="I296" i="58"/>
  <c r="I297" i="58"/>
  <c r="I298" i="58"/>
  <c r="I299" i="58"/>
  <c r="I300" i="58"/>
  <c r="I301" i="58"/>
  <c r="I302" i="58"/>
  <c r="I303" i="58"/>
  <c r="I304" i="58"/>
  <c r="I305" i="58"/>
  <c r="I306" i="58"/>
  <c r="I307" i="58"/>
  <c r="I308" i="58"/>
  <c r="I309" i="58"/>
  <c r="I310" i="58"/>
  <c r="I311" i="58"/>
  <c r="I312" i="58"/>
  <c r="I313" i="58"/>
  <c r="I314" i="58"/>
  <c r="I315" i="58"/>
  <c r="I316" i="58"/>
  <c r="I317" i="58"/>
  <c r="I318" i="58"/>
  <c r="I319" i="58"/>
  <c r="I320" i="58"/>
  <c r="I321" i="58"/>
  <c r="I322" i="58"/>
  <c r="I323" i="58"/>
  <c r="I324" i="58"/>
  <c r="I325" i="58"/>
  <c r="I326" i="58"/>
  <c r="I327" i="58"/>
  <c r="I328" i="58"/>
  <c r="I329" i="58"/>
  <c r="I330" i="58"/>
  <c r="I331" i="58"/>
  <c r="I332" i="58"/>
  <c r="I333" i="58"/>
  <c r="I334" i="58"/>
  <c r="I335" i="58"/>
  <c r="I336" i="58"/>
  <c r="I337" i="58"/>
  <c r="I338" i="58"/>
  <c r="I339" i="58"/>
  <c r="I340" i="58"/>
  <c r="I341" i="58"/>
  <c r="I343" i="58"/>
  <c r="I344" i="58"/>
  <c r="I345" i="58"/>
  <c r="I346" i="58"/>
  <c r="I347" i="58"/>
  <c r="I349" i="58"/>
  <c r="I350" i="58"/>
  <c r="I351" i="58"/>
  <c r="I352" i="58"/>
  <c r="I353" i="58"/>
  <c r="I355" i="58"/>
  <c r="I356" i="58"/>
  <c r="I357" i="58"/>
  <c r="I358" i="58"/>
  <c r="I359" i="58"/>
  <c r="I361" i="58"/>
  <c r="I362" i="58"/>
  <c r="I363" i="58"/>
  <c r="I364" i="58"/>
  <c r="I365" i="58"/>
  <c r="I367" i="58"/>
  <c r="I368" i="58"/>
  <c r="I369" i="58"/>
  <c r="I370" i="58"/>
  <c r="I371" i="58"/>
  <c r="I373" i="58"/>
  <c r="I374" i="58"/>
  <c r="I375" i="58"/>
  <c r="I376" i="58"/>
  <c r="I377" i="58"/>
  <c r="I379" i="58"/>
  <c r="I380" i="58"/>
  <c r="I381" i="58"/>
  <c r="I382" i="58"/>
  <c r="I383" i="58"/>
  <c r="I385" i="58"/>
  <c r="I386" i="58"/>
  <c r="I387" i="58"/>
  <c r="I388" i="58"/>
  <c r="I389" i="58"/>
  <c r="I391" i="58"/>
  <c r="I392" i="58"/>
  <c r="I393" i="58"/>
  <c r="I394" i="58"/>
  <c r="I395" i="58"/>
  <c r="I397" i="58"/>
  <c r="I398" i="58"/>
  <c r="I399" i="58"/>
  <c r="I400" i="58"/>
  <c r="I401" i="58"/>
  <c r="I403" i="58"/>
  <c r="I404" i="58"/>
  <c r="I405" i="58"/>
  <c r="I406" i="58"/>
  <c r="I407" i="58"/>
  <c r="I409" i="58"/>
  <c r="I410" i="58"/>
  <c r="I411" i="58"/>
  <c r="I412" i="58"/>
  <c r="I413" i="58"/>
  <c r="I415" i="58"/>
  <c r="I416" i="58"/>
  <c r="I417" i="58"/>
  <c r="I418" i="58"/>
  <c r="I419" i="58"/>
  <c r="I422" i="58"/>
  <c r="I423" i="58"/>
  <c r="I424" i="58"/>
  <c r="I425" i="58"/>
  <c r="I428" i="58"/>
  <c r="I429" i="58"/>
  <c r="I430" i="58"/>
  <c r="I431" i="58"/>
  <c r="I434" i="58"/>
  <c r="I435" i="58"/>
  <c r="I436" i="58"/>
  <c r="I437" i="58"/>
  <c r="I440" i="58"/>
  <c r="I441" i="58"/>
  <c r="I442" i="58"/>
  <c r="I443" i="58"/>
  <c r="I446" i="58"/>
  <c r="I447" i="58"/>
  <c r="I448" i="58"/>
  <c r="I449" i="58"/>
  <c r="I452" i="58"/>
  <c r="I453" i="58"/>
  <c r="I454" i="58"/>
  <c r="I455" i="58"/>
  <c r="I458" i="58"/>
  <c r="I459" i="58"/>
  <c r="I460" i="58"/>
  <c r="I461" i="58"/>
  <c r="I464" i="58"/>
  <c r="I465" i="58"/>
  <c r="I466" i="58"/>
  <c r="I470" i="58"/>
  <c r="I471" i="58"/>
  <c r="I472" i="58"/>
  <c r="I474" i="58"/>
  <c r="I475" i="58"/>
  <c r="I476" i="58"/>
  <c r="I477" i="58"/>
  <c r="I478" i="58"/>
  <c r="I15" i="58"/>
  <c r="I39" i="56"/>
  <c r="I40" i="56"/>
  <c r="I33" i="53"/>
  <c r="I34" i="53"/>
  <c r="I35" i="53"/>
  <c r="I36" i="53"/>
  <c r="I75" i="60"/>
  <c r="I76" i="60"/>
  <c r="I126" i="66"/>
  <c r="I125" i="66"/>
  <c r="I124" i="66"/>
  <c r="I123" i="66"/>
  <c r="I122" i="66"/>
  <c r="I121" i="66"/>
  <c r="I120" i="66"/>
  <c r="I119" i="66"/>
  <c r="I118" i="66"/>
  <c r="I126" i="65"/>
  <c r="I125" i="65"/>
  <c r="I124" i="65"/>
  <c r="I123" i="65"/>
  <c r="I122" i="65"/>
  <c r="I121" i="65"/>
  <c r="I120" i="65"/>
  <c r="I119" i="65"/>
  <c r="I118" i="65"/>
  <c r="I126" i="63"/>
  <c r="I125" i="63"/>
  <c r="I124" i="63"/>
  <c r="I123" i="63"/>
  <c r="I122" i="63"/>
  <c r="I121" i="63"/>
  <c r="I120" i="63"/>
  <c r="I119" i="63"/>
  <c r="I118" i="63"/>
  <c r="I119" i="48"/>
  <c r="I120" i="48"/>
  <c r="I121" i="48"/>
  <c r="I122" i="48"/>
  <c r="I123" i="48"/>
  <c r="I124" i="48"/>
  <c r="I125" i="48"/>
  <c r="I126" i="48"/>
  <c r="I269" i="62"/>
  <c r="I268" i="62"/>
  <c r="I267" i="62"/>
  <c r="I266" i="62"/>
  <c r="I265" i="62"/>
  <c r="I264" i="62"/>
  <c r="I263" i="62"/>
  <c r="I262" i="62"/>
  <c r="I261" i="62"/>
  <c r="I260" i="62"/>
  <c r="I259" i="62"/>
  <c r="I258" i="62"/>
  <c r="I257" i="62"/>
  <c r="I256" i="62"/>
  <c r="I255" i="62"/>
  <c r="I254" i="62"/>
  <c r="I253" i="62"/>
  <c r="I252" i="62"/>
  <c r="I251" i="62"/>
  <c r="I250" i="62"/>
  <c r="I249" i="62"/>
  <c r="I248" i="62"/>
  <c r="I247" i="62"/>
  <c r="I246" i="62"/>
  <c r="I245" i="62"/>
  <c r="I244" i="62"/>
  <c r="I243" i="62"/>
  <c r="I242" i="62"/>
  <c r="I241" i="62"/>
  <c r="I240" i="62"/>
  <c r="I239" i="62"/>
  <c r="I238" i="62"/>
  <c r="I237" i="62"/>
  <c r="I236" i="62"/>
  <c r="I235" i="62"/>
  <c r="I234" i="62"/>
  <c r="H12" i="62"/>
  <c r="C12" i="62"/>
  <c r="H11" i="62"/>
  <c r="C11" i="62"/>
  <c r="H10" i="62"/>
  <c r="C10" i="62"/>
  <c r="H9" i="62"/>
  <c r="C9" i="62"/>
  <c r="H8" i="62"/>
  <c r="C8" i="62"/>
  <c r="I7" i="62"/>
  <c r="F7" i="62"/>
  <c r="I463" i="58" l="1"/>
  <c r="I457" i="58"/>
  <c r="I433" i="58"/>
  <c r="G333" i="58"/>
  <c r="G327" i="58"/>
  <c r="G321" i="58"/>
  <c r="G315" i="58"/>
  <c r="G309" i="58"/>
  <c r="G303" i="58"/>
  <c r="G297" i="58"/>
  <c r="G291" i="58"/>
  <c r="G285" i="58"/>
  <c r="G279" i="58"/>
  <c r="G273" i="58"/>
  <c r="G267" i="58"/>
  <c r="G261" i="58"/>
  <c r="G255" i="58"/>
  <c r="G249" i="58"/>
  <c r="G243" i="58"/>
  <c r="G237" i="58"/>
  <c r="G231" i="58"/>
  <c r="G225" i="58"/>
  <c r="G219" i="58"/>
  <c r="G213" i="58"/>
  <c r="G207" i="58"/>
  <c r="G201" i="58"/>
  <c r="G195" i="58"/>
  <c r="G189" i="58"/>
  <c r="G183" i="58"/>
  <c r="I469" i="58"/>
  <c r="I451" i="58"/>
  <c r="I445" i="58"/>
  <c r="I439" i="58"/>
  <c r="I427" i="58"/>
  <c r="I421" i="58"/>
  <c r="I468" i="58"/>
  <c r="I462" i="58"/>
  <c r="I456" i="58"/>
  <c r="I450" i="58"/>
  <c r="I444" i="58"/>
  <c r="I438" i="58"/>
  <c r="I432" i="58"/>
  <c r="I426" i="58"/>
  <c r="I420" i="58"/>
  <c r="I414" i="58"/>
  <c r="I408" i="58"/>
  <c r="I402" i="58"/>
  <c r="I396" i="58"/>
  <c r="I390" i="58"/>
  <c r="I384" i="58"/>
  <c r="I378" i="58"/>
  <c r="I372" i="58"/>
  <c r="I366" i="58"/>
  <c r="I360" i="58"/>
  <c r="I354" i="58"/>
  <c r="I348" i="58"/>
  <c r="I342" i="58"/>
  <c r="G473" i="58"/>
  <c r="G467" i="58"/>
  <c r="G335" i="58"/>
  <c r="G329" i="58"/>
  <c r="G323" i="58"/>
  <c r="G317" i="58"/>
  <c r="G311" i="58"/>
  <c r="G305" i="58"/>
  <c r="G299" i="58"/>
  <c r="G293" i="58"/>
  <c r="G275" i="58"/>
  <c r="G269" i="58"/>
  <c r="G263" i="58"/>
  <c r="G257" i="58"/>
  <c r="G251" i="58"/>
  <c r="G245" i="58"/>
  <c r="G239" i="58"/>
  <c r="G233" i="58"/>
  <c r="G227" i="58"/>
  <c r="G221" i="58"/>
  <c r="G215" i="58"/>
  <c r="G185" i="58"/>
  <c r="I479" i="58"/>
  <c r="G177" i="58"/>
  <c r="G171" i="58"/>
  <c r="G165" i="58"/>
  <c r="G159" i="58"/>
  <c r="G153" i="58"/>
  <c r="G147" i="58"/>
  <c r="G141" i="58"/>
  <c r="G135" i="58"/>
  <c r="G129" i="58"/>
  <c r="G123" i="58"/>
  <c r="G117" i="58"/>
  <c r="G111" i="58"/>
  <c r="G105" i="58"/>
  <c r="G173" i="58"/>
  <c r="G167" i="58"/>
  <c r="G161" i="58"/>
  <c r="G155" i="58"/>
  <c r="G149" i="58"/>
  <c r="G143" i="58"/>
  <c r="G137" i="58"/>
  <c r="G131" i="58"/>
  <c r="G125" i="58"/>
  <c r="G119" i="58"/>
  <c r="G113" i="58"/>
  <c r="G107" i="58"/>
  <c r="G175" i="58"/>
  <c r="G169" i="58"/>
  <c r="G163" i="58"/>
  <c r="G157" i="58"/>
  <c r="G151" i="58"/>
  <c r="G145" i="58"/>
  <c r="G139" i="58"/>
  <c r="G133" i="58"/>
  <c r="G127" i="58"/>
  <c r="G121" i="58"/>
  <c r="G115" i="58"/>
  <c r="G109" i="58"/>
  <c r="G103" i="58"/>
  <c r="G99" i="58"/>
  <c r="G93" i="58"/>
  <c r="G87" i="58"/>
  <c r="G81" i="58"/>
  <c r="G75" i="58"/>
  <c r="G69" i="58"/>
  <c r="G63" i="58"/>
  <c r="G57" i="58"/>
  <c r="G51" i="58"/>
  <c r="G45" i="58"/>
  <c r="G39" i="58"/>
  <c r="G33" i="58"/>
  <c r="G27" i="58"/>
  <c r="G21" i="58"/>
  <c r="G76" i="58"/>
  <c r="G58" i="58"/>
  <c r="G52" i="58"/>
  <c r="G46" i="58"/>
  <c r="G40" i="58"/>
  <c r="G34" i="58"/>
  <c r="G28" i="58"/>
  <c r="G22" i="58"/>
  <c r="G36" i="58"/>
  <c r="G97" i="58"/>
  <c r="G91" i="58"/>
  <c r="G85" i="58"/>
  <c r="G79" i="58"/>
  <c r="G73" i="58"/>
  <c r="G67" i="58"/>
  <c r="G61" i="58"/>
  <c r="G55" i="58"/>
  <c r="G49" i="58"/>
  <c r="G43" i="58"/>
  <c r="G37" i="58"/>
  <c r="G31" i="58"/>
  <c r="G25" i="58"/>
  <c r="G19" i="58"/>
  <c r="I118" i="48"/>
  <c r="H9" i="56"/>
  <c r="H10" i="56"/>
  <c r="H11" i="56"/>
  <c r="H12" i="56"/>
  <c r="H8" i="56"/>
  <c r="I7" i="56"/>
  <c r="F7" i="56"/>
  <c r="C8" i="56"/>
  <c r="C9" i="56"/>
  <c r="C10" i="56"/>
  <c r="C11" i="56"/>
  <c r="C12" i="56"/>
  <c r="I90" i="61"/>
  <c r="I89" i="61"/>
  <c r="I88" i="61"/>
  <c r="I87" i="61"/>
  <c r="I86" i="61"/>
  <c r="I85" i="61"/>
  <c r="I84" i="61"/>
  <c r="I83" i="61"/>
  <c r="I82" i="61"/>
  <c r="I81" i="61"/>
  <c r="I80" i="61"/>
  <c r="I79" i="61"/>
  <c r="I78" i="61"/>
  <c r="I77" i="61"/>
  <c r="I76" i="61"/>
  <c r="I75" i="61"/>
  <c r="I74" i="61"/>
  <c r="I73" i="61"/>
  <c r="I72" i="61"/>
  <c r="I71" i="61"/>
  <c r="I70" i="61"/>
  <c r="I69" i="61"/>
  <c r="I68" i="61"/>
  <c r="I67" i="61"/>
  <c r="I66" i="61"/>
  <c r="I65" i="61"/>
  <c r="I64" i="61"/>
  <c r="I63" i="61"/>
  <c r="I62" i="61"/>
  <c r="I61" i="61"/>
  <c r="I60" i="61"/>
  <c r="I59" i="61"/>
  <c r="I58" i="61"/>
  <c r="I57" i="61"/>
  <c r="I56" i="61"/>
  <c r="I55" i="61"/>
  <c r="I54" i="61"/>
  <c r="I53" i="61"/>
  <c r="I41" i="56"/>
  <c r="I79" i="60"/>
  <c r="I81" i="60"/>
  <c r="I82" i="60"/>
  <c r="I109" i="60"/>
  <c r="I108" i="60"/>
  <c r="I107" i="60"/>
  <c r="I106" i="60"/>
  <c r="I105" i="60"/>
  <c r="I104" i="60"/>
  <c r="I103" i="60"/>
  <c r="I102" i="60"/>
  <c r="I101" i="60"/>
  <c r="I100" i="60"/>
  <c r="I99" i="60"/>
  <c r="I98" i="60"/>
  <c r="I97" i="60"/>
  <c r="I96" i="60"/>
  <c r="I95" i="60"/>
  <c r="I94" i="60"/>
  <c r="I93" i="60"/>
  <c r="I92" i="60"/>
  <c r="I91" i="60"/>
  <c r="I90" i="60"/>
  <c r="I89" i="60"/>
  <c r="I88" i="60"/>
  <c r="I87" i="60"/>
  <c r="I86" i="60"/>
  <c r="I85" i="60"/>
  <c r="I84" i="60"/>
  <c r="I83" i="60"/>
  <c r="I80" i="60"/>
  <c r="I78" i="60"/>
  <c r="I77" i="60"/>
  <c r="I39" i="53"/>
  <c r="I40" i="53"/>
  <c r="I43" i="53"/>
  <c r="I76" i="56"/>
  <c r="I75" i="56"/>
  <c r="I74" i="56"/>
  <c r="I73" i="56"/>
  <c r="I72" i="56"/>
  <c r="I71" i="56"/>
  <c r="I70" i="56"/>
  <c r="I69" i="56"/>
  <c r="I68" i="56"/>
  <c r="I67" i="56"/>
  <c r="I66" i="56"/>
  <c r="I65" i="56"/>
  <c r="I64" i="56"/>
  <c r="I63" i="56"/>
  <c r="I62" i="56"/>
  <c r="I61" i="56"/>
  <c r="I60" i="56"/>
  <c r="I59" i="56"/>
  <c r="I58" i="56"/>
  <c r="I57" i="56"/>
  <c r="I56" i="56"/>
  <c r="I55" i="56"/>
  <c r="I54" i="56"/>
  <c r="I53" i="56"/>
  <c r="I52" i="56"/>
  <c r="I51" i="56"/>
  <c r="I50" i="56"/>
  <c r="I49" i="56"/>
  <c r="I48" i="56"/>
  <c r="I47" i="56"/>
  <c r="I46" i="56"/>
  <c r="I45" i="56"/>
  <c r="I56" i="55"/>
  <c r="I55" i="55"/>
  <c r="I54" i="55"/>
  <c r="I53" i="55"/>
  <c r="I52" i="55"/>
  <c r="I51" i="55"/>
  <c r="I50" i="55"/>
  <c r="I49" i="55"/>
  <c r="I48" i="55"/>
  <c r="I47" i="55"/>
  <c r="I46" i="55"/>
  <c r="I45" i="55"/>
  <c r="I44" i="55"/>
  <c r="I43" i="55"/>
  <c r="I42" i="55"/>
  <c r="I41" i="55"/>
  <c r="I40" i="55"/>
  <c r="I39" i="55"/>
  <c r="I38" i="55"/>
  <c r="I37" i="55"/>
  <c r="I36" i="55"/>
  <c r="I35" i="55"/>
  <c r="I34" i="55"/>
  <c r="I33" i="55"/>
  <c r="I32" i="55"/>
  <c r="I31" i="55"/>
  <c r="I30" i="55"/>
  <c r="I29" i="55"/>
  <c r="I28" i="55"/>
  <c r="I27" i="55"/>
  <c r="I26" i="55"/>
  <c r="I25" i="55"/>
  <c r="I24" i="55"/>
  <c r="I23" i="55"/>
  <c r="I72" i="53"/>
  <c r="I71" i="53"/>
  <c r="I70" i="53"/>
  <c r="I69" i="53"/>
  <c r="I68" i="53"/>
  <c r="I67" i="53"/>
  <c r="I66" i="53"/>
  <c r="I65" i="53"/>
  <c r="I64" i="53"/>
  <c r="I63" i="53"/>
  <c r="I62" i="53"/>
  <c r="I61" i="53"/>
  <c r="I60" i="53"/>
  <c r="I59" i="53"/>
  <c r="I58" i="53"/>
  <c r="I57" i="53"/>
  <c r="I56" i="53"/>
  <c r="I55" i="53"/>
  <c r="I54" i="53"/>
  <c r="I53" i="53"/>
  <c r="I52" i="53"/>
  <c r="I51" i="53"/>
  <c r="I50" i="53"/>
  <c r="I49" i="53"/>
  <c r="I48" i="53"/>
  <c r="I47" i="53"/>
  <c r="I46" i="53"/>
  <c r="I45" i="53"/>
  <c r="I44" i="53"/>
  <c r="I42" i="53"/>
  <c r="I41" i="53"/>
  <c r="I38" i="53"/>
  <c r="I42" i="56" l="1"/>
  <c r="I37" i="53"/>
  <c r="I43" i="56"/>
  <c r="I44" i="56"/>
  <c r="I57" i="47" l="1"/>
  <c r="I56" i="47"/>
  <c r="I55" i="47"/>
  <c r="I54" i="47"/>
  <c r="I53" i="47"/>
  <c r="I52" i="47"/>
  <c r="I51" i="47"/>
  <c r="I50" i="47"/>
  <c r="I49" i="47"/>
  <c r="I48" i="47"/>
  <c r="I47" i="47"/>
  <c r="I46" i="47"/>
  <c r="I45" i="47"/>
  <c r="I44" i="47"/>
  <c r="I43" i="47"/>
  <c r="I42" i="47"/>
  <c r="I41" i="47"/>
  <c r="I40" i="47"/>
  <c r="I39" i="47"/>
  <c r="I38" i="47"/>
  <c r="I37" i="47"/>
  <c r="I36" i="47"/>
  <c r="I35" i="47"/>
  <c r="I34" i="47"/>
  <c r="I33" i="47"/>
  <c r="I32" i="47"/>
  <c r="I31" i="47"/>
  <c r="I30" i="47"/>
  <c r="I29" i="47"/>
  <c r="I28" i="47"/>
  <c r="I27" i="47"/>
  <c r="I26" i="47"/>
  <c r="I25" i="47"/>
  <c r="I24" i="47"/>
  <c r="I23" i="47"/>
  <c r="I20" i="47" l="1"/>
  <c r="I22" i="47"/>
  <c r="I21" i="47"/>
  <c r="I482" i="58" l="1"/>
  <c r="I483" i="58" s="1"/>
  <c r="I485" i="58" s="1"/>
  <c r="C83" i="48" l="1"/>
  <c r="C15" i="47"/>
  <c r="C16" i="56"/>
  <c r="C16" i="61"/>
  <c r="C15" i="61"/>
  <c r="C15" i="62"/>
  <c r="C16" i="62"/>
  <c r="C18" i="62"/>
  <c r="C17" i="62"/>
  <c r="C17" i="48"/>
  <c r="C18" i="48"/>
  <c r="C62" i="48"/>
  <c r="C81" i="48"/>
  <c r="C82" i="48"/>
  <c r="C63" i="48"/>
  <c r="C105" i="48"/>
  <c r="C74" i="48"/>
  <c r="C20" i="48"/>
  <c r="C29" i="56"/>
  <c r="C19" i="55"/>
  <c r="D82" i="48"/>
  <c r="D81" i="48"/>
  <c r="D62" i="48"/>
  <c r="D18" i="48"/>
  <c r="D17" i="48"/>
  <c r="D16" i="60"/>
  <c r="D17" i="62"/>
  <c r="D18" i="62"/>
  <c r="D16" i="62"/>
  <c r="D15" i="62"/>
  <c r="D15" i="61"/>
  <c r="D16" i="61"/>
  <c r="D36" i="61"/>
  <c r="D16" i="56"/>
  <c r="D15" i="47"/>
  <c r="D83" i="48"/>
  <c r="D61" i="48"/>
  <c r="D19" i="61"/>
  <c r="D17" i="56"/>
  <c r="D17" i="60"/>
  <c r="D15" i="60"/>
  <c r="D17" i="61"/>
  <c r="D18" i="61"/>
  <c r="D15" i="56"/>
  <c r="D84" i="48"/>
  <c r="D63" i="48"/>
  <c r="D22" i="61"/>
  <c r="D18" i="56"/>
  <c r="D105" i="48"/>
  <c r="D74" i="48"/>
  <c r="D19" i="48"/>
  <c r="D20" i="48"/>
  <c r="D32" i="48"/>
  <c r="D29" i="56"/>
  <c r="D19" i="55"/>
  <c r="F18" i="48"/>
  <c r="F17" i="48"/>
  <c r="F17" i="62"/>
  <c r="F18" i="62"/>
  <c r="F16" i="62"/>
  <c r="F15" i="62"/>
  <c r="F15" i="61"/>
  <c r="F16" i="61"/>
  <c r="F19" i="62"/>
  <c r="F16" i="56"/>
  <c r="F15" i="47"/>
  <c r="F17" i="56"/>
  <c r="F17" i="61"/>
  <c r="F18" i="61"/>
  <c r="F15" i="56"/>
  <c r="F18" i="56"/>
  <c r="F19" i="48"/>
  <c r="F20" i="48"/>
  <c r="F32" i="48"/>
  <c r="F29" i="56"/>
  <c r="F19" i="55"/>
  <c r="H18" i="48"/>
  <c r="H17" i="48"/>
  <c r="H17" i="62"/>
  <c r="H18" i="62"/>
  <c r="H16" i="62"/>
  <c r="H15" i="62"/>
  <c r="H15" i="61"/>
  <c r="H16" i="61"/>
  <c r="H16" i="56"/>
  <c r="H15" i="47"/>
  <c r="H20" i="61"/>
  <c r="H17" i="56"/>
  <c r="H17" i="61"/>
  <c r="H18" i="61"/>
  <c r="H15" i="56"/>
  <c r="H18" i="56"/>
  <c r="H19" i="48"/>
  <c r="H20" i="48"/>
  <c r="H32" i="48"/>
  <c r="H29" i="56"/>
  <c r="H19" i="55"/>
  <c r="F17" i="53" l="1"/>
  <c r="D16" i="53"/>
  <c r="D15" i="53"/>
  <c r="D15" i="69"/>
  <c r="C17" i="53"/>
  <c r="H26" i="53"/>
  <c r="F18" i="53"/>
  <c r="H17" i="60"/>
  <c r="H20" i="62"/>
  <c r="H16" i="60"/>
  <c r="F16" i="53"/>
  <c r="F21" i="62"/>
  <c r="F15" i="53"/>
  <c r="F15" i="69"/>
  <c r="C26" i="53"/>
  <c r="H18" i="53"/>
  <c r="H17" i="53"/>
  <c r="H16" i="53"/>
  <c r="H21" i="62"/>
  <c r="H15" i="53"/>
  <c r="H15" i="69"/>
  <c r="D26" i="53"/>
  <c r="F26" i="53"/>
  <c r="D18" i="53"/>
  <c r="D17" i="53"/>
  <c r="C15" i="53"/>
  <c r="C15" i="69"/>
  <c r="H19" i="62"/>
  <c r="D20" i="62"/>
  <c r="F20" i="62"/>
  <c r="D21" i="62"/>
  <c r="F20" i="61"/>
  <c r="D19" i="62"/>
  <c r="H15" i="60"/>
  <c r="H36" i="61"/>
  <c r="F15" i="60"/>
  <c r="F17" i="60"/>
  <c r="F16" i="60"/>
  <c r="C16" i="60"/>
  <c r="F63" i="63"/>
  <c r="F63" i="48"/>
  <c r="F61" i="63"/>
  <c r="F61" i="48"/>
  <c r="F81" i="63"/>
  <c r="F81" i="48"/>
  <c r="H63" i="63"/>
  <c r="H63" i="48"/>
  <c r="H61" i="48"/>
  <c r="H61" i="63"/>
  <c r="H81" i="63"/>
  <c r="H81" i="48"/>
  <c r="F84" i="63"/>
  <c r="F84" i="48"/>
  <c r="F83" i="63"/>
  <c r="F83" i="48"/>
  <c r="F82" i="63"/>
  <c r="F82" i="48"/>
  <c r="H62" i="63"/>
  <c r="H62" i="48"/>
  <c r="H84" i="63"/>
  <c r="H84" i="48"/>
  <c r="H83" i="48"/>
  <c r="H83" i="63"/>
  <c r="H82" i="63"/>
  <c r="H82" i="48"/>
  <c r="F74" i="63"/>
  <c r="F74" i="48"/>
  <c r="F19" i="61"/>
  <c r="D21" i="61"/>
  <c r="C36" i="61"/>
  <c r="H74" i="63"/>
  <c r="H74" i="48"/>
  <c r="F105" i="63"/>
  <c r="F105" i="48"/>
  <c r="F62" i="63"/>
  <c r="F62" i="48"/>
  <c r="H105" i="63"/>
  <c r="H105" i="48"/>
  <c r="H21" i="61"/>
  <c r="F36" i="61"/>
  <c r="F22" i="61"/>
  <c r="H22" i="61"/>
  <c r="H19" i="61"/>
  <c r="F21" i="61"/>
  <c r="D20" i="61"/>
  <c r="F62" i="66"/>
  <c r="F62" i="65"/>
  <c r="D20" i="65"/>
  <c r="D20" i="63"/>
  <c r="D20" i="66"/>
  <c r="D63" i="63"/>
  <c r="D63" i="65"/>
  <c r="D63" i="66"/>
  <c r="D61" i="66"/>
  <c r="D61" i="65"/>
  <c r="D61" i="63"/>
  <c r="D81" i="66"/>
  <c r="D81" i="65"/>
  <c r="D81" i="63"/>
  <c r="C63" i="65"/>
  <c r="C63" i="66"/>
  <c r="C63" i="63"/>
  <c r="C17" i="66"/>
  <c r="C17" i="63"/>
  <c r="C17" i="65"/>
  <c r="H15" i="63"/>
  <c r="H15" i="48"/>
  <c r="H15" i="66"/>
  <c r="H15" i="65"/>
  <c r="H18" i="65"/>
  <c r="H18" i="66"/>
  <c r="H18" i="63"/>
  <c r="F32" i="65"/>
  <c r="F32" i="63"/>
  <c r="F32" i="66"/>
  <c r="H32" i="66"/>
  <c r="H32" i="65"/>
  <c r="H32" i="63"/>
  <c r="H62" i="66"/>
  <c r="H62" i="65"/>
  <c r="F20" i="63"/>
  <c r="F20" i="65"/>
  <c r="F20" i="66"/>
  <c r="F63" i="65"/>
  <c r="F63" i="66"/>
  <c r="F61" i="65"/>
  <c r="F61" i="66"/>
  <c r="F81" i="65"/>
  <c r="F81" i="66"/>
  <c r="D19" i="63"/>
  <c r="D19" i="65"/>
  <c r="D19" i="66"/>
  <c r="D84" i="66"/>
  <c r="D84" i="65"/>
  <c r="D84" i="63"/>
  <c r="D83" i="63"/>
  <c r="D83" i="65"/>
  <c r="D83" i="66"/>
  <c r="D82" i="65"/>
  <c r="D82" i="63"/>
  <c r="D82" i="66"/>
  <c r="C18" i="66"/>
  <c r="C18" i="63"/>
  <c r="C18" i="65"/>
  <c r="F83" i="66"/>
  <c r="F83" i="65"/>
  <c r="F82" i="66"/>
  <c r="F82" i="65"/>
  <c r="D74" i="66"/>
  <c r="D74" i="65"/>
  <c r="D74" i="63"/>
  <c r="C20" i="65"/>
  <c r="C20" i="63"/>
  <c r="C20" i="66"/>
  <c r="C62" i="66"/>
  <c r="C62" i="65"/>
  <c r="C62" i="63"/>
  <c r="F84" i="65"/>
  <c r="F84" i="66"/>
  <c r="H19" i="66"/>
  <c r="H19" i="65"/>
  <c r="H19" i="63"/>
  <c r="H84" i="65"/>
  <c r="H84" i="66"/>
  <c r="H83" i="65"/>
  <c r="H83" i="66"/>
  <c r="H82" i="66"/>
  <c r="H82" i="65"/>
  <c r="F74" i="66"/>
  <c r="F74" i="65"/>
  <c r="D16" i="63"/>
  <c r="D16" i="48"/>
  <c r="D16" i="65"/>
  <c r="D16" i="66"/>
  <c r="D17" i="66"/>
  <c r="D17" i="63"/>
  <c r="D17" i="65"/>
  <c r="C74" i="66"/>
  <c r="C74" i="65"/>
  <c r="C74" i="63"/>
  <c r="C81" i="63"/>
  <c r="C81" i="65"/>
  <c r="C81" i="66"/>
  <c r="C83" i="63"/>
  <c r="C83" i="66"/>
  <c r="C83" i="65"/>
  <c r="H16" i="63"/>
  <c r="H16" i="48"/>
  <c r="H16" i="65"/>
  <c r="H16" i="66"/>
  <c r="H17" i="65"/>
  <c r="H17" i="66"/>
  <c r="H17" i="63"/>
  <c r="H20" i="63"/>
  <c r="H20" i="65"/>
  <c r="H20" i="66"/>
  <c r="H63" i="65"/>
  <c r="H63" i="66"/>
  <c r="H61" i="65"/>
  <c r="H61" i="66"/>
  <c r="H81" i="65"/>
  <c r="H81" i="66"/>
  <c r="F19" i="66"/>
  <c r="F19" i="65"/>
  <c r="F19" i="63"/>
  <c r="H74" i="65"/>
  <c r="H74" i="66"/>
  <c r="F16" i="65"/>
  <c r="F16" i="48"/>
  <c r="F16" i="63"/>
  <c r="F16" i="66"/>
  <c r="F17" i="65"/>
  <c r="F17" i="66"/>
  <c r="F17" i="63"/>
  <c r="D15" i="66"/>
  <c r="D15" i="63"/>
  <c r="D15" i="48"/>
  <c r="D15" i="65"/>
  <c r="D18" i="63"/>
  <c r="D18" i="65"/>
  <c r="D18" i="66"/>
  <c r="C82" i="65"/>
  <c r="C82" i="63"/>
  <c r="C82" i="66"/>
  <c r="F15" i="63"/>
  <c r="F15" i="48"/>
  <c r="F15" i="65"/>
  <c r="F15" i="66"/>
  <c r="F18" i="66"/>
  <c r="F18" i="63"/>
  <c r="F18" i="65"/>
  <c r="D32" i="66"/>
  <c r="D32" i="65"/>
  <c r="D32" i="63"/>
  <c r="D62" i="65"/>
  <c r="D62" i="63"/>
  <c r="D62" i="66"/>
  <c r="C17" i="56"/>
  <c r="C19" i="61"/>
  <c r="C21" i="61"/>
  <c r="C15" i="56"/>
  <c r="C18" i="56"/>
  <c r="C32" i="48"/>
  <c r="C20" i="61"/>
  <c r="C18" i="61"/>
  <c r="C61" i="48"/>
  <c r="C17" i="61"/>
  <c r="C19" i="48"/>
  <c r="C84" i="48"/>
  <c r="C16" i="53" l="1"/>
  <c r="C18" i="53"/>
  <c r="C21" i="62"/>
  <c r="C17" i="60"/>
  <c r="C20" i="62"/>
  <c r="C19" i="62"/>
  <c r="C15" i="60"/>
  <c r="C22" i="61"/>
  <c r="C19" i="66"/>
  <c r="C19" i="65"/>
  <c r="C19" i="63"/>
  <c r="C15" i="66"/>
  <c r="C15" i="48"/>
  <c r="C15" i="65"/>
  <c r="C15" i="63"/>
  <c r="C16" i="48"/>
  <c r="C16" i="65"/>
  <c r="C16" i="63"/>
  <c r="C16" i="66"/>
  <c r="C61" i="66"/>
  <c r="C61" i="63"/>
  <c r="C61" i="65"/>
  <c r="C32" i="65"/>
  <c r="C32" i="63"/>
  <c r="C32" i="66"/>
  <c r="C84" i="66"/>
  <c r="C84" i="63"/>
  <c r="C84" i="65"/>
  <c r="E15" i="48"/>
  <c r="E16" i="48"/>
  <c r="E19" i="48"/>
  <c r="G19" i="48" s="1"/>
  <c r="E20" i="48"/>
  <c r="G20" i="48" s="1"/>
  <c r="E32" i="48"/>
  <c r="G32" i="48" s="1"/>
  <c r="E74" i="48" l="1"/>
  <c r="G74" i="48" s="1"/>
  <c r="E83" i="48"/>
  <c r="G83" i="48" s="1"/>
  <c r="E105" i="48"/>
  <c r="G105" i="48" s="1"/>
  <c r="E62" i="48"/>
  <c r="G62" i="48" s="1"/>
  <c r="E81" i="48"/>
  <c r="G81" i="48" s="1"/>
  <c r="G16" i="48"/>
  <c r="I16" i="48"/>
  <c r="I19" i="48"/>
  <c r="I15" i="48"/>
  <c r="G15" i="48"/>
  <c r="I32" i="48"/>
  <c r="I20" i="48"/>
  <c r="E18" i="48"/>
  <c r="G18" i="48" s="1"/>
  <c r="E17" i="48"/>
  <c r="G17" i="48" s="1"/>
  <c r="I81" i="48" l="1"/>
  <c r="I83" i="48"/>
  <c r="E82" i="48"/>
  <c r="G82" i="48" s="1"/>
  <c r="E63" i="48"/>
  <c r="G63" i="48" s="1"/>
  <c r="E84" i="48"/>
  <c r="G84" i="48" s="1"/>
  <c r="E61" i="48"/>
  <c r="G61" i="48" s="1"/>
  <c r="I62" i="48"/>
  <c r="I74" i="48"/>
  <c r="I18" i="48"/>
  <c r="I17" i="48"/>
  <c r="E18" i="63"/>
  <c r="E81" i="65"/>
  <c r="E81" i="63"/>
  <c r="E32" i="65"/>
  <c r="E32" i="63"/>
  <c r="E16" i="63"/>
  <c r="E19" i="65"/>
  <c r="E19" i="63"/>
  <c r="E20" i="63"/>
  <c r="E84" i="63"/>
  <c r="E17" i="65"/>
  <c r="E17" i="63"/>
  <c r="E15" i="63"/>
  <c r="E61" i="63"/>
  <c r="E83" i="65"/>
  <c r="E83" i="63"/>
  <c r="E63" i="63"/>
  <c r="E74" i="65"/>
  <c r="E74" i="63"/>
  <c r="E62" i="65"/>
  <c r="E62" i="63"/>
  <c r="E82" i="63"/>
  <c r="I84" i="63" l="1"/>
  <c r="G84" i="63"/>
  <c r="I82" i="63"/>
  <c r="G82" i="63"/>
  <c r="I62" i="65"/>
  <c r="G62" i="65"/>
  <c r="I63" i="63"/>
  <c r="G63" i="63"/>
  <c r="I84" i="48"/>
  <c r="I62" i="63"/>
  <c r="G62" i="63"/>
  <c r="I81" i="63"/>
  <c r="G81" i="63"/>
  <c r="I81" i="65"/>
  <c r="G81" i="65"/>
  <c r="I63" i="48"/>
  <c r="I74" i="63"/>
  <c r="G74" i="63"/>
  <c r="I83" i="63"/>
  <c r="G83" i="63"/>
  <c r="I61" i="63"/>
  <c r="G61" i="63"/>
  <c r="I74" i="65"/>
  <c r="G74" i="65"/>
  <c r="I83" i="65"/>
  <c r="G83" i="65"/>
  <c r="I61" i="48"/>
  <c r="I82" i="48"/>
  <c r="G16" i="63"/>
  <c r="I16" i="63"/>
  <c r="G15" i="63"/>
  <c r="I15" i="63"/>
  <c r="I17" i="63"/>
  <c r="G17" i="63"/>
  <c r="I19" i="65"/>
  <c r="G19" i="65"/>
  <c r="I17" i="65"/>
  <c r="G17" i="65"/>
  <c r="I32" i="63"/>
  <c r="G32" i="63"/>
  <c r="I20" i="63"/>
  <c r="G20" i="63"/>
  <c r="G19" i="63"/>
  <c r="I19" i="63"/>
  <c r="G32" i="65"/>
  <c r="I32" i="65"/>
  <c r="I18" i="63"/>
  <c r="G18" i="63"/>
  <c r="E63" i="66"/>
  <c r="E63" i="65"/>
  <c r="E61" i="65"/>
  <c r="E20" i="66"/>
  <c r="E20" i="65"/>
  <c r="E18" i="65"/>
  <c r="E84" i="65"/>
  <c r="E82" i="65"/>
  <c r="E15" i="65"/>
  <c r="E16" i="65"/>
  <c r="D65" i="48"/>
  <c r="D99" i="48"/>
  <c r="D112" i="48"/>
  <c r="D68" i="48"/>
  <c r="D53" i="48"/>
  <c r="D103" i="48"/>
  <c r="D16" i="47"/>
  <c r="D22" i="56"/>
  <c r="D20" i="55"/>
  <c r="D56" i="48"/>
  <c r="D108" i="62"/>
  <c r="D34" i="56"/>
  <c r="D51" i="48"/>
  <c r="D37" i="48"/>
  <c r="D46" i="48"/>
  <c r="D22" i="55"/>
  <c r="D77" i="48"/>
  <c r="D88" i="48"/>
  <c r="D168" i="62"/>
  <c r="D28" i="56"/>
  <c r="D28" i="48"/>
  <c r="D115" i="48"/>
  <c r="D52" i="48"/>
  <c r="D113" i="62"/>
  <c r="D18" i="60"/>
  <c r="D131" i="62"/>
  <c r="D72" i="62"/>
  <c r="D55" i="48"/>
  <c r="D23" i="56"/>
  <c r="D227" i="62"/>
  <c r="D47" i="48"/>
  <c r="D64" i="48"/>
  <c r="D19" i="47"/>
  <c r="D71" i="48"/>
  <c r="D17" i="47"/>
  <c r="D39" i="48"/>
  <c r="D26" i="56"/>
  <c r="D114" i="48"/>
  <c r="D48" i="48"/>
  <c r="D172" i="62"/>
  <c r="D109" i="48"/>
  <c r="D33" i="48"/>
  <c r="D57" i="48"/>
  <c r="D33" i="56"/>
  <c r="D87" i="62"/>
  <c r="D35" i="62"/>
  <c r="D42" i="48"/>
  <c r="D35" i="56"/>
  <c r="D217" i="62"/>
  <c r="D89" i="62"/>
  <c r="D49" i="62"/>
  <c r="D22" i="60"/>
  <c r="D75" i="48"/>
  <c r="D43" i="62"/>
  <c r="D90" i="62"/>
  <c r="D50" i="48"/>
  <c r="D98" i="48"/>
  <c r="D89" i="48"/>
  <c r="D110" i="48"/>
  <c r="D153" i="62"/>
  <c r="D210" i="62"/>
  <c r="D24" i="56"/>
  <c r="D177" i="62"/>
  <c r="D69" i="48"/>
  <c r="D93" i="48"/>
  <c r="D78" i="48"/>
  <c r="D111" i="48"/>
  <c r="D100" i="48"/>
  <c r="D16" i="55"/>
  <c r="D152" i="62"/>
  <c r="D43" i="48"/>
  <c r="D38" i="56"/>
  <c r="D91" i="48"/>
  <c r="D48" i="62"/>
  <c r="D47" i="62"/>
  <c r="D159" i="62"/>
  <c r="D80" i="48"/>
  <c r="D31" i="48"/>
  <c r="D59" i="62"/>
  <c r="D122" i="62"/>
  <c r="D61" i="62"/>
  <c r="D79" i="48"/>
  <c r="D192" i="62"/>
  <c r="D25" i="56"/>
  <c r="D24" i="60"/>
  <c r="D31" i="56"/>
  <c r="D35" i="61"/>
  <c r="D40" i="48"/>
  <c r="D44" i="60"/>
  <c r="D136" i="62"/>
  <c r="D108" i="48"/>
  <c r="D74" i="62"/>
  <c r="D25" i="61"/>
  <c r="D37" i="56"/>
  <c r="D76" i="48"/>
  <c r="D52" i="61"/>
  <c r="D31" i="60"/>
  <c r="D26" i="48"/>
  <c r="D27" i="56"/>
  <c r="D54" i="48"/>
  <c r="D24" i="48"/>
  <c r="D70" i="48"/>
  <c r="D115" i="62"/>
  <c r="D34" i="62"/>
  <c r="D96" i="48"/>
  <c r="D60" i="48"/>
  <c r="D92" i="48"/>
  <c r="D20" i="56"/>
  <c r="D35" i="48"/>
  <c r="D32" i="56"/>
  <c r="D73" i="48"/>
  <c r="D25" i="48"/>
  <c r="D58" i="48"/>
  <c r="D22" i="48"/>
  <c r="D165" i="62"/>
  <c r="D101" i="48"/>
  <c r="D171" i="62"/>
  <c r="D149" i="62"/>
  <c r="D94" i="48"/>
  <c r="D167" i="62"/>
  <c r="D203" i="62"/>
  <c r="D30" i="56"/>
  <c r="D30" i="48"/>
  <c r="D21" i="48"/>
  <c r="D92" i="62"/>
  <c r="D102" i="48"/>
  <c r="D41" i="48"/>
  <c r="D113" i="48"/>
  <c r="D59" i="48"/>
  <c r="D34" i="48"/>
  <c r="D24" i="61"/>
  <c r="F82" i="62"/>
  <c r="F175" i="62"/>
  <c r="F16" i="47"/>
  <c r="F173" i="62"/>
  <c r="F170" i="62"/>
  <c r="F22" i="56"/>
  <c r="F34" i="56"/>
  <c r="F93" i="62"/>
  <c r="F22" i="55"/>
  <c r="F52" i="62"/>
  <c r="F28" i="56"/>
  <c r="F28" i="48"/>
  <c r="F113" i="62"/>
  <c r="F18" i="60"/>
  <c r="F23" i="56"/>
  <c r="F139" i="62"/>
  <c r="F109" i="62"/>
  <c r="F227" i="62"/>
  <c r="F117" i="62"/>
  <c r="F19" i="47"/>
  <c r="F17" i="47"/>
  <c r="F26" i="56"/>
  <c r="F33" i="48"/>
  <c r="F33" i="56"/>
  <c r="F87" i="62"/>
  <c r="F63" i="62"/>
  <c r="F36" i="62"/>
  <c r="F111" i="62"/>
  <c r="F23" i="60"/>
  <c r="F35" i="56"/>
  <c r="F213" i="62"/>
  <c r="F89" i="62"/>
  <c r="F49" i="62"/>
  <c r="F71" i="62"/>
  <c r="F22" i="60"/>
  <c r="F43" i="62"/>
  <c r="F90" i="62"/>
  <c r="F134" i="62"/>
  <c r="F222" i="62"/>
  <c r="F146" i="62"/>
  <c r="F24" i="56"/>
  <c r="F132" i="62"/>
  <c r="F50" i="62"/>
  <c r="F152" i="62"/>
  <c r="F38" i="56"/>
  <c r="F25" i="60"/>
  <c r="F48" i="62"/>
  <c r="F160" i="62"/>
  <c r="F195" i="62"/>
  <c r="F159" i="62"/>
  <c r="F137" i="62"/>
  <c r="F161" i="62"/>
  <c r="F31" i="48"/>
  <c r="F59" i="62"/>
  <c r="F33" i="61"/>
  <c r="F61" i="62"/>
  <c r="F164" i="62"/>
  <c r="F192" i="62"/>
  <c r="F25" i="56"/>
  <c r="F24" i="60"/>
  <c r="F31" i="56"/>
  <c r="F179" i="62"/>
  <c r="F35" i="61"/>
  <c r="F158" i="62"/>
  <c r="F74" i="62"/>
  <c r="F25" i="61"/>
  <c r="F106" i="62"/>
  <c r="F37" i="56"/>
  <c r="F52" i="61"/>
  <c r="F31" i="60"/>
  <c r="F26" i="48"/>
  <c r="F27" i="56"/>
  <c r="F24" i="48"/>
  <c r="F115" i="62"/>
  <c r="F20" i="56"/>
  <c r="F35" i="48"/>
  <c r="F32" i="56"/>
  <c r="F25" i="48"/>
  <c r="F41" i="62"/>
  <c r="F22" i="48"/>
  <c r="F149" i="62"/>
  <c r="F203" i="62"/>
  <c r="F30" i="56"/>
  <c r="F30" i="48"/>
  <c r="F21" i="48"/>
  <c r="F38" i="62"/>
  <c r="F96" i="62"/>
  <c r="F178" i="62"/>
  <c r="F39" i="61"/>
  <c r="F218" i="62"/>
  <c r="F34" i="48"/>
  <c r="F24" i="61"/>
  <c r="H76" i="62"/>
  <c r="H68" i="62"/>
  <c r="H16" i="47"/>
  <c r="H22" i="56"/>
  <c r="H20" i="55"/>
  <c r="H34" i="56"/>
  <c r="H105" i="62"/>
  <c r="H22" i="55"/>
  <c r="H28" i="56"/>
  <c r="H28" i="48"/>
  <c r="H113" i="62"/>
  <c r="H18" i="60"/>
  <c r="H131" i="62"/>
  <c r="H191" i="62"/>
  <c r="H23" i="56"/>
  <c r="H227" i="62"/>
  <c r="H19" i="47"/>
  <c r="H17" i="47"/>
  <c r="H26" i="56"/>
  <c r="H172" i="62"/>
  <c r="H33" i="48"/>
  <c r="H33" i="56"/>
  <c r="H87" i="62"/>
  <c r="H67" i="62"/>
  <c r="H35" i="56"/>
  <c r="H46" i="62"/>
  <c r="H89" i="62"/>
  <c r="H70" i="62"/>
  <c r="H49" i="62"/>
  <c r="H22" i="60"/>
  <c r="H90" i="62"/>
  <c r="H145" i="62"/>
  <c r="H153" i="62"/>
  <c r="H210" i="62"/>
  <c r="H41" i="60"/>
  <c r="H24" i="56"/>
  <c r="H177" i="62"/>
  <c r="H38" i="56"/>
  <c r="H48" i="62"/>
  <c r="H47" i="62"/>
  <c r="H159" i="62"/>
  <c r="H138" i="62"/>
  <c r="H31" i="48"/>
  <c r="H59" i="62"/>
  <c r="H33" i="61"/>
  <c r="H61" i="62"/>
  <c r="H192" i="62"/>
  <c r="H25" i="56"/>
  <c r="H24" i="60"/>
  <c r="H31" i="56"/>
  <c r="H35" i="61"/>
  <c r="H136" i="62"/>
  <c r="H25" i="61"/>
  <c r="H37" i="56"/>
  <c r="H32" i="60"/>
  <c r="H31" i="60"/>
  <c r="H26" i="48"/>
  <c r="H27" i="56"/>
  <c r="H24" i="48"/>
  <c r="H115" i="62"/>
  <c r="H20" i="56"/>
  <c r="H35" i="48"/>
  <c r="H32" i="56"/>
  <c r="H25" i="48"/>
  <c r="H75" i="62"/>
  <c r="H22" i="48"/>
  <c r="H165" i="62"/>
  <c r="H149" i="62"/>
  <c r="H167" i="62"/>
  <c r="H203" i="62"/>
  <c r="H30" i="56"/>
  <c r="H30" i="48"/>
  <c r="H21" i="48"/>
  <c r="H218" i="62"/>
  <c r="H34" i="48"/>
  <c r="H24" i="61"/>
  <c r="H20" i="53" l="1"/>
  <c r="H27" i="53"/>
  <c r="D30" i="53"/>
  <c r="H144" i="62"/>
  <c r="H21" i="55"/>
  <c r="H97" i="62"/>
  <c r="H15" i="55"/>
  <c r="H104" i="62"/>
  <c r="F136" i="62"/>
  <c r="F47" i="62"/>
  <c r="F98" i="62"/>
  <c r="F16" i="55"/>
  <c r="F29" i="53"/>
  <c r="F172" i="62"/>
  <c r="F30" i="53"/>
  <c r="D185" i="62"/>
  <c r="D161" i="62"/>
  <c r="D32" i="53"/>
  <c r="D25" i="53"/>
  <c r="H116" i="62"/>
  <c r="H18" i="55"/>
  <c r="F23" i="53"/>
  <c r="H23" i="53"/>
  <c r="H28" i="53"/>
  <c r="F144" i="62"/>
  <c r="F21" i="55"/>
  <c r="F97" i="62"/>
  <c r="F15" i="55"/>
  <c r="D21" i="53"/>
  <c r="D24" i="53"/>
  <c r="H178" i="62"/>
  <c r="H171" i="62"/>
  <c r="H42" i="62"/>
  <c r="H98" i="62"/>
  <c r="H16" i="55"/>
  <c r="H222" i="62"/>
  <c r="H37" i="62"/>
  <c r="H29" i="53"/>
  <c r="H111" i="62"/>
  <c r="H30" i="53"/>
  <c r="H207" i="62"/>
  <c r="H168" i="62"/>
  <c r="H102" i="62"/>
  <c r="H108" i="62"/>
  <c r="H44" i="62"/>
  <c r="F133" i="62"/>
  <c r="F122" i="62"/>
  <c r="F208" i="62"/>
  <c r="F21" i="53"/>
  <c r="F210" i="62"/>
  <c r="F24" i="53"/>
  <c r="F55" i="62"/>
  <c r="F198" i="62"/>
  <c r="D38" i="62"/>
  <c r="D209" i="62"/>
  <c r="D186" i="62"/>
  <c r="D183" i="62"/>
  <c r="D20" i="53"/>
  <c r="D138" i="62"/>
  <c r="D27" i="53"/>
  <c r="D145" i="62"/>
  <c r="D70" i="62"/>
  <c r="D201" i="62"/>
  <c r="D67" i="62"/>
  <c r="D116" i="62"/>
  <c r="D18" i="55"/>
  <c r="D123" i="62"/>
  <c r="D105" i="62"/>
  <c r="D230" i="62"/>
  <c r="D68" i="62"/>
  <c r="D206" i="62"/>
  <c r="F28" i="53"/>
  <c r="D144" i="62"/>
  <c r="D21" i="55"/>
  <c r="D29" i="53"/>
  <c r="H133" i="62"/>
  <c r="H208" i="62"/>
  <c r="H21" i="53"/>
  <c r="H134" i="62"/>
  <c r="H24" i="53"/>
  <c r="H96" i="62"/>
  <c r="H158" i="62"/>
  <c r="H122" i="62"/>
  <c r="H195" i="62"/>
  <c r="H117" i="62"/>
  <c r="H55" i="62"/>
  <c r="H198" i="62"/>
  <c r="H82" i="62"/>
  <c r="F88" i="62"/>
  <c r="F34" i="62"/>
  <c r="F32" i="53"/>
  <c r="F25" i="53"/>
  <c r="F72" i="62"/>
  <c r="F140" i="62"/>
  <c r="F20" i="55"/>
  <c r="D103" i="62"/>
  <c r="D137" i="62"/>
  <c r="D132" i="62"/>
  <c r="D146" i="62"/>
  <c r="D71" i="62"/>
  <c r="D204" i="62"/>
  <c r="D109" i="62"/>
  <c r="D54" i="62"/>
  <c r="D28" i="53"/>
  <c r="D173" i="62"/>
  <c r="D130" i="62"/>
  <c r="H32" i="53"/>
  <c r="H25" i="53"/>
  <c r="F20" i="53"/>
  <c r="F27" i="53"/>
  <c r="F116" i="62"/>
  <c r="F18" i="55"/>
  <c r="D23" i="53"/>
  <c r="D97" i="62"/>
  <c r="D15" i="55"/>
  <c r="G18" i="69"/>
  <c r="I18" i="69"/>
  <c r="H217" i="62"/>
  <c r="H56" i="62"/>
  <c r="H181" i="62"/>
  <c r="H179" i="62"/>
  <c r="H186" i="62"/>
  <c r="F128" i="62"/>
  <c r="F28" i="62"/>
  <c r="F22" i="62"/>
  <c r="D56" i="62"/>
  <c r="D207" i="62"/>
  <c r="D102" i="62"/>
  <c r="D44" i="62"/>
  <c r="D181" i="62"/>
  <c r="D29" i="62"/>
  <c r="D23" i="62"/>
  <c r="D32" i="62"/>
  <c r="D26" i="62"/>
  <c r="H106" i="62"/>
  <c r="F209" i="62"/>
  <c r="F197" i="62"/>
  <c r="F127" i="62"/>
  <c r="F121" i="62"/>
  <c r="F110" i="62"/>
  <c r="F31" i="62"/>
  <c r="F25" i="62"/>
  <c r="F202" i="62"/>
  <c r="H103" i="62"/>
  <c r="H29" i="62"/>
  <c r="H23" i="62"/>
  <c r="H201" i="62"/>
  <c r="H32" i="62"/>
  <c r="H26" i="62"/>
  <c r="H86" i="62"/>
  <c r="H123" i="62"/>
  <c r="H230" i="62"/>
  <c r="F35" i="62"/>
  <c r="D142" i="62"/>
  <c r="D42" i="62"/>
  <c r="D37" i="62"/>
  <c r="D111" i="62"/>
  <c r="H128" i="62"/>
  <c r="H41" i="62"/>
  <c r="H74" i="62"/>
  <c r="H137" i="62"/>
  <c r="H28" i="62"/>
  <c r="H22" i="62"/>
  <c r="H152" i="62"/>
  <c r="H132" i="62"/>
  <c r="H146" i="62"/>
  <c r="H43" i="62"/>
  <c r="H71" i="62"/>
  <c r="H204" i="62"/>
  <c r="H35" i="62"/>
  <c r="H109" i="62"/>
  <c r="H54" i="62"/>
  <c r="H173" i="62"/>
  <c r="H130" i="62"/>
  <c r="F92" i="62"/>
  <c r="F142" i="62"/>
  <c r="F95" i="62"/>
  <c r="F91" i="62"/>
  <c r="F85" i="62"/>
  <c r="F214" i="62"/>
  <c r="F174" i="62"/>
  <c r="F166" i="62"/>
  <c r="F104" i="62"/>
  <c r="F78" i="62"/>
  <c r="F46" i="62"/>
  <c r="F191" i="62"/>
  <c r="F40" i="62"/>
  <c r="F53" i="62"/>
  <c r="F151" i="62"/>
  <c r="F76" i="62"/>
  <c r="D218" i="62"/>
  <c r="D178" i="62"/>
  <c r="D75" i="62"/>
  <c r="D106" i="62"/>
  <c r="D158" i="62"/>
  <c r="D179" i="62"/>
  <c r="D195" i="62"/>
  <c r="D208" i="62"/>
  <c r="D50" i="62"/>
  <c r="D134" i="62"/>
  <c r="D213" i="62"/>
  <c r="D117" i="62"/>
  <c r="D55" i="62"/>
  <c r="D198" i="62"/>
  <c r="D82" i="62"/>
  <c r="D33" i="61"/>
  <c r="H50" i="62"/>
  <c r="F185" i="62"/>
  <c r="D28" i="62"/>
  <c r="D22" i="62"/>
  <c r="H183" i="62"/>
  <c r="H206" i="62"/>
  <c r="F204" i="62"/>
  <c r="F54" i="62"/>
  <c r="F130" i="62"/>
  <c r="D25" i="60"/>
  <c r="D98" i="62"/>
  <c r="D222" i="62"/>
  <c r="H92" i="62"/>
  <c r="H142" i="62"/>
  <c r="H95" i="62"/>
  <c r="H91" i="62"/>
  <c r="H85" i="62"/>
  <c r="H214" i="62"/>
  <c r="H174" i="62"/>
  <c r="H166" i="62"/>
  <c r="H78" i="62"/>
  <c r="H63" i="62"/>
  <c r="H139" i="62"/>
  <c r="H40" i="62"/>
  <c r="H53" i="62"/>
  <c r="H93" i="62"/>
  <c r="H151" i="62"/>
  <c r="F171" i="62"/>
  <c r="F75" i="62"/>
  <c r="F42" i="62"/>
  <c r="F153" i="62"/>
  <c r="F37" i="62"/>
  <c r="F217" i="62"/>
  <c r="F56" i="62"/>
  <c r="F207" i="62"/>
  <c r="F168" i="62"/>
  <c r="F102" i="62"/>
  <c r="F108" i="62"/>
  <c r="F44" i="62"/>
  <c r="F181" i="62"/>
  <c r="D96" i="62"/>
  <c r="D88" i="62"/>
  <c r="D197" i="62"/>
  <c r="D127" i="62"/>
  <c r="D121" i="62"/>
  <c r="D164" i="62"/>
  <c r="D160" i="62"/>
  <c r="D157" i="62"/>
  <c r="D36" i="62"/>
  <c r="D110" i="62"/>
  <c r="D31" i="62"/>
  <c r="D25" i="62"/>
  <c r="D202" i="62"/>
  <c r="D52" i="62"/>
  <c r="D140" i="62"/>
  <c r="D170" i="62"/>
  <c r="D175" i="62"/>
  <c r="D133" i="62"/>
  <c r="D86" i="62"/>
  <c r="H213" i="62"/>
  <c r="F157" i="62"/>
  <c r="H38" i="62"/>
  <c r="H209" i="62"/>
  <c r="H88" i="62"/>
  <c r="H34" i="62"/>
  <c r="H197" i="62"/>
  <c r="H127" i="62"/>
  <c r="H121" i="62"/>
  <c r="H185" i="62"/>
  <c r="H164" i="62"/>
  <c r="H161" i="62"/>
  <c r="H160" i="62"/>
  <c r="H157" i="62"/>
  <c r="H36" i="62"/>
  <c r="H110" i="62"/>
  <c r="H31" i="62"/>
  <c r="H25" i="62"/>
  <c r="H72" i="62"/>
  <c r="H202" i="62"/>
  <c r="H52" i="62"/>
  <c r="H140" i="62"/>
  <c r="H170" i="62"/>
  <c r="H175" i="62"/>
  <c r="F167" i="62"/>
  <c r="F165" i="62"/>
  <c r="F103" i="62"/>
  <c r="F186" i="62"/>
  <c r="F183" i="62"/>
  <c r="F138" i="62"/>
  <c r="F29" i="62"/>
  <c r="F23" i="62"/>
  <c r="F177" i="62"/>
  <c r="F145" i="62"/>
  <c r="F70" i="62"/>
  <c r="F201" i="62"/>
  <c r="F67" i="62"/>
  <c r="F32" i="62"/>
  <c r="F26" i="62"/>
  <c r="F86" i="62"/>
  <c r="F123" i="62"/>
  <c r="F131" i="62"/>
  <c r="F105" i="62"/>
  <c r="F230" i="62"/>
  <c r="F68" i="62"/>
  <c r="F206" i="62"/>
  <c r="D128" i="62"/>
  <c r="D41" i="62"/>
  <c r="D95" i="62"/>
  <c r="D91" i="62"/>
  <c r="D85" i="62"/>
  <c r="D214" i="62"/>
  <c r="D174" i="62"/>
  <c r="D166" i="62"/>
  <c r="D104" i="62"/>
  <c r="D78" i="62"/>
  <c r="D46" i="62"/>
  <c r="D63" i="62"/>
  <c r="D139" i="62"/>
  <c r="D191" i="62"/>
  <c r="D40" i="62"/>
  <c r="D53" i="62"/>
  <c r="D93" i="62"/>
  <c r="D151" i="62"/>
  <c r="D76" i="62"/>
  <c r="D36" i="60"/>
  <c r="F32" i="60"/>
  <c r="F41" i="60"/>
  <c r="F36" i="60"/>
  <c r="D39" i="61"/>
  <c r="D49" i="60"/>
  <c r="H59" i="60"/>
  <c r="D38" i="60"/>
  <c r="H23" i="60"/>
  <c r="D42" i="60"/>
  <c r="D19" i="60"/>
  <c r="D21" i="60"/>
  <c r="D39" i="60"/>
  <c r="F38" i="60"/>
  <c r="F38" i="61"/>
  <c r="H25" i="60"/>
  <c r="H36" i="60"/>
  <c r="D59" i="60"/>
  <c r="H39" i="61"/>
  <c r="H38" i="60"/>
  <c r="F59" i="60"/>
  <c r="F44" i="60"/>
  <c r="F42" i="60"/>
  <c r="F19" i="60"/>
  <c r="F21" i="60"/>
  <c r="F39" i="60"/>
  <c r="F49" i="60"/>
  <c r="H44" i="60"/>
  <c r="H42" i="60"/>
  <c r="H19" i="60"/>
  <c r="H21" i="60"/>
  <c r="H39" i="60"/>
  <c r="H49" i="60"/>
  <c r="D32" i="60"/>
  <c r="D41" i="60"/>
  <c r="D23" i="60"/>
  <c r="I61" i="65"/>
  <c r="G61" i="65"/>
  <c r="H47" i="63"/>
  <c r="H47" i="48"/>
  <c r="H46" i="48"/>
  <c r="H46" i="63"/>
  <c r="F92" i="63"/>
  <c r="F92" i="48"/>
  <c r="F89" i="63"/>
  <c r="F89" i="48"/>
  <c r="H59" i="63"/>
  <c r="H59" i="48"/>
  <c r="H92" i="63"/>
  <c r="H92" i="48"/>
  <c r="H91" i="48"/>
  <c r="H91" i="63"/>
  <c r="H43" i="48"/>
  <c r="H43" i="63"/>
  <c r="H111" i="63"/>
  <c r="H111" i="48"/>
  <c r="H109" i="48"/>
  <c r="H109" i="63"/>
  <c r="H39" i="63"/>
  <c r="H39" i="48"/>
  <c r="H64" i="48"/>
  <c r="H64" i="63"/>
  <c r="F75" i="63"/>
  <c r="F75" i="48"/>
  <c r="F20" i="60"/>
  <c r="F86" i="63"/>
  <c r="F86" i="48"/>
  <c r="D104" i="48"/>
  <c r="D104" i="66"/>
  <c r="D104" i="63"/>
  <c r="D104" i="65"/>
  <c r="F59" i="63"/>
  <c r="F59" i="48"/>
  <c r="H113" i="63"/>
  <c r="H113" i="48"/>
  <c r="H108" i="63"/>
  <c r="H108" i="48"/>
  <c r="H89" i="63"/>
  <c r="H89" i="48"/>
  <c r="H50" i="63"/>
  <c r="H50" i="48"/>
  <c r="H112" i="48"/>
  <c r="H112" i="63"/>
  <c r="F60" i="63"/>
  <c r="F60" i="48"/>
  <c r="F70" i="63"/>
  <c r="F70" i="48"/>
  <c r="F78" i="63"/>
  <c r="F78" i="48"/>
  <c r="F103" i="63"/>
  <c r="F103" i="48"/>
  <c r="F99" i="63"/>
  <c r="F99" i="48"/>
  <c r="D117" i="66"/>
  <c r="D117" i="65"/>
  <c r="D117" i="63"/>
  <c r="D117" i="48"/>
  <c r="H38" i="61"/>
  <c r="H60" i="63"/>
  <c r="H60" i="48"/>
  <c r="H70" i="63"/>
  <c r="H70" i="48"/>
  <c r="H78" i="63"/>
  <c r="H78" i="48"/>
  <c r="H75" i="63"/>
  <c r="H75" i="48"/>
  <c r="H20" i="60"/>
  <c r="H86" i="48"/>
  <c r="H86" i="63"/>
  <c r="H103" i="48"/>
  <c r="H103" i="63"/>
  <c r="H99" i="63"/>
  <c r="H99" i="48"/>
  <c r="F104" i="63"/>
  <c r="F104" i="48"/>
  <c r="F104" i="66"/>
  <c r="F104" i="65"/>
  <c r="F58" i="63"/>
  <c r="F58" i="48"/>
  <c r="F73" i="63"/>
  <c r="F73" i="48"/>
  <c r="F96" i="63"/>
  <c r="F96" i="48"/>
  <c r="F80" i="63"/>
  <c r="F80" i="48"/>
  <c r="F93" i="63"/>
  <c r="F93" i="48"/>
  <c r="F42" i="63"/>
  <c r="F42" i="48"/>
  <c r="F57" i="63"/>
  <c r="F57" i="48"/>
  <c r="F48" i="63"/>
  <c r="F48" i="48"/>
  <c r="F88" i="63"/>
  <c r="F88" i="48"/>
  <c r="F56" i="63"/>
  <c r="F56" i="48"/>
  <c r="I84" i="65"/>
  <c r="G84" i="65"/>
  <c r="I63" i="65"/>
  <c r="G63" i="65"/>
  <c r="H76" i="48"/>
  <c r="H76" i="63"/>
  <c r="H40" i="48"/>
  <c r="H40" i="63"/>
  <c r="H98" i="63"/>
  <c r="H98" i="48"/>
  <c r="H68" i="63"/>
  <c r="H68" i="48"/>
  <c r="F113" i="63"/>
  <c r="F113" i="48"/>
  <c r="F108" i="63"/>
  <c r="F108" i="48"/>
  <c r="F111" i="63"/>
  <c r="F111" i="48"/>
  <c r="F50" i="63"/>
  <c r="F50" i="48"/>
  <c r="F109" i="63"/>
  <c r="F109" i="48"/>
  <c r="F39" i="63"/>
  <c r="F39" i="48"/>
  <c r="F64" i="63"/>
  <c r="F64" i="48"/>
  <c r="F112" i="63"/>
  <c r="F112" i="48"/>
  <c r="H104" i="48"/>
  <c r="H104" i="63"/>
  <c r="H104" i="66"/>
  <c r="H104" i="65"/>
  <c r="H58" i="63"/>
  <c r="H58" i="48"/>
  <c r="H73" i="48"/>
  <c r="H73" i="63"/>
  <c r="H96" i="63"/>
  <c r="H96" i="48"/>
  <c r="H93" i="63"/>
  <c r="H93" i="48"/>
  <c r="H42" i="48"/>
  <c r="H42" i="63"/>
  <c r="H88" i="63"/>
  <c r="H88" i="48"/>
  <c r="H56" i="63"/>
  <c r="H56" i="48"/>
  <c r="F54" i="63"/>
  <c r="F54" i="48"/>
  <c r="F100" i="63"/>
  <c r="F100" i="48"/>
  <c r="F69" i="63"/>
  <c r="F69" i="48"/>
  <c r="F114" i="63"/>
  <c r="F114" i="48"/>
  <c r="F71" i="63"/>
  <c r="F71" i="48"/>
  <c r="F115" i="63"/>
  <c r="F115" i="48"/>
  <c r="F37" i="63"/>
  <c r="F37" i="48"/>
  <c r="H101" i="48"/>
  <c r="H101" i="63"/>
  <c r="H54" i="63"/>
  <c r="H54" i="48"/>
  <c r="H117" i="65"/>
  <c r="H117" i="63"/>
  <c r="H117" i="66"/>
  <c r="H117" i="48"/>
  <c r="H100" i="63"/>
  <c r="H100" i="48"/>
  <c r="H69" i="63"/>
  <c r="H69" i="48"/>
  <c r="H110" i="48"/>
  <c r="H110" i="63"/>
  <c r="H114" i="63"/>
  <c r="H114" i="48"/>
  <c r="H71" i="63"/>
  <c r="H71" i="48"/>
  <c r="H115" i="63"/>
  <c r="H115" i="48"/>
  <c r="H37" i="63"/>
  <c r="H37" i="48"/>
  <c r="H53" i="63"/>
  <c r="H53" i="48"/>
  <c r="F41" i="63"/>
  <c r="F41" i="48"/>
  <c r="F79" i="63"/>
  <c r="F79" i="48"/>
  <c r="F52" i="63"/>
  <c r="F52" i="48"/>
  <c r="F77" i="63"/>
  <c r="F77" i="48"/>
  <c r="F51" i="63"/>
  <c r="F51" i="48"/>
  <c r="I82" i="65"/>
  <c r="G82" i="65"/>
  <c r="I63" i="66"/>
  <c r="G63" i="66"/>
  <c r="H102" i="63"/>
  <c r="H102" i="48"/>
  <c r="H94" i="48"/>
  <c r="H94" i="63"/>
  <c r="H55" i="48"/>
  <c r="H55" i="63"/>
  <c r="F91" i="63"/>
  <c r="F91" i="48"/>
  <c r="F43" i="63"/>
  <c r="F43" i="48"/>
  <c r="H80" i="63"/>
  <c r="H80" i="48"/>
  <c r="H57" i="63"/>
  <c r="H57" i="48"/>
  <c r="H48" i="48"/>
  <c r="H48" i="63"/>
  <c r="F101" i="63"/>
  <c r="F101" i="48"/>
  <c r="F117" i="63"/>
  <c r="F117" i="66"/>
  <c r="F117" i="65"/>
  <c r="F117" i="48"/>
  <c r="F110" i="63"/>
  <c r="F110" i="48"/>
  <c r="F53" i="63"/>
  <c r="F53" i="48"/>
  <c r="H41" i="63"/>
  <c r="H41" i="48"/>
  <c r="H79" i="63"/>
  <c r="H79" i="48"/>
  <c r="H52" i="48"/>
  <c r="H52" i="63"/>
  <c r="H77" i="48"/>
  <c r="H77" i="63"/>
  <c r="H51" i="63"/>
  <c r="H51" i="48"/>
  <c r="F102" i="63"/>
  <c r="F102" i="48"/>
  <c r="F94" i="63"/>
  <c r="F94" i="48"/>
  <c r="F76" i="63"/>
  <c r="F76" i="48"/>
  <c r="F40" i="63"/>
  <c r="F40" i="48"/>
  <c r="F98" i="63"/>
  <c r="F98" i="48"/>
  <c r="F47" i="63"/>
  <c r="F47" i="48"/>
  <c r="F55" i="63"/>
  <c r="F55" i="48"/>
  <c r="F46" i="63"/>
  <c r="F46" i="48"/>
  <c r="F68" i="63"/>
  <c r="F68" i="48"/>
  <c r="D20" i="60"/>
  <c r="D86" i="48"/>
  <c r="F33" i="60"/>
  <c r="F30" i="61"/>
  <c r="H33" i="60"/>
  <c r="H30" i="61"/>
  <c r="F41" i="61"/>
  <c r="F47" i="61"/>
  <c r="F42" i="61"/>
  <c r="F48" i="61"/>
  <c r="D29" i="61"/>
  <c r="H41" i="61"/>
  <c r="H47" i="61"/>
  <c r="H43" i="61"/>
  <c r="H49" i="61"/>
  <c r="F29" i="61"/>
  <c r="F28" i="61"/>
  <c r="D43" i="61"/>
  <c r="D49" i="61"/>
  <c r="D28" i="61"/>
  <c r="H42" i="61"/>
  <c r="H48" i="61"/>
  <c r="H52" i="61"/>
  <c r="H29" i="61"/>
  <c r="H28" i="61"/>
  <c r="F43" i="61"/>
  <c r="F49" i="61"/>
  <c r="D38" i="61"/>
  <c r="D33" i="60"/>
  <c r="D30" i="61"/>
  <c r="D41" i="61"/>
  <c r="D47" i="61"/>
  <c r="D42" i="61"/>
  <c r="D48" i="61"/>
  <c r="H34" i="63"/>
  <c r="H34" i="66"/>
  <c r="H34" i="65"/>
  <c r="H21" i="66"/>
  <c r="H21" i="63"/>
  <c r="H21" i="65"/>
  <c r="H103" i="66"/>
  <c r="H103" i="65"/>
  <c r="H58" i="66"/>
  <c r="H58" i="65"/>
  <c r="H73" i="66"/>
  <c r="H73" i="65"/>
  <c r="H24" i="65"/>
  <c r="H24" i="63"/>
  <c r="H24" i="66"/>
  <c r="H92" i="66"/>
  <c r="H92" i="65"/>
  <c r="F54" i="66"/>
  <c r="F54" i="65"/>
  <c r="F99" i="66"/>
  <c r="F99" i="65"/>
  <c r="F69" i="66"/>
  <c r="F69" i="65"/>
  <c r="H100" i="65"/>
  <c r="H100" i="66"/>
  <c r="H54" i="65"/>
  <c r="H54" i="66"/>
  <c r="H99" i="65"/>
  <c r="H99" i="66"/>
  <c r="H69" i="65"/>
  <c r="H69" i="66"/>
  <c r="H109" i="66"/>
  <c r="H109" i="65"/>
  <c r="H113" i="66"/>
  <c r="H113" i="65"/>
  <c r="H71" i="65"/>
  <c r="H71" i="66"/>
  <c r="H114" i="66"/>
  <c r="H114" i="65"/>
  <c r="H37" i="66"/>
  <c r="H37" i="65"/>
  <c r="H53" i="66"/>
  <c r="H53" i="65"/>
  <c r="F41" i="66"/>
  <c r="F41" i="65"/>
  <c r="F30" i="66"/>
  <c r="F30" i="65"/>
  <c r="F30" i="63"/>
  <c r="F79" i="66"/>
  <c r="F79" i="65"/>
  <c r="F52" i="66"/>
  <c r="F52" i="65"/>
  <c r="F28" i="66"/>
  <c r="F28" i="65"/>
  <c r="F28" i="63"/>
  <c r="F77" i="65"/>
  <c r="F77" i="66"/>
  <c r="F51" i="66"/>
  <c r="F51" i="65"/>
  <c r="D34" i="63"/>
  <c r="D34" i="66"/>
  <c r="D34" i="65"/>
  <c r="D101" i="66"/>
  <c r="D101" i="63"/>
  <c r="D101" i="65"/>
  <c r="D93" i="65"/>
  <c r="D93" i="63"/>
  <c r="D93" i="66"/>
  <c r="D91" i="66"/>
  <c r="D91" i="65"/>
  <c r="D91" i="63"/>
  <c r="D43" i="66"/>
  <c r="D43" i="63"/>
  <c r="D43" i="65"/>
  <c r="D110" i="66"/>
  <c r="D110" i="65"/>
  <c r="D110" i="63"/>
  <c r="D88" i="66"/>
  <c r="D88" i="65"/>
  <c r="D88" i="63"/>
  <c r="D50" i="66"/>
  <c r="D50" i="65"/>
  <c r="D50" i="63"/>
  <c r="D108" i="63"/>
  <c r="D108" i="65"/>
  <c r="D108" i="66"/>
  <c r="D39" i="63"/>
  <c r="D39" i="65"/>
  <c r="D39" i="66"/>
  <c r="D64" i="65"/>
  <c r="D64" i="63"/>
  <c r="D64" i="66"/>
  <c r="D111" i="63"/>
  <c r="D111" i="65"/>
  <c r="D111" i="66"/>
  <c r="I18" i="65"/>
  <c r="G18" i="65"/>
  <c r="G20" i="65"/>
  <c r="I20" i="65"/>
  <c r="E18" i="53"/>
  <c r="E17" i="56"/>
  <c r="H42" i="66"/>
  <c r="H42" i="65"/>
  <c r="H57" i="65"/>
  <c r="H57" i="66"/>
  <c r="H56" i="65"/>
  <c r="H56" i="66"/>
  <c r="F109" i="66"/>
  <c r="F109" i="65"/>
  <c r="F113" i="66"/>
  <c r="F113" i="65"/>
  <c r="F71" i="65"/>
  <c r="F71" i="66"/>
  <c r="F37" i="65"/>
  <c r="F37" i="66"/>
  <c r="F53" i="65"/>
  <c r="F53" i="66"/>
  <c r="D26" i="66"/>
  <c r="D26" i="63"/>
  <c r="D26" i="65"/>
  <c r="D76" i="66"/>
  <c r="D76" i="65"/>
  <c r="D76" i="63"/>
  <c r="D55" i="66"/>
  <c r="D55" i="65"/>
  <c r="D55" i="63"/>
  <c r="D68" i="63"/>
  <c r="D68" i="66"/>
  <c r="D68" i="65"/>
  <c r="H41" i="66"/>
  <c r="H41" i="65"/>
  <c r="H30" i="65"/>
  <c r="H30" i="63"/>
  <c r="H30" i="66"/>
  <c r="H79" i="65"/>
  <c r="H79" i="66"/>
  <c r="H52" i="66"/>
  <c r="H52" i="65"/>
  <c r="H28" i="63"/>
  <c r="H28" i="65"/>
  <c r="H28" i="66"/>
  <c r="H77" i="65"/>
  <c r="H77" i="66"/>
  <c r="H51" i="66"/>
  <c r="H51" i="65"/>
  <c r="F34" i="65"/>
  <c r="F34" i="63"/>
  <c r="F34" i="66"/>
  <c r="F101" i="66"/>
  <c r="F101" i="65"/>
  <c r="F93" i="66"/>
  <c r="F93" i="65"/>
  <c r="F26" i="66"/>
  <c r="F26" i="65"/>
  <c r="F26" i="63"/>
  <c r="F76" i="66"/>
  <c r="F76" i="65"/>
  <c r="F40" i="66"/>
  <c r="F40" i="65"/>
  <c r="F33" i="66"/>
  <c r="F33" i="63"/>
  <c r="F33" i="65"/>
  <c r="F47" i="65"/>
  <c r="F47" i="66"/>
  <c r="F55" i="65"/>
  <c r="F55" i="66"/>
  <c r="F46" i="65"/>
  <c r="F46" i="66"/>
  <c r="F68" i="65"/>
  <c r="F68" i="66"/>
  <c r="D59" i="65"/>
  <c r="D59" i="63"/>
  <c r="D59" i="66"/>
  <c r="D112" i="65"/>
  <c r="D112" i="66"/>
  <c r="D112" i="63"/>
  <c r="D22" i="65"/>
  <c r="D22" i="66"/>
  <c r="D22" i="63"/>
  <c r="D25" i="66"/>
  <c r="D25" i="65"/>
  <c r="D25" i="63"/>
  <c r="D60" i="66"/>
  <c r="D60" i="63"/>
  <c r="D60" i="65"/>
  <c r="D70" i="65"/>
  <c r="D70" i="63"/>
  <c r="D70" i="66"/>
  <c r="D31" i="66"/>
  <c r="D31" i="63"/>
  <c r="D31" i="65"/>
  <c r="D78" i="66"/>
  <c r="D78" i="65"/>
  <c r="D78" i="63"/>
  <c r="D75" i="65"/>
  <c r="D75" i="63"/>
  <c r="D75" i="66"/>
  <c r="D102" i="65"/>
  <c r="D102" i="63"/>
  <c r="D102" i="66"/>
  <c r="D98" i="66"/>
  <c r="D98" i="65"/>
  <c r="D98" i="63"/>
  <c r="I16" i="65"/>
  <c r="G16" i="65"/>
  <c r="I20" i="66"/>
  <c r="G20" i="66"/>
  <c r="E17" i="66"/>
  <c r="H101" i="65"/>
  <c r="H101" i="66"/>
  <c r="H40" i="66"/>
  <c r="H40" i="65"/>
  <c r="H47" i="66"/>
  <c r="H47" i="65"/>
  <c r="F112" i="66"/>
  <c r="F112" i="65"/>
  <c r="F22" i="63"/>
  <c r="F22" i="66"/>
  <c r="F22" i="65"/>
  <c r="F110" i="65"/>
  <c r="F110" i="66"/>
  <c r="D80" i="66"/>
  <c r="D80" i="65"/>
  <c r="D80" i="63"/>
  <c r="D48" i="66"/>
  <c r="D48" i="65"/>
  <c r="D48" i="63"/>
  <c r="G15" i="65"/>
  <c r="I15" i="65"/>
  <c r="E19" i="66"/>
  <c r="E15" i="56"/>
  <c r="H93" i="66"/>
  <c r="H93" i="65"/>
  <c r="H26" i="63"/>
  <c r="H26" i="66"/>
  <c r="H26" i="65"/>
  <c r="H76" i="66"/>
  <c r="H76" i="65"/>
  <c r="H33" i="66"/>
  <c r="H33" i="65"/>
  <c r="H33" i="63"/>
  <c r="H46" i="66"/>
  <c r="H46" i="65"/>
  <c r="H68" i="65"/>
  <c r="H68" i="66"/>
  <c r="F59" i="65"/>
  <c r="F59" i="66"/>
  <c r="F25" i="66"/>
  <c r="F25" i="65"/>
  <c r="F25" i="63"/>
  <c r="F91" i="65"/>
  <c r="F91" i="66"/>
  <c r="F43" i="66"/>
  <c r="F43" i="65"/>
  <c r="F88" i="66"/>
  <c r="F88" i="65"/>
  <c r="F50" i="66"/>
  <c r="F50" i="65"/>
  <c r="F108" i="65"/>
  <c r="F108" i="66"/>
  <c r="F39" i="65"/>
  <c r="F39" i="66"/>
  <c r="F64" i="66"/>
  <c r="F64" i="65"/>
  <c r="F111" i="65"/>
  <c r="F111" i="66"/>
  <c r="D35" i="63"/>
  <c r="D35" i="66"/>
  <c r="D35" i="65"/>
  <c r="D24" i="63"/>
  <c r="D24" i="66"/>
  <c r="D24" i="65"/>
  <c r="D92" i="65"/>
  <c r="D92" i="63"/>
  <c r="D92" i="66"/>
  <c r="D42" i="63"/>
  <c r="D42" i="66"/>
  <c r="D42" i="65"/>
  <c r="D57" i="63"/>
  <c r="D57" i="66"/>
  <c r="D57" i="65"/>
  <c r="D56" i="63"/>
  <c r="D56" i="66"/>
  <c r="D56" i="65"/>
  <c r="H59" i="65"/>
  <c r="H59" i="66"/>
  <c r="H112" i="66"/>
  <c r="H112" i="65"/>
  <c r="H22" i="63"/>
  <c r="H22" i="65"/>
  <c r="H22" i="66"/>
  <c r="H25" i="65"/>
  <c r="H25" i="63"/>
  <c r="H25" i="66"/>
  <c r="H91" i="65"/>
  <c r="H91" i="66"/>
  <c r="H43" i="66"/>
  <c r="H43" i="65"/>
  <c r="H110" i="65"/>
  <c r="H110" i="66"/>
  <c r="H88" i="65"/>
  <c r="H88" i="66"/>
  <c r="H50" i="65"/>
  <c r="H50" i="66"/>
  <c r="H108" i="65"/>
  <c r="H108" i="66"/>
  <c r="H39" i="66"/>
  <c r="H39" i="65"/>
  <c r="H64" i="66"/>
  <c r="H64" i="65"/>
  <c r="H111" i="65"/>
  <c r="H111" i="66"/>
  <c r="F35" i="66"/>
  <c r="F35" i="63"/>
  <c r="F35" i="65"/>
  <c r="F60" i="65"/>
  <c r="F60" i="66"/>
  <c r="F70" i="66"/>
  <c r="F70" i="65"/>
  <c r="F31" i="65"/>
  <c r="F31" i="63"/>
  <c r="F31" i="66"/>
  <c r="F78" i="65"/>
  <c r="F78" i="66"/>
  <c r="F75" i="66"/>
  <c r="F75" i="65"/>
  <c r="F102" i="66"/>
  <c r="F102" i="65"/>
  <c r="F98" i="65"/>
  <c r="F98" i="66"/>
  <c r="D21" i="65"/>
  <c r="D21" i="63"/>
  <c r="D21" i="66"/>
  <c r="D103" i="65"/>
  <c r="D103" i="66"/>
  <c r="D103" i="63"/>
  <c r="D58" i="66"/>
  <c r="D58" i="65"/>
  <c r="D58" i="63"/>
  <c r="D73" i="63"/>
  <c r="D73" i="66"/>
  <c r="D73" i="65"/>
  <c r="D54" i="65"/>
  <c r="D54" i="63"/>
  <c r="D54" i="66"/>
  <c r="D99" i="65"/>
  <c r="D99" i="63"/>
  <c r="D99" i="66"/>
  <c r="D69" i="66"/>
  <c r="D69" i="65"/>
  <c r="D69" i="63"/>
  <c r="D109" i="66"/>
  <c r="D109" i="65"/>
  <c r="D109" i="63"/>
  <c r="D113" i="65"/>
  <c r="D113" i="66"/>
  <c r="D113" i="63"/>
  <c r="D71" i="63"/>
  <c r="D71" i="66"/>
  <c r="D71" i="65"/>
  <c r="D114" i="66"/>
  <c r="D114" i="65"/>
  <c r="D114" i="63"/>
  <c r="D37" i="66"/>
  <c r="D37" i="65"/>
  <c r="D37" i="63"/>
  <c r="D53" i="66"/>
  <c r="D53" i="65"/>
  <c r="D53" i="63"/>
  <c r="E15" i="47"/>
  <c r="H55" i="66"/>
  <c r="H55" i="65"/>
  <c r="H35" i="66"/>
  <c r="H35" i="65"/>
  <c r="H35" i="63"/>
  <c r="H60" i="66"/>
  <c r="H60" i="65"/>
  <c r="H70" i="66"/>
  <c r="H70" i="65"/>
  <c r="H31" i="63"/>
  <c r="H31" i="66"/>
  <c r="H31" i="65"/>
  <c r="H78" i="66"/>
  <c r="H78" i="65"/>
  <c r="H75" i="66"/>
  <c r="H75" i="65"/>
  <c r="H102" i="66"/>
  <c r="H102" i="65"/>
  <c r="H98" i="65"/>
  <c r="H98" i="66"/>
  <c r="F21" i="65"/>
  <c r="F21" i="63"/>
  <c r="F21" i="66"/>
  <c r="F103" i="66"/>
  <c r="F103" i="65"/>
  <c r="F58" i="66"/>
  <c r="F58" i="65"/>
  <c r="F73" i="66"/>
  <c r="F73" i="65"/>
  <c r="F24" i="65"/>
  <c r="F24" i="63"/>
  <c r="F24" i="66"/>
  <c r="F80" i="66"/>
  <c r="F80" i="65"/>
  <c r="F92" i="65"/>
  <c r="F92" i="66"/>
  <c r="F42" i="66"/>
  <c r="F42" i="65"/>
  <c r="F57" i="66"/>
  <c r="F57" i="65"/>
  <c r="F48" i="66"/>
  <c r="F48" i="65"/>
  <c r="F56" i="66"/>
  <c r="F56" i="65"/>
  <c r="D100" i="66"/>
  <c r="D100" i="65"/>
  <c r="D100" i="63"/>
  <c r="D79" i="66"/>
  <c r="D79" i="65"/>
  <c r="D79" i="63"/>
  <c r="D52" i="65"/>
  <c r="D52" i="63"/>
  <c r="D52" i="66"/>
  <c r="D28" i="66"/>
  <c r="D28" i="65"/>
  <c r="D28" i="63"/>
  <c r="D77" i="66"/>
  <c r="D77" i="65"/>
  <c r="D77" i="63"/>
  <c r="D51" i="66"/>
  <c r="D51" i="63"/>
  <c r="D51" i="65"/>
  <c r="D65" i="66"/>
  <c r="D65" i="63"/>
  <c r="D65" i="65"/>
  <c r="E16" i="62"/>
  <c r="E18" i="62"/>
  <c r="H80" i="66"/>
  <c r="H80" i="65"/>
  <c r="H48" i="66"/>
  <c r="H48" i="65"/>
  <c r="F100" i="66"/>
  <c r="F100" i="65"/>
  <c r="F114" i="66"/>
  <c r="F114" i="65"/>
  <c r="D41" i="66"/>
  <c r="D41" i="65"/>
  <c r="D41" i="63"/>
  <c r="D30" i="65"/>
  <c r="D30" i="63"/>
  <c r="D30" i="66"/>
  <c r="D40" i="66"/>
  <c r="D40" i="63"/>
  <c r="D40" i="65"/>
  <c r="D33" i="66"/>
  <c r="D33" i="63"/>
  <c r="D33" i="65"/>
  <c r="D47" i="65"/>
  <c r="D47" i="63"/>
  <c r="D47" i="66"/>
  <c r="D46" i="63"/>
  <c r="D46" i="65"/>
  <c r="D46" i="66"/>
  <c r="E21" i="62"/>
  <c r="E16" i="60"/>
  <c r="E15" i="69"/>
  <c r="E19" i="55"/>
  <c r="H36" i="56"/>
  <c r="H69" i="62"/>
  <c r="H27" i="48"/>
  <c r="H187" i="62"/>
  <c r="H135" i="62"/>
  <c r="H150" i="62"/>
  <c r="H21" i="56"/>
  <c r="H196" i="62"/>
  <c r="H97" i="66"/>
  <c r="H83" i="62"/>
  <c r="H34" i="60"/>
  <c r="H148" i="62"/>
  <c r="H229" i="62"/>
  <c r="H154" i="62"/>
  <c r="H35" i="60"/>
  <c r="H23" i="48"/>
  <c r="H189" i="62"/>
  <c r="H34" i="61"/>
  <c r="H19" i="56"/>
  <c r="H84" i="62"/>
  <c r="H224" i="62"/>
  <c r="H54" i="60"/>
  <c r="H45" i="62"/>
  <c r="H184" i="62"/>
  <c r="H87" i="66"/>
  <c r="H107" i="65"/>
  <c r="H228" i="62"/>
  <c r="H95" i="65"/>
  <c r="H199" i="62"/>
  <c r="H112" i="62"/>
  <c r="H223" i="62"/>
  <c r="H52" i="60"/>
  <c r="H48" i="60"/>
  <c r="H188" i="62"/>
  <c r="H43" i="60"/>
  <c r="H212" i="62"/>
  <c r="H29" i="60"/>
  <c r="H29" i="48"/>
  <c r="H58" i="60"/>
  <c r="H30" i="60"/>
  <c r="H200" i="62"/>
  <c r="H27" i="61"/>
  <c r="H66" i="62"/>
  <c r="H81" i="62"/>
  <c r="H64" i="62"/>
  <c r="H169" i="62"/>
  <c r="H27" i="60"/>
  <c r="H101" i="62"/>
  <c r="H56" i="60"/>
  <c r="H18" i="47"/>
  <c r="H126" i="62"/>
  <c r="H57" i="60"/>
  <c r="H55" i="60"/>
  <c r="H23" i="61"/>
  <c r="H31" i="61"/>
  <c r="F36" i="56"/>
  <c r="F69" i="62"/>
  <c r="F27" i="48"/>
  <c r="F135" i="62"/>
  <c r="F150" i="62"/>
  <c r="F21" i="56"/>
  <c r="F77" i="62"/>
  <c r="F196" i="62"/>
  <c r="F83" i="62"/>
  <c r="F34" i="60"/>
  <c r="F148" i="62"/>
  <c r="F229" i="62"/>
  <c r="F154" i="62"/>
  <c r="F35" i="60"/>
  <c r="F17" i="55"/>
  <c r="F23" i="48"/>
  <c r="F189" i="62"/>
  <c r="F34" i="61"/>
  <c r="F19" i="56"/>
  <c r="F84" i="62"/>
  <c r="F224" i="62"/>
  <c r="F54" i="60"/>
  <c r="F45" i="62"/>
  <c r="F184" i="62"/>
  <c r="F90" i="66"/>
  <c r="F87" i="65"/>
  <c r="F228" i="62"/>
  <c r="F95" i="65"/>
  <c r="F199" i="62"/>
  <c r="F112" i="62"/>
  <c r="F223" i="62"/>
  <c r="F52" i="60"/>
  <c r="F48" i="60"/>
  <c r="F194" i="62"/>
  <c r="F212" i="62"/>
  <c r="F29" i="60"/>
  <c r="F29" i="48"/>
  <c r="F205" i="62"/>
  <c r="F58" i="60"/>
  <c r="F30" i="60"/>
  <c r="F200" i="62"/>
  <c r="F27" i="61"/>
  <c r="F66" i="62"/>
  <c r="F81" i="62"/>
  <c r="F64" i="62"/>
  <c r="F169" i="62"/>
  <c r="F27" i="60"/>
  <c r="F101" i="62"/>
  <c r="F56" i="60"/>
  <c r="F18" i="47"/>
  <c r="F126" i="62"/>
  <c r="F57" i="60"/>
  <c r="F55" i="60"/>
  <c r="F23" i="61"/>
  <c r="F31" i="61"/>
  <c r="D36" i="56"/>
  <c r="D69" i="62"/>
  <c r="D27" i="48"/>
  <c r="D135" i="62"/>
  <c r="D150" i="62"/>
  <c r="D21" i="56"/>
  <c r="D85" i="48"/>
  <c r="D196" i="62"/>
  <c r="D97" i="48"/>
  <c r="D83" i="62"/>
  <c r="D34" i="60"/>
  <c r="D58" i="62"/>
  <c r="D148" i="62"/>
  <c r="D229" i="62"/>
  <c r="D154" i="62"/>
  <c r="D35" i="60"/>
  <c r="D23" i="48"/>
  <c r="D66" i="48"/>
  <c r="D189" i="62"/>
  <c r="D155" i="62"/>
  <c r="D34" i="61"/>
  <c r="D44" i="48"/>
  <c r="D19" i="56"/>
  <c r="D84" i="62"/>
  <c r="D224" i="62"/>
  <c r="D54" i="60"/>
  <c r="D45" i="62"/>
  <c r="D38" i="48"/>
  <c r="D184" i="62"/>
  <c r="D90" i="48"/>
  <c r="D87" i="48"/>
  <c r="D67" i="48"/>
  <c r="D36" i="48"/>
  <c r="D107" i="65"/>
  <c r="D228" i="62"/>
  <c r="D95" i="48"/>
  <c r="D199" i="62"/>
  <c r="D112" i="62"/>
  <c r="D72" i="48"/>
  <c r="D223" i="62"/>
  <c r="D52" i="60"/>
  <c r="D48" i="60"/>
  <c r="D212" i="62"/>
  <c r="D29" i="60"/>
  <c r="D29" i="48"/>
  <c r="D49" i="48"/>
  <c r="D58" i="60"/>
  <c r="D30" i="60"/>
  <c r="D200" i="62"/>
  <c r="D27" i="61"/>
  <c r="D66" i="62"/>
  <c r="D81" i="62"/>
  <c r="D64" i="62"/>
  <c r="D169" i="62"/>
  <c r="D27" i="60"/>
  <c r="D101" i="62"/>
  <c r="D56" i="60"/>
  <c r="D18" i="47"/>
  <c r="D45" i="48"/>
  <c r="D126" i="62"/>
  <c r="D57" i="60"/>
  <c r="D55" i="60"/>
  <c r="D23" i="61"/>
  <c r="D31" i="61"/>
  <c r="E59" i="48"/>
  <c r="G59" i="48" s="1"/>
  <c r="D60" i="60" l="1"/>
  <c r="D215" i="62"/>
  <c r="D225" i="62"/>
  <c r="D193" i="62"/>
  <c r="H219" i="62"/>
  <c r="F22" i="53"/>
  <c r="I26" i="69"/>
  <c r="G26" i="69"/>
  <c r="I17" i="69"/>
  <c r="G17" i="69"/>
  <c r="D190" i="62"/>
  <c r="D22" i="53"/>
  <c r="D77" i="62"/>
  <c r="H19" i="53"/>
  <c r="F100" i="62"/>
  <c r="F80" i="62"/>
  <c r="F31" i="53"/>
  <c r="D31" i="53"/>
  <c r="F19" i="53"/>
  <c r="I16" i="69"/>
  <c r="G16" i="69"/>
  <c r="H31" i="53"/>
  <c r="G19" i="55"/>
  <c r="I19" i="55"/>
  <c r="F193" i="62"/>
  <c r="H211" i="62"/>
  <c r="H99" i="62"/>
  <c r="H17" i="55"/>
  <c r="H182" i="62"/>
  <c r="D182" i="62"/>
  <c r="D99" i="62"/>
  <c r="D17" i="55"/>
  <c r="D19" i="53"/>
  <c r="H22" i="53"/>
  <c r="G15" i="69"/>
  <c r="I15" i="69"/>
  <c r="D147" i="62"/>
  <c r="F65" i="62"/>
  <c r="H162" i="62"/>
  <c r="D124" i="62"/>
  <c r="D118" i="62"/>
  <c r="D211" i="62"/>
  <c r="D51" i="60"/>
  <c r="D220" i="62"/>
  <c r="D216" i="62"/>
  <c r="D162" i="62"/>
  <c r="F45" i="60"/>
  <c r="F219" i="62"/>
  <c r="H215" i="62"/>
  <c r="H163" i="62"/>
  <c r="H156" i="62"/>
  <c r="H125" i="62"/>
  <c r="H119" i="62"/>
  <c r="H225" i="62"/>
  <c r="D141" i="62"/>
  <c r="D180" i="62"/>
  <c r="F120" i="62"/>
  <c r="H114" i="62"/>
  <c r="H79" i="62"/>
  <c r="D94" i="62"/>
  <c r="H65" i="62"/>
  <c r="D176" i="62"/>
  <c r="F180" i="62"/>
  <c r="H205" i="62"/>
  <c r="D100" i="62"/>
  <c r="D129" i="62"/>
  <c r="F143" i="62"/>
  <c r="H176" i="62"/>
  <c r="F57" i="62"/>
  <c r="F51" i="62"/>
  <c r="D57" i="62"/>
  <c r="D51" i="62"/>
  <c r="D194" i="62"/>
  <c r="F215" i="62"/>
  <c r="F163" i="62"/>
  <c r="F156" i="62"/>
  <c r="F125" i="62"/>
  <c r="F119" i="62"/>
  <c r="F225" i="62"/>
  <c r="H33" i="62"/>
  <c r="H27" i="62"/>
  <c r="H62" i="62"/>
  <c r="H30" i="62"/>
  <c r="H24" i="62"/>
  <c r="F94" i="62"/>
  <c r="H155" i="62"/>
  <c r="D80" i="62"/>
  <c r="F221" i="62"/>
  <c r="D39" i="62"/>
  <c r="D60" i="62"/>
  <c r="F141" i="62"/>
  <c r="D188" i="62"/>
  <c r="H39" i="62"/>
  <c r="F114" i="62"/>
  <c r="D79" i="62"/>
  <c r="H147" i="62"/>
  <c r="D163" i="62"/>
  <c r="D156" i="62"/>
  <c r="D125" i="62"/>
  <c r="D119" i="62"/>
  <c r="D219" i="62"/>
  <c r="F33" i="62"/>
  <c r="F27" i="62"/>
  <c r="F62" i="62"/>
  <c r="F30" i="62"/>
  <c r="F24" i="62"/>
  <c r="H57" i="62"/>
  <c r="H51" i="62"/>
  <c r="H193" i="62"/>
  <c r="D65" i="62"/>
  <c r="F39" i="62"/>
  <c r="F226" i="62"/>
  <c r="D107" i="62"/>
  <c r="D114" i="62"/>
  <c r="F187" i="62"/>
  <c r="F188" i="62"/>
  <c r="D226" i="62"/>
  <c r="D120" i="62"/>
  <c r="D221" i="62"/>
  <c r="H107" i="62"/>
  <c r="D187" i="62"/>
  <c r="H58" i="62"/>
  <c r="D143" i="62"/>
  <c r="H94" i="62"/>
  <c r="F60" i="62"/>
  <c r="H124" i="62"/>
  <c r="H118" i="62"/>
  <c r="H220" i="62"/>
  <c r="H216" i="62"/>
  <c r="I21" i="62"/>
  <c r="G21" i="62"/>
  <c r="F190" i="62"/>
  <c r="H180" i="62"/>
  <c r="H120" i="62"/>
  <c r="D33" i="62"/>
  <c r="D27" i="62"/>
  <c r="D62" i="62"/>
  <c r="D30" i="62"/>
  <c r="D24" i="62"/>
  <c r="F124" i="62"/>
  <c r="F118" i="62"/>
  <c r="F211" i="62"/>
  <c r="F220" i="62"/>
  <c r="F216" i="62"/>
  <c r="F162" i="62"/>
  <c r="F99" i="62"/>
  <c r="H194" i="62"/>
  <c r="H77" i="62"/>
  <c r="I18" i="62"/>
  <c r="G18" i="62"/>
  <c r="F58" i="62"/>
  <c r="F182" i="62"/>
  <c r="F155" i="62"/>
  <c r="F147" i="62"/>
  <c r="H141" i="62"/>
  <c r="F176" i="62"/>
  <c r="H73" i="62"/>
  <c r="H80" i="62"/>
  <c r="F129" i="62"/>
  <c r="F73" i="62"/>
  <c r="H226" i="62"/>
  <c r="F79" i="62"/>
  <c r="D205" i="62"/>
  <c r="H143" i="62"/>
  <c r="D73" i="62"/>
  <c r="F107" i="62"/>
  <c r="H100" i="62"/>
  <c r="H60" i="62"/>
  <c r="H129" i="62"/>
  <c r="H221" i="62"/>
  <c r="H190" i="62"/>
  <c r="F51" i="60"/>
  <c r="D45" i="60"/>
  <c r="H53" i="60"/>
  <c r="D53" i="60"/>
  <c r="H45" i="60"/>
  <c r="H47" i="60"/>
  <c r="D26" i="60"/>
  <c r="D40" i="60"/>
  <c r="F28" i="60"/>
  <c r="H60" i="60"/>
  <c r="H50" i="60"/>
  <c r="I18" i="53"/>
  <c r="G18" i="53"/>
  <c r="F47" i="60"/>
  <c r="H46" i="60"/>
  <c r="H37" i="60"/>
  <c r="H26" i="60"/>
  <c r="D47" i="60"/>
  <c r="F60" i="60"/>
  <c r="F50" i="60"/>
  <c r="D37" i="60"/>
  <c r="F43" i="60"/>
  <c r="H28" i="60"/>
  <c r="D43" i="60"/>
  <c r="D50" i="60"/>
  <c r="F53" i="60"/>
  <c r="H51" i="60"/>
  <c r="H40" i="60"/>
  <c r="F40" i="60"/>
  <c r="F46" i="60"/>
  <c r="D46" i="60"/>
  <c r="F26" i="60"/>
  <c r="F37" i="60"/>
  <c r="D28" i="60"/>
  <c r="I16" i="60"/>
  <c r="G16" i="60"/>
  <c r="F66" i="63"/>
  <c r="F66" i="48"/>
  <c r="F72" i="63"/>
  <c r="F72" i="48"/>
  <c r="F87" i="63"/>
  <c r="F87" i="48"/>
  <c r="F116" i="63"/>
  <c r="F116" i="66"/>
  <c r="F116" i="65"/>
  <c r="F116" i="48"/>
  <c r="F85" i="63"/>
  <c r="F85" i="48"/>
  <c r="H45" i="63"/>
  <c r="H45" i="48"/>
  <c r="H49" i="63"/>
  <c r="H49" i="48"/>
  <c r="H90" i="63"/>
  <c r="H90" i="48"/>
  <c r="H97" i="63"/>
  <c r="H97" i="48"/>
  <c r="H90" i="66"/>
  <c r="D87" i="65"/>
  <c r="D90" i="63"/>
  <c r="H95" i="66"/>
  <c r="F36" i="63"/>
  <c r="F36" i="48"/>
  <c r="H67" i="63"/>
  <c r="H67" i="48"/>
  <c r="F45" i="63"/>
  <c r="F45" i="48"/>
  <c r="F49" i="63"/>
  <c r="F49" i="48"/>
  <c r="F90" i="63"/>
  <c r="F90" i="48"/>
  <c r="F97" i="63"/>
  <c r="F97" i="48"/>
  <c r="D87" i="63"/>
  <c r="F97" i="66"/>
  <c r="D90" i="65"/>
  <c r="F95" i="63"/>
  <c r="F95" i="48"/>
  <c r="F44" i="63"/>
  <c r="F44" i="48"/>
  <c r="F65" i="63"/>
  <c r="F65" i="48"/>
  <c r="D116" i="66"/>
  <c r="D116" i="65"/>
  <c r="D116" i="63"/>
  <c r="D116" i="48"/>
  <c r="H106" i="63"/>
  <c r="H107" i="63"/>
  <c r="H107" i="48"/>
  <c r="H106" i="48"/>
  <c r="H38" i="63"/>
  <c r="H38" i="48"/>
  <c r="F87" i="66"/>
  <c r="H107" i="66"/>
  <c r="D87" i="66"/>
  <c r="F97" i="65"/>
  <c r="D107" i="66"/>
  <c r="F107" i="63"/>
  <c r="F106" i="63"/>
  <c r="F107" i="48"/>
  <c r="F106" i="48"/>
  <c r="F38" i="63"/>
  <c r="F38" i="48"/>
  <c r="H95" i="48"/>
  <c r="H95" i="63"/>
  <c r="H36" i="48"/>
  <c r="H36" i="63"/>
  <c r="H44" i="63"/>
  <c r="H44" i="48"/>
  <c r="H66" i="63"/>
  <c r="H66" i="48"/>
  <c r="H65" i="63"/>
  <c r="H65" i="48"/>
  <c r="D97" i="63"/>
  <c r="D95" i="65"/>
  <c r="D107" i="63"/>
  <c r="F26" i="61"/>
  <c r="D97" i="66"/>
  <c r="F107" i="65"/>
  <c r="D95" i="66"/>
  <c r="H97" i="65"/>
  <c r="D106" i="48"/>
  <c r="D107" i="48"/>
  <c r="F67" i="63"/>
  <c r="F67" i="48"/>
  <c r="H72" i="63"/>
  <c r="H72" i="48"/>
  <c r="H87" i="63"/>
  <c r="H87" i="48"/>
  <c r="H116" i="65"/>
  <c r="H116" i="63"/>
  <c r="H116" i="66"/>
  <c r="H116" i="48"/>
  <c r="H85" i="48"/>
  <c r="H85" i="63"/>
  <c r="D97" i="65"/>
  <c r="F95" i="66"/>
  <c r="F107" i="66"/>
  <c r="H90" i="65"/>
  <c r="D95" i="63"/>
  <c r="F90" i="65"/>
  <c r="D90" i="66"/>
  <c r="H87" i="65"/>
  <c r="D40" i="61"/>
  <c r="D46" i="61"/>
  <c r="H26" i="61"/>
  <c r="I59" i="48"/>
  <c r="F44" i="61"/>
  <c r="F50" i="61"/>
  <c r="F37" i="61"/>
  <c r="H37" i="61"/>
  <c r="H44" i="61"/>
  <c r="H50" i="61"/>
  <c r="H45" i="61"/>
  <c r="H51" i="61"/>
  <c r="H40" i="61"/>
  <c r="H32" i="61"/>
  <c r="D32" i="61"/>
  <c r="D26" i="61"/>
  <c r="D45" i="61"/>
  <c r="D51" i="61"/>
  <c r="F32" i="61"/>
  <c r="H46" i="61"/>
  <c r="D44" i="61"/>
  <c r="D50" i="61"/>
  <c r="F45" i="61"/>
  <c r="F51" i="61"/>
  <c r="F40" i="61"/>
  <c r="F46" i="61"/>
  <c r="D37" i="61"/>
  <c r="D106" i="63"/>
  <c r="D105" i="66"/>
  <c r="D105" i="63"/>
  <c r="D106" i="66"/>
  <c r="D105" i="65"/>
  <c r="D106" i="65"/>
  <c r="F67" i="65"/>
  <c r="F67" i="66"/>
  <c r="H115" i="66"/>
  <c r="H115" i="65"/>
  <c r="D29" i="66"/>
  <c r="D29" i="63"/>
  <c r="D29" i="65"/>
  <c r="F94" i="65"/>
  <c r="F94" i="66"/>
  <c r="F36" i="66"/>
  <c r="F36" i="65"/>
  <c r="F44" i="65"/>
  <c r="F44" i="66"/>
  <c r="F66" i="65"/>
  <c r="F66" i="66"/>
  <c r="F65" i="66"/>
  <c r="F65" i="65"/>
  <c r="H67" i="66"/>
  <c r="H67" i="65"/>
  <c r="H23" i="65"/>
  <c r="H23" i="63"/>
  <c r="H23" i="66"/>
  <c r="E19" i="62"/>
  <c r="E83" i="66"/>
  <c r="E16" i="66"/>
  <c r="E15" i="62"/>
  <c r="E84" i="66"/>
  <c r="E16" i="53"/>
  <c r="G16" i="53" s="1"/>
  <c r="E20" i="62"/>
  <c r="E17" i="62"/>
  <c r="E15" i="61"/>
  <c r="I17" i="66"/>
  <c r="G17" i="66"/>
  <c r="E81" i="66"/>
  <c r="I16" i="62"/>
  <c r="G16" i="62"/>
  <c r="G19" i="66"/>
  <c r="I19" i="66"/>
  <c r="H86" i="66"/>
  <c r="H86" i="65"/>
  <c r="D94" i="66"/>
  <c r="D94" i="63"/>
  <c r="D94" i="65"/>
  <c r="D36" i="65"/>
  <c r="D36" i="66"/>
  <c r="D36" i="63"/>
  <c r="D44" i="65"/>
  <c r="D44" i="66"/>
  <c r="D44" i="63"/>
  <c r="D66" i="65"/>
  <c r="D66" i="63"/>
  <c r="D66" i="66"/>
  <c r="F72" i="66"/>
  <c r="F72" i="65"/>
  <c r="F86" i="66"/>
  <c r="F86" i="65"/>
  <c r="F115" i="65"/>
  <c r="F115" i="66"/>
  <c r="F85" i="65"/>
  <c r="F85" i="66"/>
  <c r="F27" i="66"/>
  <c r="F27" i="65"/>
  <c r="F27" i="63"/>
  <c r="H45" i="66"/>
  <c r="H45" i="65"/>
  <c r="H49" i="66"/>
  <c r="H49" i="65"/>
  <c r="H89" i="65"/>
  <c r="H89" i="66"/>
  <c r="H96" i="66"/>
  <c r="H96" i="65"/>
  <c r="E15" i="53"/>
  <c r="E17" i="61"/>
  <c r="E82" i="66"/>
  <c r="E15" i="60"/>
  <c r="E19" i="61"/>
  <c r="E22" i="61"/>
  <c r="F23" i="65"/>
  <c r="F23" i="66"/>
  <c r="F23" i="63"/>
  <c r="H72" i="66"/>
  <c r="H72" i="65"/>
  <c r="D67" i="66"/>
  <c r="D67" i="63"/>
  <c r="D67" i="65"/>
  <c r="D23" i="65"/>
  <c r="D23" i="63"/>
  <c r="D23" i="66"/>
  <c r="F45" i="66"/>
  <c r="F45" i="65"/>
  <c r="F49" i="65"/>
  <c r="F49" i="66"/>
  <c r="F89" i="65"/>
  <c r="F89" i="66"/>
  <c r="F96" i="65"/>
  <c r="F96" i="66"/>
  <c r="H29" i="66"/>
  <c r="H29" i="65"/>
  <c r="H29" i="63"/>
  <c r="E18" i="66"/>
  <c r="E62" i="66"/>
  <c r="E16" i="56"/>
  <c r="I15" i="47"/>
  <c r="G15" i="47"/>
  <c r="G15" i="56"/>
  <c r="I15" i="56"/>
  <c r="D38" i="66"/>
  <c r="D38" i="63"/>
  <c r="D38" i="65"/>
  <c r="H85" i="65"/>
  <c r="H85" i="66"/>
  <c r="D72" i="66"/>
  <c r="D72" i="65"/>
  <c r="D72" i="63"/>
  <c r="D86" i="65"/>
  <c r="D86" i="66"/>
  <c r="D86" i="63"/>
  <c r="D115" i="66"/>
  <c r="D115" i="65"/>
  <c r="D115" i="63"/>
  <c r="D85" i="65"/>
  <c r="D85" i="63"/>
  <c r="D85" i="66"/>
  <c r="D27" i="63"/>
  <c r="D27" i="65"/>
  <c r="D27" i="66"/>
  <c r="F29" i="65"/>
  <c r="F29" i="66"/>
  <c r="F29" i="63"/>
  <c r="H106" i="65"/>
  <c r="H105" i="65"/>
  <c r="H105" i="66"/>
  <c r="H106" i="66"/>
  <c r="H38" i="66"/>
  <c r="H38" i="65"/>
  <c r="E26" i="53"/>
  <c r="E74" i="66"/>
  <c r="E61" i="66"/>
  <c r="E16" i="61"/>
  <c r="E17" i="53"/>
  <c r="G17" i="53" s="1"/>
  <c r="E15" i="66"/>
  <c r="E17" i="60"/>
  <c r="E18" i="61"/>
  <c r="E18" i="56"/>
  <c r="I17" i="56"/>
  <c r="G17" i="56"/>
  <c r="H27" i="65"/>
  <c r="H27" i="63"/>
  <c r="H27" i="66"/>
  <c r="D45" i="65"/>
  <c r="D45" i="63"/>
  <c r="D45" i="66"/>
  <c r="D49" i="65"/>
  <c r="D49" i="66"/>
  <c r="D49" i="63"/>
  <c r="D89" i="65"/>
  <c r="D89" i="66"/>
  <c r="D89" i="63"/>
  <c r="D96" i="66"/>
  <c r="D96" i="63"/>
  <c r="D96" i="65"/>
  <c r="F105" i="66"/>
  <c r="F106" i="65"/>
  <c r="F106" i="66"/>
  <c r="F105" i="65"/>
  <c r="F38" i="66"/>
  <c r="F38" i="65"/>
  <c r="H94" i="65"/>
  <c r="H94" i="66"/>
  <c r="H36" i="66"/>
  <c r="H36" i="65"/>
  <c r="H44" i="65"/>
  <c r="H44" i="66"/>
  <c r="H66" i="65"/>
  <c r="H66" i="66"/>
  <c r="H65" i="65"/>
  <c r="H65" i="66"/>
  <c r="E36" i="61"/>
  <c r="E20" i="61"/>
  <c r="E29" i="56"/>
  <c r="E21" i="61"/>
  <c r="E32" i="66"/>
  <c r="E22" i="48"/>
  <c r="G22" i="48" s="1"/>
  <c r="E86" i="48"/>
  <c r="G86" i="48" s="1"/>
  <c r="E28" i="48"/>
  <c r="G28" i="48" s="1"/>
  <c r="E117" i="48"/>
  <c r="E30" i="48"/>
  <c r="G30" i="48" s="1"/>
  <c r="E36" i="48"/>
  <c r="E33" i="48"/>
  <c r="G33" i="48" s="1"/>
  <c r="E25" i="48"/>
  <c r="G25" i="48" s="1"/>
  <c r="E87" i="48"/>
  <c r="E72" i="48"/>
  <c r="E29" i="48"/>
  <c r="G29" i="48" s="1"/>
  <c r="E35" i="48"/>
  <c r="G35" i="48" s="1"/>
  <c r="E31" i="48"/>
  <c r="G31" i="48" s="1"/>
  <c r="E23" i="48"/>
  <c r="G23" i="48" s="1"/>
  <c r="E95" i="48"/>
  <c r="G95" i="48" s="1"/>
  <c r="E90" i="48"/>
  <c r="G90" i="48" l="1"/>
  <c r="G72" i="48"/>
  <c r="G36" i="48"/>
  <c r="I20" i="62"/>
  <c r="G20" i="62"/>
  <c r="I19" i="62"/>
  <c r="G19" i="62"/>
  <c r="G87" i="48"/>
  <c r="I29" i="56"/>
  <c r="G29" i="56"/>
  <c r="I18" i="56"/>
  <c r="G18" i="56"/>
  <c r="I15" i="53"/>
  <c r="G15" i="53"/>
  <c r="I26" i="53"/>
  <c r="G26" i="53"/>
  <c r="I15" i="60"/>
  <c r="G15" i="60"/>
  <c r="I17" i="60"/>
  <c r="G17" i="60"/>
  <c r="E44" i="48"/>
  <c r="G44" i="48" s="1"/>
  <c r="E70" i="48"/>
  <c r="G70" i="48" s="1"/>
  <c r="E92" i="48"/>
  <c r="G92" i="48" s="1"/>
  <c r="E107" i="48"/>
  <c r="G107" i="48" s="1"/>
  <c r="E106" i="48"/>
  <c r="G106" i="48" s="1"/>
  <c r="E51" i="48"/>
  <c r="G51" i="48" s="1"/>
  <c r="E47" i="48"/>
  <c r="G47" i="48" s="1"/>
  <c r="E69" i="48"/>
  <c r="G69" i="48" s="1"/>
  <c r="E53" i="48"/>
  <c r="G53" i="48" s="1"/>
  <c r="E113" i="48"/>
  <c r="G113" i="48" s="1"/>
  <c r="E101" i="48"/>
  <c r="G101" i="48" s="1"/>
  <c r="I74" i="66"/>
  <c r="G74" i="66"/>
  <c r="I62" i="66"/>
  <c r="G62" i="66"/>
  <c r="I81" i="66"/>
  <c r="G81" i="66"/>
  <c r="E66" i="48"/>
  <c r="G66" i="48" s="1"/>
  <c r="E79" i="48"/>
  <c r="G79" i="48" s="1"/>
  <c r="E60" i="48"/>
  <c r="G60" i="48" s="1"/>
  <c r="E75" i="48"/>
  <c r="G75" i="48" s="1"/>
  <c r="E43" i="48"/>
  <c r="G43" i="48" s="1"/>
  <c r="E73" i="48"/>
  <c r="G73" i="48" s="1"/>
  <c r="E48" i="48"/>
  <c r="G48" i="48" s="1"/>
  <c r="E42" i="48"/>
  <c r="G42" i="48" s="1"/>
  <c r="E93" i="48"/>
  <c r="G93" i="48" s="1"/>
  <c r="E108" i="48"/>
  <c r="G108" i="48" s="1"/>
  <c r="E85" i="48"/>
  <c r="G85" i="48" s="1"/>
  <c r="E116" i="48"/>
  <c r="E56" i="48"/>
  <c r="G56" i="48" s="1"/>
  <c r="E45" i="48"/>
  <c r="G45" i="48" s="1"/>
  <c r="E114" i="48"/>
  <c r="G114" i="48" s="1"/>
  <c r="E58" i="48"/>
  <c r="G58" i="48" s="1"/>
  <c r="E57" i="48"/>
  <c r="G57" i="48" s="1"/>
  <c r="E80" i="48"/>
  <c r="G80" i="48" s="1"/>
  <c r="E99" i="48"/>
  <c r="G99" i="48" s="1"/>
  <c r="I95" i="48"/>
  <c r="E96" i="48"/>
  <c r="G96" i="48" s="1"/>
  <c r="E40" i="48"/>
  <c r="G40" i="48" s="1"/>
  <c r="E103" i="48"/>
  <c r="G103" i="48" s="1"/>
  <c r="E68" i="48"/>
  <c r="G68" i="48" s="1"/>
  <c r="E110" i="48"/>
  <c r="G110" i="48" s="1"/>
  <c r="E67" i="48"/>
  <c r="G67" i="48" s="1"/>
  <c r="E115" i="48"/>
  <c r="G115" i="48" s="1"/>
  <c r="E104" i="48"/>
  <c r="I82" i="66"/>
  <c r="G82" i="66"/>
  <c r="E38" i="48"/>
  <c r="G38" i="48" s="1"/>
  <c r="E49" i="48"/>
  <c r="G49" i="48" s="1"/>
  <c r="E97" i="48"/>
  <c r="G97" i="48" s="1"/>
  <c r="E76" i="48"/>
  <c r="G76" i="48" s="1"/>
  <c r="E100" i="48"/>
  <c r="G100" i="48" s="1"/>
  <c r="E39" i="48"/>
  <c r="G39" i="48" s="1"/>
  <c r="E77" i="48"/>
  <c r="G77" i="48" s="1"/>
  <c r="E109" i="48"/>
  <c r="G109" i="48" s="1"/>
  <c r="E78" i="48"/>
  <c r="G78" i="48" s="1"/>
  <c r="E54" i="48"/>
  <c r="G54" i="48" s="1"/>
  <c r="E111" i="48"/>
  <c r="G111" i="48" s="1"/>
  <c r="I90" i="48"/>
  <c r="E91" i="48"/>
  <c r="G91" i="48" s="1"/>
  <c r="E37" i="48"/>
  <c r="G37" i="48" s="1"/>
  <c r="E94" i="48"/>
  <c r="G94" i="48" s="1"/>
  <c r="E89" i="48"/>
  <c r="G89" i="48" s="1"/>
  <c r="I61" i="66"/>
  <c r="G61" i="66"/>
  <c r="I84" i="66"/>
  <c r="G84" i="66"/>
  <c r="I83" i="66"/>
  <c r="G83" i="66"/>
  <c r="E112" i="48"/>
  <c r="G112" i="48" s="1"/>
  <c r="E64" i="48"/>
  <c r="G64" i="48" s="1"/>
  <c r="E52" i="48"/>
  <c r="G52" i="48" s="1"/>
  <c r="E102" i="48"/>
  <c r="G102" i="48" s="1"/>
  <c r="G117" i="48"/>
  <c r="I117" i="48"/>
  <c r="E50" i="48"/>
  <c r="G50" i="48" s="1"/>
  <c r="E55" i="48"/>
  <c r="G55" i="48" s="1"/>
  <c r="E41" i="48"/>
  <c r="G41" i="48" s="1"/>
  <c r="I86" i="48"/>
  <c r="I19" i="61"/>
  <c r="G19" i="61"/>
  <c r="I16" i="61"/>
  <c r="G16" i="61"/>
  <c r="I17" i="61"/>
  <c r="G17" i="61"/>
  <c r="I21" i="61"/>
  <c r="G21" i="61"/>
  <c r="I20" i="61"/>
  <c r="G20" i="61"/>
  <c r="I36" i="61"/>
  <c r="G36" i="61"/>
  <c r="I18" i="61"/>
  <c r="G18" i="61"/>
  <c r="I22" i="61"/>
  <c r="G22" i="61"/>
  <c r="I36" i="48"/>
  <c r="I72" i="48"/>
  <c r="I17" i="53"/>
  <c r="I17" i="62"/>
  <c r="G17" i="62"/>
  <c r="I23" i="48"/>
  <c r="G32" i="66"/>
  <c r="I32" i="66"/>
  <c r="I35" i="48"/>
  <c r="I105" i="48"/>
  <c r="I25" i="48"/>
  <c r="I18" i="66"/>
  <c r="G18" i="66"/>
  <c r="I16" i="53"/>
  <c r="I15" i="62"/>
  <c r="G15" i="62"/>
  <c r="I29" i="48"/>
  <c r="I30" i="48"/>
  <c r="I28" i="48"/>
  <c r="I31" i="48"/>
  <c r="I22" i="48"/>
  <c r="I15" i="66"/>
  <c r="G15" i="66"/>
  <c r="G16" i="56"/>
  <c r="I16" i="56"/>
  <c r="G15" i="61"/>
  <c r="I15" i="61"/>
  <c r="G16" i="66"/>
  <c r="I16" i="66"/>
  <c r="I33" i="48"/>
  <c r="E26" i="48"/>
  <c r="G26" i="48" s="1"/>
  <c r="E21" i="48"/>
  <c r="G21" i="48" s="1"/>
  <c r="E27" i="48"/>
  <c r="G27" i="48" s="1"/>
  <c r="E24" i="48"/>
  <c r="G24" i="48" s="1"/>
  <c r="E22" i="63"/>
  <c r="E28" i="63"/>
  <c r="E40" i="63"/>
  <c r="E37" i="63"/>
  <c r="E53" i="63"/>
  <c r="E41" i="63"/>
  <c r="E69" i="63"/>
  <c r="E55" i="63"/>
  <c r="E59" i="63"/>
  <c r="E34" i="48"/>
  <c r="G34" i="48" s="1"/>
  <c r="C29" i="48"/>
  <c r="C73" i="48"/>
  <c r="C78" i="48"/>
  <c r="C37" i="56"/>
  <c r="C113" i="62"/>
  <c r="C93" i="48"/>
  <c r="C38" i="48"/>
  <c r="C58" i="48"/>
  <c r="C19" i="56"/>
  <c r="C47" i="48"/>
  <c r="C113" i="48"/>
  <c r="C25" i="48"/>
  <c r="C36" i="56"/>
  <c r="C30" i="56"/>
  <c r="C26" i="56"/>
  <c r="C35" i="61"/>
  <c r="C44" i="48"/>
  <c r="C56" i="48"/>
  <c r="C97" i="48"/>
  <c r="C70" i="48"/>
  <c r="C161" i="62"/>
  <c r="C108" i="48"/>
  <c r="C49" i="48"/>
  <c r="C21" i="48"/>
  <c r="C48" i="48"/>
  <c r="C52" i="61"/>
  <c r="C157" i="62"/>
  <c r="C87" i="48"/>
  <c r="C101" i="48"/>
  <c r="C92" i="48"/>
  <c r="C64" i="48"/>
  <c r="C71" i="48"/>
  <c r="C24" i="56"/>
  <c r="C24" i="48"/>
  <c r="C87" i="62"/>
  <c r="C23" i="56"/>
  <c r="C91" i="48"/>
  <c r="C45" i="48"/>
  <c r="C35" i="60"/>
  <c r="C21" i="56"/>
  <c r="C54" i="48"/>
  <c r="C54" i="60"/>
  <c r="C72" i="48"/>
  <c r="C95" i="48"/>
  <c r="C24" i="60"/>
  <c r="C93" i="62"/>
  <c r="C31" i="48"/>
  <c r="C30" i="48"/>
  <c r="C197" i="62"/>
  <c r="C112" i="48"/>
  <c r="C149" i="62"/>
  <c r="C16" i="55"/>
  <c r="C26" i="48"/>
  <c r="C40" i="62"/>
  <c r="C85" i="48"/>
  <c r="C37" i="48"/>
  <c r="C109" i="48"/>
  <c r="C42" i="48"/>
  <c r="C55" i="48"/>
  <c r="C27" i="56"/>
  <c r="C34" i="48"/>
  <c r="C65" i="48"/>
  <c r="C219" i="62"/>
  <c r="C53" i="48"/>
  <c r="C80" i="48"/>
  <c r="C185" i="62"/>
  <c r="C31" i="56"/>
  <c r="C167" i="62"/>
  <c r="C114" i="48"/>
  <c r="C85" i="62"/>
  <c r="C28" i="56"/>
  <c r="C205" i="62"/>
  <c r="C66" i="48"/>
  <c r="C34" i="56"/>
  <c r="C75" i="62"/>
  <c r="C22" i="48"/>
  <c r="C117" i="62"/>
  <c r="C20" i="55"/>
  <c r="C43" i="48"/>
  <c r="C100" i="48"/>
  <c r="C102" i="48"/>
  <c r="C18" i="47"/>
  <c r="C217" i="62"/>
  <c r="C46" i="48"/>
  <c r="C58" i="62"/>
  <c r="C22" i="56"/>
  <c r="C63" i="62"/>
  <c r="C180" i="62"/>
  <c r="C30" i="60"/>
  <c r="C103" i="48"/>
  <c r="C212" i="62"/>
  <c r="C88" i="62"/>
  <c r="C114" i="62"/>
  <c r="C98" i="48"/>
  <c r="C115" i="48"/>
  <c r="C162" i="62"/>
  <c r="C38" i="56"/>
  <c r="C120" i="62"/>
  <c r="C20" i="56"/>
  <c r="C22" i="55"/>
  <c r="C228" i="62"/>
  <c r="C108" i="62"/>
  <c r="C67" i="48"/>
  <c r="C27" i="48"/>
  <c r="C68" i="48"/>
  <c r="C69" i="48"/>
  <c r="C45" i="62"/>
  <c r="C61" i="62"/>
  <c r="C99" i="48"/>
  <c r="C52" i="48"/>
  <c r="C36" i="48"/>
  <c r="C32" i="56"/>
  <c r="C28" i="48"/>
  <c r="C209" i="62"/>
  <c r="C90" i="48"/>
  <c r="C40" i="48"/>
  <c r="C32" i="60"/>
  <c r="C204" i="62"/>
  <c r="C88" i="48"/>
  <c r="C75" i="48"/>
  <c r="C201" i="62"/>
  <c r="C33" i="48"/>
  <c r="C17" i="47"/>
  <c r="C111" i="48"/>
  <c r="C16" i="47"/>
  <c r="C23" i="48"/>
  <c r="C81" i="62"/>
  <c r="C41" i="48"/>
  <c r="C132" i="62"/>
  <c r="C190" i="62"/>
  <c r="C39" i="48"/>
  <c r="C89" i="48"/>
  <c r="C41" i="60"/>
  <c r="C59" i="48"/>
  <c r="C96" i="48"/>
  <c r="C23" i="61"/>
  <c r="C77" i="48"/>
  <c r="C22" i="60"/>
  <c r="C51" i="48"/>
  <c r="C82" i="62"/>
  <c r="C80" i="62"/>
  <c r="C107" i="62"/>
  <c r="C94" i="62"/>
  <c r="C76" i="48"/>
  <c r="C60" i="48"/>
  <c r="C72" i="62"/>
  <c r="C158" i="62"/>
  <c r="C57" i="48"/>
  <c r="C43" i="62"/>
  <c r="C110" i="48"/>
  <c r="C136" i="62"/>
  <c r="C154" i="62"/>
  <c r="C18" i="60"/>
  <c r="C37" i="61"/>
  <c r="C137" i="62"/>
  <c r="C159" i="62"/>
  <c r="C35" i="48"/>
  <c r="C200" i="62"/>
  <c r="C33" i="61"/>
  <c r="C83" i="62"/>
  <c r="C110" i="62"/>
  <c r="C33" i="56"/>
  <c r="C34" i="61"/>
  <c r="C96" i="62"/>
  <c r="C25" i="56"/>
  <c r="C19" i="47"/>
  <c r="C79" i="48"/>
  <c r="C130" i="62"/>
  <c r="C38" i="62"/>
  <c r="C176" i="62"/>
  <c r="C191" i="62"/>
  <c r="C139" i="62"/>
  <c r="C186" i="62"/>
  <c r="C94" i="48"/>
  <c r="C222" i="62"/>
  <c r="C179" i="62"/>
  <c r="C44" i="60"/>
  <c r="C55" i="60"/>
  <c r="C55" i="62"/>
  <c r="C230" i="62"/>
  <c r="C50" i="48"/>
  <c r="C35" i="56"/>
  <c r="C202" i="62"/>
  <c r="C59" i="62"/>
  <c r="C215" i="62"/>
  <c r="C77" i="62"/>
  <c r="C25" i="61"/>
  <c r="C27" i="60"/>
  <c r="C188" i="62"/>
  <c r="C32" i="61"/>
  <c r="C35" i="62"/>
  <c r="C24" i="61"/>
  <c r="E54" i="63"/>
  <c r="E60" i="63"/>
  <c r="E76" i="63"/>
  <c r="E70" i="63"/>
  <c r="E36" i="65"/>
  <c r="E28" i="65"/>
  <c r="E67" i="63"/>
  <c r="I67" i="63" s="1"/>
  <c r="E29" i="63"/>
  <c r="E101" i="63"/>
  <c r="E50" i="63"/>
  <c r="E50" i="65"/>
  <c r="E29" i="66"/>
  <c r="E37" i="65"/>
  <c r="E75" i="63"/>
  <c r="E30" i="63"/>
  <c r="E47" i="63"/>
  <c r="E80" i="65"/>
  <c r="E67" i="65"/>
  <c r="E35" i="63"/>
  <c r="E73" i="63"/>
  <c r="E46" i="63"/>
  <c r="E31" i="63"/>
  <c r="E57" i="63"/>
  <c r="E68" i="63"/>
  <c r="E58" i="65"/>
  <c r="E34" i="63"/>
  <c r="E39" i="63"/>
  <c r="E25" i="63"/>
  <c r="E78" i="63"/>
  <c r="E33" i="63"/>
  <c r="E113" i="63"/>
  <c r="E58" i="63"/>
  <c r="E99" i="63"/>
  <c r="E26" i="63"/>
  <c r="E80" i="63"/>
  <c r="E42" i="66"/>
  <c r="E42" i="65"/>
  <c r="E111" i="63"/>
  <c r="E117" i="63"/>
  <c r="E92" i="63"/>
  <c r="E39" i="65"/>
  <c r="E25" i="65"/>
  <c r="E56" i="63"/>
  <c r="E43" i="63"/>
  <c r="E48" i="63"/>
  <c r="E42" i="63"/>
  <c r="E108" i="63"/>
  <c r="E45" i="63"/>
  <c r="I45" i="63" s="1"/>
  <c r="E66" i="63"/>
  <c r="I66" i="63" s="1"/>
  <c r="E72" i="63"/>
  <c r="I72" i="63" s="1"/>
  <c r="E96" i="63"/>
  <c r="E85" i="65"/>
  <c r="E89" i="63"/>
  <c r="E29" i="65"/>
  <c r="E38" i="63"/>
  <c r="I38" i="63" s="1"/>
  <c r="E44" i="63"/>
  <c r="I44" i="63" s="1"/>
  <c r="E85" i="63"/>
  <c r="I85" i="63" s="1"/>
  <c r="E49" i="63"/>
  <c r="I49" i="63" s="1"/>
  <c r="E36" i="63"/>
  <c r="I36" i="63" s="1"/>
  <c r="E27" i="63"/>
  <c r="E23" i="63"/>
  <c r="C50" i="62" l="1"/>
  <c r="C104" i="62"/>
  <c r="C170" i="62"/>
  <c r="C60" i="62"/>
  <c r="C46" i="62"/>
  <c r="C164" i="62"/>
  <c r="I92" i="48"/>
  <c r="E86" i="63"/>
  <c r="C146" i="62"/>
  <c r="C71" i="62"/>
  <c r="C74" i="62"/>
  <c r="C66" i="62"/>
  <c r="C214" i="62"/>
  <c r="C36" i="62"/>
  <c r="C27" i="53"/>
  <c r="C20" i="53"/>
  <c r="C99" i="62"/>
  <c r="C17" i="55"/>
  <c r="C30" i="53"/>
  <c r="C111" i="62"/>
  <c r="C22" i="53"/>
  <c r="C160" i="62"/>
  <c r="C143" i="62"/>
  <c r="C206" i="62"/>
  <c r="C23" i="53"/>
  <c r="C189" i="62"/>
  <c r="C144" i="62"/>
  <c r="C21" i="55"/>
  <c r="C29" i="60"/>
  <c r="C60" i="60"/>
  <c r="C32" i="53"/>
  <c r="C51" i="60"/>
  <c r="C34" i="60"/>
  <c r="C193" i="62"/>
  <c r="C65" i="62"/>
  <c r="C28" i="53"/>
  <c r="C21" i="53"/>
  <c r="C25" i="53"/>
  <c r="C97" i="62"/>
  <c r="C15" i="55"/>
  <c r="C47" i="62"/>
  <c r="C181" i="62"/>
  <c r="C24" i="53"/>
  <c r="C116" i="62"/>
  <c r="C18" i="55"/>
  <c r="C31" i="53"/>
  <c r="C57" i="60"/>
  <c r="C54" i="62"/>
  <c r="C123" i="62"/>
  <c r="C229" i="62"/>
  <c r="C19" i="53"/>
  <c r="C29" i="53"/>
  <c r="C135" i="62"/>
  <c r="C30" i="62"/>
  <c r="C24" i="62"/>
  <c r="C32" i="62"/>
  <c r="C26" i="62"/>
  <c r="C171" i="62"/>
  <c r="C155" i="62"/>
  <c r="C68" i="62"/>
  <c r="C78" i="62"/>
  <c r="C70" i="62"/>
  <c r="C218" i="62"/>
  <c r="C56" i="62"/>
  <c r="C64" i="62"/>
  <c r="C42" i="62"/>
  <c r="I110" i="48"/>
  <c r="C106" i="62"/>
  <c r="C207" i="62"/>
  <c r="C194" i="62"/>
  <c r="C152" i="62"/>
  <c r="C227" i="62"/>
  <c r="C92" i="62"/>
  <c r="C192" i="62"/>
  <c r="C84" i="62"/>
  <c r="C89" i="62"/>
  <c r="C163" i="62"/>
  <c r="C156" i="62"/>
  <c r="C195" i="62"/>
  <c r="C151" i="62"/>
  <c r="C138" i="62"/>
  <c r="I99" i="48"/>
  <c r="C53" i="62"/>
  <c r="C115" i="62"/>
  <c r="C175" i="62"/>
  <c r="C153" i="62"/>
  <c r="C145" i="62"/>
  <c r="C174" i="62"/>
  <c r="C166" i="62"/>
  <c r="C37" i="62"/>
  <c r="C134" i="62"/>
  <c r="C182" i="62"/>
  <c r="C124" i="62"/>
  <c r="C118" i="62"/>
  <c r="C44" i="62"/>
  <c r="C133" i="62"/>
  <c r="C225" i="62"/>
  <c r="C142" i="62"/>
  <c r="C62" i="62"/>
  <c r="C220" i="62"/>
  <c r="C216" i="62"/>
  <c r="C127" i="62"/>
  <c r="C121" i="62"/>
  <c r="C150" i="62"/>
  <c r="C226" i="62"/>
  <c r="C223" i="62"/>
  <c r="C28" i="62"/>
  <c r="C22" i="62"/>
  <c r="C199" i="62"/>
  <c r="C98" i="62"/>
  <c r="C129" i="62"/>
  <c r="C184" i="62"/>
  <c r="C69" i="62"/>
  <c r="C224" i="62"/>
  <c r="C100" i="62"/>
  <c r="C33" i="62"/>
  <c r="C27" i="62"/>
  <c r="C126" i="62"/>
  <c r="C67" i="62"/>
  <c r="C122" i="62"/>
  <c r="C183" i="62"/>
  <c r="C29" i="62"/>
  <c r="C23" i="62"/>
  <c r="C125" i="62"/>
  <c r="C119" i="62"/>
  <c r="C49" i="62"/>
  <c r="C147" i="62"/>
  <c r="C112" i="62"/>
  <c r="C57" i="62"/>
  <c r="C51" i="62"/>
  <c r="C76" i="62"/>
  <c r="C196" i="62"/>
  <c r="C102" i="62"/>
  <c r="C177" i="62"/>
  <c r="C211" i="62"/>
  <c r="C198" i="62"/>
  <c r="C148" i="62"/>
  <c r="C105" i="62"/>
  <c r="C168" i="62"/>
  <c r="C172" i="62"/>
  <c r="C95" i="62"/>
  <c r="C91" i="62"/>
  <c r="C79" i="62"/>
  <c r="C173" i="62"/>
  <c r="C210" i="62"/>
  <c r="C41" i="62"/>
  <c r="C48" i="62"/>
  <c r="C90" i="62"/>
  <c r="C131" i="62"/>
  <c r="C103" i="62"/>
  <c r="C86" i="62"/>
  <c r="C34" i="62"/>
  <c r="C141" i="62"/>
  <c r="C31" i="62"/>
  <c r="C25" i="62"/>
  <c r="C165" i="62"/>
  <c r="C140" i="62"/>
  <c r="C203" i="62"/>
  <c r="C208" i="62"/>
  <c r="C73" i="62"/>
  <c r="C101" i="62"/>
  <c r="C52" i="62"/>
  <c r="C213" i="62"/>
  <c r="C178" i="62"/>
  <c r="C169" i="62"/>
  <c r="C39" i="62"/>
  <c r="C109" i="62"/>
  <c r="C187" i="62"/>
  <c r="C28" i="60"/>
  <c r="C221" i="62"/>
  <c r="C128" i="62"/>
  <c r="I106" i="48"/>
  <c r="I75" i="48"/>
  <c r="E94" i="63"/>
  <c r="I94" i="63" s="1"/>
  <c r="I48" i="48"/>
  <c r="I101" i="48"/>
  <c r="I66" i="48"/>
  <c r="C40" i="60"/>
  <c r="E107" i="63"/>
  <c r="I107" i="63" s="1"/>
  <c r="I60" i="48"/>
  <c r="C26" i="60"/>
  <c r="C47" i="60"/>
  <c r="C45" i="60"/>
  <c r="I73" i="48"/>
  <c r="I67" i="48"/>
  <c r="C58" i="60"/>
  <c r="C46" i="60"/>
  <c r="C38" i="60"/>
  <c r="C42" i="60"/>
  <c r="I113" i="48"/>
  <c r="I107" i="48"/>
  <c r="C37" i="60"/>
  <c r="C52" i="60"/>
  <c r="C56" i="60"/>
  <c r="C36" i="60"/>
  <c r="C23" i="60"/>
  <c r="C39" i="60"/>
  <c r="C43" i="60"/>
  <c r="I108" i="48"/>
  <c r="E102" i="63"/>
  <c r="G102" i="63" s="1"/>
  <c r="C25" i="60"/>
  <c r="C50" i="60"/>
  <c r="I96" i="48"/>
  <c r="I68" i="48"/>
  <c r="C59" i="60"/>
  <c r="E109" i="63"/>
  <c r="I109" i="63" s="1"/>
  <c r="C49" i="60"/>
  <c r="C48" i="60"/>
  <c r="C53" i="60"/>
  <c r="C31" i="60"/>
  <c r="C19" i="60"/>
  <c r="C21" i="60"/>
  <c r="I114" i="48"/>
  <c r="I43" i="48"/>
  <c r="I79" i="48"/>
  <c r="C31" i="61"/>
  <c r="I93" i="48"/>
  <c r="E103" i="63"/>
  <c r="E104" i="63"/>
  <c r="I37" i="65"/>
  <c r="G37" i="65"/>
  <c r="I55" i="48"/>
  <c r="I111" i="48"/>
  <c r="I49" i="48"/>
  <c r="I57" i="48"/>
  <c r="I45" i="48"/>
  <c r="I85" i="48"/>
  <c r="I42" i="48"/>
  <c r="I85" i="65"/>
  <c r="G85" i="65"/>
  <c r="I92" i="63"/>
  <c r="G92" i="63"/>
  <c r="I80" i="63"/>
  <c r="G80" i="63"/>
  <c r="I113" i="63"/>
  <c r="G113" i="63"/>
  <c r="E46" i="48"/>
  <c r="G46" i="48" s="1"/>
  <c r="I69" i="63"/>
  <c r="G69" i="63"/>
  <c r="I53" i="63"/>
  <c r="G53" i="63"/>
  <c r="E112" i="63"/>
  <c r="E93" i="63"/>
  <c r="I94" i="48"/>
  <c r="G107" i="63"/>
  <c r="I112" i="48"/>
  <c r="I47" i="48"/>
  <c r="I91" i="48"/>
  <c r="I108" i="63"/>
  <c r="G108" i="63"/>
  <c r="E90" i="63"/>
  <c r="C39" i="61"/>
  <c r="I96" i="63"/>
  <c r="G96" i="63"/>
  <c r="E97" i="63"/>
  <c r="I39" i="65"/>
  <c r="G39" i="65"/>
  <c r="I111" i="63"/>
  <c r="G111" i="63"/>
  <c r="I99" i="63"/>
  <c r="G99" i="63"/>
  <c r="I78" i="63"/>
  <c r="G78" i="63"/>
  <c r="I68" i="63"/>
  <c r="G68" i="63"/>
  <c r="I57" i="63"/>
  <c r="G57" i="63"/>
  <c r="I50" i="65"/>
  <c r="G50" i="65"/>
  <c r="I101" i="63"/>
  <c r="G101" i="63"/>
  <c r="E95" i="63"/>
  <c r="I76" i="63"/>
  <c r="G76" i="63"/>
  <c r="I60" i="63"/>
  <c r="G60" i="63"/>
  <c r="C116" i="66"/>
  <c r="C116" i="65"/>
  <c r="C116" i="63"/>
  <c r="C116" i="48"/>
  <c r="I59" i="63"/>
  <c r="G59" i="63"/>
  <c r="E71" i="48"/>
  <c r="G71" i="48" s="1"/>
  <c r="I40" i="63"/>
  <c r="G40" i="63"/>
  <c r="I87" i="48"/>
  <c r="E88" i="48"/>
  <c r="I89" i="48"/>
  <c r="I50" i="48"/>
  <c r="I52" i="48"/>
  <c r="I37" i="48"/>
  <c r="I54" i="48"/>
  <c r="I77" i="48"/>
  <c r="I76" i="48"/>
  <c r="I38" i="48"/>
  <c r="G104" i="48"/>
  <c r="I104" i="48"/>
  <c r="I102" i="48"/>
  <c r="I58" i="48"/>
  <c r="I56" i="48"/>
  <c r="G85" i="63"/>
  <c r="I89" i="63"/>
  <c r="G89" i="63"/>
  <c r="I42" i="63"/>
  <c r="G42" i="63"/>
  <c r="I48" i="63"/>
  <c r="G48" i="63"/>
  <c r="G117" i="63"/>
  <c r="I117" i="63"/>
  <c r="I39" i="63"/>
  <c r="G39" i="63"/>
  <c r="E98" i="63"/>
  <c r="I46" i="63"/>
  <c r="G46" i="63"/>
  <c r="I50" i="63"/>
  <c r="G50" i="63"/>
  <c r="I36" i="65"/>
  <c r="G36" i="65"/>
  <c r="C104" i="48"/>
  <c r="C104" i="63"/>
  <c r="C104" i="66"/>
  <c r="C104" i="65"/>
  <c r="C20" i="60"/>
  <c r="C86" i="48"/>
  <c r="I41" i="63"/>
  <c r="G41" i="63"/>
  <c r="E100" i="63"/>
  <c r="I37" i="63"/>
  <c r="G37" i="63"/>
  <c r="G72" i="63"/>
  <c r="I103" i="48"/>
  <c r="I109" i="48"/>
  <c r="G116" i="48"/>
  <c r="I116" i="48"/>
  <c r="G44" i="63"/>
  <c r="I53" i="48"/>
  <c r="I51" i="48"/>
  <c r="I70" i="48"/>
  <c r="I75" i="63"/>
  <c r="G75" i="63"/>
  <c r="G94" i="63"/>
  <c r="I56" i="63"/>
  <c r="G56" i="63"/>
  <c r="I42" i="65"/>
  <c r="G42" i="65"/>
  <c r="I42" i="66"/>
  <c r="G42" i="66"/>
  <c r="I58" i="65"/>
  <c r="G58" i="65"/>
  <c r="E114" i="63"/>
  <c r="I67" i="65"/>
  <c r="G67" i="65"/>
  <c r="I47" i="63"/>
  <c r="G47" i="63"/>
  <c r="E110" i="63"/>
  <c r="E91" i="63"/>
  <c r="I54" i="63"/>
  <c r="G54" i="63"/>
  <c r="C106" i="48"/>
  <c r="C107" i="48"/>
  <c r="C117" i="66"/>
  <c r="C117" i="65"/>
  <c r="C117" i="63"/>
  <c r="C117" i="48"/>
  <c r="E65" i="48"/>
  <c r="G65" i="48" s="1"/>
  <c r="G66" i="63"/>
  <c r="I41" i="48"/>
  <c r="I64" i="48"/>
  <c r="I78" i="48"/>
  <c r="I39" i="48"/>
  <c r="G36" i="63"/>
  <c r="I40" i="48"/>
  <c r="I80" i="48"/>
  <c r="I115" i="48"/>
  <c r="G38" i="63"/>
  <c r="G109" i="63"/>
  <c r="I73" i="63"/>
  <c r="G73" i="63"/>
  <c r="I43" i="63"/>
  <c r="G43" i="63"/>
  <c r="E115" i="63"/>
  <c r="E116" i="63"/>
  <c r="I58" i="63"/>
  <c r="G58" i="63"/>
  <c r="I102" i="63"/>
  <c r="I80" i="65"/>
  <c r="G80" i="65"/>
  <c r="I86" i="63"/>
  <c r="G86" i="63"/>
  <c r="I70" i="63"/>
  <c r="G70" i="63"/>
  <c r="I55" i="63"/>
  <c r="G55" i="63"/>
  <c r="I97" i="48"/>
  <c r="E98" i="48"/>
  <c r="G45" i="63"/>
  <c r="G49" i="63"/>
  <c r="G67" i="63"/>
  <c r="I100" i="48"/>
  <c r="I69" i="48"/>
  <c r="I44" i="48"/>
  <c r="C44" i="61"/>
  <c r="C50" i="61"/>
  <c r="C33" i="60"/>
  <c r="C30" i="61"/>
  <c r="C42" i="61"/>
  <c r="C48" i="61"/>
  <c r="C27" i="61"/>
  <c r="C38" i="61"/>
  <c r="C45" i="61"/>
  <c r="C51" i="61"/>
  <c r="C40" i="61"/>
  <c r="C46" i="61"/>
  <c r="C41" i="61"/>
  <c r="C47" i="61"/>
  <c r="C43" i="61"/>
  <c r="C49" i="61"/>
  <c r="C26" i="61"/>
  <c r="C29" i="61"/>
  <c r="C28" i="61"/>
  <c r="I27" i="63"/>
  <c r="G27" i="63"/>
  <c r="I25" i="65"/>
  <c r="G25" i="65"/>
  <c r="G26" i="63"/>
  <c r="I26" i="63"/>
  <c r="I31" i="63"/>
  <c r="G31" i="63"/>
  <c r="C50" i="66"/>
  <c r="C50" i="65"/>
  <c r="C50" i="63"/>
  <c r="C57" i="63"/>
  <c r="C57" i="66"/>
  <c r="C57" i="65"/>
  <c r="C39" i="66"/>
  <c r="C39" i="65"/>
  <c r="C39" i="63"/>
  <c r="C87" i="66"/>
  <c r="C87" i="65"/>
  <c r="C87" i="63"/>
  <c r="C68" i="66"/>
  <c r="C68" i="65"/>
  <c r="C68" i="63"/>
  <c r="C43" i="65"/>
  <c r="C43" i="63"/>
  <c r="C43" i="66"/>
  <c r="C65" i="66"/>
  <c r="C65" i="65"/>
  <c r="C65" i="63"/>
  <c r="C55" i="65"/>
  <c r="C55" i="63"/>
  <c r="C55" i="66"/>
  <c r="C108" i="66"/>
  <c r="C108" i="65"/>
  <c r="C108" i="63"/>
  <c r="C85" i="65"/>
  <c r="C85" i="66"/>
  <c r="C85" i="63"/>
  <c r="C30" i="66"/>
  <c r="C30" i="65"/>
  <c r="C30" i="63"/>
  <c r="C45" i="65"/>
  <c r="C45" i="63"/>
  <c r="C45" i="66"/>
  <c r="C21" i="65"/>
  <c r="C21" i="66"/>
  <c r="C21" i="63"/>
  <c r="C96" i="66"/>
  <c r="C96" i="65"/>
  <c r="C96" i="63"/>
  <c r="C44" i="66"/>
  <c r="C44" i="65"/>
  <c r="C44" i="63"/>
  <c r="C47" i="66"/>
  <c r="C47" i="65"/>
  <c r="C47" i="63"/>
  <c r="C58" i="66"/>
  <c r="C58" i="65"/>
  <c r="C58" i="63"/>
  <c r="I25" i="63"/>
  <c r="G25" i="63"/>
  <c r="G34" i="63"/>
  <c r="I34" i="63"/>
  <c r="C93" i="66"/>
  <c r="C93" i="65"/>
  <c r="C93" i="63"/>
  <c r="C76" i="66"/>
  <c r="C76" i="65"/>
  <c r="C76" i="63"/>
  <c r="C51" i="65"/>
  <c r="C51" i="63"/>
  <c r="C51" i="66"/>
  <c r="C89" i="63"/>
  <c r="C89" i="65"/>
  <c r="C89" i="66"/>
  <c r="C28" i="63"/>
  <c r="C28" i="66"/>
  <c r="C28" i="65"/>
  <c r="C52" i="66"/>
  <c r="C52" i="65"/>
  <c r="C52" i="63"/>
  <c r="C67" i="65"/>
  <c r="C67" i="63"/>
  <c r="C67" i="66"/>
  <c r="C53" i="66"/>
  <c r="C53" i="65"/>
  <c r="C53" i="63"/>
  <c r="C34" i="65"/>
  <c r="C34" i="66"/>
  <c r="C34" i="63"/>
  <c r="C42" i="66"/>
  <c r="C42" i="65"/>
  <c r="C42" i="63"/>
  <c r="C71" i="66"/>
  <c r="C71" i="65"/>
  <c r="C71" i="63"/>
  <c r="C64" i="66"/>
  <c r="C64" i="65"/>
  <c r="C64" i="63"/>
  <c r="C86" i="65"/>
  <c r="C86" i="66"/>
  <c r="C86" i="63"/>
  <c r="C49" i="66"/>
  <c r="C49" i="65"/>
  <c r="C49" i="63"/>
  <c r="C29" i="63"/>
  <c r="C29" i="66"/>
  <c r="C29" i="65"/>
  <c r="G22" i="63"/>
  <c r="I22" i="63"/>
  <c r="I33" i="63"/>
  <c r="G33" i="63"/>
  <c r="I30" i="63"/>
  <c r="G30" i="63"/>
  <c r="G28" i="65"/>
  <c r="I28" i="65"/>
  <c r="C79" i="65"/>
  <c r="C79" i="63"/>
  <c r="C79" i="66"/>
  <c r="C60" i="66"/>
  <c r="C60" i="65"/>
  <c r="C60" i="63"/>
  <c r="C59" i="66"/>
  <c r="C59" i="65"/>
  <c r="C59" i="63"/>
  <c r="C41" i="66"/>
  <c r="C41" i="65"/>
  <c r="C41" i="63"/>
  <c r="C33" i="66"/>
  <c r="C33" i="65"/>
  <c r="C33" i="63"/>
  <c r="C98" i="63"/>
  <c r="C98" i="66"/>
  <c r="C98" i="65"/>
  <c r="C27" i="63"/>
  <c r="C27" i="65"/>
  <c r="C27" i="66"/>
  <c r="C114" i="66"/>
  <c r="C114" i="65"/>
  <c r="C114" i="63"/>
  <c r="C22" i="66"/>
  <c r="C22" i="65"/>
  <c r="C22" i="63"/>
  <c r="C66" i="66"/>
  <c r="C66" i="63"/>
  <c r="C66" i="65"/>
  <c r="C113" i="66"/>
  <c r="C113" i="65"/>
  <c r="C113" i="63"/>
  <c r="C31" i="66"/>
  <c r="C31" i="65"/>
  <c r="C31" i="63"/>
  <c r="C90" i="63"/>
  <c r="C90" i="66"/>
  <c r="C90" i="65"/>
  <c r="C115" i="65"/>
  <c r="C115" i="66"/>
  <c r="C115" i="63"/>
  <c r="C112" i="66"/>
  <c r="C112" i="65"/>
  <c r="C112" i="63"/>
  <c r="I26" i="48"/>
  <c r="E105" i="63"/>
  <c r="E106" i="63"/>
  <c r="G29" i="63"/>
  <c r="I29" i="63"/>
  <c r="C23" i="63"/>
  <c r="C23" i="66"/>
  <c r="C23" i="65"/>
  <c r="C103" i="65"/>
  <c r="C103" i="66"/>
  <c r="C103" i="63"/>
  <c r="C36" i="66"/>
  <c r="C36" i="65"/>
  <c r="C36" i="63"/>
  <c r="C97" i="63"/>
  <c r="C97" i="65"/>
  <c r="C97" i="66"/>
  <c r="C101" i="66"/>
  <c r="C101" i="65"/>
  <c r="C101" i="63"/>
  <c r="C24" i="65"/>
  <c r="C24" i="63"/>
  <c r="C24" i="66"/>
  <c r="C107" i="66"/>
  <c r="C107" i="65"/>
  <c r="C107" i="63"/>
  <c r="C70" i="66"/>
  <c r="C70" i="65"/>
  <c r="C70" i="63"/>
  <c r="I35" i="63"/>
  <c r="G35" i="63"/>
  <c r="G29" i="66"/>
  <c r="I29" i="66"/>
  <c r="C106" i="63"/>
  <c r="C105" i="63"/>
  <c r="C106" i="66"/>
  <c r="C105" i="66"/>
  <c r="C105" i="65"/>
  <c r="C106" i="65"/>
  <c r="C35" i="65"/>
  <c r="C35" i="63"/>
  <c r="C35" i="66"/>
  <c r="C109" i="66"/>
  <c r="C109" i="65"/>
  <c r="C109" i="63"/>
  <c r="C88" i="63"/>
  <c r="C88" i="65"/>
  <c r="C88" i="66"/>
  <c r="C110" i="66"/>
  <c r="C110" i="65"/>
  <c r="C110" i="63"/>
  <c r="C46" i="65"/>
  <c r="C46" i="63"/>
  <c r="C46" i="66"/>
  <c r="C99" i="66"/>
  <c r="C99" i="65"/>
  <c r="C99" i="63"/>
  <c r="C80" i="66"/>
  <c r="C80" i="65"/>
  <c r="C80" i="63"/>
  <c r="C37" i="63"/>
  <c r="C37" i="66"/>
  <c r="C37" i="65"/>
  <c r="C26" i="63"/>
  <c r="C26" i="66"/>
  <c r="C26" i="65"/>
  <c r="C94" i="66"/>
  <c r="C94" i="65"/>
  <c r="C94" i="63"/>
  <c r="C54" i="63"/>
  <c r="C54" i="65"/>
  <c r="C54" i="66"/>
  <c r="C100" i="63"/>
  <c r="C100" i="66"/>
  <c r="C100" i="65"/>
  <c r="C25" i="66"/>
  <c r="C25" i="65"/>
  <c r="C25" i="63"/>
  <c r="C78" i="66"/>
  <c r="C78" i="65"/>
  <c r="C78" i="63"/>
  <c r="I34" i="48"/>
  <c r="I28" i="63"/>
  <c r="G28" i="63"/>
  <c r="I24" i="48"/>
  <c r="I21" i="48"/>
  <c r="I23" i="63"/>
  <c r="G23" i="63"/>
  <c r="G29" i="65"/>
  <c r="I29" i="65"/>
  <c r="C77" i="66"/>
  <c r="C77" i="65"/>
  <c r="C77" i="63"/>
  <c r="C95" i="66"/>
  <c r="C95" i="65"/>
  <c r="C95" i="63"/>
  <c r="C75" i="66"/>
  <c r="C75" i="65"/>
  <c r="C75" i="63"/>
  <c r="C40" i="66"/>
  <c r="C40" i="65"/>
  <c r="C40" i="63"/>
  <c r="C69" i="66"/>
  <c r="C69" i="65"/>
  <c r="C69" i="63"/>
  <c r="C102" i="66"/>
  <c r="C102" i="65"/>
  <c r="C102" i="63"/>
  <c r="C111" i="65"/>
  <c r="C111" i="63"/>
  <c r="C111" i="66"/>
  <c r="C72" i="63"/>
  <c r="C72" i="66"/>
  <c r="C72" i="65"/>
  <c r="C91" i="66"/>
  <c r="C91" i="65"/>
  <c r="C91" i="63"/>
  <c r="C48" i="63"/>
  <c r="C48" i="65"/>
  <c r="C48" i="66"/>
  <c r="C56" i="66"/>
  <c r="C56" i="63"/>
  <c r="C56" i="65"/>
  <c r="C38" i="66"/>
  <c r="C38" i="65"/>
  <c r="C38" i="63"/>
  <c r="C92" i="66"/>
  <c r="C92" i="65"/>
  <c r="C92" i="63"/>
  <c r="C73" i="66"/>
  <c r="C73" i="65"/>
  <c r="C73" i="63"/>
  <c r="I27" i="48"/>
  <c r="E86" i="65"/>
  <c r="E71" i="63"/>
  <c r="E56" i="65"/>
  <c r="E114" i="65"/>
  <c r="E54" i="65"/>
  <c r="E166" i="62"/>
  <c r="E45" i="65"/>
  <c r="E65" i="63"/>
  <c r="E70" i="65"/>
  <c r="E29" i="61"/>
  <c r="E60" i="65"/>
  <c r="E56" i="66"/>
  <c r="E66" i="65"/>
  <c r="E59" i="66"/>
  <c r="E96" i="65"/>
  <c r="E100" i="65"/>
  <c r="E69" i="65"/>
  <c r="E47" i="65"/>
  <c r="E59" i="65"/>
  <c r="E44" i="65"/>
  <c r="E55" i="65"/>
  <c r="E21" i="63"/>
  <c r="E21" i="65"/>
  <c r="E41" i="66"/>
  <c r="E113" i="65"/>
  <c r="E41" i="65"/>
  <c r="E71" i="65"/>
  <c r="E22" i="65"/>
  <c r="E48" i="65"/>
  <c r="E15" i="55"/>
  <c r="E38" i="60"/>
  <c r="E89" i="65"/>
  <c r="E72" i="66"/>
  <c r="E101" i="65"/>
  <c r="E55" i="66"/>
  <c r="E20" i="56"/>
  <c r="E110" i="65"/>
  <c r="E18" i="55"/>
  <c r="E78" i="65"/>
  <c r="E43" i="65"/>
  <c r="E23" i="65"/>
  <c r="E33" i="65"/>
  <c r="E78" i="66"/>
  <c r="E26" i="62"/>
  <c r="E117" i="65"/>
  <c r="E54" i="66"/>
  <c r="E33" i="66"/>
  <c r="E108" i="65"/>
  <c r="E72" i="65"/>
  <c r="E68" i="65"/>
  <c r="E68" i="66"/>
  <c r="E30" i="65"/>
  <c r="E24" i="63"/>
  <c r="E44" i="66"/>
  <c r="E75" i="65"/>
  <c r="E75" i="66"/>
  <c r="E22" i="66"/>
  <c r="E93" i="65"/>
  <c r="E30" i="61"/>
  <c r="I233" i="62"/>
  <c r="E43" i="66"/>
  <c r="E51" i="63"/>
  <c r="E51" i="65"/>
  <c r="E111" i="66"/>
  <c r="E57" i="65"/>
  <c r="E53" i="65"/>
  <c r="E64" i="63"/>
  <c r="E64" i="65"/>
  <c r="E79" i="63"/>
  <c r="E79" i="65"/>
  <c r="E35" i="65"/>
  <c r="E90" i="65"/>
  <c r="E60" i="66"/>
  <c r="E73" i="65"/>
  <c r="E76" i="65"/>
  <c r="E76" i="66"/>
  <c r="E31" i="65"/>
  <c r="E52" i="63"/>
  <c r="E52" i="65"/>
  <c r="E77" i="63"/>
  <c r="E77" i="65"/>
  <c r="E87" i="63"/>
  <c r="E40" i="65"/>
  <c r="E36" i="56"/>
  <c r="E66" i="66"/>
  <c r="E23" i="66"/>
  <c r="E49" i="65"/>
  <c r="E94" i="66"/>
  <c r="E38" i="66"/>
  <c r="E38" i="65"/>
  <c r="E23" i="61"/>
  <c r="E27" i="65"/>
  <c r="I21" i="69" l="1"/>
  <c r="G21" i="69"/>
  <c r="G25" i="69"/>
  <c r="I25" i="69"/>
  <c r="E92" i="65"/>
  <c r="I92" i="65" s="1"/>
  <c r="G18" i="55"/>
  <c r="I18" i="55"/>
  <c r="G24" i="69"/>
  <c r="I24" i="69"/>
  <c r="I29" i="69"/>
  <c r="G29" i="69"/>
  <c r="I28" i="69"/>
  <c r="G28" i="69"/>
  <c r="G15" i="55"/>
  <c r="I15" i="55"/>
  <c r="I23" i="69"/>
  <c r="G23" i="69"/>
  <c r="I26" i="62"/>
  <c r="G26" i="62"/>
  <c r="E111" i="65"/>
  <c r="E94" i="65"/>
  <c r="G94" i="65" s="1"/>
  <c r="E24" i="62"/>
  <c r="E114" i="66"/>
  <c r="I166" i="62"/>
  <c r="G166" i="62"/>
  <c r="I36" i="56"/>
  <c r="G36" i="56"/>
  <c r="I20" i="56"/>
  <c r="G20" i="56"/>
  <c r="I65" i="48"/>
  <c r="I71" i="48"/>
  <c r="I38" i="60"/>
  <c r="G38" i="60"/>
  <c r="I46" i="48"/>
  <c r="I86" i="65"/>
  <c r="G86" i="65"/>
  <c r="I89" i="65"/>
  <c r="G89" i="65"/>
  <c r="I113" i="65"/>
  <c r="G113" i="65"/>
  <c r="I96" i="65"/>
  <c r="G96" i="65"/>
  <c r="I38" i="65"/>
  <c r="G38" i="65"/>
  <c r="I66" i="66"/>
  <c r="G66" i="66"/>
  <c r="I52" i="65"/>
  <c r="G52" i="65"/>
  <c r="I76" i="66"/>
  <c r="G76" i="66"/>
  <c r="I79" i="63"/>
  <c r="G79" i="63"/>
  <c r="I68" i="65"/>
  <c r="G68" i="65"/>
  <c r="I78" i="66"/>
  <c r="G78" i="66"/>
  <c r="I71" i="65"/>
  <c r="G71" i="65"/>
  <c r="I55" i="65"/>
  <c r="G55" i="65"/>
  <c r="E108" i="66"/>
  <c r="I66" i="65"/>
  <c r="G66" i="65"/>
  <c r="I65" i="63"/>
  <c r="G65" i="63"/>
  <c r="E99" i="65"/>
  <c r="I38" i="66"/>
  <c r="G38" i="66"/>
  <c r="I94" i="66"/>
  <c r="G94" i="66"/>
  <c r="I40" i="65"/>
  <c r="G40" i="65"/>
  <c r="I52" i="63"/>
  <c r="G52" i="63"/>
  <c r="I76" i="65"/>
  <c r="G76" i="65"/>
  <c r="I64" i="65"/>
  <c r="G64" i="65"/>
  <c r="I53" i="65"/>
  <c r="G53" i="65"/>
  <c r="E93" i="66"/>
  <c r="I72" i="65"/>
  <c r="G72" i="65"/>
  <c r="I54" i="66"/>
  <c r="G54" i="66"/>
  <c r="E91" i="65"/>
  <c r="I44" i="65"/>
  <c r="G44" i="65"/>
  <c r="I47" i="65"/>
  <c r="G47" i="65"/>
  <c r="I114" i="65"/>
  <c r="G114" i="65"/>
  <c r="I71" i="63"/>
  <c r="G71" i="63"/>
  <c r="E88" i="63"/>
  <c r="I95" i="63"/>
  <c r="G95" i="63"/>
  <c r="I97" i="63"/>
  <c r="G97" i="63"/>
  <c r="E115" i="65"/>
  <c r="E116" i="65"/>
  <c r="I77" i="65"/>
  <c r="G77" i="65"/>
  <c r="E90" i="66"/>
  <c r="I64" i="63"/>
  <c r="G64" i="63"/>
  <c r="I111" i="66"/>
  <c r="G111" i="66"/>
  <c r="I51" i="65"/>
  <c r="G51" i="65"/>
  <c r="I93" i="65"/>
  <c r="G93" i="65"/>
  <c r="I75" i="66"/>
  <c r="G75" i="66"/>
  <c r="G92" i="65"/>
  <c r="I78" i="65"/>
  <c r="G78" i="65"/>
  <c r="I72" i="66"/>
  <c r="G72" i="66"/>
  <c r="E99" i="66"/>
  <c r="I59" i="66"/>
  <c r="G59" i="66"/>
  <c r="I56" i="66"/>
  <c r="G56" i="66"/>
  <c r="I56" i="65"/>
  <c r="G56" i="65"/>
  <c r="G98" i="48"/>
  <c r="I98" i="48"/>
  <c r="I98" i="63"/>
  <c r="G98" i="63"/>
  <c r="I93" i="63"/>
  <c r="G93" i="63"/>
  <c r="I77" i="63"/>
  <c r="G77" i="63"/>
  <c r="I90" i="65"/>
  <c r="G90" i="65"/>
  <c r="I51" i="63"/>
  <c r="G51" i="63"/>
  <c r="I75" i="65"/>
  <c r="G75" i="65"/>
  <c r="I41" i="65"/>
  <c r="G41" i="65"/>
  <c r="I41" i="66"/>
  <c r="G41" i="66"/>
  <c r="I59" i="65"/>
  <c r="G59" i="65"/>
  <c r="I69" i="65"/>
  <c r="G69" i="65"/>
  <c r="E107" i="65"/>
  <c r="E102" i="65"/>
  <c r="G88" i="48"/>
  <c r="E128" i="48" s="1"/>
  <c r="I88" i="48"/>
  <c r="I112" i="63"/>
  <c r="G112" i="63"/>
  <c r="I49" i="65"/>
  <c r="G49" i="65"/>
  <c r="I114" i="66"/>
  <c r="G114" i="66"/>
  <c r="I73" i="65"/>
  <c r="G73" i="65"/>
  <c r="I43" i="66"/>
  <c r="G43" i="66"/>
  <c r="I68" i="66"/>
  <c r="G68" i="66"/>
  <c r="I108" i="65"/>
  <c r="G108" i="65"/>
  <c r="G117" i="65"/>
  <c r="I117" i="65"/>
  <c r="E110" i="66"/>
  <c r="I110" i="65"/>
  <c r="G110" i="65"/>
  <c r="I55" i="66"/>
  <c r="G55" i="66"/>
  <c r="I101" i="65"/>
  <c r="G101" i="65"/>
  <c r="I48" i="65"/>
  <c r="G48" i="65"/>
  <c r="E112" i="65"/>
  <c r="E112" i="66"/>
  <c r="I100" i="65"/>
  <c r="G100" i="65"/>
  <c r="I70" i="65"/>
  <c r="G70" i="65"/>
  <c r="E103" i="65"/>
  <c r="E104" i="65"/>
  <c r="I106" i="63"/>
  <c r="G106" i="63"/>
  <c r="G116" i="63"/>
  <c r="I116" i="63"/>
  <c r="E109" i="65"/>
  <c r="I91" i="63"/>
  <c r="G91" i="63"/>
  <c r="I114" i="63"/>
  <c r="G114" i="63"/>
  <c r="I104" i="63"/>
  <c r="G104" i="63"/>
  <c r="I87" i="63"/>
  <c r="G87" i="63"/>
  <c r="I60" i="66"/>
  <c r="G60" i="66"/>
  <c r="I79" i="65"/>
  <c r="G79" i="65"/>
  <c r="I57" i="65"/>
  <c r="G57" i="65"/>
  <c r="I44" i="66"/>
  <c r="G44" i="66"/>
  <c r="I43" i="65"/>
  <c r="G43" i="65"/>
  <c r="I111" i="65"/>
  <c r="G111" i="65"/>
  <c r="E95" i="65"/>
  <c r="I60" i="65"/>
  <c r="G60" i="65"/>
  <c r="I45" i="65"/>
  <c r="G45" i="65"/>
  <c r="I54" i="65"/>
  <c r="G54" i="65"/>
  <c r="I105" i="63"/>
  <c r="G105" i="63"/>
  <c r="I115" i="63"/>
  <c r="G115" i="63"/>
  <c r="I110" i="63"/>
  <c r="G110" i="63"/>
  <c r="I100" i="63"/>
  <c r="G100" i="63"/>
  <c r="I90" i="63"/>
  <c r="G90" i="63"/>
  <c r="I103" i="63"/>
  <c r="G103" i="63"/>
  <c r="I23" i="61"/>
  <c r="G23" i="61"/>
  <c r="I29" i="61"/>
  <c r="G29" i="61"/>
  <c r="I30" i="61"/>
  <c r="G30" i="61"/>
  <c r="E46" i="61"/>
  <c r="G46" i="61" s="1"/>
  <c r="E38" i="56"/>
  <c r="I22" i="66"/>
  <c r="G22" i="66"/>
  <c r="I30" i="65"/>
  <c r="G30" i="65"/>
  <c r="E116" i="62"/>
  <c r="E61" i="62"/>
  <c r="G22" i="65"/>
  <c r="I22" i="65"/>
  <c r="E24" i="61"/>
  <c r="E113" i="66"/>
  <c r="E85" i="66"/>
  <c r="I27" i="65"/>
  <c r="G27" i="65"/>
  <c r="G23" i="66"/>
  <c r="I23" i="66"/>
  <c r="E109" i="66"/>
  <c r="I35" i="65"/>
  <c r="G35" i="65"/>
  <c r="E23" i="53"/>
  <c r="E105" i="65"/>
  <c r="E106" i="65"/>
  <c r="E39" i="66"/>
  <c r="E24" i="53"/>
  <c r="I24" i="63"/>
  <c r="G24" i="63"/>
  <c r="E17" i="47"/>
  <c r="G21" i="65"/>
  <c r="I21" i="65"/>
  <c r="E29" i="53"/>
  <c r="E86" i="66"/>
  <c r="I63" i="60"/>
  <c r="E24" i="56"/>
  <c r="G33" i="66"/>
  <c r="I33" i="66"/>
  <c r="E28" i="53"/>
  <c r="I23" i="65"/>
  <c r="G23" i="65"/>
  <c r="E33" i="56"/>
  <c r="E97" i="62"/>
  <c r="G21" i="63"/>
  <c r="I21" i="63"/>
  <c r="E30" i="56"/>
  <c r="E190" i="62"/>
  <c r="E37" i="66"/>
  <c r="E80" i="66"/>
  <c r="E26" i="61"/>
  <c r="E89" i="66"/>
  <c r="E67" i="66"/>
  <c r="I31" i="65"/>
  <c r="G31" i="65"/>
  <c r="E104" i="62"/>
  <c r="G33" i="65"/>
  <c r="I33" i="65"/>
  <c r="E50" i="66"/>
  <c r="E28" i="66"/>
  <c r="E21" i="53"/>
  <c r="E36" i="66"/>
  <c r="E25" i="53"/>
  <c r="E189" i="62"/>
  <c r="E52" i="61"/>
  <c r="E92" i="66"/>
  <c r="E172" i="62"/>
  <c r="E36" i="62"/>
  <c r="E107" i="66"/>
  <c r="E92" i="62"/>
  <c r="E118" i="62"/>
  <c r="E18" i="47"/>
  <c r="E97" i="65"/>
  <c r="E62" i="62"/>
  <c r="E91" i="62"/>
  <c r="E65" i="65"/>
  <c r="E108" i="62"/>
  <c r="E26" i="65"/>
  <c r="E102" i="62"/>
  <c r="E87" i="65"/>
  <c r="E24" i="65"/>
  <c r="E26" i="66"/>
  <c r="E121" i="62"/>
  <c r="E20" i="55"/>
  <c r="E78" i="62"/>
  <c r="E25" i="62"/>
  <c r="E65" i="62"/>
  <c r="E34" i="65"/>
  <c r="E116" i="66"/>
  <c r="E46" i="65"/>
  <c r="E39" i="61"/>
  <c r="E32" i="61"/>
  <c r="E48" i="61"/>
  <c r="E115" i="62"/>
  <c r="E196" i="62"/>
  <c r="E46" i="60"/>
  <c r="E109" i="62"/>
  <c r="E50" i="62"/>
  <c r="E218" i="62"/>
  <c r="E182" i="62"/>
  <c r="E216" i="62"/>
  <c r="E17" i="55"/>
  <c r="E112" i="62"/>
  <c r="E79" i="62"/>
  <c r="E21" i="55"/>
  <c r="E101" i="66"/>
  <c r="E40" i="61"/>
  <c r="E28" i="61"/>
  <c r="E204" i="62"/>
  <c r="E130" i="62"/>
  <c r="E104" i="66"/>
  <c r="E215" i="62"/>
  <c r="E162" i="62"/>
  <c r="E48" i="60"/>
  <c r="I69" i="60"/>
  <c r="E56" i="60"/>
  <c r="E200" i="62"/>
  <c r="E148" i="62"/>
  <c r="E184" i="62"/>
  <c r="E53" i="60"/>
  <c r="E225" i="62"/>
  <c r="E126" i="62"/>
  <c r="E64" i="62"/>
  <c r="E193" i="62"/>
  <c r="E84" i="62"/>
  <c r="I62" i="60"/>
  <c r="E81" i="62"/>
  <c r="I67" i="60"/>
  <c r="I73" i="60"/>
  <c r="I61" i="60"/>
  <c r="E21" i="56"/>
  <c r="E194" i="62" l="1"/>
  <c r="I194" i="62" s="1"/>
  <c r="G30" i="69"/>
  <c r="I30" i="69"/>
  <c r="G19" i="69"/>
  <c r="I19" i="69"/>
  <c r="I127" i="48"/>
  <c r="E224" i="62"/>
  <c r="G21" i="55"/>
  <c r="I21" i="55"/>
  <c r="G17" i="55"/>
  <c r="I17" i="55"/>
  <c r="I27" i="69"/>
  <c r="G27" i="69"/>
  <c r="I32" i="69"/>
  <c r="G32" i="69"/>
  <c r="G20" i="55"/>
  <c r="I20" i="55"/>
  <c r="I20" i="69"/>
  <c r="G20" i="69"/>
  <c r="E31" i="53"/>
  <c r="I31" i="53" s="1"/>
  <c r="I62" i="62"/>
  <c r="G62" i="62"/>
  <c r="I108" i="62"/>
  <c r="G108" i="62"/>
  <c r="I65" i="62"/>
  <c r="G65" i="62"/>
  <c r="I218" i="62"/>
  <c r="G218" i="62"/>
  <c r="I196" i="62"/>
  <c r="G196" i="62"/>
  <c r="I204" i="62"/>
  <c r="G204" i="62"/>
  <c r="I172" i="62"/>
  <c r="G172" i="62"/>
  <c r="I102" i="62"/>
  <c r="G102" i="62"/>
  <c r="I215" i="62"/>
  <c r="G215" i="62"/>
  <c r="I109" i="62"/>
  <c r="G109" i="62"/>
  <c r="I78" i="62"/>
  <c r="G78" i="62"/>
  <c r="I92" i="62"/>
  <c r="G92" i="62"/>
  <c r="I84" i="62"/>
  <c r="G84" i="62"/>
  <c r="I126" i="62"/>
  <c r="G126" i="62"/>
  <c r="I81" i="62"/>
  <c r="G81" i="62"/>
  <c r="I148" i="62"/>
  <c r="G148" i="62"/>
  <c r="E163" i="62"/>
  <c r="E156" i="62"/>
  <c r="I112" i="62"/>
  <c r="G112" i="62"/>
  <c r="I118" i="62"/>
  <c r="G118" i="62"/>
  <c r="I36" i="62"/>
  <c r="G36" i="62"/>
  <c r="E129" i="48"/>
  <c r="E130" i="48" s="1"/>
  <c r="I190" i="62"/>
  <c r="G190" i="62"/>
  <c r="I116" i="62"/>
  <c r="G116" i="62"/>
  <c r="I94" i="65"/>
  <c r="I24" i="62"/>
  <c r="G24" i="62"/>
  <c r="I64" i="62"/>
  <c r="G64" i="62"/>
  <c r="I225" i="62"/>
  <c r="G225" i="62"/>
  <c r="I200" i="62"/>
  <c r="G200" i="62"/>
  <c r="I121" i="62"/>
  <c r="G121" i="62"/>
  <c r="E30" i="62"/>
  <c r="I216" i="62"/>
  <c r="G216" i="62"/>
  <c r="I193" i="62"/>
  <c r="G193" i="62"/>
  <c r="E30" i="60"/>
  <c r="I30" i="60" s="1"/>
  <c r="I25" i="62"/>
  <c r="G25" i="62"/>
  <c r="I91" i="62"/>
  <c r="G91" i="62"/>
  <c r="I61" i="62"/>
  <c r="G61" i="62"/>
  <c r="E60" i="62"/>
  <c r="I130" i="62"/>
  <c r="G130" i="62"/>
  <c r="I162" i="62"/>
  <c r="G162" i="62"/>
  <c r="I79" i="62"/>
  <c r="G79" i="62"/>
  <c r="I182" i="62"/>
  <c r="G182" i="62"/>
  <c r="I104" i="62"/>
  <c r="G104" i="62"/>
  <c r="E33" i="62"/>
  <c r="E27" i="62"/>
  <c r="I50" i="62"/>
  <c r="G50" i="62"/>
  <c r="I224" i="62"/>
  <c r="G224" i="62"/>
  <c r="I189" i="62"/>
  <c r="G189" i="62"/>
  <c r="I184" i="62"/>
  <c r="G184" i="62"/>
  <c r="E125" i="62"/>
  <c r="E119" i="62"/>
  <c r="E37" i="62"/>
  <c r="E57" i="62"/>
  <c r="E51" i="62"/>
  <c r="I115" i="62"/>
  <c r="G115" i="62"/>
  <c r="E120" i="62"/>
  <c r="I97" i="62"/>
  <c r="G97" i="62"/>
  <c r="E174" i="62"/>
  <c r="E80" i="62"/>
  <c r="E111" i="62"/>
  <c r="I24" i="56"/>
  <c r="G24" i="56"/>
  <c r="I33" i="56"/>
  <c r="G33" i="56"/>
  <c r="I21" i="56"/>
  <c r="G21" i="56"/>
  <c r="I30" i="56"/>
  <c r="G30" i="56"/>
  <c r="I38" i="56"/>
  <c r="G38" i="56"/>
  <c r="I25" i="53"/>
  <c r="G25" i="53"/>
  <c r="I29" i="53"/>
  <c r="G29" i="53"/>
  <c r="E57" i="60"/>
  <c r="G57" i="60" s="1"/>
  <c r="I21" i="53"/>
  <c r="G21" i="53"/>
  <c r="I23" i="53"/>
  <c r="G23" i="53"/>
  <c r="G31" i="53"/>
  <c r="I28" i="53"/>
  <c r="G28" i="53"/>
  <c r="I24" i="53"/>
  <c r="G24" i="53"/>
  <c r="I56" i="60"/>
  <c r="G56" i="60"/>
  <c r="I48" i="60"/>
  <c r="G48" i="60"/>
  <c r="I53" i="60"/>
  <c r="G53" i="60"/>
  <c r="I46" i="60"/>
  <c r="G46" i="60"/>
  <c r="I107" i="66"/>
  <c r="G107" i="66"/>
  <c r="I92" i="66"/>
  <c r="G92" i="66"/>
  <c r="I101" i="66"/>
  <c r="G101" i="66"/>
  <c r="I104" i="66"/>
  <c r="G104" i="66"/>
  <c r="E97" i="66"/>
  <c r="E117" i="66"/>
  <c r="I105" i="65"/>
  <c r="G105" i="65"/>
  <c r="I107" i="65"/>
  <c r="G107" i="65"/>
  <c r="I99" i="66"/>
  <c r="G99" i="66"/>
  <c r="I91" i="65"/>
  <c r="G91" i="65"/>
  <c r="I87" i="65"/>
  <c r="G87" i="65"/>
  <c r="I65" i="65"/>
  <c r="G65" i="65"/>
  <c r="I80" i="66"/>
  <c r="G80" i="66"/>
  <c r="I39" i="66"/>
  <c r="G39" i="66"/>
  <c r="E88" i="65"/>
  <c r="I108" i="66"/>
  <c r="G108" i="66"/>
  <c r="I97" i="65"/>
  <c r="G97" i="65"/>
  <c r="I36" i="66"/>
  <c r="G36" i="66"/>
  <c r="I50" i="66"/>
  <c r="G50" i="66"/>
  <c r="I109" i="66"/>
  <c r="G109" i="66"/>
  <c r="I85" i="66"/>
  <c r="G85" i="66"/>
  <c r="I110" i="66"/>
  <c r="G110" i="66"/>
  <c r="G116" i="65"/>
  <c r="I116" i="65"/>
  <c r="I88" i="63"/>
  <c r="G88" i="63"/>
  <c r="I99" i="65"/>
  <c r="G99" i="65"/>
  <c r="I46" i="65"/>
  <c r="G46" i="65"/>
  <c r="I67" i="66"/>
  <c r="G67" i="66"/>
  <c r="I86" i="66"/>
  <c r="G86" i="66"/>
  <c r="I104" i="65"/>
  <c r="G104" i="65"/>
  <c r="I112" i="66"/>
  <c r="G112" i="66"/>
  <c r="E98" i="66"/>
  <c r="I115" i="65"/>
  <c r="G115" i="65"/>
  <c r="I113" i="66"/>
  <c r="G113" i="66"/>
  <c r="I109" i="65"/>
  <c r="G109" i="65"/>
  <c r="I103" i="65"/>
  <c r="G103" i="65"/>
  <c r="I112" i="65"/>
  <c r="G112" i="65"/>
  <c r="E98" i="65"/>
  <c r="G116" i="66"/>
  <c r="I116" i="66"/>
  <c r="I89" i="66"/>
  <c r="G89" i="66"/>
  <c r="I37" i="66"/>
  <c r="G37" i="66"/>
  <c r="I106" i="65"/>
  <c r="G106" i="65"/>
  <c r="I95" i="65"/>
  <c r="G95" i="65"/>
  <c r="I102" i="65"/>
  <c r="G102" i="65"/>
  <c r="I90" i="66"/>
  <c r="G90" i="66"/>
  <c r="I93" i="66"/>
  <c r="G93" i="66"/>
  <c r="I32" i="61"/>
  <c r="G32" i="61"/>
  <c r="I28" i="61"/>
  <c r="G28" i="61"/>
  <c r="I40" i="61"/>
  <c r="G40" i="61"/>
  <c r="G52" i="61"/>
  <c r="I52" i="61"/>
  <c r="I17" i="47"/>
  <c r="G17" i="47"/>
  <c r="E45" i="61"/>
  <c r="E51" i="61"/>
  <c r="G48" i="61"/>
  <c r="I48" i="61"/>
  <c r="I26" i="61"/>
  <c r="G26" i="61"/>
  <c r="I24" i="61"/>
  <c r="G24" i="61"/>
  <c r="I39" i="61"/>
  <c r="G39" i="61"/>
  <c r="I18" i="47"/>
  <c r="G18" i="47"/>
  <c r="E44" i="61"/>
  <c r="E50" i="61"/>
  <c r="E128" i="63"/>
  <c r="E49" i="66"/>
  <c r="E19" i="53"/>
  <c r="E165" i="62"/>
  <c r="E40" i="60"/>
  <c r="E77" i="66"/>
  <c r="E149" i="62"/>
  <c r="E54" i="60"/>
  <c r="E55" i="60"/>
  <c r="E27" i="61"/>
  <c r="E33" i="61"/>
  <c r="I71" i="60"/>
  <c r="E31" i="62"/>
  <c r="E198" i="62"/>
  <c r="E158" i="62"/>
  <c r="E102" i="66"/>
  <c r="E113" i="62"/>
  <c r="E57" i="66"/>
  <c r="E66" i="62"/>
  <c r="E71" i="62"/>
  <c r="E199" i="62"/>
  <c r="E28" i="60"/>
  <c r="E31" i="66"/>
  <c r="E27" i="66"/>
  <c r="E19" i="56"/>
  <c r="E96" i="66"/>
  <c r="E103" i="66"/>
  <c r="E39" i="62"/>
  <c r="E79" i="66"/>
  <c r="E27" i="56"/>
  <c r="E34" i="61"/>
  <c r="E30" i="66"/>
  <c r="E70" i="62"/>
  <c r="E51" i="60"/>
  <c r="E100" i="62"/>
  <c r="E88" i="62"/>
  <c r="I74" i="60"/>
  <c r="I65" i="60"/>
  <c r="E29" i="60"/>
  <c r="E217" i="62"/>
  <c r="E188" i="62"/>
  <c r="E202" i="62"/>
  <c r="E47" i="66"/>
  <c r="E25" i="56"/>
  <c r="E160" i="62"/>
  <c r="E63" i="62"/>
  <c r="E101" i="62"/>
  <c r="E155" i="62"/>
  <c r="E179" i="62"/>
  <c r="E21" i="66"/>
  <c r="E173" i="62"/>
  <c r="E31" i="56"/>
  <c r="E95" i="62"/>
  <c r="E22" i="56"/>
  <c r="E35" i="56"/>
  <c r="E26" i="56"/>
  <c r="E52" i="60"/>
  <c r="E207" i="62"/>
  <c r="E171" i="62"/>
  <c r="E45" i="66"/>
  <c r="E53" i="66"/>
  <c r="E191" i="62"/>
  <c r="E167" i="62"/>
  <c r="E214" i="62"/>
  <c r="E175" i="62"/>
  <c r="E18" i="60"/>
  <c r="E220" i="62"/>
  <c r="E122" i="62"/>
  <c r="E31" i="60"/>
  <c r="E42" i="61"/>
  <c r="E94" i="62"/>
  <c r="E197" i="62"/>
  <c r="I34" i="65"/>
  <c r="G34" i="65"/>
  <c r="E90" i="62"/>
  <c r="E59" i="60"/>
  <c r="E58" i="60"/>
  <c r="E164" i="62"/>
  <c r="I24" i="65"/>
  <c r="G24" i="65"/>
  <c r="E58" i="66"/>
  <c r="E181" i="62"/>
  <c r="I26" i="65"/>
  <c r="G26" i="65"/>
  <c r="E153" i="62"/>
  <c r="E95" i="66"/>
  <c r="E141" i="62"/>
  <c r="E27" i="53"/>
  <c r="E70" i="66"/>
  <c r="E151" i="62"/>
  <c r="I66" i="60"/>
  <c r="E186" i="62"/>
  <c r="E206" i="62"/>
  <c r="E123" i="62"/>
  <c r="E24" i="60"/>
  <c r="E103" i="62"/>
  <c r="I130" i="48"/>
  <c r="I131" i="48" s="1"/>
  <c r="I133" i="48" s="1"/>
  <c r="I127" i="63"/>
  <c r="E129" i="63"/>
  <c r="E45" i="62"/>
  <c r="E73" i="66"/>
  <c r="E35" i="61"/>
  <c r="E28" i="56"/>
  <c r="E51" i="66"/>
  <c r="E34" i="56"/>
  <c r="E100" i="66"/>
  <c r="E209" i="62"/>
  <c r="E201" i="62"/>
  <c r="E115" i="66"/>
  <c r="E37" i="61"/>
  <c r="E32" i="53"/>
  <c r="E82" i="62"/>
  <c r="E48" i="66"/>
  <c r="E107" i="62"/>
  <c r="E131" i="62"/>
  <c r="E23" i="56"/>
  <c r="E40" i="66"/>
  <c r="E46" i="62"/>
  <c r="E56" i="62"/>
  <c r="E230" i="62"/>
  <c r="E180" i="62"/>
  <c r="E71" i="66"/>
  <c r="E93" i="62"/>
  <c r="I232" i="62"/>
  <c r="E213" i="62"/>
  <c r="E106" i="62"/>
  <c r="E203" i="62"/>
  <c r="E210" i="62"/>
  <c r="E25" i="61"/>
  <c r="E187" i="62"/>
  <c r="E86" i="62"/>
  <c r="E37" i="56"/>
  <c r="E89" i="62"/>
  <c r="E114" i="62"/>
  <c r="E60" i="60"/>
  <c r="I70" i="60"/>
  <c r="E25" i="66"/>
  <c r="E183" i="62"/>
  <c r="G26" i="66"/>
  <c r="I26" i="66"/>
  <c r="E69" i="66"/>
  <c r="E74" i="62"/>
  <c r="E169" i="62"/>
  <c r="E133" i="62"/>
  <c r="E212" i="62"/>
  <c r="E75" i="62"/>
  <c r="I72" i="60"/>
  <c r="E96" i="62"/>
  <c r="E20" i="53"/>
  <c r="E50" i="60"/>
  <c r="E43" i="60"/>
  <c r="E221" i="62"/>
  <c r="E35" i="66"/>
  <c r="E64" i="66"/>
  <c r="E144" i="62"/>
  <c r="E32" i="56"/>
  <c r="E99" i="62"/>
  <c r="I46" i="61"/>
  <c r="E222" i="62"/>
  <c r="E47" i="60"/>
  <c r="E38" i="61"/>
  <c r="E110" i="62"/>
  <c r="E69" i="62"/>
  <c r="I68" i="60"/>
  <c r="E127" i="62"/>
  <c r="E157" i="62"/>
  <c r="E85" i="62"/>
  <c r="E35" i="60"/>
  <c r="E208" i="62"/>
  <c r="I64" i="60"/>
  <c r="E178" i="62"/>
  <c r="E30" i="53"/>
  <c r="E192" i="62"/>
  <c r="E129" i="62"/>
  <c r="E67" i="62"/>
  <c r="E25" i="60"/>
  <c r="E176" i="62"/>
  <c r="E124" i="62"/>
  <c r="E106" i="66"/>
  <c r="E105" i="66"/>
  <c r="E91" i="66"/>
  <c r="E195" i="62"/>
  <c r="E20" i="60"/>
  <c r="G28" i="66"/>
  <c r="I28" i="66"/>
  <c r="E36" i="60"/>
  <c r="E34" i="62"/>
  <c r="E137" i="62"/>
  <c r="E138" i="62"/>
  <c r="E83" i="62"/>
  <c r="E32" i="62"/>
  <c r="E34" i="60"/>
  <c r="E35" i="62"/>
  <c r="E33" i="60"/>
  <c r="I33" i="60" s="1"/>
  <c r="E26" i="60"/>
  <c r="I26" i="60" s="1"/>
  <c r="E43" i="62"/>
  <c r="E47" i="62"/>
  <c r="E42" i="62"/>
  <c r="E68" i="62"/>
  <c r="E152" i="62"/>
  <c r="E22" i="55"/>
  <c r="E140" i="62"/>
  <c r="E88" i="66"/>
  <c r="E22" i="62"/>
  <c r="E47" i="61"/>
  <c r="E23" i="62"/>
  <c r="E161" i="62"/>
  <c r="E44" i="62"/>
  <c r="E52" i="62"/>
  <c r="E135" i="62"/>
  <c r="E32" i="60"/>
  <c r="E16" i="55"/>
  <c r="E132" i="62"/>
  <c r="E21" i="60"/>
  <c r="E128" i="62"/>
  <c r="E177" i="62"/>
  <c r="E41" i="60"/>
  <c r="E228" i="62"/>
  <c r="E31" i="61"/>
  <c r="E49" i="61"/>
  <c r="E226" i="62"/>
  <c r="E219" i="62"/>
  <c r="E73" i="62"/>
  <c r="E205" i="62"/>
  <c r="E37" i="60"/>
  <c r="G194" i="62" l="1"/>
  <c r="G16" i="55"/>
  <c r="I16" i="55"/>
  <c r="G31" i="69"/>
  <c r="I31" i="69"/>
  <c r="I73" i="69" s="1"/>
  <c r="I76" i="69" s="1"/>
  <c r="I77" i="69" s="1"/>
  <c r="I79" i="69" s="1"/>
  <c r="I22" i="69"/>
  <c r="G22" i="69"/>
  <c r="G22" i="55"/>
  <c r="I22" i="55"/>
  <c r="I177" i="62"/>
  <c r="G177" i="62"/>
  <c r="I43" i="62"/>
  <c r="G43" i="62"/>
  <c r="I35" i="62"/>
  <c r="G35" i="62"/>
  <c r="I137" i="62"/>
  <c r="G137" i="62"/>
  <c r="I161" i="62"/>
  <c r="G161" i="62"/>
  <c r="I152" i="62"/>
  <c r="G152" i="62"/>
  <c r="I138" i="62"/>
  <c r="G138" i="62"/>
  <c r="I34" i="62"/>
  <c r="G34" i="62"/>
  <c r="I205" i="62"/>
  <c r="G205" i="62"/>
  <c r="I228" i="62"/>
  <c r="G228" i="62"/>
  <c r="I83" i="62"/>
  <c r="G83" i="62"/>
  <c r="I219" i="62"/>
  <c r="G219" i="62"/>
  <c r="I135" i="62"/>
  <c r="G135" i="62"/>
  <c r="I47" i="62"/>
  <c r="G47" i="62"/>
  <c r="I226" i="62"/>
  <c r="G226" i="62"/>
  <c r="I140" i="62"/>
  <c r="G140" i="62"/>
  <c r="I73" i="62"/>
  <c r="G73" i="62"/>
  <c r="I52" i="62"/>
  <c r="G52" i="62"/>
  <c r="I128" i="62"/>
  <c r="G128" i="62"/>
  <c r="I132" i="62"/>
  <c r="G132" i="62"/>
  <c r="I110" i="62"/>
  <c r="G110" i="62"/>
  <c r="I222" i="62"/>
  <c r="G222" i="62"/>
  <c r="I221" i="62"/>
  <c r="G221" i="62"/>
  <c r="I133" i="62"/>
  <c r="G133" i="62"/>
  <c r="I183" i="62"/>
  <c r="G183" i="62"/>
  <c r="I106" i="62"/>
  <c r="G106" i="62"/>
  <c r="I100" i="62"/>
  <c r="G100" i="62"/>
  <c r="I158" i="62"/>
  <c r="G158" i="62"/>
  <c r="I165" i="62"/>
  <c r="G165" i="62"/>
  <c r="I80" i="62"/>
  <c r="G80" i="62"/>
  <c r="I42" i="62"/>
  <c r="G42" i="62"/>
  <c r="I192" i="62"/>
  <c r="G192" i="62"/>
  <c r="I85" i="62"/>
  <c r="G85" i="62"/>
  <c r="I107" i="62"/>
  <c r="G107" i="62"/>
  <c r="I201" i="62"/>
  <c r="G201" i="62"/>
  <c r="I186" i="62"/>
  <c r="G186" i="62"/>
  <c r="I151" i="62"/>
  <c r="G151" i="62"/>
  <c r="I141" i="62"/>
  <c r="G141" i="62"/>
  <c r="I197" i="62"/>
  <c r="G197" i="62"/>
  <c r="I214" i="62"/>
  <c r="G214" i="62"/>
  <c r="I171" i="62"/>
  <c r="G171" i="62"/>
  <c r="I207" i="62"/>
  <c r="G207" i="62"/>
  <c r="I179" i="62"/>
  <c r="G179" i="62"/>
  <c r="I63" i="62"/>
  <c r="G63" i="62"/>
  <c r="I71" i="62"/>
  <c r="G71" i="62"/>
  <c r="I174" i="62"/>
  <c r="G174" i="62"/>
  <c r="I51" i="62"/>
  <c r="G51" i="62"/>
  <c r="I23" i="62"/>
  <c r="G23" i="62"/>
  <c r="I195" i="62"/>
  <c r="G195" i="62"/>
  <c r="I144" i="62"/>
  <c r="G144" i="62"/>
  <c r="I75" i="62"/>
  <c r="G75" i="62"/>
  <c r="I169" i="62"/>
  <c r="G169" i="62"/>
  <c r="I114" i="62"/>
  <c r="G114" i="62"/>
  <c r="I86" i="62"/>
  <c r="G86" i="62"/>
  <c r="I210" i="62"/>
  <c r="G210" i="62"/>
  <c r="I213" i="62"/>
  <c r="G213" i="62"/>
  <c r="I217" i="62"/>
  <c r="G217" i="62"/>
  <c r="I39" i="62"/>
  <c r="G39" i="62"/>
  <c r="I113" i="62"/>
  <c r="G113" i="62"/>
  <c r="I198" i="62"/>
  <c r="G198" i="62"/>
  <c r="I57" i="62"/>
  <c r="G57" i="62"/>
  <c r="I156" i="62"/>
  <c r="G156" i="62"/>
  <c r="I44" i="62"/>
  <c r="G44" i="62"/>
  <c r="I124" i="62"/>
  <c r="G124" i="62"/>
  <c r="I67" i="62"/>
  <c r="G67" i="62"/>
  <c r="I208" i="62"/>
  <c r="G208" i="62"/>
  <c r="I157" i="62"/>
  <c r="G157" i="62"/>
  <c r="I69" i="62"/>
  <c r="G69" i="62"/>
  <c r="I180" i="62"/>
  <c r="G180" i="62"/>
  <c r="I56" i="62"/>
  <c r="G56" i="62"/>
  <c r="I82" i="62"/>
  <c r="G82" i="62"/>
  <c r="I209" i="62"/>
  <c r="G209" i="62"/>
  <c r="I123" i="62"/>
  <c r="G123" i="62"/>
  <c r="I181" i="62"/>
  <c r="G181" i="62"/>
  <c r="I164" i="62"/>
  <c r="G164" i="62"/>
  <c r="I90" i="62"/>
  <c r="G90" i="62"/>
  <c r="I94" i="62"/>
  <c r="G94" i="62"/>
  <c r="I122" i="62"/>
  <c r="G122" i="62"/>
  <c r="I167" i="62"/>
  <c r="G167" i="62"/>
  <c r="I173" i="62"/>
  <c r="G173" i="62"/>
  <c r="I155" i="62"/>
  <c r="G155" i="62"/>
  <c r="I160" i="62"/>
  <c r="G160" i="62"/>
  <c r="I202" i="62"/>
  <c r="G202" i="62"/>
  <c r="I66" i="62"/>
  <c r="G66" i="62"/>
  <c r="G30" i="60"/>
  <c r="I37" i="62"/>
  <c r="G37" i="62"/>
  <c r="I27" i="62"/>
  <c r="G27" i="62"/>
  <c r="I163" i="62"/>
  <c r="G163" i="62"/>
  <c r="I22" i="62"/>
  <c r="G22" i="62"/>
  <c r="I99" i="62"/>
  <c r="G99" i="62"/>
  <c r="I96" i="62"/>
  <c r="G96" i="62"/>
  <c r="I212" i="62"/>
  <c r="G212" i="62"/>
  <c r="I74" i="62"/>
  <c r="G74" i="62"/>
  <c r="I89" i="62"/>
  <c r="G89" i="62"/>
  <c r="I187" i="62"/>
  <c r="G187" i="62"/>
  <c r="I203" i="62"/>
  <c r="G203" i="62"/>
  <c r="I88" i="62"/>
  <c r="G88" i="62"/>
  <c r="I70" i="62"/>
  <c r="G70" i="62"/>
  <c r="I31" i="62"/>
  <c r="G31" i="62"/>
  <c r="I149" i="62"/>
  <c r="G149" i="62"/>
  <c r="I120" i="62"/>
  <c r="G120" i="62"/>
  <c r="I119" i="62"/>
  <c r="G119" i="62"/>
  <c r="I33" i="62"/>
  <c r="G33" i="62"/>
  <c r="I68" i="62"/>
  <c r="G68" i="62"/>
  <c r="I32" i="62"/>
  <c r="G32" i="62"/>
  <c r="I176" i="62"/>
  <c r="G176" i="62"/>
  <c r="I129" i="62"/>
  <c r="G129" i="62"/>
  <c r="I178" i="62"/>
  <c r="G178" i="62"/>
  <c r="I127" i="62"/>
  <c r="G127" i="62"/>
  <c r="I93" i="62"/>
  <c r="G93" i="62"/>
  <c r="I230" i="62"/>
  <c r="G230" i="62"/>
  <c r="I46" i="62"/>
  <c r="G46" i="62"/>
  <c r="I131" i="62"/>
  <c r="G131" i="62"/>
  <c r="I45" i="62"/>
  <c r="G45" i="62"/>
  <c r="I103" i="62"/>
  <c r="G103" i="62"/>
  <c r="I206" i="62"/>
  <c r="G206" i="62"/>
  <c r="I153" i="62"/>
  <c r="G153" i="62"/>
  <c r="I220" i="62"/>
  <c r="G220" i="62"/>
  <c r="I175" i="62"/>
  <c r="G175" i="62"/>
  <c r="I191" i="62"/>
  <c r="G191" i="62"/>
  <c r="I95" i="62"/>
  <c r="G95" i="62"/>
  <c r="I101" i="62"/>
  <c r="G101" i="62"/>
  <c r="I188" i="62"/>
  <c r="G188" i="62"/>
  <c r="I199" i="62"/>
  <c r="G199" i="62"/>
  <c r="I111" i="62"/>
  <c r="G111" i="62"/>
  <c r="I125" i="62"/>
  <c r="G125" i="62"/>
  <c r="I60" i="62"/>
  <c r="G60" i="62"/>
  <c r="I30" i="62"/>
  <c r="G30" i="62"/>
  <c r="I57" i="60"/>
  <c r="I32" i="56"/>
  <c r="G32" i="56"/>
  <c r="I37" i="56"/>
  <c r="G37" i="56"/>
  <c r="I34" i="56"/>
  <c r="G34" i="56"/>
  <c r="I35" i="56"/>
  <c r="G35" i="56"/>
  <c r="I31" i="56"/>
  <c r="G31" i="56"/>
  <c r="I23" i="56"/>
  <c r="G23" i="56"/>
  <c r="I22" i="56"/>
  <c r="G22" i="56"/>
  <c r="I19" i="56"/>
  <c r="G19" i="56"/>
  <c r="I27" i="56"/>
  <c r="G27" i="56"/>
  <c r="I28" i="56"/>
  <c r="G28" i="56"/>
  <c r="I26" i="56"/>
  <c r="G26" i="56"/>
  <c r="I25" i="56"/>
  <c r="G25" i="56"/>
  <c r="I34" i="60"/>
  <c r="G34" i="60"/>
  <c r="I32" i="53"/>
  <c r="G32" i="53"/>
  <c r="I27" i="53"/>
  <c r="G27" i="53"/>
  <c r="G33" i="60"/>
  <c r="G26" i="60"/>
  <c r="I21" i="60"/>
  <c r="G21" i="60"/>
  <c r="I32" i="60"/>
  <c r="G32" i="60"/>
  <c r="I30" i="53"/>
  <c r="G30" i="53"/>
  <c r="I20" i="53"/>
  <c r="G20" i="53"/>
  <c r="I19" i="53"/>
  <c r="G19" i="53"/>
  <c r="I24" i="60"/>
  <c r="G24" i="60"/>
  <c r="I31" i="60"/>
  <c r="G31" i="60"/>
  <c r="I36" i="60"/>
  <c r="G36" i="60"/>
  <c r="I55" i="60"/>
  <c r="G55" i="60"/>
  <c r="I59" i="60"/>
  <c r="G59" i="60"/>
  <c r="I41" i="60"/>
  <c r="G41" i="60"/>
  <c r="I18" i="60"/>
  <c r="G18" i="60"/>
  <c r="I52" i="60"/>
  <c r="G52" i="60"/>
  <c r="I51" i="60"/>
  <c r="G51" i="60"/>
  <c r="I35" i="60"/>
  <c r="G35" i="60"/>
  <c r="I47" i="60"/>
  <c r="G47" i="60"/>
  <c r="I54" i="60"/>
  <c r="G54" i="60"/>
  <c r="I20" i="60"/>
  <c r="G20" i="60"/>
  <c r="I58" i="60"/>
  <c r="G58" i="60"/>
  <c r="I29" i="60"/>
  <c r="G29" i="60"/>
  <c r="I37" i="60"/>
  <c r="G37" i="60"/>
  <c r="I43" i="60"/>
  <c r="G43" i="60"/>
  <c r="I28" i="60"/>
  <c r="G28" i="60"/>
  <c r="I25" i="60"/>
  <c r="G25" i="60"/>
  <c r="I50" i="60"/>
  <c r="G50" i="60"/>
  <c r="I60" i="60"/>
  <c r="G60" i="60"/>
  <c r="I40" i="60"/>
  <c r="G40" i="60"/>
  <c r="I64" i="66"/>
  <c r="G64" i="66"/>
  <c r="I47" i="66"/>
  <c r="G47" i="66"/>
  <c r="I79" i="66"/>
  <c r="G79" i="66"/>
  <c r="I88" i="66"/>
  <c r="G88" i="66"/>
  <c r="I91" i="66"/>
  <c r="G91" i="66"/>
  <c r="I96" i="66"/>
  <c r="G96" i="66"/>
  <c r="I77" i="66"/>
  <c r="G77" i="66"/>
  <c r="I98" i="66"/>
  <c r="G98" i="66"/>
  <c r="G117" i="66"/>
  <c r="I117" i="66"/>
  <c r="I71" i="66"/>
  <c r="G71" i="66"/>
  <c r="I40" i="66"/>
  <c r="G40" i="66"/>
  <c r="I115" i="66"/>
  <c r="G115" i="66"/>
  <c r="I51" i="66"/>
  <c r="G51" i="66"/>
  <c r="I73" i="66"/>
  <c r="G73" i="66"/>
  <c r="I70" i="66"/>
  <c r="G70" i="66"/>
  <c r="I95" i="66"/>
  <c r="G95" i="66"/>
  <c r="I53" i="66"/>
  <c r="G53" i="66"/>
  <c r="I98" i="65"/>
  <c r="G98" i="65"/>
  <c r="I88" i="65"/>
  <c r="G88" i="65"/>
  <c r="I105" i="66"/>
  <c r="G105" i="66"/>
  <c r="I97" i="66"/>
  <c r="G97" i="66"/>
  <c r="I106" i="66"/>
  <c r="G106" i="66"/>
  <c r="I69" i="66"/>
  <c r="G69" i="66"/>
  <c r="I48" i="66"/>
  <c r="G48" i="66"/>
  <c r="I100" i="66"/>
  <c r="G100" i="66"/>
  <c r="I58" i="66"/>
  <c r="G58" i="66"/>
  <c r="I45" i="66"/>
  <c r="G45" i="66"/>
  <c r="I103" i="66"/>
  <c r="G103" i="66"/>
  <c r="I57" i="66"/>
  <c r="G57" i="66"/>
  <c r="I102" i="66"/>
  <c r="G102" i="66"/>
  <c r="I49" i="66"/>
  <c r="G49" i="66"/>
  <c r="I31" i="61"/>
  <c r="G31" i="61"/>
  <c r="I34" i="61"/>
  <c r="G34" i="61"/>
  <c r="G49" i="61"/>
  <c r="I49" i="61"/>
  <c r="I38" i="61"/>
  <c r="G38" i="61"/>
  <c r="I37" i="61"/>
  <c r="G37" i="61"/>
  <c r="I35" i="61"/>
  <c r="G35" i="61"/>
  <c r="G51" i="61"/>
  <c r="I51" i="61"/>
  <c r="I27" i="61"/>
  <c r="G27" i="61"/>
  <c r="I45" i="61"/>
  <c r="G45" i="61"/>
  <c r="I25" i="61"/>
  <c r="G25" i="61"/>
  <c r="G50" i="61"/>
  <c r="I50" i="61"/>
  <c r="G47" i="61"/>
  <c r="I47" i="61"/>
  <c r="I42" i="61"/>
  <c r="G42" i="61"/>
  <c r="I33" i="61"/>
  <c r="G33" i="61"/>
  <c r="I44" i="61"/>
  <c r="G44" i="61"/>
  <c r="E130" i="63"/>
  <c r="E45" i="60"/>
  <c r="E136" i="62"/>
  <c r="E146" i="62"/>
  <c r="E227" i="62"/>
  <c r="E48" i="62"/>
  <c r="E147" i="62"/>
  <c r="E150" i="62"/>
  <c r="I35" i="66"/>
  <c r="G35" i="66"/>
  <c r="E117" i="62"/>
  <c r="E223" i="62"/>
  <c r="E22" i="53"/>
  <c r="E211" i="62"/>
  <c r="E58" i="62"/>
  <c r="E29" i="62"/>
  <c r="E49" i="60"/>
  <c r="E16" i="47"/>
  <c r="E27" i="60"/>
  <c r="E87" i="62"/>
  <c r="E143" i="62"/>
  <c r="I30" i="66"/>
  <c r="G30" i="66"/>
  <c r="E170" i="62"/>
  <c r="E134" i="62"/>
  <c r="E22" i="60"/>
  <c r="E19" i="47"/>
  <c r="E54" i="62"/>
  <c r="E105" i="62"/>
  <c r="E49" i="62"/>
  <c r="E23" i="60"/>
  <c r="E154" i="62"/>
  <c r="E142" i="62"/>
  <c r="I130" i="63"/>
  <c r="I131" i="63" s="1"/>
  <c r="I133" i="63" s="1"/>
  <c r="I27" i="66"/>
  <c r="G27" i="66"/>
  <c r="E77" i="62"/>
  <c r="E98" i="62"/>
  <c r="E55" i="62"/>
  <c r="E168" i="62"/>
  <c r="E65" i="66"/>
  <c r="E28" i="62"/>
  <c r="E159" i="62"/>
  <c r="E41" i="62"/>
  <c r="E40" i="62"/>
  <c r="E229" i="62"/>
  <c r="E43" i="61"/>
  <c r="I231" i="62"/>
  <c r="E185" i="62"/>
  <c r="E19" i="60"/>
  <c r="E39" i="60"/>
  <c r="E34" i="66"/>
  <c r="E41" i="61"/>
  <c r="E87" i="66"/>
  <c r="E72" i="62"/>
  <c r="E46" i="66"/>
  <c r="E44" i="60"/>
  <c r="E76" i="62"/>
  <c r="G25" i="66"/>
  <c r="I25" i="66"/>
  <c r="I31" i="66"/>
  <c r="G31" i="66"/>
  <c r="E52" i="66"/>
  <c r="E24" i="66"/>
  <c r="E139" i="62"/>
  <c r="E53" i="62"/>
  <c r="E59" i="62"/>
  <c r="E42" i="60"/>
  <c r="E38" i="62"/>
  <c r="E145" i="62"/>
  <c r="I21" i="66"/>
  <c r="G21" i="66"/>
  <c r="E75" i="69" l="1"/>
  <c r="E74" i="69"/>
  <c r="E76" i="69" s="1"/>
  <c r="I127" i="65"/>
  <c r="I130" i="65" s="1"/>
  <c r="I131" i="65" s="1"/>
  <c r="I133" i="65" s="1"/>
  <c r="E59" i="55"/>
  <c r="I57" i="55"/>
  <c r="I60" i="55" s="1"/>
  <c r="I61" i="55" s="1"/>
  <c r="I63" i="55" s="1"/>
  <c r="E58" i="55"/>
  <c r="I145" i="62"/>
  <c r="G145" i="62"/>
  <c r="I59" i="62"/>
  <c r="G59" i="62"/>
  <c r="I41" i="62"/>
  <c r="G41" i="62"/>
  <c r="I98" i="62"/>
  <c r="G98" i="62"/>
  <c r="I54" i="62"/>
  <c r="G54" i="62"/>
  <c r="I134" i="62"/>
  <c r="G134" i="62"/>
  <c r="I143" i="62"/>
  <c r="G143" i="62"/>
  <c r="I58" i="62"/>
  <c r="G58" i="62"/>
  <c r="I223" i="62"/>
  <c r="G223" i="62"/>
  <c r="I150" i="62"/>
  <c r="G150" i="62"/>
  <c r="I227" i="62"/>
  <c r="G227" i="62"/>
  <c r="I53" i="62"/>
  <c r="G53" i="62"/>
  <c r="I76" i="62"/>
  <c r="G76" i="62"/>
  <c r="I72" i="62"/>
  <c r="G72" i="62"/>
  <c r="I185" i="62"/>
  <c r="G185" i="62"/>
  <c r="I229" i="62"/>
  <c r="G229" i="62"/>
  <c r="I159" i="62"/>
  <c r="G159" i="62"/>
  <c r="I168" i="62"/>
  <c r="G168" i="62"/>
  <c r="I77" i="62"/>
  <c r="G77" i="62"/>
  <c r="I142" i="62"/>
  <c r="G142" i="62"/>
  <c r="I49" i="62"/>
  <c r="G49" i="62"/>
  <c r="I170" i="62"/>
  <c r="G170" i="62"/>
  <c r="I87" i="62"/>
  <c r="G87" i="62"/>
  <c r="I211" i="62"/>
  <c r="G211" i="62"/>
  <c r="I117" i="62"/>
  <c r="G117" i="62"/>
  <c r="I147" i="62"/>
  <c r="G147" i="62"/>
  <c r="I146" i="62"/>
  <c r="G146" i="62"/>
  <c r="E79" i="56"/>
  <c r="I38" i="62"/>
  <c r="G38" i="62"/>
  <c r="I139" i="62"/>
  <c r="G139" i="62"/>
  <c r="I40" i="62"/>
  <c r="G40" i="62"/>
  <c r="I28" i="62"/>
  <c r="G28" i="62"/>
  <c r="I55" i="62"/>
  <c r="G55" i="62"/>
  <c r="I154" i="62"/>
  <c r="G154" i="62"/>
  <c r="I105" i="62"/>
  <c r="G105" i="62"/>
  <c r="I29" i="62"/>
  <c r="G29" i="62"/>
  <c r="I48" i="62"/>
  <c r="G48" i="62"/>
  <c r="I136" i="62"/>
  <c r="G136" i="62"/>
  <c r="I77" i="56"/>
  <c r="E78" i="56"/>
  <c r="E80" i="56" s="1"/>
  <c r="E128" i="65"/>
  <c r="I22" i="53"/>
  <c r="E75" i="53" s="1"/>
  <c r="G22" i="53"/>
  <c r="E74" i="53" s="1"/>
  <c r="I45" i="60"/>
  <c r="G45" i="60"/>
  <c r="I42" i="60"/>
  <c r="G42" i="60"/>
  <c r="I49" i="60"/>
  <c r="G49" i="60"/>
  <c r="I39" i="60"/>
  <c r="G39" i="60"/>
  <c r="I27" i="60"/>
  <c r="G27" i="60"/>
  <c r="I44" i="60"/>
  <c r="G44" i="60"/>
  <c r="I22" i="60"/>
  <c r="G22" i="60"/>
  <c r="I19" i="60"/>
  <c r="G19" i="60"/>
  <c r="I23" i="60"/>
  <c r="G23" i="60"/>
  <c r="I52" i="66"/>
  <c r="G52" i="66"/>
  <c r="E129" i="65"/>
  <c r="E130" i="65" s="1"/>
  <c r="I46" i="66"/>
  <c r="G46" i="66"/>
  <c r="I87" i="66"/>
  <c r="G87" i="66"/>
  <c r="I65" i="66"/>
  <c r="G65" i="66"/>
  <c r="I41" i="61"/>
  <c r="G41" i="61"/>
  <c r="I43" i="61"/>
  <c r="G43" i="61"/>
  <c r="G34" i="66"/>
  <c r="I34" i="66"/>
  <c r="G16" i="47"/>
  <c r="I16" i="47"/>
  <c r="G19" i="47"/>
  <c r="I19" i="47"/>
  <c r="G24" i="66"/>
  <c r="I24" i="66"/>
  <c r="I80" i="56"/>
  <c r="I81" i="56" s="1"/>
  <c r="I83" i="56" s="1"/>
  <c r="I270" i="62" l="1"/>
  <c r="E271" i="62"/>
  <c r="E272" i="62"/>
  <c r="E273" i="62" s="1"/>
  <c r="E60" i="55"/>
  <c r="I91" i="61"/>
  <c r="I94" i="61" s="1"/>
  <c r="I95" i="61" s="1"/>
  <c r="I97" i="61" s="1"/>
  <c r="E111" i="60"/>
  <c r="E129" i="66"/>
  <c r="I73" i="53"/>
  <c r="I76" i="53" s="1"/>
  <c r="I77" i="53" s="1"/>
  <c r="I79" i="53" s="1"/>
  <c r="I110" i="60"/>
  <c r="I113" i="60" s="1"/>
  <c r="I114" i="60" s="1"/>
  <c r="I116" i="60" s="1"/>
  <c r="E92" i="61"/>
  <c r="E76" i="53"/>
  <c r="E112" i="60"/>
  <c r="E113" i="60" s="1"/>
  <c r="E93" i="61"/>
  <c r="E128" i="66"/>
  <c r="E130" i="66" s="1"/>
  <c r="I127" i="66"/>
  <c r="I130" i="66" s="1"/>
  <c r="I131" i="66" s="1"/>
  <c r="I133" i="66" s="1"/>
  <c r="I58" i="47"/>
  <c r="E60" i="47"/>
  <c r="E59" i="47"/>
  <c r="I273" i="62"/>
  <c r="I274" i="62" s="1"/>
  <c r="I276" i="62" s="1"/>
  <c r="E94" i="61" l="1"/>
  <c r="E61" i="47"/>
  <c r="I61" i="47"/>
  <c r="I62" i="47" s="1"/>
  <c r="I64" i="4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9FD820-4C33-4BAF-B383-1DF1579F8026}" keepAlive="1" name="Query - County of Vermillion MOQ xlsx" description="Connection to the 'County of Vermillion MOQ xlsx' query in the workbook." type="5" refreshedVersion="8" background="1" saveData="1">
    <dbPr connection="Provider=Microsoft.Mashup.OleDb.1;Data Source=$Workbook$;Location=&quot;County of Vermillion MOQ xlsx&quot;;Extended Properties=&quot;&quot;" command="SELECT * FROM [County of Vermillion MOQ xlsx]"/>
  </connection>
</connections>
</file>

<file path=xl/sharedStrings.xml><?xml version="1.0" encoding="utf-8"?>
<sst xmlns="http://schemas.openxmlformats.org/spreadsheetml/2006/main" count="1538" uniqueCount="453">
  <si>
    <t>PART NUMBER</t>
  </si>
  <si>
    <t>DESCRIPTION</t>
  </si>
  <si>
    <t>QTY</t>
  </si>
  <si>
    <t>CAD $</t>
  </si>
  <si>
    <t>OEM MSRP</t>
  </si>
  <si>
    <t>GQP PRICE</t>
  </si>
  <si>
    <t>Seats</t>
  </si>
  <si>
    <t>COMPANY:</t>
  </si>
  <si>
    <t>DATE:</t>
  </si>
  <si>
    <t>PO NUMBER:</t>
  </si>
  <si>
    <t>CONTACT NAME:</t>
  </si>
  <si>
    <t>PHONE NUMBER:</t>
  </si>
  <si>
    <t>BILLING ADDRESS:</t>
  </si>
  <si>
    <t>EMAIL ADDRESS:</t>
  </si>
  <si>
    <t>SHIPPING ADDRESS:</t>
  </si>
  <si>
    <t>Make &amp; Model</t>
  </si>
  <si>
    <t>TOTAL</t>
  </si>
  <si>
    <t>Subtotal</t>
  </si>
  <si>
    <t>OEM MSRP :</t>
  </si>
  <si>
    <t>Shipping</t>
  </si>
  <si>
    <t>GQP :</t>
  </si>
  <si>
    <t>Customs/Broker Fee</t>
  </si>
  <si>
    <t>GQP SAVINGS :</t>
  </si>
  <si>
    <t>Total</t>
  </si>
  <si>
    <t>GST</t>
  </si>
  <si>
    <t>PST / QST</t>
  </si>
  <si>
    <t>Quote valid for 14 days, shipping subject to delays in supply chain.</t>
  </si>
  <si>
    <t>GRAND TOTAL</t>
  </si>
  <si>
    <t>MOQ QUOTE</t>
  </si>
  <si>
    <t>Injectors</t>
  </si>
  <si>
    <t>Batteries</t>
  </si>
  <si>
    <t>Grand Total</t>
  </si>
  <si>
    <t>Turbos</t>
  </si>
  <si>
    <t>Enoch</t>
  </si>
  <si>
    <t>Filters Q1</t>
  </si>
  <si>
    <t>G.E.T.</t>
  </si>
  <si>
    <t>1R-0749</t>
  </si>
  <si>
    <t>326-1644</t>
  </si>
  <si>
    <t>1G-8878</t>
  </si>
  <si>
    <t>1R-0750</t>
  </si>
  <si>
    <t>328-3655</t>
  </si>
  <si>
    <t>209-8217</t>
  </si>
  <si>
    <t>2J-3506</t>
  </si>
  <si>
    <t>5P-8248</t>
  </si>
  <si>
    <t>9X-3404</t>
  </si>
  <si>
    <t>252-5001</t>
  </si>
  <si>
    <t>252-5002</t>
  </si>
  <si>
    <t>462-1171</t>
  </si>
  <si>
    <t>106-1642</t>
  </si>
  <si>
    <t>107-0719</t>
  </si>
  <si>
    <t>110-2976</t>
  </si>
  <si>
    <t>1S-1860</t>
  </si>
  <si>
    <t>255-8095</t>
  </si>
  <si>
    <t>365-0751</t>
  </si>
  <si>
    <t>365-0752</t>
  </si>
  <si>
    <t>3S-8182</t>
  </si>
  <si>
    <t>428-0056</t>
  </si>
  <si>
    <t>4T-8940</t>
  </si>
  <si>
    <t>551-2067</t>
  </si>
  <si>
    <t>5J-4773</t>
  </si>
  <si>
    <t>6V-1792</t>
  </si>
  <si>
    <t>6V-4316</t>
  </si>
  <si>
    <t>7H-3607</t>
  </si>
  <si>
    <t>8E-9378</t>
  </si>
  <si>
    <t>8E-9379</t>
  </si>
  <si>
    <t>9X-8268</t>
  </si>
  <si>
    <t xml:space="preserve"> </t>
  </si>
  <si>
    <t>115-2422</t>
  </si>
  <si>
    <t>153-5656</t>
  </si>
  <si>
    <t>153-5700</t>
  </si>
  <si>
    <t>Lincoln County</t>
  </si>
  <si>
    <t>134-5276</t>
  </si>
  <si>
    <t>216-7921</t>
  </si>
  <si>
    <t>334-8389</t>
  </si>
  <si>
    <t>383-0293</t>
  </si>
  <si>
    <t>386-6934</t>
  </si>
  <si>
    <t>386-6936</t>
  </si>
  <si>
    <t>389-5185</t>
  </si>
  <si>
    <t>389-5200</t>
  </si>
  <si>
    <t>489-2731</t>
  </si>
  <si>
    <t>4N7693</t>
  </si>
  <si>
    <t>4P-2942</t>
  </si>
  <si>
    <t>651-2584</t>
  </si>
  <si>
    <t>651-2600</t>
  </si>
  <si>
    <t>7424162 / 6680737</t>
  </si>
  <si>
    <t>7E-9980</t>
  </si>
  <si>
    <t>CUSOTM-GQP-516NOK</t>
  </si>
  <si>
    <t>CUSOTM-GQPPL61OK</t>
  </si>
  <si>
    <t>CUSTOM-GQP303.5EOK</t>
  </si>
  <si>
    <t>CUSTOM-GQP320ELOK</t>
  </si>
  <si>
    <t>CUSTOM-GQP320RK</t>
  </si>
  <si>
    <t>CUSTOM-GQPC4.4BRK</t>
  </si>
  <si>
    <t>CUSTOM-GQPD3OK</t>
  </si>
  <si>
    <t>CUSTOM-GQPD5OK</t>
  </si>
  <si>
    <t>CUSTOM-GQPD7GSOK</t>
  </si>
  <si>
    <t>110-6326</t>
  </si>
  <si>
    <t>110-6331</t>
  </si>
  <si>
    <t>112-7448</t>
  </si>
  <si>
    <t>131-8821</t>
  </si>
  <si>
    <t>131-8822</t>
  </si>
  <si>
    <t>134-8726</t>
  </si>
  <si>
    <t>140-2334</t>
  </si>
  <si>
    <t>142-1339</t>
  </si>
  <si>
    <t>142-1404</t>
  </si>
  <si>
    <t>151-0914</t>
  </si>
  <si>
    <t>265-6618</t>
  </si>
  <si>
    <t>284-5686</t>
  </si>
  <si>
    <t>2S-1285</t>
  </si>
  <si>
    <t>2S-1286</t>
  </si>
  <si>
    <t>329-3243</t>
  </si>
  <si>
    <t>331-8108</t>
  </si>
  <si>
    <t>346-6694</t>
  </si>
  <si>
    <t>363-9402</t>
  </si>
  <si>
    <t>472-7939</t>
  </si>
  <si>
    <t>479-8989</t>
  </si>
  <si>
    <t>479-8991</t>
  </si>
  <si>
    <t>496-9845</t>
  </si>
  <si>
    <t>496-9846</t>
  </si>
  <si>
    <t>4N-0313</t>
  </si>
  <si>
    <t>4N-0326</t>
  </si>
  <si>
    <t>500-0957</t>
  </si>
  <si>
    <t>528-7222</t>
  </si>
  <si>
    <t>529-0132</t>
  </si>
  <si>
    <t>539-6920</t>
  </si>
  <si>
    <t>545-8339</t>
  </si>
  <si>
    <t>577-1435</t>
  </si>
  <si>
    <t>6I-2499</t>
  </si>
  <si>
    <t>6I-2500</t>
  </si>
  <si>
    <t>6I-2503</t>
  </si>
  <si>
    <t>6I-2504</t>
  </si>
  <si>
    <t>6P-6664</t>
  </si>
  <si>
    <t>7W-5317</t>
  </si>
  <si>
    <t>7W-5389</t>
  </si>
  <si>
    <t>9S-9972</t>
  </si>
  <si>
    <t>093-7521</t>
  </si>
  <si>
    <t>169-4019</t>
  </si>
  <si>
    <t>179-9806</t>
  </si>
  <si>
    <t>1R-0719</t>
  </si>
  <si>
    <t>1R-0746</t>
  </si>
  <si>
    <t>1R-0777</t>
  </si>
  <si>
    <t>304-7196</t>
  </si>
  <si>
    <t>376-2025</t>
  </si>
  <si>
    <t>421-5479</t>
  </si>
  <si>
    <t>491-6075</t>
  </si>
  <si>
    <t>4T-3132</t>
  </si>
  <si>
    <t>571-5253</t>
  </si>
  <si>
    <t>590-9787</t>
  </si>
  <si>
    <t>5I-8670</t>
  </si>
  <si>
    <t>9T-8578</t>
  </si>
  <si>
    <t>117-4089</t>
  </si>
  <si>
    <t>146-6695</t>
  </si>
  <si>
    <t>156-1200</t>
  </si>
  <si>
    <t>1R-0713</t>
  </si>
  <si>
    <t>1R0749</t>
  </si>
  <si>
    <t>1R0750</t>
  </si>
  <si>
    <t>1R-0751</t>
  </si>
  <si>
    <t>1R-0753</t>
  </si>
  <si>
    <t>1R-1807</t>
  </si>
  <si>
    <t>1R-1808</t>
  </si>
  <si>
    <t>2P-4004</t>
  </si>
  <si>
    <t>308-1502</t>
  </si>
  <si>
    <t>322-3151</t>
  </si>
  <si>
    <t>322-3155</t>
  </si>
  <si>
    <t>326-1643</t>
  </si>
  <si>
    <t>360-8960</t>
  </si>
  <si>
    <t>363-5819</t>
  </si>
  <si>
    <t>377-6969</t>
  </si>
  <si>
    <t>479-4131</t>
  </si>
  <si>
    <t>500-0483</t>
  </si>
  <si>
    <t>509-5694</t>
  </si>
  <si>
    <t>513-4490</t>
  </si>
  <si>
    <t>523-4987</t>
  </si>
  <si>
    <t>525-6205</t>
  </si>
  <si>
    <t>7W-8910</t>
  </si>
  <si>
    <t>8N-9803</t>
  </si>
  <si>
    <t>114-0358</t>
  </si>
  <si>
    <t>114-0359</t>
  </si>
  <si>
    <t>132-8875</t>
  </si>
  <si>
    <t>135-9396</t>
  </si>
  <si>
    <t>136-8308</t>
  </si>
  <si>
    <t>153-5044</t>
  </si>
  <si>
    <t>196-7074</t>
  </si>
  <si>
    <t>196-7078</t>
  </si>
  <si>
    <t>1U-3202</t>
  </si>
  <si>
    <t>229-6958</t>
  </si>
  <si>
    <t>2S-5658</t>
  </si>
  <si>
    <t>353-2186</t>
  </si>
  <si>
    <t>353-2187</t>
  </si>
  <si>
    <t>376-1275</t>
  </si>
  <si>
    <t>379-8894</t>
  </si>
  <si>
    <t>383-0433</t>
  </si>
  <si>
    <t>3B4504 </t>
  </si>
  <si>
    <t>3B-4632</t>
  </si>
  <si>
    <t>3B-5325</t>
  </si>
  <si>
    <t>3G-3424</t>
  </si>
  <si>
    <t>432-8929</t>
  </si>
  <si>
    <t>433-3886</t>
  </si>
  <si>
    <t>451-2176</t>
  </si>
  <si>
    <t>451-2177</t>
  </si>
  <si>
    <t>484-8282</t>
  </si>
  <si>
    <t>4T-2315</t>
  </si>
  <si>
    <t>4T-5407</t>
  </si>
  <si>
    <t>4T-5408</t>
  </si>
  <si>
    <t>4T-6229</t>
  </si>
  <si>
    <t>4T-6230</t>
  </si>
  <si>
    <t>526-7416</t>
  </si>
  <si>
    <t>5P-8245</t>
  </si>
  <si>
    <t>614-7778</t>
  </si>
  <si>
    <t>6B-5464</t>
  </si>
  <si>
    <t>6Y-0309</t>
  </si>
  <si>
    <t>6Y-0352</t>
  </si>
  <si>
    <t>6Y-0359</t>
  </si>
  <si>
    <t>6Y-6300</t>
  </si>
  <si>
    <t>8E-6208</t>
  </si>
  <si>
    <t>8E-6209</t>
  </si>
  <si>
    <t>8J-2190</t>
  </si>
  <si>
    <t>8J-5299</t>
  </si>
  <si>
    <t>8T-3282</t>
  </si>
  <si>
    <t>8T-4123</t>
  </si>
  <si>
    <t>8T-4223</t>
  </si>
  <si>
    <t>9J-8913</t>
  </si>
  <si>
    <t>9J-8923</t>
  </si>
  <si>
    <t>9P-7121</t>
  </si>
  <si>
    <t>9W-8874</t>
  </si>
  <si>
    <t>9W-8875</t>
  </si>
  <si>
    <t>CUSTOM-GQPD5ABA</t>
  </si>
  <si>
    <t>127-8216</t>
  </si>
  <si>
    <t>178-6342</t>
  </si>
  <si>
    <t>320-0690</t>
  </si>
  <si>
    <t>321-3600</t>
  </si>
  <si>
    <t>370-7280</t>
  </si>
  <si>
    <t>383-0544</t>
  </si>
  <si>
    <t>456-3509</t>
  </si>
  <si>
    <t>482-8434</t>
  </si>
  <si>
    <t>553-8167</t>
  </si>
  <si>
    <t>571-0940</t>
  </si>
  <si>
    <t>610-2300</t>
  </si>
  <si>
    <t>617-1913</t>
  </si>
  <si>
    <t>8N-7005</t>
  </si>
  <si>
    <t>8N-8796</t>
  </si>
  <si>
    <t>104-5857</t>
  </si>
  <si>
    <t>187-1603</t>
  </si>
  <si>
    <t>285-3414</t>
  </si>
  <si>
    <t>314-9972</t>
  </si>
  <si>
    <t>359-0128</t>
  </si>
  <si>
    <t>421-3007</t>
  </si>
  <si>
    <t>424-3436</t>
  </si>
  <si>
    <t>443-0318</t>
  </si>
  <si>
    <t>457-3636</t>
  </si>
  <si>
    <t>476-1146</t>
  </si>
  <si>
    <t>482-8480</t>
  </si>
  <si>
    <t>566-8180</t>
  </si>
  <si>
    <t>569-6097</t>
  </si>
  <si>
    <t>575-9942</t>
  </si>
  <si>
    <t>587-3239</t>
  </si>
  <si>
    <t>605-4657</t>
  </si>
  <si>
    <t>615-6119</t>
  </si>
  <si>
    <t>615-6123</t>
  </si>
  <si>
    <t>7N-2515</t>
  </si>
  <si>
    <t>8S8039</t>
  </si>
  <si>
    <t>0S-1585</t>
  </si>
  <si>
    <t>0S-1594</t>
  </si>
  <si>
    <t>0S-1601</t>
  </si>
  <si>
    <t>108-0946</t>
  </si>
  <si>
    <t>108-0954</t>
  </si>
  <si>
    <t>108-1136</t>
  </si>
  <si>
    <t>108-1138</t>
  </si>
  <si>
    <t>114-6099</t>
  </si>
  <si>
    <t>115-3696</t>
  </si>
  <si>
    <t>118-1608</t>
  </si>
  <si>
    <t>118-1609</t>
  </si>
  <si>
    <t>118-1611</t>
  </si>
  <si>
    <t>118-1612</t>
  </si>
  <si>
    <t>124-8237</t>
  </si>
  <si>
    <t>124-8240</t>
  </si>
  <si>
    <t>125-4169</t>
  </si>
  <si>
    <t>125-4170</t>
  </si>
  <si>
    <t>136-2422</t>
  </si>
  <si>
    <t>154-3642</t>
  </si>
  <si>
    <t>154-3672</t>
  </si>
  <si>
    <t>159-2953</t>
  </si>
  <si>
    <t>160-5130</t>
  </si>
  <si>
    <t>173-0946</t>
  </si>
  <si>
    <t>177-2347</t>
  </si>
  <si>
    <t>177-2348</t>
  </si>
  <si>
    <t>190-1546</t>
  </si>
  <si>
    <t>190-1551</t>
  </si>
  <si>
    <t>190-7396</t>
  </si>
  <si>
    <t>191-2933</t>
  </si>
  <si>
    <t>192-4744</t>
  </si>
  <si>
    <t>1M-1408</t>
  </si>
  <si>
    <t>1M-8867</t>
  </si>
  <si>
    <t>1S1860</t>
  </si>
  <si>
    <t>202-4296</t>
  </si>
  <si>
    <t>213-1971</t>
  </si>
  <si>
    <t>213-5007</t>
  </si>
  <si>
    <t>216-6286</t>
  </si>
  <si>
    <t>219-7569</t>
  </si>
  <si>
    <t>222-1796</t>
  </si>
  <si>
    <t>222-1797</t>
  </si>
  <si>
    <t>224-1311</t>
  </si>
  <si>
    <t>229-5446</t>
  </si>
  <si>
    <t>235-5974</t>
  </si>
  <si>
    <t>240-9557</t>
  </si>
  <si>
    <t>248-7143</t>
  </si>
  <si>
    <t>251-8601</t>
  </si>
  <si>
    <t>254-0225</t>
  </si>
  <si>
    <t>259-2627</t>
  </si>
  <si>
    <t>267-4829</t>
  </si>
  <si>
    <t>267-6099</t>
  </si>
  <si>
    <t>278-4843</t>
  </si>
  <si>
    <t>282-3655</t>
  </si>
  <si>
    <t>288-0934</t>
  </si>
  <si>
    <t>288-0936</t>
  </si>
  <si>
    <t>288-3462</t>
  </si>
  <si>
    <t>294-4813</t>
  </si>
  <si>
    <t>300-4545</t>
  </si>
  <si>
    <t>304-1916</t>
  </si>
  <si>
    <t>306-2148</t>
  </si>
  <si>
    <t>310-4912</t>
  </si>
  <si>
    <t>310-4915</t>
  </si>
  <si>
    <t>310-4918</t>
  </si>
  <si>
    <t>311-8150</t>
  </si>
  <si>
    <t>316-8889</t>
  </si>
  <si>
    <t>316-8894</t>
  </si>
  <si>
    <t>316-8895</t>
  </si>
  <si>
    <t>318-2375</t>
  </si>
  <si>
    <t>318-2558</t>
  </si>
  <si>
    <t>323-1168</t>
  </si>
  <si>
    <t>332-8903</t>
  </si>
  <si>
    <t>341-1417</t>
  </si>
  <si>
    <t>341-2814</t>
  </si>
  <si>
    <t>356-3429</t>
  </si>
  <si>
    <t>356-3430</t>
  </si>
  <si>
    <t>357-6019</t>
  </si>
  <si>
    <t>358-8557</t>
  </si>
  <si>
    <t>375-6431</t>
  </si>
  <si>
    <t>376-1274</t>
  </si>
  <si>
    <t>377-2989</t>
  </si>
  <si>
    <t>379-8893</t>
  </si>
  <si>
    <t>384-5674</t>
  </si>
  <si>
    <t>386-6920</t>
  </si>
  <si>
    <t>389-5128</t>
  </si>
  <si>
    <t>389-7624 (643-4210)</t>
  </si>
  <si>
    <t>3B-4510</t>
  </si>
  <si>
    <t>3E-4356</t>
  </si>
  <si>
    <t>3F-5108</t>
  </si>
  <si>
    <t>3j6571</t>
  </si>
  <si>
    <t>3T-3884</t>
  </si>
  <si>
    <t>3T-3889</t>
  </si>
  <si>
    <t>3T-8601</t>
  </si>
  <si>
    <t>422-0864</t>
  </si>
  <si>
    <t>447-1707</t>
  </si>
  <si>
    <t>447-1718</t>
  </si>
  <si>
    <t>447-1720</t>
  </si>
  <si>
    <t>447-1723</t>
  </si>
  <si>
    <t>447-1725</t>
  </si>
  <si>
    <t>447-1731</t>
  </si>
  <si>
    <t>453-2855</t>
  </si>
  <si>
    <t>456-1742</t>
  </si>
  <si>
    <t>468-7455</t>
  </si>
  <si>
    <t>487-8695</t>
  </si>
  <si>
    <t>488-6511</t>
  </si>
  <si>
    <t>489-6483</t>
  </si>
  <si>
    <t>490-6505</t>
  </si>
  <si>
    <t>491-4518</t>
  </si>
  <si>
    <t>494-0057</t>
  </si>
  <si>
    <t>499-9026</t>
  </si>
  <si>
    <t>499-9049</t>
  </si>
  <si>
    <t>4K-0367</t>
  </si>
  <si>
    <t>4N-2955</t>
  </si>
  <si>
    <t>4S9051 </t>
  </si>
  <si>
    <t>4V-4106</t>
  </si>
  <si>
    <t>503-1353</t>
  </si>
  <si>
    <t>504-5774</t>
  </si>
  <si>
    <t>517-2065</t>
  </si>
  <si>
    <t>520-7951</t>
  </si>
  <si>
    <t>533-5536</t>
  </si>
  <si>
    <t>536-3549 (643-4210)</t>
  </si>
  <si>
    <t>540-3825</t>
  </si>
  <si>
    <t>540-3826</t>
  </si>
  <si>
    <t>540-3827</t>
  </si>
  <si>
    <t>540-3828</t>
  </si>
  <si>
    <t>541-4630</t>
  </si>
  <si>
    <t>561-1069</t>
  </si>
  <si>
    <t>565-4423</t>
  </si>
  <si>
    <t>566-2975</t>
  </si>
  <si>
    <t>592-5829</t>
  </si>
  <si>
    <t>596-4526</t>
  </si>
  <si>
    <t>596-8460</t>
  </si>
  <si>
    <t>5A-3187</t>
  </si>
  <si>
    <t>5P-8247</t>
  </si>
  <si>
    <t>5S-0724</t>
  </si>
  <si>
    <t>5S-0822</t>
  </si>
  <si>
    <t>604-1761</t>
  </si>
  <si>
    <t>607-2263</t>
  </si>
  <si>
    <t>610-6264</t>
  </si>
  <si>
    <t>629-6309</t>
  </si>
  <si>
    <t>6I-2378</t>
  </si>
  <si>
    <t>6I-8077</t>
  </si>
  <si>
    <t>6K-9880</t>
  </si>
  <si>
    <t>6S3609</t>
  </si>
  <si>
    <t>6T-0232</t>
  </si>
  <si>
    <t>6T-2779</t>
  </si>
  <si>
    <t>6T-2780</t>
  </si>
  <si>
    <t>6V-0937</t>
  </si>
  <si>
    <t>6V-3669</t>
  </si>
  <si>
    <t>6V-9167</t>
  </si>
  <si>
    <t>6Y-0846</t>
  </si>
  <si>
    <t>6Y-2126</t>
  </si>
  <si>
    <t>6Y-4898</t>
  </si>
  <si>
    <t>6Y-5685</t>
  </si>
  <si>
    <t>6Y-8180</t>
  </si>
  <si>
    <t>6Y-8973</t>
  </si>
  <si>
    <t>6Y-9024</t>
  </si>
  <si>
    <t>7H-3597</t>
  </si>
  <si>
    <t>7h-3599</t>
  </si>
  <si>
    <t>7K-2017</t>
  </si>
  <si>
    <t>7T-3501</t>
  </si>
  <si>
    <t>7X-0515</t>
  </si>
  <si>
    <t>7X-2532</t>
  </si>
  <si>
    <t>8E-5600</t>
  </si>
  <si>
    <t>8E-9805</t>
  </si>
  <si>
    <t>8E-9812</t>
  </si>
  <si>
    <t>8H-5724</t>
  </si>
  <si>
    <t>8N-1187</t>
  </si>
  <si>
    <t>8P-8174</t>
  </si>
  <si>
    <t>8T-0281</t>
  </si>
  <si>
    <t>8T-0282</t>
  </si>
  <si>
    <t>8T-0359</t>
  </si>
  <si>
    <t>8T-0656</t>
  </si>
  <si>
    <t>8T-4131</t>
  </si>
  <si>
    <t>8T-4132</t>
  </si>
  <si>
    <t>8T-4192</t>
  </si>
  <si>
    <t>8T-4778</t>
  </si>
  <si>
    <t>8T-6430</t>
  </si>
  <si>
    <t>8T-7338</t>
  </si>
  <si>
    <t>8Y-6179</t>
  </si>
  <si>
    <t>9C-3696</t>
  </si>
  <si>
    <t>9G-3110</t>
  </si>
  <si>
    <t>9G-8592</t>
  </si>
  <si>
    <t>9S-1838</t>
  </si>
  <si>
    <t>9W-3361</t>
  </si>
  <si>
    <t>9W-3619</t>
  </si>
  <si>
    <t>9w-9058</t>
  </si>
  <si>
    <t>9W-9265</t>
  </si>
  <si>
    <t>CUSTOM-GQP-561N30"TG</t>
  </si>
  <si>
    <t>CUSTOM-GQPD4SSA</t>
  </si>
  <si>
    <t>CUSTOM-GQPD530"TG</t>
  </si>
  <si>
    <t>CUSTOM-GQPD630"TG</t>
  </si>
  <si>
    <t>CUSTOM-GQPD7G30"TG</t>
  </si>
  <si>
    <t>CUSTOM-GQPPL6130"TG</t>
  </si>
  <si>
    <t>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</si>
</sst>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_-&quot;$&quot;* #,##0.00_-;\-&quot;$&quot;* #,##0.00_-;_-&quot;$&quot;* &quot;-&quot;??_-;_-@_-"/>
    <numFmt numFmtId="165" formatCode="_-* #,##0.00_-;\-* #,##0.00_-;_-* &quot;-&quot;??_-;_-@_-"/>
    <numFmt numFmtId="166" formatCode="[$-409]mmmm\ d\,\ yyyy;@"/>
    <numFmt numFmtId="167" formatCode="&quot;$&quot;#,##0.00"/>
    <numFmt numFmtId="168" formatCode="0;\-0;;@"/>
    <numFmt numFmtId="169" formatCode="[$-F800]dddd\,\ mmmm\ dd\,\ yyyy"/>
    <numFmt numFmtId="170" formatCode="_-* #,##0_-;\-* #,##0_-;_-* &quot;-&quot;??_-;_-@_-"/>
  </numFmts>
  <fonts count="16" x14ac:knownFonts="1">
    <font>
      <sz val="11"/>
      <color theme="1"/>
      <name val="Aptos Narrow"/>
      <family val="2"/>
      <scheme val="minor"/>
    </font>
    <font>
      <sz val="11"/>
      <color theme="1"/>
      <name val="Aptos Narrow"/>
      <family val="2"/>
      <scheme val="minor"/>
    </font>
    <font>
      <b/>
      <sz val="28"/>
      <color theme="1"/>
      <name val="Bahnschrift SemiCondensed"/>
      <family val="2"/>
    </font>
    <font>
      <b/>
      <sz val="28"/>
      <color theme="1"/>
      <name val="Aptos Narrow"/>
      <family val="2"/>
      <scheme val="minor"/>
    </font>
    <font>
      <b/>
      <sz val="10"/>
      <color theme="1"/>
      <name val="Arial Nova Cond"/>
      <family val="2"/>
    </font>
    <font>
      <b/>
      <sz val="9"/>
      <color theme="1"/>
      <name val="Arial Nova Cond"/>
      <family val="2"/>
    </font>
    <font>
      <sz val="10"/>
      <color theme="1"/>
      <name val="Arial Nova Cond"/>
      <family val="2"/>
    </font>
    <font>
      <sz val="9"/>
      <color theme="1"/>
      <name val="Arial Nova Cond"/>
      <family val="2"/>
    </font>
    <font>
      <sz val="11"/>
      <color theme="1"/>
      <name val="Bahnschrift SemiCondensed"/>
      <family val="2"/>
    </font>
    <font>
      <b/>
      <sz val="11"/>
      <color theme="0"/>
      <name val="Arial Nova Cond"/>
      <family val="2"/>
    </font>
    <font>
      <b/>
      <sz val="11"/>
      <color theme="1"/>
      <name val="Bahnschrift SemiCondensed"/>
      <family val="2"/>
    </font>
    <font>
      <sz val="11"/>
      <color theme="1"/>
      <name val="Arial Nova Cond"/>
      <family val="2"/>
    </font>
    <font>
      <b/>
      <sz val="11"/>
      <color theme="1"/>
      <name val="Arial Nova Cond"/>
      <family val="2"/>
    </font>
    <font>
      <b/>
      <sz val="11"/>
      <color rgb="FFFF0000"/>
      <name val="Arial Nova Cond"/>
      <family val="2"/>
    </font>
    <font>
      <b/>
      <sz val="12"/>
      <color theme="1"/>
      <name val="Arial Nova Cond"/>
      <family val="2"/>
    </font>
    <font>
      <b/>
      <sz val="11"/>
      <color theme="1"/>
      <name val="Aptos Narrow"/>
      <family val="2"/>
      <scheme val="minor"/>
    </font>
  </fonts>
  <fills count="4">
    <fill>
      <patternFill patternType="none"/>
    </fill>
    <fill>
      <patternFill patternType="gray125"/>
    </fill>
    <fill>
      <patternFill patternType="solid">
        <fgColor theme="2"/>
        <bgColor indexed="64"/>
      </patternFill>
    </fill>
    <fill>
      <patternFill patternType="solid">
        <fgColor theme="1"/>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theme="4" tint="0.39997558519241921"/>
      </top>
      <bottom style="thin">
        <color theme="4" tint="0.39997558519241921"/>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s>
  <cellStyleXfs count="3">
    <xf numFmtId="0" fontId="0" fillId="0" borderId="0"/>
    <xf numFmtId="44" fontId="1" fillId="0" borderId="0" applyFont="0" applyFill="0" applyBorder="0" applyAlignment="0" applyProtection="0"/>
    <xf numFmtId="165" fontId="1" fillId="0" borderId="0" applyFont="0" applyFill="0" applyBorder="0" applyAlignment="0" applyProtection="0"/>
  </cellStyleXfs>
  <cellXfs count="107">
    <xf numFmtId="0" fontId="0" fillId="0" borderId="0" xfId="0"/>
    <xf numFmtId="0" fontId="0" fillId="0" borderId="6" xfId="0" applyBorder="1"/>
    <xf numFmtId="0" fontId="0" fillId="0" borderId="10" xfId="0" applyBorder="1"/>
    <xf numFmtId="0" fontId="0" fillId="0" borderId="5" xfId="0" applyBorder="1"/>
    <xf numFmtId="0" fontId="0" fillId="0" borderId="12" xfId="0" applyBorder="1"/>
    <xf numFmtId="0" fontId="0" fillId="0" borderId="7" xfId="0" applyBorder="1"/>
    <xf numFmtId="0" fontId="0" fillId="3" borderId="13" xfId="0" applyFill="1" applyBorder="1"/>
    <xf numFmtId="0" fontId="0" fillId="3" borderId="0" xfId="0" applyFill="1"/>
    <xf numFmtId="0" fontId="3" fillId="3" borderId="0" xfId="0" applyFont="1" applyFill="1" applyAlignment="1">
      <alignment horizontal="center" wrapText="1"/>
    </xf>
    <xf numFmtId="169" fontId="4" fillId="2" borderId="1" xfId="0" applyNumberFormat="1" applyFont="1" applyFill="1" applyBorder="1" applyAlignment="1">
      <alignment horizontal="right"/>
    </xf>
    <xf numFmtId="166" fontId="4" fillId="0" borderId="1" xfId="0" applyNumberFormat="1" applyFont="1" applyBorder="1" applyAlignment="1">
      <alignment horizontal="left" vertical="center"/>
    </xf>
    <xf numFmtId="166" fontId="4" fillId="2" borderId="1" xfId="0" applyNumberFormat="1" applyFont="1" applyFill="1" applyBorder="1" applyAlignment="1">
      <alignment horizontal="center"/>
    </xf>
    <xf numFmtId="166" fontId="4" fillId="0" borderId="1" xfId="0" applyNumberFormat="1" applyFont="1" applyBorder="1" applyAlignment="1">
      <alignment horizontal="left"/>
    </xf>
    <xf numFmtId="0" fontId="5" fillId="2" borderId="1" xfId="0" applyFont="1" applyFill="1" applyBorder="1" applyAlignment="1">
      <alignment horizontal="center"/>
    </xf>
    <xf numFmtId="0" fontId="5" fillId="2" borderId="1" xfId="0" applyFont="1" applyFill="1" applyBorder="1" applyAlignment="1" applyProtection="1">
      <alignment horizontal="center"/>
      <protection locked="0"/>
    </xf>
    <xf numFmtId="0" fontId="8" fillId="3" borderId="14" xfId="0" applyFont="1" applyFill="1" applyBorder="1"/>
    <xf numFmtId="0" fontId="8" fillId="3" borderId="15" xfId="0" applyFont="1" applyFill="1" applyBorder="1"/>
    <xf numFmtId="0" fontId="10" fillId="0" borderId="16" xfId="0" applyFont="1" applyBorder="1" applyAlignment="1">
      <alignment horizontal="center"/>
    </xf>
    <xf numFmtId="0" fontId="10" fillId="0" borderId="17" xfId="0" applyFont="1" applyBorder="1" applyAlignment="1">
      <alignment horizontal="center"/>
    </xf>
    <xf numFmtId="0" fontId="10" fillId="0" borderId="18" xfId="0" applyFont="1" applyBorder="1" applyAlignment="1">
      <alignment horizontal="center"/>
    </xf>
    <xf numFmtId="0" fontId="10" fillId="0" borderId="19" xfId="0" applyFont="1" applyBorder="1" applyAlignment="1">
      <alignment horizontal="center"/>
    </xf>
    <xf numFmtId="0" fontId="10" fillId="0" borderId="20" xfId="0" applyFont="1" applyBorder="1" applyAlignment="1">
      <alignment horizontal="center"/>
    </xf>
    <xf numFmtId="168" fontId="6" fillId="0" borderId="2" xfId="0" applyNumberFormat="1" applyFont="1" applyBorder="1" applyAlignment="1">
      <alignment horizontal="left"/>
    </xf>
    <xf numFmtId="170" fontId="6" fillId="0" borderId="2" xfId="2" applyNumberFormat="1" applyFont="1" applyBorder="1" applyAlignment="1">
      <alignment horizontal="center"/>
    </xf>
    <xf numFmtId="44" fontId="6" fillId="0" borderId="2" xfId="1" applyFont="1" applyBorder="1" applyAlignment="1">
      <alignment horizontal="center"/>
    </xf>
    <xf numFmtId="44" fontId="6" fillId="2" borderId="2" xfId="1" applyFont="1" applyFill="1" applyBorder="1" applyProtection="1"/>
    <xf numFmtId="44" fontId="6" fillId="0" borderId="2" xfId="1" applyFont="1" applyBorder="1" applyProtection="1"/>
    <xf numFmtId="0" fontId="11" fillId="2" borderId="11" xfId="0" applyFont="1" applyFill="1" applyBorder="1" applyAlignment="1">
      <alignment horizontal="center"/>
    </xf>
    <xf numFmtId="0" fontId="12" fillId="0" borderId="1" xfId="0" applyFont="1" applyBorder="1"/>
    <xf numFmtId="164" fontId="11" fillId="0" borderId="1" xfId="0" applyNumberFormat="1" applyFont="1" applyBorder="1"/>
    <xf numFmtId="0" fontId="11" fillId="2" borderId="12" xfId="0" applyFont="1" applyFill="1" applyBorder="1"/>
    <xf numFmtId="0" fontId="11" fillId="2" borderId="0" xfId="0" applyFont="1" applyFill="1"/>
    <xf numFmtId="0" fontId="11" fillId="2" borderId="0" xfId="0" applyFont="1" applyFill="1" applyAlignment="1">
      <alignment horizontal="right" vertical="center" wrapText="1"/>
    </xf>
    <xf numFmtId="167" fontId="11" fillId="2" borderId="8" xfId="0" applyNumberFormat="1" applyFont="1" applyFill="1" applyBorder="1" applyAlignment="1">
      <alignment horizontal="left" vertical="center" wrapText="1"/>
    </xf>
    <xf numFmtId="44" fontId="11" fillId="2" borderId="1" xfId="1" applyFont="1" applyFill="1" applyBorder="1" applyProtection="1">
      <protection locked="0"/>
    </xf>
    <xf numFmtId="0" fontId="5" fillId="0" borderId="1" xfId="0" applyFont="1" applyBorder="1"/>
    <xf numFmtId="167" fontId="13" fillId="2" borderId="8" xfId="0" applyNumberFormat="1" applyFont="1" applyFill="1" applyBorder="1" applyAlignment="1">
      <alignment horizontal="left" vertical="center" wrapText="1"/>
    </xf>
    <xf numFmtId="44" fontId="11" fillId="0" borderId="1" xfId="0" applyNumberFormat="1" applyFont="1" applyBorder="1"/>
    <xf numFmtId="0" fontId="11" fillId="2" borderId="8" xfId="0" applyFont="1" applyFill="1" applyBorder="1" applyAlignment="1">
      <alignment horizontal="left" vertical="center" wrapText="1"/>
    </xf>
    <xf numFmtId="0" fontId="11" fillId="2" borderId="0" xfId="0" applyFont="1" applyFill="1" applyAlignment="1">
      <alignment vertical="center" wrapText="1"/>
    </xf>
    <xf numFmtId="0" fontId="11" fillId="2" borderId="8" xfId="0" applyFont="1" applyFill="1" applyBorder="1" applyAlignment="1">
      <alignment vertical="center" wrapText="1"/>
    </xf>
    <xf numFmtId="0" fontId="7" fillId="2" borderId="9" xfId="0" applyFont="1" applyFill="1" applyBorder="1" applyAlignment="1">
      <alignment horizontal="center"/>
    </xf>
    <xf numFmtId="0" fontId="14" fillId="0" borderId="1" xfId="0" applyFont="1" applyBorder="1"/>
    <xf numFmtId="44" fontId="14" fillId="0" borderId="1" xfId="0" applyNumberFormat="1" applyFont="1" applyBorder="1"/>
    <xf numFmtId="0" fontId="2" fillId="0" borderId="5" xfId="0" applyFont="1" applyBorder="1" applyAlignment="1">
      <alignment vertical="center" wrapText="1"/>
    </xf>
    <xf numFmtId="0" fontId="2" fillId="0" borderId="0" xfId="0" applyFont="1" applyAlignment="1">
      <alignment vertical="center" wrapText="1"/>
    </xf>
    <xf numFmtId="0" fontId="2" fillId="0" borderId="6" xfId="0" applyFont="1" applyBorder="1" applyAlignment="1">
      <alignment vertical="center" wrapText="1"/>
    </xf>
    <xf numFmtId="164" fontId="0" fillId="0" borderId="0" xfId="0" applyNumberFormat="1"/>
    <xf numFmtId="44" fontId="0" fillId="0" borderId="0" xfId="0" applyNumberFormat="1"/>
    <xf numFmtId="0" fontId="4" fillId="2" borderId="3" xfId="0" applyFont="1" applyFill="1" applyBorder="1"/>
    <xf numFmtId="0" fontId="5" fillId="2" borderId="3" xfId="0" applyFont="1" applyFill="1" applyBorder="1"/>
    <xf numFmtId="0" fontId="7" fillId="2" borderId="3" xfId="0" applyFont="1" applyFill="1" applyBorder="1"/>
    <xf numFmtId="0" fontId="0" fillId="0" borderId="21" xfId="0" applyBorder="1"/>
    <xf numFmtId="0" fontId="10" fillId="0" borderId="22" xfId="0" applyFont="1" applyBorder="1" applyAlignment="1">
      <alignment horizontal="center"/>
    </xf>
    <xf numFmtId="0" fontId="0" fillId="0" borderId="1" xfId="0" applyBorder="1"/>
    <xf numFmtId="165" fontId="0" fillId="0" borderId="0" xfId="2" applyFont="1"/>
    <xf numFmtId="0" fontId="10" fillId="0" borderId="23" xfId="0" applyFont="1" applyBorder="1" applyAlignment="1">
      <alignment horizontal="center"/>
    </xf>
    <xf numFmtId="0" fontId="8" fillId="3" borderId="13" xfId="0" applyFont="1" applyFill="1" applyBorder="1"/>
    <xf numFmtId="165" fontId="0" fillId="0" borderId="0" xfId="2" applyFont="1" applyBorder="1"/>
    <xf numFmtId="165" fontId="15" fillId="0" borderId="0" xfId="2" applyFont="1" applyBorder="1"/>
    <xf numFmtId="165" fontId="1" fillId="0" borderId="0" xfId="2" applyFont="1" applyBorder="1"/>
    <xf numFmtId="0" fontId="10" fillId="0" borderId="24" xfId="0" applyFont="1" applyBorder="1" applyAlignment="1">
      <alignment horizontal="center"/>
    </xf>
    <xf numFmtId="0" fontId="0" fillId="0" borderId="1" xfId="0" applyBorder="1" applyAlignment="1">
      <alignment horizontal="left"/>
    </xf>
    <xf numFmtId="0" fontId="0" fillId="0" borderId="2" xfId="0" applyBorder="1" applyAlignment="1">
      <alignment horizontal="left"/>
    </xf>
    <xf numFmtId="0" fontId="10" fillId="0" borderId="25" xfId="0" applyFont="1" applyBorder="1" applyAlignment="1">
      <alignment horizontal="center"/>
    </xf>
    <xf numFmtId="0" fontId="10" fillId="0" borderId="26" xfId="0" applyFont="1" applyBorder="1" applyAlignment="1">
      <alignment horizontal="center"/>
    </xf>
    <xf numFmtId="0" fontId="10" fillId="0" borderId="27" xfId="0" applyFont="1" applyBorder="1" applyAlignment="1">
      <alignment horizontal="center"/>
    </xf>
    <xf numFmtId="168" fontId="6" fillId="0" borderId="1" xfId="0" applyNumberFormat="1" applyFont="1" applyBorder="1" applyAlignment="1">
      <alignment horizontal="left"/>
    </xf>
    <xf numFmtId="170" fontId="6" fillId="0" borderId="1" xfId="2" applyNumberFormat="1" applyFont="1" applyBorder="1" applyAlignment="1">
      <alignment horizontal="center"/>
    </xf>
    <xf numFmtId="44" fontId="6" fillId="0" borderId="1" xfId="1" applyFont="1" applyBorder="1" applyAlignment="1">
      <alignment horizontal="center"/>
    </xf>
    <xf numFmtId="44" fontId="6" fillId="2" borderId="1" xfId="1" applyFont="1" applyFill="1" applyBorder="1" applyProtection="1"/>
    <xf numFmtId="0" fontId="6" fillId="0" borderId="1" xfId="0" applyFont="1" applyBorder="1" applyAlignment="1">
      <alignment horizontal="center"/>
    </xf>
    <xf numFmtId="0" fontId="6" fillId="0" borderId="1" xfId="0" applyFont="1" applyBorder="1"/>
    <xf numFmtId="0" fontId="10" fillId="0" borderId="28" xfId="0" applyFont="1" applyBorder="1" applyAlignment="1">
      <alignment horizontal="center"/>
    </xf>
    <xf numFmtId="44" fontId="6" fillId="0" borderId="1" xfId="1" applyFont="1" applyBorder="1" applyProtection="1"/>
    <xf numFmtId="0" fontId="8" fillId="3" borderId="0" xfId="0" applyFont="1" applyFill="1"/>
    <xf numFmtId="0" fontId="10" fillId="0" borderId="1" xfId="0" applyFont="1" applyBorder="1" applyAlignment="1">
      <alignment horizontal="center"/>
    </xf>
    <xf numFmtId="0" fontId="2" fillId="0" borderId="5"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0" xfId="0" applyFont="1" applyAlignment="1">
      <alignment horizontal="center" vertical="center" wrapText="1"/>
    </xf>
    <xf numFmtId="0" fontId="2" fillId="0" borderId="8" xfId="0" applyFont="1" applyBorder="1" applyAlignment="1">
      <alignment horizontal="center" vertical="center" wrapText="1"/>
    </xf>
    <xf numFmtId="0" fontId="2" fillId="0" borderId="6" xfId="0" applyFont="1" applyBorder="1" applyAlignment="1">
      <alignment horizontal="center" vertical="center" wrapText="1"/>
    </xf>
    <xf numFmtId="0" fontId="2" fillId="0" borderId="9" xfId="0" applyFont="1" applyBorder="1" applyAlignment="1">
      <alignment horizontal="center" vertical="center" wrapText="1"/>
    </xf>
    <xf numFmtId="0" fontId="9" fillId="3" borderId="5" xfId="0" applyFont="1" applyFill="1" applyBorder="1" applyAlignment="1">
      <alignment horizontal="center"/>
    </xf>
    <xf numFmtId="0" fontId="11" fillId="2" borderId="10" xfId="0" applyFont="1" applyFill="1" applyBorder="1" applyAlignment="1">
      <alignment horizontal="center"/>
    </xf>
    <xf numFmtId="0" fontId="11" fillId="2" borderId="5" xfId="0" applyFont="1" applyFill="1" applyBorder="1" applyAlignment="1">
      <alignment horizontal="center"/>
    </xf>
    <xf numFmtId="0" fontId="11" fillId="2" borderId="11" xfId="0" applyFont="1" applyFill="1" applyBorder="1" applyAlignment="1">
      <alignment horizontal="center"/>
    </xf>
    <xf numFmtId="167" fontId="11" fillId="2" borderId="0" xfId="0" applyNumberFormat="1" applyFont="1" applyFill="1" applyAlignment="1">
      <alignment horizontal="left" vertical="center" wrapText="1"/>
    </xf>
    <xf numFmtId="167" fontId="11" fillId="2" borderId="8" xfId="0" applyNumberFormat="1" applyFont="1" applyFill="1" applyBorder="1" applyAlignment="1">
      <alignment horizontal="left" vertical="center" wrapText="1"/>
    </xf>
    <xf numFmtId="0" fontId="5" fillId="2" borderId="1" xfId="0" applyFont="1" applyFill="1" applyBorder="1" applyAlignment="1">
      <alignment horizontal="center"/>
    </xf>
    <xf numFmtId="168" fontId="7" fillId="0" borderId="1" xfId="0" applyNumberFormat="1" applyFont="1" applyBorder="1"/>
    <xf numFmtId="0" fontId="7" fillId="0" borderId="1" xfId="0" applyFont="1" applyBorder="1" applyProtection="1">
      <protection locked="0"/>
    </xf>
    <xf numFmtId="168" fontId="4" fillId="0" borderId="1" xfId="0" applyNumberFormat="1" applyFont="1" applyBorder="1"/>
    <xf numFmtId="0" fontId="4" fillId="0" borderId="1" xfId="0" applyFont="1" applyBorder="1"/>
    <xf numFmtId="0" fontId="7" fillId="2" borderId="7" xfId="0" applyFont="1" applyFill="1" applyBorder="1" applyAlignment="1">
      <alignment horizontal="center"/>
    </xf>
    <xf numFmtId="0" fontId="7" fillId="2" borderId="6" xfId="0" applyFont="1" applyFill="1" applyBorder="1" applyAlignment="1">
      <alignment horizontal="center"/>
    </xf>
    <xf numFmtId="0" fontId="7" fillId="2" borderId="9" xfId="0" applyFont="1" applyFill="1" applyBorder="1" applyAlignment="1">
      <alignment horizontal="center"/>
    </xf>
    <xf numFmtId="167" fontId="13" fillId="2" borderId="0" xfId="0" applyNumberFormat="1" applyFont="1" applyFill="1" applyAlignment="1">
      <alignment horizontal="left" vertical="center" wrapText="1"/>
    </xf>
    <xf numFmtId="167" fontId="13" fillId="2" borderId="8" xfId="0" applyNumberFormat="1" applyFont="1" applyFill="1" applyBorder="1" applyAlignment="1">
      <alignment horizontal="left" vertical="center" wrapText="1"/>
    </xf>
    <xf numFmtId="0" fontId="11" fillId="2" borderId="0" xfId="0" applyFont="1" applyFill="1" applyAlignment="1">
      <alignment horizontal="left" vertical="center" wrapText="1"/>
    </xf>
    <xf numFmtId="0" fontId="11" fillId="2" borderId="8" xfId="0" applyFont="1" applyFill="1" applyBorder="1" applyAlignment="1">
      <alignment horizontal="left" vertical="center" wrapText="1"/>
    </xf>
    <xf numFmtId="168" fontId="4" fillId="0" borderId="1" xfId="0" applyNumberFormat="1" applyFont="1" applyBorder="1" applyAlignment="1">
      <alignment horizontal="center"/>
    </xf>
    <xf numFmtId="0" fontId="5" fillId="2" borderId="1" xfId="0" applyFont="1" applyFill="1" applyBorder="1" applyAlignment="1" applyProtection="1">
      <alignment horizontal="center"/>
      <protection locked="0"/>
    </xf>
    <xf numFmtId="168" fontId="6" fillId="0" borderId="3" xfId="0" applyNumberFormat="1" applyFont="1" applyBorder="1" applyAlignment="1">
      <alignment horizontal="left"/>
    </xf>
    <xf numFmtId="168" fontId="6" fillId="0" borderId="4" xfId="0" applyNumberFormat="1" applyFont="1" applyBorder="1" applyAlignment="1">
      <alignment horizontal="left"/>
    </xf>
    <xf numFmtId="168" fontId="4" fillId="0" borderId="3" xfId="0" applyNumberFormat="1" applyFont="1" applyBorder="1" applyAlignment="1">
      <alignment horizontal="left"/>
    </xf>
    <xf numFmtId="168" fontId="4" fillId="0" borderId="4" xfId="0" applyNumberFormat="1" applyFont="1" applyBorder="1" applyAlignment="1">
      <alignment horizontal="left"/>
    </xf>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57151</xdr:rowOff>
    </xdr:from>
    <xdr:to>
      <xdr:col>2</xdr:col>
      <xdr:colOff>2777322</xdr:colOff>
      <xdr:row>4</xdr:row>
      <xdr:rowOff>123825</xdr:rowOff>
    </xdr:to>
    <xdr:pic>
      <xdr:nvPicPr>
        <xdr:cNvPr id="2" name="Picture 1">
          <a:extLst>
            <a:ext uri="{FF2B5EF4-FFF2-40B4-BE49-F238E27FC236}">
              <a16:creationId xmlns:a16="http://schemas.microsoft.com/office/drawing/2014/main" id="{D4DA9AA4-F1A4-4BA4-A669-D71087476C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76225" y="57151"/>
          <a:ext cx="3710772" cy="828674"/>
        </a:xfrm>
        <a:prstGeom prst="rect">
          <a:avLst/>
        </a:prstGeom>
      </xdr:spPr>
    </xdr:pic>
    <xdr:clientData/>
  </xdr:twoCellAnchor>
  <xdr:twoCellAnchor editAs="oneCell">
    <xdr:from>
      <xdr:col>3</xdr:col>
      <xdr:colOff>133350</xdr:colOff>
      <xdr:row>0</xdr:row>
      <xdr:rowOff>19050</xdr:rowOff>
    </xdr:from>
    <xdr:to>
      <xdr:col>3</xdr:col>
      <xdr:colOff>2028825</xdr:colOff>
      <xdr:row>5</xdr:row>
      <xdr:rowOff>15265</xdr:rowOff>
    </xdr:to>
    <xdr:pic>
      <xdr:nvPicPr>
        <xdr:cNvPr id="3" name="Picture 2">
          <a:extLst>
            <a:ext uri="{FF2B5EF4-FFF2-40B4-BE49-F238E27FC236}">
              <a16:creationId xmlns:a16="http://schemas.microsoft.com/office/drawing/2014/main" id="{C11A6929-EE86-46D0-95B0-B7C492991FA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305300" y="19050"/>
          <a:ext cx="1895475" cy="9487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57151</xdr:rowOff>
    </xdr:from>
    <xdr:to>
      <xdr:col>2</xdr:col>
      <xdr:colOff>2777322</xdr:colOff>
      <xdr:row>4</xdr:row>
      <xdr:rowOff>123825</xdr:rowOff>
    </xdr:to>
    <xdr:pic>
      <xdr:nvPicPr>
        <xdr:cNvPr id="2" name="Picture 1">
          <a:extLst>
            <a:ext uri="{FF2B5EF4-FFF2-40B4-BE49-F238E27FC236}">
              <a16:creationId xmlns:a16="http://schemas.microsoft.com/office/drawing/2014/main" id="{D08D17FD-B170-4E55-97C6-AFF0D6751D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76225" y="57151"/>
          <a:ext cx="3710772" cy="828674"/>
        </a:xfrm>
        <a:prstGeom prst="rect">
          <a:avLst/>
        </a:prstGeom>
      </xdr:spPr>
    </xdr:pic>
    <xdr:clientData/>
  </xdr:twoCellAnchor>
  <xdr:twoCellAnchor editAs="oneCell">
    <xdr:from>
      <xdr:col>3</xdr:col>
      <xdr:colOff>133350</xdr:colOff>
      <xdr:row>0</xdr:row>
      <xdr:rowOff>19050</xdr:rowOff>
    </xdr:from>
    <xdr:to>
      <xdr:col>3</xdr:col>
      <xdr:colOff>2028825</xdr:colOff>
      <xdr:row>5</xdr:row>
      <xdr:rowOff>15265</xdr:rowOff>
    </xdr:to>
    <xdr:pic>
      <xdr:nvPicPr>
        <xdr:cNvPr id="3" name="Picture 2">
          <a:extLst>
            <a:ext uri="{FF2B5EF4-FFF2-40B4-BE49-F238E27FC236}">
              <a16:creationId xmlns:a16="http://schemas.microsoft.com/office/drawing/2014/main" id="{B93BFA00-D216-4F22-8EB5-4EEA57831E9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305300" y="19050"/>
          <a:ext cx="1895475" cy="9487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76200</xdr:colOff>
      <xdr:row>0</xdr:row>
      <xdr:rowOff>46095</xdr:rowOff>
    </xdr:from>
    <xdr:to>
      <xdr:col>2</xdr:col>
      <xdr:colOff>2893086</xdr:colOff>
      <xdr:row>4</xdr:row>
      <xdr:rowOff>142875</xdr:rowOff>
    </xdr:to>
    <xdr:pic>
      <xdr:nvPicPr>
        <xdr:cNvPr id="2" name="Picture 1">
          <a:extLst>
            <a:ext uri="{FF2B5EF4-FFF2-40B4-BE49-F238E27FC236}">
              <a16:creationId xmlns:a16="http://schemas.microsoft.com/office/drawing/2014/main" id="{32EDC980-2424-43C7-9D08-7C8544B6E8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57175" y="46095"/>
          <a:ext cx="3845586" cy="858780"/>
        </a:xfrm>
        <a:prstGeom prst="rect">
          <a:avLst/>
        </a:prstGeom>
      </xdr:spPr>
    </xdr:pic>
    <xdr:clientData/>
  </xdr:twoCellAnchor>
  <xdr:twoCellAnchor editAs="oneCell">
    <xdr:from>
      <xdr:col>1</xdr:col>
      <xdr:colOff>190500</xdr:colOff>
      <xdr:row>126</xdr:row>
      <xdr:rowOff>178138</xdr:rowOff>
    </xdr:from>
    <xdr:to>
      <xdr:col>2</xdr:col>
      <xdr:colOff>970860</xdr:colOff>
      <xdr:row>132</xdr:row>
      <xdr:rowOff>9526</xdr:rowOff>
    </xdr:to>
    <xdr:pic>
      <xdr:nvPicPr>
        <xdr:cNvPr id="3" name="Picture 2">
          <a:extLst>
            <a:ext uri="{FF2B5EF4-FFF2-40B4-BE49-F238E27FC236}">
              <a16:creationId xmlns:a16="http://schemas.microsoft.com/office/drawing/2014/main" id="{C6B9A523-9D07-4EDE-A639-2D65031657C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475" y="11131888"/>
          <a:ext cx="1809060" cy="974388"/>
        </a:xfrm>
        <a:prstGeom prst="rect">
          <a:avLst/>
        </a:prstGeom>
      </xdr:spPr>
    </xdr:pic>
    <xdr:clientData/>
  </xdr:twoCellAnchor>
  <xdr:twoCellAnchor editAs="oneCell">
    <xdr:from>
      <xdr:col>3</xdr:col>
      <xdr:colOff>219075</xdr:colOff>
      <xdr:row>0</xdr:row>
      <xdr:rowOff>0</xdr:rowOff>
    </xdr:from>
    <xdr:to>
      <xdr:col>3</xdr:col>
      <xdr:colOff>2114550</xdr:colOff>
      <xdr:row>4</xdr:row>
      <xdr:rowOff>186715</xdr:rowOff>
    </xdr:to>
    <xdr:pic>
      <xdr:nvPicPr>
        <xdr:cNvPr id="5" name="Picture 4">
          <a:extLst>
            <a:ext uri="{FF2B5EF4-FFF2-40B4-BE49-F238E27FC236}">
              <a16:creationId xmlns:a16="http://schemas.microsoft.com/office/drawing/2014/main" id="{79F50F59-062E-411E-AC7A-1667101F758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4391025" y="0"/>
          <a:ext cx="1895475" cy="9487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76200</xdr:colOff>
      <xdr:row>0</xdr:row>
      <xdr:rowOff>46095</xdr:rowOff>
    </xdr:from>
    <xdr:to>
      <xdr:col>2</xdr:col>
      <xdr:colOff>2893086</xdr:colOff>
      <xdr:row>4</xdr:row>
      <xdr:rowOff>142875</xdr:rowOff>
    </xdr:to>
    <xdr:pic>
      <xdr:nvPicPr>
        <xdr:cNvPr id="2" name="Picture 1">
          <a:extLst>
            <a:ext uri="{FF2B5EF4-FFF2-40B4-BE49-F238E27FC236}">
              <a16:creationId xmlns:a16="http://schemas.microsoft.com/office/drawing/2014/main" id="{DBEE8191-1674-44E8-8419-636D6A16E2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57175" y="46095"/>
          <a:ext cx="3845586" cy="858780"/>
        </a:xfrm>
        <a:prstGeom prst="rect">
          <a:avLst/>
        </a:prstGeom>
      </xdr:spPr>
    </xdr:pic>
    <xdr:clientData/>
  </xdr:twoCellAnchor>
  <xdr:twoCellAnchor editAs="oneCell">
    <xdr:from>
      <xdr:col>1</xdr:col>
      <xdr:colOff>190500</xdr:colOff>
      <xdr:row>126</xdr:row>
      <xdr:rowOff>178138</xdr:rowOff>
    </xdr:from>
    <xdr:to>
      <xdr:col>2</xdr:col>
      <xdr:colOff>970860</xdr:colOff>
      <xdr:row>132</xdr:row>
      <xdr:rowOff>9526</xdr:rowOff>
    </xdr:to>
    <xdr:pic>
      <xdr:nvPicPr>
        <xdr:cNvPr id="3" name="Picture 2">
          <a:extLst>
            <a:ext uri="{FF2B5EF4-FFF2-40B4-BE49-F238E27FC236}">
              <a16:creationId xmlns:a16="http://schemas.microsoft.com/office/drawing/2014/main" id="{43B8CAEC-ADA8-4845-9BA9-D23D1CC1558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475" y="24466888"/>
          <a:ext cx="1809060" cy="974388"/>
        </a:xfrm>
        <a:prstGeom prst="rect">
          <a:avLst/>
        </a:prstGeom>
      </xdr:spPr>
    </xdr:pic>
    <xdr:clientData/>
  </xdr:twoCellAnchor>
  <xdr:twoCellAnchor editAs="oneCell">
    <xdr:from>
      <xdr:col>3</xdr:col>
      <xdr:colOff>219075</xdr:colOff>
      <xdr:row>0</xdr:row>
      <xdr:rowOff>0</xdr:rowOff>
    </xdr:from>
    <xdr:to>
      <xdr:col>3</xdr:col>
      <xdr:colOff>2114550</xdr:colOff>
      <xdr:row>4</xdr:row>
      <xdr:rowOff>186715</xdr:rowOff>
    </xdr:to>
    <xdr:pic>
      <xdr:nvPicPr>
        <xdr:cNvPr id="4" name="Picture 3">
          <a:extLst>
            <a:ext uri="{FF2B5EF4-FFF2-40B4-BE49-F238E27FC236}">
              <a16:creationId xmlns:a16="http://schemas.microsoft.com/office/drawing/2014/main" id="{77615B06-8286-4727-9A95-911F3AFD73F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4391025" y="0"/>
          <a:ext cx="1895475" cy="9487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76200</xdr:colOff>
      <xdr:row>0</xdr:row>
      <xdr:rowOff>46095</xdr:rowOff>
    </xdr:from>
    <xdr:to>
      <xdr:col>2</xdr:col>
      <xdr:colOff>2893086</xdr:colOff>
      <xdr:row>4</xdr:row>
      <xdr:rowOff>142875</xdr:rowOff>
    </xdr:to>
    <xdr:pic>
      <xdr:nvPicPr>
        <xdr:cNvPr id="2" name="Picture 1">
          <a:extLst>
            <a:ext uri="{FF2B5EF4-FFF2-40B4-BE49-F238E27FC236}">
              <a16:creationId xmlns:a16="http://schemas.microsoft.com/office/drawing/2014/main" id="{31DFA2E1-7E35-4CA6-B36D-A2D7A764E6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57175" y="46095"/>
          <a:ext cx="3845586" cy="858780"/>
        </a:xfrm>
        <a:prstGeom prst="rect">
          <a:avLst/>
        </a:prstGeom>
      </xdr:spPr>
    </xdr:pic>
    <xdr:clientData/>
  </xdr:twoCellAnchor>
  <xdr:twoCellAnchor editAs="oneCell">
    <xdr:from>
      <xdr:col>1</xdr:col>
      <xdr:colOff>190500</xdr:colOff>
      <xdr:row>126</xdr:row>
      <xdr:rowOff>178138</xdr:rowOff>
    </xdr:from>
    <xdr:to>
      <xdr:col>2</xdr:col>
      <xdr:colOff>970860</xdr:colOff>
      <xdr:row>132</xdr:row>
      <xdr:rowOff>9526</xdr:rowOff>
    </xdr:to>
    <xdr:pic>
      <xdr:nvPicPr>
        <xdr:cNvPr id="3" name="Picture 2">
          <a:extLst>
            <a:ext uri="{FF2B5EF4-FFF2-40B4-BE49-F238E27FC236}">
              <a16:creationId xmlns:a16="http://schemas.microsoft.com/office/drawing/2014/main" id="{60D257F5-8B90-442F-95DC-9A988A08FE4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475" y="24466888"/>
          <a:ext cx="1809060" cy="974388"/>
        </a:xfrm>
        <a:prstGeom prst="rect">
          <a:avLst/>
        </a:prstGeom>
      </xdr:spPr>
    </xdr:pic>
    <xdr:clientData/>
  </xdr:twoCellAnchor>
  <xdr:twoCellAnchor editAs="oneCell">
    <xdr:from>
      <xdr:col>3</xdr:col>
      <xdr:colOff>219075</xdr:colOff>
      <xdr:row>0</xdr:row>
      <xdr:rowOff>0</xdr:rowOff>
    </xdr:from>
    <xdr:to>
      <xdr:col>3</xdr:col>
      <xdr:colOff>2114550</xdr:colOff>
      <xdr:row>4</xdr:row>
      <xdr:rowOff>186715</xdr:rowOff>
    </xdr:to>
    <xdr:pic>
      <xdr:nvPicPr>
        <xdr:cNvPr id="4" name="Picture 3">
          <a:extLst>
            <a:ext uri="{FF2B5EF4-FFF2-40B4-BE49-F238E27FC236}">
              <a16:creationId xmlns:a16="http://schemas.microsoft.com/office/drawing/2014/main" id="{C8D99697-DD1F-4BC1-9E55-0861BEBE61D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4391025" y="0"/>
          <a:ext cx="1895475" cy="9487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76200</xdr:colOff>
      <xdr:row>0</xdr:row>
      <xdr:rowOff>46095</xdr:rowOff>
    </xdr:from>
    <xdr:to>
      <xdr:col>2</xdr:col>
      <xdr:colOff>2893086</xdr:colOff>
      <xdr:row>4</xdr:row>
      <xdr:rowOff>142875</xdr:rowOff>
    </xdr:to>
    <xdr:pic>
      <xdr:nvPicPr>
        <xdr:cNvPr id="2" name="Picture 1">
          <a:extLst>
            <a:ext uri="{FF2B5EF4-FFF2-40B4-BE49-F238E27FC236}">
              <a16:creationId xmlns:a16="http://schemas.microsoft.com/office/drawing/2014/main" id="{3C280B03-6C4F-4085-8C17-A74132A387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57175" y="46095"/>
          <a:ext cx="3845586" cy="858780"/>
        </a:xfrm>
        <a:prstGeom prst="rect">
          <a:avLst/>
        </a:prstGeom>
      </xdr:spPr>
    </xdr:pic>
    <xdr:clientData/>
  </xdr:twoCellAnchor>
  <xdr:twoCellAnchor editAs="oneCell">
    <xdr:from>
      <xdr:col>1</xdr:col>
      <xdr:colOff>190500</xdr:colOff>
      <xdr:row>126</xdr:row>
      <xdr:rowOff>178138</xdr:rowOff>
    </xdr:from>
    <xdr:to>
      <xdr:col>2</xdr:col>
      <xdr:colOff>970860</xdr:colOff>
      <xdr:row>132</xdr:row>
      <xdr:rowOff>9526</xdr:rowOff>
    </xdr:to>
    <xdr:pic>
      <xdr:nvPicPr>
        <xdr:cNvPr id="3" name="Picture 2">
          <a:extLst>
            <a:ext uri="{FF2B5EF4-FFF2-40B4-BE49-F238E27FC236}">
              <a16:creationId xmlns:a16="http://schemas.microsoft.com/office/drawing/2014/main" id="{494153A9-1B57-4EA3-A4E6-230ACAEF98C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475" y="24466888"/>
          <a:ext cx="1809060" cy="974388"/>
        </a:xfrm>
        <a:prstGeom prst="rect">
          <a:avLst/>
        </a:prstGeom>
      </xdr:spPr>
    </xdr:pic>
    <xdr:clientData/>
  </xdr:twoCellAnchor>
  <xdr:twoCellAnchor editAs="oneCell">
    <xdr:from>
      <xdr:col>3</xdr:col>
      <xdr:colOff>219075</xdr:colOff>
      <xdr:row>0</xdr:row>
      <xdr:rowOff>0</xdr:rowOff>
    </xdr:from>
    <xdr:to>
      <xdr:col>3</xdr:col>
      <xdr:colOff>2114550</xdr:colOff>
      <xdr:row>4</xdr:row>
      <xdr:rowOff>186715</xdr:rowOff>
    </xdr:to>
    <xdr:pic>
      <xdr:nvPicPr>
        <xdr:cNvPr id="4" name="Picture 3">
          <a:extLst>
            <a:ext uri="{FF2B5EF4-FFF2-40B4-BE49-F238E27FC236}">
              <a16:creationId xmlns:a16="http://schemas.microsoft.com/office/drawing/2014/main" id="{A1EF0AA6-2CA1-4B5F-B2C8-D5094042B49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4391025" y="0"/>
          <a:ext cx="1895475" cy="9487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95250</xdr:colOff>
      <xdr:row>0</xdr:row>
      <xdr:rowOff>57151</xdr:rowOff>
    </xdr:from>
    <xdr:to>
      <xdr:col>2</xdr:col>
      <xdr:colOff>2777322</xdr:colOff>
      <xdr:row>4</xdr:row>
      <xdr:rowOff>123825</xdr:rowOff>
    </xdr:to>
    <xdr:pic>
      <xdr:nvPicPr>
        <xdr:cNvPr id="2" name="Picture 1">
          <a:extLst>
            <a:ext uri="{FF2B5EF4-FFF2-40B4-BE49-F238E27FC236}">
              <a16:creationId xmlns:a16="http://schemas.microsoft.com/office/drawing/2014/main" id="{FD778E64-EB4F-40A6-BEF0-CF82F7A22C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76225" y="57151"/>
          <a:ext cx="3710772" cy="828674"/>
        </a:xfrm>
        <a:prstGeom prst="rect">
          <a:avLst/>
        </a:prstGeom>
      </xdr:spPr>
    </xdr:pic>
    <xdr:clientData/>
  </xdr:twoCellAnchor>
  <xdr:twoCellAnchor editAs="oneCell">
    <xdr:from>
      <xdr:col>3</xdr:col>
      <xdr:colOff>133350</xdr:colOff>
      <xdr:row>0</xdr:row>
      <xdr:rowOff>19050</xdr:rowOff>
    </xdr:from>
    <xdr:to>
      <xdr:col>3</xdr:col>
      <xdr:colOff>2028825</xdr:colOff>
      <xdr:row>5</xdr:row>
      <xdr:rowOff>15265</xdr:rowOff>
    </xdr:to>
    <xdr:pic>
      <xdr:nvPicPr>
        <xdr:cNvPr id="3" name="Picture 2">
          <a:extLst>
            <a:ext uri="{FF2B5EF4-FFF2-40B4-BE49-F238E27FC236}">
              <a16:creationId xmlns:a16="http://schemas.microsoft.com/office/drawing/2014/main" id="{E466453A-E7A4-45BB-84B7-70373A25937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305300" y="19050"/>
          <a:ext cx="1895475" cy="94871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95250</xdr:colOff>
      <xdr:row>0</xdr:row>
      <xdr:rowOff>57151</xdr:rowOff>
    </xdr:from>
    <xdr:to>
      <xdr:col>2</xdr:col>
      <xdr:colOff>2777322</xdr:colOff>
      <xdr:row>4</xdr:row>
      <xdr:rowOff>123825</xdr:rowOff>
    </xdr:to>
    <xdr:pic>
      <xdr:nvPicPr>
        <xdr:cNvPr id="5" name="Picture 4">
          <a:extLst>
            <a:ext uri="{FF2B5EF4-FFF2-40B4-BE49-F238E27FC236}">
              <a16:creationId xmlns:a16="http://schemas.microsoft.com/office/drawing/2014/main" id="{4A409009-7E51-48CC-AAEC-6F79C08ECB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76225" y="57151"/>
          <a:ext cx="3710772" cy="828674"/>
        </a:xfrm>
        <a:prstGeom prst="rect">
          <a:avLst/>
        </a:prstGeom>
      </xdr:spPr>
    </xdr:pic>
    <xdr:clientData/>
  </xdr:twoCellAnchor>
  <xdr:twoCellAnchor editAs="oneCell">
    <xdr:from>
      <xdr:col>3</xdr:col>
      <xdr:colOff>133350</xdr:colOff>
      <xdr:row>0</xdr:row>
      <xdr:rowOff>19050</xdr:rowOff>
    </xdr:from>
    <xdr:to>
      <xdr:col>3</xdr:col>
      <xdr:colOff>2028825</xdr:colOff>
      <xdr:row>5</xdr:row>
      <xdr:rowOff>15265</xdr:rowOff>
    </xdr:to>
    <xdr:pic>
      <xdr:nvPicPr>
        <xdr:cNvPr id="6" name="Picture 5">
          <a:extLst>
            <a:ext uri="{FF2B5EF4-FFF2-40B4-BE49-F238E27FC236}">
              <a16:creationId xmlns:a16="http://schemas.microsoft.com/office/drawing/2014/main" id="{8E4D0BF9-6A1B-4B4E-8059-639343B242F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305300" y="19050"/>
          <a:ext cx="1895475" cy="94871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95250</xdr:colOff>
      <xdr:row>0</xdr:row>
      <xdr:rowOff>57151</xdr:rowOff>
    </xdr:from>
    <xdr:to>
      <xdr:col>2</xdr:col>
      <xdr:colOff>2777322</xdr:colOff>
      <xdr:row>4</xdr:row>
      <xdr:rowOff>123825</xdr:rowOff>
    </xdr:to>
    <xdr:pic>
      <xdr:nvPicPr>
        <xdr:cNvPr id="5" name="Picture 4">
          <a:extLst>
            <a:ext uri="{FF2B5EF4-FFF2-40B4-BE49-F238E27FC236}">
              <a16:creationId xmlns:a16="http://schemas.microsoft.com/office/drawing/2014/main" id="{F1ACACD0-9BFA-47B7-B216-65C72AE1F2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76225" y="57151"/>
          <a:ext cx="3710772" cy="828674"/>
        </a:xfrm>
        <a:prstGeom prst="rect">
          <a:avLst/>
        </a:prstGeom>
      </xdr:spPr>
    </xdr:pic>
    <xdr:clientData/>
  </xdr:twoCellAnchor>
  <xdr:twoCellAnchor editAs="oneCell">
    <xdr:from>
      <xdr:col>3</xdr:col>
      <xdr:colOff>133350</xdr:colOff>
      <xdr:row>0</xdr:row>
      <xdr:rowOff>19050</xdr:rowOff>
    </xdr:from>
    <xdr:to>
      <xdr:col>3</xdr:col>
      <xdr:colOff>2028825</xdr:colOff>
      <xdr:row>5</xdr:row>
      <xdr:rowOff>15265</xdr:rowOff>
    </xdr:to>
    <xdr:pic>
      <xdr:nvPicPr>
        <xdr:cNvPr id="6" name="Picture 5">
          <a:extLst>
            <a:ext uri="{FF2B5EF4-FFF2-40B4-BE49-F238E27FC236}">
              <a16:creationId xmlns:a16="http://schemas.microsoft.com/office/drawing/2014/main" id="{629ADD4B-7844-4C9F-A57D-0D7A5ED7658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305300" y="19050"/>
          <a:ext cx="1895475" cy="94871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95250</xdr:colOff>
      <xdr:row>0</xdr:row>
      <xdr:rowOff>57151</xdr:rowOff>
    </xdr:from>
    <xdr:to>
      <xdr:col>2</xdr:col>
      <xdr:colOff>2777322</xdr:colOff>
      <xdr:row>4</xdr:row>
      <xdr:rowOff>123825</xdr:rowOff>
    </xdr:to>
    <xdr:pic>
      <xdr:nvPicPr>
        <xdr:cNvPr id="2" name="Picture 1">
          <a:extLst>
            <a:ext uri="{FF2B5EF4-FFF2-40B4-BE49-F238E27FC236}">
              <a16:creationId xmlns:a16="http://schemas.microsoft.com/office/drawing/2014/main" id="{A1998D37-FD78-4262-9A42-114C08FD3E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76225" y="57151"/>
          <a:ext cx="3710772" cy="828674"/>
        </a:xfrm>
        <a:prstGeom prst="rect">
          <a:avLst/>
        </a:prstGeom>
      </xdr:spPr>
    </xdr:pic>
    <xdr:clientData/>
  </xdr:twoCellAnchor>
  <xdr:twoCellAnchor editAs="oneCell">
    <xdr:from>
      <xdr:col>3</xdr:col>
      <xdr:colOff>133350</xdr:colOff>
      <xdr:row>0</xdr:row>
      <xdr:rowOff>19050</xdr:rowOff>
    </xdr:from>
    <xdr:to>
      <xdr:col>3</xdr:col>
      <xdr:colOff>2028825</xdr:colOff>
      <xdr:row>5</xdr:row>
      <xdr:rowOff>15265</xdr:rowOff>
    </xdr:to>
    <xdr:pic>
      <xdr:nvPicPr>
        <xdr:cNvPr id="3" name="Picture 2">
          <a:extLst>
            <a:ext uri="{FF2B5EF4-FFF2-40B4-BE49-F238E27FC236}">
              <a16:creationId xmlns:a16="http://schemas.microsoft.com/office/drawing/2014/main" id="{14D8B632-68C7-4428-8E09-05AD44F3E93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305300" y="19050"/>
          <a:ext cx="1895475" cy="94871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95250</xdr:colOff>
      <xdr:row>0</xdr:row>
      <xdr:rowOff>57151</xdr:rowOff>
    </xdr:from>
    <xdr:to>
      <xdr:col>2</xdr:col>
      <xdr:colOff>2777322</xdr:colOff>
      <xdr:row>4</xdr:row>
      <xdr:rowOff>123825</xdr:rowOff>
    </xdr:to>
    <xdr:pic>
      <xdr:nvPicPr>
        <xdr:cNvPr id="5" name="Picture 4">
          <a:extLst>
            <a:ext uri="{FF2B5EF4-FFF2-40B4-BE49-F238E27FC236}">
              <a16:creationId xmlns:a16="http://schemas.microsoft.com/office/drawing/2014/main" id="{59779F96-0146-468C-A5B7-505D1BF3AA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76225" y="57151"/>
          <a:ext cx="3710772" cy="828674"/>
        </a:xfrm>
        <a:prstGeom prst="rect">
          <a:avLst/>
        </a:prstGeom>
      </xdr:spPr>
    </xdr:pic>
    <xdr:clientData/>
  </xdr:twoCellAnchor>
  <xdr:twoCellAnchor editAs="oneCell">
    <xdr:from>
      <xdr:col>3</xdr:col>
      <xdr:colOff>133350</xdr:colOff>
      <xdr:row>0</xdr:row>
      <xdr:rowOff>19050</xdr:rowOff>
    </xdr:from>
    <xdr:to>
      <xdr:col>3</xdr:col>
      <xdr:colOff>2028825</xdr:colOff>
      <xdr:row>5</xdr:row>
      <xdr:rowOff>15265</xdr:rowOff>
    </xdr:to>
    <xdr:pic>
      <xdr:nvPicPr>
        <xdr:cNvPr id="6" name="Picture 5">
          <a:extLst>
            <a:ext uri="{FF2B5EF4-FFF2-40B4-BE49-F238E27FC236}">
              <a16:creationId xmlns:a16="http://schemas.microsoft.com/office/drawing/2014/main" id="{8265DF7E-2C40-4393-A00C-3C306623697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305300" y="19050"/>
          <a:ext cx="1895475" cy="94871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95250</xdr:colOff>
      <xdr:row>0</xdr:row>
      <xdr:rowOff>57151</xdr:rowOff>
    </xdr:from>
    <xdr:to>
      <xdr:col>2</xdr:col>
      <xdr:colOff>2777322</xdr:colOff>
      <xdr:row>4</xdr:row>
      <xdr:rowOff>123825</xdr:rowOff>
    </xdr:to>
    <xdr:pic>
      <xdr:nvPicPr>
        <xdr:cNvPr id="2" name="Picture 1">
          <a:extLst>
            <a:ext uri="{FF2B5EF4-FFF2-40B4-BE49-F238E27FC236}">
              <a16:creationId xmlns:a16="http://schemas.microsoft.com/office/drawing/2014/main" id="{05B08EBF-3C4A-48C5-BCBF-3FFD8283DBF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76225" y="57151"/>
          <a:ext cx="3710772" cy="828674"/>
        </a:xfrm>
        <a:prstGeom prst="rect">
          <a:avLst/>
        </a:prstGeom>
      </xdr:spPr>
    </xdr:pic>
    <xdr:clientData/>
  </xdr:twoCellAnchor>
  <xdr:twoCellAnchor editAs="oneCell">
    <xdr:from>
      <xdr:col>3</xdr:col>
      <xdr:colOff>133350</xdr:colOff>
      <xdr:row>0</xdr:row>
      <xdr:rowOff>19050</xdr:rowOff>
    </xdr:from>
    <xdr:to>
      <xdr:col>3</xdr:col>
      <xdr:colOff>2028825</xdr:colOff>
      <xdr:row>5</xdr:row>
      <xdr:rowOff>15265</xdr:rowOff>
    </xdr:to>
    <xdr:pic>
      <xdr:nvPicPr>
        <xdr:cNvPr id="3" name="Picture 2">
          <a:extLst>
            <a:ext uri="{FF2B5EF4-FFF2-40B4-BE49-F238E27FC236}">
              <a16:creationId xmlns:a16="http://schemas.microsoft.com/office/drawing/2014/main" id="{EFCBB2A6-45B7-42E2-AF23-01DC8B40FEA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305300" y="19050"/>
          <a:ext cx="1895475" cy="94871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38100</xdr:colOff>
      <xdr:row>0</xdr:row>
      <xdr:rowOff>103245</xdr:rowOff>
    </xdr:from>
    <xdr:to>
      <xdr:col>2</xdr:col>
      <xdr:colOff>2343150</xdr:colOff>
      <xdr:row>4</xdr:row>
      <xdr:rowOff>85724</xdr:rowOff>
    </xdr:to>
    <xdr:pic>
      <xdr:nvPicPr>
        <xdr:cNvPr id="2" name="Picture 1">
          <a:extLst>
            <a:ext uri="{FF2B5EF4-FFF2-40B4-BE49-F238E27FC236}">
              <a16:creationId xmlns:a16="http://schemas.microsoft.com/office/drawing/2014/main" id="{EA97436D-8C8B-4833-B308-B24DE7F3A6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19075" y="103245"/>
          <a:ext cx="3333750" cy="744479"/>
        </a:xfrm>
        <a:prstGeom prst="rect">
          <a:avLst/>
        </a:prstGeom>
      </xdr:spPr>
    </xdr:pic>
    <xdr:clientData/>
  </xdr:twoCellAnchor>
  <xdr:twoCellAnchor editAs="oneCell">
    <xdr:from>
      <xdr:col>1</xdr:col>
      <xdr:colOff>190500</xdr:colOff>
      <xdr:row>478</xdr:row>
      <xdr:rowOff>178138</xdr:rowOff>
    </xdr:from>
    <xdr:to>
      <xdr:col>2</xdr:col>
      <xdr:colOff>970860</xdr:colOff>
      <xdr:row>484</xdr:row>
      <xdr:rowOff>9526</xdr:rowOff>
    </xdr:to>
    <xdr:pic>
      <xdr:nvPicPr>
        <xdr:cNvPr id="3" name="Picture 2">
          <a:extLst>
            <a:ext uri="{FF2B5EF4-FFF2-40B4-BE49-F238E27FC236}">
              <a16:creationId xmlns:a16="http://schemas.microsoft.com/office/drawing/2014/main" id="{817C4625-CF6E-4AAD-BC73-0A5D75A04FE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475" y="25419388"/>
          <a:ext cx="1809060" cy="974388"/>
        </a:xfrm>
        <a:prstGeom prst="rect">
          <a:avLst/>
        </a:prstGeom>
      </xdr:spPr>
    </xdr:pic>
    <xdr:clientData/>
  </xdr:twoCellAnchor>
  <xdr:twoCellAnchor editAs="oneCell">
    <xdr:from>
      <xdr:col>1</xdr:col>
      <xdr:colOff>190500</xdr:colOff>
      <xdr:row>478</xdr:row>
      <xdr:rowOff>178138</xdr:rowOff>
    </xdr:from>
    <xdr:to>
      <xdr:col>2</xdr:col>
      <xdr:colOff>970860</xdr:colOff>
      <xdr:row>484</xdr:row>
      <xdr:rowOff>9526</xdr:rowOff>
    </xdr:to>
    <xdr:pic>
      <xdr:nvPicPr>
        <xdr:cNvPr id="4" name="Picture 3">
          <a:extLst>
            <a:ext uri="{FF2B5EF4-FFF2-40B4-BE49-F238E27FC236}">
              <a16:creationId xmlns:a16="http://schemas.microsoft.com/office/drawing/2014/main" id="{09594A22-23AF-429A-98BA-470E49EDFC7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475" y="25419388"/>
          <a:ext cx="1809060" cy="974388"/>
        </a:xfrm>
        <a:prstGeom prst="rect">
          <a:avLst/>
        </a:prstGeom>
      </xdr:spPr>
    </xdr:pic>
    <xdr:clientData/>
  </xdr:twoCellAnchor>
  <xdr:twoCellAnchor editAs="oneCell">
    <xdr:from>
      <xdr:col>3</xdr:col>
      <xdr:colOff>295275</xdr:colOff>
      <xdr:row>0</xdr:row>
      <xdr:rowOff>0</xdr:rowOff>
    </xdr:from>
    <xdr:to>
      <xdr:col>3</xdr:col>
      <xdr:colOff>2190750</xdr:colOff>
      <xdr:row>4</xdr:row>
      <xdr:rowOff>186715</xdr:rowOff>
    </xdr:to>
    <xdr:pic>
      <xdr:nvPicPr>
        <xdr:cNvPr id="5" name="Picture 4">
          <a:extLst>
            <a:ext uri="{FF2B5EF4-FFF2-40B4-BE49-F238E27FC236}">
              <a16:creationId xmlns:a16="http://schemas.microsoft.com/office/drawing/2014/main" id="{A430E49F-CABC-45F6-BFF9-D29DDD465C7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4467225" y="0"/>
          <a:ext cx="1895475" cy="9487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wner\OneDrive%20-%20Global%20Machinery%20Auctions%20Inc\Desktop\MOQ%20Workbook\Lincoln%20Oilfield%20Services\LINCOLN%20COUNTY%20FLEET%20LIST%20MOQ%20SEP2025%20-%20DATA%20FILE.xlsx" TargetMode="External"/><Relationship Id="rId1" Type="http://schemas.openxmlformats.org/officeDocument/2006/relationships/externalLinkPath" Target="/Users/Owner/OneDrive%20-%20Global%20Machinery%20Auctions%20Inc/Desktop/MOQ%20Workbook/Lincoln%20Oilfield%20Services/LINCOLN%20COUNTY%20FLEET%20LIST%20MOQ%20SEP2025%20-%20DATA%20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Q DATA SHEET INSTRUCTIONS"/>
      <sheetName val="LINCOLN COUNTY FLEET LIST MOQ A"/>
      <sheetName val="Product by Machine"/>
      <sheetName val="Product by Part Number"/>
      <sheetName val="Vlookup Make and Model"/>
      <sheetName val="LINCOLN COUNTY FLEET LIST MOQ S"/>
    </sheetNames>
    <sheetDataSet>
      <sheetData sheetId="0"/>
      <sheetData sheetId="1"/>
      <sheetData sheetId="2"/>
      <sheetData sheetId="3">
        <row r="1">
          <cell r="A1" t="str">
            <v>Part Number</v>
          </cell>
          <cell r="B1" t="str">
            <v>Make and Model</v>
          </cell>
          <cell r="C1" t="str">
            <v>Part Description</v>
          </cell>
          <cell r="D1" t="str">
            <v>OEM CAD $</v>
          </cell>
          <cell r="E1" t="str">
            <v>GQP CAD $</v>
          </cell>
          <cell r="F1" t="str">
            <v>Product Type</v>
          </cell>
          <cell r="G1" t="str">
            <v>Q1 QTY</v>
          </cell>
          <cell r="H1" t="str">
            <v>Q2 QTY</v>
          </cell>
          <cell r="I1" t="str">
            <v>Q3 QTY</v>
          </cell>
          <cell r="J1" t="str">
            <v>Q4 QTY</v>
          </cell>
          <cell r="K1" t="str">
            <v>Annual</v>
          </cell>
        </row>
        <row r="2">
          <cell r="A2">
            <v>7312553</v>
          </cell>
          <cell r="B2" t="str">
            <v xml:space="preserve">BOBCAT T750 (ANK) BOBCAT T750 (ATF) BOBCAT S650 (A3N) BOBCAT T770 (AT6) BOBCAT T770 (AT6) (2)                                    </v>
          </cell>
          <cell r="C2" t="str">
            <v>Battery GP</v>
          </cell>
          <cell r="D2">
            <v>415.79</v>
          </cell>
          <cell r="E2">
            <v>207.9</v>
          </cell>
          <cell r="F2" t="str">
            <v>Battery</v>
          </cell>
          <cell r="G2">
            <v>5</v>
          </cell>
          <cell r="H2">
            <v>0</v>
          </cell>
          <cell r="I2">
            <v>0</v>
          </cell>
          <cell r="J2">
            <v>0</v>
          </cell>
          <cell r="K2">
            <v>5</v>
          </cell>
        </row>
        <row r="3">
          <cell r="A3" t="str">
            <v>115-2422</v>
          </cell>
          <cell r="B3" t="str">
            <v xml:space="preserve">CAT 320E L (WBK) CAT 320E L (WBK) (2) CAT 320 (HEX) CAT 320 (MYK) CAT 320 (MYK) (2) CAT 329E L (ZCD) CAT 329F L (ERL) CAT 329F L (ERL) (2) CAT 330F L (MBX) CAT 330F L (HCK) CAT 330F L (HCK) (2) CAT 299D (DX2)                      </v>
          </cell>
          <cell r="C3" t="str">
            <v>12V BATTERY 1000CCA</v>
          </cell>
          <cell r="D3">
            <v>523.07000000000005</v>
          </cell>
          <cell r="E3">
            <v>132.13</v>
          </cell>
          <cell r="F3" t="str">
            <v>Battery</v>
          </cell>
          <cell r="G3">
            <v>27</v>
          </cell>
          <cell r="H3">
            <v>0</v>
          </cell>
          <cell r="I3">
            <v>0</v>
          </cell>
          <cell r="J3">
            <v>0</v>
          </cell>
          <cell r="K3">
            <v>27</v>
          </cell>
        </row>
        <row r="4">
          <cell r="A4" t="str">
            <v>153-5656</v>
          </cell>
          <cell r="B4" t="str">
            <v xml:space="preserve">CAT 303.5E                                            </v>
          </cell>
          <cell r="C4" t="str">
            <v>12V BATTERY - 650CCA</v>
          </cell>
          <cell r="D4">
            <v>356.29</v>
          </cell>
          <cell r="E4">
            <v>160.66999999999999</v>
          </cell>
          <cell r="F4" t="str">
            <v>Battery</v>
          </cell>
          <cell r="G4">
            <v>1</v>
          </cell>
          <cell r="H4">
            <v>0</v>
          </cell>
          <cell r="I4">
            <v>0</v>
          </cell>
          <cell r="J4">
            <v>0</v>
          </cell>
          <cell r="K4">
            <v>1</v>
          </cell>
        </row>
        <row r="5">
          <cell r="A5" t="str">
            <v>153-5700</v>
          </cell>
          <cell r="B5" t="str">
            <v xml:space="preserve">CAT D3 (1PJ) CAT D7G (92V) CAT D7G (3ZD) CAT D7G (3ZD) (2) CAT 561 (85H) CAT 561 (92J) CAT 561 (92J) (2)                                </v>
          </cell>
          <cell r="C5" t="str">
            <v>12V BATTERY - 1125CCA</v>
          </cell>
          <cell r="D5">
            <v>726.37</v>
          </cell>
          <cell r="E5">
            <v>292.44</v>
          </cell>
          <cell r="F5" t="str">
            <v>Battery</v>
          </cell>
          <cell r="G5">
            <v>10</v>
          </cell>
          <cell r="H5">
            <v>0</v>
          </cell>
          <cell r="I5">
            <v>0</v>
          </cell>
          <cell r="J5">
            <v>0</v>
          </cell>
          <cell r="K5">
            <v>10</v>
          </cell>
        </row>
        <row r="6">
          <cell r="A6" t="str">
            <v>9X-3404</v>
          </cell>
          <cell r="B6" t="str">
            <v xml:space="preserve">CAT 320F L (YBM) CAT 330 (LHW) CAT 330 (LHW) (2) CAT 330 (LHW) (3) CAT 330 (LHW) (4) CAT 330 (WCH) CAT 330 (WCH) (2) CAT 330 (WCH) (3) CAT 330 (WCH) (4) CAT 330 (WCH) (5) CAT 330 (WCH) (6) CAT 561M (1KW) CAT 561N (CPH) CAT 561N (CPH) (2) CAT 561N (CPH) (3) CAT 561N (CPH) (4) CAT 561N (CPH) (5)            </v>
          </cell>
          <cell r="C6" t="str">
            <v>12V BATTERY - 900CCA</v>
          </cell>
          <cell r="D6">
            <v>503.86</v>
          </cell>
          <cell r="E6">
            <v>120.88</v>
          </cell>
          <cell r="F6" t="str">
            <v>Battery</v>
          </cell>
          <cell r="G6">
            <v>54</v>
          </cell>
          <cell r="H6">
            <v>0</v>
          </cell>
          <cell r="I6">
            <v>0</v>
          </cell>
          <cell r="J6">
            <v>0</v>
          </cell>
          <cell r="K6">
            <v>54</v>
          </cell>
        </row>
        <row r="7">
          <cell r="A7">
            <v>6689756</v>
          </cell>
          <cell r="B7" t="str">
            <v xml:space="preserve">BOBCAT T750 (ANK)                                            </v>
          </cell>
          <cell r="C7" t="str">
            <v>Upper Gasket Kit</v>
          </cell>
          <cell r="D7">
            <v>361.99</v>
          </cell>
          <cell r="E7">
            <v>181</v>
          </cell>
          <cell r="F7" t="str">
            <v>Engine</v>
          </cell>
          <cell r="G7">
            <v>1</v>
          </cell>
          <cell r="H7">
            <v>0</v>
          </cell>
          <cell r="I7">
            <v>0</v>
          </cell>
          <cell r="J7">
            <v>0</v>
          </cell>
          <cell r="K7">
            <v>1</v>
          </cell>
        </row>
        <row r="8">
          <cell r="A8">
            <v>6698579</v>
          </cell>
          <cell r="B8" t="str">
            <v xml:space="preserve">BOBCAT T750 (ANK)                                            </v>
          </cell>
          <cell r="C8" t="str">
            <v>Lower Gasket Kit</v>
          </cell>
          <cell r="D8">
            <v>417.49</v>
          </cell>
          <cell r="E8">
            <v>208.75</v>
          </cell>
          <cell r="F8" t="str">
            <v>Engine</v>
          </cell>
          <cell r="G8">
            <v>1</v>
          </cell>
          <cell r="H8">
            <v>0</v>
          </cell>
          <cell r="I8">
            <v>0</v>
          </cell>
          <cell r="J8">
            <v>0</v>
          </cell>
          <cell r="K8">
            <v>1</v>
          </cell>
        </row>
        <row r="9">
          <cell r="A9">
            <v>7008510</v>
          </cell>
          <cell r="B9" t="str">
            <v xml:space="preserve">BOBCAT S650 (A3N)                                            </v>
          </cell>
          <cell r="C9" t="str">
            <v>Upper Gasket Kit</v>
          </cell>
          <cell r="D9">
            <v>470.49</v>
          </cell>
          <cell r="E9">
            <v>235.25</v>
          </cell>
          <cell r="F9" t="str">
            <v>Engine</v>
          </cell>
          <cell r="G9">
            <v>1</v>
          </cell>
          <cell r="H9">
            <v>0</v>
          </cell>
          <cell r="I9">
            <v>0</v>
          </cell>
          <cell r="J9">
            <v>0</v>
          </cell>
          <cell r="K9">
            <v>1</v>
          </cell>
        </row>
        <row r="10">
          <cell r="A10">
            <v>7008511</v>
          </cell>
          <cell r="B10" t="str">
            <v xml:space="preserve">BOBCAT S650 (A3N)                                            </v>
          </cell>
          <cell r="C10" t="str">
            <v>Lower Gasket Kit</v>
          </cell>
          <cell r="D10">
            <v>482.99</v>
          </cell>
          <cell r="E10">
            <v>241.5</v>
          </cell>
          <cell r="F10" t="str">
            <v>Engine</v>
          </cell>
          <cell r="G10">
            <v>1</v>
          </cell>
          <cell r="H10">
            <v>0</v>
          </cell>
          <cell r="I10">
            <v>0</v>
          </cell>
          <cell r="J10">
            <v>0</v>
          </cell>
          <cell r="K10">
            <v>1</v>
          </cell>
        </row>
        <row r="11">
          <cell r="A11">
            <v>7020950</v>
          </cell>
          <cell r="B11" t="str">
            <v xml:space="preserve">BOBCAT T750 (ANK)                                            </v>
          </cell>
          <cell r="C11" t="str">
            <v>CYLINDER HEAD</v>
          </cell>
          <cell r="D11">
            <v>4359.99</v>
          </cell>
          <cell r="E11">
            <v>2180</v>
          </cell>
          <cell r="F11" t="str">
            <v>Engine</v>
          </cell>
          <cell r="G11">
            <v>1</v>
          </cell>
          <cell r="H11">
            <v>0</v>
          </cell>
          <cell r="I11">
            <v>0</v>
          </cell>
          <cell r="J11">
            <v>0</v>
          </cell>
          <cell r="K11">
            <v>1</v>
          </cell>
        </row>
        <row r="12">
          <cell r="A12">
            <v>7024264</v>
          </cell>
          <cell r="B12" t="str">
            <v xml:space="preserve">BOBCAT T750 (ATF)                                            </v>
          </cell>
          <cell r="C12" t="str">
            <v xml:space="preserve">CRANKSHAFT </v>
          </cell>
          <cell r="D12">
            <v>6916.49</v>
          </cell>
          <cell r="E12">
            <v>3458.25</v>
          </cell>
          <cell r="F12" t="str">
            <v>Engine</v>
          </cell>
          <cell r="G12">
            <v>1</v>
          </cell>
          <cell r="H12">
            <v>0</v>
          </cell>
          <cell r="I12">
            <v>0</v>
          </cell>
          <cell r="J12">
            <v>0</v>
          </cell>
          <cell r="K12">
            <v>1</v>
          </cell>
        </row>
        <row r="13">
          <cell r="A13">
            <v>7024384</v>
          </cell>
          <cell r="B13" t="str">
            <v xml:space="preserve">BOBCAT T750 (ATF)                                            </v>
          </cell>
          <cell r="C13" t="str">
            <v>CYLINDER HEAD</v>
          </cell>
          <cell r="D13">
            <v>2400.4899999999998</v>
          </cell>
          <cell r="E13">
            <v>1200.25</v>
          </cell>
          <cell r="F13" t="str">
            <v>Engine</v>
          </cell>
          <cell r="G13">
            <v>1</v>
          </cell>
          <cell r="H13">
            <v>0</v>
          </cell>
          <cell r="I13">
            <v>0</v>
          </cell>
          <cell r="J13">
            <v>0</v>
          </cell>
          <cell r="K13">
            <v>1</v>
          </cell>
        </row>
        <row r="14">
          <cell r="A14">
            <v>7024930</v>
          </cell>
          <cell r="B14" t="str">
            <v xml:space="preserve">BOBCAT T750 (ATF)                                            </v>
          </cell>
          <cell r="C14" t="str">
            <v>Upper Gasket Kit</v>
          </cell>
          <cell r="D14">
            <v>587.99</v>
          </cell>
          <cell r="E14">
            <v>294</v>
          </cell>
          <cell r="F14" t="str">
            <v>Engine</v>
          </cell>
          <cell r="G14">
            <v>1</v>
          </cell>
          <cell r="H14">
            <v>0</v>
          </cell>
          <cell r="I14">
            <v>0</v>
          </cell>
          <cell r="J14">
            <v>0</v>
          </cell>
          <cell r="K14">
            <v>1</v>
          </cell>
        </row>
        <row r="15">
          <cell r="A15">
            <v>7024931</v>
          </cell>
          <cell r="B15" t="str">
            <v xml:space="preserve">BOBCAT T750 (ATF)                                            </v>
          </cell>
          <cell r="C15" t="str">
            <v>Lower Gasket Kit</v>
          </cell>
          <cell r="D15">
            <v>445.99</v>
          </cell>
          <cell r="E15">
            <v>223</v>
          </cell>
          <cell r="F15" t="str">
            <v>Engine</v>
          </cell>
          <cell r="G15">
            <v>1</v>
          </cell>
          <cell r="H15">
            <v>0</v>
          </cell>
          <cell r="I15">
            <v>0</v>
          </cell>
          <cell r="J15">
            <v>0</v>
          </cell>
          <cell r="K15">
            <v>1</v>
          </cell>
        </row>
        <row r="16">
          <cell r="A16">
            <v>7256752</v>
          </cell>
          <cell r="B16" t="str">
            <v xml:space="preserve">BOBCAT T770 (AT6) BOBCAT T770 (AT6) (2)                                          </v>
          </cell>
          <cell r="C16" t="str">
            <v>CRANKSHAFT / Gear</v>
          </cell>
          <cell r="D16">
            <v>2799.99</v>
          </cell>
          <cell r="E16">
            <v>1400</v>
          </cell>
          <cell r="F16" t="str">
            <v>Engine</v>
          </cell>
          <cell r="G16">
            <v>2</v>
          </cell>
          <cell r="H16">
            <v>0</v>
          </cell>
          <cell r="I16">
            <v>0</v>
          </cell>
          <cell r="J16">
            <v>0</v>
          </cell>
          <cell r="K16">
            <v>2</v>
          </cell>
        </row>
        <row r="17">
          <cell r="A17">
            <v>7298788</v>
          </cell>
          <cell r="B17" t="str">
            <v xml:space="preserve">BOBCAT T770 (AT6) BOBCAT T770 (AT6) (2)                                          </v>
          </cell>
          <cell r="C17" t="str">
            <v>CYLINDER HEAD</v>
          </cell>
          <cell r="D17">
            <v>4052.99</v>
          </cell>
          <cell r="E17">
            <v>2026.5</v>
          </cell>
          <cell r="F17" t="str">
            <v>Engine</v>
          </cell>
          <cell r="G17">
            <v>2</v>
          </cell>
          <cell r="H17">
            <v>0</v>
          </cell>
          <cell r="I17">
            <v>0</v>
          </cell>
          <cell r="J17">
            <v>0</v>
          </cell>
          <cell r="K17">
            <v>2</v>
          </cell>
        </row>
        <row r="18">
          <cell r="A18" t="str">
            <v>134-5276</v>
          </cell>
          <cell r="B18" t="str">
            <v xml:space="preserve">CAT D5 (3CR) CAT D5 (3CR) (2) CAT 561M (1KW)                                        </v>
          </cell>
          <cell r="C18" t="str">
            <v>CAMSHAFT</v>
          </cell>
          <cell r="D18">
            <v>4368</v>
          </cell>
          <cell r="E18">
            <v>2184</v>
          </cell>
          <cell r="F18" t="str">
            <v>Engine</v>
          </cell>
          <cell r="G18">
            <v>3</v>
          </cell>
          <cell r="H18">
            <v>0</v>
          </cell>
          <cell r="I18">
            <v>0</v>
          </cell>
          <cell r="J18">
            <v>0</v>
          </cell>
          <cell r="K18">
            <v>3</v>
          </cell>
        </row>
        <row r="19">
          <cell r="A19" t="str">
            <v>216-7921</v>
          </cell>
          <cell r="B19" t="str">
            <v xml:space="preserve">CAT 561N (CPH) CAT 561N (CPH) (2) CAT 561N (CPH) (3) CAT 561N (CPH) (4) CAT 561N (CPH) (5) CAT PL61 (WGS) CAT PL61 (WGS) (2) CAT PL61 (WGS) (3)                              </v>
          </cell>
          <cell r="C19" t="str">
            <v>CAMSHAFT</v>
          </cell>
          <cell r="D19">
            <v>4686.51</v>
          </cell>
          <cell r="E19">
            <v>2343.2600000000002</v>
          </cell>
          <cell r="F19" t="str">
            <v>Engine</v>
          </cell>
          <cell r="G19">
            <v>8</v>
          </cell>
          <cell r="H19">
            <v>0</v>
          </cell>
          <cell r="I19">
            <v>0</v>
          </cell>
          <cell r="J19">
            <v>0</v>
          </cell>
          <cell r="K19">
            <v>8</v>
          </cell>
        </row>
        <row r="20">
          <cell r="A20" t="str">
            <v>334-8389</v>
          </cell>
          <cell r="B20" t="str">
            <v xml:space="preserve">CAT D7G (92V) CAT D7G (3ZD) CAT D7G (3ZD) (2)                                        </v>
          </cell>
          <cell r="C20" t="str">
            <v>CRANKSHAFT ASSY</v>
          </cell>
          <cell r="D20">
            <v>17640.77</v>
          </cell>
          <cell r="E20">
            <v>8820.39</v>
          </cell>
          <cell r="F20" t="str">
            <v>Engine</v>
          </cell>
          <cell r="G20">
            <v>3</v>
          </cell>
          <cell r="H20">
            <v>0</v>
          </cell>
          <cell r="I20">
            <v>0</v>
          </cell>
          <cell r="J20">
            <v>0</v>
          </cell>
          <cell r="K20">
            <v>3</v>
          </cell>
        </row>
        <row r="21">
          <cell r="A21" t="str">
            <v>383-0293</v>
          </cell>
          <cell r="B21" t="str">
            <v xml:space="preserve">CAT 303.5E                                            </v>
          </cell>
          <cell r="C21" t="str">
            <v>OIL PUMP ENGINE</v>
          </cell>
          <cell r="D21">
            <v>831.44</v>
          </cell>
          <cell r="E21">
            <v>415.72</v>
          </cell>
          <cell r="F21" t="str">
            <v>Engine</v>
          </cell>
          <cell r="G21">
            <v>1</v>
          </cell>
          <cell r="H21">
            <v>0</v>
          </cell>
          <cell r="I21">
            <v>0</v>
          </cell>
          <cell r="J21">
            <v>0</v>
          </cell>
          <cell r="K21">
            <v>1</v>
          </cell>
        </row>
        <row r="22">
          <cell r="A22" t="str">
            <v>383-0433</v>
          </cell>
          <cell r="B22" t="str">
            <v xml:space="preserve">CAT 303.5E                                            </v>
          </cell>
          <cell r="C22" t="str">
            <v>WATER PUMP</v>
          </cell>
          <cell r="D22">
            <v>512.79</v>
          </cell>
          <cell r="E22">
            <v>256.39999999999998</v>
          </cell>
          <cell r="F22" t="str">
            <v>Engine</v>
          </cell>
          <cell r="G22">
            <v>1</v>
          </cell>
          <cell r="H22">
            <v>0</v>
          </cell>
          <cell r="I22">
            <v>0</v>
          </cell>
          <cell r="J22">
            <v>0</v>
          </cell>
          <cell r="K22">
            <v>1</v>
          </cell>
        </row>
        <row r="23">
          <cell r="A23" t="str">
            <v>386-6920</v>
          </cell>
          <cell r="B23" t="str">
            <v xml:space="preserve">CAT 303.5E                                            </v>
          </cell>
          <cell r="C23" t="str">
            <v>CYLINDER HEAD</v>
          </cell>
          <cell r="D23">
            <v>3744.05</v>
          </cell>
          <cell r="E23">
            <v>1872.03</v>
          </cell>
          <cell r="F23" t="str">
            <v>Engine</v>
          </cell>
          <cell r="G23">
            <v>1</v>
          </cell>
          <cell r="H23">
            <v>0</v>
          </cell>
          <cell r="I23">
            <v>0</v>
          </cell>
          <cell r="J23">
            <v>0</v>
          </cell>
          <cell r="K23">
            <v>1</v>
          </cell>
        </row>
        <row r="24">
          <cell r="A24" t="str">
            <v>386-6934</v>
          </cell>
          <cell r="B24" t="str">
            <v xml:space="preserve">CAT 303.5E                                            </v>
          </cell>
          <cell r="C24" t="str">
            <v>CAMSHAFT AS</v>
          </cell>
          <cell r="D24">
            <v>515.16999999999996</v>
          </cell>
          <cell r="E24">
            <v>257.58999999999997</v>
          </cell>
          <cell r="F24" t="str">
            <v>Engine</v>
          </cell>
          <cell r="G24">
            <v>1</v>
          </cell>
          <cell r="H24">
            <v>0</v>
          </cell>
          <cell r="I24">
            <v>0</v>
          </cell>
          <cell r="J24">
            <v>0</v>
          </cell>
          <cell r="K24">
            <v>1</v>
          </cell>
        </row>
        <row r="25">
          <cell r="A25" t="str">
            <v>386-6936</v>
          </cell>
          <cell r="B25" t="str">
            <v xml:space="preserve">CAT 303.5E                                            </v>
          </cell>
          <cell r="C25" t="str">
            <v>CRANKSHAFT ASSY</v>
          </cell>
          <cell r="D25">
            <v>4035.36</v>
          </cell>
          <cell r="E25">
            <v>2017.68</v>
          </cell>
          <cell r="F25" t="str">
            <v>Engine</v>
          </cell>
          <cell r="G25">
            <v>1</v>
          </cell>
          <cell r="H25">
            <v>0</v>
          </cell>
          <cell r="I25">
            <v>0</v>
          </cell>
          <cell r="J25">
            <v>0</v>
          </cell>
          <cell r="K25">
            <v>1</v>
          </cell>
        </row>
        <row r="26">
          <cell r="A26" t="str">
            <v>389-5128</v>
          </cell>
          <cell r="B26" t="str">
            <v xml:space="preserve">CAT 299D (DX2)                                            </v>
          </cell>
          <cell r="C26" t="str">
            <v>CYLINDER HEAD</v>
          </cell>
          <cell r="D26">
            <v>9634.25</v>
          </cell>
          <cell r="E26">
            <v>4817.13</v>
          </cell>
          <cell r="F26" t="str">
            <v>Engine</v>
          </cell>
          <cell r="G26">
            <v>1</v>
          </cell>
          <cell r="H26">
            <v>0</v>
          </cell>
          <cell r="I26">
            <v>0</v>
          </cell>
          <cell r="J26">
            <v>0</v>
          </cell>
          <cell r="K26">
            <v>1</v>
          </cell>
        </row>
        <row r="27">
          <cell r="A27" t="str">
            <v>389-5185</v>
          </cell>
          <cell r="B27" t="str">
            <v xml:space="preserve">CAT 299D (DX2)                                            </v>
          </cell>
          <cell r="C27" t="str">
            <v>CRANKSHAFT</v>
          </cell>
          <cell r="D27">
            <v>4526.6400000000003</v>
          </cell>
          <cell r="E27">
            <v>2263.3200000000002</v>
          </cell>
          <cell r="F27" t="str">
            <v>Engine</v>
          </cell>
          <cell r="G27">
            <v>1</v>
          </cell>
          <cell r="H27">
            <v>0</v>
          </cell>
          <cell r="I27">
            <v>0</v>
          </cell>
          <cell r="J27">
            <v>0</v>
          </cell>
          <cell r="K27">
            <v>1</v>
          </cell>
        </row>
        <row r="28">
          <cell r="A28" t="str">
            <v>389-5200</v>
          </cell>
          <cell r="B28" t="str">
            <v xml:space="preserve">CAT 299D (DX2)                                            </v>
          </cell>
          <cell r="C28" t="str">
            <v>CAMSHAFT</v>
          </cell>
          <cell r="D28">
            <v>1117.5899999999999</v>
          </cell>
          <cell r="E28">
            <v>558.79999999999995</v>
          </cell>
          <cell r="F28" t="str">
            <v>Engine</v>
          </cell>
          <cell r="G28">
            <v>1</v>
          </cell>
          <cell r="H28">
            <v>0</v>
          </cell>
          <cell r="I28">
            <v>0</v>
          </cell>
          <cell r="J28">
            <v>0</v>
          </cell>
          <cell r="K28">
            <v>1</v>
          </cell>
        </row>
        <row r="29">
          <cell r="A29" t="str">
            <v>489-2731</v>
          </cell>
          <cell r="B29" t="str">
            <v xml:space="preserve">CAT D5 (3CR) CAT D5 (3CR) (2) CAT 561M (1KW) CAT 561N (CPH) CAT 561N (CPH) (2) CAT 561N (CPH) (3) CAT 561N (CPH) (4) CAT 561N (CPH) (5) CAT PL61 (WGS) CAT PL61 (WGS) (2) CAT PL61 (WGS) (3)                        </v>
          </cell>
          <cell r="C29" t="str">
            <v>CRANKSHAFT</v>
          </cell>
          <cell r="D29">
            <v>14944.09</v>
          </cell>
          <cell r="E29">
            <v>7472.05</v>
          </cell>
          <cell r="F29" t="str">
            <v>Engine</v>
          </cell>
          <cell r="G29">
            <v>11</v>
          </cell>
          <cell r="H29">
            <v>0</v>
          </cell>
          <cell r="I29">
            <v>0</v>
          </cell>
          <cell r="J29">
            <v>0</v>
          </cell>
          <cell r="K29">
            <v>11</v>
          </cell>
        </row>
        <row r="30">
          <cell r="A30" t="str">
            <v>4N7693</v>
          </cell>
          <cell r="B30" t="str">
            <v xml:space="preserve">CAT 561 (85H) CAT 561 (92J) CAT 561 (92J) (2)                                        </v>
          </cell>
          <cell r="C30" t="str">
            <v>CRANKSHAFT</v>
          </cell>
          <cell r="D30">
            <v>17553.38</v>
          </cell>
          <cell r="E30">
            <v>8776.69</v>
          </cell>
          <cell r="F30" t="str">
            <v>Engine</v>
          </cell>
          <cell r="G30">
            <v>3</v>
          </cell>
          <cell r="H30">
            <v>0</v>
          </cell>
          <cell r="I30">
            <v>0</v>
          </cell>
          <cell r="J30">
            <v>0</v>
          </cell>
          <cell r="K30">
            <v>3</v>
          </cell>
        </row>
        <row r="31">
          <cell r="A31" t="str">
            <v>4P-2942</v>
          </cell>
          <cell r="B31" t="str">
            <v xml:space="preserve">CAT 561 (85H) CAT 561 (92J) CAT 561 (92J) (2)                                        </v>
          </cell>
          <cell r="C31" t="str">
            <v>CAMSHAFT</v>
          </cell>
          <cell r="D31">
            <v>4894.33</v>
          </cell>
          <cell r="E31">
            <v>2447.17</v>
          </cell>
          <cell r="F31" t="str">
            <v>Engine</v>
          </cell>
          <cell r="G31">
            <v>3</v>
          </cell>
          <cell r="H31">
            <v>0</v>
          </cell>
          <cell r="I31">
            <v>0</v>
          </cell>
          <cell r="J31">
            <v>0</v>
          </cell>
          <cell r="K31">
            <v>3</v>
          </cell>
        </row>
        <row r="32">
          <cell r="A32" t="str">
            <v>651-2584</v>
          </cell>
          <cell r="B32" t="str">
            <v xml:space="preserve">CAT 329E L (ZCD)                                            </v>
          </cell>
          <cell r="C32" t="str">
            <v>ENGINE OVERHAUL KIT</v>
          </cell>
          <cell r="D32">
            <v>13595.74</v>
          </cell>
          <cell r="E32">
            <v>6797.87</v>
          </cell>
          <cell r="F32" t="str">
            <v>Engine</v>
          </cell>
          <cell r="G32">
            <v>1</v>
          </cell>
          <cell r="H32">
            <v>0</v>
          </cell>
          <cell r="I32">
            <v>0</v>
          </cell>
          <cell r="J32">
            <v>0</v>
          </cell>
          <cell r="K32">
            <v>1</v>
          </cell>
        </row>
        <row r="33">
          <cell r="A33" t="str">
            <v>651-2600</v>
          </cell>
          <cell r="B33" t="str">
            <v xml:space="preserve">CAT 329F L (ERL) CAT 329F L (ERL) (2) CAT 330F L (MBX) CAT 330F L (HCK) CAT 330F L (HCK) (2)                                    </v>
          </cell>
          <cell r="C33" t="str">
            <v>ENGINE OVERHAUL KIT</v>
          </cell>
          <cell r="D33">
            <v>13595.74</v>
          </cell>
          <cell r="E33">
            <v>6797.87</v>
          </cell>
          <cell r="F33" t="str">
            <v>Engine</v>
          </cell>
          <cell r="G33">
            <v>5</v>
          </cell>
          <cell r="H33">
            <v>0</v>
          </cell>
          <cell r="I33">
            <v>0</v>
          </cell>
          <cell r="J33">
            <v>0</v>
          </cell>
          <cell r="K33">
            <v>5</v>
          </cell>
        </row>
        <row r="34">
          <cell r="A34" t="str">
            <v>7424162 / 6680737</v>
          </cell>
          <cell r="B34" t="str">
            <v xml:space="preserve">BOBCAT T750 (ANK)                                            </v>
          </cell>
          <cell r="C34" t="str">
            <v>CRANKSHAFT / Gear</v>
          </cell>
          <cell r="D34">
            <v>6260.48</v>
          </cell>
          <cell r="E34">
            <v>3130.24</v>
          </cell>
          <cell r="F34" t="str">
            <v>Engine</v>
          </cell>
          <cell r="G34">
            <v>1</v>
          </cell>
          <cell r="H34">
            <v>0</v>
          </cell>
          <cell r="I34">
            <v>0</v>
          </cell>
          <cell r="J34">
            <v>0</v>
          </cell>
          <cell r="K34">
            <v>1</v>
          </cell>
        </row>
        <row r="35">
          <cell r="A35" t="str">
            <v>7E-9980</v>
          </cell>
          <cell r="B35" t="str">
            <v xml:space="preserve">CAT D7G (92V) CAT D7G (3ZD) CAT D7G (3ZD) (2)                                        </v>
          </cell>
          <cell r="C35" t="str">
            <v>CAMSHAFT ASSY</v>
          </cell>
          <cell r="D35">
            <v>3141.67</v>
          </cell>
          <cell r="E35">
            <v>1570.84</v>
          </cell>
          <cell r="F35" t="str">
            <v>Engine</v>
          </cell>
          <cell r="G35">
            <v>3</v>
          </cell>
          <cell r="H35">
            <v>0</v>
          </cell>
          <cell r="I35">
            <v>0</v>
          </cell>
          <cell r="J35">
            <v>0</v>
          </cell>
          <cell r="K35">
            <v>3</v>
          </cell>
        </row>
        <row r="36">
          <cell r="A36" t="str">
            <v>CUSOTM-GQP-516NOK</v>
          </cell>
          <cell r="B36" t="str">
            <v xml:space="preserve">CAT 561N (CPH) CAT 561N (CPH) (2) CAT 561N (CPH) (3) CAT 561N (CPH) (4) CAT 561N (CPH) (5)                                    </v>
          </cell>
          <cell r="C36" t="str">
            <v>GQP ENGINE OVERHAUL KIT</v>
          </cell>
          <cell r="D36">
            <v>6826.34</v>
          </cell>
          <cell r="E36">
            <v>3413.17</v>
          </cell>
          <cell r="F36" t="str">
            <v>Engine</v>
          </cell>
          <cell r="G36">
            <v>5</v>
          </cell>
          <cell r="H36">
            <v>0</v>
          </cell>
          <cell r="I36">
            <v>0</v>
          </cell>
          <cell r="J36">
            <v>0</v>
          </cell>
          <cell r="K36">
            <v>5</v>
          </cell>
        </row>
        <row r="37">
          <cell r="A37" t="str">
            <v>CUSOTM-GQPPL61OK</v>
          </cell>
          <cell r="B37" t="str">
            <v xml:space="preserve">CAT PL61 (WGS) CAT PL61 (WGS) (2) CAT PL61 (WGS) (3)                                        </v>
          </cell>
          <cell r="C37" t="str">
            <v>GQP ENGINE OVERHAUL KIT</v>
          </cell>
          <cell r="D37">
            <v>6826.34</v>
          </cell>
          <cell r="E37">
            <v>3413.17</v>
          </cell>
          <cell r="F37" t="str">
            <v>Engine</v>
          </cell>
          <cell r="G37">
            <v>3</v>
          </cell>
          <cell r="H37">
            <v>0</v>
          </cell>
          <cell r="I37">
            <v>0</v>
          </cell>
          <cell r="J37">
            <v>0</v>
          </cell>
          <cell r="K37">
            <v>3</v>
          </cell>
        </row>
        <row r="38">
          <cell r="A38" t="str">
            <v>CUSTOM-GQP303.5EOK</v>
          </cell>
          <cell r="B38" t="str">
            <v xml:space="preserve">CAT 303.5E                                            </v>
          </cell>
          <cell r="C38" t="str">
            <v>GQP ENGINE OVERHAUL KIT</v>
          </cell>
          <cell r="D38">
            <v>3156.78</v>
          </cell>
          <cell r="E38">
            <v>1578.39</v>
          </cell>
          <cell r="F38" t="str">
            <v>Engine</v>
          </cell>
          <cell r="G38">
            <v>1</v>
          </cell>
          <cell r="H38">
            <v>0</v>
          </cell>
          <cell r="I38">
            <v>0</v>
          </cell>
          <cell r="J38">
            <v>0</v>
          </cell>
          <cell r="K38">
            <v>1</v>
          </cell>
        </row>
        <row r="39">
          <cell r="A39" t="str">
            <v>CUSTOM-GQP320ELOK</v>
          </cell>
          <cell r="B39" t="str">
            <v xml:space="preserve">CAT 320E L (WBK) CAT 320E L (WBK) (2)                                          </v>
          </cell>
          <cell r="C39" t="str">
            <v>ENGINE OVERHAUL KIT</v>
          </cell>
          <cell r="D39">
            <v>3792.79</v>
          </cell>
          <cell r="E39">
            <v>1896.4</v>
          </cell>
          <cell r="F39" t="str">
            <v>Engine</v>
          </cell>
          <cell r="G39">
            <v>2</v>
          </cell>
          <cell r="H39">
            <v>0</v>
          </cell>
          <cell r="I39">
            <v>0</v>
          </cell>
          <cell r="J39">
            <v>0</v>
          </cell>
          <cell r="K39">
            <v>2</v>
          </cell>
        </row>
        <row r="40">
          <cell r="A40" t="str">
            <v>CUSTOM-GQP320RK</v>
          </cell>
          <cell r="B40" t="str">
            <v xml:space="preserve">CAT 320 (MYK) CAT 320 (MYK) (2)                                          </v>
          </cell>
          <cell r="C40" t="str">
            <v>ENGINE REBUILD KIT</v>
          </cell>
          <cell r="D40">
            <v>2889.4</v>
          </cell>
          <cell r="E40">
            <v>1444.7</v>
          </cell>
          <cell r="F40" t="str">
            <v>Engine</v>
          </cell>
          <cell r="G40">
            <v>2</v>
          </cell>
          <cell r="H40">
            <v>0</v>
          </cell>
          <cell r="I40">
            <v>0</v>
          </cell>
          <cell r="J40">
            <v>0</v>
          </cell>
          <cell r="K40">
            <v>2</v>
          </cell>
        </row>
        <row r="41">
          <cell r="A41" t="str">
            <v>CUSTOM-GQPC4.4BRK</v>
          </cell>
          <cell r="B41" t="str">
            <v xml:space="preserve">CAT 320F L (YBM) CAT 320 (HEX)                                          </v>
          </cell>
          <cell r="C41" t="str">
            <v>C4.4B REBUILD KIT</v>
          </cell>
          <cell r="D41">
            <v>2512.7199999999998</v>
          </cell>
          <cell r="E41">
            <v>1256.3599999999999</v>
          </cell>
          <cell r="F41" t="str">
            <v>Engine</v>
          </cell>
          <cell r="G41">
            <v>2</v>
          </cell>
          <cell r="H41">
            <v>0</v>
          </cell>
          <cell r="I41">
            <v>0</v>
          </cell>
          <cell r="J41">
            <v>0</v>
          </cell>
          <cell r="K41">
            <v>2</v>
          </cell>
        </row>
        <row r="42">
          <cell r="A42" t="str">
            <v>CUSTOM-GQPD3OK</v>
          </cell>
          <cell r="B42" t="str">
            <v xml:space="preserve">CAT D3 (1PJ)                                            </v>
          </cell>
          <cell r="C42" t="str">
            <v>GQP OVERHAUL KIT</v>
          </cell>
          <cell r="D42">
            <v>4182.34</v>
          </cell>
          <cell r="E42">
            <v>2091.17</v>
          </cell>
          <cell r="F42" t="str">
            <v>Engine</v>
          </cell>
          <cell r="G42">
            <v>1</v>
          </cell>
          <cell r="H42">
            <v>0</v>
          </cell>
          <cell r="I42">
            <v>0</v>
          </cell>
          <cell r="J42">
            <v>0</v>
          </cell>
          <cell r="K42">
            <v>1</v>
          </cell>
        </row>
        <row r="43">
          <cell r="A43" t="str">
            <v>CUSTOM-GQPD5OK</v>
          </cell>
          <cell r="B43" t="str">
            <v xml:space="preserve">CAT D5 (3CR) CAT D5 (3CR) (2)                                          </v>
          </cell>
          <cell r="C43" t="str">
            <v xml:space="preserve">GQP ENGINE OVERHAUL KIT </v>
          </cell>
          <cell r="D43">
            <v>5134.55</v>
          </cell>
          <cell r="E43">
            <v>2567.2800000000002</v>
          </cell>
          <cell r="F43" t="str">
            <v>Engine</v>
          </cell>
          <cell r="G43">
            <v>2</v>
          </cell>
          <cell r="H43">
            <v>0</v>
          </cell>
          <cell r="I43">
            <v>0</v>
          </cell>
          <cell r="J43">
            <v>0</v>
          </cell>
          <cell r="K43">
            <v>2</v>
          </cell>
        </row>
        <row r="44">
          <cell r="A44" t="str">
            <v>CUSTOM-GQPD7GSOK</v>
          </cell>
          <cell r="B44" t="str">
            <v xml:space="preserve">CAT D7G (92V) CAT D7G (3ZD) CAT D7G (3ZD) (2)                                        </v>
          </cell>
          <cell r="C44" t="str">
            <v>SILVER ENGINE OVERHAUL KIT</v>
          </cell>
          <cell r="D44">
            <v>6725.5</v>
          </cell>
          <cell r="E44">
            <v>3362.75</v>
          </cell>
          <cell r="F44" t="str">
            <v>Engine</v>
          </cell>
          <cell r="G44">
            <v>3</v>
          </cell>
          <cell r="H44">
            <v>0</v>
          </cell>
          <cell r="I44">
            <v>0</v>
          </cell>
          <cell r="J44">
            <v>0</v>
          </cell>
          <cell r="K44">
            <v>3</v>
          </cell>
        </row>
        <row r="45">
          <cell r="A45">
            <v>7008043</v>
          </cell>
          <cell r="B45" t="str">
            <v xml:space="preserve">BOBCAT S650 (A3N)                                            </v>
          </cell>
          <cell r="C45" t="str">
            <v>PRIMARY AIR FILTER ELEMENT (OUTER)</v>
          </cell>
          <cell r="D45">
            <v>62.49</v>
          </cell>
          <cell r="E45">
            <v>23.75</v>
          </cell>
          <cell r="F45" t="str">
            <v>Filter-Air</v>
          </cell>
          <cell r="G45">
            <v>1</v>
          </cell>
          <cell r="H45">
            <v>0</v>
          </cell>
          <cell r="I45">
            <v>0</v>
          </cell>
          <cell r="J45">
            <v>1</v>
          </cell>
          <cell r="K45">
            <v>2</v>
          </cell>
        </row>
        <row r="46">
          <cell r="A46">
            <v>7008044</v>
          </cell>
          <cell r="B46" t="str">
            <v xml:space="preserve">BOBCAT S650 (A3N)                                            </v>
          </cell>
          <cell r="C46" t="str">
            <v>SECONDARY AIR FILTER ELEMENT</v>
          </cell>
          <cell r="D46">
            <v>39.99</v>
          </cell>
          <cell r="E46">
            <v>15.2</v>
          </cell>
          <cell r="F46" t="str">
            <v>Filter-Air</v>
          </cell>
          <cell r="G46">
            <v>1</v>
          </cell>
          <cell r="H46">
            <v>0</v>
          </cell>
          <cell r="I46">
            <v>0</v>
          </cell>
          <cell r="J46">
            <v>1</v>
          </cell>
          <cell r="K46">
            <v>2</v>
          </cell>
        </row>
        <row r="47">
          <cell r="A47">
            <v>7010031</v>
          </cell>
          <cell r="B47" t="str">
            <v xml:space="preserve">BOBCAT T750 (ANK) BOBCAT T750 (ATF) BOBCAT T770 (AT6) BOBCAT T770 (AT6) (2)                                      </v>
          </cell>
          <cell r="C47" t="str">
            <v>SECONDARY AIR FILTER ELEMENT</v>
          </cell>
          <cell r="D47">
            <v>103.99</v>
          </cell>
          <cell r="E47">
            <v>39.520000000000003</v>
          </cell>
          <cell r="F47" t="str">
            <v>Filter-Air</v>
          </cell>
          <cell r="G47">
            <v>4</v>
          </cell>
          <cell r="H47">
            <v>0</v>
          </cell>
          <cell r="I47">
            <v>0</v>
          </cell>
          <cell r="J47">
            <v>4</v>
          </cell>
          <cell r="K47">
            <v>8</v>
          </cell>
        </row>
        <row r="48">
          <cell r="A48">
            <v>7286652</v>
          </cell>
          <cell r="B48" t="str">
            <v xml:space="preserve">BOBCAT T750 (ANK) BOBCAT T750 (ATF) BOBCAT T770 (AT6) BOBCAT T770 (AT6) (2)                                      </v>
          </cell>
          <cell r="C48" t="str">
            <v>PRIMARY AIR FILTER ELEMENT (OUTER)</v>
          </cell>
          <cell r="D48">
            <v>140.99</v>
          </cell>
          <cell r="E48">
            <v>53.58</v>
          </cell>
          <cell r="F48" t="str">
            <v>Filter-Air</v>
          </cell>
          <cell r="G48">
            <v>4</v>
          </cell>
          <cell r="H48">
            <v>0</v>
          </cell>
          <cell r="I48">
            <v>0</v>
          </cell>
          <cell r="J48">
            <v>4</v>
          </cell>
          <cell r="K48">
            <v>8</v>
          </cell>
        </row>
        <row r="49">
          <cell r="A49" t="str">
            <v>110-6326</v>
          </cell>
          <cell r="B49" t="str">
            <v xml:space="preserve">CAT 299D (DX2)                                            </v>
          </cell>
          <cell r="C49" t="str">
            <v>PRIMARY AIR FILTER ELEMENT</v>
          </cell>
          <cell r="D49">
            <v>76.02</v>
          </cell>
          <cell r="E49">
            <v>28.89</v>
          </cell>
          <cell r="F49" t="str">
            <v>Filter-Air</v>
          </cell>
          <cell r="G49">
            <v>1</v>
          </cell>
          <cell r="H49">
            <v>0</v>
          </cell>
          <cell r="I49">
            <v>0</v>
          </cell>
          <cell r="J49">
            <v>1</v>
          </cell>
          <cell r="K49">
            <v>2</v>
          </cell>
        </row>
        <row r="50">
          <cell r="A50" t="str">
            <v>110-6331</v>
          </cell>
          <cell r="B50" t="str">
            <v xml:space="preserve">CAT 299D (DX2)                                            </v>
          </cell>
          <cell r="C50" t="str">
            <v>SECONDARY AIR FILTER ELEMENT</v>
          </cell>
          <cell r="D50">
            <v>54.17</v>
          </cell>
          <cell r="E50">
            <v>20.58</v>
          </cell>
          <cell r="F50" t="str">
            <v>Filter-Air</v>
          </cell>
          <cell r="G50">
            <v>1</v>
          </cell>
          <cell r="H50">
            <v>0</v>
          </cell>
          <cell r="I50">
            <v>0</v>
          </cell>
          <cell r="J50">
            <v>1</v>
          </cell>
          <cell r="K50">
            <v>2</v>
          </cell>
        </row>
        <row r="51">
          <cell r="A51" t="str">
            <v>112-7448</v>
          </cell>
          <cell r="B51" t="str">
            <v xml:space="preserve">CAT D6T (MH7)                                            </v>
          </cell>
          <cell r="C51" t="str">
            <v>CABIN AIR FILTER ELEMENT</v>
          </cell>
          <cell r="D51">
            <v>43.37</v>
          </cell>
          <cell r="E51">
            <v>16.48</v>
          </cell>
          <cell r="F51" t="str">
            <v>Filter-Air</v>
          </cell>
          <cell r="G51">
            <v>1</v>
          </cell>
          <cell r="H51">
            <v>0</v>
          </cell>
          <cell r="I51">
            <v>0</v>
          </cell>
          <cell r="J51">
            <v>1</v>
          </cell>
          <cell r="K51">
            <v>2</v>
          </cell>
        </row>
        <row r="52">
          <cell r="A52" t="str">
            <v>131-8821</v>
          </cell>
          <cell r="B52" t="str">
            <v xml:space="preserve">CAT 320E L (WBK) CAT 320E L (WBK) (2) CAT 320F L (YBM)                                        </v>
          </cell>
          <cell r="C52" t="str">
            <v>SECONDARY AIR FILTER ELEMENT</v>
          </cell>
          <cell r="D52">
            <v>97.91</v>
          </cell>
          <cell r="E52">
            <v>37.21</v>
          </cell>
          <cell r="F52" t="str">
            <v>Filter-Air</v>
          </cell>
          <cell r="G52">
            <v>3</v>
          </cell>
          <cell r="H52">
            <v>0</v>
          </cell>
          <cell r="I52">
            <v>0</v>
          </cell>
          <cell r="J52">
            <v>3</v>
          </cell>
          <cell r="K52">
            <v>6</v>
          </cell>
        </row>
        <row r="53">
          <cell r="A53" t="str">
            <v>131-8822</v>
          </cell>
          <cell r="B53" t="str">
            <v xml:space="preserve">CAT 320E L (WBK) CAT 320E L (WBK) (2) CAT 320F L (YBM)                                        </v>
          </cell>
          <cell r="C53" t="str">
            <v>PRIMARY AIR FILTER ELEMENT</v>
          </cell>
          <cell r="D53">
            <v>120.35</v>
          </cell>
          <cell r="E53">
            <v>45.73</v>
          </cell>
          <cell r="F53" t="str">
            <v>Filter-Air</v>
          </cell>
          <cell r="G53">
            <v>3</v>
          </cell>
          <cell r="H53">
            <v>0</v>
          </cell>
          <cell r="I53">
            <v>0</v>
          </cell>
          <cell r="J53">
            <v>3</v>
          </cell>
          <cell r="K53">
            <v>6</v>
          </cell>
        </row>
        <row r="54">
          <cell r="A54" t="str">
            <v>134-8726</v>
          </cell>
          <cell r="B54" t="str">
            <v xml:space="preserve">CAT 303.5E                                            </v>
          </cell>
          <cell r="C54" t="str">
            <v>PRIMARY AIR FILTER ELEMENT</v>
          </cell>
          <cell r="D54">
            <v>67.33</v>
          </cell>
          <cell r="E54">
            <v>25.59</v>
          </cell>
          <cell r="F54" t="str">
            <v>Filter-Air</v>
          </cell>
          <cell r="G54">
            <v>1</v>
          </cell>
          <cell r="H54">
            <v>0</v>
          </cell>
          <cell r="I54">
            <v>0</v>
          </cell>
          <cell r="J54">
            <v>1</v>
          </cell>
          <cell r="K54">
            <v>2</v>
          </cell>
        </row>
        <row r="55">
          <cell r="A55" t="str">
            <v>140-2334</v>
          </cell>
          <cell r="B55" t="str">
            <v xml:space="preserve">CAT 303.5E                                            </v>
          </cell>
          <cell r="C55" t="str">
            <v>SECONDARY AIR FILTER ELEMENT</v>
          </cell>
          <cell r="D55">
            <v>61.69</v>
          </cell>
          <cell r="E55">
            <v>23.44</v>
          </cell>
          <cell r="F55" t="str">
            <v>Filter-Air</v>
          </cell>
          <cell r="G55">
            <v>1</v>
          </cell>
          <cell r="H55">
            <v>0</v>
          </cell>
          <cell r="I55">
            <v>0</v>
          </cell>
          <cell r="J55">
            <v>1</v>
          </cell>
          <cell r="K55">
            <v>2</v>
          </cell>
        </row>
        <row r="56">
          <cell r="A56" t="str">
            <v>142-1339</v>
          </cell>
          <cell r="B56" t="str">
            <v xml:space="preserve">CAT 336F L (RKB)                                            </v>
          </cell>
          <cell r="C56" t="str">
            <v>PRIMARY AIR FILTER ELEMENT</v>
          </cell>
          <cell r="D56">
            <v>201.81</v>
          </cell>
          <cell r="E56">
            <v>76.69</v>
          </cell>
          <cell r="F56" t="str">
            <v>Filter-Air</v>
          </cell>
          <cell r="G56">
            <v>1</v>
          </cell>
          <cell r="H56">
            <v>0</v>
          </cell>
          <cell r="I56">
            <v>0</v>
          </cell>
          <cell r="J56">
            <v>1</v>
          </cell>
          <cell r="K56">
            <v>2</v>
          </cell>
        </row>
        <row r="57">
          <cell r="A57" t="str">
            <v>142-1404</v>
          </cell>
          <cell r="B57" t="str">
            <v xml:space="preserve">CAT 336F L (RKB)                                            </v>
          </cell>
          <cell r="C57" t="str">
            <v>SECONDARY AIR FILTER ELEMENT</v>
          </cell>
          <cell r="D57">
            <v>119.45</v>
          </cell>
          <cell r="E57">
            <v>45.39</v>
          </cell>
          <cell r="F57" t="str">
            <v>Filter-Air</v>
          </cell>
          <cell r="G57">
            <v>1</v>
          </cell>
          <cell r="H57">
            <v>0</v>
          </cell>
          <cell r="I57">
            <v>0</v>
          </cell>
          <cell r="J57">
            <v>1</v>
          </cell>
          <cell r="K57">
            <v>2</v>
          </cell>
        </row>
        <row r="58">
          <cell r="A58" t="str">
            <v>151-0914</v>
          </cell>
          <cell r="B58" t="str">
            <v xml:space="preserve">CAT D6N LGP (PBA) CAT D6N LGP (PBA) (2)                                          </v>
          </cell>
          <cell r="C58" t="str">
            <v>PRIMARY CABIN AIR FILTER ELEMENT</v>
          </cell>
          <cell r="D58">
            <v>112.48</v>
          </cell>
          <cell r="E58">
            <v>42.74</v>
          </cell>
          <cell r="F58" t="str">
            <v>Filter-Air</v>
          </cell>
          <cell r="G58">
            <v>2</v>
          </cell>
          <cell r="H58">
            <v>0</v>
          </cell>
          <cell r="I58">
            <v>0</v>
          </cell>
          <cell r="J58">
            <v>2</v>
          </cell>
          <cell r="K58">
            <v>4</v>
          </cell>
        </row>
        <row r="59">
          <cell r="A59" t="str">
            <v>209-8217</v>
          </cell>
          <cell r="B59" t="str">
            <v xml:space="preserve">CAT PL61 (WGS) CAT PL61 (WGS) (2) CAT PL61 (WGS) (3)                                        </v>
          </cell>
          <cell r="C59" t="str">
            <v>CABIN AIR FILTER ELEMENT</v>
          </cell>
          <cell r="D59">
            <v>85.17</v>
          </cell>
          <cell r="E59">
            <v>32.36</v>
          </cell>
          <cell r="F59" t="str">
            <v>Filter-Air</v>
          </cell>
          <cell r="G59">
            <v>3</v>
          </cell>
          <cell r="H59">
            <v>0</v>
          </cell>
          <cell r="I59">
            <v>0</v>
          </cell>
          <cell r="J59">
            <v>3</v>
          </cell>
          <cell r="K59">
            <v>6</v>
          </cell>
        </row>
        <row r="60">
          <cell r="A60" t="str">
            <v>252-5001</v>
          </cell>
          <cell r="B60" t="str">
            <v xml:space="preserve">CAT D6N LGP (GHS) CAT PL61 (WGS) CAT PL61 (WGS) (2) CAT PL61 (WGS) (3)                                      </v>
          </cell>
          <cell r="C60" t="str">
            <v>PRIMARY AIR FILTER ELEMENT</v>
          </cell>
          <cell r="D60">
            <v>221.03</v>
          </cell>
          <cell r="E60">
            <v>83.99</v>
          </cell>
          <cell r="F60" t="str">
            <v>Filter-Air</v>
          </cell>
          <cell r="G60">
            <v>4</v>
          </cell>
          <cell r="H60">
            <v>0</v>
          </cell>
          <cell r="I60">
            <v>0</v>
          </cell>
          <cell r="J60">
            <v>4</v>
          </cell>
          <cell r="K60">
            <v>8</v>
          </cell>
        </row>
        <row r="61">
          <cell r="A61" t="str">
            <v>252-5002</v>
          </cell>
          <cell r="B61" t="str">
            <v xml:space="preserve">CAT D6N LGP (GHS) CAT PL61 (WGS) CAT PL61 (WGS) (2) CAT PL61 (WGS) (3)                                      </v>
          </cell>
          <cell r="C61" t="str">
            <v>SECONDARY AIR FILTER ELEMENT</v>
          </cell>
          <cell r="D61">
            <v>152.66999999999999</v>
          </cell>
          <cell r="E61">
            <v>58.01</v>
          </cell>
          <cell r="F61" t="str">
            <v>Filter-Air</v>
          </cell>
          <cell r="G61">
            <v>4</v>
          </cell>
          <cell r="H61">
            <v>0</v>
          </cell>
          <cell r="I61">
            <v>0</v>
          </cell>
          <cell r="J61">
            <v>4</v>
          </cell>
          <cell r="K61">
            <v>8</v>
          </cell>
        </row>
        <row r="62">
          <cell r="A62" t="str">
            <v>265-6618</v>
          </cell>
          <cell r="B62" t="str">
            <v xml:space="preserve">CAT 299D (DX2)                                            </v>
          </cell>
          <cell r="C62" t="str">
            <v>CABIN AIR FILTER ELEMENT</v>
          </cell>
          <cell r="D62">
            <v>37.51</v>
          </cell>
          <cell r="E62">
            <v>14.25</v>
          </cell>
          <cell r="F62" t="str">
            <v>Filter-Air</v>
          </cell>
          <cell r="G62">
            <v>1</v>
          </cell>
          <cell r="H62">
            <v>0</v>
          </cell>
          <cell r="I62">
            <v>0</v>
          </cell>
          <cell r="J62">
            <v>1</v>
          </cell>
          <cell r="K62">
            <v>2</v>
          </cell>
        </row>
        <row r="63">
          <cell r="A63" t="str">
            <v>284-5686</v>
          </cell>
          <cell r="B63" t="str">
            <v xml:space="preserve">CAT 303.5E                                            </v>
          </cell>
          <cell r="C63" t="str">
            <v>CABIN AIR FILTER ELEMENT</v>
          </cell>
          <cell r="D63">
            <v>98.39</v>
          </cell>
          <cell r="E63">
            <v>37.39</v>
          </cell>
          <cell r="F63" t="str">
            <v>Filter-Air</v>
          </cell>
          <cell r="G63">
            <v>1</v>
          </cell>
          <cell r="H63">
            <v>0</v>
          </cell>
          <cell r="I63">
            <v>0</v>
          </cell>
          <cell r="J63">
            <v>1</v>
          </cell>
          <cell r="K63">
            <v>2</v>
          </cell>
        </row>
        <row r="64">
          <cell r="A64" t="str">
            <v>2S-1285</v>
          </cell>
          <cell r="B64" t="str">
            <v xml:space="preserve">CAT D4 (66J)                                            </v>
          </cell>
          <cell r="C64" t="str">
            <v>SECONDARY AIR FILTER ELEMENT</v>
          </cell>
          <cell r="D64">
            <v>111.66</v>
          </cell>
          <cell r="E64">
            <v>42.43</v>
          </cell>
          <cell r="F64" t="str">
            <v>Filter-Air</v>
          </cell>
          <cell r="G64">
            <v>1</v>
          </cell>
          <cell r="H64">
            <v>0</v>
          </cell>
          <cell r="I64">
            <v>0</v>
          </cell>
          <cell r="J64">
            <v>1</v>
          </cell>
          <cell r="K64">
            <v>2</v>
          </cell>
        </row>
        <row r="65">
          <cell r="A65" t="str">
            <v>2S-1286</v>
          </cell>
          <cell r="B65" t="str">
            <v xml:space="preserve">CAT 561 (85H) CAT 561 (92J) CAT 561 (92J) (2)                                        </v>
          </cell>
          <cell r="C65" t="str">
            <v>SECONDARY AIR FILTER</v>
          </cell>
          <cell r="D65">
            <v>160.44</v>
          </cell>
          <cell r="E65">
            <v>60.97</v>
          </cell>
          <cell r="F65" t="str">
            <v>Filter-Air</v>
          </cell>
          <cell r="G65">
            <v>3</v>
          </cell>
          <cell r="H65">
            <v>0</v>
          </cell>
          <cell r="I65">
            <v>0</v>
          </cell>
          <cell r="J65">
            <v>3</v>
          </cell>
          <cell r="K65">
            <v>6</v>
          </cell>
        </row>
        <row r="66">
          <cell r="A66" t="str">
            <v>329-3243</v>
          </cell>
          <cell r="B66" t="str">
            <v xml:space="preserve">CAT D6N LGP (PBA) CAT D6N LGP (PBA) (2) CAT D6N LGP (SGG) CAT D6N LGP (SGG) (2)                                      </v>
          </cell>
          <cell r="C66" t="str">
            <v>SECONDARY CABIN AIR FILTER ELEMENT</v>
          </cell>
          <cell r="D66">
            <v>79.09</v>
          </cell>
          <cell r="E66">
            <v>30.05</v>
          </cell>
          <cell r="F66" t="str">
            <v>Filter-Air</v>
          </cell>
          <cell r="G66">
            <v>6</v>
          </cell>
          <cell r="H66">
            <v>0</v>
          </cell>
          <cell r="I66">
            <v>0</v>
          </cell>
          <cell r="J66">
            <v>6</v>
          </cell>
          <cell r="K66">
            <v>12</v>
          </cell>
        </row>
        <row r="67">
          <cell r="A67" t="str">
            <v>331-8108</v>
          </cell>
          <cell r="B67" t="str">
            <v xml:space="preserve">CAT D6 (RDC) CAT D6T (MH7) CAT 561N (CPH) CAT 561N (CPH) (2) CAT 561N (CPH) (3) CAT 561N (CPH) (4) CAT 561N (CPH) (5)                                </v>
          </cell>
          <cell r="C67" t="str">
            <v>SECONDARY AIR FILTER ELEMENT</v>
          </cell>
          <cell r="D67">
            <v>109.02</v>
          </cell>
          <cell r="E67">
            <v>41.43</v>
          </cell>
          <cell r="F67" t="str">
            <v>Filter-Air</v>
          </cell>
          <cell r="G67">
            <v>7</v>
          </cell>
          <cell r="H67">
            <v>0</v>
          </cell>
          <cell r="I67">
            <v>0</v>
          </cell>
          <cell r="J67">
            <v>7</v>
          </cell>
          <cell r="K67">
            <v>14</v>
          </cell>
        </row>
        <row r="68">
          <cell r="A68" t="str">
            <v>346-6694</v>
          </cell>
          <cell r="B68" t="str">
            <v xml:space="preserve">CAT D6N LGP (PBA) CAT D6N LGP (PBA) (2)                                          </v>
          </cell>
          <cell r="C68" t="str">
            <v>SECONDARY AIR FILTER ELEMENT</v>
          </cell>
          <cell r="D68">
            <v>137.53</v>
          </cell>
          <cell r="E68">
            <v>52.26</v>
          </cell>
          <cell r="F68" t="str">
            <v>Filter-Air</v>
          </cell>
          <cell r="G68">
            <v>2</v>
          </cell>
          <cell r="H68">
            <v>0</v>
          </cell>
          <cell r="I68">
            <v>0</v>
          </cell>
          <cell r="J68">
            <v>2</v>
          </cell>
          <cell r="K68">
            <v>4</v>
          </cell>
        </row>
        <row r="69">
          <cell r="A69" t="str">
            <v>363-9402</v>
          </cell>
          <cell r="B69" t="str">
            <v xml:space="preserve">CAT 329E L (ZCD) CAT 329F L (ERL) CAT 329F L (ERL) (2) CAT 330F L (MBX) CAT 330F L (HCK) CAT 330F L (HCK) (2)                                  </v>
          </cell>
          <cell r="C69" t="str">
            <v>CABIN AIR FILTER ELEMENT</v>
          </cell>
          <cell r="D69">
            <v>94.42</v>
          </cell>
          <cell r="E69">
            <v>35.880000000000003</v>
          </cell>
          <cell r="F69" t="str">
            <v>Filter-Air</v>
          </cell>
          <cell r="G69">
            <v>6</v>
          </cell>
          <cell r="H69">
            <v>0</v>
          </cell>
          <cell r="I69">
            <v>0</v>
          </cell>
          <cell r="J69">
            <v>6</v>
          </cell>
          <cell r="K69">
            <v>12</v>
          </cell>
        </row>
        <row r="70">
          <cell r="A70" t="str">
            <v>472-7939</v>
          </cell>
          <cell r="B70" t="str">
            <v xml:space="preserve">CAT 561N (CPH) CAT 561N (CPH) (2) CAT 561N (CPH) (3) CAT 561N (CPH) (4) CAT 561N (CPH) (5)                                    </v>
          </cell>
          <cell r="C70" t="str">
            <v>CABIN AIR FILTER ELEMENT</v>
          </cell>
          <cell r="D70">
            <v>1076.32</v>
          </cell>
          <cell r="E70">
            <v>409</v>
          </cell>
          <cell r="F70" t="str">
            <v>Filter-Air</v>
          </cell>
          <cell r="G70">
            <v>5</v>
          </cell>
          <cell r="H70">
            <v>0</v>
          </cell>
          <cell r="I70">
            <v>0</v>
          </cell>
          <cell r="J70">
            <v>5</v>
          </cell>
          <cell r="K70">
            <v>10</v>
          </cell>
        </row>
        <row r="71">
          <cell r="A71" t="str">
            <v>479-8989</v>
          </cell>
          <cell r="B71" t="str">
            <v xml:space="preserve">CAT 320 (HEX) CAT 320 (MYK) CAT 320 (MYK) (2)                                        </v>
          </cell>
          <cell r="C71" t="str">
            <v>PRIMARY AIR FILTER ELEMENT</v>
          </cell>
          <cell r="D71">
            <v>244.2</v>
          </cell>
          <cell r="E71">
            <v>92.8</v>
          </cell>
          <cell r="F71" t="str">
            <v>Filter-Air</v>
          </cell>
          <cell r="G71">
            <v>3</v>
          </cell>
          <cell r="H71">
            <v>0</v>
          </cell>
          <cell r="I71">
            <v>0</v>
          </cell>
          <cell r="J71">
            <v>3</v>
          </cell>
          <cell r="K71">
            <v>6</v>
          </cell>
        </row>
        <row r="72">
          <cell r="A72" t="str">
            <v>479-8991</v>
          </cell>
          <cell r="B72" t="str">
            <v xml:space="preserve">CAT 320 (HEX) CAT 320 (MYK) CAT 320 (MYK) (2)                                        </v>
          </cell>
          <cell r="C72" t="str">
            <v>SECONDARY AIR FILTER ELEMENT</v>
          </cell>
          <cell r="D72">
            <v>133.28</v>
          </cell>
          <cell r="E72">
            <v>50.65</v>
          </cell>
          <cell r="F72" t="str">
            <v>Filter-Air</v>
          </cell>
          <cell r="G72">
            <v>3</v>
          </cell>
          <cell r="H72">
            <v>0</v>
          </cell>
          <cell r="I72">
            <v>0</v>
          </cell>
          <cell r="J72">
            <v>3</v>
          </cell>
          <cell r="K72">
            <v>6</v>
          </cell>
        </row>
        <row r="73">
          <cell r="A73" t="str">
            <v>496-9845</v>
          </cell>
          <cell r="B73" t="str">
            <v xml:space="preserve">CAT 330 (LHW) CAT 330 (LHW) (2) CAT 330 (LHW) (3) CAT 330 (LHW) (4) CAT 330 (WCH) CAT 330 (WCH) (2) CAT 330 (WCH) (3) CAT 330 (WCH) (4) CAT 330 (WCH) (5) CAT 330 (WCH) (6)                          </v>
          </cell>
          <cell r="C73" t="str">
            <v>PRIMARY AIR FILTER ELEMENT</v>
          </cell>
          <cell r="D73">
            <v>307.85000000000002</v>
          </cell>
          <cell r="E73">
            <v>116.98</v>
          </cell>
          <cell r="F73" t="str">
            <v>Filter-Air</v>
          </cell>
          <cell r="G73">
            <v>10</v>
          </cell>
          <cell r="H73">
            <v>0</v>
          </cell>
          <cell r="I73">
            <v>0</v>
          </cell>
          <cell r="J73">
            <v>10</v>
          </cell>
          <cell r="K73">
            <v>20</v>
          </cell>
        </row>
        <row r="74">
          <cell r="A74" t="str">
            <v>496-9846</v>
          </cell>
          <cell r="B74" t="str">
            <v xml:space="preserve">CAT 330 (LHW) CAT 330 (LHW) (2) CAT 330 (LHW) (3) CAT 330 (LHW) (4) CAT 330 (WCH) CAT 330 (WCH) (2) CAT 330 (WCH) (3) CAT 330 (WCH) (4) CAT 330 (WCH) (5) CAT 330 (WCH) (6)                          </v>
          </cell>
          <cell r="C74" t="str">
            <v>SECONDAY AIR FILTER ELEMENT</v>
          </cell>
          <cell r="D74">
            <v>137.38</v>
          </cell>
          <cell r="E74">
            <v>52.2</v>
          </cell>
          <cell r="F74" t="str">
            <v>Filter-Air</v>
          </cell>
          <cell r="G74">
            <v>10</v>
          </cell>
          <cell r="H74">
            <v>0</v>
          </cell>
          <cell r="I74">
            <v>0</v>
          </cell>
          <cell r="J74">
            <v>10</v>
          </cell>
          <cell r="K74">
            <v>20</v>
          </cell>
        </row>
        <row r="75">
          <cell r="A75" t="str">
            <v>4N-0313</v>
          </cell>
          <cell r="B75" t="str">
            <v xml:space="preserve">CAT D3 (1PJ)                                            </v>
          </cell>
          <cell r="C75" t="str">
            <v>SECONDARY AIR FILTER ELEMENT</v>
          </cell>
          <cell r="D75">
            <v>77.260000000000005</v>
          </cell>
          <cell r="E75">
            <v>29.36</v>
          </cell>
          <cell r="F75" t="str">
            <v>Filter-Air</v>
          </cell>
          <cell r="G75">
            <v>1</v>
          </cell>
          <cell r="H75">
            <v>0</v>
          </cell>
          <cell r="I75">
            <v>0</v>
          </cell>
          <cell r="J75">
            <v>1</v>
          </cell>
          <cell r="K75">
            <v>2</v>
          </cell>
        </row>
        <row r="76">
          <cell r="A76" t="str">
            <v>4N-0326</v>
          </cell>
          <cell r="B76" t="str">
            <v xml:space="preserve">CAT D3 (1PJ)                                            </v>
          </cell>
          <cell r="C76" t="str">
            <v>PRIMARY AIR FILTER ELEMENT</v>
          </cell>
          <cell r="D76">
            <v>91.61</v>
          </cell>
          <cell r="E76">
            <v>34.81</v>
          </cell>
          <cell r="F76" t="str">
            <v>Filter-Air</v>
          </cell>
          <cell r="G76">
            <v>1</v>
          </cell>
          <cell r="H76">
            <v>0</v>
          </cell>
          <cell r="I76">
            <v>0</v>
          </cell>
          <cell r="J76">
            <v>1</v>
          </cell>
          <cell r="K76">
            <v>2</v>
          </cell>
        </row>
        <row r="77">
          <cell r="A77" t="str">
            <v>500-0957</v>
          </cell>
          <cell r="B77" t="str">
            <v xml:space="preserve">CAT 320 (HEX) CAT 320 (MYK) CAT 320 (MYK) (2) CAT 330 (LHW) CAT 330 (LHW) (2) CAT 330 (LHW) (3) CAT 330 (LHW) (4) CAT 330 (WCH) CAT 330 (WCH) (2) CAT 330 (WCH) (3) CAT 330 (WCH) (4) CAT 330 (WCH) (5) CAT 330 (WCH) (6)                    </v>
          </cell>
          <cell r="C77" t="str">
            <v xml:space="preserve">CABIN AIR FILTER ELEMENT </v>
          </cell>
          <cell r="D77">
            <v>87.85</v>
          </cell>
          <cell r="E77">
            <v>33.380000000000003</v>
          </cell>
          <cell r="F77" t="str">
            <v>Filter-Air</v>
          </cell>
          <cell r="G77">
            <v>13</v>
          </cell>
          <cell r="H77">
            <v>0</v>
          </cell>
          <cell r="I77">
            <v>0</v>
          </cell>
          <cell r="J77">
            <v>13</v>
          </cell>
          <cell r="K77">
            <v>26</v>
          </cell>
        </row>
        <row r="78">
          <cell r="A78" t="str">
            <v>528-7222</v>
          </cell>
          <cell r="B78" t="str">
            <v xml:space="preserve">CAT D6N LGP (SGG) CAT D6N LGP (SGG) (2)                                          </v>
          </cell>
          <cell r="C78" t="str">
            <v>PRIMARY AIR FILTER ELEMENT</v>
          </cell>
          <cell r="D78">
            <v>136.4</v>
          </cell>
          <cell r="E78">
            <v>51.83</v>
          </cell>
          <cell r="F78" t="str">
            <v>Filter-Air</v>
          </cell>
          <cell r="G78">
            <v>2</v>
          </cell>
          <cell r="H78">
            <v>0</v>
          </cell>
          <cell r="I78">
            <v>0</v>
          </cell>
          <cell r="J78">
            <v>2</v>
          </cell>
          <cell r="K78">
            <v>4</v>
          </cell>
        </row>
        <row r="79">
          <cell r="A79" t="str">
            <v>529-0132</v>
          </cell>
          <cell r="B79" t="str">
            <v xml:space="preserve">CAT D6N LGP (SGG) CAT D6N LGP (SGG) (2)                                          </v>
          </cell>
          <cell r="C79" t="str">
            <v>SECONDARY AIR FILTER ELEMENT</v>
          </cell>
          <cell r="D79">
            <v>103.4</v>
          </cell>
          <cell r="E79">
            <v>39.29</v>
          </cell>
          <cell r="F79" t="str">
            <v>Filter-Air</v>
          </cell>
          <cell r="G79">
            <v>2</v>
          </cell>
          <cell r="H79">
            <v>0</v>
          </cell>
          <cell r="I79">
            <v>0</v>
          </cell>
          <cell r="J79">
            <v>2</v>
          </cell>
          <cell r="K79">
            <v>4</v>
          </cell>
        </row>
        <row r="80">
          <cell r="A80" t="str">
            <v>539-6920</v>
          </cell>
          <cell r="B80" t="str">
            <v xml:space="preserve">CAT D6N LGP (PBA) CAT D6N LGP (PBA) (2)                                          </v>
          </cell>
          <cell r="C80" t="str">
            <v>PRIMARY AIR FILTER ELEMENT</v>
          </cell>
          <cell r="D80">
            <v>225.94</v>
          </cell>
          <cell r="E80">
            <v>85.86</v>
          </cell>
          <cell r="F80" t="str">
            <v>Filter-Air</v>
          </cell>
          <cell r="G80">
            <v>2</v>
          </cell>
          <cell r="H80">
            <v>0</v>
          </cell>
          <cell r="I80">
            <v>0</v>
          </cell>
          <cell r="J80">
            <v>2</v>
          </cell>
          <cell r="K80">
            <v>4</v>
          </cell>
        </row>
        <row r="81">
          <cell r="A81" t="str">
            <v>545-8339</v>
          </cell>
          <cell r="B81" t="str">
            <v xml:space="preserve">CAT D6 (RDC)                                            </v>
          </cell>
          <cell r="C81" t="str">
            <v>CABIN AIR FILTER ELEMENT</v>
          </cell>
          <cell r="D81">
            <v>143.80000000000001</v>
          </cell>
          <cell r="E81">
            <v>54.64</v>
          </cell>
          <cell r="F81" t="str">
            <v>Filter-Air</v>
          </cell>
          <cell r="G81">
            <v>1</v>
          </cell>
          <cell r="H81">
            <v>0</v>
          </cell>
          <cell r="I81">
            <v>0</v>
          </cell>
          <cell r="J81">
            <v>1</v>
          </cell>
          <cell r="K81">
            <v>2</v>
          </cell>
        </row>
        <row r="82">
          <cell r="A82" t="str">
            <v>577-1435</v>
          </cell>
          <cell r="B82" t="str">
            <v xml:space="preserve">CAT D6 (RDC) CAT D6T (MH7) CAT 561N (CPH) CAT 561N (CPH) (2) CAT 561N (CPH) (3) CAT 561N (CPH) (4) CAT 561N (CPH) (5)                                </v>
          </cell>
          <cell r="C82" t="str">
            <v>PRIMARY AIR FILTER ELEMENT</v>
          </cell>
          <cell r="D82">
            <v>259.82</v>
          </cell>
          <cell r="E82">
            <v>98.73</v>
          </cell>
          <cell r="F82" t="str">
            <v>Filter-Air</v>
          </cell>
          <cell r="G82">
            <v>7</v>
          </cell>
          <cell r="H82">
            <v>0</v>
          </cell>
          <cell r="I82">
            <v>0</v>
          </cell>
          <cell r="J82">
            <v>7</v>
          </cell>
          <cell r="K82">
            <v>14</v>
          </cell>
        </row>
        <row r="83">
          <cell r="A83" t="str">
            <v>6I-2499</v>
          </cell>
          <cell r="B83" t="str">
            <v xml:space="preserve">CAT D5 (3CR) CAT D5 (3CR) (2) CAT 561M (1KW)                                        </v>
          </cell>
          <cell r="C83" t="str">
            <v>PRIMARY AIR FILTER ELEMENT</v>
          </cell>
          <cell r="D83">
            <v>110.04</v>
          </cell>
          <cell r="E83">
            <v>41.82</v>
          </cell>
          <cell r="F83" t="str">
            <v>Filter-Air</v>
          </cell>
          <cell r="G83">
            <v>3</v>
          </cell>
          <cell r="H83">
            <v>0</v>
          </cell>
          <cell r="I83">
            <v>0</v>
          </cell>
          <cell r="J83">
            <v>3</v>
          </cell>
          <cell r="K83">
            <v>6</v>
          </cell>
        </row>
        <row r="84">
          <cell r="A84" t="str">
            <v>6I-2500</v>
          </cell>
          <cell r="B84" t="str">
            <v xml:space="preserve">CAT D5 (3CR) CAT D5 (3CR) (2) CAT 561M (1KW)                                        </v>
          </cell>
          <cell r="C84" t="str">
            <v>SECONDARY AIR FILTER ELEMENT</v>
          </cell>
          <cell r="D84">
            <v>81.73</v>
          </cell>
          <cell r="E84">
            <v>31.06</v>
          </cell>
          <cell r="F84" t="str">
            <v>Filter-Air</v>
          </cell>
          <cell r="G84">
            <v>3</v>
          </cell>
          <cell r="H84">
            <v>0</v>
          </cell>
          <cell r="I84">
            <v>0</v>
          </cell>
          <cell r="J84">
            <v>3</v>
          </cell>
          <cell r="K84">
            <v>6</v>
          </cell>
        </row>
        <row r="85">
          <cell r="A85" t="str">
            <v>6I-2503</v>
          </cell>
          <cell r="B85" t="str">
            <v xml:space="preserve">CAT 329E L (ZCD) CAT 329F L (ERL) CAT 329F L (ERL) (2) CAT 330F L (MBX) CAT 330F L (HCK) CAT 330F L (HCK) (2)                                  </v>
          </cell>
          <cell r="C85" t="str">
            <v>PRIMARY AIR FILTER ELEMENT</v>
          </cell>
          <cell r="D85">
            <v>165.83</v>
          </cell>
          <cell r="E85">
            <v>63.02</v>
          </cell>
          <cell r="F85" t="str">
            <v>Filter-Air</v>
          </cell>
          <cell r="G85">
            <v>6</v>
          </cell>
          <cell r="H85">
            <v>0</v>
          </cell>
          <cell r="I85">
            <v>0</v>
          </cell>
          <cell r="J85">
            <v>6</v>
          </cell>
          <cell r="K85">
            <v>12</v>
          </cell>
        </row>
        <row r="86">
          <cell r="A86" t="str">
            <v>6I-2504</v>
          </cell>
          <cell r="B86" t="str">
            <v xml:space="preserve">CAT 329E L (ZCD) CAT 329F L (ERL) CAT 329F L (ERL) (2) CAT 330F L (MBX) CAT 330F L (HCK) CAT 330F L (HCK) (2)                                  </v>
          </cell>
          <cell r="C86" t="str">
            <v>SECONDARY AIR FILTER ELEMENT</v>
          </cell>
          <cell r="D86">
            <v>117.3</v>
          </cell>
          <cell r="E86">
            <v>44.57</v>
          </cell>
          <cell r="F86" t="str">
            <v>Filter-Air</v>
          </cell>
          <cell r="G86">
            <v>6</v>
          </cell>
          <cell r="H86">
            <v>0</v>
          </cell>
          <cell r="I86">
            <v>0</v>
          </cell>
          <cell r="J86">
            <v>6</v>
          </cell>
          <cell r="K86">
            <v>12</v>
          </cell>
        </row>
        <row r="87">
          <cell r="A87" t="str">
            <v>6P-6664</v>
          </cell>
          <cell r="B87" t="str">
            <v xml:space="preserve">CAT D7G (92V) CAT D7G (3ZD) CAT D7G (3ZD) (2)                                        </v>
          </cell>
          <cell r="C87" t="str">
            <v>CABIN AIR FILTER ELEMENT</v>
          </cell>
          <cell r="D87">
            <v>121.67</v>
          </cell>
          <cell r="E87">
            <v>46.23</v>
          </cell>
          <cell r="F87" t="str">
            <v>Filter-Air</v>
          </cell>
          <cell r="G87">
            <v>3</v>
          </cell>
          <cell r="H87">
            <v>0</v>
          </cell>
          <cell r="I87">
            <v>0</v>
          </cell>
          <cell r="J87">
            <v>3</v>
          </cell>
          <cell r="K87">
            <v>6</v>
          </cell>
        </row>
        <row r="88">
          <cell r="A88" t="str">
            <v>7W-5317</v>
          </cell>
          <cell r="B88" t="str">
            <v xml:space="preserve">CAT D7G (92V) CAT D7G (3ZD) CAT D7G (3ZD) (2) CAT 561 (85H) CAT 561 (92J) CAT 561 (92J) (2)                                  </v>
          </cell>
          <cell r="C88" t="str">
            <v>PRIMARY AIR FILTER ELEMENT</v>
          </cell>
          <cell r="D88">
            <v>143.6</v>
          </cell>
          <cell r="E88">
            <v>54.57</v>
          </cell>
          <cell r="F88" t="str">
            <v>Filter-Air</v>
          </cell>
          <cell r="G88">
            <v>6</v>
          </cell>
          <cell r="H88">
            <v>0</v>
          </cell>
          <cell r="I88">
            <v>0</v>
          </cell>
          <cell r="J88">
            <v>6</v>
          </cell>
          <cell r="K88">
            <v>12</v>
          </cell>
        </row>
        <row r="89">
          <cell r="A89" t="str">
            <v>7W-5389</v>
          </cell>
          <cell r="B89" t="str">
            <v xml:space="preserve">CAT D4 (66J)                                            </v>
          </cell>
          <cell r="C89" t="str">
            <v>PRIMARY AIR FILTER ELEMENT</v>
          </cell>
          <cell r="D89">
            <v>125.6</v>
          </cell>
          <cell r="E89">
            <v>47.73</v>
          </cell>
          <cell r="F89" t="str">
            <v>Filter-Air</v>
          </cell>
          <cell r="G89">
            <v>1</v>
          </cell>
          <cell r="H89">
            <v>0</v>
          </cell>
          <cell r="I89">
            <v>0</v>
          </cell>
          <cell r="J89">
            <v>1</v>
          </cell>
          <cell r="K89">
            <v>2</v>
          </cell>
        </row>
        <row r="90">
          <cell r="A90" t="str">
            <v>9S-9972</v>
          </cell>
          <cell r="B90" t="str">
            <v xml:space="preserve">CAT D7G (92V) CAT D7G (3ZD) CAT D7G (3ZD) (2)                                        </v>
          </cell>
          <cell r="C90" t="str">
            <v>SECONDARY AIR FILTER ELEMENT</v>
          </cell>
          <cell r="D90">
            <v>115.44</v>
          </cell>
          <cell r="E90">
            <v>43.87</v>
          </cell>
          <cell r="F90" t="str">
            <v>Filter-Air</v>
          </cell>
          <cell r="G90">
            <v>3</v>
          </cell>
          <cell r="H90">
            <v>0</v>
          </cell>
          <cell r="I90">
            <v>0</v>
          </cell>
          <cell r="J90">
            <v>3</v>
          </cell>
          <cell r="K90">
            <v>6</v>
          </cell>
        </row>
        <row r="91">
          <cell r="A91">
            <v>6692337</v>
          </cell>
          <cell r="B91" t="str">
            <v xml:space="preserve">BOBCAT T750 (ATF) BOBCAT S650 (A3N)                                          </v>
          </cell>
          <cell r="C91" t="str">
            <v>HYDRAULIC OIL FILTER ELEMENT</v>
          </cell>
          <cell r="D91">
            <v>93.99</v>
          </cell>
          <cell r="E91">
            <v>35.72</v>
          </cell>
          <cell r="F91" t="str">
            <v>Filter-Hydraulic</v>
          </cell>
          <cell r="G91">
            <v>2</v>
          </cell>
          <cell r="H91">
            <v>2</v>
          </cell>
          <cell r="I91">
            <v>0</v>
          </cell>
          <cell r="J91">
            <v>2</v>
          </cell>
          <cell r="K91">
            <v>6</v>
          </cell>
        </row>
        <row r="92">
          <cell r="A92">
            <v>7012314</v>
          </cell>
          <cell r="B92" t="str">
            <v xml:space="preserve">BOBCAT T750 (ANK)                                            </v>
          </cell>
          <cell r="C92" t="str">
            <v>HYDRAULIC OIL FILTER ELEMENT</v>
          </cell>
          <cell r="D92">
            <v>138.99</v>
          </cell>
          <cell r="E92">
            <v>52.82</v>
          </cell>
          <cell r="F92" t="str">
            <v>Filter-Hydraulic</v>
          </cell>
          <cell r="G92">
            <v>1</v>
          </cell>
          <cell r="H92">
            <v>1</v>
          </cell>
          <cell r="I92">
            <v>0</v>
          </cell>
          <cell r="J92">
            <v>1</v>
          </cell>
          <cell r="K92">
            <v>3</v>
          </cell>
        </row>
        <row r="93">
          <cell r="A93">
            <v>7414582</v>
          </cell>
          <cell r="B93" t="str">
            <v xml:space="preserve">BOBCAT T770 (AT6) BOBCAT T770 (AT6) (2)                                          </v>
          </cell>
          <cell r="C93" t="str">
            <v>HYDRAULIC OIL FILTER ELEMENT</v>
          </cell>
          <cell r="D93">
            <v>117.99</v>
          </cell>
          <cell r="E93">
            <v>44.84</v>
          </cell>
          <cell r="F93" t="str">
            <v>Filter-Hydraulic</v>
          </cell>
          <cell r="G93">
            <v>2</v>
          </cell>
          <cell r="H93">
            <v>2</v>
          </cell>
          <cell r="I93">
            <v>0</v>
          </cell>
          <cell r="J93">
            <v>2</v>
          </cell>
          <cell r="K93">
            <v>6</v>
          </cell>
        </row>
        <row r="94">
          <cell r="A94" t="str">
            <v>093-7521</v>
          </cell>
          <cell r="B94" t="str">
            <v xml:space="preserve">CAT 320F L (YBM) CAT 336F L (RKB)                                          </v>
          </cell>
          <cell r="C94" t="str">
            <v>HYDRAULIC OIL FILTER</v>
          </cell>
          <cell r="D94">
            <v>102.09</v>
          </cell>
          <cell r="E94">
            <v>38.79</v>
          </cell>
          <cell r="F94" t="str">
            <v>Filter-Hydraulic</v>
          </cell>
          <cell r="G94">
            <v>2</v>
          </cell>
          <cell r="H94">
            <v>2</v>
          </cell>
          <cell r="I94">
            <v>0</v>
          </cell>
          <cell r="J94">
            <v>2</v>
          </cell>
          <cell r="K94">
            <v>6</v>
          </cell>
        </row>
        <row r="95">
          <cell r="A95" t="str">
            <v>169-4019</v>
          </cell>
          <cell r="B95" t="str">
            <v xml:space="preserve">CAT D4 (66J)                                            </v>
          </cell>
          <cell r="C95" t="str">
            <v>HYDRAULIC OIL FILTER</v>
          </cell>
          <cell r="D95">
            <v>703.78</v>
          </cell>
          <cell r="E95">
            <v>267.44</v>
          </cell>
          <cell r="F95" t="str">
            <v>Filter-Hydraulic</v>
          </cell>
          <cell r="G95">
            <v>1</v>
          </cell>
          <cell r="H95">
            <v>1</v>
          </cell>
          <cell r="I95">
            <v>0</v>
          </cell>
          <cell r="J95">
            <v>1</v>
          </cell>
          <cell r="K95">
            <v>3</v>
          </cell>
        </row>
        <row r="96">
          <cell r="A96" t="str">
            <v>179-9806</v>
          </cell>
          <cell r="B96" t="str">
            <v xml:space="preserve">CAT 320E L (WBK) CAT 320E L (WBK) (2) CAT 320F L (YBM) CAT 329E L (ZCD) CAT 329F L (ERL) CAT 329F L (ERL) (2) CAT 330F L (MBX) CAT 330F L (HCK) CAT 330F L (HCK) (2) CAT 336F L (RKB)                          </v>
          </cell>
          <cell r="C96" t="str">
            <v xml:space="preserve">HYDRAULIC OIL FILTER ELEMENT </v>
          </cell>
          <cell r="D96">
            <v>229</v>
          </cell>
          <cell r="E96">
            <v>87.02</v>
          </cell>
          <cell r="F96" t="str">
            <v>Filter-Hydraulic</v>
          </cell>
          <cell r="G96">
            <v>12</v>
          </cell>
          <cell r="H96">
            <v>12</v>
          </cell>
          <cell r="I96">
            <v>0</v>
          </cell>
          <cell r="J96">
            <v>12</v>
          </cell>
          <cell r="K96">
            <v>36</v>
          </cell>
        </row>
        <row r="97">
          <cell r="A97" t="str">
            <v>1G-8878</v>
          </cell>
          <cell r="B97" t="str">
            <v xml:space="preserve">CAT PL61 (WGS) CAT PL61 (WGS) (2) CAT PL61 (WGS) (3)                                        </v>
          </cell>
          <cell r="C97" t="str">
            <v>HYDRAULIC OIL FILTER ELEMENT</v>
          </cell>
          <cell r="D97">
            <v>150.47</v>
          </cell>
          <cell r="E97">
            <v>57.18</v>
          </cell>
          <cell r="F97" t="str">
            <v>Filter-Hydraulic</v>
          </cell>
          <cell r="G97">
            <v>3</v>
          </cell>
          <cell r="H97">
            <v>3</v>
          </cell>
          <cell r="I97">
            <v>0</v>
          </cell>
          <cell r="J97">
            <v>3</v>
          </cell>
          <cell r="K97">
            <v>9</v>
          </cell>
        </row>
        <row r="98">
          <cell r="A98" t="str">
            <v>1R-0719</v>
          </cell>
          <cell r="B98" t="str">
            <v xml:space="preserve">CAT D3 (1PJ) CAT D5 (3CR) CAT D5 (3CR) (2)                                        </v>
          </cell>
          <cell r="C98" t="str">
            <v>HYDRAULIC OIL FILTER</v>
          </cell>
          <cell r="D98">
            <v>38.32</v>
          </cell>
          <cell r="E98">
            <v>14.56</v>
          </cell>
          <cell r="F98" t="str">
            <v>Filter-Hydraulic</v>
          </cell>
          <cell r="G98">
            <v>3</v>
          </cell>
          <cell r="H98">
            <v>3</v>
          </cell>
          <cell r="I98">
            <v>0</v>
          </cell>
          <cell r="J98">
            <v>3</v>
          </cell>
          <cell r="K98">
            <v>9</v>
          </cell>
        </row>
        <row r="99">
          <cell r="A99" t="str">
            <v>1R-0746</v>
          </cell>
          <cell r="B99" t="str">
            <v xml:space="preserve">CAT D3 (1PJ)                                            </v>
          </cell>
          <cell r="C99" t="str">
            <v xml:space="preserve">HYDRAULIC/TRANSMISSION OIL FILTER </v>
          </cell>
          <cell r="D99">
            <v>47.44</v>
          </cell>
          <cell r="E99">
            <v>18.03</v>
          </cell>
          <cell r="F99" t="str">
            <v>Filter-Hydraulic</v>
          </cell>
          <cell r="G99">
            <v>1</v>
          </cell>
          <cell r="H99">
            <v>1</v>
          </cell>
          <cell r="I99">
            <v>0</v>
          </cell>
          <cell r="J99">
            <v>1</v>
          </cell>
          <cell r="K99">
            <v>3</v>
          </cell>
        </row>
        <row r="100">
          <cell r="A100" t="str">
            <v>1R-0777</v>
          </cell>
          <cell r="B100" t="str">
            <v xml:space="preserve">CAT D4 (66J)                                            </v>
          </cell>
          <cell r="C100" t="str">
            <v xml:space="preserve">HYDRAULIC OIL FILTER ELEMENT </v>
          </cell>
          <cell r="D100">
            <v>93.49</v>
          </cell>
          <cell r="E100">
            <v>35.53</v>
          </cell>
          <cell r="F100" t="str">
            <v>Filter-Hydraulic</v>
          </cell>
          <cell r="G100">
            <v>1</v>
          </cell>
          <cell r="H100">
            <v>1</v>
          </cell>
          <cell r="I100">
            <v>0</v>
          </cell>
          <cell r="J100">
            <v>1</v>
          </cell>
          <cell r="K100">
            <v>3</v>
          </cell>
        </row>
        <row r="101">
          <cell r="A101" t="str">
            <v>304-7196</v>
          </cell>
          <cell r="B101" t="str">
            <v xml:space="preserve">CAT 303.5E                                            </v>
          </cell>
          <cell r="C101" t="str">
            <v>HYDRAULIC OIL FILTER</v>
          </cell>
          <cell r="D101">
            <v>130.47</v>
          </cell>
          <cell r="E101">
            <v>49.58</v>
          </cell>
          <cell r="F101" t="str">
            <v>Filter-Hydraulic</v>
          </cell>
          <cell r="G101">
            <v>1</v>
          </cell>
          <cell r="H101">
            <v>1</v>
          </cell>
          <cell r="I101">
            <v>0</v>
          </cell>
          <cell r="J101">
            <v>1</v>
          </cell>
          <cell r="K101">
            <v>3</v>
          </cell>
        </row>
        <row r="102">
          <cell r="A102" t="str">
            <v>328-3655</v>
          </cell>
          <cell r="B102" t="str">
            <v xml:space="preserve">CAT D6N LGP (GHS)                                            </v>
          </cell>
          <cell r="C102" t="str">
            <v xml:space="preserve">HYDRAULIC OIL FILTER ELEMENT </v>
          </cell>
          <cell r="D102">
            <v>204.36</v>
          </cell>
          <cell r="E102">
            <v>77.66</v>
          </cell>
          <cell r="F102" t="str">
            <v>Filter-Hydraulic</v>
          </cell>
          <cell r="G102">
            <v>1</v>
          </cell>
          <cell r="H102">
            <v>1</v>
          </cell>
          <cell r="I102">
            <v>0</v>
          </cell>
          <cell r="J102">
            <v>1</v>
          </cell>
          <cell r="K102">
            <v>3</v>
          </cell>
        </row>
        <row r="103">
          <cell r="A103" t="str">
            <v>376-2025</v>
          </cell>
          <cell r="B103" t="str">
            <v xml:space="preserve">CAT 303.5E                                            </v>
          </cell>
          <cell r="C103" t="str">
            <v>HYDRAULIC PUMP</v>
          </cell>
          <cell r="D103">
            <v>7622.73</v>
          </cell>
          <cell r="E103">
            <v>3811.37</v>
          </cell>
          <cell r="F103" t="str">
            <v>Filter-Hydraulic</v>
          </cell>
          <cell r="G103">
            <v>1</v>
          </cell>
          <cell r="H103">
            <v>1</v>
          </cell>
          <cell r="I103">
            <v>0</v>
          </cell>
          <cell r="J103">
            <v>1</v>
          </cell>
          <cell r="K103">
            <v>3</v>
          </cell>
        </row>
        <row r="104">
          <cell r="A104" t="str">
            <v>421-5479</v>
          </cell>
          <cell r="B104" t="str">
            <v xml:space="preserve">CAT 299D (DX2)                                            </v>
          </cell>
          <cell r="C104" t="str">
            <v>HYDRAULIC OIL FILTER ELEMENT</v>
          </cell>
          <cell r="D104">
            <v>72.069999999999993</v>
          </cell>
          <cell r="E104">
            <v>27.39</v>
          </cell>
          <cell r="F104" t="str">
            <v>Filter-Hydraulic</v>
          </cell>
          <cell r="G104">
            <v>1</v>
          </cell>
          <cell r="H104">
            <v>1</v>
          </cell>
          <cell r="I104">
            <v>0</v>
          </cell>
          <cell r="J104">
            <v>1</v>
          </cell>
          <cell r="K104">
            <v>3</v>
          </cell>
        </row>
        <row r="105">
          <cell r="A105" t="str">
            <v>491-6075</v>
          </cell>
          <cell r="B105" t="str">
            <v xml:space="preserve">CAT 330 (LHW) CAT 330 (LHW) (2) CAT 330 (LHW) (3) CAT 330 (LHW) (4)                                      </v>
          </cell>
          <cell r="C105" t="str">
            <v>HYDRAULIC OIL FILTER</v>
          </cell>
          <cell r="D105">
            <v>159.19999999999999</v>
          </cell>
          <cell r="E105">
            <v>60.5</v>
          </cell>
          <cell r="F105" t="str">
            <v>Filter-Hydraulic</v>
          </cell>
          <cell r="G105">
            <v>4</v>
          </cell>
          <cell r="H105">
            <v>4</v>
          </cell>
          <cell r="I105">
            <v>0</v>
          </cell>
          <cell r="J105">
            <v>4</v>
          </cell>
          <cell r="K105">
            <v>12</v>
          </cell>
        </row>
        <row r="106">
          <cell r="A106" t="str">
            <v>4T-3132</v>
          </cell>
          <cell r="B106" t="str">
            <v xml:space="preserve">CAT D7G (92V) CAT D7G (3ZD) CAT D7G (3ZD) (2)                                        </v>
          </cell>
          <cell r="C106" t="str">
            <v>HYDRAULIC OIL FILTER ELEMENT</v>
          </cell>
          <cell r="D106">
            <v>131.11000000000001</v>
          </cell>
          <cell r="E106">
            <v>49.82</v>
          </cell>
          <cell r="F106" t="str">
            <v>Filter-Hydraulic</v>
          </cell>
          <cell r="G106">
            <v>3</v>
          </cell>
          <cell r="H106">
            <v>3</v>
          </cell>
          <cell r="I106">
            <v>0</v>
          </cell>
          <cell r="J106">
            <v>3</v>
          </cell>
          <cell r="K106">
            <v>9</v>
          </cell>
        </row>
        <row r="107">
          <cell r="A107" t="str">
            <v>571-5253</v>
          </cell>
          <cell r="B107" t="str">
            <v xml:space="preserve">CAT D6 (RDC) CAT D6N LGP (PBA) CAT D6N LGP (PBA) (2) CAT D6N LGP (SGG) CAT D6N LGP (SGG) (2) CAT D6T (MH7) CAT 561N (CPH) CAT 561N (CPH) (2) CAT 561N (CPH) (3) CAT 561N (CPH) (4) CAT 561N (CPH) (5)                        </v>
          </cell>
          <cell r="C107" t="str">
            <v>HYDRAULIC OIL FILTER ELEMENT</v>
          </cell>
          <cell r="D107">
            <v>171.55</v>
          </cell>
          <cell r="E107">
            <v>65.19</v>
          </cell>
          <cell r="F107" t="str">
            <v>Filter-Hydraulic</v>
          </cell>
          <cell r="G107">
            <v>11</v>
          </cell>
          <cell r="H107">
            <v>11</v>
          </cell>
          <cell r="I107">
            <v>0</v>
          </cell>
          <cell r="J107">
            <v>11</v>
          </cell>
          <cell r="K107">
            <v>33</v>
          </cell>
        </row>
        <row r="108">
          <cell r="A108" t="str">
            <v>590-9787</v>
          </cell>
          <cell r="B108" t="str">
            <v xml:space="preserve">CAT 320 (HEX) CAT 320 (MYK) CAT 320 (MYK) (2) CAT 330 (LHW) CAT 330 (LHW) (2) CAT 330 (LHW) (3) CAT 330 (LHW) (4) CAT 330 (WCH) CAT 330 (WCH) (2) CAT 330 (WCH) (3) CAT 330 (WCH) (4) CAT 330 (WCH) (5) CAT 330 (WCH) (6)                    </v>
          </cell>
          <cell r="C108" t="str">
            <v>HYDRAULIC OIL FILTER ELEMENT</v>
          </cell>
          <cell r="D108">
            <v>283.86</v>
          </cell>
          <cell r="E108">
            <v>107.87</v>
          </cell>
          <cell r="F108" t="str">
            <v>Filter-Hydraulic</v>
          </cell>
          <cell r="G108">
            <v>13</v>
          </cell>
          <cell r="H108">
            <v>13</v>
          </cell>
          <cell r="I108">
            <v>0</v>
          </cell>
          <cell r="J108">
            <v>13</v>
          </cell>
          <cell r="K108">
            <v>39</v>
          </cell>
        </row>
        <row r="109">
          <cell r="A109" t="str">
            <v>5I-8670</v>
          </cell>
          <cell r="B109" t="str">
            <v xml:space="preserve">CAT 320F L (YBM) CAT 329E L (ZCD)                                          </v>
          </cell>
          <cell r="C109" t="str">
            <v>HYDRAULIC OIL FILTER</v>
          </cell>
          <cell r="D109">
            <v>106.56</v>
          </cell>
          <cell r="E109">
            <v>40.49</v>
          </cell>
          <cell r="F109" t="str">
            <v>Filter-Hydraulic</v>
          </cell>
          <cell r="G109">
            <v>2</v>
          </cell>
          <cell r="H109">
            <v>2</v>
          </cell>
          <cell r="I109">
            <v>0</v>
          </cell>
          <cell r="J109">
            <v>2</v>
          </cell>
          <cell r="K109">
            <v>6</v>
          </cell>
        </row>
        <row r="110">
          <cell r="A110" t="str">
            <v>9T-8578</v>
          </cell>
          <cell r="B110" t="str">
            <v xml:space="preserve">CAT D6N LGP (GHS) CAT D6N LGP (PBA) CAT D6N LGP (PBA) (2) CAT D6N LGP (SGG) CAT D6N LGP (SGG) (2)                                    </v>
          </cell>
          <cell r="C110" t="str">
            <v>HYDRAULIC OIL FILTER</v>
          </cell>
          <cell r="D110">
            <v>123.35</v>
          </cell>
          <cell r="E110">
            <v>46.87</v>
          </cell>
          <cell r="F110" t="str">
            <v>Filter-Hydraulic</v>
          </cell>
          <cell r="G110">
            <v>5</v>
          </cell>
          <cell r="H110">
            <v>5</v>
          </cell>
          <cell r="I110">
            <v>0</v>
          </cell>
          <cell r="J110">
            <v>5</v>
          </cell>
          <cell r="K110">
            <v>15</v>
          </cell>
        </row>
        <row r="111">
          <cell r="A111">
            <v>6667352</v>
          </cell>
          <cell r="B111" t="str">
            <v xml:space="preserve">BOBCAT T750 (ANK) BOBCAT S650 (A3N)                                          </v>
          </cell>
          <cell r="C111" t="str">
            <v>FUEL WATER SEPARATOR FILTER</v>
          </cell>
          <cell r="D111">
            <v>34.04</v>
          </cell>
          <cell r="E111">
            <v>12.94</v>
          </cell>
          <cell r="F111" t="str">
            <v>Filter-Oil</v>
          </cell>
          <cell r="G111">
            <v>4</v>
          </cell>
          <cell r="H111">
            <v>2</v>
          </cell>
          <cell r="I111">
            <v>2</v>
          </cell>
          <cell r="J111">
            <v>2</v>
          </cell>
          <cell r="K111">
            <v>10</v>
          </cell>
        </row>
        <row r="112">
          <cell r="A112">
            <v>6678233</v>
          </cell>
          <cell r="B112" t="str">
            <v xml:space="preserve">BOBCAT T750 (ANK) BOBCAT T750 (ATF) BOBCAT S650 (A3N) BOBCAT T770 (AT6) BOBCAT T770 (AT6) (2)                                    </v>
          </cell>
          <cell r="C112" t="str">
            <v>ENGINE OIL FILTER</v>
          </cell>
          <cell r="D112">
            <v>20.14</v>
          </cell>
          <cell r="E112">
            <v>7.65</v>
          </cell>
          <cell r="F112" t="str">
            <v>Filter-Oil</v>
          </cell>
          <cell r="G112">
            <v>10</v>
          </cell>
          <cell r="H112">
            <v>5</v>
          </cell>
          <cell r="I112">
            <v>5</v>
          </cell>
          <cell r="J112">
            <v>5</v>
          </cell>
          <cell r="K112">
            <v>25</v>
          </cell>
        </row>
        <row r="113">
          <cell r="A113">
            <v>7400454</v>
          </cell>
          <cell r="B113" t="str">
            <v xml:space="preserve">BOBCAT T750 (ATF)                                            </v>
          </cell>
          <cell r="C113" t="str">
            <v>FUEL WATER SEPARATOR FILTER</v>
          </cell>
          <cell r="D113">
            <v>135.49</v>
          </cell>
          <cell r="E113">
            <v>51.49</v>
          </cell>
          <cell r="F113" t="str">
            <v>Filter-Oil</v>
          </cell>
          <cell r="G113">
            <v>2</v>
          </cell>
          <cell r="H113">
            <v>1</v>
          </cell>
          <cell r="I113">
            <v>1</v>
          </cell>
          <cell r="J113">
            <v>1</v>
          </cell>
          <cell r="K113">
            <v>5</v>
          </cell>
        </row>
        <row r="114">
          <cell r="A114">
            <v>46825328</v>
          </cell>
          <cell r="B114" t="str">
            <v xml:space="preserve">BOBCAT T770 (AT6) BOBCAT T770 (AT6) (2)                                          </v>
          </cell>
          <cell r="C114" t="str">
            <v>FUEL WATER SEPARATOR FILTER</v>
          </cell>
          <cell r="D114">
            <v>150.49</v>
          </cell>
          <cell r="E114">
            <v>57.19</v>
          </cell>
          <cell r="F114" t="str">
            <v>Filter-Oil</v>
          </cell>
          <cell r="G114">
            <v>4</v>
          </cell>
          <cell r="H114">
            <v>2</v>
          </cell>
          <cell r="I114">
            <v>2</v>
          </cell>
          <cell r="J114">
            <v>2</v>
          </cell>
          <cell r="K114">
            <v>10</v>
          </cell>
        </row>
        <row r="115">
          <cell r="A115" t="str">
            <v>117-4089</v>
          </cell>
          <cell r="B115" t="str">
            <v xml:space="preserve">CAT D5 (3CR) CAT D5 (3CR) (2) CAT 561M (1KW)                                        </v>
          </cell>
          <cell r="C115" t="str">
            <v>FUEL WATER SEPARATOR</v>
          </cell>
          <cell r="D115">
            <v>52.82</v>
          </cell>
          <cell r="E115">
            <v>20.07</v>
          </cell>
          <cell r="F115" t="str">
            <v>Filter-Oil</v>
          </cell>
          <cell r="G115">
            <v>6</v>
          </cell>
          <cell r="H115">
            <v>3</v>
          </cell>
          <cell r="I115">
            <v>3</v>
          </cell>
          <cell r="J115">
            <v>3</v>
          </cell>
          <cell r="K115">
            <v>15</v>
          </cell>
        </row>
        <row r="116">
          <cell r="A116" t="str">
            <v>132-8875</v>
          </cell>
          <cell r="B116" t="str">
            <v xml:space="preserve">CAT 561M (1KW)                                            </v>
          </cell>
          <cell r="C116" t="str">
            <v>TRANSMISSION FILTER</v>
          </cell>
          <cell r="D116">
            <v>113.9</v>
          </cell>
          <cell r="E116">
            <v>43.28</v>
          </cell>
          <cell r="F116" t="str">
            <v>Filter-Oil</v>
          </cell>
          <cell r="G116">
            <v>2</v>
          </cell>
          <cell r="H116">
            <v>1</v>
          </cell>
          <cell r="I116">
            <v>1</v>
          </cell>
          <cell r="J116">
            <v>1</v>
          </cell>
          <cell r="K116">
            <v>5</v>
          </cell>
        </row>
        <row r="117">
          <cell r="A117" t="str">
            <v>146-6695</v>
          </cell>
          <cell r="B117" t="str">
            <v xml:space="preserve">CAT 561N (CPH) CAT 561N (CPH) (2) CAT 561N (CPH) (3) CAT 561N (CPH) (4) CAT 561N (CPH) (5)                                    </v>
          </cell>
          <cell r="C117" t="str">
            <v>FUEL WATER SEPARATOR FILTER</v>
          </cell>
          <cell r="D117">
            <v>60.23</v>
          </cell>
          <cell r="E117">
            <v>22.89</v>
          </cell>
          <cell r="F117" t="str">
            <v>Filter-Oil</v>
          </cell>
          <cell r="G117">
            <v>10</v>
          </cell>
          <cell r="H117">
            <v>5</v>
          </cell>
          <cell r="I117">
            <v>5</v>
          </cell>
          <cell r="J117">
            <v>5</v>
          </cell>
          <cell r="K117">
            <v>25</v>
          </cell>
        </row>
        <row r="118">
          <cell r="A118" t="str">
            <v>156-1200</v>
          </cell>
          <cell r="B118" t="str">
            <v xml:space="preserve">CAT 303.5E                                            </v>
          </cell>
          <cell r="C118" t="str">
            <v xml:space="preserve">FUEL WATER SEPARATOR </v>
          </cell>
          <cell r="D118">
            <v>57.5</v>
          </cell>
          <cell r="E118">
            <v>21.85</v>
          </cell>
          <cell r="F118" t="str">
            <v>Filter-Oil</v>
          </cell>
          <cell r="G118">
            <v>2</v>
          </cell>
          <cell r="H118">
            <v>1</v>
          </cell>
          <cell r="I118">
            <v>1</v>
          </cell>
          <cell r="J118">
            <v>1</v>
          </cell>
          <cell r="K118">
            <v>5</v>
          </cell>
        </row>
        <row r="119">
          <cell r="A119" t="str">
            <v>1R-0713</v>
          </cell>
          <cell r="B119" t="str">
            <v xml:space="preserve">CAT D3 (1PJ)                                            </v>
          </cell>
          <cell r="C119" t="str">
            <v>ENGINE OIL FILTER</v>
          </cell>
          <cell r="D119">
            <v>27.68</v>
          </cell>
          <cell r="E119">
            <v>10.52</v>
          </cell>
          <cell r="F119" t="str">
            <v>Filter-Oil</v>
          </cell>
          <cell r="G119">
            <v>2</v>
          </cell>
          <cell r="H119">
            <v>1</v>
          </cell>
          <cell r="I119">
            <v>1</v>
          </cell>
          <cell r="J119">
            <v>1</v>
          </cell>
          <cell r="K119">
            <v>5</v>
          </cell>
        </row>
        <row r="120">
          <cell r="A120" t="str">
            <v>1R0749</v>
          </cell>
          <cell r="B120" t="str">
            <v xml:space="preserve">CAT 561N (CPH) CAT 561N (CPH) (2) CAT 561N (CPH) (3) CAT 561N (CPH) (4) CAT 561N (CPH) (5)                                    </v>
          </cell>
          <cell r="C120" t="str">
            <v>FUEL FILTER</v>
          </cell>
          <cell r="D120">
            <v>51.52</v>
          </cell>
          <cell r="E120">
            <v>19.579999999999998</v>
          </cell>
          <cell r="F120" t="str">
            <v>Filter-Oil</v>
          </cell>
          <cell r="G120">
            <v>20</v>
          </cell>
          <cell r="H120">
            <v>10</v>
          </cell>
          <cell r="I120">
            <v>10</v>
          </cell>
          <cell r="J120">
            <v>10</v>
          </cell>
          <cell r="K120">
            <v>50</v>
          </cell>
        </row>
        <row r="121">
          <cell r="A121" t="str">
            <v>1R-0749</v>
          </cell>
          <cell r="B121" t="str">
            <v xml:space="preserve">CAT 336F L (RKB) CAT D6 (RDC) CAT D6T (MH7)                                        </v>
          </cell>
          <cell r="C121" t="str">
            <v xml:space="preserve">FUEL FILTER </v>
          </cell>
          <cell r="D121">
            <v>51.52</v>
          </cell>
          <cell r="E121">
            <v>19.579999999999998</v>
          </cell>
          <cell r="F121" t="str">
            <v>Filter-Oil</v>
          </cell>
          <cell r="G121">
            <v>12</v>
          </cell>
          <cell r="H121">
            <v>6</v>
          </cell>
          <cell r="I121">
            <v>6</v>
          </cell>
          <cell r="J121">
            <v>6</v>
          </cell>
          <cell r="K121">
            <v>30</v>
          </cell>
        </row>
        <row r="122">
          <cell r="A122" t="str">
            <v>1R0750</v>
          </cell>
          <cell r="B122" t="str">
            <v xml:space="preserve">CAT D4 (66J)                                            </v>
          </cell>
          <cell r="C122" t="str">
            <v>SECONDARY FUEL FILTER</v>
          </cell>
          <cell r="D122">
            <v>42.69</v>
          </cell>
          <cell r="E122">
            <v>16.22</v>
          </cell>
          <cell r="F122" t="str">
            <v>Filter-Oil</v>
          </cell>
          <cell r="G122">
            <v>2</v>
          </cell>
          <cell r="H122">
            <v>1</v>
          </cell>
          <cell r="I122">
            <v>1</v>
          </cell>
          <cell r="J122">
            <v>1</v>
          </cell>
          <cell r="K122">
            <v>5</v>
          </cell>
        </row>
        <row r="123">
          <cell r="A123" t="str">
            <v>1R-0750</v>
          </cell>
          <cell r="B123" t="str">
            <v xml:space="preserve">CAT D3 (1PJ) CAT D7G (92V) CAT D7G (3ZD) CAT D7G (3ZD) (2) CAT 561 (85H) CAT 561 (92J) CAT 561 (92J) (2)                                </v>
          </cell>
          <cell r="C123" t="str">
            <v>FUEL FILTER</v>
          </cell>
          <cell r="D123">
            <v>42.69</v>
          </cell>
          <cell r="E123">
            <v>16.22</v>
          </cell>
          <cell r="F123" t="str">
            <v>Filter-Oil</v>
          </cell>
          <cell r="G123">
            <v>14</v>
          </cell>
          <cell r="H123">
            <v>7</v>
          </cell>
          <cell r="I123">
            <v>7</v>
          </cell>
          <cell r="J123">
            <v>7</v>
          </cell>
          <cell r="K123">
            <v>35</v>
          </cell>
        </row>
        <row r="124">
          <cell r="A124" t="str">
            <v>1R-0751</v>
          </cell>
          <cell r="B124" t="str">
            <v xml:space="preserve">CAT D5 (3CR) CAT D5 (3CR) (2) CAT D6N LGP (GHS) CAT 561M (1KW) CAT PL61 (WGS) CAT PL61 (WGS) (2) CAT PL61 (WGS) (3)                                </v>
          </cell>
          <cell r="C124" t="str">
            <v>PRIMARY FUEL FILTER</v>
          </cell>
          <cell r="D124">
            <v>47.05</v>
          </cell>
          <cell r="E124">
            <v>17.88</v>
          </cell>
          <cell r="F124" t="str">
            <v>Filter-Oil</v>
          </cell>
          <cell r="G124">
            <v>16</v>
          </cell>
          <cell r="H124">
            <v>8</v>
          </cell>
          <cell r="I124">
            <v>8</v>
          </cell>
          <cell r="J124">
            <v>8</v>
          </cell>
          <cell r="K124">
            <v>40</v>
          </cell>
        </row>
        <row r="125">
          <cell r="A125" t="str">
            <v>1R-0753</v>
          </cell>
          <cell r="B125" t="str">
            <v xml:space="preserve">CAT D5 (3CR) CAT D5 (3CR) (2)                                          </v>
          </cell>
          <cell r="C125" t="str">
            <v>SECONDARY FUEL FILTER</v>
          </cell>
          <cell r="D125">
            <v>67.900000000000006</v>
          </cell>
          <cell r="E125">
            <v>25.8</v>
          </cell>
          <cell r="F125" t="str">
            <v>Filter-Oil</v>
          </cell>
          <cell r="G125">
            <v>4</v>
          </cell>
          <cell r="H125">
            <v>2</v>
          </cell>
          <cell r="I125">
            <v>2</v>
          </cell>
          <cell r="J125">
            <v>2</v>
          </cell>
          <cell r="K125">
            <v>10</v>
          </cell>
        </row>
        <row r="126">
          <cell r="A126" t="str">
            <v>1R-1807</v>
          </cell>
          <cell r="B126" t="str">
            <v xml:space="preserve">CAT D4 (66J) CAT D5 (3CR) CAT D5 (3CR) (2) CAT 561 (85H) CAT 561 (92J) CAT 561 (92J) (2) CAT 561M (1KW)                                </v>
          </cell>
          <cell r="C126" t="str">
            <v>ENGINE OIL FILTER</v>
          </cell>
          <cell r="D126">
            <v>44.09</v>
          </cell>
          <cell r="E126">
            <v>16.75</v>
          </cell>
          <cell r="F126" t="str">
            <v>Filter-Oil</v>
          </cell>
          <cell r="G126">
            <v>14</v>
          </cell>
          <cell r="H126">
            <v>7</v>
          </cell>
          <cell r="I126">
            <v>7</v>
          </cell>
          <cell r="J126">
            <v>7</v>
          </cell>
          <cell r="K126">
            <v>35</v>
          </cell>
        </row>
        <row r="127">
          <cell r="A127" t="str">
            <v>1R-1808</v>
          </cell>
          <cell r="B127" t="str">
            <v xml:space="preserve">CAT 336F L (RKB) CAT D6 (RDC) CAT D6T (MH7)                                        </v>
          </cell>
          <cell r="C127" t="str">
            <v>ENGINE OIL FILTER</v>
          </cell>
          <cell r="D127">
            <v>82.08</v>
          </cell>
          <cell r="E127">
            <v>31.19</v>
          </cell>
          <cell r="F127" t="str">
            <v>Filter-Oil</v>
          </cell>
          <cell r="G127">
            <v>6</v>
          </cell>
          <cell r="H127">
            <v>3</v>
          </cell>
          <cell r="I127">
            <v>3</v>
          </cell>
          <cell r="J127">
            <v>3</v>
          </cell>
          <cell r="K127">
            <v>15</v>
          </cell>
        </row>
        <row r="128">
          <cell r="A128" t="str">
            <v>2P-4004</v>
          </cell>
          <cell r="B128" t="str">
            <v xml:space="preserve">CAT D7G (92V) CAT D7G (3ZD) CAT D7G (3ZD) (2)                                        </v>
          </cell>
          <cell r="C128" t="str">
            <v>ENGINE OIL FILTER</v>
          </cell>
          <cell r="D128">
            <v>17.309999999999999</v>
          </cell>
          <cell r="E128">
            <v>6.58</v>
          </cell>
          <cell r="F128" t="str">
            <v>Filter-Oil</v>
          </cell>
          <cell r="G128">
            <v>6</v>
          </cell>
          <cell r="H128">
            <v>3</v>
          </cell>
          <cell r="I128">
            <v>3</v>
          </cell>
          <cell r="J128">
            <v>3</v>
          </cell>
          <cell r="K128">
            <v>15</v>
          </cell>
        </row>
        <row r="129">
          <cell r="A129" t="str">
            <v>308-1502</v>
          </cell>
          <cell r="B129" t="str">
            <v xml:space="preserve">CAT D6N LGP (GHS) CAT PL61 (WGS) CAT PL61 (WGS) (2) CAT PL61 (WGS) (3)                                      </v>
          </cell>
          <cell r="C129" t="str">
            <v>PRIMARY FUEL FILTER</v>
          </cell>
          <cell r="D129">
            <v>62.25</v>
          </cell>
          <cell r="E129">
            <v>23.66</v>
          </cell>
          <cell r="F129" t="str">
            <v>Filter-Oil</v>
          </cell>
          <cell r="G129">
            <v>8</v>
          </cell>
          <cell r="H129">
            <v>4</v>
          </cell>
          <cell r="I129">
            <v>4</v>
          </cell>
          <cell r="J129">
            <v>4</v>
          </cell>
          <cell r="K129">
            <v>20</v>
          </cell>
        </row>
        <row r="130">
          <cell r="A130" t="str">
            <v>322-3151</v>
          </cell>
          <cell r="B130" t="str">
            <v xml:space="preserve">CAT 330 (WCH) CAT 330 (WCH) (2) CAT 330 (WCH) (3) CAT 330 (WCH) (4) CAT 330 (WCH) (5) CAT 330 (WCH) (6)                                  </v>
          </cell>
          <cell r="C130" t="str">
            <v>ENGINE OIL FILTER ELEMENT</v>
          </cell>
          <cell r="D130">
            <v>44.15</v>
          </cell>
          <cell r="E130">
            <v>16.78</v>
          </cell>
          <cell r="F130" t="str">
            <v>Filter-Oil</v>
          </cell>
          <cell r="G130">
            <v>12</v>
          </cell>
          <cell r="H130">
            <v>6</v>
          </cell>
          <cell r="I130">
            <v>6</v>
          </cell>
          <cell r="J130">
            <v>6</v>
          </cell>
          <cell r="K130">
            <v>30</v>
          </cell>
        </row>
        <row r="131">
          <cell r="A131" t="str">
            <v>322-3155</v>
          </cell>
          <cell r="B131" t="str">
            <v xml:space="preserve">CAT 320E L (WBK) CAT 320E L (WBK) (2) CAT 320F L (YBM) CAT 320 (HEX) CAT 320 (MYK) CAT 320 (MYK) (2) CAT 329E L (ZCD) CAT 329F L (ERL) CAT 329F L (ERL) (2) CAT 330F L (MBX) CAT 330F L (HCK) CAT 330F L (HCK) (2) CAT 330 (LHW) CAT 330 (LHW) (2) CAT 330 (LHW) (3) CAT 330 (LHW) (4)              </v>
          </cell>
          <cell r="C131" t="str">
            <v xml:space="preserve">ENGINE OIL FILTER ELEMENT </v>
          </cell>
          <cell r="D131">
            <v>44.15</v>
          </cell>
          <cell r="E131">
            <v>16.78</v>
          </cell>
          <cell r="F131" t="str">
            <v>Filter-Oil</v>
          </cell>
          <cell r="G131">
            <v>31</v>
          </cell>
          <cell r="H131">
            <v>15</v>
          </cell>
          <cell r="I131">
            <v>15</v>
          </cell>
          <cell r="J131">
            <v>15</v>
          </cell>
          <cell r="K131">
            <v>76</v>
          </cell>
        </row>
        <row r="132">
          <cell r="A132" t="str">
            <v>326-1643</v>
          </cell>
          <cell r="B132" t="str">
            <v xml:space="preserve">CAT 336F L (RKB) CAT D6 (RDC) CAT D6T (MH7)                                        </v>
          </cell>
          <cell r="C132" t="str">
            <v xml:space="preserve">FUEL WATER SEPARATOR </v>
          </cell>
          <cell r="D132">
            <v>104.86</v>
          </cell>
          <cell r="E132">
            <v>39.85</v>
          </cell>
          <cell r="F132" t="str">
            <v>Filter-Oil</v>
          </cell>
          <cell r="G132">
            <v>6</v>
          </cell>
          <cell r="H132">
            <v>3</v>
          </cell>
          <cell r="I132">
            <v>3</v>
          </cell>
          <cell r="J132">
            <v>3</v>
          </cell>
          <cell r="K132">
            <v>15</v>
          </cell>
        </row>
        <row r="133">
          <cell r="A133" t="str">
            <v>326-1644</v>
          </cell>
          <cell r="B133" t="str">
            <v xml:space="preserve">CAT D6N LGP (GHS)                                            </v>
          </cell>
          <cell r="C133" t="str">
            <v>FUEL WATER SEPARATOR **VERIFY**</v>
          </cell>
          <cell r="D133">
            <v>85.6</v>
          </cell>
          <cell r="E133">
            <v>32.53</v>
          </cell>
          <cell r="F133" t="str">
            <v>Filter-Oil</v>
          </cell>
          <cell r="G133">
            <v>2</v>
          </cell>
          <cell r="H133">
            <v>1</v>
          </cell>
          <cell r="I133">
            <v>1</v>
          </cell>
          <cell r="J133">
            <v>1</v>
          </cell>
          <cell r="K133">
            <v>5</v>
          </cell>
        </row>
        <row r="134">
          <cell r="A134" t="str">
            <v>360-8960</v>
          </cell>
          <cell r="B134" t="str">
            <v xml:space="preserve">CAT 320E L (WBK) CAT 320E L (WBK) (2) CAT 320F L (YBM) CAT 329E L (ZCD) CAT 329F L (ERL) CAT 329F L (ERL) (2) CAT 330F L (MBX) CAT 330F L (HCK) CAT 330F L (HCK) (2) CAT D6N LGP (PBA) CAT D6N LGP (PBA) (2) CAT D6N LGP (SGG) CAT D6N LGP (SGG) (2)                    </v>
          </cell>
          <cell r="C134" t="str">
            <v>FUEL FILTER ELEMENT</v>
          </cell>
          <cell r="D134">
            <v>51.88</v>
          </cell>
          <cell r="E134">
            <v>19.71</v>
          </cell>
          <cell r="F134" t="str">
            <v>Filter-Oil</v>
          </cell>
          <cell r="G134">
            <v>30</v>
          </cell>
          <cell r="H134">
            <v>15</v>
          </cell>
          <cell r="I134">
            <v>15</v>
          </cell>
          <cell r="J134">
            <v>15</v>
          </cell>
          <cell r="K134">
            <v>75</v>
          </cell>
        </row>
        <row r="135">
          <cell r="A135" t="str">
            <v>363-5819</v>
          </cell>
          <cell r="B135" t="str">
            <v xml:space="preserve">CAT 299D (DX2)                                            </v>
          </cell>
          <cell r="C135" t="str">
            <v>FUEL WATER SEPARATOR FILTER</v>
          </cell>
          <cell r="D135">
            <v>42.6</v>
          </cell>
          <cell r="E135">
            <v>16.190000000000001</v>
          </cell>
          <cell r="F135" t="str">
            <v>Filter-Oil</v>
          </cell>
          <cell r="G135">
            <v>2</v>
          </cell>
          <cell r="H135">
            <v>1</v>
          </cell>
          <cell r="I135">
            <v>1</v>
          </cell>
          <cell r="J135">
            <v>1</v>
          </cell>
          <cell r="K135">
            <v>5</v>
          </cell>
        </row>
        <row r="136">
          <cell r="A136" t="str">
            <v>377-6969</v>
          </cell>
          <cell r="B136" t="str">
            <v xml:space="preserve">CAT 303.5E CAT 299D (DX2)                                          </v>
          </cell>
          <cell r="C136" t="str">
            <v>ENGINE OIL FILTER</v>
          </cell>
          <cell r="D136">
            <v>40.69</v>
          </cell>
          <cell r="E136">
            <v>15.46</v>
          </cell>
          <cell r="F136" t="str">
            <v>Filter-Oil</v>
          </cell>
          <cell r="G136">
            <v>4</v>
          </cell>
          <cell r="H136">
            <v>2</v>
          </cell>
          <cell r="I136">
            <v>2</v>
          </cell>
          <cell r="J136">
            <v>2</v>
          </cell>
          <cell r="K136">
            <v>10</v>
          </cell>
        </row>
        <row r="137">
          <cell r="A137" t="str">
            <v>377-6969</v>
          </cell>
          <cell r="B137" t="str">
            <v xml:space="preserve">CAT 303.5E CAT 299D (DX2)                                          </v>
          </cell>
          <cell r="C137" t="str">
            <v>ENGINE OIL FILTER</v>
          </cell>
          <cell r="D137">
            <v>40.69</v>
          </cell>
          <cell r="E137">
            <v>15.46</v>
          </cell>
          <cell r="F137" t="str">
            <v>Filter-Oil</v>
          </cell>
          <cell r="G137">
            <v>4</v>
          </cell>
          <cell r="H137">
            <v>2</v>
          </cell>
          <cell r="I137">
            <v>2</v>
          </cell>
          <cell r="J137">
            <v>2</v>
          </cell>
          <cell r="K137">
            <v>10</v>
          </cell>
        </row>
        <row r="138">
          <cell r="A138" t="str">
            <v>462-1171</v>
          </cell>
          <cell r="B138" t="str">
            <v xml:space="preserve">CAT D6N LGP (GHS) CAT D6N LGP (PBA) CAT D6N LGP (PBA) (2) CAT D6N LGP (SGG) CAT D6N LGP (SGG) (2)                                    </v>
          </cell>
          <cell r="C138" t="str">
            <v>ENGINE OIL FILTER</v>
          </cell>
          <cell r="D138">
            <v>36.51</v>
          </cell>
          <cell r="E138">
            <v>13.87</v>
          </cell>
          <cell r="F138" t="str">
            <v>Filter-Oil</v>
          </cell>
          <cell r="G138">
            <v>10</v>
          </cell>
          <cell r="H138">
            <v>5</v>
          </cell>
          <cell r="I138">
            <v>5</v>
          </cell>
          <cell r="J138">
            <v>5</v>
          </cell>
          <cell r="K138">
            <v>25</v>
          </cell>
        </row>
        <row r="139">
          <cell r="A139" t="str">
            <v>479-4131</v>
          </cell>
          <cell r="B139" t="str">
            <v xml:space="preserve">CAT 320E L (WBK) CAT 320E L (WBK) (2) CAT 320F L (YBM) CAT 329E L (ZCD) CAT 329F L (ERL) CAT 329F L (ERL) (2) CAT 330F L (MBX) CAT 330F L (HCK) CAT 330F L (HCK) (2) CAT D6N LGP (PBA) CAT D6N LGP (PBA) (2) CAT D6N LGP (SGG) CAT D6N LGP (SGG) (2)                    </v>
          </cell>
          <cell r="C139" t="str">
            <v>FUEL WATER SEPARATOR</v>
          </cell>
          <cell r="D139">
            <v>78.87</v>
          </cell>
          <cell r="E139">
            <v>29.97</v>
          </cell>
          <cell r="F139" t="str">
            <v>Filter-Oil</v>
          </cell>
          <cell r="G139">
            <v>28</v>
          </cell>
          <cell r="H139">
            <v>14</v>
          </cell>
          <cell r="I139">
            <v>14</v>
          </cell>
          <cell r="J139">
            <v>14</v>
          </cell>
          <cell r="K139">
            <v>70</v>
          </cell>
        </row>
        <row r="140">
          <cell r="A140" t="str">
            <v>500-0483</v>
          </cell>
          <cell r="B140" t="str">
            <v xml:space="preserve">CAT 561N (CPH) CAT 561N (CPH) (2) CAT 561N (CPH) (3) CAT 561N (CPH) (4) CAT 561N (CPH) (5) CAT PL61 (WGS) CAT PL61 (WGS) (2) CAT PL61 (WGS) (3)                              </v>
          </cell>
          <cell r="C140" t="str">
            <v>ENGINE OIL FILTER</v>
          </cell>
          <cell r="D140">
            <v>78</v>
          </cell>
          <cell r="E140">
            <v>29.64</v>
          </cell>
          <cell r="F140" t="str">
            <v>Filter-Oil</v>
          </cell>
          <cell r="G140">
            <v>16</v>
          </cell>
          <cell r="H140">
            <v>8</v>
          </cell>
          <cell r="I140">
            <v>8</v>
          </cell>
          <cell r="J140">
            <v>8</v>
          </cell>
          <cell r="K140">
            <v>40</v>
          </cell>
        </row>
        <row r="141">
          <cell r="A141" t="str">
            <v>509-5694</v>
          </cell>
          <cell r="B141" t="str">
            <v xml:space="preserve">CAT 320 (HEX) CAT 320 (MYK) CAT 320 (MYK) (2) CAT 330 (LHW) CAT 330 (LHW) (2) CAT 330 (LHW) (3) CAT 330 (LHW) (4) CAT 330 (WCH) CAT 330 (WCH) (2) CAT 330 (WCH) (3) CAT 330 (WCH) (4) CAT 330 (WCH) (5) CAT 330 (WCH) (6)                    </v>
          </cell>
          <cell r="C141" t="str">
            <v>SECONDARY FUEL FILTER ELEMENT</v>
          </cell>
          <cell r="D141">
            <v>66.94</v>
          </cell>
          <cell r="E141">
            <v>25.44</v>
          </cell>
          <cell r="F141" t="str">
            <v>Filter-Oil</v>
          </cell>
          <cell r="G141">
            <v>26</v>
          </cell>
          <cell r="H141">
            <v>13</v>
          </cell>
          <cell r="I141">
            <v>13</v>
          </cell>
          <cell r="J141">
            <v>13</v>
          </cell>
          <cell r="K141">
            <v>65</v>
          </cell>
        </row>
        <row r="142">
          <cell r="A142" t="str">
            <v>513-4490</v>
          </cell>
          <cell r="B142" t="str">
            <v xml:space="preserve">CAT D7G (92V) CAT D7G (3ZD) CAT D7G (3ZD) (2)                                        </v>
          </cell>
          <cell r="C142" t="str">
            <v>FUEL WATER SEPARATOR FILTER</v>
          </cell>
          <cell r="D142">
            <v>104</v>
          </cell>
          <cell r="E142">
            <v>39.520000000000003</v>
          </cell>
          <cell r="F142" t="str">
            <v>Filter-Oil</v>
          </cell>
          <cell r="G142">
            <v>6</v>
          </cell>
          <cell r="H142">
            <v>3</v>
          </cell>
          <cell r="I142">
            <v>3</v>
          </cell>
          <cell r="J142">
            <v>3</v>
          </cell>
          <cell r="K142">
            <v>15</v>
          </cell>
        </row>
        <row r="143">
          <cell r="A143" t="str">
            <v>523-4987</v>
          </cell>
          <cell r="B143" t="str">
            <v xml:space="preserve">CAT 320 (HEX) CAT 320 (MYK) CAT 320 (MYK) (2) CAT 330 (LHW) CAT 330 (LHW) (2) CAT 330 (LHW) (3) CAT 330 (LHW) (4) CAT 330 (WCH) CAT 330 (WCH) (2) CAT 330 (WCH) (3) CAT 330 (WCH) (4) CAT 330 (WCH) (5) CAT 330 (WCH) (6)                    </v>
          </cell>
          <cell r="C143" t="str">
            <v>FUEL WATER SEPARATOR ELEMENT</v>
          </cell>
          <cell r="D143">
            <v>95.91</v>
          </cell>
          <cell r="E143">
            <v>36.450000000000003</v>
          </cell>
          <cell r="F143" t="str">
            <v>Filter-Oil</v>
          </cell>
          <cell r="G143">
            <v>26</v>
          </cell>
          <cell r="H143">
            <v>13</v>
          </cell>
          <cell r="I143">
            <v>13</v>
          </cell>
          <cell r="J143">
            <v>13</v>
          </cell>
          <cell r="K143">
            <v>65</v>
          </cell>
        </row>
        <row r="144">
          <cell r="A144" t="str">
            <v>525-6205</v>
          </cell>
          <cell r="B144" t="str">
            <v xml:space="preserve">CAT D6N LGP (SGG) CAT D6N LGP (SGG) (2)                                          </v>
          </cell>
          <cell r="C144" t="str">
            <v>IN-LINE FUEL FILTER</v>
          </cell>
          <cell r="D144">
            <v>81.27</v>
          </cell>
          <cell r="E144">
            <v>30.88</v>
          </cell>
          <cell r="F144" t="str">
            <v>Filter-Oil</v>
          </cell>
          <cell r="G144">
            <v>4</v>
          </cell>
          <cell r="H144">
            <v>2</v>
          </cell>
          <cell r="I144">
            <v>2</v>
          </cell>
          <cell r="J144">
            <v>2</v>
          </cell>
          <cell r="K144">
            <v>10</v>
          </cell>
        </row>
        <row r="145">
          <cell r="A145" t="str">
            <v>7W-8910</v>
          </cell>
          <cell r="B145" t="str">
            <v xml:space="preserve">CAT D7G (92V) CAT D7G (3ZD) CAT D7G (3ZD) (2)                                        </v>
          </cell>
          <cell r="C145" t="str">
            <v>FUEL FILTER</v>
          </cell>
          <cell r="D145">
            <v>43.78</v>
          </cell>
          <cell r="E145">
            <v>16.64</v>
          </cell>
          <cell r="F145" t="str">
            <v>Filter-Oil</v>
          </cell>
          <cell r="G145">
            <v>6</v>
          </cell>
          <cell r="H145">
            <v>3</v>
          </cell>
          <cell r="I145">
            <v>3</v>
          </cell>
          <cell r="J145">
            <v>3</v>
          </cell>
          <cell r="K145">
            <v>15</v>
          </cell>
        </row>
        <row r="146">
          <cell r="A146" t="str">
            <v>8N-9803</v>
          </cell>
          <cell r="B146" t="str">
            <v xml:space="preserve">CAT D4 (66J)                                            </v>
          </cell>
          <cell r="C146" t="str">
            <v>FUEL WATER SEPARATOR</v>
          </cell>
          <cell r="D146">
            <v>60.68</v>
          </cell>
          <cell r="E146">
            <v>23.06</v>
          </cell>
          <cell r="F146" t="str">
            <v>Filter-Oil</v>
          </cell>
          <cell r="G146">
            <v>2</v>
          </cell>
          <cell r="H146">
            <v>1</v>
          </cell>
          <cell r="I146">
            <v>1</v>
          </cell>
          <cell r="J146">
            <v>1</v>
          </cell>
          <cell r="K146">
            <v>5</v>
          </cell>
        </row>
        <row r="147">
          <cell r="A147" t="str">
            <v>9P-7121</v>
          </cell>
          <cell r="B147" t="str">
            <v xml:space="preserve">CAT D3 (1PJ)                                            </v>
          </cell>
          <cell r="C147" t="str">
            <v>**FUEL TANK STRAINER**</v>
          </cell>
          <cell r="D147">
            <v>127.92</v>
          </cell>
          <cell r="E147">
            <v>48.61</v>
          </cell>
          <cell r="F147" t="str">
            <v>Filter-Oil</v>
          </cell>
          <cell r="G147">
            <v>2</v>
          </cell>
          <cell r="H147">
            <v>1</v>
          </cell>
          <cell r="I147">
            <v>1</v>
          </cell>
          <cell r="J147">
            <v>1</v>
          </cell>
          <cell r="K147">
            <v>5</v>
          </cell>
        </row>
        <row r="148">
          <cell r="A148">
            <v>7134153</v>
          </cell>
          <cell r="B148" t="str">
            <v xml:space="preserve">BOBCAT S650 (A3N)                                            </v>
          </cell>
          <cell r="C148" t="str">
            <v>SPROCKET</v>
          </cell>
          <cell r="D148">
            <v>873.49</v>
          </cell>
          <cell r="E148">
            <v>436.75</v>
          </cell>
          <cell r="F148" t="str">
            <v>GET</v>
          </cell>
          <cell r="G148">
            <v>4</v>
          </cell>
          <cell r="H148">
            <v>0</v>
          </cell>
          <cell r="I148">
            <v>0</v>
          </cell>
          <cell r="J148">
            <v>0</v>
          </cell>
          <cell r="K148">
            <v>4</v>
          </cell>
        </row>
        <row r="149">
          <cell r="A149">
            <v>7165107</v>
          </cell>
          <cell r="B149" t="str">
            <v xml:space="preserve">BOBCAT T750 (ANK)                                            </v>
          </cell>
          <cell r="C149" t="str">
            <v>SPROCKET</v>
          </cell>
          <cell r="D149">
            <v>557.49</v>
          </cell>
          <cell r="E149">
            <v>278.75</v>
          </cell>
          <cell r="F149" t="str">
            <v>GET</v>
          </cell>
          <cell r="G149">
            <v>2</v>
          </cell>
          <cell r="H149">
            <v>0</v>
          </cell>
          <cell r="I149">
            <v>0</v>
          </cell>
          <cell r="J149">
            <v>0</v>
          </cell>
          <cell r="K149">
            <v>2</v>
          </cell>
        </row>
        <row r="150">
          <cell r="A150">
            <v>7165109</v>
          </cell>
          <cell r="B150" t="str">
            <v xml:space="preserve">BOBCAT T750 (ATF) BOBCAT T770 (AT6) BOBCAT T770 (AT6) (2)                                        </v>
          </cell>
          <cell r="C150" t="str">
            <v>SPROCKET</v>
          </cell>
          <cell r="D150">
            <v>557.49</v>
          </cell>
          <cell r="E150">
            <v>278.75</v>
          </cell>
          <cell r="F150" t="str">
            <v>GET</v>
          </cell>
          <cell r="G150">
            <v>6</v>
          </cell>
          <cell r="H150">
            <v>0</v>
          </cell>
          <cell r="I150">
            <v>0</v>
          </cell>
          <cell r="J150">
            <v>0</v>
          </cell>
          <cell r="K150">
            <v>6</v>
          </cell>
        </row>
        <row r="151">
          <cell r="A151">
            <v>7326129</v>
          </cell>
          <cell r="B151" t="str">
            <v xml:space="preserve">BOBCAT T750 (ANK) BOBCAT T750 (ATF) BOBCAT T770 (AT6) BOBCAT T770 (AT6) (2)                                      </v>
          </cell>
          <cell r="C151" t="str">
            <v>80" Bucket - Severe Duty</v>
          </cell>
          <cell r="D151">
            <v>4132.46</v>
          </cell>
          <cell r="E151">
            <v>2066.23</v>
          </cell>
          <cell r="F151" t="str">
            <v>GET</v>
          </cell>
          <cell r="G151">
            <v>4</v>
          </cell>
          <cell r="H151">
            <v>0</v>
          </cell>
          <cell r="I151">
            <v>0</v>
          </cell>
          <cell r="J151">
            <v>0</v>
          </cell>
          <cell r="K151">
            <v>4</v>
          </cell>
        </row>
        <row r="152">
          <cell r="A152">
            <v>7326130</v>
          </cell>
          <cell r="B152" t="str">
            <v xml:space="preserve">BOBCAT S650 (A3N)                                            </v>
          </cell>
          <cell r="C152" t="str">
            <v>74" Bucket</v>
          </cell>
          <cell r="D152">
            <v>3835</v>
          </cell>
          <cell r="E152">
            <v>1917.5</v>
          </cell>
          <cell r="F152" t="str">
            <v>GET</v>
          </cell>
          <cell r="G152">
            <v>1</v>
          </cell>
          <cell r="H152">
            <v>0</v>
          </cell>
          <cell r="I152">
            <v>0</v>
          </cell>
          <cell r="J152">
            <v>0</v>
          </cell>
          <cell r="K152">
            <v>1</v>
          </cell>
        </row>
        <row r="153">
          <cell r="A153" t="str">
            <v>114-0358</v>
          </cell>
          <cell r="B153" t="str">
            <v xml:space="preserve">CAT D6N LGP (PBA) CAT D6N LGP (PBA) (2) CAT D6N LGP (SGG) CAT D6N LGP (SGG) (2) CAT D6T (MH7) CAT D7G (92V) CAT D7G (3ZD) CAT D7G (3ZD) (2)                              </v>
          </cell>
          <cell r="C153" t="str">
            <v>GROOVED PIN</v>
          </cell>
          <cell r="D153">
            <v>12.96</v>
          </cell>
          <cell r="E153">
            <v>4.92</v>
          </cell>
          <cell r="F153" t="str">
            <v>GET</v>
          </cell>
          <cell r="G153">
            <v>18</v>
          </cell>
          <cell r="H153">
            <v>0</v>
          </cell>
          <cell r="I153">
            <v>0</v>
          </cell>
          <cell r="J153">
            <v>0</v>
          </cell>
          <cell r="K153">
            <v>18</v>
          </cell>
        </row>
        <row r="154">
          <cell r="A154" t="str">
            <v>114-0359</v>
          </cell>
          <cell r="B154" t="str">
            <v xml:space="preserve">CAT D5 (3CR) CAT D5 (3CR) (2) CAT D6N LGP (PBA) CAT D6N LGP (PBA) (2) CAT D6N LGP (SGG) CAT D6N LGP (SGG) (2) CAT D6T (MH7) CAT D7G (92V) CAT D7G (3ZD) CAT D7G (3ZD) (2)                          </v>
          </cell>
          <cell r="C154" t="str">
            <v>RETAINER</v>
          </cell>
          <cell r="D154">
            <v>22.39</v>
          </cell>
          <cell r="E154">
            <v>8.51</v>
          </cell>
          <cell r="F154" t="str">
            <v>GET</v>
          </cell>
          <cell r="G154">
            <v>20</v>
          </cell>
          <cell r="H154">
            <v>0</v>
          </cell>
          <cell r="I154">
            <v>0</v>
          </cell>
          <cell r="J154">
            <v>0</v>
          </cell>
          <cell r="K154">
            <v>20</v>
          </cell>
        </row>
        <row r="155">
          <cell r="A155" t="str">
            <v>135-9396</v>
          </cell>
          <cell r="B155" t="str">
            <v xml:space="preserve">CAT 299D (DX2)                                            </v>
          </cell>
          <cell r="C155" t="str">
            <v>Cutting Edge</v>
          </cell>
          <cell r="D155">
            <v>284.42</v>
          </cell>
          <cell r="E155">
            <v>142.21</v>
          </cell>
          <cell r="F155" t="str">
            <v>GET</v>
          </cell>
          <cell r="G155">
            <v>1</v>
          </cell>
          <cell r="H155">
            <v>0</v>
          </cell>
          <cell r="I155">
            <v>0</v>
          </cell>
          <cell r="J155">
            <v>0</v>
          </cell>
          <cell r="K155">
            <v>1</v>
          </cell>
        </row>
        <row r="156">
          <cell r="A156" t="str">
            <v>136-8308</v>
          </cell>
          <cell r="B156" t="str">
            <v xml:space="preserve">CAT D5 (3CR) CAT D5 (3CR) (2)                                          </v>
          </cell>
          <cell r="C156" t="str">
            <v>RIPPER PIN</v>
          </cell>
          <cell r="D156">
            <v>10.35</v>
          </cell>
          <cell r="E156">
            <v>3.93</v>
          </cell>
          <cell r="F156" t="str">
            <v>GET</v>
          </cell>
          <cell r="G156">
            <v>2</v>
          </cell>
          <cell r="H156">
            <v>0</v>
          </cell>
          <cell r="I156">
            <v>0</v>
          </cell>
          <cell r="J156">
            <v>0</v>
          </cell>
          <cell r="K156">
            <v>2</v>
          </cell>
        </row>
        <row r="157">
          <cell r="A157" t="str">
            <v>159-2953</v>
          </cell>
          <cell r="B157" t="str">
            <v xml:space="preserve">CAT 299D (DX2)                                            </v>
          </cell>
          <cell r="C157" t="str">
            <v>Screw - Flat head</v>
          </cell>
          <cell r="D157">
            <v>4.6500000000000004</v>
          </cell>
          <cell r="E157">
            <v>2.33</v>
          </cell>
          <cell r="F157" t="str">
            <v>GET</v>
          </cell>
          <cell r="G157">
            <v>11</v>
          </cell>
          <cell r="H157">
            <v>0</v>
          </cell>
          <cell r="I157">
            <v>0</v>
          </cell>
          <cell r="J157">
            <v>0</v>
          </cell>
          <cell r="K157">
            <v>11</v>
          </cell>
        </row>
        <row r="158">
          <cell r="A158" t="str">
            <v>1U-3202</v>
          </cell>
          <cell r="B158" t="str">
            <v xml:space="preserve">CAT D3 (1PJ)                                            </v>
          </cell>
          <cell r="C158" t="str">
            <v>TIP SHORT</v>
          </cell>
          <cell r="D158">
            <v>37.42</v>
          </cell>
          <cell r="E158">
            <v>14.22</v>
          </cell>
          <cell r="F158" t="str">
            <v>GET</v>
          </cell>
          <cell r="G158">
            <v>1</v>
          </cell>
          <cell r="H158">
            <v>0</v>
          </cell>
          <cell r="I158">
            <v>0</v>
          </cell>
          <cell r="J158">
            <v>0</v>
          </cell>
          <cell r="K158">
            <v>1</v>
          </cell>
        </row>
        <row r="159">
          <cell r="A159" t="str">
            <v>229-6958</v>
          </cell>
          <cell r="B159" t="str">
            <v xml:space="preserve">CAT D6T (MH7)                                            </v>
          </cell>
          <cell r="C159" t="str">
            <v>CUTTING EDGE</v>
          </cell>
          <cell r="D159">
            <v>559.01</v>
          </cell>
          <cell r="E159">
            <v>212.42</v>
          </cell>
          <cell r="F159" t="str">
            <v>GET</v>
          </cell>
          <cell r="G159">
            <v>2</v>
          </cell>
          <cell r="H159">
            <v>2</v>
          </cell>
          <cell r="I159">
            <v>2</v>
          </cell>
          <cell r="J159">
            <v>2</v>
          </cell>
          <cell r="K159">
            <v>8</v>
          </cell>
        </row>
        <row r="160">
          <cell r="A160" t="str">
            <v>2J-3506</v>
          </cell>
          <cell r="B160" t="str">
            <v xml:space="preserve">CAT D5 (3CR) CAT D5 (3CR) (2) CAT D6N LGP (GHS) CAT D6N LGP (PBA) CAT D6N LGP (PBA) (2) CAT D6N LGP (SGG) CAT D6N LGP (SGG) (2) CAT D6T (MH7)                              </v>
          </cell>
          <cell r="C160" t="str">
            <v xml:space="preserve">HEX NUT </v>
          </cell>
          <cell r="D160">
            <v>3.65</v>
          </cell>
          <cell r="E160">
            <v>1.39</v>
          </cell>
          <cell r="F160" t="str">
            <v>GET</v>
          </cell>
          <cell r="G160">
            <v>222</v>
          </cell>
          <cell r="H160">
            <v>222</v>
          </cell>
          <cell r="I160">
            <v>222</v>
          </cell>
          <cell r="J160">
            <v>222</v>
          </cell>
          <cell r="K160">
            <v>888</v>
          </cell>
        </row>
        <row r="161">
          <cell r="A161" t="str">
            <v>3B-4632</v>
          </cell>
          <cell r="B161" t="str">
            <v xml:space="preserve">CAT D3 (1PJ)                                            </v>
          </cell>
          <cell r="C161" t="str">
            <v>COTTER PIN</v>
          </cell>
          <cell r="D161">
            <v>1.18</v>
          </cell>
          <cell r="E161">
            <v>0.45</v>
          </cell>
          <cell r="F161" t="str">
            <v>GET</v>
          </cell>
          <cell r="G161">
            <v>1</v>
          </cell>
          <cell r="H161">
            <v>0</v>
          </cell>
          <cell r="I161">
            <v>0</v>
          </cell>
          <cell r="J161">
            <v>0</v>
          </cell>
          <cell r="K161">
            <v>1</v>
          </cell>
        </row>
        <row r="162">
          <cell r="A162" t="str">
            <v>3B-5325</v>
          </cell>
          <cell r="B162" t="str">
            <v xml:space="preserve">CAT D6N LGP (PBA) CAT D6N LGP (PBA) (2) CAT D6N LGP (SGG) CAT D6N LGP (SGG) (2) CAT D6T (MH7)                                    </v>
          </cell>
          <cell r="C162" t="str">
            <v>COTTER PIN</v>
          </cell>
          <cell r="D162">
            <v>7.67</v>
          </cell>
          <cell r="E162">
            <v>2.91</v>
          </cell>
          <cell r="F162" t="str">
            <v>GET</v>
          </cell>
          <cell r="G162">
            <v>30</v>
          </cell>
          <cell r="H162">
            <v>0</v>
          </cell>
          <cell r="I162">
            <v>0</v>
          </cell>
          <cell r="J162">
            <v>0</v>
          </cell>
          <cell r="K162">
            <v>30</v>
          </cell>
        </row>
        <row r="163">
          <cell r="A163" t="str">
            <v>3F-5108</v>
          </cell>
          <cell r="B163" t="str">
            <v xml:space="preserve">CAT D3 (1PJ)                                            </v>
          </cell>
          <cell r="C163" t="str">
            <v>BOLT</v>
          </cell>
          <cell r="D163">
            <v>3.22</v>
          </cell>
          <cell r="E163">
            <v>1.22</v>
          </cell>
          <cell r="F163" t="str">
            <v>GET</v>
          </cell>
          <cell r="G163">
            <v>18</v>
          </cell>
          <cell r="H163">
            <v>18</v>
          </cell>
          <cell r="I163">
            <v>18</v>
          </cell>
          <cell r="J163">
            <v>18</v>
          </cell>
          <cell r="K163">
            <v>72</v>
          </cell>
        </row>
        <row r="164">
          <cell r="A164" t="str">
            <v>3G-3424</v>
          </cell>
          <cell r="B164" t="str">
            <v xml:space="preserve">CAT D3 (1PJ)                                            </v>
          </cell>
          <cell r="C164" t="str">
            <v>BLADE AS</v>
          </cell>
          <cell r="D164">
            <v>11144.2</v>
          </cell>
          <cell r="E164">
            <v>4234.8</v>
          </cell>
          <cell r="F164" t="str">
            <v>GET</v>
          </cell>
          <cell r="G164">
            <v>1</v>
          </cell>
          <cell r="H164">
            <v>1</v>
          </cell>
          <cell r="I164">
            <v>1</v>
          </cell>
          <cell r="J164">
            <v>1</v>
          </cell>
          <cell r="K164">
            <v>4</v>
          </cell>
        </row>
        <row r="165">
          <cell r="A165" t="str">
            <v>433-3886</v>
          </cell>
          <cell r="B165" t="str">
            <v xml:space="preserve">CAT 303.5E                                            </v>
          </cell>
          <cell r="C165" t="str">
            <v>BLADE - PUSH REPLACMENT WELD ON EDGE</v>
          </cell>
          <cell r="D165">
            <v>147.55000000000001</v>
          </cell>
          <cell r="E165">
            <v>56.07</v>
          </cell>
          <cell r="F165" t="str">
            <v>GET</v>
          </cell>
          <cell r="G165">
            <v>2</v>
          </cell>
          <cell r="H165">
            <v>1</v>
          </cell>
          <cell r="I165">
            <v>1</v>
          </cell>
          <cell r="J165">
            <v>1</v>
          </cell>
          <cell r="K165">
            <v>5</v>
          </cell>
        </row>
        <row r="166">
          <cell r="A166" t="str">
            <v>484-8282</v>
          </cell>
          <cell r="B166" t="str">
            <v xml:space="preserve">CAT D6T (MH7)                                            </v>
          </cell>
          <cell r="C166" t="str">
            <v>RIPPER SHANK</v>
          </cell>
          <cell r="D166">
            <v>2061.73</v>
          </cell>
          <cell r="E166">
            <v>783.46</v>
          </cell>
          <cell r="F166" t="str">
            <v>GET</v>
          </cell>
          <cell r="G166">
            <v>3</v>
          </cell>
          <cell r="H166">
            <v>0</v>
          </cell>
          <cell r="I166">
            <v>0</v>
          </cell>
          <cell r="J166">
            <v>0</v>
          </cell>
          <cell r="K166">
            <v>3</v>
          </cell>
        </row>
        <row r="167">
          <cell r="A167" t="str">
            <v>4K-0367</v>
          </cell>
          <cell r="B167" t="str">
            <v xml:space="preserve">CAT D3 (1PJ)                                            </v>
          </cell>
          <cell r="C167" t="str">
            <v>NUT</v>
          </cell>
          <cell r="D167">
            <v>2.44</v>
          </cell>
          <cell r="E167">
            <v>0.93</v>
          </cell>
          <cell r="F167" t="str">
            <v>GET</v>
          </cell>
          <cell r="G167">
            <v>18</v>
          </cell>
          <cell r="H167">
            <v>18</v>
          </cell>
          <cell r="I167">
            <v>18</v>
          </cell>
          <cell r="J167">
            <v>18</v>
          </cell>
          <cell r="K167">
            <v>72</v>
          </cell>
        </row>
        <row r="168">
          <cell r="A168" t="str">
            <v>4T-2315</v>
          </cell>
          <cell r="B168" t="str">
            <v xml:space="preserve">CAT D6N LGP (GHS) CAT D6N LGP (PBA) CAT D6N LGP (PBA) (2) CAT D6N LGP (SGG) CAT D6N LGP (SGG) (2)                                    </v>
          </cell>
          <cell r="C168" t="str">
            <v>CUTTING EDGE</v>
          </cell>
          <cell r="D168">
            <v>435.33</v>
          </cell>
          <cell r="E168">
            <v>165.43</v>
          </cell>
          <cell r="F168" t="str">
            <v>GET</v>
          </cell>
          <cell r="G168">
            <v>10</v>
          </cell>
          <cell r="H168">
            <v>10</v>
          </cell>
          <cell r="I168">
            <v>10</v>
          </cell>
          <cell r="J168">
            <v>10</v>
          </cell>
          <cell r="K168">
            <v>40</v>
          </cell>
        </row>
        <row r="169">
          <cell r="A169" t="str">
            <v>4T-5407</v>
          </cell>
          <cell r="B169" t="str">
            <v xml:space="preserve">CAT D5 (3CR) CAT D5 (3CR) (2)                                          </v>
          </cell>
          <cell r="C169" t="str">
            <v>END BIT RH</v>
          </cell>
          <cell r="D169">
            <v>273.04000000000002</v>
          </cell>
          <cell r="E169">
            <v>103.76</v>
          </cell>
          <cell r="F169" t="str">
            <v>GET</v>
          </cell>
          <cell r="G169">
            <v>2</v>
          </cell>
          <cell r="H169">
            <v>2</v>
          </cell>
          <cell r="I169">
            <v>2</v>
          </cell>
          <cell r="J169">
            <v>2</v>
          </cell>
          <cell r="K169">
            <v>8</v>
          </cell>
        </row>
        <row r="170">
          <cell r="A170" t="str">
            <v>4T-5408</v>
          </cell>
          <cell r="B170" t="str">
            <v xml:space="preserve">CAT D5 (3CR) CAT D5 (3CR) (2)                                          </v>
          </cell>
          <cell r="C170" t="str">
            <v>END BIT LH</v>
          </cell>
          <cell r="D170">
            <v>273.04000000000002</v>
          </cell>
          <cell r="E170">
            <v>103.76</v>
          </cell>
          <cell r="F170" t="str">
            <v>GET</v>
          </cell>
          <cell r="G170">
            <v>2</v>
          </cell>
          <cell r="H170">
            <v>2</v>
          </cell>
          <cell r="I170">
            <v>2</v>
          </cell>
          <cell r="J170">
            <v>2</v>
          </cell>
          <cell r="K170">
            <v>8</v>
          </cell>
        </row>
        <row r="171">
          <cell r="A171" t="str">
            <v>4T-6229</v>
          </cell>
          <cell r="B171" t="str">
            <v xml:space="preserve">CAT D3 (1PJ)                                            </v>
          </cell>
          <cell r="C171" t="str">
            <v>END BIT</v>
          </cell>
          <cell r="D171">
            <v>73.28</v>
          </cell>
          <cell r="E171">
            <v>27.85</v>
          </cell>
          <cell r="F171" t="str">
            <v>GET</v>
          </cell>
          <cell r="G171">
            <v>2</v>
          </cell>
          <cell r="H171">
            <v>2</v>
          </cell>
          <cell r="I171">
            <v>2</v>
          </cell>
          <cell r="J171">
            <v>2</v>
          </cell>
          <cell r="K171">
            <v>8</v>
          </cell>
        </row>
        <row r="172">
          <cell r="A172" t="str">
            <v>4T-6230</v>
          </cell>
          <cell r="B172" t="str">
            <v xml:space="preserve">CAT D3 (1PJ)                                            </v>
          </cell>
          <cell r="C172" t="str">
            <v>CUTTING EDGE</v>
          </cell>
          <cell r="D172">
            <v>195.02</v>
          </cell>
          <cell r="E172">
            <v>74.11</v>
          </cell>
          <cell r="F172" t="str">
            <v>GET</v>
          </cell>
          <cell r="G172">
            <v>2</v>
          </cell>
          <cell r="H172">
            <v>2</v>
          </cell>
          <cell r="I172">
            <v>2</v>
          </cell>
          <cell r="J172">
            <v>2</v>
          </cell>
          <cell r="K172">
            <v>8</v>
          </cell>
        </row>
        <row r="173">
          <cell r="A173" t="str">
            <v>4T-8940</v>
          </cell>
          <cell r="B173" t="str">
            <v xml:space="preserve">CAT D5 (3CR) CAT D5 (3CR) (2)                                          </v>
          </cell>
          <cell r="C173" t="str">
            <v>CUTTING EDGE</v>
          </cell>
          <cell r="D173">
            <v>296.41000000000003</v>
          </cell>
          <cell r="E173">
            <v>112.64</v>
          </cell>
          <cell r="F173" t="str">
            <v>GET</v>
          </cell>
          <cell r="G173">
            <v>4</v>
          </cell>
          <cell r="H173">
            <v>4</v>
          </cell>
          <cell r="I173">
            <v>4</v>
          </cell>
          <cell r="J173">
            <v>4</v>
          </cell>
          <cell r="K173">
            <v>16</v>
          </cell>
        </row>
        <row r="174">
          <cell r="A174" t="str">
            <v>5J-4773</v>
          </cell>
          <cell r="B174" t="str">
            <v xml:space="preserve">CAT D5 (3CR) CAT D5 (3CR) (2) CAT D6N LGP (GHS) CAT D6N LGP (PBA) CAT D6N LGP (PBA) (2) CAT D6N LGP (SGG) CAT D6N LGP (SGG) (2) CAT D6T (MH7)                              </v>
          </cell>
          <cell r="C174" t="str">
            <v>PLOW BOLT</v>
          </cell>
          <cell r="D174">
            <v>4.51</v>
          </cell>
          <cell r="E174">
            <v>1.71</v>
          </cell>
          <cell r="F174" t="str">
            <v>GET</v>
          </cell>
          <cell r="G174">
            <v>222</v>
          </cell>
          <cell r="H174">
            <v>222</v>
          </cell>
          <cell r="I174">
            <v>222</v>
          </cell>
          <cell r="J174">
            <v>222</v>
          </cell>
          <cell r="K174">
            <v>888</v>
          </cell>
        </row>
        <row r="175">
          <cell r="A175" t="str">
            <v>5P-8247</v>
          </cell>
          <cell r="B175" t="str">
            <v xml:space="preserve">CAT D3 (1PJ) CAT D6N LGP (SGG) CAT D6N LGP (SGG) (2) CAT 561M (1KW) CAT 561M (1KW) CAT 561N (CPH) CAT 561N (CPH) CAT 561N (CPH) (2) CAT 561N (CPH) (2) CAT 561N (CPH) (3) CAT 561N (CPH) (3) CAT 561N (CPH) (4) CAT 561N (CPH) (4) CAT 561N (CPH) (5) CAT 561N (CPH) (5)                </v>
          </cell>
          <cell r="C175" t="str">
            <v>WASHER</v>
          </cell>
          <cell r="D175">
            <v>2.83</v>
          </cell>
          <cell r="E175">
            <v>1.42</v>
          </cell>
          <cell r="F175" t="str">
            <v>GET</v>
          </cell>
          <cell r="G175">
            <v>422</v>
          </cell>
          <cell r="H175">
            <v>18</v>
          </cell>
          <cell r="I175">
            <v>18</v>
          </cell>
          <cell r="J175">
            <v>18</v>
          </cell>
          <cell r="K175">
            <v>476</v>
          </cell>
        </row>
        <row r="176">
          <cell r="A176" t="str">
            <v>5P-8248</v>
          </cell>
          <cell r="B176" t="str">
            <v xml:space="preserve">CAT D5 (3CR) CAT D5 (3CR) (2) CAT D6 (RDC) CAT D6N LGP (GHS) CAT D6N LGP (PBA) CAT D6N LGP (PBA) (2) CAT D6N LGP (SGG) CAT D6N LGP (SGG) (2) CAT D6T (MH7)                            </v>
          </cell>
          <cell r="C176" t="str">
            <v>FLAT WASHER</v>
          </cell>
          <cell r="D176">
            <v>3.56</v>
          </cell>
          <cell r="E176">
            <v>1.35</v>
          </cell>
          <cell r="F176" t="str">
            <v>GET</v>
          </cell>
          <cell r="G176">
            <v>272</v>
          </cell>
          <cell r="H176">
            <v>222</v>
          </cell>
          <cell r="I176">
            <v>222</v>
          </cell>
          <cell r="J176">
            <v>222</v>
          </cell>
          <cell r="K176">
            <v>938</v>
          </cell>
        </row>
        <row r="177">
          <cell r="A177" t="str">
            <v>614-7778</v>
          </cell>
          <cell r="B177" t="str">
            <v xml:space="preserve">CAT D7G (92V) CAT D7G (3ZD) CAT D7G (3ZD) (2)                                        </v>
          </cell>
          <cell r="C177" t="str">
            <v>RIPPER SHANK</v>
          </cell>
          <cell r="D177">
            <v>6515.49</v>
          </cell>
          <cell r="E177">
            <v>2475.89</v>
          </cell>
          <cell r="F177" t="str">
            <v>GET</v>
          </cell>
          <cell r="G177">
            <v>3</v>
          </cell>
          <cell r="H177">
            <v>0</v>
          </cell>
          <cell r="I177">
            <v>0</v>
          </cell>
          <cell r="J177">
            <v>0</v>
          </cell>
          <cell r="K177">
            <v>3</v>
          </cell>
        </row>
        <row r="178">
          <cell r="A178" t="str">
            <v>6B-5464</v>
          </cell>
          <cell r="B178" t="str">
            <v xml:space="preserve">CAT D3 (1PJ)                                            </v>
          </cell>
          <cell r="C178" t="str">
            <v>DOWEL PIN</v>
          </cell>
          <cell r="D178">
            <v>67.7</v>
          </cell>
          <cell r="E178">
            <v>25.73</v>
          </cell>
          <cell r="F178" t="str">
            <v>GET</v>
          </cell>
          <cell r="G178">
            <v>1</v>
          </cell>
          <cell r="H178">
            <v>0</v>
          </cell>
          <cell r="I178">
            <v>0</v>
          </cell>
          <cell r="J178">
            <v>0</v>
          </cell>
          <cell r="K178">
            <v>1</v>
          </cell>
        </row>
        <row r="179">
          <cell r="A179" t="str">
            <v>6Y-0309</v>
          </cell>
          <cell r="B179" t="str">
            <v xml:space="preserve">CAT D5 (3CR) CAT D5 (3CR) (2)                                          </v>
          </cell>
          <cell r="C179" t="str">
            <v>RIPPER</v>
          </cell>
          <cell r="D179">
            <v>144.57</v>
          </cell>
          <cell r="E179">
            <v>54.94</v>
          </cell>
          <cell r="F179" t="str">
            <v>GET</v>
          </cell>
          <cell r="G179">
            <v>2</v>
          </cell>
          <cell r="H179">
            <v>0</v>
          </cell>
          <cell r="I179">
            <v>0</v>
          </cell>
          <cell r="J179">
            <v>0</v>
          </cell>
          <cell r="K179">
            <v>2</v>
          </cell>
        </row>
        <row r="180">
          <cell r="A180" t="str">
            <v>6Y-0352</v>
          </cell>
          <cell r="B180" t="str">
            <v xml:space="preserve">CAT D6N LGP (PBA) CAT D6N LGP (PBA) (2) CAT D6N LGP (SGG) CAT D6N LGP (SGG) (2)                                      </v>
          </cell>
          <cell r="C180" t="str">
            <v>RIPPER TIP</v>
          </cell>
          <cell r="D180">
            <v>224.12</v>
          </cell>
          <cell r="E180">
            <v>85.17</v>
          </cell>
          <cell r="F180" t="str">
            <v>GET</v>
          </cell>
          <cell r="G180">
            <v>12</v>
          </cell>
          <cell r="H180">
            <v>0</v>
          </cell>
          <cell r="I180">
            <v>0</v>
          </cell>
          <cell r="J180">
            <v>0</v>
          </cell>
          <cell r="K180">
            <v>12</v>
          </cell>
        </row>
        <row r="181">
          <cell r="A181" t="str">
            <v>6Y-0359</v>
          </cell>
          <cell r="B181" t="str">
            <v xml:space="preserve">CAT D6T (MH7) CAT D7G (92V) CAT D7G (3ZD) CAT D7G (3ZD) (2)                                      </v>
          </cell>
          <cell r="C181" t="str">
            <v>RIPPER TOOTH</v>
          </cell>
          <cell r="D181">
            <v>224.15</v>
          </cell>
          <cell r="E181">
            <v>85.18</v>
          </cell>
          <cell r="F181" t="str">
            <v>GET</v>
          </cell>
          <cell r="G181">
            <v>6</v>
          </cell>
          <cell r="H181">
            <v>0</v>
          </cell>
          <cell r="I181">
            <v>0</v>
          </cell>
          <cell r="J181">
            <v>0</v>
          </cell>
          <cell r="K181">
            <v>6</v>
          </cell>
        </row>
        <row r="182">
          <cell r="A182" t="str">
            <v>8E-6208</v>
          </cell>
          <cell r="B182" t="str">
            <v xml:space="preserve">CAT D3 (1PJ)                                            </v>
          </cell>
          <cell r="C182" t="str">
            <v>G.E.T PIN</v>
          </cell>
          <cell r="D182">
            <v>4.38</v>
          </cell>
          <cell r="E182">
            <v>1.66</v>
          </cell>
          <cell r="F182" t="str">
            <v>GET</v>
          </cell>
          <cell r="G182">
            <v>1</v>
          </cell>
          <cell r="H182">
            <v>0</v>
          </cell>
          <cell r="I182">
            <v>0</v>
          </cell>
          <cell r="J182">
            <v>0</v>
          </cell>
          <cell r="K182">
            <v>1</v>
          </cell>
        </row>
        <row r="183">
          <cell r="A183" t="str">
            <v>8E-6209</v>
          </cell>
          <cell r="B183" t="str">
            <v xml:space="preserve">CAT D3 (1PJ)                                            </v>
          </cell>
          <cell r="C183" t="str">
            <v>TIP PIN RETAINER</v>
          </cell>
          <cell r="D183">
            <v>9.4499999999999993</v>
          </cell>
          <cell r="E183">
            <v>3.59</v>
          </cell>
          <cell r="F183" t="str">
            <v>GET</v>
          </cell>
          <cell r="G183">
            <v>1</v>
          </cell>
          <cell r="H183">
            <v>0</v>
          </cell>
          <cell r="I183">
            <v>0</v>
          </cell>
          <cell r="J183">
            <v>0</v>
          </cell>
          <cell r="K183">
            <v>1</v>
          </cell>
        </row>
        <row r="184">
          <cell r="A184" t="str">
            <v>8E-9378</v>
          </cell>
          <cell r="B184" t="str">
            <v xml:space="preserve">CAT D6N LGP (GHS) CAT D6N LGP (PBA) CAT D6N LGP (PBA) (2) CAT D6N LGP (SGG) CAT D6N LGP (SGG) (2)                                    </v>
          </cell>
          <cell r="C184" t="str">
            <v>END BIT LH</v>
          </cell>
          <cell r="D184">
            <v>160.9</v>
          </cell>
          <cell r="E184">
            <v>61.14</v>
          </cell>
          <cell r="F184" t="str">
            <v>GET</v>
          </cell>
          <cell r="G184">
            <v>5</v>
          </cell>
          <cell r="H184">
            <v>5</v>
          </cell>
          <cell r="I184">
            <v>5</v>
          </cell>
          <cell r="J184">
            <v>5</v>
          </cell>
          <cell r="K184">
            <v>20</v>
          </cell>
        </row>
        <row r="185">
          <cell r="A185" t="str">
            <v>8E-9379</v>
          </cell>
          <cell r="B185" t="str">
            <v xml:space="preserve">CAT D6N LGP (GHS) CAT D6N LGP (PBA) CAT D6N LGP (PBA) (2) CAT D6N LGP (SGG) CAT D6N LGP (SGG) (2)                                    </v>
          </cell>
          <cell r="C185" t="str">
            <v>END BIT RH</v>
          </cell>
          <cell r="D185">
            <v>160.9</v>
          </cell>
          <cell r="E185">
            <v>61.14</v>
          </cell>
          <cell r="F185" t="str">
            <v>GET</v>
          </cell>
          <cell r="G185">
            <v>5</v>
          </cell>
          <cell r="H185">
            <v>5</v>
          </cell>
          <cell r="I185">
            <v>5</v>
          </cell>
          <cell r="J185">
            <v>5</v>
          </cell>
          <cell r="K185">
            <v>20</v>
          </cell>
        </row>
        <row r="186">
          <cell r="A186" t="str">
            <v>8J-2190</v>
          </cell>
          <cell r="B186" t="str">
            <v xml:space="preserve">CAT D6N LGP (PBA) CAT D6N LGP (PBA) (2) CAT D6N LGP (SGG) CAT D6N LGP (SGG) (2) CAT D6T (MH7)                                    </v>
          </cell>
          <cell r="C186" t="str">
            <v>RIPPER PIN</v>
          </cell>
          <cell r="D186">
            <v>164.9</v>
          </cell>
          <cell r="E186">
            <v>62.66</v>
          </cell>
          <cell r="F186" t="str">
            <v>GET</v>
          </cell>
          <cell r="G186">
            <v>15</v>
          </cell>
          <cell r="H186">
            <v>0</v>
          </cell>
          <cell r="I186">
            <v>0</v>
          </cell>
          <cell r="J186">
            <v>0</v>
          </cell>
          <cell r="K186">
            <v>15</v>
          </cell>
        </row>
        <row r="187">
          <cell r="A187" t="str">
            <v>8J-5299</v>
          </cell>
          <cell r="B187" t="str">
            <v xml:space="preserve">CAT D3 (1PJ)                                            </v>
          </cell>
          <cell r="C187" t="str">
            <v>RIPPER SHANK</v>
          </cell>
          <cell r="D187">
            <v>446.79</v>
          </cell>
          <cell r="E187">
            <v>169.78</v>
          </cell>
          <cell r="F187" t="str">
            <v>GET</v>
          </cell>
          <cell r="G187">
            <v>1</v>
          </cell>
          <cell r="H187">
            <v>0</v>
          </cell>
          <cell r="I187">
            <v>0</v>
          </cell>
          <cell r="J187">
            <v>0</v>
          </cell>
          <cell r="K187">
            <v>1</v>
          </cell>
        </row>
        <row r="188">
          <cell r="A188" t="str">
            <v>8T-4778</v>
          </cell>
          <cell r="B188" t="str">
            <v xml:space="preserve">CAT 299D (DX2)                                            </v>
          </cell>
          <cell r="C188" t="str">
            <v>Lock Nut</v>
          </cell>
          <cell r="D188">
            <v>8.8699999999999992</v>
          </cell>
          <cell r="E188">
            <v>4.4400000000000004</v>
          </cell>
          <cell r="F188" t="str">
            <v>GET</v>
          </cell>
          <cell r="G188">
            <v>11</v>
          </cell>
          <cell r="H188">
            <v>0</v>
          </cell>
          <cell r="I188">
            <v>0</v>
          </cell>
          <cell r="J188">
            <v>0</v>
          </cell>
          <cell r="K188">
            <v>11</v>
          </cell>
        </row>
        <row r="189">
          <cell r="A189" t="str">
            <v>9J-8913</v>
          </cell>
          <cell r="B189" t="str">
            <v xml:space="preserve">CAT D5 (3CR) CAT D5 (3CR) (2)                                          </v>
          </cell>
          <cell r="C189" t="str">
            <v>RIPPER SHANK</v>
          </cell>
          <cell r="D189">
            <v>1095.81</v>
          </cell>
          <cell r="E189">
            <v>416.41</v>
          </cell>
          <cell r="F189" t="str">
            <v>GET</v>
          </cell>
          <cell r="G189">
            <v>2</v>
          </cell>
          <cell r="H189">
            <v>0</v>
          </cell>
          <cell r="I189">
            <v>0</v>
          </cell>
          <cell r="J189">
            <v>0</v>
          </cell>
          <cell r="K189">
            <v>2</v>
          </cell>
        </row>
        <row r="190">
          <cell r="A190" t="str">
            <v>9J-8923</v>
          </cell>
          <cell r="B190" t="str">
            <v xml:space="preserve">CAT D6N LGP (PBA) CAT D6N LGP (PBA) (2) CAT D6N LGP (SGG) CAT D6N LGP (SGG) (2)                                      </v>
          </cell>
          <cell r="C190" t="str">
            <v>RIPPER SHANK</v>
          </cell>
          <cell r="D190">
            <v>2053.06</v>
          </cell>
          <cell r="E190">
            <v>780.16</v>
          </cell>
          <cell r="F190" t="str">
            <v>GET</v>
          </cell>
          <cell r="G190">
            <v>12</v>
          </cell>
          <cell r="H190">
            <v>0</v>
          </cell>
          <cell r="I190">
            <v>0</v>
          </cell>
          <cell r="J190">
            <v>0</v>
          </cell>
          <cell r="K190">
            <v>12</v>
          </cell>
        </row>
        <row r="191">
          <cell r="A191" t="str">
            <v>9W-8874</v>
          </cell>
          <cell r="B191" t="str">
            <v xml:space="preserve">CAT D6T (MH7)                                            </v>
          </cell>
          <cell r="C191" t="str">
            <v>END BIT RH</v>
          </cell>
          <cell r="D191">
            <v>219.63</v>
          </cell>
          <cell r="E191">
            <v>83.46</v>
          </cell>
          <cell r="F191" t="str">
            <v>GET</v>
          </cell>
          <cell r="G191">
            <v>1</v>
          </cell>
          <cell r="H191">
            <v>1</v>
          </cell>
          <cell r="I191">
            <v>1</v>
          </cell>
          <cell r="J191">
            <v>1</v>
          </cell>
          <cell r="K191">
            <v>4</v>
          </cell>
        </row>
        <row r="192">
          <cell r="A192" t="str">
            <v>9W-8875</v>
          </cell>
          <cell r="B192" t="str">
            <v xml:space="preserve">CAT D6T (MH7)                                            </v>
          </cell>
          <cell r="C192" t="str">
            <v>END BIT LH</v>
          </cell>
          <cell r="D192">
            <v>219.63</v>
          </cell>
          <cell r="E192">
            <v>83.46</v>
          </cell>
          <cell r="F192" t="str">
            <v>GET</v>
          </cell>
          <cell r="G192">
            <v>1</v>
          </cell>
          <cell r="H192">
            <v>1</v>
          </cell>
          <cell r="I192">
            <v>1</v>
          </cell>
          <cell r="J192">
            <v>1</v>
          </cell>
          <cell r="K192">
            <v>4</v>
          </cell>
        </row>
        <row r="193">
          <cell r="A193" t="str">
            <v>CUSTOM-GQPD5ABA</v>
          </cell>
          <cell r="B193" t="str">
            <v xml:space="preserve">CAT D5 (3CR) CAT D5 (3CR) (2)                                          </v>
          </cell>
          <cell r="C193" t="str">
            <v>ANGLING BLADE ASSY</v>
          </cell>
          <cell r="D193">
            <v>16888.900000000001</v>
          </cell>
          <cell r="E193">
            <v>6417.78</v>
          </cell>
          <cell r="F193" t="str">
            <v>GET</v>
          </cell>
          <cell r="G193">
            <v>2</v>
          </cell>
          <cell r="H193">
            <v>2</v>
          </cell>
          <cell r="I193">
            <v>2</v>
          </cell>
          <cell r="J193">
            <v>2</v>
          </cell>
          <cell r="K193">
            <v>8</v>
          </cell>
        </row>
        <row r="194">
          <cell r="A194">
            <v>6698542</v>
          </cell>
          <cell r="B194" t="str">
            <v xml:space="preserve">BOBCAT T750 (ANK)                                            </v>
          </cell>
          <cell r="C194" t="str">
            <v>Injector</v>
          </cell>
          <cell r="D194">
            <v>706.99</v>
          </cell>
          <cell r="E194">
            <v>353.5</v>
          </cell>
          <cell r="F194" t="str">
            <v>Injector</v>
          </cell>
          <cell r="G194">
            <v>4</v>
          </cell>
          <cell r="H194">
            <v>0</v>
          </cell>
          <cell r="I194">
            <v>0</v>
          </cell>
          <cell r="J194">
            <v>0</v>
          </cell>
          <cell r="K194">
            <v>4</v>
          </cell>
        </row>
        <row r="195">
          <cell r="A195">
            <v>7008498</v>
          </cell>
          <cell r="B195" t="str">
            <v xml:space="preserve">BOBCAT S650 (A3N)                                            </v>
          </cell>
          <cell r="C195" t="str">
            <v>Injector</v>
          </cell>
          <cell r="D195">
            <v>893.49</v>
          </cell>
          <cell r="E195">
            <v>446.75</v>
          </cell>
          <cell r="F195" t="str">
            <v>Injector</v>
          </cell>
          <cell r="G195">
            <v>4</v>
          </cell>
          <cell r="H195">
            <v>0</v>
          </cell>
          <cell r="I195">
            <v>0</v>
          </cell>
          <cell r="J195">
            <v>0</v>
          </cell>
          <cell r="K195">
            <v>4</v>
          </cell>
        </row>
        <row r="196">
          <cell r="A196">
            <v>7485369</v>
          </cell>
          <cell r="B196" t="str">
            <v xml:space="preserve">BOBCAT T750 (ATF)                                            </v>
          </cell>
          <cell r="C196" t="str">
            <v>Injector</v>
          </cell>
          <cell r="D196">
            <v>1626.49</v>
          </cell>
          <cell r="E196">
            <v>813.25</v>
          </cell>
          <cell r="F196" t="str">
            <v>Injector</v>
          </cell>
          <cell r="G196">
            <v>4</v>
          </cell>
          <cell r="H196">
            <v>0</v>
          </cell>
          <cell r="I196">
            <v>0</v>
          </cell>
          <cell r="J196">
            <v>0</v>
          </cell>
          <cell r="K196">
            <v>4</v>
          </cell>
        </row>
        <row r="197">
          <cell r="A197">
            <v>7516846</v>
          </cell>
          <cell r="B197" t="str">
            <v xml:space="preserve">BOBCAT T770 (AT6) BOBCAT T770 (AT6) (2)                                          </v>
          </cell>
          <cell r="C197" t="str">
            <v>Injector</v>
          </cell>
          <cell r="D197">
            <v>955.49</v>
          </cell>
          <cell r="E197">
            <v>477.75</v>
          </cell>
          <cell r="F197" t="str">
            <v>Injector</v>
          </cell>
          <cell r="G197">
            <v>8</v>
          </cell>
          <cell r="H197">
            <v>0</v>
          </cell>
          <cell r="I197">
            <v>0</v>
          </cell>
          <cell r="J197">
            <v>0</v>
          </cell>
          <cell r="K197">
            <v>8</v>
          </cell>
        </row>
        <row r="198">
          <cell r="A198" t="str">
            <v>127-8216</v>
          </cell>
          <cell r="B198" t="str">
            <v xml:space="preserve">CAT D5 (3CR) CAT D5 (3CR) (2) CAT 561M (1KW)                                        </v>
          </cell>
          <cell r="C198" t="str">
            <v>FUEL INJECTOR</v>
          </cell>
          <cell r="D198">
            <v>914.54</v>
          </cell>
          <cell r="E198">
            <v>457.27</v>
          </cell>
          <cell r="F198" t="str">
            <v>Injector</v>
          </cell>
          <cell r="G198">
            <v>18</v>
          </cell>
          <cell r="H198">
            <v>0</v>
          </cell>
          <cell r="I198">
            <v>0</v>
          </cell>
          <cell r="J198">
            <v>0</v>
          </cell>
          <cell r="K198">
            <v>18</v>
          </cell>
        </row>
        <row r="199">
          <cell r="A199" t="str">
            <v>178-6342</v>
          </cell>
          <cell r="B199" t="str">
            <v xml:space="preserve">CAT 561N (CPH) CAT 561N (CPH) (2) CAT 561N (CPH) (3) CAT 561N (CPH) (4) CAT 561N (CPH) (5)                                    </v>
          </cell>
          <cell r="C199" t="str">
            <v>INJECTROR</v>
          </cell>
          <cell r="D199">
            <v>1817.71</v>
          </cell>
          <cell r="E199">
            <v>908.86</v>
          </cell>
          <cell r="F199" t="str">
            <v>Injector</v>
          </cell>
          <cell r="G199">
            <v>30</v>
          </cell>
          <cell r="H199">
            <v>0</v>
          </cell>
          <cell r="I199">
            <v>0</v>
          </cell>
          <cell r="J199">
            <v>0</v>
          </cell>
          <cell r="K199">
            <v>30</v>
          </cell>
        </row>
        <row r="200">
          <cell r="A200" t="str">
            <v>320-0690</v>
          </cell>
          <cell r="B200" t="str">
            <v xml:space="preserve">CAT D6N LGP (GHS)                                            </v>
          </cell>
          <cell r="C200" t="str">
            <v>FUEL INJECTOR</v>
          </cell>
          <cell r="D200">
            <v>1132.93</v>
          </cell>
          <cell r="E200">
            <v>566.47</v>
          </cell>
          <cell r="F200" t="str">
            <v>Injector</v>
          </cell>
          <cell r="G200">
            <v>6</v>
          </cell>
          <cell r="H200">
            <v>0</v>
          </cell>
          <cell r="I200">
            <v>0</v>
          </cell>
          <cell r="J200">
            <v>0</v>
          </cell>
          <cell r="K200">
            <v>6</v>
          </cell>
        </row>
        <row r="201">
          <cell r="A201" t="str">
            <v>321-3600</v>
          </cell>
          <cell r="B201" t="str">
            <v xml:space="preserve">CAT D4 (66J)                                            </v>
          </cell>
          <cell r="C201" t="str">
            <v>FUEL INJECTOR</v>
          </cell>
          <cell r="D201">
            <v>1138.5999999999999</v>
          </cell>
          <cell r="E201">
            <v>569.29999999999995</v>
          </cell>
          <cell r="F201" t="str">
            <v>Injector</v>
          </cell>
          <cell r="G201">
            <v>6</v>
          </cell>
          <cell r="H201">
            <v>0</v>
          </cell>
          <cell r="I201">
            <v>0</v>
          </cell>
          <cell r="J201">
            <v>0</v>
          </cell>
          <cell r="K201">
            <v>6</v>
          </cell>
        </row>
        <row r="202">
          <cell r="A202" t="str">
            <v>370-7280</v>
          </cell>
          <cell r="B202" t="str">
            <v xml:space="preserve">CAT 320F L (YBM) CAT 320 (HEX) CAT 329E L (ZCD)                                        </v>
          </cell>
          <cell r="C202" t="str">
            <v>FUEL INJECTOR</v>
          </cell>
          <cell r="D202">
            <v>1474.09</v>
          </cell>
          <cell r="E202">
            <v>737.05</v>
          </cell>
          <cell r="F202" t="str">
            <v>Injector</v>
          </cell>
          <cell r="G202">
            <v>14</v>
          </cell>
          <cell r="H202">
            <v>0</v>
          </cell>
          <cell r="I202">
            <v>0</v>
          </cell>
          <cell r="J202">
            <v>0</v>
          </cell>
          <cell r="K202">
            <v>14</v>
          </cell>
        </row>
        <row r="203">
          <cell r="A203" t="str">
            <v>383-0544</v>
          </cell>
          <cell r="B203" t="str">
            <v xml:space="preserve">CAT 303.5E                                            </v>
          </cell>
          <cell r="C203" t="str">
            <v xml:space="preserve">FUEL INJECTOR NOZZLE </v>
          </cell>
          <cell r="D203">
            <v>974.18</v>
          </cell>
          <cell r="E203">
            <v>487.09</v>
          </cell>
          <cell r="F203" t="str">
            <v>Injector</v>
          </cell>
          <cell r="G203">
            <v>3</v>
          </cell>
          <cell r="H203">
            <v>0</v>
          </cell>
          <cell r="I203">
            <v>0</v>
          </cell>
          <cell r="J203">
            <v>0</v>
          </cell>
          <cell r="K203">
            <v>3</v>
          </cell>
        </row>
        <row r="204">
          <cell r="A204" t="str">
            <v>456-3509</v>
          </cell>
          <cell r="B204" t="str">
            <v xml:space="preserve">CAT 336F L (RKB) CAT D6T (MH7)                                          </v>
          </cell>
          <cell r="C204" t="str">
            <v xml:space="preserve">FUEL INJECTOR </v>
          </cell>
          <cell r="D204">
            <v>1474.09</v>
          </cell>
          <cell r="E204">
            <v>737.05</v>
          </cell>
          <cell r="F204" t="str">
            <v>Injector</v>
          </cell>
          <cell r="G204">
            <v>12</v>
          </cell>
          <cell r="H204">
            <v>0</v>
          </cell>
          <cell r="I204">
            <v>0</v>
          </cell>
          <cell r="J204">
            <v>0</v>
          </cell>
          <cell r="K204">
            <v>12</v>
          </cell>
        </row>
        <row r="205">
          <cell r="A205" t="str">
            <v>482-8434</v>
          </cell>
          <cell r="B205" t="str">
            <v xml:space="preserve">CAT 299D (DX2)                                            </v>
          </cell>
          <cell r="C205" t="str">
            <v>Injector</v>
          </cell>
          <cell r="D205">
            <v>1852.34</v>
          </cell>
          <cell r="E205">
            <v>926.17</v>
          </cell>
          <cell r="F205" t="str">
            <v>Injector</v>
          </cell>
          <cell r="G205">
            <v>4</v>
          </cell>
          <cell r="H205">
            <v>0</v>
          </cell>
          <cell r="I205">
            <v>0</v>
          </cell>
          <cell r="J205">
            <v>0</v>
          </cell>
          <cell r="K205">
            <v>4</v>
          </cell>
        </row>
        <row r="206">
          <cell r="A206" t="str">
            <v>553-8167</v>
          </cell>
          <cell r="B206" t="str">
            <v xml:space="preserve">CAT D3 (1PJ)                                            </v>
          </cell>
          <cell r="C206" t="str">
            <v>FUEL INJECTOR</v>
          </cell>
          <cell r="D206">
            <v>1132.93</v>
          </cell>
          <cell r="E206">
            <v>566.47</v>
          </cell>
          <cell r="F206" t="str">
            <v>Injector</v>
          </cell>
          <cell r="G206">
            <v>4</v>
          </cell>
          <cell r="H206">
            <v>0</v>
          </cell>
          <cell r="I206">
            <v>0</v>
          </cell>
          <cell r="J206">
            <v>0</v>
          </cell>
          <cell r="K206">
            <v>4</v>
          </cell>
        </row>
        <row r="207">
          <cell r="A207" t="str">
            <v>571-0940</v>
          </cell>
          <cell r="B207" t="str">
            <v xml:space="preserve">CAT 320 (MYK) CAT 320 (MYK) (2)                                          </v>
          </cell>
          <cell r="C207" t="str">
            <v>FUEL INJECTOR</v>
          </cell>
          <cell r="D207">
            <v>1132.8800000000001</v>
          </cell>
          <cell r="E207">
            <v>566.44000000000005</v>
          </cell>
          <cell r="F207" t="str">
            <v>Injector</v>
          </cell>
          <cell r="G207">
            <v>8</v>
          </cell>
          <cell r="H207">
            <v>0</v>
          </cell>
          <cell r="I207">
            <v>0</v>
          </cell>
          <cell r="J207">
            <v>0</v>
          </cell>
          <cell r="K207">
            <v>8</v>
          </cell>
        </row>
        <row r="208">
          <cell r="A208" t="str">
            <v>610-2300</v>
          </cell>
          <cell r="B208" t="str">
            <v xml:space="preserve">CAT 320E L (WBK) CAT 320E L (WBK) (2) CAT 329F L (ERL) CAT 329F L (ERL) (2) CAT 330F L (MBX) CAT 330F L (HCK) CAT 330F L (HCK) (2) CAT 330 (LHW) CAT 330 (LHW) (2) CAT 330 (LHW) (3) CAT 330 (LHW) (4) CAT 330 (WCH) CAT 330 (WCH) (2) CAT 330 (WCH) (3) CAT 330 (WCH) (4) CAT 330 (WCH) (5) CAT 330 (WCH) (6) CAT D6N LGP (PBA) CAT D6N LGP (PBA) (2) CAT D6N LGP (SGG) CAT D6N LGP (SGG) (2)    </v>
          </cell>
          <cell r="C208" t="str">
            <v>FUEL INJECTOR</v>
          </cell>
          <cell r="D208">
            <v>1474.09</v>
          </cell>
          <cell r="E208">
            <v>737.05</v>
          </cell>
          <cell r="F208" t="str">
            <v>Injector</v>
          </cell>
          <cell r="G208">
            <v>126</v>
          </cell>
          <cell r="H208">
            <v>0</v>
          </cell>
          <cell r="I208">
            <v>0</v>
          </cell>
          <cell r="J208">
            <v>0</v>
          </cell>
          <cell r="K208">
            <v>126</v>
          </cell>
        </row>
        <row r="209">
          <cell r="A209" t="str">
            <v>617-1913</v>
          </cell>
          <cell r="B209" t="str">
            <v xml:space="preserve">CAT D6 (RDC)                                            </v>
          </cell>
          <cell r="C209" t="str">
            <v>INJECTOR</v>
          </cell>
          <cell r="D209">
            <v>1423.26</v>
          </cell>
          <cell r="E209">
            <v>711.63</v>
          </cell>
          <cell r="F209" t="str">
            <v>Injector</v>
          </cell>
          <cell r="G209">
            <v>6</v>
          </cell>
          <cell r="H209">
            <v>0</v>
          </cell>
          <cell r="I209">
            <v>0</v>
          </cell>
          <cell r="J209">
            <v>0</v>
          </cell>
          <cell r="K209">
            <v>6</v>
          </cell>
        </row>
        <row r="210">
          <cell r="A210" t="str">
            <v>8N-7005</v>
          </cell>
          <cell r="B210" t="str">
            <v xml:space="preserve">CAT D7G (92V) CAT D7G (3ZD) CAT D7G (3ZD) (2)                                        </v>
          </cell>
          <cell r="C210" t="str">
            <v>INJECTORS</v>
          </cell>
          <cell r="D210">
            <v>500.81</v>
          </cell>
          <cell r="E210">
            <v>250.41</v>
          </cell>
          <cell r="F210" t="str">
            <v>Injector</v>
          </cell>
          <cell r="G210">
            <v>18</v>
          </cell>
          <cell r="H210">
            <v>0</v>
          </cell>
          <cell r="I210">
            <v>0</v>
          </cell>
          <cell r="J210">
            <v>0</v>
          </cell>
          <cell r="K210">
            <v>18</v>
          </cell>
        </row>
        <row r="211">
          <cell r="A211" t="str">
            <v>8N-8796</v>
          </cell>
          <cell r="B211" t="str">
            <v xml:space="preserve">CAT 561 (85H) CAT 561 (92J) CAT 561 (92J) (2)                                        </v>
          </cell>
          <cell r="C211" t="str">
            <v>FUEL INJECTOR</v>
          </cell>
          <cell r="D211">
            <v>167.77</v>
          </cell>
          <cell r="E211">
            <v>83.89</v>
          </cell>
          <cell r="F211" t="str">
            <v>Injector</v>
          </cell>
          <cell r="G211">
            <v>18</v>
          </cell>
          <cell r="H211">
            <v>0</v>
          </cell>
          <cell r="I211">
            <v>0</v>
          </cell>
          <cell r="J211">
            <v>0</v>
          </cell>
          <cell r="K211">
            <v>18</v>
          </cell>
        </row>
        <row r="212">
          <cell r="A212" t="str">
            <v>316-8889</v>
          </cell>
          <cell r="B212" t="str">
            <v xml:space="preserve">CAT 329F L (ERL) CAT 329F L (ERL) (2)                                          </v>
          </cell>
          <cell r="C212" t="str">
            <v xml:space="preserve">SEAT ASSEMBLY </v>
          </cell>
          <cell r="D212">
            <v>3384.84</v>
          </cell>
          <cell r="E212">
            <v>1692.42</v>
          </cell>
          <cell r="F212" t="str">
            <v>SEAT</v>
          </cell>
          <cell r="G212">
            <v>2</v>
          </cell>
          <cell r="H212">
            <v>0</v>
          </cell>
          <cell r="I212">
            <v>0</v>
          </cell>
          <cell r="J212">
            <v>0</v>
          </cell>
          <cell r="K212">
            <v>2</v>
          </cell>
        </row>
        <row r="213">
          <cell r="A213" t="str">
            <v>316-8894</v>
          </cell>
          <cell r="B213" t="str">
            <v xml:space="preserve">CAT 329F L (ERL) CAT 329F L (ERL) (2)                                          </v>
          </cell>
          <cell r="C213" t="str">
            <v>SEAT SUSPENSION ASSEMBLY</v>
          </cell>
          <cell r="D213">
            <v>3739.65</v>
          </cell>
          <cell r="E213">
            <v>1869.83</v>
          </cell>
          <cell r="F213" t="str">
            <v>SEAT</v>
          </cell>
          <cell r="G213">
            <v>2</v>
          </cell>
          <cell r="H213">
            <v>0</v>
          </cell>
          <cell r="I213">
            <v>0</v>
          </cell>
          <cell r="J213">
            <v>0</v>
          </cell>
          <cell r="K213">
            <v>2</v>
          </cell>
        </row>
        <row r="214">
          <cell r="A214" t="str">
            <v>316-8895</v>
          </cell>
          <cell r="B214" t="str">
            <v xml:space="preserve">CAT 320F L (YBM) CAT 329E L (ZCD) CAT 330F L (MBX) CAT 330F L (HCK) CAT 330F L (HCK) (2) CAT 336F L (RKB)                                  </v>
          </cell>
          <cell r="C214" t="str">
            <v>SEAT SUSPENSION ASSEMBLY</v>
          </cell>
          <cell r="D214">
            <v>4369.08</v>
          </cell>
          <cell r="E214">
            <v>2184.54</v>
          </cell>
          <cell r="F214" t="str">
            <v>SEAT</v>
          </cell>
          <cell r="G214">
            <v>6</v>
          </cell>
          <cell r="H214">
            <v>0</v>
          </cell>
          <cell r="I214">
            <v>0</v>
          </cell>
          <cell r="J214">
            <v>0</v>
          </cell>
          <cell r="K214">
            <v>6</v>
          </cell>
        </row>
        <row r="215">
          <cell r="A215" t="str">
            <v>384-5674</v>
          </cell>
          <cell r="B215" t="str">
            <v xml:space="preserve">CAT 303.5E                                            </v>
          </cell>
          <cell r="C215" t="str">
            <v xml:space="preserve">SUSPENSION SEAT ASSEMBLY </v>
          </cell>
          <cell r="D215">
            <v>3786.04</v>
          </cell>
          <cell r="E215">
            <v>1893.02</v>
          </cell>
          <cell r="F215" t="str">
            <v>SEAT</v>
          </cell>
          <cell r="G215">
            <v>1</v>
          </cell>
          <cell r="H215">
            <v>0</v>
          </cell>
          <cell r="I215">
            <v>0</v>
          </cell>
          <cell r="J215">
            <v>0</v>
          </cell>
          <cell r="K215">
            <v>1</v>
          </cell>
        </row>
        <row r="216">
          <cell r="A216" t="str">
            <v>432-8929</v>
          </cell>
          <cell r="B216" t="str">
            <v xml:space="preserve">CAT 299D (DX2)                                            </v>
          </cell>
          <cell r="C216" t="str">
            <v>Suspension GP - Seat</v>
          </cell>
          <cell r="D216">
            <v>2811.32</v>
          </cell>
          <cell r="E216">
            <v>1405.66</v>
          </cell>
          <cell r="F216" t="str">
            <v>SEAT</v>
          </cell>
          <cell r="G216">
            <v>1</v>
          </cell>
          <cell r="H216">
            <v>0</v>
          </cell>
          <cell r="I216">
            <v>0</v>
          </cell>
          <cell r="J216">
            <v>0</v>
          </cell>
          <cell r="K216">
            <v>1</v>
          </cell>
        </row>
        <row r="217">
          <cell r="A217" t="str">
            <v>488-6511</v>
          </cell>
          <cell r="B217" t="str">
            <v xml:space="preserve">CAT 320 (HEX) CAT 320 (MYK) CAT 320 (MYK) (2) CAT 330 (LHW) CAT 330 (LHW) (2) CAT 330 (LHW) (3) CAT 330 (LHW) (4) CAT 330 (WCH) CAT 330 (WCH) (2) CAT 330 (WCH) (3) CAT 330 (WCH) (4) CAT 330 (WCH) (5) CAT 330 (WCH) (6)                    </v>
          </cell>
          <cell r="C217" t="str">
            <v>SUSPENSION SEAT ASSEMBLY</v>
          </cell>
          <cell r="D217">
            <v>8493.36</v>
          </cell>
          <cell r="E217">
            <v>4246.68</v>
          </cell>
          <cell r="F217" t="str">
            <v>SEAT</v>
          </cell>
          <cell r="G217">
            <v>13</v>
          </cell>
          <cell r="H217">
            <v>0</v>
          </cell>
          <cell r="I217">
            <v>0</v>
          </cell>
          <cell r="J217">
            <v>0</v>
          </cell>
          <cell r="K217">
            <v>13</v>
          </cell>
        </row>
        <row r="218">
          <cell r="A218" t="str">
            <v>494-0057</v>
          </cell>
          <cell r="B218" t="str">
            <v xml:space="preserve">CAT 320F L (YBM) CAT 329E L (ZCD) CAT 330F L (MBX) CAT 330F L (HCK) CAT 330F L (HCK) (2) CAT 336F L (RKB)                                  </v>
          </cell>
          <cell r="C218" t="str">
            <v xml:space="preserve">OPERATOR SEAT ASSEMBLY </v>
          </cell>
          <cell r="D218">
            <v>4161.4399999999996</v>
          </cell>
          <cell r="E218">
            <v>2080.7199999999998</v>
          </cell>
          <cell r="F218" t="str">
            <v>SEAT</v>
          </cell>
          <cell r="G218">
            <v>6</v>
          </cell>
          <cell r="H218">
            <v>0</v>
          </cell>
          <cell r="I218">
            <v>0</v>
          </cell>
          <cell r="J218">
            <v>0</v>
          </cell>
          <cell r="K218">
            <v>6</v>
          </cell>
        </row>
        <row r="219">
          <cell r="A219" t="str">
            <v>526-7416</v>
          </cell>
          <cell r="B219" t="str">
            <v xml:space="preserve">CAT 561N (CPH) CAT 561N (CPH) (2) CAT 561N (CPH) (3) CAT 561N (CPH) (4) CAT 561N (CPH) (5)                                    </v>
          </cell>
          <cell r="C219" t="str">
            <v>SEAT ASSY</v>
          </cell>
          <cell r="D219">
            <v>2482.65</v>
          </cell>
          <cell r="E219">
            <v>1241.33</v>
          </cell>
          <cell r="F219" t="str">
            <v>SEAT</v>
          </cell>
          <cell r="G219">
            <v>5</v>
          </cell>
          <cell r="H219">
            <v>0</v>
          </cell>
          <cell r="I219">
            <v>0</v>
          </cell>
          <cell r="J219">
            <v>0</v>
          </cell>
          <cell r="K219">
            <v>5</v>
          </cell>
        </row>
        <row r="220">
          <cell r="A220">
            <v>6730108</v>
          </cell>
          <cell r="B220" t="str">
            <v xml:space="preserve">BOBCAT S650 (A3N)                                            </v>
          </cell>
          <cell r="C220" t="str">
            <v>Tires - 12x16.5</v>
          </cell>
          <cell r="D220">
            <v>728.49</v>
          </cell>
          <cell r="E220">
            <v>364.25</v>
          </cell>
          <cell r="F220" t="str">
            <v>TIRE</v>
          </cell>
          <cell r="G220">
            <v>4</v>
          </cell>
          <cell r="H220">
            <v>0</v>
          </cell>
          <cell r="I220">
            <v>0</v>
          </cell>
          <cell r="J220">
            <v>0</v>
          </cell>
          <cell r="K220">
            <v>4</v>
          </cell>
        </row>
        <row r="221">
          <cell r="A221">
            <v>7008469</v>
          </cell>
          <cell r="B221" t="str">
            <v xml:space="preserve">BOBCAT S650 (A3N)                                            </v>
          </cell>
          <cell r="C221" t="str">
            <v>Turbocharger AS</v>
          </cell>
          <cell r="D221">
            <v>3921.49</v>
          </cell>
          <cell r="E221">
            <v>1960.75</v>
          </cell>
          <cell r="F221" t="str">
            <v>Turbo</v>
          </cell>
          <cell r="G221">
            <v>1</v>
          </cell>
          <cell r="H221">
            <v>0</v>
          </cell>
          <cell r="I221">
            <v>0</v>
          </cell>
          <cell r="J221">
            <v>0</v>
          </cell>
          <cell r="K221">
            <v>1</v>
          </cell>
        </row>
        <row r="222">
          <cell r="A222">
            <v>7017202</v>
          </cell>
          <cell r="B222" t="str">
            <v xml:space="preserve">BOBCAT T750 (ANK)                                            </v>
          </cell>
          <cell r="C222" t="str">
            <v>Turbocharger AS</v>
          </cell>
          <cell r="D222">
            <v>4318.99</v>
          </cell>
          <cell r="E222">
            <v>2159.5</v>
          </cell>
          <cell r="F222" t="str">
            <v>Turbo</v>
          </cell>
          <cell r="G222">
            <v>1</v>
          </cell>
          <cell r="H222">
            <v>0</v>
          </cell>
          <cell r="I222">
            <v>0</v>
          </cell>
          <cell r="J222">
            <v>0</v>
          </cell>
          <cell r="K222">
            <v>1</v>
          </cell>
        </row>
        <row r="223">
          <cell r="A223">
            <v>7024308</v>
          </cell>
          <cell r="B223" t="str">
            <v xml:space="preserve">BOBCAT T750 (ATF)                                            </v>
          </cell>
          <cell r="C223" t="str">
            <v>Turbocharger AS</v>
          </cell>
          <cell r="D223">
            <v>4724.49</v>
          </cell>
          <cell r="E223">
            <v>2362.25</v>
          </cell>
          <cell r="F223" t="str">
            <v>Turbo</v>
          </cell>
          <cell r="G223">
            <v>1</v>
          </cell>
          <cell r="H223">
            <v>0</v>
          </cell>
          <cell r="I223">
            <v>0</v>
          </cell>
          <cell r="J223">
            <v>0</v>
          </cell>
          <cell r="K223">
            <v>1</v>
          </cell>
        </row>
        <row r="224">
          <cell r="A224">
            <v>7256748</v>
          </cell>
          <cell r="B224" t="str">
            <v xml:space="preserve">BOBCAT T770 (AT6) BOBCAT T770 (AT6) (2)                                          </v>
          </cell>
          <cell r="C224" t="str">
            <v>Turbocharger AS</v>
          </cell>
          <cell r="D224">
            <v>2465.4899999999998</v>
          </cell>
          <cell r="E224">
            <v>1232.75</v>
          </cell>
          <cell r="F224" t="str">
            <v>Turbo</v>
          </cell>
          <cell r="G224">
            <v>2</v>
          </cell>
          <cell r="H224">
            <v>0</v>
          </cell>
          <cell r="I224">
            <v>0</v>
          </cell>
          <cell r="J224">
            <v>0</v>
          </cell>
          <cell r="K224">
            <v>2</v>
          </cell>
        </row>
        <row r="225">
          <cell r="A225" t="str">
            <v>104-5857</v>
          </cell>
          <cell r="B225" t="str">
            <v xml:space="preserve">CAT D5 (3CR) CAT D5 (3CR) (2) CAT 561M (1KW)                                        </v>
          </cell>
          <cell r="C225" t="str">
            <v>TURBOCHARGER ASSEMBLY</v>
          </cell>
          <cell r="D225">
            <v>4677.47</v>
          </cell>
          <cell r="E225">
            <v>2338.7399999999998</v>
          </cell>
          <cell r="F225" t="str">
            <v>Turbo</v>
          </cell>
          <cell r="G225">
            <v>3</v>
          </cell>
          <cell r="H225">
            <v>0</v>
          </cell>
          <cell r="I225">
            <v>0</v>
          </cell>
          <cell r="J225">
            <v>0</v>
          </cell>
          <cell r="K225">
            <v>3</v>
          </cell>
        </row>
        <row r="226">
          <cell r="A226" t="str">
            <v>187-1603</v>
          </cell>
          <cell r="B226" t="str">
            <v xml:space="preserve">CAT 561N (CPH) CAT 561N (CPH) (2) CAT 561N (CPH) (3) CAT 561N (CPH) (4) CAT 561N (CPH) (5)                                    </v>
          </cell>
          <cell r="C226" t="str">
            <v>TURBOCHARGER</v>
          </cell>
          <cell r="D226">
            <v>5839.53</v>
          </cell>
          <cell r="E226">
            <v>2919.77</v>
          </cell>
          <cell r="F226" t="str">
            <v>Turbo</v>
          </cell>
          <cell r="G226">
            <v>5</v>
          </cell>
          <cell r="H226">
            <v>0</v>
          </cell>
          <cell r="I226">
            <v>0</v>
          </cell>
          <cell r="J226">
            <v>0</v>
          </cell>
          <cell r="K226">
            <v>5</v>
          </cell>
        </row>
        <row r="227">
          <cell r="A227" t="str">
            <v>285-3414</v>
          </cell>
          <cell r="B227" t="str">
            <v xml:space="preserve">CAT D4 (66J)                                            </v>
          </cell>
          <cell r="C227" t="str">
            <v>TURBOCHARGER ASSEMBLY</v>
          </cell>
          <cell r="D227">
            <v>3627.05</v>
          </cell>
          <cell r="E227">
            <v>1813.53</v>
          </cell>
          <cell r="F227" t="str">
            <v>Turbo</v>
          </cell>
          <cell r="G227">
            <v>1</v>
          </cell>
          <cell r="H227">
            <v>0</v>
          </cell>
          <cell r="I227">
            <v>0</v>
          </cell>
          <cell r="J227">
            <v>0</v>
          </cell>
          <cell r="K227">
            <v>1</v>
          </cell>
        </row>
        <row r="228">
          <cell r="A228" t="str">
            <v>314-9972</v>
          </cell>
          <cell r="B228" t="str">
            <v xml:space="preserve">CAT D3 (1PJ)                                            </v>
          </cell>
          <cell r="C228" t="str">
            <v>TURBOCHARGER ASSEMBLY</v>
          </cell>
          <cell r="D228">
            <v>4384.51</v>
          </cell>
          <cell r="E228">
            <v>2192.2600000000002</v>
          </cell>
          <cell r="F228" t="str">
            <v>Turbo</v>
          </cell>
          <cell r="G228">
            <v>1</v>
          </cell>
          <cell r="H228">
            <v>0</v>
          </cell>
          <cell r="I228">
            <v>0</v>
          </cell>
          <cell r="J228">
            <v>0</v>
          </cell>
          <cell r="K228">
            <v>1</v>
          </cell>
        </row>
        <row r="229">
          <cell r="A229" t="str">
            <v>359-0128</v>
          </cell>
          <cell r="B229" t="str">
            <v xml:space="preserve">CAT 329E L (ZCD)                                            </v>
          </cell>
          <cell r="C229" t="str">
            <v>SECONDARY TURBOCHARGER ASSEMBLY</v>
          </cell>
          <cell r="D229">
            <v>4722.29</v>
          </cell>
          <cell r="E229">
            <v>2361.15</v>
          </cell>
          <cell r="F229" t="str">
            <v>Turbo</v>
          </cell>
          <cell r="G229">
            <v>1</v>
          </cell>
          <cell r="H229">
            <v>0</v>
          </cell>
          <cell r="I229">
            <v>0</v>
          </cell>
          <cell r="J229">
            <v>0</v>
          </cell>
          <cell r="K229">
            <v>1</v>
          </cell>
        </row>
        <row r="230">
          <cell r="A230" t="str">
            <v>421-3007</v>
          </cell>
          <cell r="B230" t="str">
            <v xml:space="preserve">CAT 320F L (YBM) CAT 320 (HEX)                                          </v>
          </cell>
          <cell r="C230" t="str">
            <v>PRIMARY TURBOCHARGER ASSEMBLY</v>
          </cell>
          <cell r="D230">
            <v>3725.79</v>
          </cell>
          <cell r="E230">
            <v>1862.9</v>
          </cell>
          <cell r="F230" t="str">
            <v>Turbo</v>
          </cell>
          <cell r="G230">
            <v>2</v>
          </cell>
          <cell r="H230">
            <v>0</v>
          </cell>
          <cell r="I230">
            <v>0</v>
          </cell>
          <cell r="J230">
            <v>0</v>
          </cell>
          <cell r="K230">
            <v>2</v>
          </cell>
        </row>
        <row r="231">
          <cell r="A231" t="str">
            <v>424-3436</v>
          </cell>
          <cell r="B231" t="str">
            <v xml:space="preserve">CAT 336F L (RKB)                                            </v>
          </cell>
          <cell r="C231" t="str">
            <v>TURBOCHARGER ASSEMBLY</v>
          </cell>
          <cell r="D231">
            <v>7358.86</v>
          </cell>
          <cell r="E231">
            <v>3679.43</v>
          </cell>
          <cell r="F231" t="str">
            <v>Turbo</v>
          </cell>
          <cell r="G231">
            <v>1</v>
          </cell>
          <cell r="H231">
            <v>0</v>
          </cell>
          <cell r="I231">
            <v>0</v>
          </cell>
          <cell r="J231">
            <v>0</v>
          </cell>
          <cell r="K231">
            <v>1</v>
          </cell>
        </row>
        <row r="232">
          <cell r="A232" t="str">
            <v>443-0318</v>
          </cell>
          <cell r="B232" t="str">
            <v xml:space="preserve">CAT 329E L (ZCD)                                            </v>
          </cell>
          <cell r="C232" t="str">
            <v>PRIMARY TURBOCHARGER ASSEMBLY</v>
          </cell>
          <cell r="D232">
            <v>3927.73</v>
          </cell>
          <cell r="E232">
            <v>1963.87</v>
          </cell>
          <cell r="F232" t="str">
            <v>Turbo</v>
          </cell>
          <cell r="G232">
            <v>1</v>
          </cell>
          <cell r="H232">
            <v>0</v>
          </cell>
          <cell r="I232">
            <v>0</v>
          </cell>
          <cell r="J232">
            <v>0</v>
          </cell>
          <cell r="K232">
            <v>1</v>
          </cell>
        </row>
        <row r="233">
          <cell r="A233" t="str">
            <v>457-3636</v>
          </cell>
          <cell r="B233" t="str">
            <v xml:space="preserve">CAT 329F L (ERL) CAT 329F L (ERL) (2) CAT 330F L (MBX) CAT 330F L (HCK) CAT 330F L (HCK) (2) CAT 330 (LHW) CAT 330 (LHW) (2) CAT 330 (LHW) (3) CAT 330 (LHW) (4) CAT 330 (WCH) CAT 330 (WCH) (2) CAT 330 (WCH) (3) CAT 330 (WCH) (4) CAT 330 (WCH) (5) CAT 330 (WCH) (6)                </v>
          </cell>
          <cell r="C233" t="str">
            <v>PRIMARY TURBOCHARGER ASSEMBLY</v>
          </cell>
          <cell r="D233">
            <v>4722.29</v>
          </cell>
          <cell r="E233">
            <v>2361.15</v>
          </cell>
          <cell r="F233" t="str">
            <v>Turbo</v>
          </cell>
          <cell r="G233">
            <v>15</v>
          </cell>
          <cell r="H233">
            <v>0</v>
          </cell>
          <cell r="I233">
            <v>0</v>
          </cell>
          <cell r="J233">
            <v>0</v>
          </cell>
          <cell r="K233">
            <v>15</v>
          </cell>
        </row>
        <row r="234">
          <cell r="A234" t="str">
            <v>476-1146</v>
          </cell>
          <cell r="B234" t="str">
            <v xml:space="preserve">CAT D6T (MH7)                                            </v>
          </cell>
          <cell r="C234" t="str">
            <v>TURBOCHARGER ASSEMBLY</v>
          </cell>
          <cell r="D234">
            <v>7083.49</v>
          </cell>
          <cell r="E234">
            <v>3541.75</v>
          </cell>
          <cell r="F234" t="str">
            <v>Turbo</v>
          </cell>
          <cell r="G234">
            <v>1</v>
          </cell>
          <cell r="H234">
            <v>0</v>
          </cell>
          <cell r="I234">
            <v>0</v>
          </cell>
          <cell r="J234">
            <v>0</v>
          </cell>
          <cell r="K234">
            <v>1</v>
          </cell>
        </row>
        <row r="235">
          <cell r="A235" t="str">
            <v>482-8480</v>
          </cell>
          <cell r="B235" t="str">
            <v xml:space="preserve">CAT 299D (DX2)                                            </v>
          </cell>
          <cell r="C235" t="str">
            <v>Turbocharger AS</v>
          </cell>
          <cell r="D235">
            <v>750</v>
          </cell>
          <cell r="E235">
            <v>375</v>
          </cell>
          <cell r="F235" t="str">
            <v>Turbo</v>
          </cell>
          <cell r="G235">
            <v>1</v>
          </cell>
          <cell r="H235">
            <v>0</v>
          </cell>
          <cell r="I235">
            <v>0</v>
          </cell>
          <cell r="J235">
            <v>0</v>
          </cell>
          <cell r="K235">
            <v>1</v>
          </cell>
        </row>
        <row r="236">
          <cell r="A236" t="str">
            <v>566-8180</v>
          </cell>
          <cell r="B236" t="str">
            <v xml:space="preserve">CAT 320 (MYK) CAT 320 (MYK) (2)                                          </v>
          </cell>
          <cell r="C236" t="str">
            <v>SECONDARY TURBOCHARGER ASSEMBLY</v>
          </cell>
          <cell r="D236">
            <v>3756.87</v>
          </cell>
          <cell r="E236">
            <v>1878.44</v>
          </cell>
          <cell r="F236" t="str">
            <v>Turbo</v>
          </cell>
          <cell r="G236">
            <v>2</v>
          </cell>
          <cell r="H236">
            <v>0</v>
          </cell>
          <cell r="I236">
            <v>0</v>
          </cell>
          <cell r="J236">
            <v>0</v>
          </cell>
          <cell r="K236">
            <v>2</v>
          </cell>
        </row>
        <row r="237">
          <cell r="A237" t="str">
            <v>569-6097</v>
          </cell>
          <cell r="B237" t="str">
            <v xml:space="preserve">CAT D6N LGP (GHS)                                            </v>
          </cell>
          <cell r="C237" t="str">
            <v>TURBOCHARGER ASSEMBLY</v>
          </cell>
          <cell r="D237">
            <v>6551.41</v>
          </cell>
          <cell r="E237">
            <v>3275.71</v>
          </cell>
          <cell r="F237" t="str">
            <v>Turbo</v>
          </cell>
          <cell r="G237">
            <v>1</v>
          </cell>
          <cell r="H237">
            <v>0</v>
          </cell>
          <cell r="I237">
            <v>0</v>
          </cell>
          <cell r="J237">
            <v>0</v>
          </cell>
          <cell r="K237">
            <v>1</v>
          </cell>
        </row>
        <row r="238">
          <cell r="A238" t="str">
            <v>575-9942</v>
          </cell>
          <cell r="B238" t="str">
            <v xml:space="preserve">CAT D6 (RDC)                                            </v>
          </cell>
          <cell r="C238" t="str">
            <v>TURBO KIT</v>
          </cell>
          <cell r="D238">
            <v>6921.5</v>
          </cell>
          <cell r="E238">
            <v>3460.75</v>
          </cell>
          <cell r="F238" t="str">
            <v>Turbo</v>
          </cell>
          <cell r="G238">
            <v>1</v>
          </cell>
          <cell r="H238">
            <v>0</v>
          </cell>
          <cell r="I238">
            <v>0</v>
          </cell>
          <cell r="J238">
            <v>0</v>
          </cell>
          <cell r="K238">
            <v>1</v>
          </cell>
        </row>
        <row r="239">
          <cell r="A239" t="str">
            <v>587-3239</v>
          </cell>
          <cell r="B239" t="str">
            <v xml:space="preserve">CAT 320F L (YBM) CAT 320 (HEX)                                          </v>
          </cell>
          <cell r="C239" t="str">
            <v>SECONDARY TURBOCHARGER ASSEMBLY</v>
          </cell>
          <cell r="D239">
            <v>3188.6</v>
          </cell>
          <cell r="E239">
            <v>1594.3</v>
          </cell>
          <cell r="F239" t="str">
            <v>Turbo</v>
          </cell>
          <cell r="G239">
            <v>2</v>
          </cell>
          <cell r="H239">
            <v>0</v>
          </cell>
          <cell r="I239">
            <v>0</v>
          </cell>
          <cell r="J239">
            <v>0</v>
          </cell>
          <cell r="K239">
            <v>2</v>
          </cell>
        </row>
        <row r="240">
          <cell r="A240" t="str">
            <v>605-4657</v>
          </cell>
          <cell r="B240" t="str">
            <v xml:space="preserve">CAT 320 (MYK) CAT 320 (MYK) (2)                                          </v>
          </cell>
          <cell r="C240" t="str">
            <v>PRIMARY TURBOCHARGER ASSEMBLY</v>
          </cell>
          <cell r="D240">
            <v>3256.94</v>
          </cell>
          <cell r="E240">
            <v>1628.47</v>
          </cell>
          <cell r="F240" t="str">
            <v>Turbo</v>
          </cell>
          <cell r="G240">
            <v>2</v>
          </cell>
          <cell r="H240">
            <v>0</v>
          </cell>
          <cell r="I240">
            <v>0</v>
          </cell>
          <cell r="J240">
            <v>0</v>
          </cell>
          <cell r="K240">
            <v>2</v>
          </cell>
        </row>
        <row r="241">
          <cell r="A241" t="str">
            <v>615-6119</v>
          </cell>
          <cell r="B241" t="str">
            <v xml:space="preserve">CAT D6N LGP (PBA) CAT D6N LGP (PBA) (2) CAT D6N LGP (SGG) CAT D6N LGP (SGG) (2)                                      </v>
          </cell>
          <cell r="C241" t="str">
            <v>TURBOCHARGER ASSEMBLY</v>
          </cell>
          <cell r="D241">
            <v>4119.04</v>
          </cell>
          <cell r="E241">
            <v>2059.52</v>
          </cell>
          <cell r="F241" t="str">
            <v>Turbo</v>
          </cell>
          <cell r="G241">
            <v>4</v>
          </cell>
          <cell r="H241">
            <v>0</v>
          </cell>
          <cell r="I241">
            <v>0</v>
          </cell>
          <cell r="J241">
            <v>0</v>
          </cell>
          <cell r="K241">
            <v>4</v>
          </cell>
        </row>
        <row r="242">
          <cell r="A242" t="str">
            <v>615-6123</v>
          </cell>
          <cell r="B242" t="str">
            <v xml:space="preserve">CAT 320E L (WBK) CAT 320E L (WBK) (2)                                          </v>
          </cell>
          <cell r="C242" t="str">
            <v>TURBOCHARGER ASSEMBLY</v>
          </cell>
          <cell r="D242">
            <v>5964.28</v>
          </cell>
          <cell r="E242">
            <v>2982.14</v>
          </cell>
          <cell r="F242" t="str">
            <v>Turbo</v>
          </cell>
          <cell r="G242">
            <v>2</v>
          </cell>
          <cell r="H242">
            <v>0</v>
          </cell>
          <cell r="I242">
            <v>0</v>
          </cell>
          <cell r="J242">
            <v>0</v>
          </cell>
          <cell r="K242">
            <v>2</v>
          </cell>
        </row>
        <row r="243">
          <cell r="A243" t="str">
            <v>7N-2515</v>
          </cell>
          <cell r="B243" t="str">
            <v xml:space="preserve">CAT D7G (92V) CAT D7G (3ZD) CAT D7G (3ZD) (2)                                        </v>
          </cell>
          <cell r="C243" t="str">
            <v>TURBOCHARGER</v>
          </cell>
          <cell r="D243">
            <v>6518.5</v>
          </cell>
          <cell r="E243">
            <v>3259.25</v>
          </cell>
          <cell r="F243" t="str">
            <v>Turbo</v>
          </cell>
          <cell r="G243">
            <v>3</v>
          </cell>
          <cell r="H243">
            <v>0</v>
          </cell>
          <cell r="I243">
            <v>0</v>
          </cell>
          <cell r="J243">
            <v>0</v>
          </cell>
          <cell r="K243">
            <v>3</v>
          </cell>
        </row>
        <row r="244">
          <cell r="A244" t="str">
            <v>8S8039</v>
          </cell>
          <cell r="B244" t="str">
            <v xml:space="preserve">CAT 561 (85H) CAT 561 (92J) CAT 561 (92J) (2)                                        </v>
          </cell>
          <cell r="C244" t="str">
            <v>TURBOCHARGER</v>
          </cell>
          <cell r="D244">
            <v>8878.77</v>
          </cell>
          <cell r="E244">
            <v>4439.3900000000003</v>
          </cell>
          <cell r="F244" t="str">
            <v>Turbo</v>
          </cell>
          <cell r="G244">
            <v>3</v>
          </cell>
          <cell r="H244">
            <v>0</v>
          </cell>
          <cell r="I244">
            <v>0</v>
          </cell>
          <cell r="J244">
            <v>0</v>
          </cell>
          <cell r="K244">
            <v>3</v>
          </cell>
        </row>
        <row r="245">
          <cell r="A245">
            <v>6678748</v>
          </cell>
          <cell r="B245" t="str">
            <v xml:space="preserve">BOBCAT T750 (ANK) BOBCAT T750 (ATF) BOBCAT T770 (AT6) BOBCAT T770 (AT6) (2)                                      </v>
          </cell>
          <cell r="C245" t="str">
            <v>Rubber Track - 320x86x55</v>
          </cell>
          <cell r="D245">
            <v>2953.99</v>
          </cell>
          <cell r="E245">
            <v>1477</v>
          </cell>
          <cell r="F245" t="str">
            <v>UC</v>
          </cell>
          <cell r="G245">
            <v>8</v>
          </cell>
          <cell r="H245">
            <v>0</v>
          </cell>
          <cell r="I245">
            <v>0</v>
          </cell>
          <cell r="J245">
            <v>0</v>
          </cell>
          <cell r="K245">
            <v>8</v>
          </cell>
        </row>
        <row r="246">
          <cell r="A246">
            <v>6689371</v>
          </cell>
          <cell r="B246" t="str">
            <v xml:space="preserve">BOBCAT T750 (ANK) BOBCAT T750 (ATF)                                          </v>
          </cell>
          <cell r="C246" t="str">
            <v>Roller Assembly</v>
          </cell>
          <cell r="D246">
            <v>554.99</v>
          </cell>
          <cell r="E246">
            <v>277.5</v>
          </cell>
          <cell r="F246" t="str">
            <v>UC</v>
          </cell>
          <cell r="G246">
            <v>20</v>
          </cell>
          <cell r="H246">
            <v>0</v>
          </cell>
          <cell r="I246">
            <v>0</v>
          </cell>
          <cell r="J246">
            <v>0</v>
          </cell>
          <cell r="K246">
            <v>20</v>
          </cell>
        </row>
        <row r="247">
          <cell r="A247">
            <v>6693237</v>
          </cell>
          <cell r="B247" t="str">
            <v xml:space="preserve">BOBCAT T750 (ANK) BOBCAT T750 (ATF)                                          </v>
          </cell>
          <cell r="C247" t="str">
            <v>TRACK IDLER -Front</v>
          </cell>
          <cell r="D247">
            <v>807.49</v>
          </cell>
          <cell r="E247">
            <v>403.75</v>
          </cell>
          <cell r="F247" t="str">
            <v>UC</v>
          </cell>
          <cell r="G247">
            <v>4</v>
          </cell>
          <cell r="H247">
            <v>0</v>
          </cell>
          <cell r="I247">
            <v>0</v>
          </cell>
          <cell r="J247">
            <v>0</v>
          </cell>
          <cell r="K247">
            <v>4</v>
          </cell>
        </row>
        <row r="248">
          <cell r="A248">
            <v>6693238</v>
          </cell>
          <cell r="B248" t="str">
            <v xml:space="preserve">BOBCAT T750 (ANK) BOBCAT T750 (ATF)                                          </v>
          </cell>
          <cell r="C248" t="str">
            <v>Track Idler - Rear</v>
          </cell>
          <cell r="D248">
            <v>610.99</v>
          </cell>
          <cell r="E248">
            <v>305.5</v>
          </cell>
          <cell r="F248" t="str">
            <v>UC</v>
          </cell>
          <cell r="G248">
            <v>4</v>
          </cell>
          <cell r="H248">
            <v>0</v>
          </cell>
          <cell r="I248">
            <v>0</v>
          </cell>
          <cell r="J248">
            <v>0</v>
          </cell>
          <cell r="K248">
            <v>4</v>
          </cell>
        </row>
        <row r="249">
          <cell r="A249">
            <v>7233630</v>
          </cell>
          <cell r="B249" t="str">
            <v xml:space="preserve">BOBCAT T770 (AT6) BOBCAT T770 (AT6) (2)                                          </v>
          </cell>
          <cell r="C249" t="str">
            <v>Track Idler - Rear</v>
          </cell>
          <cell r="D249">
            <v>620.99</v>
          </cell>
          <cell r="E249">
            <v>310.5</v>
          </cell>
          <cell r="F249" t="str">
            <v>UC</v>
          </cell>
          <cell r="G249">
            <v>4</v>
          </cell>
          <cell r="H249">
            <v>0</v>
          </cell>
          <cell r="I249">
            <v>0</v>
          </cell>
          <cell r="J249">
            <v>0</v>
          </cell>
          <cell r="K249">
            <v>4</v>
          </cell>
        </row>
        <row r="250">
          <cell r="A250">
            <v>7240006</v>
          </cell>
          <cell r="B250" t="str">
            <v xml:space="preserve">BOBCAT T770 (AT6) BOBCAT T770 (AT6) (2)                                          </v>
          </cell>
          <cell r="C250" t="str">
            <v>TRACK IDLER -Front</v>
          </cell>
          <cell r="D250">
            <v>1001.99</v>
          </cell>
          <cell r="E250">
            <v>501</v>
          </cell>
          <cell r="F250" t="str">
            <v>UC</v>
          </cell>
          <cell r="G250">
            <v>4</v>
          </cell>
          <cell r="H250">
            <v>0</v>
          </cell>
          <cell r="I250">
            <v>0</v>
          </cell>
          <cell r="J250">
            <v>0</v>
          </cell>
          <cell r="K250">
            <v>4</v>
          </cell>
        </row>
        <row r="251">
          <cell r="A251">
            <v>7352427</v>
          </cell>
          <cell r="B251" t="str">
            <v xml:space="preserve">BOBCAT T770 (AT6) BOBCAT T770 (AT6) (2)                                          </v>
          </cell>
          <cell r="C251" t="str">
            <v>Roller Assembly</v>
          </cell>
          <cell r="D251">
            <v>437.99</v>
          </cell>
          <cell r="E251">
            <v>219</v>
          </cell>
          <cell r="F251" t="str">
            <v>UC</v>
          </cell>
          <cell r="G251">
            <v>20</v>
          </cell>
          <cell r="H251">
            <v>0</v>
          </cell>
          <cell r="I251">
            <v>0</v>
          </cell>
          <cell r="J251">
            <v>0</v>
          </cell>
          <cell r="K251">
            <v>20</v>
          </cell>
        </row>
        <row r="252">
          <cell r="A252" t="str">
            <v>0S-1585</v>
          </cell>
          <cell r="B252" t="str">
            <v xml:space="preserve">CAT D3 (1PJ)                                            </v>
          </cell>
          <cell r="C252" t="str">
            <v xml:space="preserve">HEX HEAD BOLT SF </v>
          </cell>
          <cell r="D252">
            <v>2.78</v>
          </cell>
          <cell r="E252">
            <v>1.39</v>
          </cell>
          <cell r="F252" t="str">
            <v>UC</v>
          </cell>
          <cell r="G252">
            <v>16</v>
          </cell>
          <cell r="H252">
            <v>0</v>
          </cell>
          <cell r="I252">
            <v>0</v>
          </cell>
          <cell r="J252">
            <v>0</v>
          </cell>
          <cell r="K252">
            <v>16</v>
          </cell>
        </row>
        <row r="253">
          <cell r="A253" t="str">
            <v>0S-1594</v>
          </cell>
          <cell r="B253" t="str">
            <v xml:space="preserve">CAT D7G (92V) CAT D7G (3ZD) CAT D7G (3ZD) (2)                                        </v>
          </cell>
          <cell r="C253" t="str">
            <v>CARRIER BOLT</v>
          </cell>
          <cell r="D253">
            <v>1.1599999999999999</v>
          </cell>
          <cell r="E253">
            <v>0.57999999999999996</v>
          </cell>
          <cell r="F253" t="str">
            <v>UC</v>
          </cell>
          <cell r="G253">
            <v>18</v>
          </cell>
          <cell r="H253">
            <v>0</v>
          </cell>
          <cell r="I253">
            <v>0</v>
          </cell>
          <cell r="J253">
            <v>0</v>
          </cell>
          <cell r="K253">
            <v>18</v>
          </cell>
        </row>
        <row r="254">
          <cell r="A254" t="str">
            <v>0S-1601</v>
          </cell>
          <cell r="B254" t="str">
            <v xml:space="preserve">CAT 561 (85H) CAT 561 (92J) CAT 561 (92J) (2)                                        </v>
          </cell>
          <cell r="C254" t="str">
            <v>BOLT ROLLER</v>
          </cell>
          <cell r="D254">
            <v>8.0500000000000007</v>
          </cell>
          <cell r="E254">
            <v>4.03</v>
          </cell>
          <cell r="F254" t="str">
            <v>UC</v>
          </cell>
          <cell r="G254">
            <v>144</v>
          </cell>
          <cell r="H254">
            <v>0</v>
          </cell>
          <cell r="I254">
            <v>0</v>
          </cell>
          <cell r="J254">
            <v>0</v>
          </cell>
          <cell r="K254">
            <v>144</v>
          </cell>
        </row>
        <row r="255">
          <cell r="A255" t="str">
            <v>106-1642</v>
          </cell>
          <cell r="B255" t="str">
            <v xml:space="preserve">CAT D4 (66J) CAT D6N LGP (GHS) CAT D6N LGP (SGG) CAT D6N LGP (SGG) (2) CAT PL61 (WGS) CAT PL61 (WGS) (2) CAT PL61 (WGS) (3)                                </v>
          </cell>
          <cell r="C255" t="str">
            <v>TRACK BOLT MASTER</v>
          </cell>
          <cell r="D255">
            <v>6.66</v>
          </cell>
          <cell r="E255">
            <v>3.33</v>
          </cell>
          <cell r="F255" t="str">
            <v>UC</v>
          </cell>
          <cell r="G255">
            <v>28</v>
          </cell>
          <cell r="H255">
            <v>0</v>
          </cell>
          <cell r="I255">
            <v>0</v>
          </cell>
          <cell r="J255">
            <v>0</v>
          </cell>
          <cell r="K255">
            <v>28</v>
          </cell>
        </row>
        <row r="256">
          <cell r="A256" t="str">
            <v>107-0719</v>
          </cell>
          <cell r="B256" t="str">
            <v xml:space="preserve">CAT D4 (66J) CAT D6N LGP (GHS) CAT D6N LGP (SGG) CAT D6N LGP (SGG) (2) CAT PL61 (WGS) CAT PL61 (WGS) (2) CAT PL61 (WGS) (3)                                </v>
          </cell>
          <cell r="C256" t="str">
            <v>TRACK BOLT MASTER</v>
          </cell>
          <cell r="D256">
            <v>9.23</v>
          </cell>
          <cell r="E256">
            <v>4.62</v>
          </cell>
          <cell r="F256" t="str">
            <v>UC</v>
          </cell>
          <cell r="G256">
            <v>28</v>
          </cell>
          <cell r="H256">
            <v>0</v>
          </cell>
          <cell r="I256">
            <v>0</v>
          </cell>
          <cell r="J256">
            <v>0</v>
          </cell>
          <cell r="K256">
            <v>28</v>
          </cell>
        </row>
        <row r="257">
          <cell r="A257" t="str">
            <v>108-0946</v>
          </cell>
          <cell r="B257" t="str">
            <v xml:space="preserve">CAT D5 (3CR) CAT D5 (3CR) (2) CAT 561M (1KW) CAT 561N (CPH) CAT 561N (CPH) (2) CAT 561N (CPH) (3) CAT 561N (CPH) (4) CAT 561N (CPH) (5)                              </v>
          </cell>
          <cell r="C257" t="str">
            <v>SPROCKET SEGMENT</v>
          </cell>
          <cell r="D257">
            <v>177.98</v>
          </cell>
          <cell r="E257">
            <v>88.99</v>
          </cell>
          <cell r="F257" t="str">
            <v>UC</v>
          </cell>
          <cell r="G257">
            <v>80</v>
          </cell>
          <cell r="H257">
            <v>0</v>
          </cell>
          <cell r="I257">
            <v>0</v>
          </cell>
          <cell r="J257">
            <v>0</v>
          </cell>
          <cell r="K257">
            <v>80</v>
          </cell>
        </row>
        <row r="258">
          <cell r="A258" t="str">
            <v>108-0954</v>
          </cell>
          <cell r="B258" t="str">
            <v xml:space="preserve">CAT D5 (3CR) CAT D5 (3CR) (2) CAT 561M (1KW) CAT 561N (CPH) CAT 561N (CPH) (2) CAT 561N (CPH) (3) CAT 561N (CPH) (4) CAT 561N (CPH) (5)                              </v>
          </cell>
          <cell r="C258" t="str">
            <v>TRACK LINK ASSEMBLY</v>
          </cell>
          <cell r="D258">
            <v>11935.92</v>
          </cell>
          <cell r="E258">
            <v>5967.96</v>
          </cell>
          <cell r="F258" t="str">
            <v>UC</v>
          </cell>
          <cell r="G258">
            <v>16</v>
          </cell>
          <cell r="H258">
            <v>0</v>
          </cell>
          <cell r="I258">
            <v>0</v>
          </cell>
          <cell r="J258">
            <v>0</v>
          </cell>
          <cell r="K258">
            <v>16</v>
          </cell>
        </row>
        <row r="259">
          <cell r="A259" t="str">
            <v>108-1136</v>
          </cell>
          <cell r="B259" t="str">
            <v xml:space="preserve">CAT 561M (1KW)                                            </v>
          </cell>
          <cell r="C259" t="str">
            <v>BLOCK IDLER</v>
          </cell>
          <cell r="D259">
            <v>229.89</v>
          </cell>
          <cell r="E259">
            <v>114.95</v>
          </cell>
          <cell r="F259" t="str">
            <v>UC</v>
          </cell>
          <cell r="G259">
            <v>8</v>
          </cell>
          <cell r="H259">
            <v>0</v>
          </cell>
          <cell r="I259">
            <v>0</v>
          </cell>
          <cell r="J259">
            <v>0</v>
          </cell>
          <cell r="K259">
            <v>8</v>
          </cell>
        </row>
        <row r="260">
          <cell r="A260" t="str">
            <v>108-1138</v>
          </cell>
          <cell r="B260" t="str">
            <v xml:space="preserve">CAT 561M (1KW)                                            </v>
          </cell>
          <cell r="C260" t="str">
            <v>CAP IDLER</v>
          </cell>
          <cell r="D260">
            <v>166.52</v>
          </cell>
          <cell r="E260">
            <v>83.26</v>
          </cell>
          <cell r="F260" t="str">
            <v>UC</v>
          </cell>
          <cell r="G260">
            <v>8</v>
          </cell>
          <cell r="H260">
            <v>0</v>
          </cell>
          <cell r="I260">
            <v>0</v>
          </cell>
          <cell r="J260">
            <v>0</v>
          </cell>
          <cell r="K260">
            <v>8</v>
          </cell>
        </row>
        <row r="261">
          <cell r="A261" t="str">
            <v>110-2976</v>
          </cell>
          <cell r="B261" t="str">
            <v xml:space="preserve">CAT PL61 (WGS) CAT PL61 (WGS) (2) CAT PL61 (WGS) (3)                                        </v>
          </cell>
          <cell r="C261" t="str">
            <v>TRACK LINK 39 JOINT</v>
          </cell>
          <cell r="D261">
            <v>8654.5499999999993</v>
          </cell>
          <cell r="E261">
            <v>4327.28</v>
          </cell>
          <cell r="F261" t="str">
            <v>UC</v>
          </cell>
          <cell r="G261">
            <v>6</v>
          </cell>
          <cell r="H261">
            <v>0</v>
          </cell>
          <cell r="I261">
            <v>0</v>
          </cell>
          <cell r="J261">
            <v>0</v>
          </cell>
          <cell r="K261">
            <v>6</v>
          </cell>
        </row>
        <row r="262">
          <cell r="A262" t="str">
            <v>114-6099</v>
          </cell>
          <cell r="B262" t="str">
            <v xml:space="preserve">CAT 329E L (ZCD)                                            </v>
          </cell>
          <cell r="C262" t="str">
            <v>CARRIER BOLT</v>
          </cell>
          <cell r="D262">
            <v>31.9</v>
          </cell>
          <cell r="E262">
            <v>15.95</v>
          </cell>
          <cell r="F262" t="str">
            <v>UC</v>
          </cell>
          <cell r="G262">
            <v>4</v>
          </cell>
          <cell r="H262">
            <v>0</v>
          </cell>
          <cell r="I262">
            <v>0</v>
          </cell>
          <cell r="J262">
            <v>0</v>
          </cell>
          <cell r="K262">
            <v>4</v>
          </cell>
        </row>
        <row r="263">
          <cell r="A263" t="str">
            <v>115-3696</v>
          </cell>
          <cell r="B263" t="str">
            <v xml:space="preserve">CAT 329E L (ZCD) CAT 329F L (ERL) CAT 329F L (ERL) (2) CAT 330F L (MBX) CAT 330F L (HCK) CAT 330F L (HCK) (2) CAT 330 (LHW) CAT 330 (LHW) (2) CAT 330 (LHW) (3) CAT 330 (LHW) (4) CAT 330 (WCH) CAT 330 (WCH) (2) CAT 330 (WCH) (3) CAT 330 (WCH) (4) CAT 330 (WCH) (5) CAT 330 (WCH) (6)              </v>
          </cell>
          <cell r="C263" t="str">
            <v>FRONT IDLER</v>
          </cell>
          <cell r="D263">
            <v>3159.07</v>
          </cell>
          <cell r="E263">
            <v>1579.54</v>
          </cell>
          <cell r="F263" t="str">
            <v>UC</v>
          </cell>
          <cell r="G263">
            <v>32</v>
          </cell>
          <cell r="H263">
            <v>0</v>
          </cell>
          <cell r="I263">
            <v>0</v>
          </cell>
          <cell r="J263">
            <v>0</v>
          </cell>
          <cell r="K263">
            <v>32</v>
          </cell>
        </row>
        <row r="264">
          <cell r="A264" t="str">
            <v>118-1608</v>
          </cell>
          <cell r="B264" t="str">
            <v xml:space="preserve">CAT D4 (66J)                                            </v>
          </cell>
          <cell r="C264" t="str">
            <v>SINGLE FLANGE TRACK ROLLER</v>
          </cell>
          <cell r="D264">
            <v>1023.71</v>
          </cell>
          <cell r="E264">
            <v>511.86</v>
          </cell>
          <cell r="F264" t="str">
            <v>UC</v>
          </cell>
          <cell r="G264">
            <v>4</v>
          </cell>
          <cell r="H264">
            <v>0</v>
          </cell>
          <cell r="I264">
            <v>0</v>
          </cell>
          <cell r="J264">
            <v>0</v>
          </cell>
          <cell r="K264">
            <v>4</v>
          </cell>
        </row>
        <row r="265">
          <cell r="A265" t="str">
            <v>118-1609</v>
          </cell>
          <cell r="B265" t="str">
            <v xml:space="preserve">CAT D4 (66J)                                            </v>
          </cell>
          <cell r="C265" t="str">
            <v>DOUBLE FLANGE TRACK ROLLER (GUIDE AR)*</v>
          </cell>
          <cell r="D265">
            <v>1246.45</v>
          </cell>
          <cell r="E265">
            <v>623.23</v>
          </cell>
          <cell r="F265" t="str">
            <v>UC</v>
          </cell>
          <cell r="G265">
            <v>6</v>
          </cell>
          <cell r="H265">
            <v>0</v>
          </cell>
          <cell r="I265">
            <v>0</v>
          </cell>
          <cell r="J265">
            <v>0</v>
          </cell>
          <cell r="K265">
            <v>6</v>
          </cell>
        </row>
        <row r="266">
          <cell r="A266" t="str">
            <v>118-1611</v>
          </cell>
          <cell r="B266" t="str">
            <v xml:space="preserve">CAT 561 (85H) CAT 561 (92J) CAT 561 (92J) (2)                                        </v>
          </cell>
          <cell r="C266" t="str">
            <v>ROLLER SINGLE FLANGE</v>
          </cell>
          <cell r="D266">
            <v>545.21</v>
          </cell>
          <cell r="E266">
            <v>272.61</v>
          </cell>
          <cell r="F266" t="str">
            <v>UC</v>
          </cell>
          <cell r="G266">
            <v>18</v>
          </cell>
          <cell r="H266">
            <v>0</v>
          </cell>
          <cell r="I266">
            <v>0</v>
          </cell>
          <cell r="J266">
            <v>0</v>
          </cell>
          <cell r="K266">
            <v>18</v>
          </cell>
        </row>
        <row r="267">
          <cell r="A267" t="str">
            <v>118-1612</v>
          </cell>
          <cell r="B267" t="str">
            <v xml:space="preserve">CAT 561 (85H) CAT 561 (92J) CAT 561 (92J) (2)                                        </v>
          </cell>
          <cell r="C267" t="str">
            <v>ROLLER DOUBLE FLANGE</v>
          </cell>
          <cell r="D267">
            <v>561.72</v>
          </cell>
          <cell r="E267">
            <v>280.86</v>
          </cell>
          <cell r="F267" t="str">
            <v>UC</v>
          </cell>
          <cell r="G267">
            <v>18</v>
          </cell>
          <cell r="H267">
            <v>0</v>
          </cell>
          <cell r="I267">
            <v>0</v>
          </cell>
          <cell r="J267">
            <v>0</v>
          </cell>
          <cell r="K267">
            <v>18</v>
          </cell>
        </row>
        <row r="268">
          <cell r="A268" t="str">
            <v>124-8237</v>
          </cell>
          <cell r="B268" t="str">
            <v xml:space="preserve">CAT D5 (3CR) CAT D5 (3CR) (2) CAT 561N (CPH) CAT 561N (CPH) (2) CAT 561N (CPH) (3) CAT 561N (CPH) (4) CAT 561N (CPH) (5)                                </v>
          </cell>
          <cell r="C268" t="str">
            <v>SINGLE FLANGE TRACK ROLLER</v>
          </cell>
          <cell r="D268">
            <v>785.53</v>
          </cell>
          <cell r="E268">
            <v>392.77</v>
          </cell>
          <cell r="F268" t="str">
            <v>UC</v>
          </cell>
          <cell r="G268">
            <v>102</v>
          </cell>
          <cell r="H268">
            <v>0</v>
          </cell>
          <cell r="I268">
            <v>0</v>
          </cell>
          <cell r="J268">
            <v>0</v>
          </cell>
          <cell r="K268">
            <v>102</v>
          </cell>
        </row>
        <row r="269">
          <cell r="A269" t="str">
            <v>124-8240</v>
          </cell>
          <cell r="B269" t="str">
            <v xml:space="preserve">CAT D5 (3CR) CAT D5 (3CR) (2) CAT 561N (CPH) CAT 561N (CPH) (2) CAT 561N (CPH) (3) CAT 561N (CPH) (4) CAT 561N (CPH) (5)                                </v>
          </cell>
          <cell r="C269" t="str">
            <v>DOUBLE FLANGE TRACK ROLLER</v>
          </cell>
          <cell r="D269">
            <v>651.61</v>
          </cell>
          <cell r="E269">
            <v>325.81</v>
          </cell>
          <cell r="F269" t="str">
            <v>UC</v>
          </cell>
          <cell r="G269">
            <v>42</v>
          </cell>
          <cell r="H269">
            <v>0</v>
          </cell>
          <cell r="I269">
            <v>0</v>
          </cell>
          <cell r="J269">
            <v>0</v>
          </cell>
          <cell r="K269">
            <v>42</v>
          </cell>
        </row>
        <row r="270">
          <cell r="A270" t="str">
            <v>125-4169</v>
          </cell>
          <cell r="B270" t="str">
            <v xml:space="preserve">CAT 561M (1KW)                                            </v>
          </cell>
          <cell r="C270" t="str">
            <v>SINGLE FL ROLLER</v>
          </cell>
          <cell r="D270">
            <v>868.38</v>
          </cell>
          <cell r="E270">
            <v>434.19</v>
          </cell>
          <cell r="F270" t="str">
            <v>UC</v>
          </cell>
          <cell r="G270">
            <v>8</v>
          </cell>
          <cell r="H270">
            <v>0</v>
          </cell>
          <cell r="I270">
            <v>0</v>
          </cell>
          <cell r="J270">
            <v>0</v>
          </cell>
          <cell r="K270">
            <v>8</v>
          </cell>
        </row>
        <row r="271">
          <cell r="A271" t="str">
            <v>125-4170</v>
          </cell>
          <cell r="B271" t="str">
            <v xml:space="preserve">CAT 561M (1KW)                                            </v>
          </cell>
          <cell r="C271" t="str">
            <v xml:space="preserve">DOUBLE FL ROLLER </v>
          </cell>
          <cell r="D271">
            <v>629.14</v>
          </cell>
          <cell r="E271">
            <v>314.57</v>
          </cell>
          <cell r="F271" t="str">
            <v>UC</v>
          </cell>
          <cell r="G271">
            <v>6</v>
          </cell>
          <cell r="H271">
            <v>0</v>
          </cell>
          <cell r="I271">
            <v>0</v>
          </cell>
          <cell r="J271">
            <v>0</v>
          </cell>
          <cell r="K271">
            <v>6</v>
          </cell>
        </row>
        <row r="272">
          <cell r="A272" t="str">
            <v>136-2422</v>
          </cell>
          <cell r="B272" t="str">
            <v xml:space="preserve">CAT 336F L (RKB)                                            </v>
          </cell>
          <cell r="C272" t="str">
            <v>FRONT IDLER</v>
          </cell>
          <cell r="D272">
            <v>4335.3599999999997</v>
          </cell>
          <cell r="E272">
            <v>2167.6799999999998</v>
          </cell>
          <cell r="F272" t="str">
            <v>UC</v>
          </cell>
          <cell r="G272">
            <v>2</v>
          </cell>
          <cell r="H272">
            <v>0</v>
          </cell>
          <cell r="I272">
            <v>0</v>
          </cell>
          <cell r="J272">
            <v>0</v>
          </cell>
          <cell r="K272">
            <v>2</v>
          </cell>
        </row>
        <row r="273">
          <cell r="A273" t="str">
            <v>153-5044</v>
          </cell>
          <cell r="B273" t="str">
            <v xml:space="preserve">CAT D6 (RDC)                                            </v>
          </cell>
          <cell r="C273" t="str">
            <v>FLAT WASHER</v>
          </cell>
          <cell r="D273">
            <v>8.75</v>
          </cell>
          <cell r="E273">
            <v>4.38</v>
          </cell>
          <cell r="F273" t="str">
            <v>UC</v>
          </cell>
          <cell r="G273">
            <v>16</v>
          </cell>
          <cell r="H273">
            <v>0</v>
          </cell>
          <cell r="I273">
            <v>0</v>
          </cell>
          <cell r="J273">
            <v>0</v>
          </cell>
          <cell r="K273">
            <v>16</v>
          </cell>
        </row>
        <row r="274">
          <cell r="A274" t="str">
            <v>154-3642</v>
          </cell>
          <cell r="B274" t="str">
            <v xml:space="preserve">CAT D3 (1PJ)                                            </v>
          </cell>
          <cell r="C274" t="str">
            <v>TRACK LINK ASSEMBLY</v>
          </cell>
          <cell r="D274">
            <v>3975.66</v>
          </cell>
          <cell r="E274">
            <v>1987.83</v>
          </cell>
          <cell r="F274" t="str">
            <v>UC</v>
          </cell>
          <cell r="G274">
            <v>2</v>
          </cell>
          <cell r="H274">
            <v>0</v>
          </cell>
          <cell r="I274">
            <v>0</v>
          </cell>
          <cell r="J274">
            <v>0</v>
          </cell>
          <cell r="K274">
            <v>2</v>
          </cell>
        </row>
        <row r="275">
          <cell r="A275" t="str">
            <v>154-3672</v>
          </cell>
          <cell r="B275" t="str">
            <v xml:space="preserve">CAT 561 (85H) CAT 561 (92J) CAT 561 (92J) (2)                                        </v>
          </cell>
          <cell r="C275" t="str">
            <v>TRACK LINK AS</v>
          </cell>
          <cell r="D275">
            <v>13482.38</v>
          </cell>
          <cell r="E275">
            <v>6741.19</v>
          </cell>
          <cell r="F275" t="str">
            <v>UC</v>
          </cell>
          <cell r="G275">
            <v>6</v>
          </cell>
          <cell r="H275">
            <v>0</v>
          </cell>
          <cell r="I275">
            <v>0</v>
          </cell>
          <cell r="J275">
            <v>0</v>
          </cell>
          <cell r="K275">
            <v>6</v>
          </cell>
        </row>
        <row r="276">
          <cell r="A276" t="str">
            <v>160-5130</v>
          </cell>
          <cell r="B276" t="str">
            <v xml:space="preserve">CAT D5 (3CR) CAT D5 (3CR) (2)                                          </v>
          </cell>
          <cell r="C276" t="str">
            <v>CYLINDER HEAD</v>
          </cell>
          <cell r="D276">
            <v>9139.2999999999993</v>
          </cell>
          <cell r="E276">
            <v>4569.6499999999996</v>
          </cell>
          <cell r="F276" t="str">
            <v>UC</v>
          </cell>
          <cell r="G276">
            <v>2</v>
          </cell>
          <cell r="H276">
            <v>0</v>
          </cell>
          <cell r="I276">
            <v>0</v>
          </cell>
          <cell r="J276">
            <v>0</v>
          </cell>
          <cell r="K276">
            <v>2</v>
          </cell>
        </row>
        <row r="277">
          <cell r="A277" t="str">
            <v>173-0946</v>
          </cell>
          <cell r="B277" t="str">
            <v xml:space="preserve">CAT D6T (MH7)                                            </v>
          </cell>
          <cell r="C277" t="str">
            <v>SPROCKET SEGMENT</v>
          </cell>
          <cell r="D277">
            <v>292.60000000000002</v>
          </cell>
          <cell r="E277">
            <v>146.30000000000001</v>
          </cell>
          <cell r="F277" t="str">
            <v>UC</v>
          </cell>
          <cell r="G277">
            <v>10</v>
          </cell>
          <cell r="H277">
            <v>0</v>
          </cell>
          <cell r="I277">
            <v>0</v>
          </cell>
          <cell r="J277">
            <v>0</v>
          </cell>
          <cell r="K277">
            <v>10</v>
          </cell>
        </row>
        <row r="278">
          <cell r="A278" t="str">
            <v>177-2347</v>
          </cell>
          <cell r="B278" t="str">
            <v xml:space="preserve">CAT D4 (66J)                                            </v>
          </cell>
          <cell r="C278" t="str">
            <v>TRACK SHOE SINGLE GROUSER 860MM</v>
          </cell>
          <cell r="D278">
            <v>188.07</v>
          </cell>
          <cell r="E278">
            <v>94.04</v>
          </cell>
          <cell r="F278" t="str">
            <v>UC</v>
          </cell>
          <cell r="G278">
            <v>90</v>
          </cell>
          <cell r="H278">
            <v>0</v>
          </cell>
          <cell r="I278">
            <v>0</v>
          </cell>
          <cell r="J278">
            <v>0</v>
          </cell>
          <cell r="K278">
            <v>90</v>
          </cell>
        </row>
        <row r="279">
          <cell r="A279" t="str">
            <v>177-2348</v>
          </cell>
          <cell r="B279" t="str">
            <v xml:space="preserve">CAT D4 (66J)                                            </v>
          </cell>
          <cell r="C279" t="str">
            <v>TRACK SHOE MASTER</v>
          </cell>
          <cell r="D279">
            <v>200.07</v>
          </cell>
          <cell r="E279">
            <v>100.04</v>
          </cell>
          <cell r="F279" t="str">
            <v>UC</v>
          </cell>
          <cell r="G279">
            <v>2</v>
          </cell>
          <cell r="H279">
            <v>0</v>
          </cell>
          <cell r="I279">
            <v>0</v>
          </cell>
          <cell r="J279">
            <v>0</v>
          </cell>
          <cell r="K279">
            <v>2</v>
          </cell>
        </row>
        <row r="280">
          <cell r="A280" t="str">
            <v>190-1546</v>
          </cell>
          <cell r="B280" t="str">
            <v xml:space="preserve">CAT D6N LGP (GHS) CAT D6N LGP (SGG) CAT D6N LGP (SGG) (2)                                        </v>
          </cell>
          <cell r="C280" t="str">
            <v xml:space="preserve">TRACK IDLER </v>
          </cell>
          <cell r="D280">
            <v>2878.82</v>
          </cell>
          <cell r="E280">
            <v>1439.41</v>
          </cell>
          <cell r="F280" t="str">
            <v>UC</v>
          </cell>
          <cell r="G280">
            <v>12</v>
          </cell>
          <cell r="H280">
            <v>0</v>
          </cell>
          <cell r="I280">
            <v>0</v>
          </cell>
          <cell r="J280">
            <v>0</v>
          </cell>
          <cell r="K280">
            <v>12</v>
          </cell>
        </row>
        <row r="281">
          <cell r="A281" t="str">
            <v>190-1551</v>
          </cell>
          <cell r="B281" t="str">
            <v xml:space="preserve">CAT D5 (3CR) CAT D5 (3CR) (2) CAT 561M (1KW) CAT 561N (CPH) CAT 561N (CPH) (2) CAT 561N (CPH) (3) CAT 561N (CPH) (4) CAT 561N (CPH) (5)                              </v>
          </cell>
          <cell r="C281" t="str">
            <v xml:space="preserve">TRACK IDLER </v>
          </cell>
          <cell r="D281">
            <v>3220.34</v>
          </cell>
          <cell r="E281">
            <v>1610.17</v>
          </cell>
          <cell r="F281" t="str">
            <v>UC</v>
          </cell>
          <cell r="G281">
            <v>18</v>
          </cell>
          <cell r="H281">
            <v>0</v>
          </cell>
          <cell r="I281">
            <v>0</v>
          </cell>
          <cell r="J281">
            <v>0</v>
          </cell>
          <cell r="K281">
            <v>18</v>
          </cell>
        </row>
        <row r="282">
          <cell r="A282" t="str">
            <v>190-7396</v>
          </cell>
          <cell r="B282" t="str">
            <v xml:space="preserve">CAT D3 (1PJ)                                            </v>
          </cell>
          <cell r="C282" t="str">
            <v>SPROCKET SEGMENT</v>
          </cell>
          <cell r="D282">
            <v>134.41999999999999</v>
          </cell>
          <cell r="E282">
            <v>67.209999999999994</v>
          </cell>
          <cell r="F282" t="str">
            <v>UC</v>
          </cell>
          <cell r="G282">
            <v>10</v>
          </cell>
          <cell r="H282">
            <v>0</v>
          </cell>
          <cell r="I282">
            <v>0</v>
          </cell>
          <cell r="J282">
            <v>0</v>
          </cell>
          <cell r="K282">
            <v>10</v>
          </cell>
        </row>
        <row r="283">
          <cell r="A283" t="str">
            <v>191-2933</v>
          </cell>
          <cell r="B283" t="str">
            <v xml:space="preserve">CAT D6N LGP (GHS)                                            </v>
          </cell>
          <cell r="C283" t="str">
            <v>SEAT SUSPENSION ASSEMBLY</v>
          </cell>
          <cell r="D283">
            <v>3100.37</v>
          </cell>
          <cell r="E283">
            <v>1550.19</v>
          </cell>
          <cell r="F283" t="str">
            <v>UC</v>
          </cell>
          <cell r="G283">
            <v>1</v>
          </cell>
          <cell r="H283">
            <v>0</v>
          </cell>
          <cell r="I283">
            <v>0</v>
          </cell>
          <cell r="J283">
            <v>0</v>
          </cell>
          <cell r="K283">
            <v>1</v>
          </cell>
        </row>
        <row r="284">
          <cell r="A284" t="str">
            <v>192-4744</v>
          </cell>
          <cell r="B284" t="str">
            <v xml:space="preserve">CAT PL61 (WGS) CAT PL61 (WGS) (2) CAT PL61 (WGS) (3) CAT 299D (DX2)                                      </v>
          </cell>
          <cell r="C284" t="str">
            <v>CARRIER BOLT</v>
          </cell>
          <cell r="D284">
            <v>1.31</v>
          </cell>
          <cell r="E284">
            <v>0.66</v>
          </cell>
          <cell r="F284" t="str">
            <v>UC</v>
          </cell>
          <cell r="G284">
            <v>20</v>
          </cell>
          <cell r="H284">
            <v>0</v>
          </cell>
          <cell r="I284">
            <v>0</v>
          </cell>
          <cell r="J284">
            <v>0</v>
          </cell>
          <cell r="K284">
            <v>20</v>
          </cell>
        </row>
        <row r="285">
          <cell r="A285" t="str">
            <v>196-7074</v>
          </cell>
          <cell r="B285" t="str">
            <v xml:space="preserve">CAT D6N LGP (GHS) CAT D6N LGP (SGG) CAT D6N LGP (SGG) (2)                                        </v>
          </cell>
          <cell r="C285" t="str">
            <v>REAR WEAR STRIP 16MM</v>
          </cell>
          <cell r="D285">
            <v>200.89</v>
          </cell>
          <cell r="E285">
            <v>100.45</v>
          </cell>
          <cell r="F285" t="str">
            <v>UC</v>
          </cell>
          <cell r="G285">
            <v>12</v>
          </cell>
          <cell r="H285">
            <v>0</v>
          </cell>
          <cell r="I285">
            <v>0</v>
          </cell>
          <cell r="J285">
            <v>0</v>
          </cell>
          <cell r="K285">
            <v>12</v>
          </cell>
        </row>
        <row r="286">
          <cell r="A286" t="str">
            <v>196-7078</v>
          </cell>
          <cell r="B286" t="str">
            <v xml:space="preserve">CAT D6N LGP (GHS) CAT D6N LGP (SGG) CAT D6N LGP (SGG) (2)                                        </v>
          </cell>
          <cell r="C286" t="str">
            <v>FRONT WEAR STRIP 16MM</v>
          </cell>
          <cell r="D286">
            <v>159.66</v>
          </cell>
          <cell r="E286">
            <v>79.83</v>
          </cell>
          <cell r="F286" t="str">
            <v>UC</v>
          </cell>
          <cell r="G286">
            <v>12</v>
          </cell>
          <cell r="H286">
            <v>0</v>
          </cell>
          <cell r="I286">
            <v>0</v>
          </cell>
          <cell r="J286">
            <v>0</v>
          </cell>
          <cell r="K286">
            <v>12</v>
          </cell>
        </row>
        <row r="287">
          <cell r="A287" t="str">
            <v>1M-1408</v>
          </cell>
          <cell r="B287" t="str">
            <v xml:space="preserve">CAT D5 (3CR) CAT D5 (3CR) (2) CAT 561 (85H) CAT 561 (92J) CAT 561 (92J) (2) CAT 561M (1KW) CAT 561N (CPH) CAT 561N (CPH) (2) CAT 561N (CPH) (3) CAT 561N (CPH) (4) CAT 561N (CPH) (5)                        </v>
          </cell>
          <cell r="C287" t="str">
            <v>TRACK NUT</v>
          </cell>
          <cell r="D287">
            <v>2.0699999999999998</v>
          </cell>
          <cell r="E287">
            <v>1.04</v>
          </cell>
          <cell r="F287" t="str">
            <v>UC</v>
          </cell>
          <cell r="G287">
            <v>2634</v>
          </cell>
          <cell r="H287">
            <v>0</v>
          </cell>
          <cell r="I287">
            <v>0</v>
          </cell>
          <cell r="J287">
            <v>0</v>
          </cell>
          <cell r="K287">
            <v>2634</v>
          </cell>
        </row>
        <row r="288">
          <cell r="A288" t="str">
            <v>1M-8867</v>
          </cell>
          <cell r="B288" t="str">
            <v xml:space="preserve">CAT D4 (66J)                                            </v>
          </cell>
          <cell r="C288" t="str">
            <v xml:space="preserve">TRACK IDLER </v>
          </cell>
          <cell r="D288">
            <v>2233.12</v>
          </cell>
          <cell r="E288">
            <v>1116.56</v>
          </cell>
          <cell r="F288" t="str">
            <v>UC</v>
          </cell>
          <cell r="G288">
            <v>2</v>
          </cell>
          <cell r="H288">
            <v>0</v>
          </cell>
          <cell r="I288">
            <v>0</v>
          </cell>
          <cell r="J288">
            <v>0</v>
          </cell>
          <cell r="K288">
            <v>2</v>
          </cell>
        </row>
        <row r="289">
          <cell r="A289" t="str">
            <v>1S1860</v>
          </cell>
          <cell r="B289" t="str">
            <v xml:space="preserve">CAT D4 (66J)                                            </v>
          </cell>
          <cell r="C289" t="str">
            <v>TRACK NUT</v>
          </cell>
          <cell r="D289">
            <v>2.94</v>
          </cell>
          <cell r="E289">
            <v>1.47</v>
          </cell>
          <cell r="F289" t="str">
            <v>UC</v>
          </cell>
          <cell r="G289">
            <v>360</v>
          </cell>
          <cell r="H289">
            <v>0</v>
          </cell>
          <cell r="I289">
            <v>0</v>
          </cell>
          <cell r="J289">
            <v>0</v>
          </cell>
          <cell r="K289">
            <v>360</v>
          </cell>
        </row>
        <row r="290">
          <cell r="A290" t="str">
            <v>1S-1860</v>
          </cell>
          <cell r="B290" t="str">
            <v xml:space="preserve">CAT D6 (RDC) CAT D6N LGP (GHS) CAT D6N LGP (SGG) CAT D6N LGP (SGG) (2) CAT D7G (92V) CAT D7G (3ZD) CAT D7G (3ZD) (2) CAT PL61 (WGS) CAT PL61 (WGS) (2) CAT PL61 (WGS) (3)                          </v>
          </cell>
          <cell r="C290" t="str">
            <v>TRACK NUT</v>
          </cell>
          <cell r="D290">
            <v>2.94</v>
          </cell>
          <cell r="E290">
            <v>1.47</v>
          </cell>
          <cell r="F290" t="str">
            <v>UC</v>
          </cell>
          <cell r="G290">
            <v>3264</v>
          </cell>
          <cell r="H290">
            <v>0</v>
          </cell>
          <cell r="I290">
            <v>0</v>
          </cell>
          <cell r="J290">
            <v>0</v>
          </cell>
          <cell r="K290">
            <v>3264</v>
          </cell>
        </row>
        <row r="291">
          <cell r="A291" t="str">
            <v>202-4296</v>
          </cell>
          <cell r="B291" t="str">
            <v xml:space="preserve">CAT D6 (RDC) CAT D6T (MH7)                                          </v>
          </cell>
          <cell r="C291" t="str">
            <v>TRACK IDLER</v>
          </cell>
          <cell r="D291">
            <v>3032.3</v>
          </cell>
          <cell r="E291">
            <v>1516.15</v>
          </cell>
          <cell r="F291" t="str">
            <v>UC</v>
          </cell>
          <cell r="G291">
            <v>8</v>
          </cell>
          <cell r="H291">
            <v>0</v>
          </cell>
          <cell r="I291">
            <v>0</v>
          </cell>
          <cell r="J291">
            <v>0</v>
          </cell>
          <cell r="K291">
            <v>8</v>
          </cell>
        </row>
        <row r="292">
          <cell r="A292" t="str">
            <v>213-1971</v>
          </cell>
          <cell r="B292" t="str">
            <v xml:space="preserve">CAT 336F L (RKB)                                            </v>
          </cell>
          <cell r="C292" t="str">
            <v>TRACK LINK ASSEMBLY</v>
          </cell>
          <cell r="D292">
            <v>12083.08</v>
          </cell>
          <cell r="E292">
            <v>6041.54</v>
          </cell>
          <cell r="F292" t="str">
            <v>UC</v>
          </cell>
          <cell r="G292">
            <v>2</v>
          </cell>
          <cell r="H292">
            <v>0</v>
          </cell>
          <cell r="I292">
            <v>0</v>
          </cell>
          <cell r="J292">
            <v>0</v>
          </cell>
          <cell r="K292">
            <v>2</v>
          </cell>
        </row>
        <row r="293">
          <cell r="A293" t="str">
            <v>213-5007</v>
          </cell>
          <cell r="B293" t="str">
            <v xml:space="preserve">CAT D6 (RDC) CAT D6T (MH7)                                          </v>
          </cell>
          <cell r="C293" t="str">
            <v>CARRIER BOLT</v>
          </cell>
          <cell r="D293">
            <v>22.26</v>
          </cell>
          <cell r="E293">
            <v>11.13</v>
          </cell>
          <cell r="F293" t="str">
            <v>UC</v>
          </cell>
          <cell r="G293">
            <v>8</v>
          </cell>
          <cell r="H293">
            <v>0</v>
          </cell>
          <cell r="I293">
            <v>0</v>
          </cell>
          <cell r="J293">
            <v>0</v>
          </cell>
          <cell r="K293">
            <v>8</v>
          </cell>
        </row>
        <row r="294">
          <cell r="A294" t="str">
            <v>216-6286</v>
          </cell>
          <cell r="B294" t="str">
            <v xml:space="preserve">CAT D5 (3CR) CAT D5 (3CR) (2)                                          </v>
          </cell>
          <cell r="C294" t="str">
            <v>TRACK SHOE SINGLE GROUSER 760MM</v>
          </cell>
          <cell r="D294">
            <v>126.01</v>
          </cell>
          <cell r="E294">
            <v>63.01</v>
          </cell>
          <cell r="F294" t="str">
            <v>UC</v>
          </cell>
          <cell r="G294">
            <v>176</v>
          </cell>
          <cell r="H294">
            <v>0</v>
          </cell>
          <cell r="I294">
            <v>0</v>
          </cell>
          <cell r="J294">
            <v>0</v>
          </cell>
          <cell r="K294">
            <v>176</v>
          </cell>
        </row>
        <row r="295">
          <cell r="A295" t="str">
            <v>219-7569</v>
          </cell>
          <cell r="B295" t="str">
            <v xml:space="preserve">CAT 320E L (WBK) CAT 320E L (WBK) (2) CAT 320F L (YBM) CAT 320 (HEX) CAT 320 (MYK) CAT 320 (MYK) (2)                                  </v>
          </cell>
          <cell r="C295" t="str">
            <v>SPROCKET BOLT</v>
          </cell>
          <cell r="D295">
            <v>8.76</v>
          </cell>
          <cell r="E295">
            <v>4.38</v>
          </cell>
          <cell r="F295" t="str">
            <v>UC</v>
          </cell>
          <cell r="G295">
            <v>192</v>
          </cell>
          <cell r="H295">
            <v>0</v>
          </cell>
          <cell r="I295">
            <v>0</v>
          </cell>
          <cell r="J295">
            <v>0</v>
          </cell>
          <cell r="K295">
            <v>192</v>
          </cell>
        </row>
        <row r="296">
          <cell r="A296" t="str">
            <v>222-1796</v>
          </cell>
          <cell r="B296" t="str">
            <v xml:space="preserve">CAT D6N LGP (GHS)                                            </v>
          </cell>
          <cell r="C296" t="str">
            <v>TRACK SHOE SINGLE GROUSER 860MM</v>
          </cell>
          <cell r="D296">
            <v>206.6</v>
          </cell>
          <cell r="E296">
            <v>103.3</v>
          </cell>
          <cell r="F296" t="str">
            <v>UC</v>
          </cell>
          <cell r="G296">
            <v>90</v>
          </cell>
          <cell r="H296">
            <v>0</v>
          </cell>
          <cell r="I296">
            <v>0</v>
          </cell>
          <cell r="J296">
            <v>0</v>
          </cell>
          <cell r="K296">
            <v>90</v>
          </cell>
        </row>
        <row r="297">
          <cell r="A297" t="str">
            <v>222-1797</v>
          </cell>
          <cell r="B297" t="str">
            <v xml:space="preserve">CAT D6N LGP (GHS)                                            </v>
          </cell>
          <cell r="C297" t="str">
            <v>TRACK SHOE MASTER</v>
          </cell>
          <cell r="D297">
            <v>226.51</v>
          </cell>
          <cell r="E297">
            <v>113.26</v>
          </cell>
          <cell r="F297" t="str">
            <v>UC</v>
          </cell>
          <cell r="G297">
            <v>2</v>
          </cell>
          <cell r="H297">
            <v>0</v>
          </cell>
          <cell r="I297">
            <v>0</v>
          </cell>
          <cell r="J297">
            <v>0</v>
          </cell>
          <cell r="K297">
            <v>2</v>
          </cell>
        </row>
        <row r="298">
          <cell r="A298" t="str">
            <v>224-1311</v>
          </cell>
          <cell r="B298" t="str">
            <v xml:space="preserve">CAT D7G (92V) CAT D7G (3ZD) CAT D7G (3ZD) (2)                                        </v>
          </cell>
          <cell r="C298" t="str">
            <v>SPROCKET HUB</v>
          </cell>
          <cell r="D298">
            <v>3635.61</v>
          </cell>
          <cell r="E298">
            <v>1817.81</v>
          </cell>
          <cell r="F298" t="str">
            <v>UC</v>
          </cell>
          <cell r="G298">
            <v>6</v>
          </cell>
          <cell r="H298">
            <v>0</v>
          </cell>
          <cell r="I298">
            <v>0</v>
          </cell>
          <cell r="J298">
            <v>0</v>
          </cell>
          <cell r="K298">
            <v>6</v>
          </cell>
        </row>
        <row r="299">
          <cell r="A299" t="str">
            <v>229-5446</v>
          </cell>
          <cell r="B299" t="str">
            <v xml:space="preserve">CAT D6N LGP (GHS) CAT D6N LGP (PBA) CAT D6N LGP (PBA) (2) CAT D6N LGP (SGG) CAT D6N LGP (SGG) (2)                                    </v>
          </cell>
          <cell r="C299" t="str">
            <v>CARRIER ROLLER</v>
          </cell>
          <cell r="D299">
            <v>496.33</v>
          </cell>
          <cell r="E299">
            <v>248.17</v>
          </cell>
          <cell r="F299" t="str">
            <v>UC</v>
          </cell>
          <cell r="G299">
            <v>10</v>
          </cell>
          <cell r="H299">
            <v>0</v>
          </cell>
          <cell r="I299">
            <v>0</v>
          </cell>
          <cell r="J299">
            <v>0</v>
          </cell>
          <cell r="K299">
            <v>10</v>
          </cell>
        </row>
        <row r="300">
          <cell r="A300" t="str">
            <v>235-5974</v>
          </cell>
          <cell r="B300" t="str">
            <v xml:space="preserve">CAT D6 (RDC) CAT D6T (MH7)                                          </v>
          </cell>
          <cell r="C300" t="str">
            <v>CARRIER ROLLER</v>
          </cell>
          <cell r="D300">
            <v>594.54</v>
          </cell>
          <cell r="E300">
            <v>297.27</v>
          </cell>
          <cell r="F300" t="str">
            <v>UC</v>
          </cell>
          <cell r="G300">
            <v>4</v>
          </cell>
          <cell r="H300">
            <v>0</v>
          </cell>
          <cell r="I300">
            <v>0</v>
          </cell>
          <cell r="J300">
            <v>0</v>
          </cell>
          <cell r="K300">
            <v>4</v>
          </cell>
        </row>
        <row r="301">
          <cell r="A301" t="str">
            <v>240-9557</v>
          </cell>
          <cell r="B301" t="str">
            <v xml:space="preserve">CAT D6N LGP (PBA) CAT D6N LGP (PBA) (2)                                          </v>
          </cell>
          <cell r="C301" t="str">
            <v>SINGLE FLANGE TRACK ROLLER</v>
          </cell>
          <cell r="D301">
            <v>866.99</v>
          </cell>
          <cell r="E301">
            <v>433.5</v>
          </cell>
          <cell r="F301" t="str">
            <v>UC</v>
          </cell>
          <cell r="G301">
            <v>32</v>
          </cell>
          <cell r="H301">
            <v>0</v>
          </cell>
          <cell r="I301">
            <v>0</v>
          </cell>
          <cell r="J301">
            <v>0</v>
          </cell>
          <cell r="K301">
            <v>32</v>
          </cell>
        </row>
        <row r="302">
          <cell r="A302" t="str">
            <v>248-7143</v>
          </cell>
          <cell r="B302" t="str">
            <v xml:space="preserve">CAT 320E L (WBK) CAT 320E L (WBK) (2) CAT 320F L (YBM) CAT 320 (HEX) CAT 320 (MYK) CAT 320 (MYK) (2)                                  </v>
          </cell>
          <cell r="C302" t="str">
            <v>TRACK IDLER</v>
          </cell>
          <cell r="D302">
            <v>2633.14</v>
          </cell>
          <cell r="E302">
            <v>1316.57</v>
          </cell>
          <cell r="F302" t="str">
            <v>UC</v>
          </cell>
          <cell r="G302">
            <v>16</v>
          </cell>
          <cell r="H302">
            <v>0</v>
          </cell>
          <cell r="I302">
            <v>0</v>
          </cell>
          <cell r="J302">
            <v>0</v>
          </cell>
          <cell r="K302">
            <v>16</v>
          </cell>
        </row>
        <row r="303">
          <cell r="A303" t="str">
            <v>251-8601</v>
          </cell>
          <cell r="B303" t="str">
            <v xml:space="preserve">CAT D6N LGP (GHS) CAT D6N LGP (SGG) CAT D6N LGP (SGG) (2)                                        </v>
          </cell>
          <cell r="C303" t="str">
            <v>IDLER SCRAPER</v>
          </cell>
          <cell r="D303">
            <v>113.29</v>
          </cell>
          <cell r="E303">
            <v>56.65</v>
          </cell>
          <cell r="F303" t="str">
            <v>UC</v>
          </cell>
          <cell r="G303">
            <v>6</v>
          </cell>
          <cell r="H303">
            <v>0</v>
          </cell>
          <cell r="I303">
            <v>0</v>
          </cell>
          <cell r="J303">
            <v>0</v>
          </cell>
          <cell r="K303">
            <v>6</v>
          </cell>
        </row>
        <row r="304">
          <cell r="A304" t="str">
            <v>254-0225</v>
          </cell>
          <cell r="B304" t="str">
            <v xml:space="preserve">CAT D6N LGP (PBA) CAT D6N LGP (PBA) (2)                                          </v>
          </cell>
          <cell r="C304" t="str">
            <v>TRACK BOLT MASTER</v>
          </cell>
          <cell r="D304">
            <v>10.72</v>
          </cell>
          <cell r="E304">
            <v>5.36</v>
          </cell>
          <cell r="F304" t="str">
            <v>UC</v>
          </cell>
          <cell r="G304">
            <v>16</v>
          </cell>
          <cell r="H304">
            <v>0</v>
          </cell>
          <cell r="I304">
            <v>0</v>
          </cell>
          <cell r="J304">
            <v>0</v>
          </cell>
          <cell r="K304">
            <v>16</v>
          </cell>
        </row>
        <row r="305">
          <cell r="A305" t="str">
            <v>255-8095</v>
          </cell>
          <cell r="B305" t="str">
            <v xml:space="preserve">CAT PL61 (WGS) CAT PL61 (WGS) (2) CAT PL61 (WGS) (3)                                        </v>
          </cell>
          <cell r="C305" t="str">
            <v>SPROCKET</v>
          </cell>
          <cell r="D305">
            <v>1650.99</v>
          </cell>
          <cell r="E305">
            <v>825.5</v>
          </cell>
          <cell r="F305" t="str">
            <v>UC</v>
          </cell>
          <cell r="G305">
            <v>6</v>
          </cell>
          <cell r="H305">
            <v>0</v>
          </cell>
          <cell r="I305">
            <v>0</v>
          </cell>
          <cell r="J305">
            <v>0</v>
          </cell>
          <cell r="K305">
            <v>6</v>
          </cell>
        </row>
        <row r="306">
          <cell r="A306" t="str">
            <v>259-2627</v>
          </cell>
          <cell r="B306" t="str">
            <v xml:space="preserve">CAT D6N LGP (GHS) CAT D6N LGP (SGG) CAT D6N LGP (SGG) (2)                                        </v>
          </cell>
          <cell r="C306" t="str">
            <v>HEX HEAD BOLT</v>
          </cell>
          <cell r="D306">
            <v>4.12</v>
          </cell>
          <cell r="E306">
            <v>2.06</v>
          </cell>
          <cell r="F306" t="str">
            <v>UC</v>
          </cell>
          <cell r="G306">
            <v>12</v>
          </cell>
          <cell r="H306">
            <v>0</v>
          </cell>
          <cell r="I306">
            <v>0</v>
          </cell>
          <cell r="J306">
            <v>0</v>
          </cell>
          <cell r="K306">
            <v>12</v>
          </cell>
        </row>
        <row r="307">
          <cell r="A307" t="str">
            <v>267-4829</v>
          </cell>
          <cell r="B307" t="str">
            <v xml:space="preserve">CAT 303.5E                                            </v>
          </cell>
          <cell r="C307" t="str">
            <v>IDLER-BEARING ASSY LH</v>
          </cell>
          <cell r="D307">
            <v>854.8</v>
          </cell>
          <cell r="E307">
            <v>427.4</v>
          </cell>
          <cell r="F307" t="str">
            <v>UC</v>
          </cell>
          <cell r="G307">
            <v>2</v>
          </cell>
          <cell r="H307">
            <v>0</v>
          </cell>
          <cell r="I307">
            <v>0</v>
          </cell>
          <cell r="J307">
            <v>0</v>
          </cell>
          <cell r="K307">
            <v>2</v>
          </cell>
        </row>
        <row r="308">
          <cell r="A308" t="str">
            <v>267-6099</v>
          </cell>
          <cell r="B308" t="str">
            <v xml:space="preserve">CAT D6N LGP (PBA) CAT D6N LGP (PBA) (2)                                          </v>
          </cell>
          <cell r="C308" t="str">
            <v>TRACK SHOE 860MM</v>
          </cell>
          <cell r="D308">
            <v>211.37</v>
          </cell>
          <cell r="E308">
            <v>105.69</v>
          </cell>
          <cell r="F308" t="str">
            <v>UC</v>
          </cell>
          <cell r="G308">
            <v>180</v>
          </cell>
          <cell r="H308">
            <v>0</v>
          </cell>
          <cell r="I308">
            <v>0</v>
          </cell>
          <cell r="J308">
            <v>0</v>
          </cell>
          <cell r="K308">
            <v>180</v>
          </cell>
        </row>
        <row r="309">
          <cell r="A309" t="str">
            <v>278-4843</v>
          </cell>
          <cell r="B309" t="str">
            <v xml:space="preserve">CAT 561N (CPH) CAT 561N (CPH) (2) CAT 561N (CPH) (3) CAT 561N (CPH) (4) CAT 561N (CPH) (5) CAT PL61 (WGS) CAT PL61 (WGS) (2) CAT PL61 (WGS) (3)                              </v>
          </cell>
          <cell r="C309" t="str">
            <v>CYLINDER HEAD</v>
          </cell>
          <cell r="D309">
            <v>12450.3</v>
          </cell>
          <cell r="E309">
            <v>6225.15</v>
          </cell>
          <cell r="F309" t="str">
            <v>UC</v>
          </cell>
          <cell r="G309">
            <v>8</v>
          </cell>
          <cell r="H309">
            <v>0</v>
          </cell>
          <cell r="I309">
            <v>0</v>
          </cell>
          <cell r="J309">
            <v>0</v>
          </cell>
          <cell r="K309">
            <v>8</v>
          </cell>
        </row>
        <row r="310">
          <cell r="A310" t="str">
            <v>282-3655</v>
          </cell>
          <cell r="B310" t="str">
            <v xml:space="preserve">CAT D7G (92V) CAT D7G (3ZD) CAT D7G (3ZD) (2)                                        </v>
          </cell>
          <cell r="C310" t="str">
            <v>SPROCKET BOLT</v>
          </cell>
          <cell r="D310">
            <v>4.75</v>
          </cell>
          <cell r="E310">
            <v>2.38</v>
          </cell>
          <cell r="F310" t="str">
            <v>UC</v>
          </cell>
          <cell r="G310">
            <v>120</v>
          </cell>
          <cell r="H310">
            <v>0</v>
          </cell>
          <cell r="I310">
            <v>0</v>
          </cell>
          <cell r="J310">
            <v>0</v>
          </cell>
          <cell r="K310">
            <v>120</v>
          </cell>
        </row>
        <row r="311">
          <cell r="A311" t="str">
            <v>288-0934</v>
          </cell>
          <cell r="B311" t="str">
            <v xml:space="preserve">CAT D6T (MH7)                                            </v>
          </cell>
          <cell r="C311" t="str">
            <v>SINGLE FLANGE TRACK ROLLER</v>
          </cell>
          <cell r="D311">
            <v>936.48</v>
          </cell>
          <cell r="E311">
            <v>468.24</v>
          </cell>
          <cell r="F311" t="str">
            <v>UC</v>
          </cell>
          <cell r="G311">
            <v>4</v>
          </cell>
          <cell r="H311">
            <v>0</v>
          </cell>
          <cell r="I311">
            <v>0</v>
          </cell>
          <cell r="J311">
            <v>0</v>
          </cell>
          <cell r="K311">
            <v>4</v>
          </cell>
        </row>
        <row r="312">
          <cell r="A312" t="str">
            <v>288-0936</v>
          </cell>
          <cell r="B312" t="str">
            <v xml:space="preserve">CAT D6T (MH7)                                            </v>
          </cell>
          <cell r="C312" t="str">
            <v>DOUBLE FLANGE TRACK ROLLER</v>
          </cell>
          <cell r="D312">
            <v>1023.54</v>
          </cell>
          <cell r="E312">
            <v>511.77</v>
          </cell>
          <cell r="F312" t="str">
            <v>UC</v>
          </cell>
          <cell r="G312">
            <v>12</v>
          </cell>
          <cell r="H312">
            <v>0</v>
          </cell>
          <cell r="I312">
            <v>0</v>
          </cell>
          <cell r="J312">
            <v>0</v>
          </cell>
          <cell r="K312">
            <v>12</v>
          </cell>
        </row>
        <row r="313">
          <cell r="A313" t="str">
            <v>288-3462</v>
          </cell>
          <cell r="B313" t="str">
            <v xml:space="preserve">CAT 303.5E                                            </v>
          </cell>
          <cell r="C313" t="str">
            <v>FINAL DRIVE</v>
          </cell>
          <cell r="D313">
            <v>10089.31</v>
          </cell>
          <cell r="E313">
            <v>5044.66</v>
          </cell>
          <cell r="F313" t="str">
            <v>UC</v>
          </cell>
          <cell r="G313">
            <v>2</v>
          </cell>
          <cell r="H313">
            <v>0</v>
          </cell>
          <cell r="I313">
            <v>0</v>
          </cell>
          <cell r="J313">
            <v>0</v>
          </cell>
          <cell r="K313">
            <v>2</v>
          </cell>
        </row>
        <row r="314">
          <cell r="A314" t="str">
            <v>294-4813</v>
          </cell>
          <cell r="B314" t="str">
            <v xml:space="preserve">CAT D6N LGP (PBA) CAT D6N LGP (PBA) (2)                                          </v>
          </cell>
          <cell r="C314" t="str">
            <v>TRACK SHOE MASTER</v>
          </cell>
          <cell r="D314">
            <v>241.71</v>
          </cell>
          <cell r="E314">
            <v>120.86</v>
          </cell>
          <cell r="F314" t="str">
            <v>UC</v>
          </cell>
          <cell r="G314">
            <v>4</v>
          </cell>
          <cell r="H314">
            <v>0</v>
          </cell>
          <cell r="I314">
            <v>0</v>
          </cell>
          <cell r="J314">
            <v>0</v>
          </cell>
          <cell r="K314">
            <v>4</v>
          </cell>
        </row>
        <row r="315">
          <cell r="A315" t="str">
            <v>2S-5658</v>
          </cell>
          <cell r="B315" t="str">
            <v xml:space="preserve">CAT D6N LGP (GHS) CAT D6N LGP (PBA) CAT D6N LGP (PBA) (2) CAT D6N LGP (SGG) CAT D6N LGP (SGG) (2) CAT D6T (MH7)                                  </v>
          </cell>
          <cell r="C315" t="str">
            <v>FLAT WASHER</v>
          </cell>
          <cell r="D315">
            <v>2.0499999999999998</v>
          </cell>
          <cell r="E315">
            <v>1.03</v>
          </cell>
          <cell r="F315" t="str">
            <v>UC</v>
          </cell>
          <cell r="G315">
            <v>300</v>
          </cell>
          <cell r="H315">
            <v>0</v>
          </cell>
          <cell r="I315">
            <v>0</v>
          </cell>
          <cell r="J315">
            <v>0</v>
          </cell>
          <cell r="K315">
            <v>300</v>
          </cell>
        </row>
        <row r="316">
          <cell r="A316" t="str">
            <v>300-4545</v>
          </cell>
          <cell r="B316" t="str">
            <v xml:space="preserve">CAT 329E L (ZCD) CAT 329F L (ERL) CAT 329F L (ERL) (2) CAT 330F L (MBX) CAT 330F L (HCK) CAT 330F L (HCK) (2) CAT 330 (LHW) CAT 330 (LHW) (2) CAT 330 (LHW) (3) CAT 330 (LHW) (4) CAT 330 (WCH) CAT 330 (WCH) (2) CAT 330 (WCH) (3) CAT 330 (WCH) (4) CAT 330 (WCH) (5) CAT 330 (WCH) (6) CAT 336F L (RKB)            </v>
          </cell>
          <cell r="C316" t="str">
            <v>CARRIER ROLLER</v>
          </cell>
          <cell r="D316">
            <v>635.41999999999996</v>
          </cell>
          <cell r="E316">
            <v>317.70999999999998</v>
          </cell>
          <cell r="F316" t="str">
            <v>UC</v>
          </cell>
          <cell r="G316">
            <v>68</v>
          </cell>
          <cell r="H316">
            <v>0</v>
          </cell>
          <cell r="I316">
            <v>0</v>
          </cell>
          <cell r="J316">
            <v>0</v>
          </cell>
          <cell r="K316">
            <v>68</v>
          </cell>
        </row>
        <row r="317">
          <cell r="A317" t="str">
            <v>304-1916</v>
          </cell>
          <cell r="B317" t="str">
            <v xml:space="preserve">CAT 299D (DX2)                                            </v>
          </cell>
          <cell r="C317" t="str">
            <v>SPROCKET</v>
          </cell>
          <cell r="D317">
            <v>605.28</v>
          </cell>
          <cell r="E317">
            <v>302.64</v>
          </cell>
          <cell r="F317" t="str">
            <v>UC</v>
          </cell>
          <cell r="G317">
            <v>2</v>
          </cell>
          <cell r="H317">
            <v>0</v>
          </cell>
          <cell r="I317">
            <v>0</v>
          </cell>
          <cell r="J317">
            <v>0</v>
          </cell>
          <cell r="K317">
            <v>2</v>
          </cell>
        </row>
        <row r="318">
          <cell r="A318" t="str">
            <v>306-2148</v>
          </cell>
          <cell r="B318" t="str">
            <v xml:space="preserve">CAT 329E L (ZCD) CAT 329F L (ERL) CAT 329F L (ERL) (2) CAT 330F L (MBX) CAT 330F L (HCK) CAT 330F L (HCK) (2)                                  </v>
          </cell>
          <cell r="C318" t="str">
            <v>TRACK BOLT 68MM</v>
          </cell>
          <cell r="D318">
            <v>6.78</v>
          </cell>
          <cell r="E318">
            <v>3.39</v>
          </cell>
          <cell r="F318" t="str">
            <v>UC</v>
          </cell>
          <cell r="G318">
            <v>2400</v>
          </cell>
          <cell r="H318">
            <v>0</v>
          </cell>
          <cell r="I318">
            <v>0</v>
          </cell>
          <cell r="J318">
            <v>0</v>
          </cell>
          <cell r="K318">
            <v>2400</v>
          </cell>
        </row>
        <row r="319">
          <cell r="A319" t="str">
            <v>310-4912</v>
          </cell>
          <cell r="B319" t="str">
            <v xml:space="preserve">CAT D6N LGP (GHS) CAT D6N LGP (SGG) CAT D6N LGP (SGG) (2)                                        </v>
          </cell>
          <cell r="C319" t="str">
            <v>SINGLE FLANGE TRACK ROLLER</v>
          </cell>
          <cell r="D319">
            <v>857.8</v>
          </cell>
          <cell r="E319">
            <v>428.9</v>
          </cell>
          <cell r="F319" t="str">
            <v>UC</v>
          </cell>
          <cell r="G319">
            <v>20</v>
          </cell>
          <cell r="H319">
            <v>0</v>
          </cell>
          <cell r="I319">
            <v>0</v>
          </cell>
          <cell r="J319">
            <v>0</v>
          </cell>
          <cell r="K319">
            <v>20</v>
          </cell>
        </row>
        <row r="320">
          <cell r="A320" t="str">
            <v>310-4915</v>
          </cell>
          <cell r="B320" t="str">
            <v xml:space="preserve">CAT D6N LGP (SGG) CAT D6N LGP (SGG) (2)                                          </v>
          </cell>
          <cell r="C320" t="str">
            <v>DOUBLE FLANGE TRACK ROLLER</v>
          </cell>
          <cell r="D320">
            <v>900.53</v>
          </cell>
          <cell r="E320">
            <v>450.27</v>
          </cell>
          <cell r="F320" t="str">
            <v>UC</v>
          </cell>
          <cell r="G320">
            <v>16</v>
          </cell>
          <cell r="H320">
            <v>0</v>
          </cell>
          <cell r="I320">
            <v>0</v>
          </cell>
          <cell r="J320">
            <v>0</v>
          </cell>
          <cell r="K320">
            <v>16</v>
          </cell>
        </row>
        <row r="321">
          <cell r="A321" t="str">
            <v>310-4918</v>
          </cell>
          <cell r="B321" t="str">
            <v xml:space="preserve">CAT D6N LGP (GHS)                                            </v>
          </cell>
          <cell r="C321" t="str">
            <v>DOUBLE FLANGE TRACK ROLLER (GUIDE AR)*</v>
          </cell>
          <cell r="D321">
            <v>1006.57</v>
          </cell>
          <cell r="E321">
            <v>503.29</v>
          </cell>
          <cell r="F321" t="str">
            <v>UC</v>
          </cell>
          <cell r="G321">
            <v>12</v>
          </cell>
          <cell r="H321">
            <v>0</v>
          </cell>
          <cell r="I321">
            <v>0</v>
          </cell>
          <cell r="J321">
            <v>0</v>
          </cell>
          <cell r="K321">
            <v>12</v>
          </cell>
        </row>
        <row r="322">
          <cell r="A322" t="str">
            <v>311-8150</v>
          </cell>
          <cell r="B322" t="str">
            <v xml:space="preserve">CAT 330 (LHW) CAT 330 (LHW) (2) CAT 330 (LHW) (3) CAT 330 (LHW) (4) CAT 330 (WCH) CAT 330 (WCH) (2) CAT 330 (WCH) (3) CAT 330 (WCH) (4) CAT 330 (WCH) (5) CAT 330 (WCH) (6) CAT 336F L (RKB)                        </v>
          </cell>
          <cell r="C322" t="str">
            <v>TRACK NUT</v>
          </cell>
          <cell r="D322">
            <v>3.94</v>
          </cell>
          <cell r="E322">
            <v>1.97</v>
          </cell>
          <cell r="F322" t="str">
            <v>UC</v>
          </cell>
          <cell r="G322">
            <v>4396</v>
          </cell>
          <cell r="H322">
            <v>0</v>
          </cell>
          <cell r="I322">
            <v>0</v>
          </cell>
          <cell r="J322">
            <v>0</v>
          </cell>
          <cell r="K322">
            <v>4396</v>
          </cell>
        </row>
        <row r="323">
          <cell r="A323" t="str">
            <v>318-2375</v>
          </cell>
          <cell r="B323" t="str">
            <v xml:space="preserve">CAT D6N LGP (PBA) CAT D6N LGP (PBA) (2)                                          </v>
          </cell>
          <cell r="C323" t="str">
            <v>TRACK LINK MASTER</v>
          </cell>
          <cell r="D323">
            <v>392.82</v>
          </cell>
          <cell r="E323">
            <v>196.41</v>
          </cell>
          <cell r="F323" t="str">
            <v>UC</v>
          </cell>
          <cell r="G323">
            <v>8</v>
          </cell>
          <cell r="H323">
            <v>0</v>
          </cell>
          <cell r="I323">
            <v>0</v>
          </cell>
          <cell r="J323">
            <v>0</v>
          </cell>
          <cell r="K323">
            <v>8</v>
          </cell>
        </row>
        <row r="324">
          <cell r="A324" t="str">
            <v>318-2558</v>
          </cell>
          <cell r="B324" t="str">
            <v xml:space="preserve">CAT 336F L (RKB)                                            </v>
          </cell>
          <cell r="C324" t="str">
            <v>TRACK BOLT</v>
          </cell>
          <cell r="D324">
            <v>9.11</v>
          </cell>
          <cell r="E324">
            <v>4.5599999999999996</v>
          </cell>
          <cell r="F324" t="str">
            <v>UC</v>
          </cell>
          <cell r="G324">
            <v>396</v>
          </cell>
          <cell r="H324">
            <v>0</v>
          </cell>
          <cell r="I324">
            <v>0</v>
          </cell>
          <cell r="J324">
            <v>0</v>
          </cell>
          <cell r="K324">
            <v>396</v>
          </cell>
        </row>
        <row r="325">
          <cell r="A325" t="str">
            <v>323-1168</v>
          </cell>
          <cell r="B325" t="str">
            <v xml:space="preserve">CAT D6N LGP (PBA) CAT D6N LGP (PBA) (2)                                          </v>
          </cell>
          <cell r="C325" t="str">
            <v>TRACK IDLER</v>
          </cell>
          <cell r="D325">
            <v>4087.57</v>
          </cell>
          <cell r="E325">
            <v>2043.79</v>
          </cell>
          <cell r="F325" t="str">
            <v>UC</v>
          </cell>
          <cell r="G325">
            <v>8</v>
          </cell>
          <cell r="H325">
            <v>0</v>
          </cell>
          <cell r="I325">
            <v>0</v>
          </cell>
          <cell r="J325">
            <v>0</v>
          </cell>
          <cell r="K325">
            <v>8</v>
          </cell>
        </row>
        <row r="326">
          <cell r="A326" t="str">
            <v>332-8903</v>
          </cell>
          <cell r="B326" t="str">
            <v xml:space="preserve">CAT 320E L (WBK) CAT 320E L (WBK) (2) CAT 320F L (YBM) CAT 320 (HEX) CAT 320 (MYK) CAT 320 (MYK) (2)                                  </v>
          </cell>
          <cell r="C326" t="str">
            <v>TRACK SHOE 790MM</v>
          </cell>
          <cell r="D326">
            <v>179.13</v>
          </cell>
          <cell r="E326">
            <v>89.57</v>
          </cell>
          <cell r="F326" t="str">
            <v>UC</v>
          </cell>
          <cell r="G326">
            <v>588</v>
          </cell>
          <cell r="H326">
            <v>0</v>
          </cell>
          <cell r="I326">
            <v>0</v>
          </cell>
          <cell r="J326">
            <v>0</v>
          </cell>
          <cell r="K326">
            <v>588</v>
          </cell>
        </row>
        <row r="327">
          <cell r="A327" t="str">
            <v>341-1417</v>
          </cell>
          <cell r="B327" t="str">
            <v xml:space="preserve">CAT 329E L (ZCD) CAT 329F L (ERL) CAT 329F L (ERL) (2) CAT 330F L (MBX) CAT 330F L (HCK) CAT 330F L (HCK) (2)                                  </v>
          </cell>
          <cell r="C327" t="str">
            <v>TRACK LINK ASSEMBLY</v>
          </cell>
          <cell r="D327">
            <v>10788.51</v>
          </cell>
          <cell r="E327">
            <v>5394.26</v>
          </cell>
          <cell r="F327" t="str">
            <v>UC</v>
          </cell>
          <cell r="G327">
            <v>12</v>
          </cell>
          <cell r="H327">
            <v>0</v>
          </cell>
          <cell r="I327">
            <v>0</v>
          </cell>
          <cell r="J327">
            <v>0</v>
          </cell>
          <cell r="K327">
            <v>12</v>
          </cell>
        </row>
        <row r="328">
          <cell r="A328" t="str">
            <v>341-2814</v>
          </cell>
          <cell r="B328" t="str">
            <v xml:space="preserve">CAT 320F L (YBM) CAT 320 (HEX) CAT 320 (MYK) CAT 320 (MYK) (2)                                      </v>
          </cell>
          <cell r="C328" t="str">
            <v>BUCKET CYLINDER</v>
          </cell>
          <cell r="D328">
            <v>22869.96</v>
          </cell>
          <cell r="E328">
            <v>8690.58</v>
          </cell>
          <cell r="F328" t="str">
            <v>UC</v>
          </cell>
          <cell r="G328">
            <v>4</v>
          </cell>
          <cell r="H328">
            <v>0</v>
          </cell>
          <cell r="I328">
            <v>0</v>
          </cell>
          <cell r="J328">
            <v>0</v>
          </cell>
          <cell r="K328">
            <v>4</v>
          </cell>
        </row>
        <row r="329">
          <cell r="A329" t="str">
            <v>353-2186</v>
          </cell>
          <cell r="B329" t="str">
            <v xml:space="preserve">CAT D6N LGP (PBA) CAT D6N LGP (PBA) (2)                                          </v>
          </cell>
          <cell r="C329" t="str">
            <v>FRONT WEAR PLATE</v>
          </cell>
          <cell r="D329">
            <v>317.01</v>
          </cell>
          <cell r="E329">
            <v>158.51</v>
          </cell>
          <cell r="F329" t="str">
            <v>UC</v>
          </cell>
          <cell r="G329">
            <v>8</v>
          </cell>
          <cell r="H329">
            <v>0</v>
          </cell>
          <cell r="I329">
            <v>0</v>
          </cell>
          <cell r="J329">
            <v>0</v>
          </cell>
          <cell r="K329">
            <v>8</v>
          </cell>
        </row>
        <row r="330">
          <cell r="A330" t="str">
            <v>353-2187</v>
          </cell>
          <cell r="B330" t="str">
            <v xml:space="preserve">CAT D6N LGP (PBA) CAT D6N LGP (PBA) (2)                                          </v>
          </cell>
          <cell r="C330" t="str">
            <v>REAR WEAR PLATE</v>
          </cell>
          <cell r="D330">
            <v>369.71</v>
          </cell>
          <cell r="E330">
            <v>184.86</v>
          </cell>
          <cell r="F330" t="str">
            <v>UC</v>
          </cell>
          <cell r="G330">
            <v>8</v>
          </cell>
          <cell r="H330">
            <v>0</v>
          </cell>
          <cell r="I330">
            <v>0</v>
          </cell>
          <cell r="J330">
            <v>0</v>
          </cell>
          <cell r="K330">
            <v>8</v>
          </cell>
        </row>
        <row r="331">
          <cell r="A331" t="str">
            <v>356-3429</v>
          </cell>
          <cell r="B331" t="str">
            <v xml:space="preserve">CAT D6N LGP (SGG) CAT D6N LGP (SGG) (2)                                          </v>
          </cell>
          <cell r="C331" t="str">
            <v>TRACK SHOE 835MM</v>
          </cell>
          <cell r="D331">
            <v>197.96</v>
          </cell>
          <cell r="E331">
            <v>98.98</v>
          </cell>
          <cell r="F331" t="str">
            <v>UC</v>
          </cell>
          <cell r="G331">
            <v>180</v>
          </cell>
          <cell r="H331">
            <v>0</v>
          </cell>
          <cell r="I331">
            <v>0</v>
          </cell>
          <cell r="J331">
            <v>0</v>
          </cell>
          <cell r="K331">
            <v>180</v>
          </cell>
        </row>
        <row r="332">
          <cell r="A332" t="str">
            <v>356-3430</v>
          </cell>
          <cell r="B332" t="str">
            <v xml:space="preserve">CAT D6N LGP (SGG) CAT D6N LGP (SGG) (2)                                          </v>
          </cell>
          <cell r="C332" t="str">
            <v>TRACK SHOE MASTER</v>
          </cell>
          <cell r="D332">
            <v>209.96</v>
          </cell>
          <cell r="E332">
            <v>104.98</v>
          </cell>
          <cell r="F332" t="str">
            <v>UC</v>
          </cell>
          <cell r="G332">
            <v>4</v>
          </cell>
          <cell r="H332">
            <v>0</v>
          </cell>
          <cell r="I332">
            <v>0</v>
          </cell>
          <cell r="J332">
            <v>0</v>
          </cell>
          <cell r="K332">
            <v>4</v>
          </cell>
        </row>
        <row r="333">
          <cell r="A333" t="str">
            <v>357-6019</v>
          </cell>
          <cell r="B333" t="str">
            <v xml:space="preserve">CAT 561M (1KW) CAT 561N (CPH) CAT 561N (CPH) CAT 561N (CPH) (2) CAT 561N (CPH) (2) CAT 561N (CPH) (3) CAT 561N (CPH) (3) CAT 561N (CPH) (4) CAT 561N (CPH) (4) CAT 561N (CPH) (5) CAT 561N (CPH) (5)                        </v>
          </cell>
          <cell r="C333" t="str">
            <v>BOLT ROLLER</v>
          </cell>
          <cell r="D333">
            <v>8.76</v>
          </cell>
          <cell r="E333">
            <v>4.38</v>
          </cell>
          <cell r="F333" t="str">
            <v>UC</v>
          </cell>
          <cell r="G333">
            <v>356</v>
          </cell>
          <cell r="H333">
            <v>0</v>
          </cell>
          <cell r="I333">
            <v>0</v>
          </cell>
          <cell r="J333">
            <v>0</v>
          </cell>
          <cell r="K333">
            <v>356</v>
          </cell>
        </row>
        <row r="334">
          <cell r="A334" t="str">
            <v>358-8557</v>
          </cell>
          <cell r="B334" t="str">
            <v xml:space="preserve">CAT PL61 (WGS) CAT PL61 (WGS) (2) CAT PL61 (WGS) (3)                                        </v>
          </cell>
          <cell r="C334" t="str">
            <v>TRACK IDLER</v>
          </cell>
          <cell r="D334">
            <v>3032.3</v>
          </cell>
          <cell r="E334">
            <v>1516.15</v>
          </cell>
          <cell r="F334" t="str">
            <v>UC</v>
          </cell>
          <cell r="G334">
            <v>6</v>
          </cell>
          <cell r="H334">
            <v>0</v>
          </cell>
          <cell r="I334">
            <v>0</v>
          </cell>
          <cell r="J334">
            <v>0</v>
          </cell>
          <cell r="K334">
            <v>6</v>
          </cell>
        </row>
        <row r="335">
          <cell r="A335" t="str">
            <v>365-0751</v>
          </cell>
          <cell r="B335" t="str">
            <v xml:space="preserve">CAT PL61 (WGS) CAT PL61 (WGS) (2) CAT PL61 (WGS) (3)                                        </v>
          </cell>
          <cell r="C335" t="str">
            <v>DUAL FLANGE ROLLER</v>
          </cell>
          <cell r="D335">
            <v>564.07000000000005</v>
          </cell>
          <cell r="E335">
            <v>282.04000000000002</v>
          </cell>
          <cell r="F335" t="str">
            <v>UC</v>
          </cell>
          <cell r="G335">
            <v>48</v>
          </cell>
          <cell r="H335">
            <v>0</v>
          </cell>
          <cell r="I335">
            <v>0</v>
          </cell>
          <cell r="J335">
            <v>0</v>
          </cell>
          <cell r="K335">
            <v>48</v>
          </cell>
        </row>
        <row r="336">
          <cell r="A336" t="str">
            <v>365-0752</v>
          </cell>
          <cell r="B336" t="str">
            <v xml:space="preserve">CAT PL61 (WGS) CAT PL61 (WGS) (2) CAT PL61 (WGS) (3)                                        </v>
          </cell>
          <cell r="C336" t="str">
            <v>SINGLE FLANGE ROLLER</v>
          </cell>
          <cell r="D336">
            <v>537.23</v>
          </cell>
          <cell r="E336">
            <v>268.62</v>
          </cell>
          <cell r="F336" t="str">
            <v>UC</v>
          </cell>
          <cell r="G336">
            <v>48</v>
          </cell>
          <cell r="H336">
            <v>0</v>
          </cell>
          <cell r="I336">
            <v>0</v>
          </cell>
          <cell r="J336">
            <v>0</v>
          </cell>
          <cell r="K336">
            <v>48</v>
          </cell>
        </row>
        <row r="337">
          <cell r="A337" t="str">
            <v>375-6431</v>
          </cell>
          <cell r="B337" t="str">
            <v xml:space="preserve">CAT PL61 (WGS) CAT PL61 (WGS) (2) CAT PL61 (WGS) (3) CAT 299D (DX2)                                      </v>
          </cell>
          <cell r="C337" t="str">
            <v>CARRIER ROLLER</v>
          </cell>
          <cell r="D337">
            <v>558.77</v>
          </cell>
          <cell r="E337">
            <v>279.39</v>
          </cell>
          <cell r="F337" t="str">
            <v>UC</v>
          </cell>
          <cell r="G337">
            <v>10</v>
          </cell>
          <cell r="H337">
            <v>0</v>
          </cell>
          <cell r="I337">
            <v>0</v>
          </cell>
          <cell r="J337">
            <v>0</v>
          </cell>
          <cell r="K337">
            <v>10</v>
          </cell>
        </row>
        <row r="338">
          <cell r="A338" t="str">
            <v>376-1274</v>
          </cell>
          <cell r="B338" t="str">
            <v xml:space="preserve">CAT D7G (92V) CAT D7G (3ZD) CAT D7G (3ZD) (2)                                        </v>
          </cell>
          <cell r="C338" t="str">
            <v>TRACK SHOE</v>
          </cell>
          <cell r="D338">
            <v>250.75</v>
          </cell>
          <cell r="E338">
            <v>125.38</v>
          </cell>
          <cell r="F338" t="str">
            <v>UC</v>
          </cell>
          <cell r="G338">
            <v>222</v>
          </cell>
          <cell r="H338">
            <v>0</v>
          </cell>
          <cell r="I338">
            <v>0</v>
          </cell>
          <cell r="J338">
            <v>0</v>
          </cell>
          <cell r="K338">
            <v>222</v>
          </cell>
        </row>
        <row r="339">
          <cell r="A339" t="str">
            <v>376-1275</v>
          </cell>
          <cell r="B339" t="str">
            <v xml:space="preserve">CAT D7G (92V) CAT D7G (3ZD) CAT D7G (3ZD) (2)                                        </v>
          </cell>
          <cell r="C339" t="str">
            <v>MASTER SHOE</v>
          </cell>
          <cell r="D339">
            <v>199.65</v>
          </cell>
          <cell r="E339">
            <v>99.83</v>
          </cell>
          <cell r="F339" t="str">
            <v>UC</v>
          </cell>
          <cell r="G339">
            <v>6</v>
          </cell>
          <cell r="H339">
            <v>0</v>
          </cell>
          <cell r="I339">
            <v>0</v>
          </cell>
          <cell r="J339">
            <v>0</v>
          </cell>
          <cell r="K339">
            <v>6</v>
          </cell>
        </row>
        <row r="340">
          <cell r="A340" t="str">
            <v>377-2989</v>
          </cell>
          <cell r="B340" t="str">
            <v xml:space="preserve">CAT D7G (92V) CAT D7G (3ZD) CAT D7G (3ZD) (2)                                        </v>
          </cell>
          <cell r="C340" t="str">
            <v>TRACK IDLER</v>
          </cell>
          <cell r="D340">
            <v>3497.04</v>
          </cell>
          <cell r="E340">
            <v>1748.52</v>
          </cell>
          <cell r="F340" t="str">
            <v>UC</v>
          </cell>
          <cell r="G340">
            <v>6</v>
          </cell>
          <cell r="H340">
            <v>0</v>
          </cell>
          <cell r="I340">
            <v>0</v>
          </cell>
          <cell r="J340">
            <v>0</v>
          </cell>
          <cell r="K340">
            <v>6</v>
          </cell>
        </row>
        <row r="341">
          <cell r="A341" t="str">
            <v>379-8893</v>
          </cell>
          <cell r="B341" t="str">
            <v xml:space="preserve">CAT PL61 (WGS) CAT PL61 (WGS) (2) CAT PL61 (WGS) (3)                                        </v>
          </cell>
          <cell r="C341" t="str">
            <v>TRACK SHOE</v>
          </cell>
          <cell r="D341">
            <v>131.6</v>
          </cell>
          <cell r="E341">
            <v>65.8</v>
          </cell>
          <cell r="F341" t="str">
            <v>UC</v>
          </cell>
          <cell r="G341">
            <v>234</v>
          </cell>
          <cell r="H341">
            <v>0</v>
          </cell>
          <cell r="I341">
            <v>0</v>
          </cell>
          <cell r="J341">
            <v>0</v>
          </cell>
          <cell r="K341">
            <v>234</v>
          </cell>
        </row>
        <row r="342">
          <cell r="A342" t="str">
            <v>379-8894</v>
          </cell>
          <cell r="B342" t="str">
            <v xml:space="preserve">CAT PL61 (WGS) CAT PL61 (WGS) (2) CAT PL61 (WGS) (3)                                        </v>
          </cell>
          <cell r="C342" t="str">
            <v>MASTER SHOE</v>
          </cell>
          <cell r="D342">
            <v>143.16999999999999</v>
          </cell>
          <cell r="E342">
            <v>71.59</v>
          </cell>
          <cell r="F342" t="str">
            <v>UC</v>
          </cell>
          <cell r="G342">
            <v>6</v>
          </cell>
          <cell r="H342">
            <v>0</v>
          </cell>
          <cell r="I342">
            <v>0</v>
          </cell>
          <cell r="J342">
            <v>0</v>
          </cell>
          <cell r="K342">
            <v>6</v>
          </cell>
        </row>
        <row r="343">
          <cell r="A343" t="str">
            <v>389-7624 (643-4210)</v>
          </cell>
          <cell r="B343" t="str">
            <v xml:space="preserve">CAT 299D (DX2)                                            </v>
          </cell>
          <cell r="C343" t="str">
            <v>TRACK IDLER - Triple Flange</v>
          </cell>
          <cell r="D343">
            <v>630.58000000000004</v>
          </cell>
          <cell r="E343">
            <v>315.29000000000002</v>
          </cell>
          <cell r="F343" t="str">
            <v>UC</v>
          </cell>
          <cell r="G343">
            <v>2</v>
          </cell>
          <cell r="H343">
            <v>0</v>
          </cell>
          <cell r="I343">
            <v>0</v>
          </cell>
          <cell r="J343">
            <v>0</v>
          </cell>
          <cell r="K343">
            <v>2</v>
          </cell>
        </row>
        <row r="344">
          <cell r="A344" t="str">
            <v>3B4504 </v>
          </cell>
          <cell r="B344" t="str">
            <v xml:space="preserve">CAT D4 (66J)                                            </v>
          </cell>
          <cell r="C344" t="str">
            <v>FLAT WASHER</v>
          </cell>
          <cell r="D344">
            <v>0.33</v>
          </cell>
          <cell r="E344">
            <v>0.17</v>
          </cell>
          <cell r="F344" t="str">
            <v>UC</v>
          </cell>
          <cell r="G344">
            <v>12</v>
          </cell>
          <cell r="H344">
            <v>0</v>
          </cell>
          <cell r="I344">
            <v>0</v>
          </cell>
          <cell r="J344">
            <v>0</v>
          </cell>
          <cell r="K344">
            <v>12</v>
          </cell>
        </row>
        <row r="345">
          <cell r="A345" t="str">
            <v>3B-4510</v>
          </cell>
          <cell r="B345" t="str">
            <v xml:space="preserve">CAT 561 (85H) CAT 561 (92J) CAT 561 (92J) (2)                                        </v>
          </cell>
          <cell r="C345" t="str">
            <v>WASHER ROLLER</v>
          </cell>
          <cell r="D345">
            <v>0.78</v>
          </cell>
          <cell r="E345">
            <v>0.39</v>
          </cell>
          <cell r="F345" t="str">
            <v>UC</v>
          </cell>
          <cell r="G345">
            <v>144</v>
          </cell>
          <cell r="H345">
            <v>0</v>
          </cell>
          <cell r="I345">
            <v>0</v>
          </cell>
          <cell r="J345">
            <v>0</v>
          </cell>
          <cell r="K345">
            <v>144</v>
          </cell>
        </row>
        <row r="346">
          <cell r="A346" t="str">
            <v>3E-4356</v>
          </cell>
          <cell r="B346" t="str">
            <v xml:space="preserve">CAT 299D (DX2)                                            </v>
          </cell>
          <cell r="C346" t="str">
            <v>SPROCKET WASHER</v>
          </cell>
          <cell r="D346">
            <v>3.71</v>
          </cell>
          <cell r="E346">
            <v>1.86</v>
          </cell>
          <cell r="F346" t="str">
            <v>UC</v>
          </cell>
          <cell r="G346">
            <v>24</v>
          </cell>
          <cell r="H346">
            <v>0</v>
          </cell>
          <cell r="I346">
            <v>0</v>
          </cell>
          <cell r="J346">
            <v>0</v>
          </cell>
          <cell r="K346">
            <v>24</v>
          </cell>
        </row>
        <row r="347">
          <cell r="A347" t="str">
            <v>3j6571</v>
          </cell>
          <cell r="B347" t="str">
            <v xml:space="preserve">CAT D7G (92V) CAT D7G (3ZD) CAT D7G (3ZD) (2)                                        </v>
          </cell>
          <cell r="C347" t="str">
            <v>BLADE ASSEMBLY</v>
          </cell>
          <cell r="D347">
            <v>27033.599999999999</v>
          </cell>
          <cell r="E347">
            <v>10272.77</v>
          </cell>
          <cell r="F347" t="str">
            <v>UC</v>
          </cell>
          <cell r="G347">
            <v>3</v>
          </cell>
          <cell r="H347">
            <v>0</v>
          </cell>
          <cell r="I347">
            <v>0</v>
          </cell>
          <cell r="J347">
            <v>0</v>
          </cell>
          <cell r="K347">
            <v>3</v>
          </cell>
        </row>
        <row r="348">
          <cell r="A348" t="str">
            <v>3S-8182</v>
          </cell>
          <cell r="B348" t="str">
            <v xml:space="preserve">CAT D5 (3CR) CAT D5 (3CR) (2) CAT 561 (85H) CAT 561 (92J) CAT 561 (92J) (2) CAT 561M (1KW) CAT 561N (CPH) CAT 561N (CPH) (2) CAT 561N (CPH) (3) CAT 561N (CPH) (4) CAT 561N (CPH) (5) CAT PL61 (WGS) CAT PL61 (WGS) (2) CAT PL61 (WGS) (3)                  </v>
          </cell>
          <cell r="C348" t="str">
            <v>SPROCKET BOLT</v>
          </cell>
          <cell r="D348">
            <v>2.94</v>
          </cell>
          <cell r="E348">
            <v>1.47</v>
          </cell>
          <cell r="F348" t="str">
            <v>UC</v>
          </cell>
          <cell r="G348">
            <v>644</v>
          </cell>
          <cell r="H348">
            <v>0</v>
          </cell>
          <cell r="I348">
            <v>0</v>
          </cell>
          <cell r="J348">
            <v>0</v>
          </cell>
          <cell r="K348">
            <v>644</v>
          </cell>
        </row>
        <row r="349">
          <cell r="A349" t="str">
            <v>3T-3884</v>
          </cell>
          <cell r="B349" t="str">
            <v xml:space="preserve">CAT D5 (3CR) CAT D5 (3CR) (2) CAT 561N (CPH) CAT 561N (CPH) (2) CAT 561N (CPH) (3) CAT 561N (CPH) (4) CAT 561N (CPH) (5)                                </v>
          </cell>
          <cell r="C349" t="str">
            <v>TRACK BOLT</v>
          </cell>
          <cell r="D349">
            <v>5.51</v>
          </cell>
          <cell r="E349">
            <v>2.76</v>
          </cell>
          <cell r="F349" t="str">
            <v>UC</v>
          </cell>
          <cell r="G349">
            <v>606</v>
          </cell>
          <cell r="H349">
            <v>0</v>
          </cell>
          <cell r="I349">
            <v>0</v>
          </cell>
          <cell r="J349">
            <v>0</v>
          </cell>
          <cell r="K349">
            <v>606</v>
          </cell>
        </row>
        <row r="350">
          <cell r="A350" t="str">
            <v>3T-3889</v>
          </cell>
          <cell r="B350" t="str">
            <v xml:space="preserve">CAT D5 (3CR) CAT D5 (3CR) (2) CAT 561N (CPH) CAT 561N (CPH) (2) CAT 561N (CPH) (3) CAT 561N (CPH) (4) CAT 561N (CPH) (5)                                </v>
          </cell>
          <cell r="C350" t="str">
            <v>TRACK BOLT MASTER</v>
          </cell>
          <cell r="D350">
            <v>6.45</v>
          </cell>
          <cell r="E350">
            <v>3.23</v>
          </cell>
          <cell r="F350" t="str">
            <v>UC</v>
          </cell>
          <cell r="G350">
            <v>14</v>
          </cell>
          <cell r="H350">
            <v>0</v>
          </cell>
          <cell r="I350">
            <v>0</v>
          </cell>
          <cell r="J350">
            <v>0</v>
          </cell>
          <cell r="K350">
            <v>14</v>
          </cell>
        </row>
        <row r="351">
          <cell r="A351" t="str">
            <v>3T-8601</v>
          </cell>
          <cell r="B351" t="str">
            <v xml:space="preserve">CAT 561M (1KW)                                            </v>
          </cell>
          <cell r="C351" t="str">
            <v>BOLT MASTER LINK</v>
          </cell>
          <cell r="D351">
            <v>3.98</v>
          </cell>
          <cell r="E351">
            <v>1.99</v>
          </cell>
          <cell r="F351" t="str">
            <v>UC</v>
          </cell>
          <cell r="G351">
            <v>4</v>
          </cell>
          <cell r="H351">
            <v>0</v>
          </cell>
          <cell r="I351">
            <v>0</v>
          </cell>
          <cell r="J351">
            <v>0</v>
          </cell>
          <cell r="K351">
            <v>4</v>
          </cell>
        </row>
        <row r="352">
          <cell r="A352" t="str">
            <v>422-0864</v>
          </cell>
          <cell r="B352" t="str">
            <v xml:space="preserve">CAT 303.5E                                            </v>
          </cell>
          <cell r="C352" t="str">
            <v>CARRIER ROLLER</v>
          </cell>
          <cell r="D352">
            <v>403.56</v>
          </cell>
          <cell r="E352">
            <v>201.78</v>
          </cell>
          <cell r="F352" t="str">
            <v>UC</v>
          </cell>
          <cell r="G352">
            <v>2</v>
          </cell>
          <cell r="H352">
            <v>0</v>
          </cell>
          <cell r="I352">
            <v>0</v>
          </cell>
          <cell r="J352">
            <v>0</v>
          </cell>
          <cell r="K352">
            <v>2</v>
          </cell>
        </row>
        <row r="353">
          <cell r="A353" t="str">
            <v>428-0056</v>
          </cell>
          <cell r="B353" t="str">
            <v xml:space="preserve">CAT D7G (92V) CAT D7G (3ZD) CAT D7G (3ZD) (2)                                        </v>
          </cell>
          <cell r="C353" t="str">
            <v>CARRIER ROLLER</v>
          </cell>
          <cell r="D353">
            <v>722.36</v>
          </cell>
          <cell r="E353">
            <v>361.18</v>
          </cell>
          <cell r="F353" t="str">
            <v>UC</v>
          </cell>
          <cell r="G353">
            <v>6</v>
          </cell>
          <cell r="H353">
            <v>0</v>
          </cell>
          <cell r="I353">
            <v>0</v>
          </cell>
          <cell r="J353">
            <v>0</v>
          </cell>
          <cell r="K353">
            <v>6</v>
          </cell>
        </row>
        <row r="354">
          <cell r="A354" t="str">
            <v>447-1707</v>
          </cell>
          <cell r="B354" t="str">
            <v xml:space="preserve">CAT 320E L (WBK) CAT 320E L (WBK) (2) CAT 320F L (YBM) CAT 320 (HEX) CAT 320 (MYK) CAT 320 (MYK) (2)                                  </v>
          </cell>
          <cell r="C354" t="str">
            <v>IDLER BOLT</v>
          </cell>
          <cell r="D354">
            <v>7.85</v>
          </cell>
          <cell r="E354">
            <v>3.93</v>
          </cell>
          <cell r="F354" t="str">
            <v>UC</v>
          </cell>
          <cell r="G354">
            <v>48</v>
          </cell>
          <cell r="H354">
            <v>0</v>
          </cell>
          <cell r="I354">
            <v>0</v>
          </cell>
          <cell r="J354">
            <v>0</v>
          </cell>
          <cell r="K354">
            <v>48</v>
          </cell>
        </row>
        <row r="355">
          <cell r="A355" t="str">
            <v>447-1718</v>
          </cell>
          <cell r="B355" t="str">
            <v xml:space="preserve">CAT 329E L (ZCD) CAT 329F L (ERL) CAT 329F L (ERL) (2) CAT 330F L (MBX) CAT 330F L (HCK) CAT 330F L (HCK) (2)                                  </v>
          </cell>
          <cell r="C355" t="str">
            <v>IDLER BOLT</v>
          </cell>
          <cell r="D355">
            <v>10.24</v>
          </cell>
          <cell r="E355">
            <v>5.12</v>
          </cell>
          <cell r="F355" t="str">
            <v>UC</v>
          </cell>
          <cell r="G355">
            <v>48</v>
          </cell>
          <cell r="H355">
            <v>0</v>
          </cell>
          <cell r="I355">
            <v>0</v>
          </cell>
          <cell r="J355">
            <v>0</v>
          </cell>
          <cell r="K355">
            <v>48</v>
          </cell>
        </row>
        <row r="356">
          <cell r="A356" t="str">
            <v>447-1720</v>
          </cell>
          <cell r="B356" t="str">
            <v xml:space="preserve">CAT 330 (LHW) CAT 330 (LHW) (2) CAT 330 (LHW) (3) CAT 330 (LHW) (4) CAT 330 (WCH) CAT 330 (WCH) (2) CAT 330 (WCH) (3) CAT 330 (WCH) (4) CAT 330 (WCH) (5) CAT 330 (WCH) (6)                          </v>
          </cell>
          <cell r="C356" t="str">
            <v>IDLER BOLT</v>
          </cell>
          <cell r="D356">
            <v>14.28</v>
          </cell>
          <cell r="E356">
            <v>7.14</v>
          </cell>
          <cell r="F356" t="str">
            <v>UC</v>
          </cell>
          <cell r="G356">
            <v>80</v>
          </cell>
          <cell r="H356">
            <v>0</v>
          </cell>
          <cell r="I356">
            <v>0</v>
          </cell>
          <cell r="J356">
            <v>0</v>
          </cell>
          <cell r="K356">
            <v>80</v>
          </cell>
        </row>
        <row r="357">
          <cell r="A357" t="str">
            <v>447-1723</v>
          </cell>
          <cell r="B357" t="str">
            <v xml:space="preserve">CAT 336F L (RKB)                                            </v>
          </cell>
          <cell r="C357" t="str">
            <v>ROLLER BOLT</v>
          </cell>
          <cell r="D357">
            <v>31.86</v>
          </cell>
          <cell r="E357">
            <v>15.93</v>
          </cell>
          <cell r="F357" t="str">
            <v>UC</v>
          </cell>
          <cell r="G357">
            <v>72</v>
          </cell>
          <cell r="H357">
            <v>0</v>
          </cell>
          <cell r="I357">
            <v>0</v>
          </cell>
          <cell r="J357">
            <v>0</v>
          </cell>
          <cell r="K357">
            <v>72</v>
          </cell>
        </row>
        <row r="358">
          <cell r="A358" t="str">
            <v>447-1725</v>
          </cell>
          <cell r="B358" t="str">
            <v xml:space="preserve">CAT 320E L (WBK) CAT 320E L (WBK) (2) CAT 320F L (YBM) CAT 320 (HEX) CAT 320 (MYK) CAT 320 (MYK) (2) CAT 329F L (ERL) CAT 329F L (ERL) (2) CAT 330F L (MBX) CAT 330F L (HCK) CAT 330F L (HCK) (2) CAT 330 (LHW) CAT 330 (LHW) (2) CAT 330 (LHW) (3) CAT 330 (LHW) (4) CAT 330 (WCH) CAT 330 (WCH) (2) CAT 330 (WCH) (3) CAT 330 (WCH) (4) CAT 330 (WCH) (5) CAT 330 (WCH) (6)    </v>
          </cell>
          <cell r="C358" t="str">
            <v>HEX HEAD BOLT</v>
          </cell>
          <cell r="D358">
            <v>23.18</v>
          </cell>
          <cell r="E358">
            <v>11.59</v>
          </cell>
          <cell r="F358" t="str">
            <v>UC</v>
          </cell>
          <cell r="G358">
            <v>84</v>
          </cell>
          <cell r="H358">
            <v>0</v>
          </cell>
          <cell r="I358">
            <v>0</v>
          </cell>
          <cell r="J358">
            <v>0</v>
          </cell>
          <cell r="K358">
            <v>84</v>
          </cell>
        </row>
        <row r="359">
          <cell r="A359" t="str">
            <v>447-1731</v>
          </cell>
          <cell r="B359" t="str">
            <v xml:space="preserve">CAT 320E L (WBK) CAT 320E L (WBK) (2) CAT 320F L (YBM) CAT 320 (HEX) CAT 320 (MYK) CAT 320 (MYK) (2) CAT 329E L (ZCD) CAT 329F L (ERL) CAT 329F L (ERL) (2) CAT 330F L (MBX) CAT 330F L (HCK) CAT 330F L (HCK) (2) CAT 330 (LHW) CAT 330 (LHW) (2) CAT 330 (LHW) (3) CAT 330 (LHW) (4) CAT 330 (WCH) CAT 330 (WCH) (2) CAT 330 (WCH) (3) CAT 330 (WCH) (4) CAT 330 (WCH) (5) CAT 330 (WCH) (6)  </v>
          </cell>
          <cell r="C359" t="str">
            <v>HEX HEAD BOLT</v>
          </cell>
          <cell r="D359">
            <v>20.079999999999998</v>
          </cell>
          <cell r="E359">
            <v>10.039999999999999</v>
          </cell>
          <cell r="F359" t="str">
            <v>UC</v>
          </cell>
          <cell r="G359">
            <v>1536</v>
          </cell>
          <cell r="H359">
            <v>0</v>
          </cell>
          <cell r="I359">
            <v>0</v>
          </cell>
          <cell r="J359">
            <v>0</v>
          </cell>
          <cell r="K359">
            <v>1536</v>
          </cell>
        </row>
        <row r="360">
          <cell r="A360" t="str">
            <v>451-2176</v>
          </cell>
          <cell r="B360" t="str">
            <v xml:space="preserve">CAT 320E L (WBK) CAT 320E L (WBK) (2) CAT 320F L (YBM) CAT 320 (HEX) CAT 320 (MYK) CAT 320 (MYK) (2) CAT 329E L (ZCD) CAT 329F L (ERL) CAT 329F L (ERL) (2) CAT 330F L (MBX) CAT 330F L (HCK) CAT 330F L (HCK) (2) CAT 330 (LHW) CAT 330 (LHW) (2) CAT 330 (LHW) (3) CAT 330 (LHW) (4) CAT 330 (WCH) CAT 330 (WCH) (2) CAT 330 (WCH) (3) CAT 330 (WCH) (4) CAT 330 (WCH) (5) CAT 330 (WCH) (6)  </v>
          </cell>
          <cell r="C360" t="str">
            <v>FLAT WASHER</v>
          </cell>
          <cell r="D360">
            <v>2.99</v>
          </cell>
          <cell r="E360">
            <v>1.5</v>
          </cell>
          <cell r="F360" t="str">
            <v>UC</v>
          </cell>
          <cell r="G360">
            <v>1536</v>
          </cell>
          <cell r="H360">
            <v>0</v>
          </cell>
          <cell r="I360">
            <v>0</v>
          </cell>
          <cell r="J360">
            <v>0</v>
          </cell>
          <cell r="K360">
            <v>1536</v>
          </cell>
        </row>
        <row r="361">
          <cell r="A361" t="str">
            <v>451-2177</v>
          </cell>
          <cell r="B361" t="str">
            <v xml:space="preserve">CAT 336F L (RKB)                                            </v>
          </cell>
          <cell r="C361" t="str">
            <v>FLAT WASHER</v>
          </cell>
          <cell r="D361">
            <v>4.9800000000000004</v>
          </cell>
          <cell r="E361">
            <v>2.4900000000000002</v>
          </cell>
          <cell r="F361" t="str">
            <v>UC</v>
          </cell>
          <cell r="G361">
            <v>72</v>
          </cell>
          <cell r="H361">
            <v>0</v>
          </cell>
          <cell r="I361">
            <v>0</v>
          </cell>
          <cell r="J361">
            <v>0</v>
          </cell>
          <cell r="K361">
            <v>72</v>
          </cell>
        </row>
        <row r="362">
          <cell r="A362" t="str">
            <v>453-2855</v>
          </cell>
          <cell r="B362" t="str">
            <v xml:space="preserve">CAT 336F L (RKB)                                            </v>
          </cell>
          <cell r="C362" t="str">
            <v>CARRIER BOLT</v>
          </cell>
          <cell r="D362">
            <v>26.18</v>
          </cell>
          <cell r="E362">
            <v>13.09</v>
          </cell>
          <cell r="F362" t="str">
            <v>UC</v>
          </cell>
          <cell r="G362">
            <v>4</v>
          </cell>
          <cell r="H362">
            <v>0</v>
          </cell>
          <cell r="I362">
            <v>0</v>
          </cell>
          <cell r="J362">
            <v>0</v>
          </cell>
          <cell r="K362">
            <v>4</v>
          </cell>
        </row>
        <row r="363">
          <cell r="A363" t="str">
            <v>456-1742</v>
          </cell>
          <cell r="B363" t="str">
            <v xml:space="preserve">CAT D7G (92V) CAT D7G (3ZD) CAT D7G (3ZD) (2)                                        </v>
          </cell>
          <cell r="C363" t="str">
            <v>TRACK LINK 38 JOINT</v>
          </cell>
          <cell r="D363">
            <v>8201.7900000000009</v>
          </cell>
          <cell r="E363">
            <v>4100.8999999999996</v>
          </cell>
          <cell r="F363" t="str">
            <v>UC</v>
          </cell>
          <cell r="G363">
            <v>6</v>
          </cell>
          <cell r="H363">
            <v>0</v>
          </cell>
          <cell r="I363">
            <v>0</v>
          </cell>
          <cell r="J363">
            <v>0</v>
          </cell>
          <cell r="K363">
            <v>6</v>
          </cell>
        </row>
        <row r="364">
          <cell r="A364" t="str">
            <v>468-7455</v>
          </cell>
          <cell r="B364" t="str">
            <v xml:space="preserve">CAT 303.5E                                            </v>
          </cell>
          <cell r="C364" t="str">
            <v>CENTRE FLANGE ROLLER</v>
          </cell>
          <cell r="D364">
            <v>498.61</v>
          </cell>
          <cell r="E364">
            <v>249.31</v>
          </cell>
          <cell r="F364" t="str">
            <v>UC</v>
          </cell>
          <cell r="G364">
            <v>4</v>
          </cell>
          <cell r="H364">
            <v>0</v>
          </cell>
          <cell r="I364">
            <v>0</v>
          </cell>
          <cell r="J364">
            <v>0</v>
          </cell>
          <cell r="K364">
            <v>4</v>
          </cell>
        </row>
        <row r="365">
          <cell r="A365" t="str">
            <v>487-8695</v>
          </cell>
          <cell r="B365" t="str">
            <v xml:space="preserve">CAT 336F L (RKB)                                            </v>
          </cell>
          <cell r="C365" t="str">
            <v>SINGLE FLANGE TRACK ROLLER</v>
          </cell>
          <cell r="D365">
            <v>987.95</v>
          </cell>
          <cell r="E365">
            <v>493.98</v>
          </cell>
          <cell r="F365" t="str">
            <v>UC</v>
          </cell>
          <cell r="G365">
            <v>18</v>
          </cell>
          <cell r="H365">
            <v>0</v>
          </cell>
          <cell r="I365">
            <v>0</v>
          </cell>
          <cell r="J365">
            <v>0</v>
          </cell>
          <cell r="K365">
            <v>18</v>
          </cell>
        </row>
        <row r="366">
          <cell r="A366" t="str">
            <v>489-6483</v>
          </cell>
          <cell r="B366" t="str">
            <v xml:space="preserve">CAT D6N LGP (GHS)                                            </v>
          </cell>
          <cell r="C366" t="str">
            <v>SEAT ASSEMBLY</v>
          </cell>
          <cell r="D366">
            <v>3921.14</v>
          </cell>
          <cell r="E366">
            <v>1960.57</v>
          </cell>
          <cell r="F366" t="str">
            <v>UC</v>
          </cell>
          <cell r="G366">
            <v>1</v>
          </cell>
          <cell r="H366">
            <v>0</v>
          </cell>
          <cell r="I366">
            <v>0</v>
          </cell>
          <cell r="J366">
            <v>0</v>
          </cell>
          <cell r="K366">
            <v>1</v>
          </cell>
        </row>
        <row r="367">
          <cell r="A367" t="str">
            <v>490-6505</v>
          </cell>
          <cell r="B367" t="str">
            <v xml:space="preserve">CAT D6 (RDC)                                            </v>
          </cell>
          <cell r="C367" t="str">
            <v>SPROCKET SEGMENT</v>
          </cell>
          <cell r="D367">
            <v>293.17</v>
          </cell>
          <cell r="E367">
            <v>146.59</v>
          </cell>
          <cell r="F367" t="str">
            <v>UC</v>
          </cell>
          <cell r="G367">
            <v>10</v>
          </cell>
          <cell r="H367">
            <v>0</v>
          </cell>
          <cell r="I367">
            <v>0</v>
          </cell>
          <cell r="J367">
            <v>0</v>
          </cell>
          <cell r="K367">
            <v>10</v>
          </cell>
        </row>
        <row r="368">
          <cell r="A368" t="str">
            <v>491-4518</v>
          </cell>
          <cell r="B368" t="str">
            <v xml:space="preserve">CAT D6 (RDC)                                            </v>
          </cell>
          <cell r="C368" t="str">
            <v>SPROCKET BOLT</v>
          </cell>
          <cell r="D368">
            <v>9.4700000000000006</v>
          </cell>
          <cell r="E368">
            <v>4.74</v>
          </cell>
          <cell r="F368" t="str">
            <v>UC</v>
          </cell>
          <cell r="G368">
            <v>50</v>
          </cell>
          <cell r="H368">
            <v>0</v>
          </cell>
          <cell r="I368">
            <v>0</v>
          </cell>
          <cell r="J368">
            <v>0</v>
          </cell>
          <cell r="K368">
            <v>50</v>
          </cell>
        </row>
        <row r="369">
          <cell r="A369" t="str">
            <v>499-9026</v>
          </cell>
          <cell r="B369" t="str">
            <v xml:space="preserve">CAT D3 (1PJ)                                            </v>
          </cell>
          <cell r="C369" t="str">
            <v>SINGLE FLANGE TRACK ROLLER</v>
          </cell>
          <cell r="D369">
            <v>579.6</v>
          </cell>
          <cell r="E369">
            <v>289.8</v>
          </cell>
          <cell r="F369" t="str">
            <v>UC</v>
          </cell>
          <cell r="G369">
            <v>12</v>
          </cell>
          <cell r="H369">
            <v>0</v>
          </cell>
          <cell r="I369">
            <v>0</v>
          </cell>
          <cell r="J369">
            <v>0</v>
          </cell>
          <cell r="K369">
            <v>12</v>
          </cell>
        </row>
        <row r="370">
          <cell r="A370" t="str">
            <v>499-9049</v>
          </cell>
          <cell r="B370" t="str">
            <v xml:space="preserve">CAT D3 (1PJ)                                            </v>
          </cell>
          <cell r="C370" t="str">
            <v>DOUBLE FLANGE TRACK ROLLER (GUIDE AR)*</v>
          </cell>
          <cell r="D370">
            <v>623.29</v>
          </cell>
          <cell r="E370">
            <v>311.64999999999998</v>
          </cell>
          <cell r="F370" t="str">
            <v>UC</v>
          </cell>
          <cell r="G370">
            <v>8</v>
          </cell>
          <cell r="H370">
            <v>0</v>
          </cell>
          <cell r="I370">
            <v>0</v>
          </cell>
          <cell r="J370">
            <v>0</v>
          </cell>
          <cell r="K370">
            <v>8</v>
          </cell>
        </row>
        <row r="371">
          <cell r="A371" t="str">
            <v>4N-2955</v>
          </cell>
          <cell r="B371" t="str">
            <v xml:space="preserve">CAT D4 (66J)                                            </v>
          </cell>
          <cell r="C371" t="str">
            <v>SPROCKET BOLT</v>
          </cell>
          <cell r="D371">
            <v>5.71</v>
          </cell>
          <cell r="E371">
            <v>2.86</v>
          </cell>
          <cell r="F371" t="str">
            <v>UC</v>
          </cell>
          <cell r="G371">
            <v>12</v>
          </cell>
          <cell r="H371">
            <v>0</v>
          </cell>
          <cell r="I371">
            <v>0</v>
          </cell>
          <cell r="J371">
            <v>0</v>
          </cell>
          <cell r="K371">
            <v>12</v>
          </cell>
        </row>
        <row r="372">
          <cell r="A372" t="str">
            <v>4S9051 </v>
          </cell>
          <cell r="B372" t="str">
            <v xml:space="preserve">CAT D7G (92V) CAT D7G (3ZD) CAT D7G (3ZD) (2)                                        </v>
          </cell>
          <cell r="C372" t="str">
            <v>SINGLE FLANGE ROLLER</v>
          </cell>
          <cell r="D372">
            <v>1122.06</v>
          </cell>
          <cell r="E372">
            <v>561.03</v>
          </cell>
          <cell r="F372" t="str">
            <v>UC</v>
          </cell>
          <cell r="G372">
            <v>36</v>
          </cell>
          <cell r="H372">
            <v>0</v>
          </cell>
          <cell r="I372">
            <v>0</v>
          </cell>
          <cell r="J372">
            <v>0</v>
          </cell>
          <cell r="K372">
            <v>36</v>
          </cell>
        </row>
        <row r="373">
          <cell r="A373" t="str">
            <v>4V-4106</v>
          </cell>
          <cell r="B373" t="str">
            <v xml:space="preserve">CAT D4 (66J)                                            </v>
          </cell>
          <cell r="C373" t="str">
            <v>SPROCKET SEGMENT</v>
          </cell>
          <cell r="D373">
            <v>1870.5</v>
          </cell>
          <cell r="E373">
            <v>935.25</v>
          </cell>
          <cell r="F373" t="str">
            <v>UC</v>
          </cell>
          <cell r="G373">
            <v>2</v>
          </cell>
          <cell r="H373">
            <v>0</v>
          </cell>
          <cell r="I373">
            <v>0</v>
          </cell>
          <cell r="J373">
            <v>0</v>
          </cell>
          <cell r="K373">
            <v>2</v>
          </cell>
        </row>
        <row r="374">
          <cell r="A374" t="str">
            <v>503-1353</v>
          </cell>
          <cell r="B374" t="str">
            <v xml:space="preserve">CAT 329E L (ZCD) CAT 329F L (ERL) CAT 329F L (ERL) (2) CAT 330F L (MBX) CAT 330F L (HCK) CAT 330F L (HCK) (2) CAT 330 (LHW) CAT 330 (LHW) (2) CAT 330 (LHW) (3) CAT 330 (LHW) (4) CAT 330 (WCH) CAT 330 (WCH) (2) CAT 330 (WCH) (3) CAT 330 (WCH) (4) CAT 330 (WCH) (5) CAT 330 (WCH) (6)              </v>
          </cell>
          <cell r="C374" t="str">
            <v>SINGLE FLANGE TRACK ROLLER</v>
          </cell>
          <cell r="D374">
            <v>862.15</v>
          </cell>
          <cell r="E374">
            <v>431.08</v>
          </cell>
          <cell r="F374" t="str">
            <v>UC</v>
          </cell>
          <cell r="G374">
            <v>288</v>
          </cell>
          <cell r="H374">
            <v>0</v>
          </cell>
          <cell r="I374">
            <v>0</v>
          </cell>
          <cell r="J374">
            <v>0</v>
          </cell>
          <cell r="K374">
            <v>288</v>
          </cell>
        </row>
        <row r="375">
          <cell r="A375" t="str">
            <v>504-5774</v>
          </cell>
          <cell r="B375" t="str">
            <v xml:space="preserve">CAT D6 (RDC)                                            </v>
          </cell>
          <cell r="C375" t="str">
            <v>HEX NUT</v>
          </cell>
          <cell r="D375">
            <v>10.44</v>
          </cell>
          <cell r="E375">
            <v>5.22</v>
          </cell>
          <cell r="F375" t="str">
            <v>UC</v>
          </cell>
          <cell r="G375">
            <v>50</v>
          </cell>
          <cell r="H375">
            <v>0</v>
          </cell>
          <cell r="I375">
            <v>0</v>
          </cell>
          <cell r="J375">
            <v>0</v>
          </cell>
          <cell r="K375">
            <v>50</v>
          </cell>
        </row>
        <row r="376">
          <cell r="A376" t="str">
            <v>517-2065</v>
          </cell>
          <cell r="B376" t="str">
            <v xml:space="preserve">CAT 330 (LHW) CAT 330 (LHW) (2) CAT 330 (LHW) (3) CAT 330 (LHW) (4) CAT 330 (WCH) CAT 330 (WCH) (2) CAT 330 (WCH) (3) CAT 330 (WCH) (4) CAT 330 (WCH) (5) CAT 330 (WCH) (6)                          </v>
          </cell>
          <cell r="C376" t="str">
            <v>TRACK SHOE 800MM</v>
          </cell>
          <cell r="D376">
            <v>230.91</v>
          </cell>
          <cell r="E376">
            <v>115.46</v>
          </cell>
          <cell r="F376" t="str">
            <v>UC</v>
          </cell>
          <cell r="G376">
            <v>1000</v>
          </cell>
          <cell r="H376">
            <v>0</v>
          </cell>
          <cell r="I376">
            <v>0</v>
          </cell>
          <cell r="J376">
            <v>0</v>
          </cell>
          <cell r="K376">
            <v>1000</v>
          </cell>
        </row>
        <row r="377">
          <cell r="A377" t="str">
            <v>520-7951</v>
          </cell>
          <cell r="B377" t="str">
            <v xml:space="preserve">CAT 336F L (RKB)                                            </v>
          </cell>
          <cell r="C377" t="str">
            <v>SPROCKET BOLT</v>
          </cell>
          <cell r="D377">
            <v>22.52</v>
          </cell>
          <cell r="E377">
            <v>11.26</v>
          </cell>
          <cell r="F377" t="str">
            <v>UC</v>
          </cell>
          <cell r="G377">
            <v>32</v>
          </cell>
          <cell r="H377">
            <v>0</v>
          </cell>
          <cell r="I377">
            <v>0</v>
          </cell>
          <cell r="J377">
            <v>0</v>
          </cell>
          <cell r="K377">
            <v>32</v>
          </cell>
        </row>
        <row r="378">
          <cell r="A378" t="str">
            <v>533-5536</v>
          </cell>
          <cell r="B378" t="str">
            <v xml:space="preserve">CAT D3 (1PJ)                                            </v>
          </cell>
          <cell r="C378" t="str">
            <v>TRACK IDLER AND BEARING ASSY</v>
          </cell>
          <cell r="D378">
            <v>1859.1</v>
          </cell>
          <cell r="E378">
            <v>929.55</v>
          </cell>
          <cell r="F378" t="str">
            <v>UC</v>
          </cell>
          <cell r="G378">
            <v>2</v>
          </cell>
          <cell r="H378">
            <v>0</v>
          </cell>
          <cell r="I378">
            <v>0</v>
          </cell>
          <cell r="J378">
            <v>0</v>
          </cell>
          <cell r="K378">
            <v>2</v>
          </cell>
        </row>
        <row r="379">
          <cell r="A379" t="str">
            <v>536-3549 (643-4210)</v>
          </cell>
          <cell r="B379" t="str">
            <v xml:space="preserve">CAT 299D (DX2)                                            </v>
          </cell>
          <cell r="C379" t="str">
            <v>Triple FLANGE ROLLER</v>
          </cell>
          <cell r="D379">
            <v>630.58000000000004</v>
          </cell>
          <cell r="E379">
            <v>315.29000000000002</v>
          </cell>
          <cell r="F379" t="str">
            <v>UC</v>
          </cell>
          <cell r="G379">
            <v>10</v>
          </cell>
          <cell r="H379">
            <v>0</v>
          </cell>
          <cell r="I379">
            <v>0</v>
          </cell>
          <cell r="J379">
            <v>0</v>
          </cell>
          <cell r="K379">
            <v>10</v>
          </cell>
        </row>
        <row r="380">
          <cell r="A380" t="str">
            <v>540-3825</v>
          </cell>
          <cell r="B380" t="str">
            <v xml:space="preserve">CAT D6T (MH7)                                            </v>
          </cell>
          <cell r="C380" t="str">
            <v>TRACK SHOE RH - 790MM - OFFSET</v>
          </cell>
          <cell r="D380">
            <v>223.22</v>
          </cell>
          <cell r="E380">
            <v>111.61</v>
          </cell>
          <cell r="F380" t="str">
            <v>UC</v>
          </cell>
          <cell r="G380">
            <v>44</v>
          </cell>
          <cell r="H380">
            <v>0</v>
          </cell>
          <cell r="I380">
            <v>0</v>
          </cell>
          <cell r="J380">
            <v>0</v>
          </cell>
          <cell r="K380">
            <v>44</v>
          </cell>
        </row>
        <row r="381">
          <cell r="A381" t="str">
            <v>540-3826</v>
          </cell>
          <cell r="B381" t="str">
            <v xml:space="preserve">CAT D6T (MH7)                                            </v>
          </cell>
          <cell r="C381" t="str">
            <v>TRACK SHOE MASTER RH</v>
          </cell>
          <cell r="D381">
            <v>242.72</v>
          </cell>
          <cell r="E381">
            <v>121.36</v>
          </cell>
          <cell r="F381" t="str">
            <v>UC</v>
          </cell>
          <cell r="G381">
            <v>1</v>
          </cell>
          <cell r="H381">
            <v>0</v>
          </cell>
          <cell r="I381">
            <v>0</v>
          </cell>
          <cell r="J381">
            <v>0</v>
          </cell>
          <cell r="K381">
            <v>1</v>
          </cell>
        </row>
        <row r="382">
          <cell r="A382" t="str">
            <v>540-3827</v>
          </cell>
          <cell r="B382" t="str">
            <v xml:space="preserve">CAT D6T (MH7)                                            </v>
          </cell>
          <cell r="C382" t="str">
            <v>TRACK SHOE LH - 790MM - OFFSET</v>
          </cell>
          <cell r="D382">
            <v>223.22</v>
          </cell>
          <cell r="E382">
            <v>111.61</v>
          </cell>
          <cell r="F382" t="str">
            <v>UC</v>
          </cell>
          <cell r="G382">
            <v>44</v>
          </cell>
          <cell r="H382">
            <v>0</v>
          </cell>
          <cell r="I382">
            <v>0</v>
          </cell>
          <cell r="J382">
            <v>0</v>
          </cell>
          <cell r="K382">
            <v>44</v>
          </cell>
        </row>
        <row r="383">
          <cell r="A383" t="str">
            <v>540-3828</v>
          </cell>
          <cell r="B383" t="str">
            <v xml:space="preserve">CAT D6T (MH7)                                            </v>
          </cell>
          <cell r="C383" t="str">
            <v>TRACK SHOE MASTER LH</v>
          </cell>
          <cell r="D383">
            <v>235.62</v>
          </cell>
          <cell r="E383">
            <v>117.81</v>
          </cell>
          <cell r="F383" t="str">
            <v>UC</v>
          </cell>
          <cell r="G383">
            <v>1</v>
          </cell>
          <cell r="H383">
            <v>0</v>
          </cell>
          <cell r="I383">
            <v>0</v>
          </cell>
          <cell r="J383">
            <v>0</v>
          </cell>
          <cell r="K383">
            <v>1</v>
          </cell>
        </row>
        <row r="384">
          <cell r="A384" t="str">
            <v>541-4630</v>
          </cell>
          <cell r="B384" t="str">
            <v xml:space="preserve">CAT D4 (66J) CAT D6N LGP (GHS) CAT D6N LGP (SGG) CAT D6N LGP (SGG) (2)                                      </v>
          </cell>
          <cell r="C384" t="str">
            <v>TRACK LINK ASSEMBLY</v>
          </cell>
          <cell r="D384">
            <v>13503.77</v>
          </cell>
          <cell r="E384">
            <v>6751.89</v>
          </cell>
          <cell r="F384" t="str">
            <v>UC</v>
          </cell>
          <cell r="G384">
            <v>8</v>
          </cell>
          <cell r="H384">
            <v>0</v>
          </cell>
          <cell r="I384">
            <v>0</v>
          </cell>
          <cell r="J384">
            <v>0</v>
          </cell>
          <cell r="K384">
            <v>8</v>
          </cell>
        </row>
        <row r="385">
          <cell r="A385" t="str">
            <v>551-2067</v>
          </cell>
          <cell r="B385" t="str">
            <v xml:space="preserve">CAT D7G (92V) CAT D7G (3ZD) CAT D7G (3ZD) (2)                                        </v>
          </cell>
          <cell r="C385" t="str">
            <v>DUAL FLANGE ROLLER</v>
          </cell>
          <cell r="D385">
            <v>1169.26</v>
          </cell>
          <cell r="E385">
            <v>584.63</v>
          </cell>
          <cell r="F385" t="str">
            <v>UC</v>
          </cell>
          <cell r="G385">
            <v>36</v>
          </cell>
          <cell r="H385">
            <v>0</v>
          </cell>
          <cell r="I385">
            <v>0</v>
          </cell>
          <cell r="J385">
            <v>0</v>
          </cell>
          <cell r="K385">
            <v>36</v>
          </cell>
        </row>
        <row r="386">
          <cell r="A386" t="str">
            <v>561-1069</v>
          </cell>
          <cell r="B386" t="str">
            <v xml:space="preserve">CAT D6N LGP (PBA) CAT D6N LGP (PBA) (2)                                          </v>
          </cell>
          <cell r="C386" t="str">
            <v xml:space="preserve">TRACK LINK ASSEMBLY </v>
          </cell>
          <cell r="D386">
            <v>17735.5</v>
          </cell>
          <cell r="E386">
            <v>8867.75</v>
          </cell>
          <cell r="F386" t="str">
            <v>UC</v>
          </cell>
          <cell r="G386">
            <v>4</v>
          </cell>
          <cell r="H386">
            <v>0</v>
          </cell>
          <cell r="I386">
            <v>0</v>
          </cell>
          <cell r="J386">
            <v>0</v>
          </cell>
          <cell r="K386">
            <v>4</v>
          </cell>
        </row>
        <row r="387">
          <cell r="A387" t="str">
            <v>565-4423</v>
          </cell>
          <cell r="B387" t="str">
            <v xml:space="preserve">CAT D6T (MH7)                                            </v>
          </cell>
          <cell r="C387" t="str">
            <v>TRACK LINK ASSEMBLY</v>
          </cell>
          <cell r="D387">
            <v>15772.81</v>
          </cell>
          <cell r="E387">
            <v>7886.41</v>
          </cell>
          <cell r="F387" t="str">
            <v>UC</v>
          </cell>
          <cell r="G387">
            <v>2</v>
          </cell>
          <cell r="H387">
            <v>0</v>
          </cell>
          <cell r="I387">
            <v>0</v>
          </cell>
          <cell r="J387">
            <v>0</v>
          </cell>
          <cell r="K387">
            <v>2</v>
          </cell>
        </row>
        <row r="388">
          <cell r="A388" t="str">
            <v>566-2975</v>
          </cell>
          <cell r="B388" t="str">
            <v xml:space="preserve">CAT 303.5E                                            </v>
          </cell>
          <cell r="C388" t="str">
            <v>RUBBER TRACKS</v>
          </cell>
          <cell r="D388">
            <v>2467.27</v>
          </cell>
          <cell r="E388">
            <v>1233.6400000000001</v>
          </cell>
          <cell r="F388" t="str">
            <v>UC</v>
          </cell>
          <cell r="G388">
            <v>2</v>
          </cell>
          <cell r="H388">
            <v>0</v>
          </cell>
          <cell r="I388">
            <v>0</v>
          </cell>
          <cell r="J388">
            <v>0</v>
          </cell>
          <cell r="K388">
            <v>2</v>
          </cell>
        </row>
        <row r="389">
          <cell r="A389" t="str">
            <v>592-5829</v>
          </cell>
          <cell r="B389" t="str">
            <v xml:space="preserve">CAT 299D (DX2)                                            </v>
          </cell>
          <cell r="C389" t="str">
            <v>Rubber Track - 400MM</v>
          </cell>
          <cell r="D389">
            <v>3322.14</v>
          </cell>
          <cell r="E389">
            <v>1661.07</v>
          </cell>
          <cell r="F389" t="str">
            <v>UC</v>
          </cell>
          <cell r="G389">
            <v>2</v>
          </cell>
          <cell r="H389">
            <v>0</v>
          </cell>
          <cell r="I389">
            <v>0</v>
          </cell>
          <cell r="J389">
            <v>0</v>
          </cell>
          <cell r="K389">
            <v>2</v>
          </cell>
        </row>
        <row r="390">
          <cell r="A390" t="str">
            <v>596-4526</v>
          </cell>
          <cell r="B390" t="str">
            <v xml:space="preserve">CAT D6 (RDC)                                            </v>
          </cell>
          <cell r="C390" t="str">
            <v>TRACK LINK 46 JOINT</v>
          </cell>
          <cell r="D390">
            <v>10339.93</v>
          </cell>
          <cell r="E390">
            <v>5169.97</v>
          </cell>
          <cell r="F390" t="str">
            <v>UC</v>
          </cell>
          <cell r="G390">
            <v>2</v>
          </cell>
          <cell r="H390">
            <v>0</v>
          </cell>
          <cell r="I390">
            <v>0</v>
          </cell>
          <cell r="J390">
            <v>0</v>
          </cell>
          <cell r="K390">
            <v>2</v>
          </cell>
        </row>
        <row r="391">
          <cell r="A391" t="str">
            <v>596-8460</v>
          </cell>
          <cell r="B391" t="str">
            <v xml:space="preserve">CAT 320E L (WBK) CAT 320E L (WBK) (2) CAT 320F L (YBM) CAT 320 (HEX) CAT 320 (MYK) CAT 320 (MYK) (2)                                  </v>
          </cell>
          <cell r="C391" t="str">
            <v xml:space="preserve">TRACK LINK ASSEMBLY </v>
          </cell>
          <cell r="D391">
            <v>8238.4699999999993</v>
          </cell>
          <cell r="E391">
            <v>4119.24</v>
          </cell>
          <cell r="F391" t="str">
            <v>UC</v>
          </cell>
          <cell r="G391">
            <v>12</v>
          </cell>
          <cell r="H391">
            <v>0</v>
          </cell>
          <cell r="I391">
            <v>0</v>
          </cell>
          <cell r="J391">
            <v>0</v>
          </cell>
          <cell r="K391">
            <v>12</v>
          </cell>
        </row>
        <row r="392">
          <cell r="A392" t="str">
            <v>5A-3187</v>
          </cell>
          <cell r="B392" t="str">
            <v xml:space="preserve">CAT D3 (1PJ)                                            </v>
          </cell>
          <cell r="C392" t="str">
            <v>TRACK BOLT</v>
          </cell>
          <cell r="D392">
            <v>3.73</v>
          </cell>
          <cell r="E392">
            <v>1.87</v>
          </cell>
          <cell r="F392" t="str">
            <v>UC</v>
          </cell>
          <cell r="G392">
            <v>344</v>
          </cell>
          <cell r="H392">
            <v>0</v>
          </cell>
          <cell r="I392">
            <v>0</v>
          </cell>
          <cell r="J392">
            <v>0</v>
          </cell>
          <cell r="K392">
            <v>344</v>
          </cell>
        </row>
        <row r="393">
          <cell r="A393" t="str">
            <v>5P-8245</v>
          </cell>
          <cell r="B393" t="str">
            <v xml:space="preserve">CAT D3 (1PJ)                                            </v>
          </cell>
          <cell r="C393" t="str">
            <v>FLAT WASHER</v>
          </cell>
          <cell r="D393">
            <v>1.86</v>
          </cell>
          <cell r="E393">
            <v>0.93</v>
          </cell>
          <cell r="F393" t="str">
            <v>UC</v>
          </cell>
          <cell r="G393">
            <v>50</v>
          </cell>
          <cell r="H393">
            <v>0</v>
          </cell>
          <cell r="I393">
            <v>0</v>
          </cell>
          <cell r="J393">
            <v>0</v>
          </cell>
          <cell r="K393">
            <v>50</v>
          </cell>
        </row>
        <row r="394">
          <cell r="A394" t="str">
            <v>5S-0724</v>
          </cell>
          <cell r="B394" t="str">
            <v xml:space="preserve">CAT 561 (85H) CAT 561 (92J) CAT 561 (92J) (2)                                        </v>
          </cell>
          <cell r="C394" t="str">
            <v>SPROCKET</v>
          </cell>
          <cell r="D394">
            <v>566.69000000000005</v>
          </cell>
          <cell r="E394">
            <v>283.35000000000002</v>
          </cell>
          <cell r="F394" t="str">
            <v>UC</v>
          </cell>
          <cell r="G394">
            <v>54</v>
          </cell>
          <cell r="H394">
            <v>0</v>
          </cell>
          <cell r="I394">
            <v>0</v>
          </cell>
          <cell r="J394">
            <v>0</v>
          </cell>
          <cell r="K394">
            <v>54</v>
          </cell>
        </row>
        <row r="395">
          <cell r="A395" t="str">
            <v>5S-0822</v>
          </cell>
          <cell r="B395" t="str">
            <v xml:space="preserve">CAT 561 (85H) CAT 561 (92J) CAT 561 (92J) (2)                                        </v>
          </cell>
          <cell r="C395" t="str">
            <v>TRACK SHOE</v>
          </cell>
          <cell r="D395">
            <v>89.68</v>
          </cell>
          <cell r="E395">
            <v>44.84</v>
          </cell>
          <cell r="F395" t="str">
            <v>UC</v>
          </cell>
          <cell r="G395">
            <v>234</v>
          </cell>
          <cell r="H395">
            <v>0</v>
          </cell>
          <cell r="I395">
            <v>0</v>
          </cell>
          <cell r="J395">
            <v>0</v>
          </cell>
          <cell r="K395">
            <v>234</v>
          </cell>
        </row>
        <row r="396">
          <cell r="A396" t="str">
            <v>604-1761</v>
          </cell>
          <cell r="B396" t="str">
            <v xml:space="preserve">CAT 320E L (WBK) CAT 320E L (WBK) (2) CAT 320F L (YBM) CAT 320 (HEX) CAT 320 (MYK) CAT 320 (MYK) (2)                                  </v>
          </cell>
          <cell r="C396" t="str">
            <v>SINGLE FLANGE TRACK ROLLER</v>
          </cell>
          <cell r="D396">
            <v>748.26</v>
          </cell>
          <cell r="E396">
            <v>374.13</v>
          </cell>
          <cell r="F396" t="str">
            <v>UC</v>
          </cell>
          <cell r="G396">
            <v>96</v>
          </cell>
          <cell r="H396">
            <v>0</v>
          </cell>
          <cell r="I396">
            <v>0</v>
          </cell>
          <cell r="J396">
            <v>0</v>
          </cell>
          <cell r="K396">
            <v>96</v>
          </cell>
        </row>
        <row r="397">
          <cell r="A397" t="str">
            <v>607-2263</v>
          </cell>
          <cell r="B397" t="str">
            <v xml:space="preserve">CAT 329E L (ZCD) CAT 329F L (ERL) CAT 329F L (ERL) (2) CAT 330F L (MBX) CAT 330F L (HCK) CAT 330F L (HCK) (2) CAT 330 (LHW) CAT 330 (LHW) (2) CAT 330 (LHW) (3) CAT 330 (LHW) (4) CAT 330 (WCH) CAT 330 (WCH) (2) CAT 330 (WCH) (3) CAT 330 (WCH) (4) CAT 330 (WCH) (5) CAT 330 (WCH) (6)              </v>
          </cell>
          <cell r="C397" t="str">
            <v>SPROCKET BOLT</v>
          </cell>
          <cell r="D397">
            <v>10.72</v>
          </cell>
          <cell r="E397">
            <v>5.36</v>
          </cell>
          <cell r="F397" t="str">
            <v>UC</v>
          </cell>
          <cell r="G397">
            <v>576</v>
          </cell>
          <cell r="H397">
            <v>0</v>
          </cell>
          <cell r="I397">
            <v>0</v>
          </cell>
          <cell r="J397">
            <v>0</v>
          </cell>
          <cell r="K397">
            <v>576</v>
          </cell>
        </row>
        <row r="398">
          <cell r="A398" t="str">
            <v>610-6264</v>
          </cell>
          <cell r="B398" t="str">
            <v xml:space="preserve">CAT 330 (LHW) CAT 330 (LHW) (2) CAT 330 (LHW) (3) CAT 330 (LHW) (4) CAT 330 (WCH) CAT 330 (WCH) (2) CAT 330 (WCH) (3) CAT 330 (WCH) (4) CAT 330 (WCH) (5) CAT 330 (WCH) (6)                          </v>
          </cell>
          <cell r="C398" t="str">
            <v>TRACK LINK ASSEMBLY</v>
          </cell>
          <cell r="D398">
            <v>10788.51</v>
          </cell>
          <cell r="E398">
            <v>5394.26</v>
          </cell>
          <cell r="F398" t="str">
            <v>UC</v>
          </cell>
          <cell r="G398">
            <v>20</v>
          </cell>
          <cell r="H398">
            <v>0</v>
          </cell>
          <cell r="I398">
            <v>0</v>
          </cell>
          <cell r="J398">
            <v>0</v>
          </cell>
          <cell r="K398">
            <v>20</v>
          </cell>
        </row>
        <row r="399">
          <cell r="A399" t="str">
            <v>629-6309</v>
          </cell>
          <cell r="B399" t="str">
            <v xml:space="preserve">CAT 329F L (ERL) CAT 329F L (ERL) (2) CAT 330F L (MBX) CAT 330F L (HCK) CAT 330F L (HCK) (2) CAT 330 (LHW) CAT 330 (LHW) (2) CAT 330 (LHW) (3) CAT 330 (LHW) (4) CAT 330 (WCH) CAT 330 (WCH) (2) CAT 330 (WCH) (3) CAT 330 (WCH) (4) CAT 330 (WCH) (5) CAT 330 (WCH) (6)                </v>
          </cell>
          <cell r="C399" t="str">
            <v>SECONDARY TUBROCHARGER ASSEMBLY</v>
          </cell>
          <cell r="D399">
            <v>3634.22</v>
          </cell>
          <cell r="E399">
            <v>1817.11</v>
          </cell>
          <cell r="F399" t="str">
            <v>UC</v>
          </cell>
          <cell r="G399">
            <v>15</v>
          </cell>
          <cell r="H399">
            <v>0</v>
          </cell>
          <cell r="I399">
            <v>0</v>
          </cell>
          <cell r="J399">
            <v>0</v>
          </cell>
          <cell r="K399">
            <v>15</v>
          </cell>
        </row>
        <row r="400">
          <cell r="A400" t="str">
            <v>6I-2378</v>
          </cell>
          <cell r="B400" t="str">
            <v xml:space="preserve">CAT D3 (1PJ)                                            </v>
          </cell>
          <cell r="C400" t="str">
            <v>CYLINDER HEAD</v>
          </cell>
          <cell r="D400">
            <v>6130.36</v>
          </cell>
          <cell r="E400">
            <v>3065.18</v>
          </cell>
          <cell r="F400" t="str">
            <v>UC</v>
          </cell>
          <cell r="G400">
            <v>1</v>
          </cell>
          <cell r="H400">
            <v>0</v>
          </cell>
          <cell r="I400">
            <v>0</v>
          </cell>
          <cell r="J400">
            <v>0</v>
          </cell>
          <cell r="K400">
            <v>1</v>
          </cell>
        </row>
        <row r="401">
          <cell r="A401" t="str">
            <v>6I-8077</v>
          </cell>
          <cell r="B401" t="str">
            <v xml:space="preserve">CAT D6N LGP (GHS) CAT D6N LGP (PBA) CAT D6N LGP (PBA) (2) CAT D6N LGP (SGG) CAT D6N LGP (SGG) (2)                                    </v>
          </cell>
          <cell r="C401" t="str">
            <v>SPROCKET SEGMENT</v>
          </cell>
          <cell r="D401">
            <v>204.05</v>
          </cell>
          <cell r="E401">
            <v>102.03</v>
          </cell>
          <cell r="F401" t="str">
            <v>UC</v>
          </cell>
          <cell r="G401">
            <v>50</v>
          </cell>
          <cell r="H401">
            <v>0</v>
          </cell>
          <cell r="I401">
            <v>0</v>
          </cell>
          <cell r="J401">
            <v>0</v>
          </cell>
          <cell r="K401">
            <v>50</v>
          </cell>
        </row>
        <row r="402">
          <cell r="A402" t="str">
            <v>6K-9880</v>
          </cell>
          <cell r="B402" t="str">
            <v xml:space="preserve">CAT D4 (66J) CAT D5 (3CR) CAT D5 (3CR) (2) CAT 561M (1KW) CAT 561N (CPH) CAT 561N (CPH) (2) CAT 561N (CPH) (3) CAT 561N (CPH) (4) CAT 561N (CPH) (5)                            </v>
          </cell>
          <cell r="C402" t="str">
            <v>CARRIER ROLLER</v>
          </cell>
          <cell r="D402">
            <v>520.11</v>
          </cell>
          <cell r="E402">
            <v>260.06</v>
          </cell>
          <cell r="F402" t="str">
            <v>UC</v>
          </cell>
          <cell r="G402">
            <v>18</v>
          </cell>
          <cell r="H402">
            <v>0</v>
          </cell>
          <cell r="I402">
            <v>0</v>
          </cell>
          <cell r="J402">
            <v>0</v>
          </cell>
          <cell r="K402">
            <v>18</v>
          </cell>
        </row>
        <row r="403">
          <cell r="A403" t="str">
            <v>6S3609</v>
          </cell>
          <cell r="B403" t="str">
            <v xml:space="preserve">CAT D3 (1PJ)                                            </v>
          </cell>
          <cell r="C403" t="str">
            <v>CARRIER ROLLER</v>
          </cell>
          <cell r="D403">
            <v>493.88</v>
          </cell>
          <cell r="E403">
            <v>246.94</v>
          </cell>
          <cell r="F403" t="str">
            <v>UC</v>
          </cell>
          <cell r="G403">
            <v>2</v>
          </cell>
          <cell r="H403">
            <v>0</v>
          </cell>
          <cell r="I403">
            <v>0</v>
          </cell>
          <cell r="J403">
            <v>0</v>
          </cell>
          <cell r="K403">
            <v>2</v>
          </cell>
        </row>
        <row r="404">
          <cell r="A404" t="str">
            <v>6T-0232</v>
          </cell>
          <cell r="B404" t="str">
            <v xml:space="preserve">CAT 561N (CPH) CAT 561N (CPH) (2) CAT 561N (CPH) (3) CAT 561N (CPH) (4) CAT 561N (CPH) (5)                                    </v>
          </cell>
          <cell r="C404" t="str">
            <v>TRACK SHOE</v>
          </cell>
          <cell r="D404">
            <v>655.30999999999995</v>
          </cell>
          <cell r="E404">
            <v>327.66000000000003</v>
          </cell>
          <cell r="F404" t="str">
            <v>UC</v>
          </cell>
          <cell r="G404">
            <v>440</v>
          </cell>
          <cell r="H404">
            <v>0</v>
          </cell>
          <cell r="I404">
            <v>0</v>
          </cell>
          <cell r="J404">
            <v>0</v>
          </cell>
          <cell r="K404">
            <v>440</v>
          </cell>
        </row>
        <row r="405">
          <cell r="A405" t="str">
            <v>6T-2779</v>
          </cell>
          <cell r="B405" t="str">
            <v xml:space="preserve">CAT D3 (1PJ)                                            </v>
          </cell>
          <cell r="C405" t="str">
            <v>TRACK SHOE MASTER</v>
          </cell>
          <cell r="D405">
            <v>729.52</v>
          </cell>
          <cell r="E405">
            <v>364.76</v>
          </cell>
          <cell r="F405" t="str">
            <v>UC</v>
          </cell>
          <cell r="G405">
            <v>2</v>
          </cell>
          <cell r="H405">
            <v>0</v>
          </cell>
          <cell r="I405">
            <v>0</v>
          </cell>
          <cell r="J405">
            <v>0</v>
          </cell>
          <cell r="K405">
            <v>2</v>
          </cell>
        </row>
        <row r="406">
          <cell r="A406" t="str">
            <v>6T-2780</v>
          </cell>
          <cell r="B406" t="str">
            <v xml:space="preserve">CAT D3 (1PJ)                                            </v>
          </cell>
          <cell r="C406" t="str">
            <v>TRACK SHOE SINGLE GROUSER 860MM</v>
          </cell>
          <cell r="D406">
            <v>693.26</v>
          </cell>
          <cell r="E406">
            <v>346.63</v>
          </cell>
          <cell r="F406" t="str">
            <v>UC</v>
          </cell>
          <cell r="G406">
            <v>86</v>
          </cell>
          <cell r="H406">
            <v>0</v>
          </cell>
          <cell r="I406">
            <v>0</v>
          </cell>
          <cell r="J406">
            <v>0</v>
          </cell>
          <cell r="K406">
            <v>86</v>
          </cell>
        </row>
        <row r="407">
          <cell r="A407" t="str">
            <v>6V-0937</v>
          </cell>
          <cell r="B407" t="str">
            <v xml:space="preserve">CAT D6N LGP (GHS) CAT D6N LGP (PBA) CAT D6N LGP (PBA) (2) CAT D6N LGP (SGG) CAT D6N LGP (SGG) (2) CAT D6T (MH7)                                  </v>
          </cell>
          <cell r="C407" t="str">
            <v>SPROCKET BOLT</v>
          </cell>
          <cell r="D407">
            <v>3.14</v>
          </cell>
          <cell r="E407">
            <v>1.57</v>
          </cell>
          <cell r="F407" t="str">
            <v>UC</v>
          </cell>
          <cell r="G407">
            <v>300</v>
          </cell>
          <cell r="H407">
            <v>0</v>
          </cell>
          <cell r="I407">
            <v>0</v>
          </cell>
          <cell r="J407">
            <v>0</v>
          </cell>
          <cell r="K407">
            <v>300</v>
          </cell>
        </row>
        <row r="408">
          <cell r="A408" t="str">
            <v>6V-1792</v>
          </cell>
          <cell r="B408" t="str">
            <v xml:space="preserve">CAT D4 (66J) CAT D6 (RDC) CAT D6N LGP (GHS) CAT D6N LGP (SGG) CAT D6N LGP (SGG) (2) CAT D6T (MH7) CAT PL61 (WGS) CAT PL61 (WGS) (2) CAT PL61 (WGS) (3)                            </v>
          </cell>
          <cell r="C408" t="str">
            <v>TRACK BOLT</v>
          </cell>
          <cell r="D408">
            <v>5.38</v>
          </cell>
          <cell r="E408">
            <v>2.69</v>
          </cell>
          <cell r="F408" t="str">
            <v>UC</v>
          </cell>
          <cell r="G408">
            <v>3088</v>
          </cell>
          <cell r="H408">
            <v>0</v>
          </cell>
          <cell r="I408">
            <v>0</v>
          </cell>
          <cell r="J408">
            <v>0</v>
          </cell>
          <cell r="K408">
            <v>3088</v>
          </cell>
        </row>
        <row r="409">
          <cell r="A409" t="str">
            <v>6V-3669</v>
          </cell>
          <cell r="B409" t="str">
            <v xml:space="preserve">CAT D6T (MH7)                                            </v>
          </cell>
          <cell r="C409" t="str">
            <v>ROLLER BOLT</v>
          </cell>
          <cell r="D409">
            <v>13.48</v>
          </cell>
          <cell r="E409">
            <v>6.74</v>
          </cell>
          <cell r="F409" t="str">
            <v>UC</v>
          </cell>
          <cell r="G409">
            <v>64</v>
          </cell>
          <cell r="H409">
            <v>0</v>
          </cell>
          <cell r="I409">
            <v>0</v>
          </cell>
          <cell r="J409">
            <v>0</v>
          </cell>
          <cell r="K409">
            <v>64</v>
          </cell>
        </row>
        <row r="410">
          <cell r="A410" t="str">
            <v>6V-4316</v>
          </cell>
          <cell r="B410" t="str">
            <v xml:space="preserve">CAT D5 (3CR) CAT D5 (3CR) (2) CAT 561M (1KW) CAT 561N (CPH) CAT 561N (CPH) (2) CAT 561N (CPH) (3) CAT 561N (CPH) (4) CAT 561N (CPH) (5)                              </v>
          </cell>
          <cell r="C410" t="str">
            <v>FLAT WASHER</v>
          </cell>
          <cell r="D410">
            <v>3.41</v>
          </cell>
          <cell r="E410">
            <v>1.71</v>
          </cell>
          <cell r="F410" t="str">
            <v>UC</v>
          </cell>
          <cell r="G410">
            <v>320</v>
          </cell>
          <cell r="H410">
            <v>0</v>
          </cell>
          <cell r="I410">
            <v>0</v>
          </cell>
          <cell r="J410">
            <v>0</v>
          </cell>
          <cell r="K410">
            <v>320</v>
          </cell>
        </row>
        <row r="411">
          <cell r="A411" t="str">
            <v>6V-9167</v>
          </cell>
          <cell r="B411" t="str">
            <v xml:space="preserve">CAT D6T (MH7)                                            </v>
          </cell>
          <cell r="C411" t="str">
            <v>IDLER CAP BOLT</v>
          </cell>
          <cell r="D411">
            <v>27.02</v>
          </cell>
          <cell r="E411">
            <v>13.51</v>
          </cell>
          <cell r="F411" t="str">
            <v>UC</v>
          </cell>
          <cell r="G411">
            <v>16</v>
          </cell>
          <cell r="H411">
            <v>0</v>
          </cell>
          <cell r="I411">
            <v>0</v>
          </cell>
          <cell r="J411">
            <v>0</v>
          </cell>
          <cell r="K411">
            <v>16</v>
          </cell>
        </row>
        <row r="412">
          <cell r="A412" t="str">
            <v>6Y-0846</v>
          </cell>
          <cell r="B412" t="str">
            <v xml:space="preserve">CAT D6N LGP (PBA) CAT D6N LGP (PBA) (2)                                          </v>
          </cell>
          <cell r="C412" t="str">
            <v>TRACK BOLT</v>
          </cell>
          <cell r="D412">
            <v>6.32</v>
          </cell>
          <cell r="E412">
            <v>3.16</v>
          </cell>
          <cell r="F412" t="str">
            <v>UC</v>
          </cell>
          <cell r="G412">
            <v>720</v>
          </cell>
          <cell r="H412">
            <v>0</v>
          </cell>
          <cell r="I412">
            <v>0</v>
          </cell>
          <cell r="J412">
            <v>0</v>
          </cell>
          <cell r="K412">
            <v>720</v>
          </cell>
        </row>
        <row r="413">
          <cell r="A413" t="str">
            <v>6Y-2126</v>
          </cell>
          <cell r="B413" t="str">
            <v xml:space="preserve">CAT 329E L (ZCD) CAT 329F L (ERL) CAT 329F L (ERL) (2) CAT 330F L (MBX) CAT 330F L (HCK) CAT 330F L (HCK) (2)                                  </v>
          </cell>
          <cell r="C413" t="str">
            <v>TRACK SHOE 800MM</v>
          </cell>
          <cell r="D413">
            <v>230.39</v>
          </cell>
          <cell r="E413">
            <v>115.2</v>
          </cell>
          <cell r="F413" t="str">
            <v>UC</v>
          </cell>
          <cell r="G413">
            <v>600</v>
          </cell>
          <cell r="H413">
            <v>0</v>
          </cell>
          <cell r="I413">
            <v>0</v>
          </cell>
          <cell r="J413">
            <v>0</v>
          </cell>
          <cell r="K413">
            <v>600</v>
          </cell>
        </row>
        <row r="414">
          <cell r="A414" t="str">
            <v>6Y-4898</v>
          </cell>
          <cell r="B414" t="str">
            <v xml:space="preserve">CAT 329E L (ZCD) CAT 329F L (ERL) CAT 329F L (ERL) (2) CAT 330F L (MBX) CAT 330F L (HCK) CAT 330F L (HCK) (2) CAT 330 (LHW) CAT 330 (LHW) (2) CAT 330 (LHW) (3) CAT 330 (LHW) (4) CAT 330 (WCH) CAT 330 (WCH) (2) CAT 330 (WCH) (3) CAT 330 (WCH) (4) CAT 330 (WCH) (5) CAT 330 (WCH) (6)              </v>
          </cell>
          <cell r="C414" t="str">
            <v>TRACK SPROCKET</v>
          </cell>
          <cell r="D414">
            <v>1259.02</v>
          </cell>
          <cell r="E414">
            <v>629.51</v>
          </cell>
          <cell r="F414" t="str">
            <v>UC</v>
          </cell>
          <cell r="G414">
            <v>32</v>
          </cell>
          <cell r="H414">
            <v>0</v>
          </cell>
          <cell r="I414">
            <v>0</v>
          </cell>
          <cell r="J414">
            <v>0</v>
          </cell>
          <cell r="K414">
            <v>32</v>
          </cell>
        </row>
        <row r="415">
          <cell r="A415" t="str">
            <v>6Y-5685</v>
          </cell>
          <cell r="B415" t="str">
            <v xml:space="preserve">CAT 336F L (RKB)                                            </v>
          </cell>
          <cell r="C415" t="str">
            <v>TRACK SPROCKET</v>
          </cell>
          <cell r="D415">
            <v>1567.41</v>
          </cell>
          <cell r="E415">
            <v>783.71</v>
          </cell>
          <cell r="F415" t="str">
            <v>UC</v>
          </cell>
          <cell r="G415">
            <v>2</v>
          </cell>
          <cell r="H415">
            <v>0</v>
          </cell>
          <cell r="I415">
            <v>0</v>
          </cell>
          <cell r="J415">
            <v>0</v>
          </cell>
          <cell r="K415">
            <v>2</v>
          </cell>
        </row>
        <row r="416">
          <cell r="A416" t="str">
            <v>6Y-6300</v>
          </cell>
          <cell r="B416" t="str">
            <v xml:space="preserve">CAT D6 (RDC)                                            </v>
          </cell>
          <cell r="C416" t="str">
            <v>MASTER SHOE</v>
          </cell>
          <cell r="D416">
            <v>240.45</v>
          </cell>
          <cell r="E416">
            <v>120.23</v>
          </cell>
          <cell r="F416" t="str">
            <v>UC</v>
          </cell>
          <cell r="G416">
            <v>2</v>
          </cell>
          <cell r="H416">
            <v>0</v>
          </cell>
          <cell r="I416">
            <v>0</v>
          </cell>
          <cell r="J416">
            <v>0</v>
          </cell>
          <cell r="K416">
            <v>2</v>
          </cell>
        </row>
        <row r="417">
          <cell r="A417" t="str">
            <v>6Y-8180</v>
          </cell>
          <cell r="B417" t="str">
            <v xml:space="preserve">CAT 336F L (RKB)                                            </v>
          </cell>
          <cell r="C417" t="str">
            <v>TRACK SHOE 850MM</v>
          </cell>
          <cell r="D417">
            <v>260.58</v>
          </cell>
          <cell r="E417">
            <v>130.29</v>
          </cell>
          <cell r="F417" t="str">
            <v>UC</v>
          </cell>
          <cell r="G417">
            <v>98</v>
          </cell>
          <cell r="H417">
            <v>0</v>
          </cell>
          <cell r="I417">
            <v>0</v>
          </cell>
          <cell r="J417">
            <v>0</v>
          </cell>
          <cell r="K417">
            <v>98</v>
          </cell>
        </row>
        <row r="418">
          <cell r="A418" t="str">
            <v>6Y-8973</v>
          </cell>
          <cell r="B418" t="str">
            <v xml:space="preserve">CAT D6 (RDC)                                            </v>
          </cell>
          <cell r="C418" t="str">
            <v>TRACK SHOE</v>
          </cell>
          <cell r="D418">
            <v>185.5</v>
          </cell>
          <cell r="E418">
            <v>92.75</v>
          </cell>
          <cell r="F418" t="str">
            <v>UC</v>
          </cell>
          <cell r="G418">
            <v>90</v>
          </cell>
          <cell r="H418">
            <v>0</v>
          </cell>
          <cell r="I418">
            <v>0</v>
          </cell>
          <cell r="J418">
            <v>0</v>
          </cell>
          <cell r="K418">
            <v>90</v>
          </cell>
        </row>
        <row r="419">
          <cell r="A419" t="str">
            <v>6Y-9024</v>
          </cell>
          <cell r="B419" t="str">
            <v xml:space="preserve">CAT 330 (LHW) CAT 330 (LHW) (2) CAT 330 (LHW) (3) CAT 330 (LHW) (4) CAT 330 (WCH) CAT 330 (WCH) (2) CAT 330 (WCH) (3) CAT 330 (WCH) (4) CAT 330 (WCH) (5) CAT 330 (WCH) (6)                          </v>
          </cell>
          <cell r="C419" t="str">
            <v>TRACK BOLT</v>
          </cell>
          <cell r="D419">
            <v>8.3699999999999992</v>
          </cell>
          <cell r="E419">
            <v>4.1900000000000004</v>
          </cell>
          <cell r="F419" t="str">
            <v>UC</v>
          </cell>
          <cell r="G419">
            <v>4000</v>
          </cell>
          <cell r="H419">
            <v>0</v>
          </cell>
          <cell r="I419">
            <v>0</v>
          </cell>
          <cell r="J419">
            <v>0</v>
          </cell>
          <cell r="K419">
            <v>4000</v>
          </cell>
        </row>
        <row r="420">
          <cell r="A420" t="str">
            <v>7H-3597</v>
          </cell>
          <cell r="B420" t="str">
            <v xml:space="preserve">CAT 561 (85H) CAT 561 (92J) CAT 561 (92J) (2)                                        </v>
          </cell>
          <cell r="C420" t="str">
            <v>BOLT TRACK SHOE</v>
          </cell>
          <cell r="D420">
            <v>2.84</v>
          </cell>
          <cell r="E420">
            <v>1.42</v>
          </cell>
          <cell r="F420" t="str">
            <v>UC</v>
          </cell>
          <cell r="G420">
            <v>1086</v>
          </cell>
          <cell r="H420">
            <v>0</v>
          </cell>
          <cell r="I420">
            <v>0</v>
          </cell>
          <cell r="J420">
            <v>0</v>
          </cell>
          <cell r="K420">
            <v>1086</v>
          </cell>
        </row>
        <row r="421">
          <cell r="A421" t="str">
            <v>7h-3599</v>
          </cell>
          <cell r="B421" t="str">
            <v xml:space="preserve">CAT D7G (92V) CAT D7G (3ZD) CAT D7G (3ZD) (2)                                        </v>
          </cell>
          <cell r="C421" t="str">
            <v>TRACK BOLT</v>
          </cell>
          <cell r="D421">
            <v>4.01</v>
          </cell>
          <cell r="E421">
            <v>2.0099999999999998</v>
          </cell>
          <cell r="F421" t="str">
            <v>UC</v>
          </cell>
          <cell r="G421">
            <v>888</v>
          </cell>
          <cell r="H421">
            <v>0</v>
          </cell>
          <cell r="I421">
            <v>0</v>
          </cell>
          <cell r="J421">
            <v>0</v>
          </cell>
          <cell r="K421">
            <v>888</v>
          </cell>
        </row>
        <row r="422">
          <cell r="A422" t="str">
            <v>7H-3607</v>
          </cell>
          <cell r="B422" t="str">
            <v>CAT D5 (3CR) CAT D5 (3CR) (2) CAT D6N LGP (GHS) CAT D6N LGP (PBA) CAT D6N LGP (PBA) (2) CAT D6N LGP (SGG) CAT D6N LGP (SGG) (2) CAT D6T (MH7) CAT D7G (92V) CAT D7G (3ZD) CAT D7G (3ZD) (2) CAT 561 (85H) CAT 561 (92J) CAT 561 (92J) (2) CAT 561M (1KW) CAT 561N (CPH) CAT 561N (CPH) (2) CAT 561N (CPH) (3) CAT 561N (CPH) (4) CAT 561N (CPH) (5) CAT PL61 (WGS) CAT PL61 (WGS) (2) CAT PL61 (WGS) (3)</v>
          </cell>
          <cell r="C422" t="str">
            <v>SPROCKET NUT</v>
          </cell>
          <cell r="D422">
            <v>3.41</v>
          </cell>
          <cell r="E422">
            <v>1.71</v>
          </cell>
          <cell r="F422" t="str">
            <v>UC</v>
          </cell>
          <cell r="G422">
            <v>1064</v>
          </cell>
          <cell r="H422">
            <v>0</v>
          </cell>
          <cell r="I422">
            <v>0</v>
          </cell>
          <cell r="J422">
            <v>0</v>
          </cell>
          <cell r="K422">
            <v>1064</v>
          </cell>
        </row>
        <row r="423">
          <cell r="A423" t="str">
            <v>7K-2017</v>
          </cell>
          <cell r="B423" t="str">
            <v xml:space="preserve">CAT D3 (1PJ)                                            </v>
          </cell>
          <cell r="C423" t="str">
            <v>TRACK NUT</v>
          </cell>
          <cell r="D423">
            <v>1.47</v>
          </cell>
          <cell r="E423">
            <v>0.74</v>
          </cell>
          <cell r="F423" t="str">
            <v>UC</v>
          </cell>
          <cell r="G423">
            <v>344</v>
          </cell>
          <cell r="H423">
            <v>0</v>
          </cell>
          <cell r="I423">
            <v>0</v>
          </cell>
          <cell r="J423">
            <v>0</v>
          </cell>
          <cell r="K423">
            <v>344</v>
          </cell>
        </row>
        <row r="424">
          <cell r="A424" t="str">
            <v>7T-3501</v>
          </cell>
          <cell r="B424" t="str">
            <v xml:space="preserve">CAT 561 (85H) CAT 561 (92J) CAT 561 (92J) (2)                                        </v>
          </cell>
          <cell r="C424" t="str">
            <v>IDLER AS</v>
          </cell>
          <cell r="D424">
            <v>2106.39</v>
          </cell>
          <cell r="E424">
            <v>1053.2</v>
          </cell>
          <cell r="F424" t="str">
            <v>UC</v>
          </cell>
          <cell r="G424">
            <v>12</v>
          </cell>
          <cell r="H424">
            <v>0</v>
          </cell>
          <cell r="I424">
            <v>0</v>
          </cell>
          <cell r="J424">
            <v>0</v>
          </cell>
          <cell r="K424">
            <v>12</v>
          </cell>
        </row>
        <row r="425">
          <cell r="A425" t="str">
            <v>7X-0515</v>
          </cell>
          <cell r="B425" t="str">
            <v xml:space="preserve">CAT 303.5E                                            </v>
          </cell>
          <cell r="C425" t="str">
            <v>TRACK WASHER</v>
          </cell>
          <cell r="D425">
            <v>5.59</v>
          </cell>
          <cell r="E425">
            <v>2.8</v>
          </cell>
          <cell r="F425" t="str">
            <v>UC</v>
          </cell>
          <cell r="G425">
            <v>20</v>
          </cell>
          <cell r="H425">
            <v>0</v>
          </cell>
          <cell r="I425">
            <v>0</v>
          </cell>
          <cell r="J425">
            <v>0</v>
          </cell>
          <cell r="K425">
            <v>20</v>
          </cell>
        </row>
        <row r="426">
          <cell r="A426" t="str">
            <v>7X-2532</v>
          </cell>
          <cell r="B426" t="str">
            <v xml:space="preserve">CAT D6N LGP (PBA) CAT D6N LGP (PBA) (2) CAT D6N LGP (SGG) CAT D6N LGP (SGG) (2)                                      </v>
          </cell>
          <cell r="C426" t="str">
            <v>CARRIER BOLT</v>
          </cell>
          <cell r="D426">
            <v>31.3</v>
          </cell>
          <cell r="E426">
            <v>15.65</v>
          </cell>
          <cell r="F426" t="str">
            <v>UC</v>
          </cell>
          <cell r="G426">
            <v>16</v>
          </cell>
          <cell r="H426">
            <v>0</v>
          </cell>
          <cell r="I426">
            <v>0</v>
          </cell>
          <cell r="J426">
            <v>0</v>
          </cell>
          <cell r="K426">
            <v>16</v>
          </cell>
        </row>
        <row r="427">
          <cell r="A427" t="str">
            <v>8E-5600</v>
          </cell>
          <cell r="B427" t="str">
            <v xml:space="preserve">CAT 320E L (WBK) CAT 320E L (WBK) (2) CAT 320F L (YBM) CAT 320 (HEX) CAT 320 (MYK) CAT 320 (MYK) (2)                                  </v>
          </cell>
          <cell r="C427" t="str">
            <v>CARRIER ROLLER</v>
          </cell>
          <cell r="D427">
            <v>537.45000000000005</v>
          </cell>
          <cell r="E427">
            <v>268.73</v>
          </cell>
          <cell r="F427" t="str">
            <v>UC</v>
          </cell>
          <cell r="G427">
            <v>24</v>
          </cell>
          <cell r="H427">
            <v>0</v>
          </cell>
          <cell r="I427">
            <v>0</v>
          </cell>
          <cell r="J427">
            <v>0</v>
          </cell>
          <cell r="K427">
            <v>24</v>
          </cell>
        </row>
        <row r="428">
          <cell r="A428" t="str">
            <v>8E-9805</v>
          </cell>
          <cell r="B428" t="str">
            <v xml:space="preserve">CAT 320E L (WBK) CAT 320E L (WBK) (2) CAT 320F L (YBM) CAT 320 (HEX) CAT 320 (MYK) CAT 320 (MYK) (2)                                  </v>
          </cell>
          <cell r="C428" t="str">
            <v>TRACK SPROCKET</v>
          </cell>
          <cell r="D428">
            <v>1064.58</v>
          </cell>
          <cell r="E428">
            <v>532.29</v>
          </cell>
          <cell r="F428" t="str">
            <v>UC</v>
          </cell>
          <cell r="G428">
            <v>12</v>
          </cell>
          <cell r="H428">
            <v>0</v>
          </cell>
          <cell r="I428">
            <v>0</v>
          </cell>
          <cell r="J428">
            <v>0</v>
          </cell>
          <cell r="K428">
            <v>12</v>
          </cell>
        </row>
        <row r="429">
          <cell r="A429" t="str">
            <v>8E-9812</v>
          </cell>
          <cell r="B429" t="str">
            <v xml:space="preserve">CAT 561M (1KW)                                            </v>
          </cell>
          <cell r="C429" t="str">
            <v>TRACK SHOE</v>
          </cell>
          <cell r="D429">
            <v>89.36</v>
          </cell>
          <cell r="E429">
            <v>44.68</v>
          </cell>
          <cell r="F429" t="str">
            <v>UC</v>
          </cell>
          <cell r="G429">
            <v>88</v>
          </cell>
          <cell r="H429">
            <v>0</v>
          </cell>
          <cell r="I429">
            <v>0</v>
          </cell>
          <cell r="J429">
            <v>0</v>
          </cell>
          <cell r="K429">
            <v>88</v>
          </cell>
        </row>
        <row r="430">
          <cell r="A430" t="str">
            <v>8H-5724</v>
          </cell>
          <cell r="B430" t="str">
            <v xml:space="preserve">CAT D3 (1PJ)                                            </v>
          </cell>
          <cell r="C430" t="str">
            <v>SPROCKET NUT</v>
          </cell>
          <cell r="D430">
            <v>0.67</v>
          </cell>
          <cell r="E430">
            <v>0.34</v>
          </cell>
          <cell r="F430" t="str">
            <v>UC</v>
          </cell>
          <cell r="G430">
            <v>50</v>
          </cell>
          <cell r="H430">
            <v>0</v>
          </cell>
          <cell r="I430">
            <v>0</v>
          </cell>
          <cell r="J430">
            <v>0</v>
          </cell>
          <cell r="K430">
            <v>50</v>
          </cell>
        </row>
        <row r="431">
          <cell r="A431" t="str">
            <v>8N-1187</v>
          </cell>
          <cell r="B431" t="str">
            <v xml:space="preserve">CAT D7G (92V) CAT D7G (3ZD) CAT D7G (3ZD) (2)                                        </v>
          </cell>
          <cell r="C431" t="str">
            <v>CYLINDER HEAD</v>
          </cell>
          <cell r="D431">
            <v>7409.03</v>
          </cell>
          <cell r="E431">
            <v>3704.52</v>
          </cell>
          <cell r="F431" t="str">
            <v>UC</v>
          </cell>
          <cell r="G431">
            <v>3</v>
          </cell>
          <cell r="H431">
            <v>0</v>
          </cell>
          <cell r="I431">
            <v>0</v>
          </cell>
          <cell r="J431">
            <v>0</v>
          </cell>
          <cell r="K431">
            <v>3</v>
          </cell>
        </row>
        <row r="432">
          <cell r="A432" t="str">
            <v>8P-8174</v>
          </cell>
          <cell r="B432" t="str">
            <v xml:space="preserve">CAT D7G (92V) CAT D7G (3ZD) CAT D7G (3ZD) (2)                                        </v>
          </cell>
          <cell r="C432" t="str">
            <v>SPROCKET SEGMENT</v>
          </cell>
          <cell r="D432">
            <v>111.66</v>
          </cell>
          <cell r="E432">
            <v>55.83</v>
          </cell>
          <cell r="F432" t="str">
            <v>UC</v>
          </cell>
          <cell r="G432">
            <v>30</v>
          </cell>
          <cell r="H432">
            <v>0</v>
          </cell>
          <cell r="I432">
            <v>0</v>
          </cell>
          <cell r="J432">
            <v>0</v>
          </cell>
          <cell r="K432">
            <v>30</v>
          </cell>
        </row>
        <row r="433">
          <cell r="A433" t="str">
            <v>8T-0281</v>
          </cell>
          <cell r="B433" t="str">
            <v xml:space="preserve">CAT D6N LGP (PBA) CAT D6N LGP (PBA) (2) CAT D6N LGP (SGG) CAT D6N LGP (SGG) (2)                                      </v>
          </cell>
          <cell r="C433" t="str">
            <v>ROLLER BOLT</v>
          </cell>
          <cell r="D433">
            <v>8.73</v>
          </cell>
          <cell r="E433">
            <v>4.37</v>
          </cell>
          <cell r="F433" t="str">
            <v>UC</v>
          </cell>
          <cell r="G433">
            <v>256</v>
          </cell>
          <cell r="H433">
            <v>0</v>
          </cell>
          <cell r="I433">
            <v>0</v>
          </cell>
          <cell r="J433">
            <v>0</v>
          </cell>
          <cell r="K433">
            <v>256</v>
          </cell>
        </row>
        <row r="434">
          <cell r="A434" t="str">
            <v>8T-0282</v>
          </cell>
          <cell r="B434" t="str">
            <v xml:space="preserve">CAT D6N LGP (SGG) CAT D6N LGP (SGG) (2) CAT 561M (1KW)                                        </v>
          </cell>
          <cell r="C434" t="str">
            <v>IDLER CAP BOLT - REAR</v>
          </cell>
          <cell r="D434">
            <v>12.9</v>
          </cell>
          <cell r="E434">
            <v>6.45</v>
          </cell>
          <cell r="F434" t="str">
            <v>UC</v>
          </cell>
          <cell r="G434">
            <v>32</v>
          </cell>
          <cell r="H434">
            <v>0</v>
          </cell>
          <cell r="I434">
            <v>0</v>
          </cell>
          <cell r="J434">
            <v>0</v>
          </cell>
          <cell r="K434">
            <v>32</v>
          </cell>
        </row>
        <row r="435">
          <cell r="A435" t="str">
            <v>8T-0359</v>
          </cell>
          <cell r="B435" t="str">
            <v xml:space="preserve">CAT D6N LGP (SGG) CAT D6N LGP (SGG) (2)                                          </v>
          </cell>
          <cell r="C435" t="str">
            <v xml:space="preserve">IDLER CAP BOLT - FRONT </v>
          </cell>
          <cell r="D435">
            <v>14.24</v>
          </cell>
          <cell r="E435">
            <v>7.12</v>
          </cell>
          <cell r="F435" t="str">
            <v>UC</v>
          </cell>
          <cell r="G435">
            <v>16</v>
          </cell>
          <cell r="H435">
            <v>0</v>
          </cell>
          <cell r="I435">
            <v>0</v>
          </cell>
          <cell r="J435">
            <v>0</v>
          </cell>
          <cell r="K435">
            <v>16</v>
          </cell>
        </row>
        <row r="436">
          <cell r="A436" t="str">
            <v>8T-0656</v>
          </cell>
          <cell r="B436" t="str">
            <v xml:space="preserve">CAT D6 (RDC)                                            </v>
          </cell>
          <cell r="C436" t="str">
            <v>IDLER BOLT</v>
          </cell>
          <cell r="D436">
            <v>25.19</v>
          </cell>
          <cell r="E436">
            <v>12.6</v>
          </cell>
          <cell r="F436" t="str">
            <v>UC</v>
          </cell>
          <cell r="G436">
            <v>16</v>
          </cell>
          <cell r="H436">
            <v>0</v>
          </cell>
          <cell r="I436">
            <v>0</v>
          </cell>
          <cell r="J436">
            <v>0</v>
          </cell>
          <cell r="K436">
            <v>16</v>
          </cell>
        </row>
        <row r="437">
          <cell r="A437" t="str">
            <v>8T-3282</v>
          </cell>
          <cell r="B437" t="str">
            <v xml:space="preserve">CAT 329E L (ZCD) CAT 329F L (ERL) CAT 329F L (ERL) (2) CAT 330F L (MBX) CAT 330F L (HCK) CAT 330F L (HCK) (2) CAT 330 (LHW) CAT 330 (LHW) (2) CAT 330 (LHW) (3) CAT 330 (LHW) (4) CAT 330 (WCH) CAT 330 (WCH) (2) CAT 330 (WCH) (3) CAT 330 (WCH) (4) CAT 330 (WCH) (5) CAT 330 (WCH) (6) CAT D6T (MH7) CAT D6T (MH7)          </v>
          </cell>
          <cell r="C437" t="str">
            <v>FLAT WASHER</v>
          </cell>
          <cell r="D437">
            <v>2.83</v>
          </cell>
          <cell r="E437">
            <v>1.42</v>
          </cell>
          <cell r="F437" t="str">
            <v>UC</v>
          </cell>
          <cell r="G437">
            <v>656</v>
          </cell>
          <cell r="H437">
            <v>0</v>
          </cell>
          <cell r="I437">
            <v>0</v>
          </cell>
          <cell r="J437">
            <v>0</v>
          </cell>
          <cell r="K437">
            <v>656</v>
          </cell>
        </row>
        <row r="438">
          <cell r="A438" t="str">
            <v>8T-4123</v>
          </cell>
          <cell r="B438" t="str">
            <v xml:space="preserve">CAT D6 (RDC) CAT D6N LGP (PBA) CAT D6N LGP (PBA) (2) CAT D6N LGP (SGG) CAT D6N LGP (SGG) (2) CAT D6T (MH7)                                  </v>
          </cell>
          <cell r="C438" t="str">
            <v>FLAT WASHER</v>
          </cell>
          <cell r="D438">
            <v>3.56</v>
          </cell>
          <cell r="E438">
            <v>1.78</v>
          </cell>
          <cell r="F438" t="str">
            <v>UC</v>
          </cell>
          <cell r="G438">
            <v>40</v>
          </cell>
          <cell r="H438">
            <v>0</v>
          </cell>
          <cell r="I438">
            <v>0</v>
          </cell>
          <cell r="J438">
            <v>0</v>
          </cell>
          <cell r="K438">
            <v>40</v>
          </cell>
        </row>
        <row r="439">
          <cell r="A439" t="str">
            <v>8T-4131</v>
          </cell>
          <cell r="B439" t="str">
            <v xml:space="preserve">CAT D6N LGP (PBA) CAT D6N LGP (PBA) (2) CAT D6N LGP (SGG) CAT D6N LGP (SGG) (2)                                      </v>
          </cell>
          <cell r="C439" t="str">
            <v>HEX NUT</v>
          </cell>
          <cell r="D439">
            <v>6.85</v>
          </cell>
          <cell r="E439">
            <v>3.43</v>
          </cell>
          <cell r="F439" t="str">
            <v>UC</v>
          </cell>
          <cell r="G439">
            <v>16</v>
          </cell>
          <cell r="H439">
            <v>0</v>
          </cell>
          <cell r="I439">
            <v>0</v>
          </cell>
          <cell r="J439">
            <v>0</v>
          </cell>
          <cell r="K439">
            <v>16</v>
          </cell>
        </row>
        <row r="440">
          <cell r="A440" t="str">
            <v>8T-4132</v>
          </cell>
          <cell r="B440" t="str">
            <v xml:space="preserve">CAT 303.5E                                            </v>
          </cell>
          <cell r="C440" t="str">
            <v>CARIER NUT</v>
          </cell>
          <cell r="D440">
            <v>3.77</v>
          </cell>
          <cell r="E440">
            <v>1.89</v>
          </cell>
          <cell r="F440" t="str">
            <v>UC</v>
          </cell>
          <cell r="G440">
            <v>4</v>
          </cell>
          <cell r="H440">
            <v>0</v>
          </cell>
          <cell r="I440">
            <v>0</v>
          </cell>
          <cell r="J440">
            <v>0</v>
          </cell>
          <cell r="K440">
            <v>4</v>
          </cell>
        </row>
        <row r="441">
          <cell r="A441" t="str">
            <v>8T-4192</v>
          </cell>
          <cell r="B441" t="str">
            <v xml:space="preserve">CAT D6N LGP (GHS) CAT D6N LGP (PBA) CAT D6N LGP (PBA) (2) CAT D6N LGP (SGG) CAT D6N LGP (SGG) (2)                                    </v>
          </cell>
          <cell r="C441" t="str">
            <v>HEX HEAD BOLT</v>
          </cell>
          <cell r="D441">
            <v>2.42</v>
          </cell>
          <cell r="E441">
            <v>1.21</v>
          </cell>
          <cell r="F441" t="str">
            <v>UC</v>
          </cell>
          <cell r="G441">
            <v>120</v>
          </cell>
          <cell r="H441">
            <v>0</v>
          </cell>
          <cell r="I441">
            <v>0</v>
          </cell>
          <cell r="J441">
            <v>0</v>
          </cell>
          <cell r="K441">
            <v>120</v>
          </cell>
        </row>
        <row r="442">
          <cell r="A442" t="str">
            <v>8T-4223</v>
          </cell>
          <cell r="B442" t="str">
            <v xml:space="preserve">CAT D6N LGP (GHS) CAT D6N LGP (PBA) CAT D6N LGP (PBA) (2) CAT D6N LGP (SGG) CAT D6N LGP (SGG) (2)                                    </v>
          </cell>
          <cell r="C442" t="str">
            <v>FLAT WASHER</v>
          </cell>
          <cell r="D442">
            <v>2.15</v>
          </cell>
          <cell r="E442">
            <v>1.08</v>
          </cell>
          <cell r="F442" t="str">
            <v>UC</v>
          </cell>
          <cell r="G442">
            <v>132</v>
          </cell>
          <cell r="H442">
            <v>0</v>
          </cell>
          <cell r="I442">
            <v>0</v>
          </cell>
          <cell r="J442">
            <v>0</v>
          </cell>
          <cell r="K442">
            <v>132</v>
          </cell>
        </row>
        <row r="443">
          <cell r="A443" t="str">
            <v>8T-6430</v>
          </cell>
          <cell r="B443" t="str">
            <v xml:space="preserve">CAT 336F L (RKB)                                            </v>
          </cell>
          <cell r="C443" t="str">
            <v>IDLER BOLT</v>
          </cell>
          <cell r="D443">
            <v>12.21</v>
          </cell>
          <cell r="E443">
            <v>6.11</v>
          </cell>
          <cell r="F443" t="str">
            <v>UC</v>
          </cell>
          <cell r="G443">
            <v>8</v>
          </cell>
          <cell r="H443">
            <v>0</v>
          </cell>
          <cell r="I443">
            <v>0</v>
          </cell>
          <cell r="J443">
            <v>0</v>
          </cell>
          <cell r="K443">
            <v>8</v>
          </cell>
        </row>
        <row r="444">
          <cell r="A444" t="str">
            <v>8T-7338</v>
          </cell>
          <cell r="B444" t="str">
            <v xml:space="preserve">CAT 303.5E CAT 303.5E CAT 299D (DX2)                                        </v>
          </cell>
          <cell r="C444" t="str">
            <v>CARRIER BOLT</v>
          </cell>
          <cell r="D444">
            <v>7.14</v>
          </cell>
          <cell r="E444">
            <v>3.57</v>
          </cell>
          <cell r="F444" t="str">
            <v>UC</v>
          </cell>
          <cell r="G444">
            <v>42</v>
          </cell>
          <cell r="H444">
            <v>0</v>
          </cell>
          <cell r="I444">
            <v>0</v>
          </cell>
          <cell r="J444">
            <v>0</v>
          </cell>
          <cell r="K444">
            <v>42</v>
          </cell>
        </row>
        <row r="445">
          <cell r="A445" t="str">
            <v>8Y-6179</v>
          </cell>
          <cell r="B445" t="str">
            <v xml:space="preserve">CAT D5 (3CR) CAT D5 (3CR) (2)                                          </v>
          </cell>
          <cell r="C445" t="str">
            <v>SEAT/SUSPENSION ASSEMBLY</v>
          </cell>
          <cell r="D445">
            <v>9424.19</v>
          </cell>
          <cell r="E445">
            <v>4712.1000000000004</v>
          </cell>
          <cell r="F445" t="str">
            <v>UC</v>
          </cell>
          <cell r="G445">
            <v>2</v>
          </cell>
          <cell r="H445">
            <v>0</v>
          </cell>
          <cell r="I445">
            <v>0</v>
          </cell>
          <cell r="J445">
            <v>0</v>
          </cell>
          <cell r="K445">
            <v>2</v>
          </cell>
        </row>
        <row r="446">
          <cell r="A446" t="str">
            <v>9C-3696</v>
          </cell>
          <cell r="B446" t="str">
            <v xml:space="preserve">CAT D3 (1PJ)                                            </v>
          </cell>
          <cell r="C446" t="str">
            <v>SEAT ASSEMBLY</v>
          </cell>
          <cell r="D446">
            <v>5796.13</v>
          </cell>
          <cell r="E446">
            <v>2898.07</v>
          </cell>
          <cell r="F446" t="str">
            <v>UC</v>
          </cell>
          <cell r="G446">
            <v>1</v>
          </cell>
          <cell r="H446">
            <v>0</v>
          </cell>
          <cell r="I446">
            <v>0</v>
          </cell>
          <cell r="J446">
            <v>0</v>
          </cell>
          <cell r="K446">
            <v>1</v>
          </cell>
        </row>
        <row r="447">
          <cell r="A447" t="str">
            <v>9G-3110</v>
          </cell>
          <cell r="B447" t="str">
            <v xml:space="preserve">CAT D5 (3CR) CAT D5 (3CR) (2) CAT 561M (1KW) CAT 561N (CPH) CAT 561N (CPH) (2) CAT 561N (CPH) (3) CAT 561N (CPH) (4) CAT 561N (CPH) (5)                              </v>
          </cell>
          <cell r="C447" t="str">
            <v>TRACK BOLT</v>
          </cell>
          <cell r="D447">
            <v>3.12</v>
          </cell>
          <cell r="E447">
            <v>1.56</v>
          </cell>
          <cell r="F447" t="str">
            <v>UC</v>
          </cell>
          <cell r="G447">
            <v>950</v>
          </cell>
          <cell r="H447">
            <v>0</v>
          </cell>
          <cell r="I447">
            <v>0</v>
          </cell>
          <cell r="J447">
            <v>0</v>
          </cell>
          <cell r="K447">
            <v>950</v>
          </cell>
        </row>
        <row r="448">
          <cell r="A448" t="str">
            <v>9G-8592</v>
          </cell>
          <cell r="B448" t="str">
            <v xml:space="preserve">CAT D5 (3CR) CAT D5 (3CR) (2) CAT 561M (1KW) CAT 561N (CPH) CAT 561N (CPH) (2) CAT 561N (CPH) (3) CAT 561N (CPH) (4) CAT 561N (CPH) (5)                              </v>
          </cell>
          <cell r="C448" t="str">
            <v>TRACK BOLT MASTER</v>
          </cell>
          <cell r="D448">
            <v>5.25</v>
          </cell>
          <cell r="E448">
            <v>2.63</v>
          </cell>
          <cell r="F448" t="str">
            <v>UC</v>
          </cell>
          <cell r="G448">
            <v>18</v>
          </cell>
          <cell r="H448">
            <v>0</v>
          </cell>
          <cell r="I448">
            <v>0</v>
          </cell>
          <cell r="J448">
            <v>0</v>
          </cell>
          <cell r="K448">
            <v>18</v>
          </cell>
        </row>
        <row r="449">
          <cell r="A449" t="str">
            <v>9S-1838</v>
          </cell>
          <cell r="B449" t="str">
            <v xml:space="preserve">CAT D6 (RDC) CAT D6T (MH7)                                          </v>
          </cell>
          <cell r="C449" t="str">
            <v>MASTER TRACK BOLT</v>
          </cell>
          <cell r="D449">
            <v>9.9600000000000009</v>
          </cell>
          <cell r="E449">
            <v>4.9800000000000004</v>
          </cell>
          <cell r="F449" t="str">
            <v>UC</v>
          </cell>
          <cell r="G449">
            <v>16</v>
          </cell>
          <cell r="H449">
            <v>0</v>
          </cell>
          <cell r="I449">
            <v>0</v>
          </cell>
          <cell r="J449">
            <v>0</v>
          </cell>
          <cell r="K449">
            <v>16</v>
          </cell>
        </row>
        <row r="450">
          <cell r="A450" t="str">
            <v>9W-3361</v>
          </cell>
          <cell r="B450" t="str">
            <v xml:space="preserve">CAT 320E L (WBK) CAT 320E L (WBK) (2) CAT 320F L (YBM) CAT 320 (HEX) CAT 320 (MYK) CAT 320 (MYK) (2) CAT 329E L (ZCD) CAT 329F L (ERL) CAT 329F L (ERL) (2) CAT 330F L (MBX) CAT 330F L (HCK) CAT 330F L (HCK) (2) CAT D6N LGP (PBA) CAT D6N LGP (PBA) (2)                  </v>
          </cell>
          <cell r="C450" t="str">
            <v xml:space="preserve">TRACK NUT </v>
          </cell>
          <cell r="D450">
            <v>3.14</v>
          </cell>
          <cell r="E450">
            <v>1.57</v>
          </cell>
          <cell r="F450" t="str">
            <v>UC</v>
          </cell>
          <cell r="G450">
            <v>5472</v>
          </cell>
          <cell r="H450">
            <v>0</v>
          </cell>
          <cell r="I450">
            <v>0</v>
          </cell>
          <cell r="J450">
            <v>0</v>
          </cell>
          <cell r="K450">
            <v>5472</v>
          </cell>
        </row>
        <row r="451">
          <cell r="A451" t="str">
            <v>9W-3619</v>
          </cell>
          <cell r="B451" t="str">
            <v xml:space="preserve">CAT 320E L (WBK) CAT 320E L (WBK) (2) CAT 320F L (YBM) CAT 320 (HEX) CAT 320 (MYK) CAT 320 (MYK) (2)                                  </v>
          </cell>
          <cell r="C451" t="str">
            <v xml:space="preserve">TRACK BOLT </v>
          </cell>
          <cell r="D451">
            <v>4.25</v>
          </cell>
          <cell r="E451">
            <v>2.13</v>
          </cell>
          <cell r="F451" t="str">
            <v>UC</v>
          </cell>
          <cell r="G451">
            <v>2352</v>
          </cell>
          <cell r="H451">
            <v>0</v>
          </cell>
          <cell r="I451">
            <v>0</v>
          </cell>
          <cell r="J451">
            <v>0</v>
          </cell>
          <cell r="K451">
            <v>2352</v>
          </cell>
        </row>
        <row r="452">
          <cell r="A452" t="str">
            <v>9w-9058</v>
          </cell>
          <cell r="B452" t="str">
            <v xml:space="preserve">CAT D7G (92V) CAT D7G (3ZD) CAT D7G (3ZD) (2)                                        </v>
          </cell>
          <cell r="C452" t="str">
            <v>MASTER TRACK BOLT</v>
          </cell>
          <cell r="D452">
            <v>15.58</v>
          </cell>
          <cell r="E452">
            <v>7.79</v>
          </cell>
          <cell r="F452" t="str">
            <v>UC</v>
          </cell>
          <cell r="G452">
            <v>12</v>
          </cell>
          <cell r="H452">
            <v>0</v>
          </cell>
          <cell r="I452">
            <v>0</v>
          </cell>
          <cell r="J452">
            <v>0</v>
          </cell>
          <cell r="K452">
            <v>12</v>
          </cell>
        </row>
        <row r="453">
          <cell r="A453" t="str">
            <v>9W-9265</v>
          </cell>
          <cell r="B453" t="str">
            <v xml:space="preserve">CAT D3 (1PJ)                                            </v>
          </cell>
          <cell r="C453" t="str">
            <v>SPROCKET BOLT</v>
          </cell>
          <cell r="D453">
            <v>1.46</v>
          </cell>
          <cell r="E453">
            <v>0.73</v>
          </cell>
          <cell r="F453" t="str">
            <v>UC</v>
          </cell>
          <cell r="G453">
            <v>50</v>
          </cell>
          <cell r="H453">
            <v>0</v>
          </cell>
          <cell r="I453">
            <v>0</v>
          </cell>
          <cell r="J453">
            <v>0</v>
          </cell>
          <cell r="K453">
            <v>50</v>
          </cell>
        </row>
        <row r="454">
          <cell r="A454" t="str">
            <v>9X-8268</v>
          </cell>
          <cell r="B454" t="str">
            <v xml:space="preserve">CAT D6N LGP (PBA) CAT D6N LGP (PBA) (2) CAT D6N LGP (SGG) CAT D6N LGP (SGG) (2)                                      </v>
          </cell>
          <cell r="C454" t="str">
            <v>FLAT WASHER</v>
          </cell>
          <cell r="D454">
            <v>2.4700000000000002</v>
          </cell>
          <cell r="E454">
            <v>1.24</v>
          </cell>
          <cell r="F454" t="str">
            <v>UC</v>
          </cell>
          <cell r="G454">
            <v>256</v>
          </cell>
          <cell r="H454">
            <v>0</v>
          </cell>
          <cell r="I454">
            <v>0</v>
          </cell>
          <cell r="J454">
            <v>0</v>
          </cell>
          <cell r="K454">
            <v>256</v>
          </cell>
        </row>
        <row r="455">
          <cell r="A455" t="str">
            <v>CUSTOM-GQP-561N30"TG</v>
          </cell>
          <cell r="B455" t="str">
            <v xml:space="preserve">CAT 561N (CPH) CAT 561N (CPH) (2) CAT 561N (CPH) (3) CAT 561N (CPH) (4) CAT 561N (CPH) (5)                                    </v>
          </cell>
          <cell r="C455" t="str">
            <v>30" GQP TRACK GROUP</v>
          </cell>
          <cell r="D455">
            <v>12613.63</v>
          </cell>
          <cell r="E455">
            <v>6306.82</v>
          </cell>
          <cell r="F455" t="str">
            <v>UC</v>
          </cell>
          <cell r="G455">
            <v>10</v>
          </cell>
          <cell r="H455">
            <v>0</v>
          </cell>
          <cell r="I455">
            <v>0</v>
          </cell>
          <cell r="J455">
            <v>0</v>
          </cell>
          <cell r="K455">
            <v>10</v>
          </cell>
        </row>
        <row r="456">
          <cell r="A456" t="str">
            <v>CUSTOM-GQPD4SSA</v>
          </cell>
          <cell r="B456" t="str">
            <v xml:space="preserve">CAT D4 (66J)                                            </v>
          </cell>
          <cell r="C456" t="str">
            <v>SEAT SUSPENSION ASSEMBLY</v>
          </cell>
          <cell r="D456">
            <v>1021.54</v>
          </cell>
          <cell r="E456">
            <v>510.77</v>
          </cell>
          <cell r="F456" t="str">
            <v>UC</v>
          </cell>
          <cell r="G456">
            <v>1</v>
          </cell>
          <cell r="H456">
            <v>0</v>
          </cell>
          <cell r="I456">
            <v>0</v>
          </cell>
          <cell r="J456">
            <v>0</v>
          </cell>
          <cell r="K456">
            <v>1</v>
          </cell>
        </row>
        <row r="457">
          <cell r="A457" t="str">
            <v>CUSTOM-GQPD530"TG</v>
          </cell>
          <cell r="B457" t="str">
            <v xml:space="preserve">CAT D5 (3CR) CAT D5 (3CR) (2)                                          </v>
          </cell>
          <cell r="C457" t="str">
            <v>TRACK GROUP</v>
          </cell>
          <cell r="D457">
            <v>0</v>
          </cell>
          <cell r="E457">
            <v>0</v>
          </cell>
          <cell r="F457" t="str">
            <v>UC</v>
          </cell>
          <cell r="G457">
            <v>4</v>
          </cell>
          <cell r="H457">
            <v>0</v>
          </cell>
          <cell r="I457">
            <v>0</v>
          </cell>
          <cell r="J457">
            <v>0</v>
          </cell>
          <cell r="K457">
            <v>4</v>
          </cell>
        </row>
        <row r="458">
          <cell r="A458" t="str">
            <v>CUSTOM-GQPD630"TG</v>
          </cell>
          <cell r="B458" t="str">
            <v xml:space="preserve">CAT D6 (RDC)                                            </v>
          </cell>
          <cell r="C458" t="str">
            <v>30" GQP TRACK GROUP</v>
          </cell>
          <cell r="D458">
            <v>10784.168</v>
          </cell>
          <cell r="E458">
            <v>5392.08</v>
          </cell>
          <cell r="F458" t="str">
            <v>UC</v>
          </cell>
          <cell r="G458">
            <v>2</v>
          </cell>
          <cell r="H458">
            <v>0</v>
          </cell>
          <cell r="I458">
            <v>0</v>
          </cell>
          <cell r="J458">
            <v>0</v>
          </cell>
          <cell r="K458">
            <v>2</v>
          </cell>
        </row>
        <row r="459">
          <cell r="A459" t="str">
            <v>CUSTOM-GQPD7G30"TG</v>
          </cell>
          <cell r="B459" t="str">
            <v xml:space="preserve">CAT D7G (92V) CAT D7G (3ZD) CAT D7G (3ZD) (2)                                        </v>
          </cell>
          <cell r="C459" t="str">
            <v>30" GQP TRACK GROUP</v>
          </cell>
          <cell r="D459">
            <v>8674.7200000000012</v>
          </cell>
          <cell r="E459">
            <v>4337.3599999999997</v>
          </cell>
          <cell r="F459" t="str">
            <v>UC</v>
          </cell>
          <cell r="G459">
            <v>6</v>
          </cell>
          <cell r="H459">
            <v>0</v>
          </cell>
          <cell r="I459">
            <v>0</v>
          </cell>
          <cell r="J459">
            <v>0</v>
          </cell>
          <cell r="K459">
            <v>6</v>
          </cell>
        </row>
        <row r="460">
          <cell r="A460" t="str">
            <v>CUSTOM-GQPPL6130"TG</v>
          </cell>
          <cell r="B460" t="str">
            <v xml:space="preserve">CAT PL61 (WGS) CAT PL61 (WGS) (2) CAT PL61 (WGS) (3)                                        </v>
          </cell>
          <cell r="C460" t="str">
            <v>30" GQP TRACK GROUP</v>
          </cell>
          <cell r="D460">
            <v>8945.7099999999991</v>
          </cell>
          <cell r="E460">
            <v>4472.8599999999997</v>
          </cell>
          <cell r="F460" t="str">
            <v>UC</v>
          </cell>
          <cell r="G460">
            <v>6</v>
          </cell>
          <cell r="H460">
            <v>0</v>
          </cell>
          <cell r="I460">
            <v>0</v>
          </cell>
          <cell r="J460">
            <v>0</v>
          </cell>
          <cell r="K460">
            <v>6</v>
          </cell>
        </row>
      </sheetData>
      <sheetData sheetId="4"/>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81AB4-DFBE-4D76-97FE-0C7F33856F71}">
  <sheetPr filterMode="1">
    <pageSetUpPr fitToPage="1"/>
  </sheetPr>
  <dimension ref="B1:I64"/>
  <sheetViews>
    <sheetView topLeftCell="A4" workbookViewId="0">
      <selection activeCell="G4" sqref="G1:G1048576"/>
    </sheetView>
  </sheetViews>
  <sheetFormatPr defaultRowHeight="15" x14ac:dyDescent="0.25"/>
  <cols>
    <col min="1" max="1" width="2.7109375" customWidth="1"/>
    <col min="2" max="2" width="15.42578125" customWidth="1"/>
    <col min="3" max="3" width="44.42578125" bestFit="1" customWidth="1"/>
    <col min="4" max="4" width="36" customWidth="1"/>
    <col min="5" max="5" width="7.28515625" customWidth="1"/>
    <col min="6" max="6" width="14.7109375" customWidth="1"/>
    <col min="7" max="7" width="14.7109375" hidden="1" customWidth="1"/>
    <col min="8" max="8" width="14.7109375" customWidth="1"/>
    <col min="9" max="9" width="20.42578125" bestFit="1" customWidth="1"/>
  </cols>
  <sheetData>
    <row r="1" spans="2:9" ht="15" customHeight="1" x14ac:dyDescent="0.25">
      <c r="B1" s="2"/>
      <c r="C1" s="3"/>
      <c r="D1" s="3"/>
      <c r="E1" s="77" t="s">
        <v>28</v>
      </c>
      <c r="F1" s="77"/>
      <c r="G1" s="44"/>
      <c r="H1" s="77" t="s">
        <v>30</v>
      </c>
      <c r="I1" s="78"/>
    </row>
    <row r="2" spans="2:9" ht="15" customHeight="1" x14ac:dyDescent="0.25">
      <c r="B2" s="4"/>
      <c r="E2" s="79"/>
      <c r="F2" s="79"/>
      <c r="G2" s="45"/>
      <c r="H2" s="79"/>
      <c r="I2" s="80"/>
    </row>
    <row r="3" spans="2:9" ht="15" customHeight="1" x14ac:dyDescent="0.25">
      <c r="B3" s="4"/>
      <c r="E3" s="79"/>
      <c r="F3" s="79"/>
      <c r="G3" s="45"/>
      <c r="H3" s="79"/>
      <c r="I3" s="80"/>
    </row>
    <row r="4" spans="2:9" ht="15" customHeight="1" x14ac:dyDescent="0.25">
      <c r="B4" s="4"/>
      <c r="E4" s="79"/>
      <c r="F4" s="79"/>
      <c r="G4" s="45"/>
      <c r="H4" s="79"/>
      <c r="I4" s="80"/>
    </row>
    <row r="5" spans="2:9" ht="15" customHeight="1" x14ac:dyDescent="0.25">
      <c r="B5" s="5"/>
      <c r="C5" s="1"/>
      <c r="D5" s="1"/>
      <c r="E5" s="81"/>
      <c r="F5" s="81"/>
      <c r="G5" s="46"/>
      <c r="H5" s="81"/>
      <c r="I5" s="82"/>
    </row>
    <row r="6" spans="2:9" ht="36" x14ac:dyDescent="0.55000000000000004">
      <c r="B6" s="6"/>
      <c r="C6" s="7"/>
      <c r="D6" s="7"/>
      <c r="E6" s="8"/>
      <c r="F6" s="8"/>
      <c r="G6" s="8"/>
      <c r="H6" s="8"/>
      <c r="I6" s="8"/>
    </row>
    <row r="7" spans="2:9" x14ac:dyDescent="0.25">
      <c r="B7" s="49" t="s">
        <v>7</v>
      </c>
      <c r="C7" s="103" t="s">
        <v>70</v>
      </c>
      <c r="D7" s="104"/>
      <c r="E7" s="9" t="s">
        <v>8</v>
      </c>
      <c r="F7" s="10">
        <v>45870</v>
      </c>
      <c r="G7" s="10"/>
      <c r="H7" s="11" t="s">
        <v>9</v>
      </c>
      <c r="I7" s="12"/>
    </row>
    <row r="8" spans="2:9" x14ac:dyDescent="0.25">
      <c r="B8" s="50" t="s">
        <v>10</v>
      </c>
      <c r="C8" s="101">
        <v>0</v>
      </c>
      <c r="D8" s="101"/>
      <c r="E8" s="89" t="s">
        <v>11</v>
      </c>
      <c r="F8" s="89"/>
      <c r="G8" s="13"/>
      <c r="H8" s="93"/>
      <c r="I8" s="93"/>
    </row>
    <row r="9" spans="2:9" x14ac:dyDescent="0.25">
      <c r="B9" s="50" t="s">
        <v>12</v>
      </c>
      <c r="C9" s="101">
        <v>0</v>
      </c>
      <c r="D9" s="101"/>
      <c r="E9" s="89" t="s">
        <v>13</v>
      </c>
      <c r="F9" s="89"/>
      <c r="G9" s="13"/>
      <c r="H9" s="92"/>
      <c r="I9" s="92"/>
    </row>
    <row r="10" spans="2:9" x14ac:dyDescent="0.25">
      <c r="B10" s="50"/>
      <c r="C10" s="101">
        <v>0</v>
      </c>
      <c r="D10" s="101"/>
      <c r="E10" s="89" t="s">
        <v>14</v>
      </c>
      <c r="F10" s="89"/>
      <c r="G10" s="13"/>
      <c r="H10" s="90"/>
      <c r="I10" s="90"/>
    </row>
    <row r="11" spans="2:9" x14ac:dyDescent="0.25">
      <c r="B11" s="50"/>
      <c r="C11" s="101">
        <v>0</v>
      </c>
      <c r="D11" s="101"/>
      <c r="E11" s="89"/>
      <c r="F11" s="89"/>
      <c r="G11" s="13"/>
      <c r="H11" s="90"/>
      <c r="I11" s="90"/>
    </row>
    <row r="12" spans="2:9" x14ac:dyDescent="0.25">
      <c r="B12" s="51"/>
      <c r="C12" s="101">
        <v>0</v>
      </c>
      <c r="D12" s="101"/>
      <c r="E12" s="102"/>
      <c r="F12" s="102"/>
      <c r="G12" s="14"/>
      <c r="H12" s="91"/>
      <c r="I12" s="91"/>
    </row>
    <row r="13" spans="2:9" ht="15.75" thickBot="1" x14ac:dyDescent="0.3">
      <c r="B13" s="15"/>
      <c r="C13" s="16"/>
      <c r="D13" s="16"/>
      <c r="E13" s="16"/>
      <c r="F13" s="83" t="s">
        <v>3</v>
      </c>
      <c r="G13" s="83"/>
      <c r="H13" s="83"/>
      <c r="I13" s="83"/>
    </row>
    <row r="14" spans="2:9" ht="15.75" thickBot="1" x14ac:dyDescent="0.3">
      <c r="B14" s="53" t="s">
        <v>0</v>
      </c>
      <c r="C14" s="18" t="s">
        <v>15</v>
      </c>
      <c r="D14" s="19" t="s">
        <v>1</v>
      </c>
      <c r="E14" s="20" t="s">
        <v>2</v>
      </c>
      <c r="F14" s="20" t="s">
        <v>4</v>
      </c>
      <c r="G14" s="20"/>
      <c r="H14" s="20" t="s">
        <v>5</v>
      </c>
      <c r="I14" s="21" t="s">
        <v>16</v>
      </c>
    </row>
    <row r="15" spans="2:9" x14ac:dyDescent="0.25">
      <c r="B15" s="62">
        <v>7312553</v>
      </c>
      <c r="C15" s="22" t="str">
        <f>VLOOKUP(B15,'[1]Product by Part Number'!$A:$B,2,0)</f>
        <v xml:space="preserve">BOBCAT T750 (ANK) BOBCAT T750 (ATF) BOBCAT S650 (A3N) BOBCAT T770 (AT6) BOBCAT T770 (AT6) (2)                                    </v>
      </c>
      <c r="D15" s="22" t="str">
        <f>VLOOKUP(B15,'[1]Product by Part Number'!$A:$C,3,0)</f>
        <v>Battery GP</v>
      </c>
      <c r="E15" s="23">
        <f>VLOOKUP(B15,'[1]Product by Part Number'!$A:$K,11,0)</f>
        <v>5</v>
      </c>
      <c r="F15" s="24">
        <f>VLOOKUP(B15,'[1]Product by Part Number'!$A:$D,4,0)</f>
        <v>415.79</v>
      </c>
      <c r="G15" s="24">
        <f t="shared" ref="G15" si="0">E15*F15</f>
        <v>2078.9500000000003</v>
      </c>
      <c r="H15" s="25">
        <f>VLOOKUP(B15,'[1]Product by Part Number'!$A:$E,5,0)</f>
        <v>207.9</v>
      </c>
      <c r="I15" s="26">
        <f t="shared" ref="I15:I57" si="1">ROUND(E15*H15,2)</f>
        <v>1039.5</v>
      </c>
    </row>
    <row r="16" spans="2:9" x14ac:dyDescent="0.25">
      <c r="B16" s="62" t="s">
        <v>67</v>
      </c>
      <c r="C16" s="22" t="str">
        <f>VLOOKUP(B16,'[1]Product by Part Number'!$A:$B,2,0)</f>
        <v xml:space="preserve">CAT 320E L (WBK) CAT 320E L (WBK) (2) CAT 320 (HEX) CAT 320 (MYK) CAT 320 (MYK) (2) CAT 329E L (ZCD) CAT 329F L (ERL) CAT 329F L (ERL) (2) CAT 330F L (MBX) CAT 330F L (HCK) CAT 330F L (HCK) (2) CAT 299D (DX2)                      </v>
      </c>
      <c r="D16" s="22" t="str">
        <f>VLOOKUP(B16,'[1]Product by Part Number'!$A:$C,3,0)</f>
        <v>12V BATTERY 1000CCA</v>
      </c>
      <c r="E16" s="23">
        <f>VLOOKUP(B16,'[1]Product by Part Number'!$A:$K,11,0)</f>
        <v>27</v>
      </c>
      <c r="F16" s="24">
        <f>VLOOKUP(B16,'[1]Product by Part Number'!$A:$D,4,0)</f>
        <v>523.07000000000005</v>
      </c>
      <c r="G16" s="24">
        <f t="shared" ref="G16:G19" si="2">E16*F16</f>
        <v>14122.890000000001</v>
      </c>
      <c r="H16" s="25">
        <f>VLOOKUP(B16,'[1]Product by Part Number'!$A:$E,5,0)</f>
        <v>132.13</v>
      </c>
      <c r="I16" s="26">
        <f t="shared" si="1"/>
        <v>3567.51</v>
      </c>
    </row>
    <row r="17" spans="2:9" x14ac:dyDescent="0.25">
      <c r="B17" s="62" t="s">
        <v>68</v>
      </c>
      <c r="C17" s="22" t="str">
        <f>VLOOKUP(B17,'[1]Product by Part Number'!$A:$B,2,0)</f>
        <v xml:space="preserve">CAT 303.5E                                            </v>
      </c>
      <c r="D17" s="22" t="str">
        <f>VLOOKUP(B17,'[1]Product by Part Number'!$A:$C,3,0)</f>
        <v>12V BATTERY - 650CCA</v>
      </c>
      <c r="E17" s="23">
        <f>VLOOKUP(B17,'[1]Product by Part Number'!$A:$K,11,0)</f>
        <v>1</v>
      </c>
      <c r="F17" s="24">
        <f>VLOOKUP(B17,'[1]Product by Part Number'!$A:$D,4,0)</f>
        <v>356.29</v>
      </c>
      <c r="G17" s="24">
        <f t="shared" si="2"/>
        <v>356.29</v>
      </c>
      <c r="H17" s="25">
        <f>VLOOKUP(B17,'[1]Product by Part Number'!$A:$E,5,0)</f>
        <v>160.66999999999999</v>
      </c>
      <c r="I17" s="26">
        <f t="shared" si="1"/>
        <v>160.66999999999999</v>
      </c>
    </row>
    <row r="18" spans="2:9" x14ac:dyDescent="0.25">
      <c r="B18" s="62" t="s">
        <v>69</v>
      </c>
      <c r="C18" s="22" t="str">
        <f>VLOOKUP(B18,'[1]Product by Part Number'!$A:$B,2,0)</f>
        <v xml:space="preserve">CAT D3 (1PJ) CAT D7G (92V) CAT D7G (3ZD) CAT D7G (3ZD) (2) CAT 561 (85H) CAT 561 (92J) CAT 561 (92J) (2)                                </v>
      </c>
      <c r="D18" s="22" t="str">
        <f>VLOOKUP(B18,'[1]Product by Part Number'!$A:$C,3,0)</f>
        <v>12V BATTERY - 1125CCA</v>
      </c>
      <c r="E18" s="23">
        <f>VLOOKUP(B18,'[1]Product by Part Number'!$A:$K,11,0)</f>
        <v>10</v>
      </c>
      <c r="F18" s="24">
        <f>VLOOKUP(B18,'[1]Product by Part Number'!$A:$D,4,0)</f>
        <v>726.37</v>
      </c>
      <c r="G18" s="24">
        <f t="shared" si="2"/>
        <v>7263.7</v>
      </c>
      <c r="H18" s="25">
        <f>VLOOKUP(B18,'[1]Product by Part Number'!$A:$E,5,0)</f>
        <v>292.44</v>
      </c>
      <c r="I18" s="26">
        <f t="shared" si="1"/>
        <v>2924.4</v>
      </c>
    </row>
    <row r="19" spans="2:9" x14ac:dyDescent="0.25">
      <c r="B19" s="62" t="s">
        <v>44</v>
      </c>
      <c r="C19" s="22" t="str">
        <f>VLOOKUP(B19,'[1]Product by Part Number'!$A:$B,2,0)</f>
        <v xml:space="preserve">CAT 320F L (YBM) CAT 330 (LHW) CAT 330 (LHW) (2) CAT 330 (LHW) (3) CAT 330 (LHW) (4) CAT 330 (WCH) CAT 330 (WCH) (2) CAT 330 (WCH) (3) CAT 330 (WCH) (4) CAT 330 (WCH) (5) CAT 330 (WCH) (6) CAT 561M (1KW) CAT 561N (CPH) CAT 561N (CPH) (2) CAT 561N (CPH) (3) CAT 561N (CPH) (4) CAT 561N (CPH) (5)            </v>
      </c>
      <c r="D19" s="22" t="str">
        <f>VLOOKUP(B19,'[1]Product by Part Number'!$A:$C,3,0)</f>
        <v>12V BATTERY - 900CCA</v>
      </c>
      <c r="E19" s="23">
        <f>VLOOKUP(B19,'[1]Product by Part Number'!$A:$K,11,0)</f>
        <v>54</v>
      </c>
      <c r="F19" s="24">
        <f>VLOOKUP(B19,'[1]Product by Part Number'!$A:$D,4,0)</f>
        <v>503.86</v>
      </c>
      <c r="G19" s="24">
        <f t="shared" si="2"/>
        <v>27208.440000000002</v>
      </c>
      <c r="H19" s="25">
        <f>VLOOKUP(B19,'[1]Product by Part Number'!$A:$E,5,0)</f>
        <v>120.88</v>
      </c>
      <c r="I19" s="26">
        <f t="shared" si="1"/>
        <v>6527.52</v>
      </c>
    </row>
    <row r="20" spans="2:9" hidden="1" x14ac:dyDescent="0.25">
      <c r="B20" s="22"/>
      <c r="C20" s="22"/>
      <c r="D20" s="22"/>
      <c r="E20" s="23"/>
      <c r="F20" s="24"/>
      <c r="G20" s="24"/>
      <c r="H20" s="25"/>
      <c r="I20" s="26">
        <f t="shared" si="1"/>
        <v>0</v>
      </c>
    </row>
    <row r="21" spans="2:9" hidden="1" x14ac:dyDescent="0.25">
      <c r="B21" s="22"/>
      <c r="C21" s="22"/>
      <c r="D21" s="22"/>
      <c r="E21" s="23"/>
      <c r="F21" s="24"/>
      <c r="G21" s="24"/>
      <c r="H21" s="25"/>
      <c r="I21" s="26">
        <f t="shared" si="1"/>
        <v>0</v>
      </c>
    </row>
    <row r="22" spans="2:9" hidden="1" x14ac:dyDescent="0.25">
      <c r="B22" s="22"/>
      <c r="C22" s="22"/>
      <c r="D22" s="22"/>
      <c r="E22" s="23"/>
      <c r="F22" s="24"/>
      <c r="G22" s="24"/>
      <c r="H22" s="25"/>
      <c r="I22" s="26">
        <f t="shared" si="1"/>
        <v>0</v>
      </c>
    </row>
    <row r="23" spans="2:9" hidden="1" x14ac:dyDescent="0.25">
      <c r="B23" s="22"/>
      <c r="C23" s="22"/>
      <c r="D23" s="22"/>
      <c r="E23" s="23"/>
      <c r="F23" s="24"/>
      <c r="G23" s="24"/>
      <c r="H23" s="25"/>
      <c r="I23" s="26">
        <f t="shared" si="1"/>
        <v>0</v>
      </c>
    </row>
    <row r="24" spans="2:9" hidden="1" x14ac:dyDescent="0.25">
      <c r="B24" s="22"/>
      <c r="C24" s="22"/>
      <c r="D24" s="22"/>
      <c r="E24" s="23"/>
      <c r="F24" s="24"/>
      <c r="G24" s="24"/>
      <c r="H24" s="25"/>
      <c r="I24" s="26">
        <f t="shared" si="1"/>
        <v>0</v>
      </c>
    </row>
    <row r="25" spans="2:9" hidden="1" x14ac:dyDescent="0.25">
      <c r="B25" s="22"/>
      <c r="C25" s="22"/>
      <c r="D25" s="22"/>
      <c r="E25" s="23"/>
      <c r="F25" s="24"/>
      <c r="G25" s="24"/>
      <c r="H25" s="25"/>
      <c r="I25" s="26">
        <f t="shared" si="1"/>
        <v>0</v>
      </c>
    </row>
    <row r="26" spans="2:9" hidden="1" x14ac:dyDescent="0.25">
      <c r="B26" s="22"/>
      <c r="C26" s="22"/>
      <c r="D26" s="22"/>
      <c r="E26" s="23"/>
      <c r="F26" s="24"/>
      <c r="G26" s="24"/>
      <c r="H26" s="25"/>
      <c r="I26" s="26">
        <f t="shared" si="1"/>
        <v>0</v>
      </c>
    </row>
    <row r="27" spans="2:9" hidden="1" x14ac:dyDescent="0.25">
      <c r="B27" s="22"/>
      <c r="C27" s="22"/>
      <c r="D27" s="22"/>
      <c r="E27" s="23"/>
      <c r="F27" s="24"/>
      <c r="G27" s="24"/>
      <c r="H27" s="25"/>
      <c r="I27" s="26">
        <f t="shared" si="1"/>
        <v>0</v>
      </c>
    </row>
    <row r="28" spans="2:9" hidden="1" x14ac:dyDescent="0.25">
      <c r="B28" s="22"/>
      <c r="C28" s="22"/>
      <c r="D28" s="22"/>
      <c r="E28" s="23"/>
      <c r="F28" s="24"/>
      <c r="G28" s="24"/>
      <c r="H28" s="25"/>
      <c r="I28" s="26">
        <f t="shared" si="1"/>
        <v>0</v>
      </c>
    </row>
    <row r="29" spans="2:9" hidden="1" x14ac:dyDescent="0.25">
      <c r="B29" s="22"/>
      <c r="C29" s="22"/>
      <c r="D29" s="22"/>
      <c r="E29" s="23"/>
      <c r="F29" s="24"/>
      <c r="G29" s="24"/>
      <c r="H29" s="25"/>
      <c r="I29" s="26">
        <f t="shared" si="1"/>
        <v>0</v>
      </c>
    </row>
    <row r="30" spans="2:9" hidden="1" x14ac:dyDescent="0.25">
      <c r="B30" s="22"/>
      <c r="C30" s="22"/>
      <c r="D30" s="22"/>
      <c r="E30" s="23"/>
      <c r="F30" s="24"/>
      <c r="G30" s="24"/>
      <c r="H30" s="25"/>
      <c r="I30" s="26">
        <f t="shared" si="1"/>
        <v>0</v>
      </c>
    </row>
    <row r="31" spans="2:9" hidden="1" x14ac:dyDescent="0.25">
      <c r="B31" s="22"/>
      <c r="C31" s="22"/>
      <c r="D31" s="22"/>
      <c r="E31" s="23"/>
      <c r="F31" s="24"/>
      <c r="G31" s="24"/>
      <c r="H31" s="25"/>
      <c r="I31" s="26">
        <f t="shared" si="1"/>
        <v>0</v>
      </c>
    </row>
    <row r="32" spans="2:9" hidden="1" x14ac:dyDescent="0.25">
      <c r="B32" s="22"/>
      <c r="C32" s="22"/>
      <c r="D32" s="22"/>
      <c r="E32" s="23"/>
      <c r="F32" s="24"/>
      <c r="G32" s="24"/>
      <c r="H32" s="25"/>
      <c r="I32" s="26">
        <f t="shared" si="1"/>
        <v>0</v>
      </c>
    </row>
    <row r="33" spans="2:9" hidden="1" x14ac:dyDescent="0.25">
      <c r="B33" s="22"/>
      <c r="C33" s="22"/>
      <c r="D33" s="22"/>
      <c r="E33" s="23"/>
      <c r="F33" s="24"/>
      <c r="G33" s="24"/>
      <c r="H33" s="25"/>
      <c r="I33" s="26">
        <f t="shared" si="1"/>
        <v>0</v>
      </c>
    </row>
    <row r="34" spans="2:9" hidden="1" x14ac:dyDescent="0.25">
      <c r="B34" s="22"/>
      <c r="C34" s="22"/>
      <c r="D34" s="22"/>
      <c r="E34" s="23"/>
      <c r="F34" s="24"/>
      <c r="G34" s="24"/>
      <c r="H34" s="25"/>
      <c r="I34" s="26">
        <f t="shared" si="1"/>
        <v>0</v>
      </c>
    </row>
    <row r="35" spans="2:9" hidden="1" x14ac:dyDescent="0.25">
      <c r="B35" s="22"/>
      <c r="C35" s="22"/>
      <c r="D35" s="22"/>
      <c r="E35" s="23"/>
      <c r="F35" s="24"/>
      <c r="G35" s="24"/>
      <c r="H35" s="25"/>
      <c r="I35" s="26">
        <f t="shared" si="1"/>
        <v>0</v>
      </c>
    </row>
    <row r="36" spans="2:9" hidden="1" x14ac:dyDescent="0.25">
      <c r="B36" s="22"/>
      <c r="C36" s="22"/>
      <c r="D36" s="22"/>
      <c r="E36" s="23"/>
      <c r="F36" s="24"/>
      <c r="G36" s="24"/>
      <c r="H36" s="25"/>
      <c r="I36" s="26">
        <f t="shared" si="1"/>
        <v>0</v>
      </c>
    </row>
    <row r="37" spans="2:9" hidden="1" x14ac:dyDescent="0.25">
      <c r="B37" s="22"/>
      <c r="C37" s="22"/>
      <c r="D37" s="22"/>
      <c r="E37" s="23"/>
      <c r="F37" s="24"/>
      <c r="G37" s="24"/>
      <c r="H37" s="25"/>
      <c r="I37" s="26">
        <f t="shared" si="1"/>
        <v>0</v>
      </c>
    </row>
    <row r="38" spans="2:9" hidden="1" x14ac:dyDescent="0.25">
      <c r="B38" s="22"/>
      <c r="C38" s="22"/>
      <c r="D38" s="22"/>
      <c r="E38" s="23"/>
      <c r="F38" s="24"/>
      <c r="G38" s="24"/>
      <c r="H38" s="25"/>
      <c r="I38" s="26">
        <f t="shared" si="1"/>
        <v>0</v>
      </c>
    </row>
    <row r="39" spans="2:9" hidden="1" x14ac:dyDescent="0.25">
      <c r="B39" s="22"/>
      <c r="C39" s="22"/>
      <c r="D39" s="22"/>
      <c r="E39" s="23"/>
      <c r="F39" s="24"/>
      <c r="G39" s="24"/>
      <c r="H39" s="25"/>
      <c r="I39" s="26">
        <f t="shared" si="1"/>
        <v>0</v>
      </c>
    </row>
    <row r="40" spans="2:9" hidden="1" x14ac:dyDescent="0.25">
      <c r="B40" s="22"/>
      <c r="C40" s="22"/>
      <c r="D40" s="22"/>
      <c r="E40" s="23"/>
      <c r="F40" s="24"/>
      <c r="G40" s="24"/>
      <c r="H40" s="25"/>
      <c r="I40" s="26">
        <f t="shared" si="1"/>
        <v>0</v>
      </c>
    </row>
    <row r="41" spans="2:9" hidden="1" x14ac:dyDescent="0.25">
      <c r="B41" s="22"/>
      <c r="C41" s="22"/>
      <c r="D41" s="22"/>
      <c r="E41" s="23"/>
      <c r="F41" s="24"/>
      <c r="G41" s="24"/>
      <c r="H41" s="25"/>
      <c r="I41" s="26">
        <f t="shared" si="1"/>
        <v>0</v>
      </c>
    </row>
    <row r="42" spans="2:9" hidden="1" x14ac:dyDescent="0.25">
      <c r="B42" s="22"/>
      <c r="C42" s="22"/>
      <c r="D42" s="22"/>
      <c r="E42" s="23"/>
      <c r="F42" s="24"/>
      <c r="G42" s="24"/>
      <c r="H42" s="25"/>
      <c r="I42" s="26">
        <f t="shared" si="1"/>
        <v>0</v>
      </c>
    </row>
    <row r="43" spans="2:9" hidden="1" x14ac:dyDescent="0.25">
      <c r="B43" s="22"/>
      <c r="C43" s="22"/>
      <c r="D43" s="22"/>
      <c r="E43" s="23"/>
      <c r="F43" s="24"/>
      <c r="G43" s="24"/>
      <c r="H43" s="25"/>
      <c r="I43" s="26">
        <f t="shared" si="1"/>
        <v>0</v>
      </c>
    </row>
    <row r="44" spans="2:9" hidden="1" x14ac:dyDescent="0.25">
      <c r="B44" s="22"/>
      <c r="C44" s="22"/>
      <c r="D44" s="22"/>
      <c r="E44" s="23"/>
      <c r="F44" s="24"/>
      <c r="G44" s="24"/>
      <c r="H44" s="25"/>
      <c r="I44" s="26">
        <f t="shared" si="1"/>
        <v>0</v>
      </c>
    </row>
    <row r="45" spans="2:9" hidden="1" x14ac:dyDescent="0.25">
      <c r="B45" s="22"/>
      <c r="C45" s="22"/>
      <c r="D45" s="22"/>
      <c r="E45" s="23"/>
      <c r="F45" s="24"/>
      <c r="G45" s="24"/>
      <c r="H45" s="25"/>
      <c r="I45" s="26">
        <f t="shared" si="1"/>
        <v>0</v>
      </c>
    </row>
    <row r="46" spans="2:9" hidden="1" x14ac:dyDescent="0.25">
      <c r="B46" s="22"/>
      <c r="C46" s="22"/>
      <c r="D46" s="22"/>
      <c r="E46" s="23"/>
      <c r="F46" s="24"/>
      <c r="G46" s="24"/>
      <c r="H46" s="25"/>
      <c r="I46" s="26">
        <f t="shared" si="1"/>
        <v>0</v>
      </c>
    </row>
    <row r="47" spans="2:9" hidden="1" x14ac:dyDescent="0.25">
      <c r="B47" s="22"/>
      <c r="C47" s="22"/>
      <c r="D47" s="22"/>
      <c r="E47" s="23"/>
      <c r="F47" s="24"/>
      <c r="G47" s="24"/>
      <c r="H47" s="25"/>
      <c r="I47" s="26">
        <f t="shared" si="1"/>
        <v>0</v>
      </c>
    </row>
    <row r="48" spans="2:9" hidden="1" x14ac:dyDescent="0.25">
      <c r="B48" s="22"/>
      <c r="C48" s="22"/>
      <c r="D48" s="22"/>
      <c r="E48" s="23"/>
      <c r="F48" s="24"/>
      <c r="G48" s="24"/>
      <c r="H48" s="25"/>
      <c r="I48" s="26">
        <f t="shared" si="1"/>
        <v>0</v>
      </c>
    </row>
    <row r="49" spans="2:9" hidden="1" x14ac:dyDescent="0.25">
      <c r="B49" s="22"/>
      <c r="C49" s="22"/>
      <c r="D49" s="22"/>
      <c r="E49" s="23"/>
      <c r="F49" s="24"/>
      <c r="G49" s="24"/>
      <c r="H49" s="25"/>
      <c r="I49" s="26">
        <f t="shared" si="1"/>
        <v>0</v>
      </c>
    </row>
    <row r="50" spans="2:9" hidden="1" x14ac:dyDescent="0.25">
      <c r="B50" s="22"/>
      <c r="C50" s="22"/>
      <c r="D50" s="22"/>
      <c r="E50" s="23"/>
      <c r="F50" s="24"/>
      <c r="G50" s="24"/>
      <c r="H50" s="25"/>
      <c r="I50" s="26">
        <f t="shared" si="1"/>
        <v>0</v>
      </c>
    </row>
    <row r="51" spans="2:9" hidden="1" x14ac:dyDescent="0.25">
      <c r="B51" s="22"/>
      <c r="C51" s="22"/>
      <c r="D51" s="22"/>
      <c r="E51" s="23"/>
      <c r="F51" s="24"/>
      <c r="G51" s="24"/>
      <c r="H51" s="25"/>
      <c r="I51" s="26">
        <f t="shared" si="1"/>
        <v>0</v>
      </c>
    </row>
    <row r="52" spans="2:9" hidden="1" x14ac:dyDescent="0.25">
      <c r="B52" s="22"/>
      <c r="C52" s="22"/>
      <c r="D52" s="22"/>
      <c r="E52" s="23"/>
      <c r="F52" s="24"/>
      <c r="G52" s="24"/>
      <c r="H52" s="25"/>
      <c r="I52" s="26">
        <f t="shared" si="1"/>
        <v>0</v>
      </c>
    </row>
    <row r="53" spans="2:9" hidden="1" x14ac:dyDescent="0.25">
      <c r="B53" s="22"/>
      <c r="C53" s="22"/>
      <c r="D53" s="22"/>
      <c r="E53" s="23"/>
      <c r="F53" s="24"/>
      <c r="G53" s="24"/>
      <c r="H53" s="25"/>
      <c r="I53" s="26">
        <f t="shared" si="1"/>
        <v>0</v>
      </c>
    </row>
    <row r="54" spans="2:9" hidden="1" x14ac:dyDescent="0.25">
      <c r="B54" s="22"/>
      <c r="C54" s="22"/>
      <c r="D54" s="22"/>
      <c r="E54" s="23"/>
      <c r="F54" s="24"/>
      <c r="G54" s="24"/>
      <c r="H54" s="25"/>
      <c r="I54" s="26">
        <f t="shared" si="1"/>
        <v>0</v>
      </c>
    </row>
    <row r="55" spans="2:9" hidden="1" x14ac:dyDescent="0.25">
      <c r="B55" s="22"/>
      <c r="C55" s="22"/>
      <c r="D55" s="22"/>
      <c r="E55" s="23"/>
      <c r="F55" s="24"/>
      <c r="G55" s="24"/>
      <c r="H55" s="25"/>
      <c r="I55" s="26">
        <f t="shared" si="1"/>
        <v>0</v>
      </c>
    </row>
    <row r="56" spans="2:9" hidden="1" x14ac:dyDescent="0.25">
      <c r="B56" s="22"/>
      <c r="C56" s="22"/>
      <c r="D56" s="22"/>
      <c r="E56" s="23"/>
      <c r="F56" s="24"/>
      <c r="G56" s="24"/>
      <c r="H56" s="25"/>
      <c r="I56" s="26">
        <f t="shared" si="1"/>
        <v>0</v>
      </c>
    </row>
    <row r="57" spans="2:9" hidden="1" x14ac:dyDescent="0.25">
      <c r="B57" s="22"/>
      <c r="C57" s="22"/>
      <c r="D57" s="22"/>
      <c r="E57" s="23"/>
      <c r="F57" s="24"/>
      <c r="G57" s="24"/>
      <c r="H57" s="25"/>
      <c r="I57" s="26">
        <f t="shared" si="1"/>
        <v>0</v>
      </c>
    </row>
    <row r="58" spans="2:9" x14ac:dyDescent="0.25">
      <c r="B58" s="84"/>
      <c r="C58" s="85"/>
      <c r="D58" s="85"/>
      <c r="E58" s="85"/>
      <c r="F58" s="86"/>
      <c r="G58" s="27"/>
      <c r="H58" s="28" t="s">
        <v>17</v>
      </c>
      <c r="I58" s="29">
        <f>SUM(I15:I57)</f>
        <v>14219.6</v>
      </c>
    </row>
    <row r="59" spans="2:9" x14ac:dyDescent="0.25">
      <c r="B59" s="30"/>
      <c r="C59" s="31"/>
      <c r="D59" s="32" t="s">
        <v>18</v>
      </c>
      <c r="E59" s="87">
        <f>SUM(G15:G57)</f>
        <v>51030.270000000004</v>
      </c>
      <c r="F59" s="88"/>
      <c r="G59" s="33"/>
      <c r="H59" s="28" t="s">
        <v>19</v>
      </c>
      <c r="I59" s="34">
        <v>0</v>
      </c>
    </row>
    <row r="60" spans="2:9" x14ac:dyDescent="0.25">
      <c r="B60" s="30"/>
      <c r="C60" s="31"/>
      <c r="D60" s="32" t="s">
        <v>20</v>
      </c>
      <c r="E60" s="87">
        <f>SUM(I15:I57)</f>
        <v>14219.6</v>
      </c>
      <c r="F60" s="88"/>
      <c r="G60" s="33"/>
      <c r="H60" s="35" t="s">
        <v>21</v>
      </c>
      <c r="I60" s="34">
        <v>0</v>
      </c>
    </row>
    <row r="61" spans="2:9" x14ac:dyDescent="0.25">
      <c r="B61" s="30"/>
      <c r="C61" s="31"/>
      <c r="D61" s="32" t="s">
        <v>22</v>
      </c>
      <c r="E61" s="97">
        <f>E59-E60</f>
        <v>36810.670000000006</v>
      </c>
      <c r="F61" s="98"/>
      <c r="G61" s="36"/>
      <c r="H61" s="28" t="s">
        <v>23</v>
      </c>
      <c r="I61" s="37">
        <f>SUM(I58:I60)</f>
        <v>14219.6</v>
      </c>
    </row>
    <row r="62" spans="2:9" x14ac:dyDescent="0.25">
      <c r="B62" s="30"/>
      <c r="C62" s="31"/>
      <c r="D62" s="32"/>
      <c r="E62" s="99"/>
      <c r="F62" s="100"/>
      <c r="G62" s="38"/>
      <c r="H62" s="28" t="s">
        <v>24</v>
      </c>
      <c r="I62" s="37">
        <f>I61*0.05</f>
        <v>710.98</v>
      </c>
    </row>
    <row r="63" spans="2:9" x14ac:dyDescent="0.25">
      <c r="B63" s="30"/>
      <c r="C63" s="31"/>
      <c r="D63" s="39"/>
      <c r="E63" s="39"/>
      <c r="F63" s="40"/>
      <c r="G63" s="40"/>
      <c r="H63" s="28" t="s">
        <v>25</v>
      </c>
      <c r="I63" s="34"/>
    </row>
    <row r="64" spans="2:9" ht="15.75" x14ac:dyDescent="0.25">
      <c r="B64" s="94" t="s">
        <v>26</v>
      </c>
      <c r="C64" s="95"/>
      <c r="D64" s="95"/>
      <c r="E64" s="95"/>
      <c r="F64" s="96"/>
      <c r="G64" s="41"/>
      <c r="H64" s="42" t="s">
        <v>27</v>
      </c>
      <c r="I64" s="43">
        <f>SUM(I61:I63)</f>
        <v>14930.58</v>
      </c>
    </row>
  </sheetData>
  <autoFilter ref="B14:I64" xr:uid="{79A81AB4-DFBE-4D76-97FE-0C7F33856F71}">
    <filterColumn colId="6">
      <customFilters>
        <customFilter operator="notEqual" val=" "/>
      </customFilters>
    </filterColumn>
  </autoFilter>
  <mergeCells count="25">
    <mergeCell ref="B64:F64"/>
    <mergeCell ref="E1:F5"/>
    <mergeCell ref="E61:F61"/>
    <mergeCell ref="E62:F62"/>
    <mergeCell ref="C10:D10"/>
    <mergeCell ref="C11:D11"/>
    <mergeCell ref="C12:D12"/>
    <mergeCell ref="E9:F9"/>
    <mergeCell ref="E12:F12"/>
    <mergeCell ref="E10:F10"/>
    <mergeCell ref="C7:D7"/>
    <mergeCell ref="C8:D8"/>
    <mergeCell ref="C9:D9"/>
    <mergeCell ref="E8:F8"/>
    <mergeCell ref="H1:I5"/>
    <mergeCell ref="F13:I13"/>
    <mergeCell ref="B58:F58"/>
    <mergeCell ref="E59:F59"/>
    <mergeCell ref="E60:F60"/>
    <mergeCell ref="E11:F11"/>
    <mergeCell ref="H11:I11"/>
    <mergeCell ref="H12:I12"/>
    <mergeCell ref="H10:I10"/>
    <mergeCell ref="H9:I9"/>
    <mergeCell ref="H8:I8"/>
  </mergeCells>
  <pageMargins left="0.7" right="0.7" top="0.75" bottom="0.75" header="0.3" footer="0.3"/>
  <pageSetup scale="5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14896-BE02-46CA-91FA-FECA84C37650}">
  <sheetPr>
    <pageSetUpPr fitToPage="1"/>
  </sheetPr>
  <dimension ref="B1:I97"/>
  <sheetViews>
    <sheetView topLeftCell="A65" workbookViewId="0">
      <selection activeCell="H6" sqref="H6"/>
    </sheetView>
  </sheetViews>
  <sheetFormatPr defaultRowHeight="15" x14ac:dyDescent="0.25"/>
  <cols>
    <col min="1" max="1" width="2.7109375" customWidth="1"/>
    <col min="2" max="2" width="15.42578125" customWidth="1"/>
    <col min="3" max="3" width="44.42578125" bestFit="1" customWidth="1"/>
    <col min="4" max="4" width="36" customWidth="1"/>
    <col min="5" max="5" width="7.28515625" customWidth="1"/>
    <col min="6" max="6" width="14.7109375" customWidth="1"/>
    <col min="7" max="7" width="14.7109375" hidden="1" customWidth="1"/>
    <col min="8" max="8" width="14.7109375" customWidth="1"/>
    <col min="9" max="9" width="20.42578125" bestFit="1" customWidth="1"/>
  </cols>
  <sheetData>
    <row r="1" spans="2:9" ht="15" customHeight="1" x14ac:dyDescent="0.25">
      <c r="B1" s="2"/>
      <c r="C1" s="3"/>
      <c r="D1" s="3"/>
      <c r="E1" s="77" t="s">
        <v>28</v>
      </c>
      <c r="F1" s="77"/>
      <c r="G1" s="44"/>
      <c r="H1" s="77" t="s">
        <v>452</v>
      </c>
      <c r="I1" s="78"/>
    </row>
    <row r="2" spans="2:9" ht="15" customHeight="1" x14ac:dyDescent="0.25">
      <c r="B2" s="4"/>
      <c r="E2" s="79"/>
      <c r="F2" s="79"/>
      <c r="G2" s="45"/>
      <c r="H2" s="79"/>
      <c r="I2" s="80"/>
    </row>
    <row r="3" spans="2:9" ht="15" customHeight="1" x14ac:dyDescent="0.25">
      <c r="B3" s="4"/>
      <c r="E3" s="79"/>
      <c r="F3" s="79"/>
      <c r="G3" s="45"/>
      <c r="H3" s="79"/>
      <c r="I3" s="80"/>
    </row>
    <row r="4" spans="2:9" ht="15" customHeight="1" x14ac:dyDescent="0.25">
      <c r="B4" s="4"/>
      <c r="E4" s="79"/>
      <c r="F4" s="79"/>
      <c r="G4" s="45"/>
      <c r="H4" s="79"/>
      <c r="I4" s="80"/>
    </row>
    <row r="5" spans="2:9" ht="15" customHeight="1" x14ac:dyDescent="0.25">
      <c r="B5" s="5"/>
      <c r="C5" s="1"/>
      <c r="D5" s="1"/>
      <c r="E5" s="81"/>
      <c r="F5" s="81"/>
      <c r="G5" s="46"/>
      <c r="H5" s="81"/>
      <c r="I5" s="82"/>
    </row>
    <row r="6" spans="2:9" ht="36" x14ac:dyDescent="0.55000000000000004">
      <c r="B6" s="6"/>
      <c r="C6" s="7"/>
      <c r="D6" s="7"/>
      <c r="E6" s="8"/>
      <c r="F6" s="8"/>
      <c r="G6" s="8"/>
      <c r="H6" s="8"/>
      <c r="I6" s="8"/>
    </row>
    <row r="7" spans="2:9" x14ac:dyDescent="0.25">
      <c r="B7" s="49" t="s">
        <v>7</v>
      </c>
      <c r="C7" s="103" t="s">
        <v>70</v>
      </c>
      <c r="D7" s="104"/>
      <c r="E7" s="9" t="s">
        <v>8</v>
      </c>
      <c r="F7" s="10">
        <v>45870</v>
      </c>
      <c r="G7" s="10"/>
      <c r="H7" s="11" t="s">
        <v>9</v>
      </c>
      <c r="I7" s="12"/>
    </row>
    <row r="8" spans="2:9" x14ac:dyDescent="0.25">
      <c r="B8" s="50" t="s">
        <v>10</v>
      </c>
      <c r="C8" s="101">
        <v>0</v>
      </c>
      <c r="D8" s="101"/>
      <c r="E8" s="89" t="s">
        <v>11</v>
      </c>
      <c r="F8" s="89"/>
      <c r="G8" s="13"/>
      <c r="H8" s="93"/>
      <c r="I8" s="93"/>
    </row>
    <row r="9" spans="2:9" x14ac:dyDescent="0.25">
      <c r="B9" s="50" t="s">
        <v>12</v>
      </c>
      <c r="C9" s="101">
        <v>0</v>
      </c>
      <c r="D9" s="101"/>
      <c r="E9" s="89" t="s">
        <v>13</v>
      </c>
      <c r="F9" s="89"/>
      <c r="G9" s="13"/>
      <c r="H9" s="92"/>
      <c r="I9" s="92"/>
    </row>
    <row r="10" spans="2:9" x14ac:dyDescent="0.25">
      <c r="B10" s="50"/>
      <c r="C10" s="101">
        <v>0</v>
      </c>
      <c r="D10" s="101"/>
      <c r="E10" s="89" t="s">
        <v>14</v>
      </c>
      <c r="F10" s="89"/>
      <c r="G10" s="13"/>
      <c r="H10" s="90"/>
      <c r="I10" s="90"/>
    </row>
    <row r="11" spans="2:9" x14ac:dyDescent="0.25">
      <c r="B11" s="50"/>
      <c r="C11" s="101">
        <v>0</v>
      </c>
      <c r="D11" s="101"/>
      <c r="E11" s="89"/>
      <c r="F11" s="89"/>
      <c r="G11" s="13"/>
      <c r="H11" s="90"/>
      <c r="I11" s="90"/>
    </row>
    <row r="12" spans="2:9" x14ac:dyDescent="0.25">
      <c r="B12" s="51"/>
      <c r="C12" s="101">
        <v>0</v>
      </c>
      <c r="D12" s="101"/>
      <c r="E12" s="102"/>
      <c r="F12" s="102"/>
      <c r="G12" s="14"/>
      <c r="H12" s="91"/>
      <c r="I12" s="91"/>
    </row>
    <row r="13" spans="2:9" ht="15.75" thickBot="1" x14ac:dyDescent="0.3">
      <c r="B13" s="15"/>
      <c r="C13" s="16"/>
      <c r="D13" s="16"/>
      <c r="E13" s="16"/>
      <c r="F13" s="83" t="s">
        <v>3</v>
      </c>
      <c r="G13" s="83"/>
      <c r="H13" s="83"/>
      <c r="I13" s="83"/>
    </row>
    <row r="14" spans="2:9" ht="15.75" thickBot="1" x14ac:dyDescent="0.3">
      <c r="B14" s="53" t="s">
        <v>0</v>
      </c>
      <c r="C14" s="18" t="s">
        <v>15</v>
      </c>
      <c r="D14" s="19" t="s">
        <v>1</v>
      </c>
      <c r="E14" s="20" t="s">
        <v>2</v>
      </c>
      <c r="F14" s="20" t="s">
        <v>4</v>
      </c>
      <c r="G14" s="20"/>
      <c r="H14" s="20" t="s">
        <v>5</v>
      </c>
      <c r="I14" s="21" t="s">
        <v>16</v>
      </c>
    </row>
    <row r="15" spans="2:9" x14ac:dyDescent="0.25">
      <c r="B15" s="62">
        <v>6689756</v>
      </c>
      <c r="C15" s="22" t="str">
        <f>VLOOKUP(B15,'[1]Product by Part Number'!$A:$B,2,0)</f>
        <v xml:space="preserve">BOBCAT T750 (ANK)                                            </v>
      </c>
      <c r="D15" s="22" t="str">
        <f>VLOOKUP(B15,'[1]Product by Part Number'!$A:$C,3,0)</f>
        <v>Upper Gasket Kit</v>
      </c>
      <c r="E15" s="23">
        <f>VLOOKUP(B15,'[1]Product by Part Number'!$A:$K,11,0)</f>
        <v>1</v>
      </c>
      <c r="F15" s="24">
        <f>VLOOKUP(B15,'[1]Product by Part Number'!$A:$D,4,0)</f>
        <v>361.99</v>
      </c>
      <c r="G15" s="24">
        <f t="shared" ref="G15:G52" si="0">E15*F15</f>
        <v>361.99</v>
      </c>
      <c r="H15" s="25">
        <f>VLOOKUP(B15,'[1]Product by Part Number'!$A:$E,5,0)</f>
        <v>181</v>
      </c>
      <c r="I15" s="26">
        <f t="shared" ref="I15:I90" si="1">ROUND(E15*H15,2)</f>
        <v>181</v>
      </c>
    </row>
    <row r="16" spans="2:9" x14ac:dyDescent="0.25">
      <c r="B16" s="62">
        <v>6698579</v>
      </c>
      <c r="C16" s="22" t="str">
        <f>VLOOKUP(B16,'[1]Product by Part Number'!$A:$B,2,0)</f>
        <v xml:space="preserve">BOBCAT T750 (ANK)                                            </v>
      </c>
      <c r="D16" s="22" t="str">
        <f>VLOOKUP(B16,'[1]Product by Part Number'!$A:$C,3,0)</f>
        <v>Lower Gasket Kit</v>
      </c>
      <c r="E16" s="23">
        <f>VLOOKUP(B16,'[1]Product by Part Number'!$A:$K,11,0)</f>
        <v>1</v>
      </c>
      <c r="F16" s="24">
        <f>VLOOKUP(B16,'[1]Product by Part Number'!$A:$D,4,0)</f>
        <v>417.49</v>
      </c>
      <c r="G16" s="24">
        <f t="shared" si="0"/>
        <v>417.49</v>
      </c>
      <c r="H16" s="25">
        <f>VLOOKUP(B16,'[1]Product by Part Number'!$A:$E,5,0)</f>
        <v>208.75</v>
      </c>
      <c r="I16" s="26">
        <f t="shared" si="1"/>
        <v>208.75</v>
      </c>
    </row>
    <row r="17" spans="2:9" x14ac:dyDescent="0.25">
      <c r="B17" s="62">
        <v>7008510</v>
      </c>
      <c r="C17" s="22" t="str">
        <f>VLOOKUP(B17,'[1]Product by Part Number'!$A:$B,2,0)</f>
        <v xml:space="preserve">BOBCAT S650 (A3N)                                            </v>
      </c>
      <c r="D17" s="22" t="str">
        <f>VLOOKUP(B17,'[1]Product by Part Number'!$A:$C,3,0)</f>
        <v>Upper Gasket Kit</v>
      </c>
      <c r="E17" s="23">
        <f>VLOOKUP(B17,'[1]Product by Part Number'!$A:$K,11,0)</f>
        <v>1</v>
      </c>
      <c r="F17" s="24">
        <f>VLOOKUP(B17,'[1]Product by Part Number'!$A:$D,4,0)</f>
        <v>470.49</v>
      </c>
      <c r="G17" s="24">
        <f t="shared" si="0"/>
        <v>470.49</v>
      </c>
      <c r="H17" s="25">
        <f>VLOOKUP(B17,'[1]Product by Part Number'!$A:$E,5,0)</f>
        <v>235.25</v>
      </c>
      <c r="I17" s="26">
        <f t="shared" si="1"/>
        <v>235.25</v>
      </c>
    </row>
    <row r="18" spans="2:9" x14ac:dyDescent="0.25">
      <c r="B18" s="62">
        <v>7008511</v>
      </c>
      <c r="C18" s="22" t="str">
        <f>VLOOKUP(B18,'[1]Product by Part Number'!$A:$B,2,0)</f>
        <v xml:space="preserve">BOBCAT S650 (A3N)                                            </v>
      </c>
      <c r="D18" s="22" t="str">
        <f>VLOOKUP(B18,'[1]Product by Part Number'!$A:$C,3,0)</f>
        <v>Lower Gasket Kit</v>
      </c>
      <c r="E18" s="23">
        <f>VLOOKUP(B18,'[1]Product by Part Number'!$A:$K,11,0)</f>
        <v>1</v>
      </c>
      <c r="F18" s="24">
        <f>VLOOKUP(B18,'[1]Product by Part Number'!$A:$D,4,0)</f>
        <v>482.99</v>
      </c>
      <c r="G18" s="24">
        <f t="shared" si="0"/>
        <v>482.99</v>
      </c>
      <c r="H18" s="25">
        <f>VLOOKUP(B18,'[1]Product by Part Number'!$A:$E,5,0)</f>
        <v>241.5</v>
      </c>
      <c r="I18" s="26">
        <f t="shared" si="1"/>
        <v>241.5</v>
      </c>
    </row>
    <row r="19" spans="2:9" x14ac:dyDescent="0.25">
      <c r="B19" s="62">
        <v>7020950</v>
      </c>
      <c r="C19" s="22" t="str">
        <f>VLOOKUP(B19,'[1]Product by Part Number'!$A:$B,2,0)</f>
        <v xml:space="preserve">BOBCAT T750 (ANK)                                            </v>
      </c>
      <c r="D19" s="22" t="str">
        <f>VLOOKUP(B19,'[1]Product by Part Number'!$A:$C,3,0)</f>
        <v>CYLINDER HEAD</v>
      </c>
      <c r="E19" s="23">
        <f>VLOOKUP(B19,'[1]Product by Part Number'!$A:$K,11,0)</f>
        <v>1</v>
      </c>
      <c r="F19" s="24">
        <f>VLOOKUP(B19,'[1]Product by Part Number'!$A:$D,4,0)</f>
        <v>4359.99</v>
      </c>
      <c r="G19" s="24">
        <f t="shared" si="0"/>
        <v>4359.99</v>
      </c>
      <c r="H19" s="25">
        <f>VLOOKUP(B19,'[1]Product by Part Number'!$A:$E,5,0)</f>
        <v>2180</v>
      </c>
      <c r="I19" s="26">
        <f t="shared" si="1"/>
        <v>2180</v>
      </c>
    </row>
    <row r="20" spans="2:9" x14ac:dyDescent="0.25">
      <c r="B20" s="62">
        <v>7024264</v>
      </c>
      <c r="C20" s="22" t="str">
        <f>VLOOKUP(B20,'[1]Product by Part Number'!$A:$B,2,0)</f>
        <v xml:space="preserve">BOBCAT T750 (ATF)                                            </v>
      </c>
      <c r="D20" s="22" t="str">
        <f>VLOOKUP(B20,'[1]Product by Part Number'!$A:$C,3,0)</f>
        <v xml:space="preserve">CRANKSHAFT </v>
      </c>
      <c r="E20" s="23">
        <f>VLOOKUP(B20,'[1]Product by Part Number'!$A:$K,11,0)</f>
        <v>1</v>
      </c>
      <c r="F20" s="24">
        <f>VLOOKUP(B20,'[1]Product by Part Number'!$A:$D,4,0)</f>
        <v>6916.49</v>
      </c>
      <c r="G20" s="24">
        <f t="shared" si="0"/>
        <v>6916.49</v>
      </c>
      <c r="H20" s="25">
        <f>VLOOKUP(B20,'[1]Product by Part Number'!$A:$E,5,0)</f>
        <v>3458.25</v>
      </c>
      <c r="I20" s="26">
        <f t="shared" si="1"/>
        <v>3458.25</v>
      </c>
    </row>
    <row r="21" spans="2:9" x14ac:dyDescent="0.25">
      <c r="B21" s="62">
        <v>7024384</v>
      </c>
      <c r="C21" s="22" t="str">
        <f>VLOOKUP(B21,'[1]Product by Part Number'!$A:$B,2,0)</f>
        <v xml:space="preserve">BOBCAT T750 (ATF)                                            </v>
      </c>
      <c r="D21" s="22" t="str">
        <f>VLOOKUP(B21,'[1]Product by Part Number'!$A:$C,3,0)</f>
        <v>CYLINDER HEAD</v>
      </c>
      <c r="E21" s="23">
        <f>VLOOKUP(B21,'[1]Product by Part Number'!$A:$K,11,0)</f>
        <v>1</v>
      </c>
      <c r="F21" s="24">
        <f>VLOOKUP(B21,'[1]Product by Part Number'!$A:$D,4,0)</f>
        <v>2400.4899999999998</v>
      </c>
      <c r="G21" s="24">
        <f t="shared" si="0"/>
        <v>2400.4899999999998</v>
      </c>
      <c r="H21" s="25">
        <f>VLOOKUP(B21,'[1]Product by Part Number'!$A:$E,5,0)</f>
        <v>1200.25</v>
      </c>
      <c r="I21" s="26">
        <f t="shared" si="1"/>
        <v>1200.25</v>
      </c>
    </row>
    <row r="22" spans="2:9" x14ac:dyDescent="0.25">
      <c r="B22" s="62">
        <v>7024930</v>
      </c>
      <c r="C22" s="22" t="str">
        <f>VLOOKUP(B22,'[1]Product by Part Number'!$A:$B,2,0)</f>
        <v xml:space="preserve">BOBCAT T750 (ATF)                                            </v>
      </c>
      <c r="D22" s="22" t="str">
        <f>VLOOKUP(B22,'[1]Product by Part Number'!$A:$C,3,0)</f>
        <v>Upper Gasket Kit</v>
      </c>
      <c r="E22" s="23">
        <f>VLOOKUP(B22,'[1]Product by Part Number'!$A:$K,11,0)</f>
        <v>1</v>
      </c>
      <c r="F22" s="24">
        <f>VLOOKUP(B22,'[1]Product by Part Number'!$A:$D,4,0)</f>
        <v>587.99</v>
      </c>
      <c r="G22" s="24">
        <f t="shared" si="0"/>
        <v>587.99</v>
      </c>
      <c r="H22" s="25">
        <f>VLOOKUP(B22,'[1]Product by Part Number'!$A:$E,5,0)</f>
        <v>294</v>
      </c>
      <c r="I22" s="26">
        <f t="shared" si="1"/>
        <v>294</v>
      </c>
    </row>
    <row r="23" spans="2:9" x14ac:dyDescent="0.25">
      <c r="B23" s="62">
        <v>7024931</v>
      </c>
      <c r="C23" s="22" t="str">
        <f>VLOOKUP(B23,'[1]Product by Part Number'!$A:$B,2,0)</f>
        <v xml:space="preserve">BOBCAT T750 (ATF)                                            </v>
      </c>
      <c r="D23" s="22" t="str">
        <f>VLOOKUP(B23,'[1]Product by Part Number'!$A:$C,3,0)</f>
        <v>Lower Gasket Kit</v>
      </c>
      <c r="E23" s="23">
        <f>VLOOKUP(B23,'[1]Product by Part Number'!$A:$K,11,0)</f>
        <v>1</v>
      </c>
      <c r="F23" s="24">
        <f>VLOOKUP(B23,'[1]Product by Part Number'!$A:$D,4,0)</f>
        <v>445.99</v>
      </c>
      <c r="G23" s="24">
        <f t="shared" si="0"/>
        <v>445.99</v>
      </c>
      <c r="H23" s="25">
        <f>VLOOKUP(B23,'[1]Product by Part Number'!$A:$E,5,0)</f>
        <v>223</v>
      </c>
      <c r="I23" s="26">
        <f t="shared" si="1"/>
        <v>223</v>
      </c>
    </row>
    <row r="24" spans="2:9" x14ac:dyDescent="0.25">
      <c r="B24" s="62">
        <v>7256752</v>
      </c>
      <c r="C24" s="22" t="str">
        <f>VLOOKUP(B24,'[1]Product by Part Number'!$A:$B,2,0)</f>
        <v xml:space="preserve">BOBCAT T770 (AT6) BOBCAT T770 (AT6) (2)                                          </v>
      </c>
      <c r="D24" s="22" t="str">
        <f>VLOOKUP(B24,'[1]Product by Part Number'!$A:$C,3,0)</f>
        <v>CRANKSHAFT / Gear</v>
      </c>
      <c r="E24" s="23">
        <f>VLOOKUP(B24,'[1]Product by Part Number'!$A:$K,11,0)</f>
        <v>2</v>
      </c>
      <c r="F24" s="24">
        <f>VLOOKUP(B24,'[1]Product by Part Number'!$A:$D,4,0)</f>
        <v>2799.99</v>
      </c>
      <c r="G24" s="24">
        <f t="shared" si="0"/>
        <v>5599.98</v>
      </c>
      <c r="H24" s="25">
        <f>VLOOKUP(B24,'[1]Product by Part Number'!$A:$E,5,0)</f>
        <v>1400</v>
      </c>
      <c r="I24" s="26">
        <f t="shared" si="1"/>
        <v>2800</v>
      </c>
    </row>
    <row r="25" spans="2:9" x14ac:dyDescent="0.25">
      <c r="B25" s="62">
        <v>7298788</v>
      </c>
      <c r="C25" s="22" t="str">
        <f>VLOOKUP(B25,'[1]Product by Part Number'!$A:$B,2,0)</f>
        <v xml:space="preserve">BOBCAT T770 (AT6) BOBCAT T770 (AT6) (2)                                          </v>
      </c>
      <c r="D25" s="22" t="str">
        <f>VLOOKUP(B25,'[1]Product by Part Number'!$A:$C,3,0)</f>
        <v>CYLINDER HEAD</v>
      </c>
      <c r="E25" s="23">
        <f>VLOOKUP(B25,'[1]Product by Part Number'!$A:$K,11,0)</f>
        <v>2</v>
      </c>
      <c r="F25" s="24">
        <f>VLOOKUP(B25,'[1]Product by Part Number'!$A:$D,4,0)</f>
        <v>4052.99</v>
      </c>
      <c r="G25" s="24">
        <f t="shared" si="0"/>
        <v>8105.98</v>
      </c>
      <c r="H25" s="25">
        <f>VLOOKUP(B25,'[1]Product by Part Number'!$A:$E,5,0)</f>
        <v>2026.5</v>
      </c>
      <c r="I25" s="26">
        <f t="shared" si="1"/>
        <v>4053</v>
      </c>
    </row>
    <row r="26" spans="2:9" x14ac:dyDescent="0.25">
      <c r="B26" s="62" t="s">
        <v>71</v>
      </c>
      <c r="C26" s="22" t="str">
        <f>VLOOKUP(B26,'[1]Product by Part Number'!$A:$B,2,0)</f>
        <v xml:space="preserve">CAT D5 (3CR) CAT D5 (3CR) (2) CAT 561M (1KW)                                        </v>
      </c>
      <c r="D26" s="22" t="str">
        <f>VLOOKUP(B26,'[1]Product by Part Number'!$A:$C,3,0)</f>
        <v>CAMSHAFT</v>
      </c>
      <c r="E26" s="23">
        <f>VLOOKUP(B26,'[1]Product by Part Number'!$A:$K,11,0)</f>
        <v>3</v>
      </c>
      <c r="F26" s="24">
        <f>VLOOKUP(B26,'[1]Product by Part Number'!$A:$D,4,0)</f>
        <v>4368</v>
      </c>
      <c r="G26" s="24">
        <f t="shared" si="0"/>
        <v>13104</v>
      </c>
      <c r="H26" s="25">
        <f>VLOOKUP(B26,'[1]Product by Part Number'!$A:$E,5,0)</f>
        <v>2184</v>
      </c>
      <c r="I26" s="26">
        <f t="shared" si="1"/>
        <v>6552</v>
      </c>
    </row>
    <row r="27" spans="2:9" x14ac:dyDescent="0.25">
      <c r="B27" s="62" t="s">
        <v>72</v>
      </c>
      <c r="C27" s="22" t="str">
        <f>VLOOKUP(B27,'[1]Product by Part Number'!$A:$B,2,0)</f>
        <v xml:space="preserve">CAT 561N (CPH) CAT 561N (CPH) (2) CAT 561N (CPH) (3) CAT 561N (CPH) (4) CAT 561N (CPH) (5) CAT PL61 (WGS) CAT PL61 (WGS) (2) CAT PL61 (WGS) (3)                              </v>
      </c>
      <c r="D27" s="22" t="str">
        <f>VLOOKUP(B27,'[1]Product by Part Number'!$A:$C,3,0)</f>
        <v>CAMSHAFT</v>
      </c>
      <c r="E27" s="23">
        <f>VLOOKUP(B27,'[1]Product by Part Number'!$A:$K,11,0)</f>
        <v>8</v>
      </c>
      <c r="F27" s="24">
        <f>VLOOKUP(B27,'[1]Product by Part Number'!$A:$D,4,0)</f>
        <v>4686.51</v>
      </c>
      <c r="G27" s="24">
        <f t="shared" si="0"/>
        <v>37492.080000000002</v>
      </c>
      <c r="H27" s="25">
        <f>VLOOKUP(B27,'[1]Product by Part Number'!$A:$E,5,0)</f>
        <v>2343.2600000000002</v>
      </c>
      <c r="I27" s="26">
        <f t="shared" si="1"/>
        <v>18746.080000000002</v>
      </c>
    </row>
    <row r="28" spans="2:9" x14ac:dyDescent="0.25">
      <c r="B28" s="62" t="s">
        <v>73</v>
      </c>
      <c r="C28" s="22" t="str">
        <f>VLOOKUP(B28,'[1]Product by Part Number'!$A:$B,2,0)</f>
        <v xml:space="preserve">CAT D7G (92V) CAT D7G (3ZD) CAT D7G (3ZD) (2)                                        </v>
      </c>
      <c r="D28" s="22" t="str">
        <f>VLOOKUP(B28,'[1]Product by Part Number'!$A:$C,3,0)</f>
        <v>CRANKSHAFT ASSY</v>
      </c>
      <c r="E28" s="23">
        <f>VLOOKUP(B28,'[1]Product by Part Number'!$A:$K,11,0)</f>
        <v>3</v>
      </c>
      <c r="F28" s="24">
        <f>VLOOKUP(B28,'[1]Product by Part Number'!$A:$D,4,0)</f>
        <v>17640.77</v>
      </c>
      <c r="G28" s="24">
        <f t="shared" si="0"/>
        <v>52922.31</v>
      </c>
      <c r="H28" s="25">
        <f>VLOOKUP(B28,'[1]Product by Part Number'!$A:$E,5,0)</f>
        <v>8820.39</v>
      </c>
      <c r="I28" s="26">
        <f t="shared" si="1"/>
        <v>26461.17</v>
      </c>
    </row>
    <row r="29" spans="2:9" x14ac:dyDescent="0.25">
      <c r="B29" s="62" t="s">
        <v>74</v>
      </c>
      <c r="C29" s="22" t="str">
        <f>VLOOKUP(B29,'[1]Product by Part Number'!$A:$B,2,0)</f>
        <v xml:space="preserve">CAT 303.5E                                            </v>
      </c>
      <c r="D29" s="22" t="str">
        <f>VLOOKUP(B29,'[1]Product by Part Number'!$A:$C,3,0)</f>
        <v>OIL PUMP ENGINE</v>
      </c>
      <c r="E29" s="23">
        <f>VLOOKUP(B29,'[1]Product by Part Number'!$A:$K,11,0)</f>
        <v>1</v>
      </c>
      <c r="F29" s="24">
        <f>VLOOKUP(B29,'[1]Product by Part Number'!$A:$D,4,0)</f>
        <v>831.44</v>
      </c>
      <c r="G29" s="24">
        <f t="shared" si="0"/>
        <v>831.44</v>
      </c>
      <c r="H29" s="25">
        <f>VLOOKUP(B29,'[1]Product by Part Number'!$A:$E,5,0)</f>
        <v>415.72</v>
      </c>
      <c r="I29" s="26">
        <f t="shared" si="1"/>
        <v>415.72</v>
      </c>
    </row>
    <row r="30" spans="2:9" x14ac:dyDescent="0.25">
      <c r="B30" s="62" t="s">
        <v>190</v>
      </c>
      <c r="C30" s="22" t="str">
        <f>VLOOKUP(B30,'[1]Product by Part Number'!$A:$B,2,0)</f>
        <v xml:space="preserve">CAT 303.5E                                            </v>
      </c>
      <c r="D30" s="22" t="str">
        <f>VLOOKUP(B30,'[1]Product by Part Number'!$A:$C,3,0)</f>
        <v>WATER PUMP</v>
      </c>
      <c r="E30" s="23">
        <f>VLOOKUP(B30,'[1]Product by Part Number'!$A:$K,11,0)</f>
        <v>1</v>
      </c>
      <c r="F30" s="24">
        <f>VLOOKUP(B30,'[1]Product by Part Number'!$A:$D,4,0)</f>
        <v>512.79</v>
      </c>
      <c r="G30" s="24">
        <f t="shared" si="0"/>
        <v>512.79</v>
      </c>
      <c r="H30" s="25">
        <f>VLOOKUP(B30,'[1]Product by Part Number'!$A:$E,5,0)</f>
        <v>256.39999999999998</v>
      </c>
      <c r="I30" s="26">
        <f t="shared" si="1"/>
        <v>256.39999999999998</v>
      </c>
    </row>
    <row r="31" spans="2:9" x14ac:dyDescent="0.25">
      <c r="B31" s="62" t="s">
        <v>341</v>
      </c>
      <c r="C31" s="22" t="str">
        <f>VLOOKUP(B31,'[1]Product by Part Number'!$A:$B,2,0)</f>
        <v xml:space="preserve">CAT 303.5E                                            </v>
      </c>
      <c r="D31" s="22" t="str">
        <f>VLOOKUP(B31,'[1]Product by Part Number'!$A:$C,3,0)</f>
        <v>CYLINDER HEAD</v>
      </c>
      <c r="E31" s="23">
        <f>VLOOKUP(B31,'[1]Product by Part Number'!$A:$K,11,0)</f>
        <v>1</v>
      </c>
      <c r="F31" s="24">
        <f>VLOOKUP(B31,'[1]Product by Part Number'!$A:$D,4,0)</f>
        <v>3744.05</v>
      </c>
      <c r="G31" s="24">
        <f t="shared" si="0"/>
        <v>3744.05</v>
      </c>
      <c r="H31" s="25">
        <f>VLOOKUP(B31,'[1]Product by Part Number'!$A:$E,5,0)</f>
        <v>1872.03</v>
      </c>
      <c r="I31" s="26">
        <f t="shared" si="1"/>
        <v>1872.03</v>
      </c>
    </row>
    <row r="32" spans="2:9" x14ac:dyDescent="0.25">
      <c r="B32" s="62" t="s">
        <v>75</v>
      </c>
      <c r="C32" s="22" t="str">
        <f>VLOOKUP(B32,'[1]Product by Part Number'!$A:$B,2,0)</f>
        <v xml:space="preserve">CAT 303.5E                                            </v>
      </c>
      <c r="D32" s="22" t="str">
        <f>VLOOKUP(B32,'[1]Product by Part Number'!$A:$C,3,0)</f>
        <v>CAMSHAFT AS</v>
      </c>
      <c r="E32" s="23">
        <f>VLOOKUP(B32,'[1]Product by Part Number'!$A:$K,11,0)</f>
        <v>1</v>
      </c>
      <c r="F32" s="24">
        <f>VLOOKUP(B32,'[1]Product by Part Number'!$A:$D,4,0)</f>
        <v>515.16999999999996</v>
      </c>
      <c r="G32" s="24">
        <f t="shared" si="0"/>
        <v>515.16999999999996</v>
      </c>
      <c r="H32" s="25">
        <f>VLOOKUP(B32,'[1]Product by Part Number'!$A:$E,5,0)</f>
        <v>257.58999999999997</v>
      </c>
      <c r="I32" s="26">
        <f t="shared" si="1"/>
        <v>257.58999999999997</v>
      </c>
    </row>
    <row r="33" spans="2:9" x14ac:dyDescent="0.25">
      <c r="B33" s="62" t="s">
        <v>76</v>
      </c>
      <c r="C33" s="22" t="str">
        <f>VLOOKUP(B33,'[1]Product by Part Number'!$A:$B,2,0)</f>
        <v xml:space="preserve">CAT 303.5E                                            </v>
      </c>
      <c r="D33" s="22" t="str">
        <f>VLOOKUP(B33,'[1]Product by Part Number'!$A:$C,3,0)</f>
        <v>CRANKSHAFT ASSY</v>
      </c>
      <c r="E33" s="23">
        <f>VLOOKUP(B33,'[1]Product by Part Number'!$A:$K,11,0)</f>
        <v>1</v>
      </c>
      <c r="F33" s="24">
        <f>VLOOKUP(B33,'[1]Product by Part Number'!$A:$D,4,0)</f>
        <v>4035.36</v>
      </c>
      <c r="G33" s="24">
        <f t="shared" si="0"/>
        <v>4035.36</v>
      </c>
      <c r="H33" s="25">
        <f>VLOOKUP(B33,'[1]Product by Part Number'!$A:$E,5,0)</f>
        <v>2017.68</v>
      </c>
      <c r="I33" s="26">
        <f t="shared" si="1"/>
        <v>2017.68</v>
      </c>
    </row>
    <row r="34" spans="2:9" x14ac:dyDescent="0.25">
      <c r="B34" s="62" t="s">
        <v>342</v>
      </c>
      <c r="C34" s="22" t="str">
        <f>VLOOKUP(B34,'[1]Product by Part Number'!$A:$B,2,0)</f>
        <v xml:space="preserve">CAT 299D (DX2)                                            </v>
      </c>
      <c r="D34" s="22" t="str">
        <f>VLOOKUP(B34,'[1]Product by Part Number'!$A:$C,3,0)</f>
        <v>CYLINDER HEAD</v>
      </c>
      <c r="E34" s="23">
        <f>VLOOKUP(B34,'[1]Product by Part Number'!$A:$K,11,0)</f>
        <v>1</v>
      </c>
      <c r="F34" s="24">
        <f>VLOOKUP(B34,'[1]Product by Part Number'!$A:$D,4,0)</f>
        <v>9634.25</v>
      </c>
      <c r="G34" s="24">
        <f t="shared" si="0"/>
        <v>9634.25</v>
      </c>
      <c r="H34" s="25">
        <f>VLOOKUP(B34,'[1]Product by Part Number'!$A:$E,5,0)</f>
        <v>4817.13</v>
      </c>
      <c r="I34" s="26">
        <f t="shared" si="1"/>
        <v>4817.13</v>
      </c>
    </row>
    <row r="35" spans="2:9" x14ac:dyDescent="0.25">
      <c r="B35" s="62" t="s">
        <v>77</v>
      </c>
      <c r="C35" s="22" t="str">
        <f>VLOOKUP(B35,'[1]Product by Part Number'!$A:$B,2,0)</f>
        <v xml:space="preserve">CAT 299D (DX2)                                            </v>
      </c>
      <c r="D35" s="22" t="str">
        <f>VLOOKUP(B35,'[1]Product by Part Number'!$A:$C,3,0)</f>
        <v>CRANKSHAFT</v>
      </c>
      <c r="E35" s="23">
        <f>VLOOKUP(B35,'[1]Product by Part Number'!$A:$K,11,0)</f>
        <v>1</v>
      </c>
      <c r="F35" s="24">
        <f>VLOOKUP(B35,'[1]Product by Part Number'!$A:$D,4,0)</f>
        <v>4526.6400000000003</v>
      </c>
      <c r="G35" s="24">
        <f t="shared" si="0"/>
        <v>4526.6400000000003</v>
      </c>
      <c r="H35" s="25">
        <f>VLOOKUP(B35,'[1]Product by Part Number'!$A:$E,5,0)</f>
        <v>2263.3200000000002</v>
      </c>
      <c r="I35" s="26">
        <f t="shared" si="1"/>
        <v>2263.3200000000002</v>
      </c>
    </row>
    <row r="36" spans="2:9" x14ac:dyDescent="0.25">
      <c r="B36" s="62" t="s">
        <v>78</v>
      </c>
      <c r="C36" s="22" t="str">
        <f>VLOOKUP(B36,'[1]Product by Part Number'!$A:$B,2,0)</f>
        <v xml:space="preserve">CAT 299D (DX2)                                            </v>
      </c>
      <c r="D36" s="22" t="str">
        <f>VLOOKUP(B36,'[1]Product by Part Number'!$A:$C,3,0)</f>
        <v>CAMSHAFT</v>
      </c>
      <c r="E36" s="23">
        <f>VLOOKUP(B36,'[1]Product by Part Number'!$A:$K,11,0)</f>
        <v>1</v>
      </c>
      <c r="F36" s="24">
        <f>VLOOKUP(B36,'[1]Product by Part Number'!$A:$D,4,0)</f>
        <v>1117.5899999999999</v>
      </c>
      <c r="G36" s="24">
        <f t="shared" si="0"/>
        <v>1117.5899999999999</v>
      </c>
      <c r="H36" s="25">
        <f>VLOOKUP(B36,'[1]Product by Part Number'!$A:$E,5,0)</f>
        <v>558.79999999999995</v>
      </c>
      <c r="I36" s="26">
        <f t="shared" si="1"/>
        <v>558.79999999999995</v>
      </c>
    </row>
    <row r="37" spans="2:9" x14ac:dyDescent="0.25">
      <c r="B37" s="62" t="s">
        <v>79</v>
      </c>
      <c r="C37" s="22" t="str">
        <f>VLOOKUP(B37,'[1]Product by Part Number'!$A:$B,2,0)</f>
        <v xml:space="preserve">CAT D5 (3CR) CAT D5 (3CR) (2) CAT 561M (1KW) CAT 561N (CPH) CAT 561N (CPH) (2) CAT 561N (CPH) (3) CAT 561N (CPH) (4) CAT 561N (CPH) (5) CAT PL61 (WGS) CAT PL61 (WGS) (2) CAT PL61 (WGS) (3)                        </v>
      </c>
      <c r="D37" s="22" t="str">
        <f>VLOOKUP(B37,'[1]Product by Part Number'!$A:$C,3,0)</f>
        <v>CRANKSHAFT</v>
      </c>
      <c r="E37" s="23">
        <f>VLOOKUP(B37,'[1]Product by Part Number'!$A:$K,11,0)</f>
        <v>11</v>
      </c>
      <c r="F37" s="24">
        <f>VLOOKUP(B37,'[1]Product by Part Number'!$A:$D,4,0)</f>
        <v>14944.09</v>
      </c>
      <c r="G37" s="24">
        <f t="shared" si="0"/>
        <v>164384.99</v>
      </c>
      <c r="H37" s="25">
        <f>VLOOKUP(B37,'[1]Product by Part Number'!$A:$E,5,0)</f>
        <v>7472.05</v>
      </c>
      <c r="I37" s="26">
        <f t="shared" si="1"/>
        <v>82192.55</v>
      </c>
    </row>
    <row r="38" spans="2:9" x14ac:dyDescent="0.25">
      <c r="B38" s="62" t="s">
        <v>80</v>
      </c>
      <c r="C38" s="22" t="str">
        <f>VLOOKUP(B38,'[1]Product by Part Number'!$A:$B,2,0)</f>
        <v xml:space="preserve">CAT 561 (85H) CAT 561 (92J) CAT 561 (92J) (2)                                        </v>
      </c>
      <c r="D38" s="22" t="str">
        <f>VLOOKUP(B38,'[1]Product by Part Number'!$A:$C,3,0)</f>
        <v>CRANKSHAFT</v>
      </c>
      <c r="E38" s="23">
        <f>VLOOKUP(B38,'[1]Product by Part Number'!$A:$K,11,0)</f>
        <v>3</v>
      </c>
      <c r="F38" s="24">
        <f>VLOOKUP(B38,'[1]Product by Part Number'!$A:$D,4,0)</f>
        <v>17553.38</v>
      </c>
      <c r="G38" s="24">
        <f t="shared" si="0"/>
        <v>52660.14</v>
      </c>
      <c r="H38" s="25">
        <f>VLOOKUP(B38,'[1]Product by Part Number'!$A:$E,5,0)</f>
        <v>8776.69</v>
      </c>
      <c r="I38" s="26">
        <f t="shared" si="1"/>
        <v>26330.07</v>
      </c>
    </row>
    <row r="39" spans="2:9" x14ac:dyDescent="0.25">
      <c r="B39" s="62" t="s">
        <v>81</v>
      </c>
      <c r="C39" s="22" t="str">
        <f>VLOOKUP(B39,'[1]Product by Part Number'!$A:$B,2,0)</f>
        <v xml:space="preserve">CAT 561 (85H) CAT 561 (92J) CAT 561 (92J) (2)                                        </v>
      </c>
      <c r="D39" s="22" t="str">
        <f>VLOOKUP(B39,'[1]Product by Part Number'!$A:$C,3,0)</f>
        <v>CAMSHAFT</v>
      </c>
      <c r="E39" s="23">
        <f>VLOOKUP(B39,'[1]Product by Part Number'!$A:$K,11,0)</f>
        <v>3</v>
      </c>
      <c r="F39" s="24">
        <f>VLOOKUP(B39,'[1]Product by Part Number'!$A:$D,4,0)</f>
        <v>4894.33</v>
      </c>
      <c r="G39" s="24">
        <f t="shared" si="0"/>
        <v>14682.99</v>
      </c>
      <c r="H39" s="25">
        <f>VLOOKUP(B39,'[1]Product by Part Number'!$A:$E,5,0)</f>
        <v>2447.17</v>
      </c>
      <c r="I39" s="26">
        <f t="shared" si="1"/>
        <v>7341.51</v>
      </c>
    </row>
    <row r="40" spans="2:9" x14ac:dyDescent="0.25">
      <c r="B40" s="62" t="s">
        <v>82</v>
      </c>
      <c r="C40" s="22" t="str">
        <f>VLOOKUP(B40,'[1]Product by Part Number'!$A:$B,2,0)</f>
        <v xml:space="preserve">CAT 329E L (ZCD)                                            </v>
      </c>
      <c r="D40" s="22" t="str">
        <f>VLOOKUP(B40,'[1]Product by Part Number'!$A:$C,3,0)</f>
        <v>ENGINE OVERHAUL KIT</v>
      </c>
      <c r="E40" s="23">
        <f>VLOOKUP(B40,'[1]Product by Part Number'!$A:$K,11,0)</f>
        <v>1</v>
      </c>
      <c r="F40" s="24">
        <f>VLOOKUP(B40,'[1]Product by Part Number'!$A:$D,4,0)</f>
        <v>13595.74</v>
      </c>
      <c r="G40" s="24">
        <f t="shared" si="0"/>
        <v>13595.74</v>
      </c>
      <c r="H40" s="25">
        <f>VLOOKUP(B40,'[1]Product by Part Number'!$A:$E,5,0)</f>
        <v>6797.87</v>
      </c>
      <c r="I40" s="26">
        <f t="shared" si="1"/>
        <v>6797.87</v>
      </c>
    </row>
    <row r="41" spans="2:9" x14ac:dyDescent="0.25">
      <c r="B41" s="62" t="s">
        <v>83</v>
      </c>
      <c r="C41" s="22" t="str">
        <f>VLOOKUP(B41,'[1]Product by Part Number'!$A:$B,2,0)</f>
        <v xml:space="preserve">CAT 329F L (ERL) CAT 329F L (ERL) (2) CAT 330F L (MBX) CAT 330F L (HCK) CAT 330F L (HCK) (2)                                    </v>
      </c>
      <c r="D41" s="22" t="str">
        <f>VLOOKUP(B41,'[1]Product by Part Number'!$A:$C,3,0)</f>
        <v>ENGINE OVERHAUL KIT</v>
      </c>
      <c r="E41" s="23">
        <f>VLOOKUP(B41,'[1]Product by Part Number'!$A:$K,11,0)</f>
        <v>5</v>
      </c>
      <c r="F41" s="24">
        <f>VLOOKUP(B41,'[1]Product by Part Number'!$A:$D,4,0)</f>
        <v>13595.74</v>
      </c>
      <c r="G41" s="24">
        <f t="shared" si="0"/>
        <v>67978.7</v>
      </c>
      <c r="H41" s="25">
        <f>VLOOKUP(B41,'[1]Product by Part Number'!$A:$E,5,0)</f>
        <v>6797.87</v>
      </c>
      <c r="I41" s="26">
        <f t="shared" si="1"/>
        <v>33989.35</v>
      </c>
    </row>
    <row r="42" spans="2:9" x14ac:dyDescent="0.25">
      <c r="B42" s="62" t="s">
        <v>84</v>
      </c>
      <c r="C42" s="22" t="str">
        <f>VLOOKUP(B42,'[1]Product by Part Number'!$A:$B,2,0)</f>
        <v xml:space="preserve">BOBCAT T750 (ANK)                                            </v>
      </c>
      <c r="D42" s="22" t="str">
        <f>VLOOKUP(B42,'[1]Product by Part Number'!$A:$C,3,0)</f>
        <v>CRANKSHAFT / Gear</v>
      </c>
      <c r="E42" s="23">
        <f>VLOOKUP(B42,'[1]Product by Part Number'!$A:$K,11,0)</f>
        <v>1</v>
      </c>
      <c r="F42" s="24">
        <f>VLOOKUP(B42,'[1]Product by Part Number'!$A:$D,4,0)</f>
        <v>6260.48</v>
      </c>
      <c r="G42" s="24">
        <f t="shared" si="0"/>
        <v>6260.48</v>
      </c>
      <c r="H42" s="25">
        <f>VLOOKUP(B42,'[1]Product by Part Number'!$A:$E,5,0)</f>
        <v>3130.24</v>
      </c>
      <c r="I42" s="26">
        <f t="shared" si="1"/>
        <v>3130.24</v>
      </c>
    </row>
    <row r="43" spans="2:9" x14ac:dyDescent="0.25">
      <c r="B43" s="62" t="s">
        <v>85</v>
      </c>
      <c r="C43" s="22" t="str">
        <f>VLOOKUP(B43,'[1]Product by Part Number'!$A:$B,2,0)</f>
        <v xml:space="preserve">CAT D7G (92V) CAT D7G (3ZD) CAT D7G (3ZD) (2)                                        </v>
      </c>
      <c r="D43" s="22" t="str">
        <f>VLOOKUP(B43,'[1]Product by Part Number'!$A:$C,3,0)</f>
        <v>CAMSHAFT ASSY</v>
      </c>
      <c r="E43" s="23">
        <f>VLOOKUP(B43,'[1]Product by Part Number'!$A:$K,11,0)</f>
        <v>3</v>
      </c>
      <c r="F43" s="24">
        <f>VLOOKUP(B43,'[1]Product by Part Number'!$A:$D,4,0)</f>
        <v>3141.67</v>
      </c>
      <c r="G43" s="24">
        <f t="shared" si="0"/>
        <v>9425.01</v>
      </c>
      <c r="H43" s="25">
        <f>VLOOKUP(B43,'[1]Product by Part Number'!$A:$E,5,0)</f>
        <v>1570.84</v>
      </c>
      <c r="I43" s="26">
        <f t="shared" si="1"/>
        <v>4712.5200000000004</v>
      </c>
    </row>
    <row r="44" spans="2:9" x14ac:dyDescent="0.25">
      <c r="B44" s="62" t="s">
        <v>86</v>
      </c>
      <c r="C44" s="22" t="str">
        <f>VLOOKUP(B44,'[1]Product by Part Number'!$A:$B,2,0)</f>
        <v xml:space="preserve">CAT 561N (CPH) CAT 561N (CPH) (2) CAT 561N (CPH) (3) CAT 561N (CPH) (4) CAT 561N (CPH) (5)                                    </v>
      </c>
      <c r="D44" s="22" t="str">
        <f>VLOOKUP(B44,'[1]Product by Part Number'!$A:$C,3,0)</f>
        <v>GQP ENGINE OVERHAUL KIT</v>
      </c>
      <c r="E44" s="23">
        <f>VLOOKUP(B44,'[1]Product by Part Number'!$A:$K,11,0)</f>
        <v>5</v>
      </c>
      <c r="F44" s="24">
        <f>VLOOKUP(B44,'[1]Product by Part Number'!$A:$D,4,0)</f>
        <v>6826.34</v>
      </c>
      <c r="G44" s="24">
        <f t="shared" si="0"/>
        <v>34131.699999999997</v>
      </c>
      <c r="H44" s="25">
        <f>VLOOKUP(B44,'[1]Product by Part Number'!$A:$E,5,0)</f>
        <v>3413.17</v>
      </c>
      <c r="I44" s="26">
        <f t="shared" si="1"/>
        <v>17065.849999999999</v>
      </c>
    </row>
    <row r="45" spans="2:9" x14ac:dyDescent="0.25">
      <c r="B45" s="62" t="s">
        <v>87</v>
      </c>
      <c r="C45" s="22" t="str">
        <f>VLOOKUP(B45,'[1]Product by Part Number'!$A:$B,2,0)</f>
        <v xml:space="preserve">CAT PL61 (WGS) CAT PL61 (WGS) (2) CAT PL61 (WGS) (3)                                        </v>
      </c>
      <c r="D45" s="22" t="str">
        <f>VLOOKUP(B45,'[1]Product by Part Number'!$A:$C,3,0)</f>
        <v>GQP ENGINE OVERHAUL KIT</v>
      </c>
      <c r="E45" s="23">
        <f>VLOOKUP(B45,'[1]Product by Part Number'!$A:$K,11,0)</f>
        <v>3</v>
      </c>
      <c r="F45" s="24">
        <f>VLOOKUP(B45,'[1]Product by Part Number'!$A:$D,4,0)</f>
        <v>6826.34</v>
      </c>
      <c r="G45" s="24">
        <f t="shared" si="0"/>
        <v>20479.02</v>
      </c>
      <c r="H45" s="25">
        <f>VLOOKUP(B45,'[1]Product by Part Number'!$A:$E,5,0)</f>
        <v>3413.17</v>
      </c>
      <c r="I45" s="26">
        <f t="shared" si="1"/>
        <v>10239.51</v>
      </c>
    </row>
    <row r="46" spans="2:9" x14ac:dyDescent="0.25">
      <c r="B46" s="62" t="s">
        <v>88</v>
      </c>
      <c r="C46" s="22" t="str">
        <f>VLOOKUP(B46,'[1]Product by Part Number'!$A:$B,2,0)</f>
        <v xml:space="preserve">CAT 303.5E                                            </v>
      </c>
      <c r="D46" s="22" t="str">
        <f>VLOOKUP(B46,'[1]Product by Part Number'!$A:$C,3,0)</f>
        <v>GQP ENGINE OVERHAUL KIT</v>
      </c>
      <c r="E46" s="23">
        <f>VLOOKUP(B46,'[1]Product by Part Number'!$A:$K,11,0)</f>
        <v>1</v>
      </c>
      <c r="F46" s="24">
        <f>VLOOKUP(B46,'[1]Product by Part Number'!$A:$D,4,0)</f>
        <v>3156.78</v>
      </c>
      <c r="G46" s="24">
        <f t="shared" si="0"/>
        <v>3156.78</v>
      </c>
      <c r="H46" s="25">
        <f>VLOOKUP(B46,'[1]Product by Part Number'!$A:$E,5,0)</f>
        <v>1578.39</v>
      </c>
      <c r="I46" s="26">
        <f t="shared" si="1"/>
        <v>1578.39</v>
      </c>
    </row>
    <row r="47" spans="2:9" x14ac:dyDescent="0.25">
      <c r="B47" s="54" t="s">
        <v>89</v>
      </c>
      <c r="C47" s="22" t="str">
        <f>VLOOKUP(B47,'[1]Product by Part Number'!$A:$B,2,0)</f>
        <v xml:space="preserve">CAT 320E L (WBK) CAT 320E L (WBK) (2)                                          </v>
      </c>
      <c r="D47" s="22" t="str">
        <f>VLOOKUP(B47,'[1]Product by Part Number'!$A:$C,3,0)</f>
        <v>ENGINE OVERHAUL KIT</v>
      </c>
      <c r="E47" s="23">
        <f>VLOOKUP(B47,'[1]Product by Part Number'!$A:$K,11,0)</f>
        <v>2</v>
      </c>
      <c r="F47" s="24">
        <f>VLOOKUP(B47,'[1]Product by Part Number'!$A:$D,4,0)</f>
        <v>3792.79</v>
      </c>
      <c r="G47" s="24">
        <f t="shared" si="0"/>
        <v>7585.58</v>
      </c>
      <c r="H47" s="25">
        <f>VLOOKUP(B47,'[1]Product by Part Number'!$A:$E,5,0)</f>
        <v>1896.4</v>
      </c>
      <c r="I47" s="26">
        <f t="shared" si="1"/>
        <v>3792.8</v>
      </c>
    </row>
    <row r="48" spans="2:9" x14ac:dyDescent="0.25">
      <c r="B48" s="54" t="s">
        <v>90</v>
      </c>
      <c r="C48" s="22" t="str">
        <f>VLOOKUP(B48,'[1]Product by Part Number'!$A:$B,2,0)</f>
        <v xml:space="preserve">CAT 320 (MYK) CAT 320 (MYK) (2)                                          </v>
      </c>
      <c r="D48" s="22" t="str">
        <f>VLOOKUP(B48,'[1]Product by Part Number'!$A:$C,3,0)</f>
        <v>ENGINE REBUILD KIT</v>
      </c>
      <c r="E48" s="23">
        <f>VLOOKUP(B48,'[1]Product by Part Number'!$A:$K,11,0)</f>
        <v>2</v>
      </c>
      <c r="F48" s="24">
        <f>VLOOKUP(B48,'[1]Product by Part Number'!$A:$D,4,0)</f>
        <v>2889.4</v>
      </c>
      <c r="G48" s="24">
        <f t="shared" si="0"/>
        <v>5778.8</v>
      </c>
      <c r="H48" s="25">
        <f>VLOOKUP(B48,'[1]Product by Part Number'!$A:$E,5,0)</f>
        <v>1444.7</v>
      </c>
      <c r="I48" s="26">
        <f t="shared" si="1"/>
        <v>2889.4</v>
      </c>
    </row>
    <row r="49" spans="2:9" x14ac:dyDescent="0.25">
      <c r="B49" s="54" t="s">
        <v>91</v>
      </c>
      <c r="C49" s="22" t="str">
        <f>VLOOKUP(B49,'[1]Product by Part Number'!$A:$B,2,0)</f>
        <v xml:space="preserve">CAT 320F L (YBM) CAT 320 (HEX)                                          </v>
      </c>
      <c r="D49" s="22" t="str">
        <f>VLOOKUP(B49,'[1]Product by Part Number'!$A:$C,3,0)</f>
        <v>C4.4B REBUILD KIT</v>
      </c>
      <c r="E49" s="23">
        <f>VLOOKUP(B49,'[1]Product by Part Number'!$A:$K,11,0)</f>
        <v>2</v>
      </c>
      <c r="F49" s="24">
        <f>VLOOKUP(B49,'[1]Product by Part Number'!$A:$D,4,0)</f>
        <v>2512.7199999999998</v>
      </c>
      <c r="G49" s="24">
        <f t="shared" si="0"/>
        <v>5025.4399999999996</v>
      </c>
      <c r="H49" s="25">
        <f>VLOOKUP(B49,'[1]Product by Part Number'!$A:$E,5,0)</f>
        <v>1256.3599999999999</v>
      </c>
      <c r="I49" s="26">
        <f t="shared" si="1"/>
        <v>2512.7199999999998</v>
      </c>
    </row>
    <row r="50" spans="2:9" x14ac:dyDescent="0.25">
      <c r="B50" s="54" t="s">
        <v>92</v>
      </c>
      <c r="C50" s="22" t="str">
        <f>VLOOKUP(B50,'[1]Product by Part Number'!$A:$B,2,0)</f>
        <v xml:space="preserve">CAT D3 (1PJ)                                            </v>
      </c>
      <c r="D50" s="22" t="str">
        <f>VLOOKUP(B50,'[1]Product by Part Number'!$A:$C,3,0)</f>
        <v>GQP OVERHAUL KIT</v>
      </c>
      <c r="E50" s="23">
        <f>VLOOKUP(B50,'[1]Product by Part Number'!$A:$K,11,0)</f>
        <v>1</v>
      </c>
      <c r="F50" s="24">
        <f>VLOOKUP(B50,'[1]Product by Part Number'!$A:$D,4,0)</f>
        <v>4182.34</v>
      </c>
      <c r="G50" s="24">
        <f t="shared" si="0"/>
        <v>4182.34</v>
      </c>
      <c r="H50" s="25">
        <f>VLOOKUP(B50,'[1]Product by Part Number'!$A:$E,5,0)</f>
        <v>2091.17</v>
      </c>
      <c r="I50" s="26">
        <f t="shared" si="1"/>
        <v>2091.17</v>
      </c>
    </row>
    <row r="51" spans="2:9" x14ac:dyDescent="0.25">
      <c r="B51" s="54" t="s">
        <v>93</v>
      </c>
      <c r="C51" s="22" t="str">
        <f>VLOOKUP(B51,'[1]Product by Part Number'!$A:$B,2,0)</f>
        <v xml:space="preserve">CAT D5 (3CR) CAT D5 (3CR) (2)                                          </v>
      </c>
      <c r="D51" s="22" t="str">
        <f>VLOOKUP(B51,'[1]Product by Part Number'!$A:$C,3,0)</f>
        <v xml:space="preserve">GQP ENGINE OVERHAUL KIT </v>
      </c>
      <c r="E51" s="23">
        <f>VLOOKUP(B51,'[1]Product by Part Number'!$A:$K,11,0)</f>
        <v>2</v>
      </c>
      <c r="F51" s="24">
        <f>VLOOKUP(B51,'[1]Product by Part Number'!$A:$D,4,0)</f>
        <v>5134.55</v>
      </c>
      <c r="G51" s="24">
        <f t="shared" si="0"/>
        <v>10269.1</v>
      </c>
      <c r="H51" s="25">
        <f>VLOOKUP(B51,'[1]Product by Part Number'!$A:$E,5,0)</f>
        <v>2567.2800000000002</v>
      </c>
      <c r="I51" s="26">
        <f t="shared" si="1"/>
        <v>5134.5600000000004</v>
      </c>
    </row>
    <row r="52" spans="2:9" x14ac:dyDescent="0.25">
      <c r="B52" s="54" t="s">
        <v>94</v>
      </c>
      <c r="C52" s="22" t="str">
        <f>VLOOKUP(B52,'[1]Product by Part Number'!$A:$B,2,0)</f>
        <v xml:space="preserve">CAT D7G (92V) CAT D7G (3ZD) CAT D7G (3ZD) (2)                                        </v>
      </c>
      <c r="D52" s="22" t="str">
        <f>VLOOKUP(B52,'[1]Product by Part Number'!$A:$C,3,0)</f>
        <v>SILVER ENGINE OVERHAUL KIT</v>
      </c>
      <c r="E52" s="23">
        <f>VLOOKUP(B52,'[1]Product by Part Number'!$A:$K,11,0)</f>
        <v>3</v>
      </c>
      <c r="F52" s="24">
        <f>VLOOKUP(B52,'[1]Product by Part Number'!$A:$D,4,0)</f>
        <v>6725.5</v>
      </c>
      <c r="G52" s="24">
        <f t="shared" si="0"/>
        <v>20176.5</v>
      </c>
      <c r="H52" s="25">
        <f>VLOOKUP(B52,'[1]Product by Part Number'!$A:$E,5,0)</f>
        <v>3362.75</v>
      </c>
      <c r="I52" s="26">
        <f t="shared" si="1"/>
        <v>10088.25</v>
      </c>
    </row>
    <row r="53" spans="2:9" x14ac:dyDescent="0.25">
      <c r="B53" s="22"/>
      <c r="C53" s="22"/>
      <c r="D53" s="22"/>
      <c r="E53" s="23"/>
      <c r="F53" s="24"/>
      <c r="G53" s="24"/>
      <c r="H53" s="25"/>
      <c r="I53" s="26">
        <f t="shared" si="1"/>
        <v>0</v>
      </c>
    </row>
    <row r="54" spans="2:9" x14ac:dyDescent="0.25">
      <c r="B54" s="22"/>
      <c r="C54" s="22"/>
      <c r="D54" s="22"/>
      <c r="E54" s="23"/>
      <c r="F54" s="24"/>
      <c r="G54" s="24"/>
      <c r="H54" s="25"/>
      <c r="I54" s="26">
        <f t="shared" si="1"/>
        <v>0</v>
      </c>
    </row>
    <row r="55" spans="2:9" x14ac:dyDescent="0.25">
      <c r="B55" s="22"/>
      <c r="C55" s="22"/>
      <c r="D55" s="22"/>
      <c r="E55" s="23"/>
      <c r="F55" s="24"/>
      <c r="G55" s="24"/>
      <c r="H55" s="25"/>
      <c r="I55" s="26">
        <f t="shared" si="1"/>
        <v>0</v>
      </c>
    </row>
    <row r="56" spans="2:9" x14ac:dyDescent="0.25">
      <c r="B56" s="22"/>
      <c r="C56" s="22"/>
      <c r="D56" s="22"/>
      <c r="E56" s="23"/>
      <c r="F56" s="24"/>
      <c r="G56" s="24"/>
      <c r="H56" s="25"/>
      <c r="I56" s="26">
        <f t="shared" si="1"/>
        <v>0</v>
      </c>
    </row>
    <row r="57" spans="2:9" x14ac:dyDescent="0.25">
      <c r="B57" s="22"/>
      <c r="C57" s="22"/>
      <c r="D57" s="22"/>
      <c r="E57" s="23"/>
      <c r="F57" s="24"/>
      <c r="G57" s="24"/>
      <c r="H57" s="25"/>
      <c r="I57" s="26">
        <f t="shared" si="1"/>
        <v>0</v>
      </c>
    </row>
    <row r="58" spans="2:9" x14ac:dyDescent="0.25">
      <c r="B58" s="22"/>
      <c r="C58" s="22"/>
      <c r="D58" s="22"/>
      <c r="E58" s="23"/>
      <c r="F58" s="24"/>
      <c r="G58" s="24"/>
      <c r="H58" s="25"/>
      <c r="I58" s="26">
        <f t="shared" si="1"/>
        <v>0</v>
      </c>
    </row>
    <row r="59" spans="2:9" x14ac:dyDescent="0.25">
      <c r="B59" s="22"/>
      <c r="C59" s="22"/>
      <c r="D59" s="22"/>
      <c r="E59" s="23"/>
      <c r="F59" s="24"/>
      <c r="G59" s="24"/>
      <c r="H59" s="25"/>
      <c r="I59" s="26">
        <f t="shared" si="1"/>
        <v>0</v>
      </c>
    </row>
    <row r="60" spans="2:9" x14ac:dyDescent="0.25">
      <c r="B60" s="22"/>
      <c r="C60" s="22"/>
      <c r="D60" s="22"/>
      <c r="E60" s="23"/>
      <c r="F60" s="24"/>
      <c r="G60" s="24"/>
      <c r="H60" s="25"/>
      <c r="I60" s="26">
        <f t="shared" si="1"/>
        <v>0</v>
      </c>
    </row>
    <row r="61" spans="2:9" x14ac:dyDescent="0.25">
      <c r="B61" s="22"/>
      <c r="C61" s="22"/>
      <c r="D61" s="22"/>
      <c r="E61" s="23"/>
      <c r="F61" s="24"/>
      <c r="G61" s="24"/>
      <c r="H61" s="25"/>
      <c r="I61" s="26">
        <f t="shared" si="1"/>
        <v>0</v>
      </c>
    </row>
    <row r="62" spans="2:9" x14ac:dyDescent="0.25">
      <c r="B62" s="22"/>
      <c r="C62" s="22"/>
      <c r="D62" s="22"/>
      <c r="E62" s="23"/>
      <c r="F62" s="24"/>
      <c r="G62" s="24"/>
      <c r="H62" s="25"/>
      <c r="I62" s="26">
        <f t="shared" si="1"/>
        <v>0</v>
      </c>
    </row>
    <row r="63" spans="2:9" x14ac:dyDescent="0.25">
      <c r="B63" s="22"/>
      <c r="C63" s="22"/>
      <c r="D63" s="22"/>
      <c r="E63" s="23"/>
      <c r="F63" s="24"/>
      <c r="G63" s="24"/>
      <c r="H63" s="25"/>
      <c r="I63" s="26">
        <f t="shared" si="1"/>
        <v>0</v>
      </c>
    </row>
    <row r="64" spans="2:9" x14ac:dyDescent="0.25">
      <c r="B64" s="22"/>
      <c r="C64" s="22"/>
      <c r="D64" s="22"/>
      <c r="E64" s="23"/>
      <c r="F64" s="24"/>
      <c r="G64" s="24"/>
      <c r="H64" s="25"/>
      <c r="I64" s="26">
        <f t="shared" si="1"/>
        <v>0</v>
      </c>
    </row>
    <row r="65" spans="2:9" x14ac:dyDescent="0.25">
      <c r="B65" s="22"/>
      <c r="C65" s="22"/>
      <c r="D65" s="22"/>
      <c r="E65" s="23"/>
      <c r="F65" s="24"/>
      <c r="G65" s="24"/>
      <c r="H65" s="25"/>
      <c r="I65" s="26">
        <f t="shared" si="1"/>
        <v>0</v>
      </c>
    </row>
    <row r="66" spans="2:9" x14ac:dyDescent="0.25">
      <c r="B66" s="22"/>
      <c r="C66" s="22"/>
      <c r="D66" s="22"/>
      <c r="E66" s="23"/>
      <c r="F66" s="24"/>
      <c r="G66" s="24"/>
      <c r="H66" s="25"/>
      <c r="I66" s="26">
        <f t="shared" si="1"/>
        <v>0</v>
      </c>
    </row>
    <row r="67" spans="2:9" x14ac:dyDescent="0.25">
      <c r="B67" s="22"/>
      <c r="C67" s="22"/>
      <c r="D67" s="22"/>
      <c r="E67" s="23"/>
      <c r="F67" s="24"/>
      <c r="G67" s="24"/>
      <c r="H67" s="25"/>
      <c r="I67" s="26">
        <f t="shared" si="1"/>
        <v>0</v>
      </c>
    </row>
    <row r="68" spans="2:9" x14ac:dyDescent="0.25">
      <c r="B68" s="22"/>
      <c r="C68" s="22"/>
      <c r="D68" s="22"/>
      <c r="E68" s="23"/>
      <c r="F68" s="24"/>
      <c r="G68" s="24"/>
      <c r="H68" s="25"/>
      <c r="I68" s="26">
        <f t="shared" si="1"/>
        <v>0</v>
      </c>
    </row>
    <row r="69" spans="2:9" x14ac:dyDescent="0.25">
      <c r="B69" s="22"/>
      <c r="C69" s="22"/>
      <c r="D69" s="22"/>
      <c r="E69" s="23"/>
      <c r="F69" s="24"/>
      <c r="G69" s="24"/>
      <c r="H69" s="25"/>
      <c r="I69" s="26">
        <f t="shared" si="1"/>
        <v>0</v>
      </c>
    </row>
    <row r="70" spans="2:9" x14ac:dyDescent="0.25">
      <c r="B70" s="22"/>
      <c r="C70" s="22"/>
      <c r="D70" s="22"/>
      <c r="E70" s="23"/>
      <c r="F70" s="24"/>
      <c r="G70" s="24"/>
      <c r="H70" s="25"/>
      <c r="I70" s="26">
        <f t="shared" si="1"/>
        <v>0</v>
      </c>
    </row>
    <row r="71" spans="2:9" x14ac:dyDescent="0.25">
      <c r="B71" s="22"/>
      <c r="C71" s="22"/>
      <c r="D71" s="22"/>
      <c r="E71" s="23"/>
      <c r="F71" s="24"/>
      <c r="G71" s="24"/>
      <c r="H71" s="25"/>
      <c r="I71" s="26">
        <f t="shared" si="1"/>
        <v>0</v>
      </c>
    </row>
    <row r="72" spans="2:9" x14ac:dyDescent="0.25">
      <c r="B72" s="22"/>
      <c r="C72" s="22"/>
      <c r="D72" s="22"/>
      <c r="E72" s="23"/>
      <c r="F72" s="24"/>
      <c r="G72" s="24"/>
      <c r="H72" s="25"/>
      <c r="I72" s="26">
        <f t="shared" si="1"/>
        <v>0</v>
      </c>
    </row>
    <row r="73" spans="2:9" x14ac:dyDescent="0.25">
      <c r="B73" s="22"/>
      <c r="C73" s="22"/>
      <c r="D73" s="22"/>
      <c r="E73" s="23"/>
      <c r="F73" s="24"/>
      <c r="G73" s="24"/>
      <c r="H73" s="25"/>
      <c r="I73" s="26">
        <f t="shared" si="1"/>
        <v>0</v>
      </c>
    </row>
    <row r="74" spans="2:9" x14ac:dyDescent="0.25">
      <c r="B74" s="22"/>
      <c r="C74" s="22"/>
      <c r="D74" s="22"/>
      <c r="E74" s="23"/>
      <c r="F74" s="24"/>
      <c r="G74" s="24"/>
      <c r="H74" s="25"/>
      <c r="I74" s="26">
        <f t="shared" si="1"/>
        <v>0</v>
      </c>
    </row>
    <row r="75" spans="2:9" x14ac:dyDescent="0.25">
      <c r="B75" s="22"/>
      <c r="C75" s="22"/>
      <c r="D75" s="22"/>
      <c r="E75" s="23"/>
      <c r="F75" s="24"/>
      <c r="G75" s="24"/>
      <c r="H75" s="25"/>
      <c r="I75" s="26">
        <f t="shared" si="1"/>
        <v>0</v>
      </c>
    </row>
    <row r="76" spans="2:9" x14ac:dyDescent="0.25">
      <c r="B76" s="22"/>
      <c r="C76" s="22"/>
      <c r="D76" s="22"/>
      <c r="E76" s="23"/>
      <c r="F76" s="24"/>
      <c r="G76" s="24"/>
      <c r="H76" s="25"/>
      <c r="I76" s="26">
        <f t="shared" si="1"/>
        <v>0</v>
      </c>
    </row>
    <row r="77" spans="2:9" x14ac:dyDescent="0.25">
      <c r="B77" s="22"/>
      <c r="C77" s="22"/>
      <c r="D77" s="22"/>
      <c r="E77" s="23"/>
      <c r="F77" s="24"/>
      <c r="G77" s="24"/>
      <c r="H77" s="25"/>
      <c r="I77" s="26">
        <f t="shared" si="1"/>
        <v>0</v>
      </c>
    </row>
    <row r="78" spans="2:9" x14ac:dyDescent="0.25">
      <c r="B78" s="22"/>
      <c r="C78" s="22"/>
      <c r="D78" s="22"/>
      <c r="E78" s="23"/>
      <c r="F78" s="24"/>
      <c r="G78" s="24"/>
      <c r="H78" s="25"/>
      <c r="I78" s="26">
        <f t="shared" si="1"/>
        <v>0</v>
      </c>
    </row>
    <row r="79" spans="2:9" x14ac:dyDescent="0.25">
      <c r="B79" s="22"/>
      <c r="C79" s="22"/>
      <c r="D79" s="22"/>
      <c r="E79" s="23"/>
      <c r="F79" s="24"/>
      <c r="G79" s="24"/>
      <c r="H79" s="25"/>
      <c r="I79" s="26">
        <f t="shared" si="1"/>
        <v>0</v>
      </c>
    </row>
    <row r="80" spans="2:9" x14ac:dyDescent="0.25">
      <c r="B80" s="22"/>
      <c r="C80" s="22"/>
      <c r="D80" s="22"/>
      <c r="E80" s="23"/>
      <c r="F80" s="24"/>
      <c r="G80" s="24"/>
      <c r="H80" s="25"/>
      <c r="I80" s="26">
        <f t="shared" si="1"/>
        <v>0</v>
      </c>
    </row>
    <row r="81" spans="2:9" x14ac:dyDescent="0.25">
      <c r="B81" s="22"/>
      <c r="C81" s="22"/>
      <c r="D81" s="22"/>
      <c r="E81" s="23"/>
      <c r="F81" s="24"/>
      <c r="G81" s="24"/>
      <c r="H81" s="25"/>
      <c r="I81" s="26">
        <f t="shared" si="1"/>
        <v>0</v>
      </c>
    </row>
    <row r="82" spans="2:9" x14ac:dyDescent="0.25">
      <c r="B82" s="22"/>
      <c r="C82" s="22"/>
      <c r="D82" s="22"/>
      <c r="E82" s="23"/>
      <c r="F82" s="24"/>
      <c r="G82" s="24"/>
      <c r="H82" s="25"/>
      <c r="I82" s="26">
        <f t="shared" si="1"/>
        <v>0</v>
      </c>
    </row>
    <row r="83" spans="2:9" x14ac:dyDescent="0.25">
      <c r="B83" s="22"/>
      <c r="C83" s="22"/>
      <c r="D83" s="22"/>
      <c r="E83" s="23"/>
      <c r="F83" s="24"/>
      <c r="G83" s="24"/>
      <c r="H83" s="25"/>
      <c r="I83" s="26">
        <f t="shared" si="1"/>
        <v>0</v>
      </c>
    </row>
    <row r="84" spans="2:9" x14ac:dyDescent="0.25">
      <c r="B84" s="22"/>
      <c r="C84" s="22"/>
      <c r="D84" s="22"/>
      <c r="E84" s="23"/>
      <c r="F84" s="24"/>
      <c r="G84" s="24"/>
      <c r="H84" s="25"/>
      <c r="I84" s="26">
        <f t="shared" si="1"/>
        <v>0</v>
      </c>
    </row>
    <row r="85" spans="2:9" x14ac:dyDescent="0.25">
      <c r="B85" s="22"/>
      <c r="C85" s="22"/>
      <c r="D85" s="22"/>
      <c r="E85" s="23"/>
      <c r="F85" s="24"/>
      <c r="G85" s="24"/>
      <c r="H85" s="25"/>
      <c r="I85" s="26">
        <f t="shared" si="1"/>
        <v>0</v>
      </c>
    </row>
    <row r="86" spans="2:9" x14ac:dyDescent="0.25">
      <c r="B86" s="22"/>
      <c r="C86" s="22"/>
      <c r="D86" s="22"/>
      <c r="E86" s="23"/>
      <c r="F86" s="24"/>
      <c r="G86" s="24"/>
      <c r="H86" s="25"/>
      <c r="I86" s="26">
        <f t="shared" si="1"/>
        <v>0</v>
      </c>
    </row>
    <row r="87" spans="2:9" x14ac:dyDescent="0.25">
      <c r="B87" s="22"/>
      <c r="C87" s="22"/>
      <c r="D87" s="22"/>
      <c r="E87" s="23"/>
      <c r="F87" s="24"/>
      <c r="G87" s="24"/>
      <c r="H87" s="25"/>
      <c r="I87" s="26">
        <f t="shared" si="1"/>
        <v>0</v>
      </c>
    </row>
    <row r="88" spans="2:9" x14ac:dyDescent="0.25">
      <c r="B88" s="22"/>
      <c r="C88" s="22"/>
      <c r="D88" s="22"/>
      <c r="E88" s="23"/>
      <c r="F88" s="24"/>
      <c r="G88" s="24"/>
      <c r="H88" s="25"/>
      <c r="I88" s="26">
        <f t="shared" si="1"/>
        <v>0</v>
      </c>
    </row>
    <row r="89" spans="2:9" x14ac:dyDescent="0.25">
      <c r="B89" s="22"/>
      <c r="C89" s="22"/>
      <c r="D89" s="22"/>
      <c r="E89" s="23"/>
      <c r="F89" s="24"/>
      <c r="G89" s="24"/>
      <c r="H89" s="25"/>
      <c r="I89" s="26">
        <f t="shared" si="1"/>
        <v>0</v>
      </c>
    </row>
    <row r="90" spans="2:9" x14ac:dyDescent="0.25">
      <c r="B90" s="22"/>
      <c r="C90" s="22"/>
      <c r="D90" s="22"/>
      <c r="E90" s="23"/>
      <c r="F90" s="24"/>
      <c r="G90" s="24"/>
      <c r="H90" s="25"/>
      <c r="I90" s="26">
        <f t="shared" si="1"/>
        <v>0</v>
      </c>
    </row>
    <row r="91" spans="2:9" x14ac:dyDescent="0.25">
      <c r="B91" s="84"/>
      <c r="C91" s="85"/>
      <c r="D91" s="85"/>
      <c r="E91" s="85"/>
      <c r="F91" s="86"/>
      <c r="G91" s="27"/>
      <c r="H91" s="28" t="s">
        <v>17</v>
      </c>
      <c r="I91" s="29">
        <f>SUM(I15:I90)</f>
        <v>299179.68</v>
      </c>
    </row>
    <row r="92" spans="2:9" x14ac:dyDescent="0.25">
      <c r="B92" s="30"/>
      <c r="C92" s="31"/>
      <c r="D92" s="32" t="s">
        <v>18</v>
      </c>
      <c r="E92" s="87">
        <f>SUM(G15:G90)</f>
        <v>598358.86</v>
      </c>
      <c r="F92" s="88"/>
      <c r="G92" s="33"/>
      <c r="H92" s="28" t="s">
        <v>19</v>
      </c>
      <c r="I92" s="34">
        <v>0</v>
      </c>
    </row>
    <row r="93" spans="2:9" x14ac:dyDescent="0.25">
      <c r="B93" s="30"/>
      <c r="C93" s="31"/>
      <c r="D93" s="32" t="s">
        <v>20</v>
      </c>
      <c r="E93" s="87">
        <f>SUM(I15:I90)</f>
        <v>299179.68</v>
      </c>
      <c r="F93" s="88"/>
      <c r="G93" s="33"/>
      <c r="H93" s="35" t="s">
        <v>21</v>
      </c>
      <c r="I93" s="34">
        <v>0</v>
      </c>
    </row>
    <row r="94" spans="2:9" x14ac:dyDescent="0.25">
      <c r="B94" s="30"/>
      <c r="C94" s="31"/>
      <c r="D94" s="32" t="s">
        <v>22</v>
      </c>
      <c r="E94" s="97">
        <f>E92-E93</f>
        <v>299179.18</v>
      </c>
      <c r="F94" s="98"/>
      <c r="G94" s="36"/>
      <c r="H94" s="28" t="s">
        <v>23</v>
      </c>
      <c r="I94" s="37">
        <f>SUM(I91:I93)</f>
        <v>299179.68</v>
      </c>
    </row>
    <row r="95" spans="2:9" x14ac:dyDescent="0.25">
      <c r="B95" s="30"/>
      <c r="C95" s="31"/>
      <c r="D95" s="32"/>
      <c r="E95" s="99"/>
      <c r="F95" s="100"/>
      <c r="G95" s="38"/>
      <c r="H95" s="28" t="s">
        <v>24</v>
      </c>
      <c r="I95" s="37">
        <f>I94*0.05</f>
        <v>14958.984</v>
      </c>
    </row>
    <row r="96" spans="2:9" x14ac:dyDescent="0.25">
      <c r="B96" s="30"/>
      <c r="C96" s="31"/>
      <c r="D96" s="39"/>
      <c r="E96" s="39"/>
      <c r="F96" s="40"/>
      <c r="G96" s="40"/>
      <c r="H96" s="28" t="s">
        <v>25</v>
      </c>
      <c r="I96" s="34"/>
    </row>
    <row r="97" spans="2:9" ht="15.75" x14ac:dyDescent="0.25">
      <c r="B97" s="94" t="s">
        <v>26</v>
      </c>
      <c r="C97" s="95"/>
      <c r="D97" s="95"/>
      <c r="E97" s="95"/>
      <c r="F97" s="96"/>
      <c r="G97" s="41"/>
      <c r="H97" s="42" t="s">
        <v>27</v>
      </c>
      <c r="I97" s="43">
        <f>SUM(I94:I96)</f>
        <v>314138.66399999999</v>
      </c>
    </row>
  </sheetData>
  <autoFilter ref="B14:I97" xr:uid="{79A81AB4-DFBE-4D76-97FE-0C7F33856F71}"/>
  <mergeCells count="25">
    <mergeCell ref="B97:F97"/>
    <mergeCell ref="F13:I13"/>
    <mergeCell ref="B91:F91"/>
    <mergeCell ref="E92:F92"/>
    <mergeCell ref="E93:F93"/>
    <mergeCell ref="E94:F94"/>
    <mergeCell ref="E95:F95"/>
    <mergeCell ref="C11:D11"/>
    <mergeCell ref="E11:F11"/>
    <mergeCell ref="H11:I11"/>
    <mergeCell ref="C12:D12"/>
    <mergeCell ref="E12:F12"/>
    <mergeCell ref="H12:I12"/>
    <mergeCell ref="C9:D9"/>
    <mergeCell ref="E9:F9"/>
    <mergeCell ref="H9:I9"/>
    <mergeCell ref="C10:D10"/>
    <mergeCell ref="E10:F10"/>
    <mergeCell ref="H10:I10"/>
    <mergeCell ref="E1:F5"/>
    <mergeCell ref="H1:I5"/>
    <mergeCell ref="C7:D7"/>
    <mergeCell ref="C8:D8"/>
    <mergeCell ref="E8:F8"/>
    <mergeCell ref="H8:I8"/>
  </mergeCells>
  <pageMargins left="0.7" right="0.7" top="0.75" bottom="0.75" header="0.3" footer="0.3"/>
  <pageSetup scale="5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D4A5F-3A2C-4DA2-9F3F-238E58578600}">
  <dimension ref="B1:I133"/>
  <sheetViews>
    <sheetView topLeftCell="A119" workbookViewId="0">
      <selection activeCell="G1" sqref="G1:G1048576"/>
    </sheetView>
  </sheetViews>
  <sheetFormatPr defaultRowHeight="15" x14ac:dyDescent="0.25"/>
  <cols>
    <col min="1" max="1" width="2.7109375" customWidth="1"/>
    <col min="2" max="2" width="15.42578125" customWidth="1"/>
    <col min="3" max="3" width="44.42578125" bestFit="1" customWidth="1"/>
    <col min="4" max="4" width="36" customWidth="1"/>
    <col min="5" max="5" width="7.28515625" customWidth="1"/>
    <col min="6" max="6" width="14.7109375" customWidth="1"/>
    <col min="7" max="7" width="14.7109375" hidden="1" customWidth="1"/>
    <col min="8" max="8" width="14.7109375" customWidth="1"/>
    <col min="9" max="9" width="20.42578125" bestFit="1" customWidth="1"/>
  </cols>
  <sheetData>
    <row r="1" spans="2:9" ht="15" customHeight="1" x14ac:dyDescent="0.25">
      <c r="B1" s="2"/>
      <c r="C1" s="3"/>
      <c r="D1" s="3"/>
      <c r="E1" s="77" t="s">
        <v>28</v>
      </c>
      <c r="F1" s="77"/>
      <c r="G1" s="44"/>
      <c r="H1" s="77" t="s">
        <v>34</v>
      </c>
      <c r="I1" s="78"/>
    </row>
    <row r="2" spans="2:9" ht="15" customHeight="1" x14ac:dyDescent="0.25">
      <c r="B2" s="4"/>
      <c r="E2" s="79"/>
      <c r="F2" s="79"/>
      <c r="G2" s="45"/>
      <c r="H2" s="79"/>
      <c r="I2" s="80"/>
    </row>
    <row r="3" spans="2:9" ht="15" customHeight="1" x14ac:dyDescent="0.25">
      <c r="B3" s="4"/>
      <c r="E3" s="79"/>
      <c r="F3" s="79"/>
      <c r="G3" s="45"/>
      <c r="H3" s="79"/>
      <c r="I3" s="80"/>
    </row>
    <row r="4" spans="2:9" ht="15" customHeight="1" x14ac:dyDescent="0.25">
      <c r="B4" s="4"/>
      <c r="E4" s="79"/>
      <c r="F4" s="79"/>
      <c r="G4" s="45"/>
      <c r="H4" s="79"/>
      <c r="I4" s="80"/>
    </row>
    <row r="5" spans="2:9" ht="15" customHeight="1" x14ac:dyDescent="0.25">
      <c r="B5" s="5"/>
      <c r="C5" s="1"/>
      <c r="D5" s="1"/>
      <c r="E5" s="81"/>
      <c r="F5" s="81"/>
      <c r="G5" s="46"/>
      <c r="H5" s="81"/>
      <c r="I5" s="82"/>
    </row>
    <row r="6" spans="2:9" ht="36" x14ac:dyDescent="0.55000000000000004">
      <c r="B6" s="6"/>
      <c r="C6" s="7"/>
      <c r="D6" s="7"/>
      <c r="E6" s="8"/>
      <c r="F6" s="8"/>
      <c r="G6" s="8"/>
      <c r="H6" s="8"/>
      <c r="I6" s="8"/>
    </row>
    <row r="7" spans="2:9" x14ac:dyDescent="0.25">
      <c r="B7" s="49" t="s">
        <v>7</v>
      </c>
      <c r="C7" s="103" t="s">
        <v>70</v>
      </c>
      <c r="D7" s="104"/>
      <c r="E7" s="9" t="s">
        <v>8</v>
      </c>
      <c r="F7" s="10">
        <v>45870</v>
      </c>
      <c r="G7" s="10"/>
      <c r="H7" s="11" t="s">
        <v>9</v>
      </c>
      <c r="I7" s="12"/>
    </row>
    <row r="8" spans="2:9" x14ac:dyDescent="0.25">
      <c r="B8" s="50" t="s">
        <v>10</v>
      </c>
      <c r="C8" s="101">
        <v>0</v>
      </c>
      <c r="D8" s="101"/>
      <c r="E8" s="89" t="s">
        <v>11</v>
      </c>
      <c r="F8" s="89"/>
      <c r="G8" s="13"/>
      <c r="H8" s="93"/>
      <c r="I8" s="93"/>
    </row>
    <row r="9" spans="2:9" x14ac:dyDescent="0.25">
      <c r="B9" s="50" t="s">
        <v>12</v>
      </c>
      <c r="C9" s="101">
        <v>0</v>
      </c>
      <c r="D9" s="101"/>
      <c r="E9" s="89" t="s">
        <v>13</v>
      </c>
      <c r="F9" s="89"/>
      <c r="G9" s="13"/>
      <c r="H9" s="92"/>
      <c r="I9" s="92"/>
    </row>
    <row r="10" spans="2:9" x14ac:dyDescent="0.25">
      <c r="B10" s="50"/>
      <c r="C10" s="101">
        <v>0</v>
      </c>
      <c r="D10" s="101"/>
      <c r="E10" s="89" t="s">
        <v>14</v>
      </c>
      <c r="F10" s="89"/>
      <c r="G10" s="13"/>
      <c r="H10" s="90"/>
      <c r="I10" s="90"/>
    </row>
    <row r="11" spans="2:9" x14ac:dyDescent="0.25">
      <c r="B11" s="50"/>
      <c r="C11" s="101">
        <v>0</v>
      </c>
      <c r="D11" s="101"/>
      <c r="E11" s="89"/>
      <c r="F11" s="89"/>
      <c r="G11" s="13"/>
      <c r="H11" s="90"/>
      <c r="I11" s="90"/>
    </row>
    <row r="12" spans="2:9" x14ac:dyDescent="0.25">
      <c r="B12" s="51"/>
      <c r="C12" s="101">
        <v>0</v>
      </c>
      <c r="D12" s="101"/>
      <c r="E12" s="102"/>
      <c r="F12" s="102"/>
      <c r="G12" s="14"/>
      <c r="H12" s="91"/>
      <c r="I12" s="91"/>
    </row>
    <row r="13" spans="2:9" ht="15.75" thickBot="1" x14ac:dyDescent="0.3">
      <c r="B13" s="15"/>
      <c r="C13" s="16"/>
      <c r="D13" s="16"/>
      <c r="E13" s="16"/>
      <c r="F13" s="83" t="s">
        <v>3</v>
      </c>
      <c r="G13" s="83"/>
      <c r="H13" s="83"/>
      <c r="I13" s="83"/>
    </row>
    <row r="14" spans="2:9" ht="15.75" thickBot="1" x14ac:dyDescent="0.3">
      <c r="B14" s="56" t="s">
        <v>0</v>
      </c>
      <c r="C14" s="18" t="s">
        <v>15</v>
      </c>
      <c r="D14" s="19" t="s">
        <v>1</v>
      </c>
      <c r="E14" s="20" t="s">
        <v>2</v>
      </c>
      <c r="F14" s="20" t="s">
        <v>4</v>
      </c>
      <c r="G14" s="20"/>
      <c r="H14" s="20" t="s">
        <v>5</v>
      </c>
      <c r="I14" s="21" t="s">
        <v>16</v>
      </c>
    </row>
    <row r="15" spans="2:9" x14ac:dyDescent="0.25">
      <c r="B15" s="63">
        <v>7008043</v>
      </c>
      <c r="C15" s="22" t="str">
        <f>VLOOKUP(B15,[1]!Table3[[Part Number]:[Make and Model]],2,0)</f>
        <v xml:space="preserve">BOBCAT S650 (A3N)                                            </v>
      </c>
      <c r="D15" s="22" t="str">
        <f>VLOOKUP(B15,[1]!Table3[[Part Number]:[Part Description]],3,0)</f>
        <v>PRIMARY AIR FILTER ELEMENT (OUTER)</v>
      </c>
      <c r="E15" s="23">
        <f>VLOOKUP(B15,[1]!Table3[[Part Number]:[Q1 QTY]],7,0)</f>
        <v>1</v>
      </c>
      <c r="F15" s="24">
        <f>VLOOKUP(B15,[1]!Table3[[Part Number]:[OEM CAD $]],4,0)</f>
        <v>62.49</v>
      </c>
      <c r="G15" s="25">
        <f>E15*F15</f>
        <v>62.49</v>
      </c>
      <c r="H15" s="25">
        <f>VLOOKUP(B15,[1]!Table3[[Part Number]:[GQP CAD $]],5,0)</f>
        <v>23.75</v>
      </c>
      <c r="I15" s="26">
        <f t="shared" ref="I15:I106" si="0">ROUND(E15*H15,2)</f>
        <v>23.75</v>
      </c>
    </row>
    <row r="16" spans="2:9" x14ac:dyDescent="0.25">
      <c r="B16" s="62">
        <v>7008044</v>
      </c>
      <c r="C16" s="22" t="str">
        <f>VLOOKUP(B16,[1]!Table3[[Part Number]:[Make and Model]],2,0)</f>
        <v xml:space="preserve">BOBCAT S650 (A3N)                                            </v>
      </c>
      <c r="D16" s="22" t="str">
        <f>VLOOKUP(B16,[1]!Table3[[Part Number]:[Part Description]],3,0)</f>
        <v>SECONDARY AIR FILTER ELEMENT</v>
      </c>
      <c r="E16" s="23">
        <f>VLOOKUP(B16,[1]!Table3[[Part Number]:[Q1 QTY]],7,0)</f>
        <v>1</v>
      </c>
      <c r="F16" s="24">
        <f>VLOOKUP(B16,[1]!Table3[[Part Number]:[OEM CAD $]],4,0)</f>
        <v>39.99</v>
      </c>
      <c r="G16" s="25">
        <f t="shared" ref="G16" si="1">E16*F16</f>
        <v>39.99</v>
      </c>
      <c r="H16" s="25">
        <f>VLOOKUP(B16,[1]!Table3[[Part Number]:[GQP CAD $]],5,0)</f>
        <v>15.2</v>
      </c>
      <c r="I16" s="26">
        <f t="shared" si="0"/>
        <v>15.2</v>
      </c>
    </row>
    <row r="17" spans="2:9" x14ac:dyDescent="0.25">
      <c r="B17" s="62">
        <v>7010031</v>
      </c>
      <c r="C17" s="22" t="str">
        <f>VLOOKUP(B17,[1]!Table3[[Part Number]:[Make and Model]],2,0)</f>
        <v xml:space="preserve">BOBCAT T750 (ANK) BOBCAT T750 (ATF) BOBCAT T770 (AT6) BOBCAT T770 (AT6) (2)                                      </v>
      </c>
      <c r="D17" s="22" t="str">
        <f>VLOOKUP(B17,[1]!Table3[[Part Number]:[Part Description]],3,0)</f>
        <v>SECONDARY AIR FILTER ELEMENT</v>
      </c>
      <c r="E17" s="23">
        <f>VLOOKUP(B17,[1]!Table3[[Part Number]:[Q1 QTY]],7,0)</f>
        <v>4</v>
      </c>
      <c r="F17" s="24">
        <f>VLOOKUP(B17,[1]!Table3[[Part Number]:[OEM CAD $]],4,0)</f>
        <v>103.99</v>
      </c>
      <c r="G17" s="25">
        <f t="shared" ref="G17:G21" si="2">E17*F17</f>
        <v>415.96</v>
      </c>
      <c r="H17" s="25">
        <f>VLOOKUP(B17,[1]!Table3[[Part Number]:[GQP CAD $]],5,0)</f>
        <v>39.520000000000003</v>
      </c>
      <c r="I17" s="26">
        <f t="shared" si="0"/>
        <v>158.08000000000001</v>
      </c>
    </row>
    <row r="18" spans="2:9" x14ac:dyDescent="0.25">
      <c r="B18" s="62">
        <v>7286652</v>
      </c>
      <c r="C18" s="22" t="str">
        <f>VLOOKUP(B18,[1]!Table3[[Part Number]:[Make and Model]],2,0)</f>
        <v xml:space="preserve">BOBCAT T750 (ANK) BOBCAT T750 (ATF) BOBCAT T770 (AT6) BOBCAT T770 (AT6) (2)                                      </v>
      </c>
      <c r="D18" s="22" t="str">
        <f>VLOOKUP(B18,[1]!Table3[[Part Number]:[Part Description]],3,0)</f>
        <v>PRIMARY AIR FILTER ELEMENT (OUTER)</v>
      </c>
      <c r="E18" s="23">
        <f>VLOOKUP(B18,[1]!Table3[[Part Number]:[Q1 QTY]],7,0)</f>
        <v>4</v>
      </c>
      <c r="F18" s="24">
        <f>VLOOKUP(B18,[1]!Table3[[Part Number]:[OEM CAD $]],4,0)</f>
        <v>140.99</v>
      </c>
      <c r="G18" s="25">
        <f t="shared" si="2"/>
        <v>563.96</v>
      </c>
      <c r="H18" s="25">
        <f>VLOOKUP(B18,[1]!Table3[[Part Number]:[GQP CAD $]],5,0)</f>
        <v>53.58</v>
      </c>
      <c r="I18" s="26">
        <f t="shared" si="0"/>
        <v>214.32</v>
      </c>
    </row>
    <row r="19" spans="2:9" x14ac:dyDescent="0.25">
      <c r="B19" s="62" t="s">
        <v>95</v>
      </c>
      <c r="C19" s="22" t="str">
        <f>VLOOKUP(B19,[1]!Table3[[Part Number]:[Make and Model]],2,0)</f>
        <v xml:space="preserve">CAT 299D (DX2)                                            </v>
      </c>
      <c r="D19" s="22" t="str">
        <f>VLOOKUP(B19,[1]!Table3[[Part Number]:[Part Description]],3,0)</f>
        <v>PRIMARY AIR FILTER ELEMENT</v>
      </c>
      <c r="E19" s="23">
        <f>VLOOKUP(B19,[1]!Table3[[Part Number]:[Q1 QTY]],7,0)</f>
        <v>1</v>
      </c>
      <c r="F19" s="24">
        <f>VLOOKUP(B19,[1]!Table3[[Part Number]:[OEM CAD $]],4,0)</f>
        <v>76.02</v>
      </c>
      <c r="G19" s="25">
        <f t="shared" si="2"/>
        <v>76.02</v>
      </c>
      <c r="H19" s="25">
        <f>VLOOKUP(B19,[1]!Table3[[Part Number]:[GQP CAD $]],5,0)</f>
        <v>28.89</v>
      </c>
      <c r="I19" s="26">
        <f t="shared" si="0"/>
        <v>28.89</v>
      </c>
    </row>
    <row r="20" spans="2:9" x14ac:dyDescent="0.25">
      <c r="B20" s="62" t="s">
        <v>96</v>
      </c>
      <c r="C20" s="22" t="str">
        <f>VLOOKUP(B20,[1]!Table3[[Part Number]:[Make and Model]],2,0)</f>
        <v xml:space="preserve">CAT 299D (DX2)                                            </v>
      </c>
      <c r="D20" s="22" t="str">
        <f>VLOOKUP(B20,[1]!Table3[[Part Number]:[Part Description]],3,0)</f>
        <v>SECONDARY AIR FILTER ELEMENT</v>
      </c>
      <c r="E20" s="23">
        <f>VLOOKUP(B20,[1]!Table3[[Part Number]:[Q1 QTY]],7,0)</f>
        <v>1</v>
      </c>
      <c r="F20" s="24">
        <f>VLOOKUP(B20,[1]!Table3[[Part Number]:[OEM CAD $]],4,0)</f>
        <v>54.17</v>
      </c>
      <c r="G20" s="25">
        <f t="shared" si="2"/>
        <v>54.17</v>
      </c>
      <c r="H20" s="25">
        <f>VLOOKUP(B20,[1]!Table3[[Part Number]:[GQP CAD $]],5,0)</f>
        <v>20.58</v>
      </c>
      <c r="I20" s="26">
        <f t="shared" si="0"/>
        <v>20.58</v>
      </c>
    </row>
    <row r="21" spans="2:9" x14ac:dyDescent="0.25">
      <c r="B21" s="62" t="s">
        <v>97</v>
      </c>
      <c r="C21" s="22" t="str">
        <f>VLOOKUP(B21,[1]!Table3[[Part Number]:[Make and Model]],2,0)</f>
        <v xml:space="preserve">CAT D6T (MH7)                                            </v>
      </c>
      <c r="D21" s="22" t="str">
        <f>VLOOKUP(B21,[1]!Table3[[Part Number]:[Part Description]],3,0)</f>
        <v>CABIN AIR FILTER ELEMENT</v>
      </c>
      <c r="E21" s="23">
        <f>VLOOKUP(B21,[1]!Table3[[Part Number]:[Q1 QTY]],7,0)</f>
        <v>1</v>
      </c>
      <c r="F21" s="24">
        <f>VLOOKUP(B21,[1]!Table3[[Part Number]:[OEM CAD $]],4,0)</f>
        <v>43.37</v>
      </c>
      <c r="G21" s="25">
        <f t="shared" si="2"/>
        <v>43.37</v>
      </c>
      <c r="H21" s="25">
        <f>VLOOKUP(B21,[1]!Table3[[Part Number]:[GQP CAD $]],5,0)</f>
        <v>16.48</v>
      </c>
      <c r="I21" s="26">
        <f t="shared" si="0"/>
        <v>16.48</v>
      </c>
    </row>
    <row r="22" spans="2:9" x14ac:dyDescent="0.25">
      <c r="B22" s="62" t="s">
        <v>98</v>
      </c>
      <c r="C22" s="22" t="str">
        <f>VLOOKUP(B22,[1]!Table3[[Part Number]:[Make and Model]],2,0)</f>
        <v xml:space="preserve">CAT 320E L (WBK) CAT 320E L (WBK) (2) CAT 320F L (YBM)                                        </v>
      </c>
      <c r="D22" s="22" t="str">
        <f>VLOOKUP(B22,[1]!Table3[[Part Number]:[Part Description]],3,0)</f>
        <v>SECONDARY AIR FILTER ELEMENT</v>
      </c>
      <c r="E22" s="23">
        <f>VLOOKUP(B22,[1]!Table3[[Part Number]:[Q1 QTY]],7,0)</f>
        <v>3</v>
      </c>
      <c r="F22" s="24">
        <f>VLOOKUP(B22,[1]!Table3[[Part Number]:[OEM CAD $]],4,0)</f>
        <v>97.91</v>
      </c>
      <c r="G22" s="25">
        <f t="shared" ref="G22:G85" si="3">E22*F22</f>
        <v>293.73</v>
      </c>
      <c r="H22" s="25">
        <f>VLOOKUP(B22,[1]!Table3[[Part Number]:[GQP CAD $]],5,0)</f>
        <v>37.21</v>
      </c>
      <c r="I22" s="26">
        <f t="shared" si="0"/>
        <v>111.63</v>
      </c>
    </row>
    <row r="23" spans="2:9" x14ac:dyDescent="0.25">
      <c r="B23" s="62" t="s">
        <v>99</v>
      </c>
      <c r="C23" s="22" t="str">
        <f>VLOOKUP(B23,[1]!Table3[[Part Number]:[Make and Model]],2,0)</f>
        <v xml:space="preserve">CAT 320E L (WBK) CAT 320E L (WBK) (2) CAT 320F L (YBM)                                        </v>
      </c>
      <c r="D23" s="22" t="str">
        <f>VLOOKUP(B23,[1]!Table3[[Part Number]:[Part Description]],3,0)</f>
        <v>PRIMARY AIR FILTER ELEMENT</v>
      </c>
      <c r="E23" s="23">
        <f>VLOOKUP(B23,[1]!Table3[[Part Number]:[Q1 QTY]],7,0)</f>
        <v>3</v>
      </c>
      <c r="F23" s="24">
        <f>VLOOKUP(B23,[1]!Table3[[Part Number]:[OEM CAD $]],4,0)</f>
        <v>120.35</v>
      </c>
      <c r="G23" s="25">
        <f t="shared" si="3"/>
        <v>361.04999999999995</v>
      </c>
      <c r="H23" s="25">
        <f>VLOOKUP(B23,[1]!Table3[[Part Number]:[GQP CAD $]],5,0)</f>
        <v>45.73</v>
      </c>
      <c r="I23" s="26">
        <f t="shared" si="0"/>
        <v>137.19</v>
      </c>
    </row>
    <row r="24" spans="2:9" x14ac:dyDescent="0.25">
      <c r="B24" s="62" t="s">
        <v>100</v>
      </c>
      <c r="C24" s="22" t="str">
        <f>VLOOKUP(B24,[1]!Table3[[Part Number]:[Make and Model]],2,0)</f>
        <v xml:space="preserve">CAT 303.5E                                            </v>
      </c>
      <c r="D24" s="22" t="str">
        <f>VLOOKUP(B24,[1]!Table3[[Part Number]:[Part Description]],3,0)</f>
        <v>PRIMARY AIR FILTER ELEMENT</v>
      </c>
      <c r="E24" s="23">
        <f>VLOOKUP(B24,[1]!Table3[[Part Number]:[Q1 QTY]],7,0)</f>
        <v>1</v>
      </c>
      <c r="F24" s="24">
        <f>VLOOKUP(B24,[1]!Table3[[Part Number]:[OEM CAD $]],4,0)</f>
        <v>67.33</v>
      </c>
      <c r="G24" s="25">
        <f t="shared" si="3"/>
        <v>67.33</v>
      </c>
      <c r="H24" s="25">
        <f>VLOOKUP(B24,[1]!Table3[[Part Number]:[GQP CAD $]],5,0)</f>
        <v>25.59</v>
      </c>
      <c r="I24" s="26">
        <f t="shared" si="0"/>
        <v>25.59</v>
      </c>
    </row>
    <row r="25" spans="2:9" x14ac:dyDescent="0.25">
      <c r="B25" s="62" t="s">
        <v>101</v>
      </c>
      <c r="C25" s="22" t="str">
        <f>VLOOKUP(B25,[1]!Table3[[Part Number]:[Make and Model]],2,0)</f>
        <v xml:space="preserve">CAT 303.5E                                            </v>
      </c>
      <c r="D25" s="22" t="str">
        <f>VLOOKUP(B25,[1]!Table3[[Part Number]:[Part Description]],3,0)</f>
        <v>SECONDARY AIR FILTER ELEMENT</v>
      </c>
      <c r="E25" s="23">
        <f>VLOOKUP(B25,[1]!Table3[[Part Number]:[Q1 QTY]],7,0)</f>
        <v>1</v>
      </c>
      <c r="F25" s="24">
        <f>VLOOKUP(B25,[1]!Table3[[Part Number]:[OEM CAD $]],4,0)</f>
        <v>61.69</v>
      </c>
      <c r="G25" s="25">
        <f t="shared" si="3"/>
        <v>61.69</v>
      </c>
      <c r="H25" s="25">
        <f>VLOOKUP(B25,[1]!Table3[[Part Number]:[GQP CAD $]],5,0)</f>
        <v>23.44</v>
      </c>
      <c r="I25" s="26">
        <f t="shared" si="0"/>
        <v>23.44</v>
      </c>
    </row>
    <row r="26" spans="2:9" x14ac:dyDescent="0.25">
      <c r="B26" s="62" t="s">
        <v>102</v>
      </c>
      <c r="C26" s="22" t="str">
        <f>VLOOKUP(B26,[1]!Table3[[Part Number]:[Make and Model]],2,0)</f>
        <v xml:space="preserve">CAT 336F L (RKB)                                            </v>
      </c>
      <c r="D26" s="22" t="str">
        <f>VLOOKUP(B26,[1]!Table3[[Part Number]:[Part Description]],3,0)</f>
        <v>PRIMARY AIR FILTER ELEMENT</v>
      </c>
      <c r="E26" s="23">
        <f>VLOOKUP(B26,[1]!Table3[[Part Number]:[Q1 QTY]],7,0)</f>
        <v>1</v>
      </c>
      <c r="F26" s="24">
        <f>VLOOKUP(B26,[1]!Table3[[Part Number]:[OEM CAD $]],4,0)</f>
        <v>201.81</v>
      </c>
      <c r="G26" s="25">
        <f t="shared" si="3"/>
        <v>201.81</v>
      </c>
      <c r="H26" s="25">
        <f>VLOOKUP(B26,[1]!Table3[[Part Number]:[GQP CAD $]],5,0)</f>
        <v>76.69</v>
      </c>
      <c r="I26" s="26">
        <f t="shared" si="0"/>
        <v>76.69</v>
      </c>
    </row>
    <row r="27" spans="2:9" x14ac:dyDescent="0.25">
      <c r="B27" s="62" t="s">
        <v>103</v>
      </c>
      <c r="C27" s="22" t="str">
        <f>VLOOKUP(B27,[1]!Table3[[Part Number]:[Make and Model]],2,0)</f>
        <v xml:space="preserve">CAT 336F L (RKB)                                            </v>
      </c>
      <c r="D27" s="22" t="str">
        <f>VLOOKUP(B27,[1]!Table3[[Part Number]:[Part Description]],3,0)</f>
        <v>SECONDARY AIR FILTER ELEMENT</v>
      </c>
      <c r="E27" s="23">
        <f>VLOOKUP(B27,[1]!Table3[[Part Number]:[Q1 QTY]],7,0)</f>
        <v>1</v>
      </c>
      <c r="F27" s="24">
        <f>VLOOKUP(B27,[1]!Table3[[Part Number]:[OEM CAD $]],4,0)</f>
        <v>119.45</v>
      </c>
      <c r="G27" s="25">
        <f t="shared" si="3"/>
        <v>119.45</v>
      </c>
      <c r="H27" s="25">
        <f>VLOOKUP(B27,[1]!Table3[[Part Number]:[GQP CAD $]],5,0)</f>
        <v>45.39</v>
      </c>
      <c r="I27" s="26">
        <f t="shared" si="0"/>
        <v>45.39</v>
      </c>
    </row>
    <row r="28" spans="2:9" x14ac:dyDescent="0.25">
      <c r="B28" s="62" t="s">
        <v>104</v>
      </c>
      <c r="C28" s="22" t="str">
        <f>VLOOKUP(B28,[1]!Table3[[Part Number]:[Make and Model]],2,0)</f>
        <v xml:space="preserve">CAT D6N LGP (PBA) CAT D6N LGP (PBA) (2)                                          </v>
      </c>
      <c r="D28" s="22" t="str">
        <f>VLOOKUP(B28,[1]!Table3[[Part Number]:[Part Description]],3,0)</f>
        <v>PRIMARY CABIN AIR FILTER ELEMENT</v>
      </c>
      <c r="E28" s="23">
        <f>VLOOKUP(B28,[1]!Table3[[Part Number]:[Q1 QTY]],7,0)</f>
        <v>2</v>
      </c>
      <c r="F28" s="24">
        <f>VLOOKUP(B28,[1]!Table3[[Part Number]:[OEM CAD $]],4,0)</f>
        <v>112.48</v>
      </c>
      <c r="G28" s="25">
        <f t="shared" si="3"/>
        <v>224.96</v>
      </c>
      <c r="H28" s="25">
        <f>VLOOKUP(B28,[1]!Table3[[Part Number]:[GQP CAD $]],5,0)</f>
        <v>42.74</v>
      </c>
      <c r="I28" s="26">
        <f t="shared" si="0"/>
        <v>85.48</v>
      </c>
    </row>
    <row r="29" spans="2:9" x14ac:dyDescent="0.25">
      <c r="B29" s="62" t="s">
        <v>41</v>
      </c>
      <c r="C29" s="22" t="str">
        <f>VLOOKUP(B29,[1]!Table3[[Part Number]:[Make and Model]],2,0)</f>
        <v xml:space="preserve">CAT PL61 (WGS) CAT PL61 (WGS) (2) CAT PL61 (WGS) (3)                                        </v>
      </c>
      <c r="D29" s="22" t="str">
        <f>VLOOKUP(B29,[1]!Table3[[Part Number]:[Part Description]],3,0)</f>
        <v>CABIN AIR FILTER ELEMENT</v>
      </c>
      <c r="E29" s="23">
        <f>VLOOKUP(B29,[1]!Table3[[Part Number]:[Q1 QTY]],7,0)</f>
        <v>3</v>
      </c>
      <c r="F29" s="24">
        <f>VLOOKUP(B29,[1]!Table3[[Part Number]:[OEM CAD $]],4,0)</f>
        <v>85.17</v>
      </c>
      <c r="G29" s="25">
        <f t="shared" si="3"/>
        <v>255.51</v>
      </c>
      <c r="H29" s="25">
        <f>VLOOKUP(B29,[1]!Table3[[Part Number]:[GQP CAD $]],5,0)</f>
        <v>32.36</v>
      </c>
      <c r="I29" s="26">
        <f t="shared" si="0"/>
        <v>97.08</v>
      </c>
    </row>
    <row r="30" spans="2:9" x14ac:dyDescent="0.25">
      <c r="B30" s="62" t="s">
        <v>45</v>
      </c>
      <c r="C30" s="22" t="str">
        <f>VLOOKUP(B30,[1]!Table3[[Part Number]:[Make and Model]],2,0)</f>
        <v xml:space="preserve">CAT D6N LGP (GHS) CAT PL61 (WGS) CAT PL61 (WGS) (2) CAT PL61 (WGS) (3)                                      </v>
      </c>
      <c r="D30" s="22" t="str">
        <f>VLOOKUP(B30,[1]!Table3[[Part Number]:[Part Description]],3,0)</f>
        <v>PRIMARY AIR FILTER ELEMENT</v>
      </c>
      <c r="E30" s="23">
        <f>VLOOKUP(B30,[1]!Table3[[Part Number]:[Q1 QTY]],7,0)</f>
        <v>4</v>
      </c>
      <c r="F30" s="24">
        <f>VLOOKUP(B30,[1]!Table3[[Part Number]:[OEM CAD $]],4,0)</f>
        <v>221.03</v>
      </c>
      <c r="G30" s="25">
        <f t="shared" si="3"/>
        <v>884.12</v>
      </c>
      <c r="H30" s="25">
        <f>VLOOKUP(B30,[1]!Table3[[Part Number]:[GQP CAD $]],5,0)</f>
        <v>83.99</v>
      </c>
      <c r="I30" s="26">
        <f t="shared" si="0"/>
        <v>335.96</v>
      </c>
    </row>
    <row r="31" spans="2:9" x14ac:dyDescent="0.25">
      <c r="B31" s="62" t="s">
        <v>46</v>
      </c>
      <c r="C31" s="22" t="str">
        <f>VLOOKUP(B31,[1]!Table3[[Part Number]:[Make and Model]],2,0)</f>
        <v xml:space="preserve">CAT D6N LGP (GHS) CAT PL61 (WGS) CAT PL61 (WGS) (2) CAT PL61 (WGS) (3)                                      </v>
      </c>
      <c r="D31" s="22" t="str">
        <f>VLOOKUP(B31,[1]!Table3[[Part Number]:[Part Description]],3,0)</f>
        <v>SECONDARY AIR FILTER ELEMENT</v>
      </c>
      <c r="E31" s="23">
        <f>VLOOKUP(B31,[1]!Table3[[Part Number]:[Q1 QTY]],7,0)</f>
        <v>4</v>
      </c>
      <c r="F31" s="24">
        <f>VLOOKUP(B31,[1]!Table3[[Part Number]:[OEM CAD $]],4,0)</f>
        <v>152.66999999999999</v>
      </c>
      <c r="G31" s="25">
        <f t="shared" si="3"/>
        <v>610.67999999999995</v>
      </c>
      <c r="H31" s="25">
        <f>VLOOKUP(B31,[1]!Table3[[Part Number]:[GQP CAD $]],5,0)</f>
        <v>58.01</v>
      </c>
      <c r="I31" s="26">
        <f t="shared" si="0"/>
        <v>232.04</v>
      </c>
    </row>
    <row r="32" spans="2:9" x14ac:dyDescent="0.25">
      <c r="B32" s="62" t="s">
        <v>105</v>
      </c>
      <c r="C32" s="22" t="str">
        <f>VLOOKUP(B32,[1]!Table3[[Part Number]:[Make and Model]],2,0)</f>
        <v xml:space="preserve">CAT 299D (DX2)                                            </v>
      </c>
      <c r="D32" s="22" t="str">
        <f>VLOOKUP(B32,[1]!Table3[[Part Number]:[Part Description]],3,0)</f>
        <v>CABIN AIR FILTER ELEMENT</v>
      </c>
      <c r="E32" s="23">
        <f>VLOOKUP(B32,[1]!Table3[[Part Number]:[Q1 QTY]],7,0)</f>
        <v>1</v>
      </c>
      <c r="F32" s="24">
        <f>VLOOKUP(B32,[1]!Table3[[Part Number]:[OEM CAD $]],4,0)</f>
        <v>37.51</v>
      </c>
      <c r="G32" s="25">
        <f t="shared" si="3"/>
        <v>37.51</v>
      </c>
      <c r="H32" s="25">
        <f>VLOOKUP(B32,[1]!Table3[[Part Number]:[GQP CAD $]],5,0)</f>
        <v>14.25</v>
      </c>
      <c r="I32" s="26">
        <f t="shared" si="0"/>
        <v>14.25</v>
      </c>
    </row>
    <row r="33" spans="2:9" x14ac:dyDescent="0.25">
      <c r="B33" s="62" t="s">
        <v>106</v>
      </c>
      <c r="C33" s="22" t="str">
        <f>VLOOKUP(B33,[1]!Table3[[Part Number]:[Make and Model]],2,0)</f>
        <v xml:space="preserve">CAT 303.5E                                            </v>
      </c>
      <c r="D33" s="22" t="str">
        <f>VLOOKUP(B33,[1]!Table3[[Part Number]:[Part Description]],3,0)</f>
        <v>CABIN AIR FILTER ELEMENT</v>
      </c>
      <c r="E33" s="23">
        <f>VLOOKUP(B33,[1]!Table3[[Part Number]:[Q1 QTY]],7,0)</f>
        <v>1</v>
      </c>
      <c r="F33" s="24">
        <f>VLOOKUP(B33,[1]!Table3[[Part Number]:[OEM CAD $]],4,0)</f>
        <v>98.39</v>
      </c>
      <c r="G33" s="25">
        <f t="shared" si="3"/>
        <v>98.39</v>
      </c>
      <c r="H33" s="25">
        <f>VLOOKUP(B33,[1]!Table3[[Part Number]:[GQP CAD $]],5,0)</f>
        <v>37.39</v>
      </c>
      <c r="I33" s="26">
        <f t="shared" si="0"/>
        <v>37.39</v>
      </c>
    </row>
    <row r="34" spans="2:9" x14ac:dyDescent="0.25">
      <c r="B34" s="62" t="s">
        <v>107</v>
      </c>
      <c r="C34" s="22" t="str">
        <f>VLOOKUP(B34,[1]!Table3[[Part Number]:[Make and Model]],2,0)</f>
        <v xml:space="preserve">CAT D4 (66J)                                            </v>
      </c>
      <c r="D34" s="22" t="str">
        <f>VLOOKUP(B34,[1]!Table3[[Part Number]:[Part Description]],3,0)</f>
        <v>SECONDARY AIR FILTER ELEMENT</v>
      </c>
      <c r="E34" s="23">
        <f>VLOOKUP(B34,[1]!Table3[[Part Number]:[Q1 QTY]],7,0)</f>
        <v>1</v>
      </c>
      <c r="F34" s="24">
        <f>VLOOKUP(B34,[1]!Table3[[Part Number]:[OEM CAD $]],4,0)</f>
        <v>111.66</v>
      </c>
      <c r="G34" s="25">
        <f t="shared" si="3"/>
        <v>111.66</v>
      </c>
      <c r="H34" s="25">
        <f>VLOOKUP(B34,[1]!Table3[[Part Number]:[GQP CAD $]],5,0)</f>
        <v>42.43</v>
      </c>
      <c r="I34" s="26">
        <f t="shared" si="0"/>
        <v>42.43</v>
      </c>
    </row>
    <row r="35" spans="2:9" x14ac:dyDescent="0.25">
      <c r="B35" s="62" t="s">
        <v>108</v>
      </c>
      <c r="C35" s="22" t="str">
        <f>VLOOKUP(B35,[1]!Table3[[Part Number]:[Make and Model]],2,0)</f>
        <v xml:space="preserve">CAT 561 (85H) CAT 561 (92J) CAT 561 (92J) (2)                                        </v>
      </c>
      <c r="D35" s="22" t="str">
        <f>VLOOKUP(B35,[1]!Table3[[Part Number]:[Part Description]],3,0)</f>
        <v>SECONDARY AIR FILTER</v>
      </c>
      <c r="E35" s="23">
        <f>VLOOKUP(B35,[1]!Table3[[Part Number]:[Q1 QTY]],7,0)</f>
        <v>3</v>
      </c>
      <c r="F35" s="24">
        <f>VLOOKUP(B35,[1]!Table3[[Part Number]:[OEM CAD $]],4,0)</f>
        <v>160.44</v>
      </c>
      <c r="G35" s="25">
        <f t="shared" si="3"/>
        <v>481.32</v>
      </c>
      <c r="H35" s="25">
        <f>VLOOKUP(B35,[1]!Table3[[Part Number]:[GQP CAD $]],5,0)</f>
        <v>60.97</v>
      </c>
      <c r="I35" s="26">
        <f t="shared" si="0"/>
        <v>182.91</v>
      </c>
    </row>
    <row r="36" spans="2:9" x14ac:dyDescent="0.25">
      <c r="B36" s="62" t="s">
        <v>109</v>
      </c>
      <c r="C36" s="22" t="str">
        <f>VLOOKUP(B36,[1]!Table3[[Part Number]:[Make and Model]],2,0)</f>
        <v xml:space="preserve">CAT D6N LGP (PBA) CAT D6N LGP (PBA) (2) CAT D6N LGP (SGG) CAT D6N LGP (SGG) (2)                                      </v>
      </c>
      <c r="D36" s="22" t="str">
        <f>VLOOKUP(B36,[1]!Table3[[Part Number]:[Part Description]],3,0)</f>
        <v>SECONDARY CABIN AIR FILTER ELEMENT</v>
      </c>
      <c r="E36" s="23">
        <f>VLOOKUP(B36,[1]!Table3[[Part Number]:[Q1 QTY]],7,0)</f>
        <v>6</v>
      </c>
      <c r="F36" s="24">
        <f>VLOOKUP(B36,[1]!Table3[[Part Number]:[OEM CAD $]],4,0)</f>
        <v>79.09</v>
      </c>
      <c r="G36" s="25">
        <f t="shared" si="3"/>
        <v>474.54</v>
      </c>
      <c r="H36" s="25">
        <f>VLOOKUP(B36,[1]!Table3[[Part Number]:[GQP CAD $]],5,0)</f>
        <v>30.05</v>
      </c>
      <c r="I36" s="26">
        <f t="shared" si="0"/>
        <v>180.3</v>
      </c>
    </row>
    <row r="37" spans="2:9" x14ac:dyDescent="0.25">
      <c r="B37" s="62" t="s">
        <v>110</v>
      </c>
      <c r="C37" s="22" t="str">
        <f>VLOOKUP(B37,[1]!Table3[[Part Number]:[Make and Model]],2,0)</f>
        <v xml:space="preserve">CAT D6 (RDC) CAT D6T (MH7) CAT 561N (CPH) CAT 561N (CPH) (2) CAT 561N (CPH) (3) CAT 561N (CPH) (4) CAT 561N (CPH) (5)                                </v>
      </c>
      <c r="D37" s="22" t="str">
        <f>VLOOKUP(B37,[1]!Table3[[Part Number]:[Part Description]],3,0)</f>
        <v>SECONDARY AIR FILTER ELEMENT</v>
      </c>
      <c r="E37" s="23">
        <f>VLOOKUP(B37,[1]!Table3[[Part Number]:[Q1 QTY]],7,0)</f>
        <v>7</v>
      </c>
      <c r="F37" s="24">
        <f>VLOOKUP(B37,[1]!Table3[[Part Number]:[OEM CAD $]],4,0)</f>
        <v>109.02</v>
      </c>
      <c r="G37" s="25">
        <f t="shared" si="3"/>
        <v>763.14</v>
      </c>
      <c r="H37" s="25">
        <f>VLOOKUP(B37,[1]!Table3[[Part Number]:[GQP CAD $]],5,0)</f>
        <v>41.43</v>
      </c>
      <c r="I37" s="26">
        <f t="shared" si="0"/>
        <v>290.01</v>
      </c>
    </row>
    <row r="38" spans="2:9" x14ac:dyDescent="0.25">
      <c r="B38" s="62" t="s">
        <v>111</v>
      </c>
      <c r="C38" s="22" t="str">
        <f>VLOOKUP(B38,[1]!Table3[[Part Number]:[Make and Model]],2,0)</f>
        <v xml:space="preserve">CAT D6N LGP (PBA) CAT D6N LGP (PBA) (2)                                          </v>
      </c>
      <c r="D38" s="22" t="str">
        <f>VLOOKUP(B38,[1]!Table3[[Part Number]:[Part Description]],3,0)</f>
        <v>SECONDARY AIR FILTER ELEMENT</v>
      </c>
      <c r="E38" s="23">
        <f>VLOOKUP(B38,[1]!Table3[[Part Number]:[Q1 QTY]],7,0)</f>
        <v>2</v>
      </c>
      <c r="F38" s="24">
        <f>VLOOKUP(B38,[1]!Table3[[Part Number]:[OEM CAD $]],4,0)</f>
        <v>137.53</v>
      </c>
      <c r="G38" s="25">
        <f t="shared" si="3"/>
        <v>275.06</v>
      </c>
      <c r="H38" s="25">
        <f>VLOOKUP(B38,[1]!Table3[[Part Number]:[GQP CAD $]],5,0)</f>
        <v>52.26</v>
      </c>
      <c r="I38" s="26">
        <f t="shared" si="0"/>
        <v>104.52</v>
      </c>
    </row>
    <row r="39" spans="2:9" x14ac:dyDescent="0.25">
      <c r="B39" s="62" t="s">
        <v>112</v>
      </c>
      <c r="C39" s="22" t="str">
        <f>VLOOKUP(B39,[1]!Table3[[Part Number]:[Make and Model]],2,0)</f>
        <v xml:space="preserve">CAT 329E L (ZCD) CAT 329F L (ERL) CAT 329F L (ERL) (2) CAT 330F L (MBX) CAT 330F L (HCK) CAT 330F L (HCK) (2)                                  </v>
      </c>
      <c r="D39" s="22" t="str">
        <f>VLOOKUP(B39,[1]!Table3[[Part Number]:[Part Description]],3,0)</f>
        <v>CABIN AIR FILTER ELEMENT</v>
      </c>
      <c r="E39" s="23">
        <f>VLOOKUP(B39,[1]!Table3[[Part Number]:[Q1 QTY]],7,0)</f>
        <v>6</v>
      </c>
      <c r="F39" s="24">
        <f>VLOOKUP(B39,[1]!Table3[[Part Number]:[OEM CAD $]],4,0)</f>
        <v>94.42</v>
      </c>
      <c r="G39" s="25">
        <f t="shared" si="3"/>
        <v>566.52</v>
      </c>
      <c r="H39" s="25">
        <f>VLOOKUP(B39,[1]!Table3[[Part Number]:[GQP CAD $]],5,0)</f>
        <v>35.880000000000003</v>
      </c>
      <c r="I39" s="26">
        <f t="shared" si="0"/>
        <v>215.28</v>
      </c>
    </row>
    <row r="40" spans="2:9" x14ac:dyDescent="0.25">
      <c r="B40" s="62" t="s">
        <v>113</v>
      </c>
      <c r="C40" s="22" t="str">
        <f>VLOOKUP(B40,[1]!Table3[[Part Number]:[Make and Model]],2,0)</f>
        <v xml:space="preserve">CAT 561N (CPH) CAT 561N (CPH) (2) CAT 561N (CPH) (3) CAT 561N (CPH) (4) CAT 561N (CPH) (5)                                    </v>
      </c>
      <c r="D40" s="22" t="str">
        <f>VLOOKUP(B40,[1]!Table3[[Part Number]:[Part Description]],3,0)</f>
        <v>CABIN AIR FILTER ELEMENT</v>
      </c>
      <c r="E40" s="23">
        <f>VLOOKUP(B40,[1]!Table3[[Part Number]:[Q1 QTY]],7,0)</f>
        <v>5</v>
      </c>
      <c r="F40" s="24">
        <f>VLOOKUP(B40,[1]!Table3[[Part Number]:[OEM CAD $]],4,0)</f>
        <v>1076.32</v>
      </c>
      <c r="G40" s="25">
        <f t="shared" si="3"/>
        <v>5381.5999999999995</v>
      </c>
      <c r="H40" s="25">
        <f>VLOOKUP(B40,[1]!Table3[[Part Number]:[GQP CAD $]],5,0)</f>
        <v>409</v>
      </c>
      <c r="I40" s="26">
        <f t="shared" si="0"/>
        <v>2045</v>
      </c>
    </row>
    <row r="41" spans="2:9" x14ac:dyDescent="0.25">
      <c r="B41" s="62" t="s">
        <v>114</v>
      </c>
      <c r="C41" s="22" t="str">
        <f>VLOOKUP(B41,[1]!Table3[[Part Number]:[Make and Model]],2,0)</f>
        <v xml:space="preserve">CAT 320 (HEX) CAT 320 (MYK) CAT 320 (MYK) (2)                                        </v>
      </c>
      <c r="D41" s="22" t="str">
        <f>VLOOKUP(B41,[1]!Table3[[Part Number]:[Part Description]],3,0)</f>
        <v>PRIMARY AIR FILTER ELEMENT</v>
      </c>
      <c r="E41" s="23">
        <f>VLOOKUP(B41,[1]!Table3[[Part Number]:[Q1 QTY]],7,0)</f>
        <v>3</v>
      </c>
      <c r="F41" s="24">
        <f>VLOOKUP(B41,[1]!Table3[[Part Number]:[OEM CAD $]],4,0)</f>
        <v>244.2</v>
      </c>
      <c r="G41" s="25">
        <f t="shared" si="3"/>
        <v>732.59999999999991</v>
      </c>
      <c r="H41" s="25">
        <f>VLOOKUP(B41,[1]!Table3[[Part Number]:[GQP CAD $]],5,0)</f>
        <v>92.8</v>
      </c>
      <c r="I41" s="26">
        <f t="shared" si="0"/>
        <v>278.39999999999998</v>
      </c>
    </row>
    <row r="42" spans="2:9" x14ac:dyDescent="0.25">
      <c r="B42" s="62" t="s">
        <v>115</v>
      </c>
      <c r="C42" s="22" t="str">
        <f>VLOOKUP(B42,[1]!Table3[[Part Number]:[Make and Model]],2,0)</f>
        <v xml:space="preserve">CAT 320 (HEX) CAT 320 (MYK) CAT 320 (MYK) (2)                                        </v>
      </c>
      <c r="D42" s="22" t="str">
        <f>VLOOKUP(B42,[1]!Table3[[Part Number]:[Part Description]],3,0)</f>
        <v>SECONDARY AIR FILTER ELEMENT</v>
      </c>
      <c r="E42" s="23">
        <f>VLOOKUP(B42,[1]!Table3[[Part Number]:[Q1 QTY]],7,0)</f>
        <v>3</v>
      </c>
      <c r="F42" s="24">
        <f>VLOOKUP(B42,[1]!Table3[[Part Number]:[OEM CAD $]],4,0)</f>
        <v>133.28</v>
      </c>
      <c r="G42" s="25">
        <f t="shared" si="3"/>
        <v>399.84000000000003</v>
      </c>
      <c r="H42" s="25">
        <f>VLOOKUP(B42,[1]!Table3[[Part Number]:[GQP CAD $]],5,0)</f>
        <v>50.65</v>
      </c>
      <c r="I42" s="26">
        <f t="shared" si="0"/>
        <v>151.94999999999999</v>
      </c>
    </row>
    <row r="43" spans="2:9" x14ac:dyDescent="0.25">
      <c r="B43" s="62" t="s">
        <v>116</v>
      </c>
      <c r="C43" s="22" t="str">
        <f>VLOOKUP(B43,[1]!Table3[[Part Number]:[Make and Model]],2,0)</f>
        <v xml:space="preserve">CAT 330 (LHW) CAT 330 (LHW) (2) CAT 330 (LHW) (3) CAT 330 (LHW) (4) CAT 330 (WCH) CAT 330 (WCH) (2) CAT 330 (WCH) (3) CAT 330 (WCH) (4) CAT 330 (WCH) (5) CAT 330 (WCH) (6)                          </v>
      </c>
      <c r="D43" s="22" t="str">
        <f>VLOOKUP(B43,[1]!Table3[[Part Number]:[Part Description]],3,0)</f>
        <v>PRIMARY AIR FILTER ELEMENT</v>
      </c>
      <c r="E43" s="23">
        <f>VLOOKUP(B43,[1]!Table3[[Part Number]:[Q1 QTY]],7,0)</f>
        <v>10</v>
      </c>
      <c r="F43" s="24">
        <f>VLOOKUP(B43,[1]!Table3[[Part Number]:[OEM CAD $]],4,0)</f>
        <v>307.85000000000002</v>
      </c>
      <c r="G43" s="25">
        <f t="shared" si="3"/>
        <v>3078.5</v>
      </c>
      <c r="H43" s="25">
        <f>VLOOKUP(B43,[1]!Table3[[Part Number]:[GQP CAD $]],5,0)</f>
        <v>116.98</v>
      </c>
      <c r="I43" s="26">
        <f t="shared" si="0"/>
        <v>1169.8</v>
      </c>
    </row>
    <row r="44" spans="2:9" x14ac:dyDescent="0.25">
      <c r="B44" s="62" t="s">
        <v>117</v>
      </c>
      <c r="C44" s="22" t="str">
        <f>VLOOKUP(B44,[1]!Table3[[Part Number]:[Make and Model]],2,0)</f>
        <v xml:space="preserve">CAT 330 (LHW) CAT 330 (LHW) (2) CAT 330 (LHW) (3) CAT 330 (LHW) (4) CAT 330 (WCH) CAT 330 (WCH) (2) CAT 330 (WCH) (3) CAT 330 (WCH) (4) CAT 330 (WCH) (5) CAT 330 (WCH) (6)                          </v>
      </c>
      <c r="D44" s="22" t="str">
        <f>VLOOKUP(B44,[1]!Table3[[Part Number]:[Part Description]],3,0)</f>
        <v>SECONDAY AIR FILTER ELEMENT</v>
      </c>
      <c r="E44" s="23">
        <f>VLOOKUP(B44,[1]!Table3[[Part Number]:[Q1 QTY]],7,0)</f>
        <v>10</v>
      </c>
      <c r="F44" s="24">
        <f>VLOOKUP(B44,[1]!Table3[[Part Number]:[OEM CAD $]],4,0)</f>
        <v>137.38</v>
      </c>
      <c r="G44" s="25">
        <f t="shared" si="3"/>
        <v>1373.8</v>
      </c>
      <c r="H44" s="25">
        <f>VLOOKUP(B44,[1]!Table3[[Part Number]:[GQP CAD $]],5,0)</f>
        <v>52.2</v>
      </c>
      <c r="I44" s="26">
        <f t="shared" si="0"/>
        <v>522</v>
      </c>
    </row>
    <row r="45" spans="2:9" x14ac:dyDescent="0.25">
      <c r="B45" s="62" t="s">
        <v>118</v>
      </c>
      <c r="C45" s="22" t="str">
        <f>VLOOKUP(B45,[1]!Table3[[Part Number]:[Make and Model]],2,0)</f>
        <v xml:space="preserve">CAT D3 (1PJ)                                            </v>
      </c>
      <c r="D45" s="22" t="str">
        <f>VLOOKUP(B45,[1]!Table3[[Part Number]:[Part Description]],3,0)</f>
        <v>SECONDARY AIR FILTER ELEMENT</v>
      </c>
      <c r="E45" s="23">
        <f>VLOOKUP(B45,[1]!Table3[[Part Number]:[Q1 QTY]],7,0)</f>
        <v>1</v>
      </c>
      <c r="F45" s="24">
        <f>VLOOKUP(B45,[1]!Table3[[Part Number]:[OEM CAD $]],4,0)</f>
        <v>77.260000000000005</v>
      </c>
      <c r="G45" s="25">
        <f t="shared" si="3"/>
        <v>77.260000000000005</v>
      </c>
      <c r="H45" s="25">
        <f>VLOOKUP(B45,[1]!Table3[[Part Number]:[GQP CAD $]],5,0)</f>
        <v>29.36</v>
      </c>
      <c r="I45" s="26">
        <f t="shared" si="0"/>
        <v>29.36</v>
      </c>
    </row>
    <row r="46" spans="2:9" x14ac:dyDescent="0.25">
      <c r="B46" s="62" t="s">
        <v>119</v>
      </c>
      <c r="C46" s="22" t="str">
        <f>VLOOKUP(B46,[1]!Table3[[Part Number]:[Make and Model]],2,0)</f>
        <v xml:space="preserve">CAT D3 (1PJ)                                            </v>
      </c>
      <c r="D46" s="22" t="str">
        <f>VLOOKUP(B46,[1]!Table3[[Part Number]:[Part Description]],3,0)</f>
        <v>PRIMARY AIR FILTER ELEMENT</v>
      </c>
      <c r="E46" s="23">
        <f>VLOOKUP(B46,[1]!Table3[[Part Number]:[Q1 QTY]],7,0)</f>
        <v>1</v>
      </c>
      <c r="F46" s="24">
        <f>VLOOKUP(B46,[1]!Table3[[Part Number]:[OEM CAD $]],4,0)</f>
        <v>91.61</v>
      </c>
      <c r="G46" s="25">
        <f t="shared" si="3"/>
        <v>91.61</v>
      </c>
      <c r="H46" s="25">
        <f>VLOOKUP(B46,[1]!Table3[[Part Number]:[GQP CAD $]],5,0)</f>
        <v>34.81</v>
      </c>
      <c r="I46" s="26">
        <f t="shared" si="0"/>
        <v>34.81</v>
      </c>
    </row>
    <row r="47" spans="2:9" x14ac:dyDescent="0.25">
      <c r="B47" s="62" t="s">
        <v>120</v>
      </c>
      <c r="C47" s="22" t="str">
        <f>VLOOKUP(B47,[1]!Table3[[Part Number]:[Make and Model]],2,0)</f>
        <v xml:space="preserve">CAT 320 (HEX) CAT 320 (MYK) CAT 320 (MYK) (2) CAT 330 (LHW) CAT 330 (LHW) (2) CAT 330 (LHW) (3) CAT 330 (LHW) (4) CAT 330 (WCH) CAT 330 (WCH) (2) CAT 330 (WCH) (3) CAT 330 (WCH) (4) CAT 330 (WCH) (5) CAT 330 (WCH) (6)                    </v>
      </c>
      <c r="D47" s="22" t="str">
        <f>VLOOKUP(B47,[1]!Table3[[Part Number]:[Part Description]],3,0)</f>
        <v xml:space="preserve">CABIN AIR FILTER ELEMENT </v>
      </c>
      <c r="E47" s="23">
        <f>VLOOKUP(B47,[1]!Table3[[Part Number]:[Q1 QTY]],7,0)</f>
        <v>13</v>
      </c>
      <c r="F47" s="24">
        <f>VLOOKUP(B47,[1]!Table3[[Part Number]:[OEM CAD $]],4,0)</f>
        <v>87.85</v>
      </c>
      <c r="G47" s="25">
        <f t="shared" si="3"/>
        <v>1142.05</v>
      </c>
      <c r="H47" s="25">
        <f>VLOOKUP(B47,[1]!Table3[[Part Number]:[GQP CAD $]],5,0)</f>
        <v>33.380000000000003</v>
      </c>
      <c r="I47" s="26">
        <f t="shared" si="0"/>
        <v>433.94</v>
      </c>
    </row>
    <row r="48" spans="2:9" x14ac:dyDescent="0.25">
      <c r="B48" s="62" t="s">
        <v>121</v>
      </c>
      <c r="C48" s="22" t="str">
        <f>VLOOKUP(B48,[1]!Table3[[Part Number]:[Make and Model]],2,0)</f>
        <v xml:space="preserve">CAT D6N LGP (SGG) CAT D6N LGP (SGG) (2)                                          </v>
      </c>
      <c r="D48" s="22" t="str">
        <f>VLOOKUP(B48,[1]!Table3[[Part Number]:[Part Description]],3,0)</f>
        <v>PRIMARY AIR FILTER ELEMENT</v>
      </c>
      <c r="E48" s="23">
        <f>VLOOKUP(B48,[1]!Table3[[Part Number]:[Q1 QTY]],7,0)</f>
        <v>2</v>
      </c>
      <c r="F48" s="24">
        <f>VLOOKUP(B48,[1]!Table3[[Part Number]:[OEM CAD $]],4,0)</f>
        <v>136.4</v>
      </c>
      <c r="G48" s="25">
        <f t="shared" si="3"/>
        <v>272.8</v>
      </c>
      <c r="H48" s="25">
        <f>VLOOKUP(B48,[1]!Table3[[Part Number]:[GQP CAD $]],5,0)</f>
        <v>51.83</v>
      </c>
      <c r="I48" s="26">
        <f t="shared" si="0"/>
        <v>103.66</v>
      </c>
    </row>
    <row r="49" spans="2:9" x14ac:dyDescent="0.25">
      <c r="B49" s="62" t="s">
        <v>122</v>
      </c>
      <c r="C49" s="22" t="str">
        <f>VLOOKUP(B49,[1]!Table3[[Part Number]:[Make and Model]],2,0)</f>
        <v xml:space="preserve">CAT D6N LGP (SGG) CAT D6N LGP (SGG) (2)                                          </v>
      </c>
      <c r="D49" s="22" t="str">
        <f>VLOOKUP(B49,[1]!Table3[[Part Number]:[Part Description]],3,0)</f>
        <v>SECONDARY AIR FILTER ELEMENT</v>
      </c>
      <c r="E49" s="23">
        <f>VLOOKUP(B49,[1]!Table3[[Part Number]:[Q1 QTY]],7,0)</f>
        <v>2</v>
      </c>
      <c r="F49" s="24">
        <f>VLOOKUP(B49,[1]!Table3[[Part Number]:[OEM CAD $]],4,0)</f>
        <v>103.4</v>
      </c>
      <c r="G49" s="25">
        <f t="shared" si="3"/>
        <v>206.8</v>
      </c>
      <c r="H49" s="25">
        <f>VLOOKUP(B49,[1]!Table3[[Part Number]:[GQP CAD $]],5,0)</f>
        <v>39.29</v>
      </c>
      <c r="I49" s="26">
        <f t="shared" si="0"/>
        <v>78.58</v>
      </c>
    </row>
    <row r="50" spans="2:9" x14ac:dyDescent="0.25">
      <c r="B50" s="62" t="s">
        <v>123</v>
      </c>
      <c r="C50" s="22" t="str">
        <f>VLOOKUP(B50,[1]!Table3[[Part Number]:[Make and Model]],2,0)</f>
        <v xml:space="preserve">CAT D6N LGP (PBA) CAT D6N LGP (PBA) (2)                                          </v>
      </c>
      <c r="D50" s="22" t="str">
        <f>VLOOKUP(B50,[1]!Table3[[Part Number]:[Part Description]],3,0)</f>
        <v>PRIMARY AIR FILTER ELEMENT</v>
      </c>
      <c r="E50" s="23">
        <f>VLOOKUP(B50,[1]!Table3[[Part Number]:[Q1 QTY]],7,0)</f>
        <v>2</v>
      </c>
      <c r="F50" s="24">
        <f>VLOOKUP(B50,[1]!Table3[[Part Number]:[OEM CAD $]],4,0)</f>
        <v>225.94</v>
      </c>
      <c r="G50" s="25">
        <f t="shared" si="3"/>
        <v>451.88</v>
      </c>
      <c r="H50" s="25">
        <f>VLOOKUP(B50,[1]!Table3[[Part Number]:[GQP CAD $]],5,0)</f>
        <v>85.86</v>
      </c>
      <c r="I50" s="26">
        <f t="shared" si="0"/>
        <v>171.72</v>
      </c>
    </row>
    <row r="51" spans="2:9" x14ac:dyDescent="0.25">
      <c r="B51" s="62" t="s">
        <v>124</v>
      </c>
      <c r="C51" s="22" t="str">
        <f>VLOOKUP(B51,[1]!Table3[[Part Number]:[Make and Model]],2,0)</f>
        <v xml:space="preserve">CAT D6 (RDC)                                            </v>
      </c>
      <c r="D51" s="22" t="str">
        <f>VLOOKUP(B51,[1]!Table3[[Part Number]:[Part Description]],3,0)</f>
        <v>CABIN AIR FILTER ELEMENT</v>
      </c>
      <c r="E51" s="23">
        <f>VLOOKUP(B51,[1]!Table3[[Part Number]:[Q1 QTY]],7,0)</f>
        <v>1</v>
      </c>
      <c r="F51" s="24">
        <f>VLOOKUP(B51,[1]!Table3[[Part Number]:[OEM CAD $]],4,0)</f>
        <v>143.80000000000001</v>
      </c>
      <c r="G51" s="25">
        <f t="shared" si="3"/>
        <v>143.80000000000001</v>
      </c>
      <c r="H51" s="25">
        <f>VLOOKUP(B51,[1]!Table3[[Part Number]:[GQP CAD $]],5,0)</f>
        <v>54.64</v>
      </c>
      <c r="I51" s="26">
        <f t="shared" si="0"/>
        <v>54.64</v>
      </c>
    </row>
    <row r="52" spans="2:9" x14ac:dyDescent="0.25">
      <c r="B52" s="62" t="s">
        <v>125</v>
      </c>
      <c r="C52" s="22" t="str">
        <f>VLOOKUP(B52,[1]!Table3[[Part Number]:[Make and Model]],2,0)</f>
        <v xml:space="preserve">CAT D6 (RDC) CAT D6T (MH7) CAT 561N (CPH) CAT 561N (CPH) (2) CAT 561N (CPH) (3) CAT 561N (CPH) (4) CAT 561N (CPH) (5)                                </v>
      </c>
      <c r="D52" s="22" t="str">
        <f>VLOOKUP(B52,[1]!Table3[[Part Number]:[Part Description]],3,0)</f>
        <v>PRIMARY AIR FILTER ELEMENT</v>
      </c>
      <c r="E52" s="23">
        <f>VLOOKUP(B52,[1]!Table3[[Part Number]:[Q1 QTY]],7,0)</f>
        <v>7</v>
      </c>
      <c r="F52" s="24">
        <f>VLOOKUP(B52,[1]!Table3[[Part Number]:[OEM CAD $]],4,0)</f>
        <v>259.82</v>
      </c>
      <c r="G52" s="25">
        <f t="shared" si="3"/>
        <v>1818.74</v>
      </c>
      <c r="H52" s="25">
        <f>VLOOKUP(B52,[1]!Table3[[Part Number]:[GQP CAD $]],5,0)</f>
        <v>98.73</v>
      </c>
      <c r="I52" s="26">
        <f t="shared" si="0"/>
        <v>691.11</v>
      </c>
    </row>
    <row r="53" spans="2:9" x14ac:dyDescent="0.25">
      <c r="B53" s="62" t="s">
        <v>126</v>
      </c>
      <c r="C53" s="22" t="str">
        <f>VLOOKUP(B53,[1]!Table3[[Part Number]:[Make and Model]],2,0)</f>
        <v xml:space="preserve">CAT D5 (3CR) CAT D5 (3CR) (2) CAT 561M (1KW)                                        </v>
      </c>
      <c r="D53" s="22" t="str">
        <f>VLOOKUP(B53,[1]!Table3[[Part Number]:[Part Description]],3,0)</f>
        <v>PRIMARY AIR FILTER ELEMENT</v>
      </c>
      <c r="E53" s="23">
        <f>VLOOKUP(B53,[1]!Table3[[Part Number]:[Q1 QTY]],7,0)</f>
        <v>3</v>
      </c>
      <c r="F53" s="24">
        <f>VLOOKUP(B53,[1]!Table3[[Part Number]:[OEM CAD $]],4,0)</f>
        <v>110.04</v>
      </c>
      <c r="G53" s="25">
        <f t="shared" si="3"/>
        <v>330.12</v>
      </c>
      <c r="H53" s="25">
        <f>VLOOKUP(B53,[1]!Table3[[Part Number]:[GQP CAD $]],5,0)</f>
        <v>41.82</v>
      </c>
      <c r="I53" s="26">
        <f t="shared" si="0"/>
        <v>125.46</v>
      </c>
    </row>
    <row r="54" spans="2:9" x14ac:dyDescent="0.25">
      <c r="B54" s="62" t="s">
        <v>127</v>
      </c>
      <c r="C54" s="22" t="str">
        <f>VLOOKUP(B54,[1]!Table3[[Part Number]:[Make and Model]],2,0)</f>
        <v xml:space="preserve">CAT D5 (3CR) CAT D5 (3CR) (2) CAT 561M (1KW)                                        </v>
      </c>
      <c r="D54" s="22" t="str">
        <f>VLOOKUP(B54,[1]!Table3[[Part Number]:[Part Description]],3,0)</f>
        <v>SECONDARY AIR FILTER ELEMENT</v>
      </c>
      <c r="E54" s="23">
        <f>VLOOKUP(B54,[1]!Table3[[Part Number]:[Q1 QTY]],7,0)</f>
        <v>3</v>
      </c>
      <c r="F54" s="24">
        <f>VLOOKUP(B54,[1]!Table3[[Part Number]:[OEM CAD $]],4,0)</f>
        <v>81.73</v>
      </c>
      <c r="G54" s="25">
        <f t="shared" si="3"/>
        <v>245.19</v>
      </c>
      <c r="H54" s="25">
        <f>VLOOKUP(B54,[1]!Table3[[Part Number]:[GQP CAD $]],5,0)</f>
        <v>31.06</v>
      </c>
      <c r="I54" s="26">
        <f t="shared" si="0"/>
        <v>93.18</v>
      </c>
    </row>
    <row r="55" spans="2:9" x14ac:dyDescent="0.25">
      <c r="B55" s="62" t="s">
        <v>128</v>
      </c>
      <c r="C55" s="22" t="str">
        <f>VLOOKUP(B55,[1]!Table3[[Part Number]:[Make and Model]],2,0)</f>
        <v xml:space="preserve">CAT 329E L (ZCD) CAT 329F L (ERL) CAT 329F L (ERL) (2) CAT 330F L (MBX) CAT 330F L (HCK) CAT 330F L (HCK) (2)                                  </v>
      </c>
      <c r="D55" s="22" t="str">
        <f>VLOOKUP(B55,[1]!Table3[[Part Number]:[Part Description]],3,0)</f>
        <v>PRIMARY AIR FILTER ELEMENT</v>
      </c>
      <c r="E55" s="23">
        <f>VLOOKUP(B55,[1]!Table3[[Part Number]:[Q1 QTY]],7,0)</f>
        <v>6</v>
      </c>
      <c r="F55" s="24">
        <f>VLOOKUP(B55,[1]!Table3[[Part Number]:[OEM CAD $]],4,0)</f>
        <v>165.83</v>
      </c>
      <c r="G55" s="25">
        <f t="shared" si="3"/>
        <v>994.98</v>
      </c>
      <c r="H55" s="25">
        <f>VLOOKUP(B55,[1]!Table3[[Part Number]:[GQP CAD $]],5,0)</f>
        <v>63.02</v>
      </c>
      <c r="I55" s="26">
        <f t="shared" si="0"/>
        <v>378.12</v>
      </c>
    </row>
    <row r="56" spans="2:9" x14ac:dyDescent="0.25">
      <c r="B56" s="62" t="s">
        <v>129</v>
      </c>
      <c r="C56" s="22" t="str">
        <f>VLOOKUP(B56,[1]!Table3[[Part Number]:[Make and Model]],2,0)</f>
        <v xml:space="preserve">CAT 329E L (ZCD) CAT 329F L (ERL) CAT 329F L (ERL) (2) CAT 330F L (MBX) CAT 330F L (HCK) CAT 330F L (HCK) (2)                                  </v>
      </c>
      <c r="D56" s="22" t="str">
        <f>VLOOKUP(B56,[1]!Table3[[Part Number]:[Part Description]],3,0)</f>
        <v>SECONDARY AIR FILTER ELEMENT</v>
      </c>
      <c r="E56" s="23">
        <f>VLOOKUP(B56,[1]!Table3[[Part Number]:[Q1 QTY]],7,0)</f>
        <v>6</v>
      </c>
      <c r="F56" s="24">
        <f>VLOOKUP(B56,[1]!Table3[[Part Number]:[OEM CAD $]],4,0)</f>
        <v>117.3</v>
      </c>
      <c r="G56" s="25">
        <f t="shared" si="3"/>
        <v>703.8</v>
      </c>
      <c r="H56" s="25">
        <f>VLOOKUP(B56,[1]!Table3[[Part Number]:[GQP CAD $]],5,0)</f>
        <v>44.57</v>
      </c>
      <c r="I56" s="26">
        <f t="shared" si="0"/>
        <v>267.42</v>
      </c>
    </row>
    <row r="57" spans="2:9" x14ac:dyDescent="0.25">
      <c r="B57" s="62" t="s">
        <v>130</v>
      </c>
      <c r="C57" s="22" t="str">
        <f>VLOOKUP(B57,[1]!Table3[[Part Number]:[Make and Model]],2,0)</f>
        <v xml:space="preserve">CAT D7G (92V) CAT D7G (3ZD) CAT D7G (3ZD) (2)                                        </v>
      </c>
      <c r="D57" s="22" t="str">
        <f>VLOOKUP(B57,[1]!Table3[[Part Number]:[Part Description]],3,0)</f>
        <v>CABIN AIR FILTER ELEMENT</v>
      </c>
      <c r="E57" s="23">
        <f>VLOOKUP(B57,[1]!Table3[[Part Number]:[Q1 QTY]],7,0)</f>
        <v>3</v>
      </c>
      <c r="F57" s="24">
        <f>VLOOKUP(B57,[1]!Table3[[Part Number]:[OEM CAD $]],4,0)</f>
        <v>121.67</v>
      </c>
      <c r="G57" s="25">
        <f t="shared" si="3"/>
        <v>365.01</v>
      </c>
      <c r="H57" s="25">
        <f>VLOOKUP(B57,[1]!Table3[[Part Number]:[GQP CAD $]],5,0)</f>
        <v>46.23</v>
      </c>
      <c r="I57" s="26">
        <f t="shared" si="0"/>
        <v>138.69</v>
      </c>
    </row>
    <row r="58" spans="2:9" x14ac:dyDescent="0.25">
      <c r="B58" s="62" t="s">
        <v>131</v>
      </c>
      <c r="C58" s="22" t="str">
        <f>VLOOKUP(B58,[1]!Table3[[Part Number]:[Make and Model]],2,0)</f>
        <v xml:space="preserve">CAT D7G (92V) CAT D7G (3ZD) CAT D7G (3ZD) (2) CAT 561 (85H) CAT 561 (92J) CAT 561 (92J) (2)                                  </v>
      </c>
      <c r="D58" s="22" t="str">
        <f>VLOOKUP(B58,[1]!Table3[[Part Number]:[Part Description]],3,0)</f>
        <v>PRIMARY AIR FILTER ELEMENT</v>
      </c>
      <c r="E58" s="23">
        <f>VLOOKUP(B58,[1]!Table3[[Part Number]:[Q1 QTY]],7,0)</f>
        <v>6</v>
      </c>
      <c r="F58" s="24">
        <f>VLOOKUP(B58,[1]!Table3[[Part Number]:[OEM CAD $]],4,0)</f>
        <v>143.6</v>
      </c>
      <c r="G58" s="25">
        <f t="shared" si="3"/>
        <v>861.59999999999991</v>
      </c>
      <c r="H58" s="25">
        <f>VLOOKUP(B58,[1]!Table3[[Part Number]:[GQP CAD $]],5,0)</f>
        <v>54.57</v>
      </c>
      <c r="I58" s="26">
        <f t="shared" si="0"/>
        <v>327.42</v>
      </c>
    </row>
    <row r="59" spans="2:9" x14ac:dyDescent="0.25">
      <c r="B59" s="62" t="s">
        <v>132</v>
      </c>
      <c r="C59" s="22" t="str">
        <f>VLOOKUP(B59,[1]!Table3[[Part Number]:[Make and Model]],2,0)</f>
        <v xml:space="preserve">CAT D4 (66J)                                            </v>
      </c>
      <c r="D59" s="22" t="str">
        <f>VLOOKUP(B59,[1]!Table3[[Part Number]:[Part Description]],3,0)</f>
        <v>PRIMARY AIR FILTER ELEMENT</v>
      </c>
      <c r="E59" s="23">
        <f>VLOOKUP(B59,[1]!Table3[[Part Number]:[Q1 QTY]],7,0)</f>
        <v>1</v>
      </c>
      <c r="F59" s="24">
        <f>VLOOKUP(B59,[1]!Table3[[Part Number]:[OEM CAD $]],4,0)</f>
        <v>125.6</v>
      </c>
      <c r="G59" s="25">
        <f t="shared" si="3"/>
        <v>125.6</v>
      </c>
      <c r="H59" s="25">
        <f>VLOOKUP(B59,[1]!Table3[[Part Number]:[GQP CAD $]],5,0)</f>
        <v>47.73</v>
      </c>
      <c r="I59" s="26">
        <f t="shared" si="0"/>
        <v>47.73</v>
      </c>
    </row>
    <row r="60" spans="2:9" x14ac:dyDescent="0.25">
      <c r="B60" s="62" t="s">
        <v>133</v>
      </c>
      <c r="C60" s="22" t="str">
        <f>VLOOKUP(B60,[1]!Table3[[Part Number]:[Make and Model]],2,0)</f>
        <v xml:space="preserve">CAT D7G (92V) CAT D7G (3ZD) CAT D7G (3ZD) (2)                                        </v>
      </c>
      <c r="D60" s="22" t="str">
        <f>VLOOKUP(B60,[1]!Table3[[Part Number]:[Part Description]],3,0)</f>
        <v>SECONDARY AIR FILTER ELEMENT</v>
      </c>
      <c r="E60" s="23">
        <f>VLOOKUP(B60,[1]!Table3[[Part Number]:[Q1 QTY]],7,0)</f>
        <v>3</v>
      </c>
      <c r="F60" s="24">
        <f>VLOOKUP(B60,[1]!Table3[[Part Number]:[OEM CAD $]],4,0)</f>
        <v>115.44</v>
      </c>
      <c r="G60" s="25">
        <f t="shared" si="3"/>
        <v>346.32</v>
      </c>
      <c r="H60" s="25">
        <f>VLOOKUP(B60,[1]!Table3[[Part Number]:[GQP CAD $]],5,0)</f>
        <v>43.87</v>
      </c>
      <c r="I60" s="26">
        <f t="shared" si="0"/>
        <v>131.61000000000001</v>
      </c>
    </row>
    <row r="61" spans="2:9" x14ac:dyDescent="0.25">
      <c r="B61" s="62">
        <v>6692337</v>
      </c>
      <c r="C61" s="22" t="str">
        <f>VLOOKUP(B61,[1]!Table3[[Part Number]:[Make and Model]],2,0)</f>
        <v xml:space="preserve">BOBCAT T750 (ATF) BOBCAT S650 (A3N)                                          </v>
      </c>
      <c r="D61" s="22" t="str">
        <f>VLOOKUP(B61,[1]!Table3[[Part Number]:[Part Description]],3,0)</f>
        <v>HYDRAULIC OIL FILTER ELEMENT</v>
      </c>
      <c r="E61" s="23">
        <f>VLOOKUP(B61,[1]!Table3[[Part Number]:[Q1 QTY]],7,0)</f>
        <v>2</v>
      </c>
      <c r="F61" s="24">
        <f>VLOOKUP(B61,[1]!Table3[[Part Number]:[OEM CAD $]],4,0)</f>
        <v>93.99</v>
      </c>
      <c r="G61" s="25">
        <f t="shared" si="3"/>
        <v>187.98</v>
      </c>
      <c r="H61" s="25">
        <f>VLOOKUP(B61,[1]!Table3[[Part Number]:[GQP CAD $]],5,0)</f>
        <v>35.72</v>
      </c>
      <c r="I61" s="26">
        <f t="shared" si="0"/>
        <v>71.44</v>
      </c>
    </row>
    <row r="62" spans="2:9" x14ac:dyDescent="0.25">
      <c r="B62" s="62">
        <v>7012314</v>
      </c>
      <c r="C62" s="22" t="str">
        <f>VLOOKUP(B62,[1]!Table3[[Part Number]:[Make and Model]],2,0)</f>
        <v xml:space="preserve">BOBCAT T750 (ANK)                                            </v>
      </c>
      <c r="D62" s="22" t="str">
        <f>VLOOKUP(B62,[1]!Table3[[Part Number]:[Part Description]],3,0)</f>
        <v>HYDRAULIC OIL FILTER ELEMENT</v>
      </c>
      <c r="E62" s="23">
        <f>VLOOKUP(B62,[1]!Table3[[Part Number]:[Q1 QTY]],7,0)</f>
        <v>1</v>
      </c>
      <c r="F62" s="24">
        <f>VLOOKUP(B62,[1]!Table3[[Part Number]:[OEM CAD $]],4,0)</f>
        <v>138.99</v>
      </c>
      <c r="G62" s="25">
        <f t="shared" si="3"/>
        <v>138.99</v>
      </c>
      <c r="H62" s="25">
        <f>VLOOKUP(B62,[1]!Table3[[Part Number]:[GQP CAD $]],5,0)</f>
        <v>52.82</v>
      </c>
      <c r="I62" s="26">
        <f t="shared" si="0"/>
        <v>52.82</v>
      </c>
    </row>
    <row r="63" spans="2:9" x14ac:dyDescent="0.25">
      <c r="B63" s="62">
        <v>7414582</v>
      </c>
      <c r="C63" s="22" t="str">
        <f>VLOOKUP(B63,[1]!Table3[[Part Number]:[Make and Model]],2,0)</f>
        <v xml:space="preserve">BOBCAT T770 (AT6) BOBCAT T770 (AT6) (2)                                          </v>
      </c>
      <c r="D63" s="22" t="str">
        <f>VLOOKUP(B63,[1]!Table3[[Part Number]:[Part Description]],3,0)</f>
        <v>HYDRAULIC OIL FILTER ELEMENT</v>
      </c>
      <c r="E63" s="23">
        <f>VLOOKUP(B63,[1]!Table3[[Part Number]:[Q1 QTY]],7,0)</f>
        <v>2</v>
      </c>
      <c r="F63" s="24">
        <f>VLOOKUP(B63,[1]!Table3[[Part Number]:[OEM CAD $]],4,0)</f>
        <v>117.99</v>
      </c>
      <c r="G63" s="25">
        <f t="shared" si="3"/>
        <v>235.98</v>
      </c>
      <c r="H63" s="25">
        <f>VLOOKUP(B63,[1]!Table3[[Part Number]:[GQP CAD $]],5,0)</f>
        <v>44.84</v>
      </c>
      <c r="I63" s="26">
        <f t="shared" si="0"/>
        <v>89.68</v>
      </c>
    </row>
    <row r="64" spans="2:9" x14ac:dyDescent="0.25">
      <c r="B64" s="62" t="s">
        <v>134</v>
      </c>
      <c r="C64" s="22" t="str">
        <f>VLOOKUP(B64,[1]!Table3[[Part Number]:[Make and Model]],2,0)</f>
        <v xml:space="preserve">CAT 320F L (YBM) CAT 336F L (RKB)                                          </v>
      </c>
      <c r="D64" s="22" t="str">
        <f>VLOOKUP(B64,[1]!Table3[[Part Number]:[Part Description]],3,0)</f>
        <v>HYDRAULIC OIL FILTER</v>
      </c>
      <c r="E64" s="23">
        <f>VLOOKUP(B64,[1]!Table3[[Part Number]:[Q1 QTY]],7,0)</f>
        <v>2</v>
      </c>
      <c r="F64" s="24">
        <f>VLOOKUP(B64,[1]!Table3[[Part Number]:[OEM CAD $]],4,0)</f>
        <v>102.09</v>
      </c>
      <c r="G64" s="25">
        <f t="shared" si="3"/>
        <v>204.18</v>
      </c>
      <c r="H64" s="25">
        <f>VLOOKUP(B64,[1]!Table3[[Part Number]:[GQP CAD $]],5,0)</f>
        <v>38.79</v>
      </c>
      <c r="I64" s="26">
        <f t="shared" si="0"/>
        <v>77.58</v>
      </c>
    </row>
    <row r="65" spans="2:9" x14ac:dyDescent="0.25">
      <c r="B65" s="62" t="s">
        <v>135</v>
      </c>
      <c r="C65" s="22" t="str">
        <f>VLOOKUP(B65,[1]!Table3[[Part Number]:[Make and Model]],2,0)</f>
        <v xml:space="preserve">CAT D4 (66J)                                            </v>
      </c>
      <c r="D65" s="22" t="str">
        <f>VLOOKUP(B65,[1]!Table3[[Part Number]:[Part Description]],3,0)</f>
        <v>HYDRAULIC OIL FILTER</v>
      </c>
      <c r="E65" s="23">
        <f>VLOOKUP(B65,[1]!Table3[[Part Number]:[Q1 QTY]],7,0)</f>
        <v>1</v>
      </c>
      <c r="F65" s="24">
        <f>VLOOKUP(B65,[1]!Table3[[Part Number]:[OEM CAD $]],4,0)</f>
        <v>703.78</v>
      </c>
      <c r="G65" s="25">
        <f t="shared" si="3"/>
        <v>703.78</v>
      </c>
      <c r="H65" s="25">
        <f>VLOOKUP(B65,[1]!Table3[[Part Number]:[GQP CAD $]],5,0)</f>
        <v>267.44</v>
      </c>
      <c r="I65" s="26">
        <f t="shared" si="0"/>
        <v>267.44</v>
      </c>
    </row>
    <row r="66" spans="2:9" x14ac:dyDescent="0.25">
      <c r="B66" s="62" t="s">
        <v>136</v>
      </c>
      <c r="C66" s="22" t="str">
        <f>VLOOKUP(B66,[1]!Table3[[Part Number]:[Make and Model]],2,0)</f>
        <v xml:space="preserve">CAT 320E L (WBK) CAT 320E L (WBK) (2) CAT 320F L (YBM) CAT 329E L (ZCD) CAT 329F L (ERL) CAT 329F L (ERL) (2) CAT 330F L (MBX) CAT 330F L (HCK) CAT 330F L (HCK) (2) CAT 336F L (RKB)                          </v>
      </c>
      <c r="D66" s="22" t="str">
        <f>VLOOKUP(B66,[1]!Table3[[Part Number]:[Part Description]],3,0)</f>
        <v xml:space="preserve">HYDRAULIC OIL FILTER ELEMENT </v>
      </c>
      <c r="E66" s="23">
        <f>VLOOKUP(B66,[1]!Table3[[Part Number]:[Q1 QTY]],7,0)</f>
        <v>12</v>
      </c>
      <c r="F66" s="24">
        <f>VLOOKUP(B66,[1]!Table3[[Part Number]:[OEM CAD $]],4,0)</f>
        <v>229</v>
      </c>
      <c r="G66" s="25">
        <f t="shared" si="3"/>
        <v>2748</v>
      </c>
      <c r="H66" s="25">
        <f>VLOOKUP(B66,[1]!Table3[[Part Number]:[GQP CAD $]],5,0)</f>
        <v>87.02</v>
      </c>
      <c r="I66" s="26">
        <f t="shared" si="0"/>
        <v>1044.24</v>
      </c>
    </row>
    <row r="67" spans="2:9" x14ac:dyDescent="0.25">
      <c r="B67" s="62" t="s">
        <v>38</v>
      </c>
      <c r="C67" s="22" t="str">
        <f>VLOOKUP(B67,[1]!Table3[[Part Number]:[Make and Model]],2,0)</f>
        <v xml:space="preserve">CAT PL61 (WGS) CAT PL61 (WGS) (2) CAT PL61 (WGS) (3)                                        </v>
      </c>
      <c r="D67" s="22" t="str">
        <f>VLOOKUP(B67,[1]!Table3[[Part Number]:[Part Description]],3,0)</f>
        <v>HYDRAULIC OIL FILTER ELEMENT</v>
      </c>
      <c r="E67" s="23">
        <f>VLOOKUP(B67,[1]!Table3[[Part Number]:[Q1 QTY]],7,0)</f>
        <v>3</v>
      </c>
      <c r="F67" s="24">
        <f>VLOOKUP(B67,[1]!Table3[[Part Number]:[OEM CAD $]],4,0)</f>
        <v>150.47</v>
      </c>
      <c r="G67" s="25">
        <f t="shared" si="3"/>
        <v>451.40999999999997</v>
      </c>
      <c r="H67" s="25">
        <f>VLOOKUP(B67,[1]!Table3[[Part Number]:[GQP CAD $]],5,0)</f>
        <v>57.18</v>
      </c>
      <c r="I67" s="26">
        <f t="shared" si="0"/>
        <v>171.54</v>
      </c>
    </row>
    <row r="68" spans="2:9" x14ac:dyDescent="0.25">
      <c r="B68" s="62" t="s">
        <v>137</v>
      </c>
      <c r="C68" s="22" t="str">
        <f>VLOOKUP(B68,[1]!Table3[[Part Number]:[Make and Model]],2,0)</f>
        <v xml:space="preserve">CAT D3 (1PJ) CAT D5 (3CR) CAT D5 (3CR) (2)                                        </v>
      </c>
      <c r="D68" s="22" t="str">
        <f>VLOOKUP(B68,[1]!Table3[[Part Number]:[Part Description]],3,0)</f>
        <v>HYDRAULIC OIL FILTER</v>
      </c>
      <c r="E68" s="23">
        <f>VLOOKUP(B68,[1]!Table3[[Part Number]:[Q1 QTY]],7,0)</f>
        <v>3</v>
      </c>
      <c r="F68" s="24">
        <f>VLOOKUP(B68,[1]!Table3[[Part Number]:[OEM CAD $]],4,0)</f>
        <v>38.32</v>
      </c>
      <c r="G68" s="25">
        <f t="shared" si="3"/>
        <v>114.96000000000001</v>
      </c>
      <c r="H68" s="25">
        <f>VLOOKUP(B68,[1]!Table3[[Part Number]:[GQP CAD $]],5,0)</f>
        <v>14.56</v>
      </c>
      <c r="I68" s="26">
        <f t="shared" si="0"/>
        <v>43.68</v>
      </c>
    </row>
    <row r="69" spans="2:9" x14ac:dyDescent="0.25">
      <c r="B69" s="62" t="s">
        <v>138</v>
      </c>
      <c r="C69" s="22" t="str">
        <f>VLOOKUP(B69,[1]!Table3[[Part Number]:[Make and Model]],2,0)</f>
        <v xml:space="preserve">CAT D3 (1PJ)                                            </v>
      </c>
      <c r="D69" s="22" t="str">
        <f>VLOOKUP(B69,[1]!Table3[[Part Number]:[Part Description]],3,0)</f>
        <v xml:space="preserve">HYDRAULIC/TRANSMISSION OIL FILTER </v>
      </c>
      <c r="E69" s="23">
        <f>VLOOKUP(B69,[1]!Table3[[Part Number]:[Q1 QTY]],7,0)</f>
        <v>1</v>
      </c>
      <c r="F69" s="24">
        <f>VLOOKUP(B69,[1]!Table3[[Part Number]:[OEM CAD $]],4,0)</f>
        <v>47.44</v>
      </c>
      <c r="G69" s="25">
        <f t="shared" si="3"/>
        <v>47.44</v>
      </c>
      <c r="H69" s="25">
        <f>VLOOKUP(B69,[1]!Table3[[Part Number]:[GQP CAD $]],5,0)</f>
        <v>18.03</v>
      </c>
      <c r="I69" s="26">
        <f t="shared" si="0"/>
        <v>18.03</v>
      </c>
    </row>
    <row r="70" spans="2:9" x14ac:dyDescent="0.25">
      <c r="B70" s="62" t="s">
        <v>139</v>
      </c>
      <c r="C70" s="22" t="str">
        <f>VLOOKUP(B70,[1]!Table3[[Part Number]:[Make and Model]],2,0)</f>
        <v xml:space="preserve">CAT D4 (66J)                                            </v>
      </c>
      <c r="D70" s="22" t="str">
        <f>VLOOKUP(B70,[1]!Table3[[Part Number]:[Part Description]],3,0)</f>
        <v xml:space="preserve">HYDRAULIC OIL FILTER ELEMENT </v>
      </c>
      <c r="E70" s="23">
        <f>VLOOKUP(B70,[1]!Table3[[Part Number]:[Q1 QTY]],7,0)</f>
        <v>1</v>
      </c>
      <c r="F70" s="24">
        <f>VLOOKUP(B70,[1]!Table3[[Part Number]:[OEM CAD $]],4,0)</f>
        <v>93.49</v>
      </c>
      <c r="G70" s="25">
        <f t="shared" si="3"/>
        <v>93.49</v>
      </c>
      <c r="H70" s="25">
        <f>VLOOKUP(B70,[1]!Table3[[Part Number]:[GQP CAD $]],5,0)</f>
        <v>35.53</v>
      </c>
      <c r="I70" s="26">
        <f t="shared" si="0"/>
        <v>35.53</v>
      </c>
    </row>
    <row r="71" spans="2:9" x14ac:dyDescent="0.25">
      <c r="B71" s="62" t="s">
        <v>140</v>
      </c>
      <c r="C71" s="22" t="str">
        <f>VLOOKUP(B71,[1]!Table3[[Part Number]:[Make and Model]],2,0)</f>
        <v xml:space="preserve">CAT 303.5E                                            </v>
      </c>
      <c r="D71" s="22" t="str">
        <f>VLOOKUP(B71,[1]!Table3[[Part Number]:[Part Description]],3,0)</f>
        <v>HYDRAULIC OIL FILTER</v>
      </c>
      <c r="E71" s="23">
        <f>VLOOKUP(B71,[1]!Table3[[Part Number]:[Q1 QTY]],7,0)</f>
        <v>1</v>
      </c>
      <c r="F71" s="24">
        <f>VLOOKUP(B71,[1]!Table3[[Part Number]:[OEM CAD $]],4,0)</f>
        <v>130.47</v>
      </c>
      <c r="G71" s="25">
        <f t="shared" si="3"/>
        <v>130.47</v>
      </c>
      <c r="H71" s="25">
        <f>VLOOKUP(B71,[1]!Table3[[Part Number]:[GQP CAD $]],5,0)</f>
        <v>49.58</v>
      </c>
      <c r="I71" s="26">
        <f t="shared" si="0"/>
        <v>49.58</v>
      </c>
    </row>
    <row r="72" spans="2:9" x14ac:dyDescent="0.25">
      <c r="B72" s="62" t="s">
        <v>40</v>
      </c>
      <c r="C72" s="22" t="str">
        <f>VLOOKUP(B72,[1]!Table3[[Part Number]:[Make and Model]],2,0)</f>
        <v xml:space="preserve">CAT D6N LGP (GHS)                                            </v>
      </c>
      <c r="D72" s="22" t="str">
        <f>VLOOKUP(B72,[1]!Table3[[Part Number]:[Part Description]],3,0)</f>
        <v xml:space="preserve">HYDRAULIC OIL FILTER ELEMENT </v>
      </c>
      <c r="E72" s="23">
        <f>VLOOKUP(B72,[1]!Table3[[Part Number]:[Q1 QTY]],7,0)</f>
        <v>1</v>
      </c>
      <c r="F72" s="24">
        <f>VLOOKUP(B72,[1]!Table3[[Part Number]:[OEM CAD $]],4,0)</f>
        <v>204.36</v>
      </c>
      <c r="G72" s="25">
        <f t="shared" si="3"/>
        <v>204.36</v>
      </c>
      <c r="H72" s="25">
        <f>VLOOKUP(B72,[1]!Table3[[Part Number]:[GQP CAD $]],5,0)</f>
        <v>77.66</v>
      </c>
      <c r="I72" s="26">
        <f t="shared" si="0"/>
        <v>77.66</v>
      </c>
    </row>
    <row r="73" spans="2:9" x14ac:dyDescent="0.25">
      <c r="B73" s="62" t="s">
        <v>141</v>
      </c>
      <c r="C73" s="22" t="str">
        <f>VLOOKUP(B73,[1]!Table3[[Part Number]:[Make and Model]],2,0)</f>
        <v xml:space="preserve">CAT 303.5E                                            </v>
      </c>
      <c r="D73" s="22" t="str">
        <f>VLOOKUP(B73,[1]!Table3[[Part Number]:[Part Description]],3,0)</f>
        <v>HYDRAULIC PUMP</v>
      </c>
      <c r="E73" s="23">
        <f>VLOOKUP(B73,[1]!Table3[[Part Number]:[Q1 QTY]],7,0)</f>
        <v>1</v>
      </c>
      <c r="F73" s="24">
        <f>VLOOKUP(B73,[1]!Table3[[Part Number]:[OEM CAD $]],4,0)</f>
        <v>7622.73</v>
      </c>
      <c r="G73" s="25">
        <f t="shared" si="3"/>
        <v>7622.73</v>
      </c>
      <c r="H73" s="25">
        <f>VLOOKUP(B73,[1]!Table3[[Part Number]:[GQP CAD $]],5,0)</f>
        <v>3811.37</v>
      </c>
      <c r="I73" s="26">
        <f t="shared" si="0"/>
        <v>3811.37</v>
      </c>
    </row>
    <row r="74" spans="2:9" x14ac:dyDescent="0.25">
      <c r="B74" s="62" t="s">
        <v>142</v>
      </c>
      <c r="C74" s="22" t="str">
        <f>VLOOKUP(B74,[1]!Table3[[Part Number]:[Make and Model]],2,0)</f>
        <v xml:space="preserve">CAT 299D (DX2)                                            </v>
      </c>
      <c r="D74" s="22" t="str">
        <f>VLOOKUP(B74,[1]!Table3[[Part Number]:[Part Description]],3,0)</f>
        <v>HYDRAULIC OIL FILTER ELEMENT</v>
      </c>
      <c r="E74" s="23">
        <f>VLOOKUP(B74,[1]!Table3[[Part Number]:[Q1 QTY]],7,0)</f>
        <v>1</v>
      </c>
      <c r="F74" s="24">
        <f>VLOOKUP(B74,[1]!Table3[[Part Number]:[OEM CAD $]],4,0)</f>
        <v>72.069999999999993</v>
      </c>
      <c r="G74" s="25">
        <f t="shared" si="3"/>
        <v>72.069999999999993</v>
      </c>
      <c r="H74" s="25">
        <f>VLOOKUP(B74,[1]!Table3[[Part Number]:[GQP CAD $]],5,0)</f>
        <v>27.39</v>
      </c>
      <c r="I74" s="26">
        <f t="shared" si="0"/>
        <v>27.39</v>
      </c>
    </row>
    <row r="75" spans="2:9" x14ac:dyDescent="0.25">
      <c r="B75" s="62" t="s">
        <v>143</v>
      </c>
      <c r="C75" s="22" t="str">
        <f>VLOOKUP(B75,[1]!Table3[[Part Number]:[Make and Model]],2,0)</f>
        <v xml:space="preserve">CAT 330 (LHW) CAT 330 (LHW) (2) CAT 330 (LHW) (3) CAT 330 (LHW) (4)                                      </v>
      </c>
      <c r="D75" s="22" t="str">
        <f>VLOOKUP(B75,[1]!Table3[[Part Number]:[Part Description]],3,0)</f>
        <v>HYDRAULIC OIL FILTER</v>
      </c>
      <c r="E75" s="23">
        <f>VLOOKUP(B75,[1]!Table3[[Part Number]:[Q1 QTY]],7,0)</f>
        <v>4</v>
      </c>
      <c r="F75" s="24">
        <f>VLOOKUP(B75,[1]!Table3[[Part Number]:[OEM CAD $]],4,0)</f>
        <v>159.19999999999999</v>
      </c>
      <c r="G75" s="25">
        <f t="shared" si="3"/>
        <v>636.79999999999995</v>
      </c>
      <c r="H75" s="25">
        <f>VLOOKUP(B75,[1]!Table3[[Part Number]:[GQP CAD $]],5,0)</f>
        <v>60.5</v>
      </c>
      <c r="I75" s="26">
        <f t="shared" si="0"/>
        <v>242</v>
      </c>
    </row>
    <row r="76" spans="2:9" x14ac:dyDescent="0.25">
      <c r="B76" s="62" t="s">
        <v>144</v>
      </c>
      <c r="C76" s="22" t="str">
        <f>VLOOKUP(B76,[1]!Table3[[Part Number]:[Make and Model]],2,0)</f>
        <v xml:space="preserve">CAT D7G (92V) CAT D7G (3ZD) CAT D7G (3ZD) (2)                                        </v>
      </c>
      <c r="D76" s="22" t="str">
        <f>VLOOKUP(B76,[1]!Table3[[Part Number]:[Part Description]],3,0)</f>
        <v>HYDRAULIC OIL FILTER ELEMENT</v>
      </c>
      <c r="E76" s="23">
        <f>VLOOKUP(B76,[1]!Table3[[Part Number]:[Q1 QTY]],7,0)</f>
        <v>3</v>
      </c>
      <c r="F76" s="24">
        <f>VLOOKUP(B76,[1]!Table3[[Part Number]:[OEM CAD $]],4,0)</f>
        <v>131.11000000000001</v>
      </c>
      <c r="G76" s="25">
        <f t="shared" si="3"/>
        <v>393.33000000000004</v>
      </c>
      <c r="H76" s="25">
        <f>VLOOKUP(B76,[1]!Table3[[Part Number]:[GQP CAD $]],5,0)</f>
        <v>49.82</v>
      </c>
      <c r="I76" s="26">
        <f t="shared" si="0"/>
        <v>149.46</v>
      </c>
    </row>
    <row r="77" spans="2:9" x14ac:dyDescent="0.25">
      <c r="B77" s="62" t="s">
        <v>145</v>
      </c>
      <c r="C77" s="22" t="str">
        <f>VLOOKUP(B77,[1]!Table3[[Part Number]:[Make and Model]],2,0)</f>
        <v xml:space="preserve">CAT D6 (RDC) CAT D6N LGP (PBA) CAT D6N LGP (PBA) (2) CAT D6N LGP (SGG) CAT D6N LGP (SGG) (2) CAT D6T (MH7) CAT 561N (CPH) CAT 561N (CPH) (2) CAT 561N (CPH) (3) CAT 561N (CPH) (4) CAT 561N (CPH) (5)                        </v>
      </c>
      <c r="D77" s="22" t="str">
        <f>VLOOKUP(B77,[1]!Table3[[Part Number]:[Part Description]],3,0)</f>
        <v>HYDRAULIC OIL FILTER ELEMENT</v>
      </c>
      <c r="E77" s="23">
        <f>VLOOKUP(B77,[1]!Table3[[Part Number]:[Q1 QTY]],7,0)</f>
        <v>11</v>
      </c>
      <c r="F77" s="24">
        <f>VLOOKUP(B77,[1]!Table3[[Part Number]:[OEM CAD $]],4,0)</f>
        <v>171.55</v>
      </c>
      <c r="G77" s="25">
        <f t="shared" si="3"/>
        <v>1887.0500000000002</v>
      </c>
      <c r="H77" s="25">
        <f>VLOOKUP(B77,[1]!Table3[[Part Number]:[GQP CAD $]],5,0)</f>
        <v>65.19</v>
      </c>
      <c r="I77" s="26">
        <f t="shared" si="0"/>
        <v>717.09</v>
      </c>
    </row>
    <row r="78" spans="2:9" x14ac:dyDescent="0.25">
      <c r="B78" s="62" t="s">
        <v>146</v>
      </c>
      <c r="C78" s="22" t="str">
        <f>VLOOKUP(B78,[1]!Table3[[Part Number]:[Make and Model]],2,0)</f>
        <v xml:space="preserve">CAT 320 (HEX) CAT 320 (MYK) CAT 320 (MYK) (2) CAT 330 (LHW) CAT 330 (LHW) (2) CAT 330 (LHW) (3) CAT 330 (LHW) (4) CAT 330 (WCH) CAT 330 (WCH) (2) CAT 330 (WCH) (3) CAT 330 (WCH) (4) CAT 330 (WCH) (5) CAT 330 (WCH) (6)                    </v>
      </c>
      <c r="D78" s="22" t="str">
        <f>VLOOKUP(B78,[1]!Table3[[Part Number]:[Part Description]],3,0)</f>
        <v>HYDRAULIC OIL FILTER ELEMENT</v>
      </c>
      <c r="E78" s="23">
        <f>VLOOKUP(B78,[1]!Table3[[Part Number]:[Q1 QTY]],7,0)</f>
        <v>13</v>
      </c>
      <c r="F78" s="24">
        <f>VLOOKUP(B78,[1]!Table3[[Part Number]:[OEM CAD $]],4,0)</f>
        <v>283.86</v>
      </c>
      <c r="G78" s="25">
        <f t="shared" si="3"/>
        <v>3690.1800000000003</v>
      </c>
      <c r="H78" s="25">
        <f>VLOOKUP(B78,[1]!Table3[[Part Number]:[GQP CAD $]],5,0)</f>
        <v>107.87</v>
      </c>
      <c r="I78" s="26">
        <f t="shared" si="0"/>
        <v>1402.31</v>
      </c>
    </row>
    <row r="79" spans="2:9" x14ac:dyDescent="0.25">
      <c r="B79" s="62" t="s">
        <v>147</v>
      </c>
      <c r="C79" s="22" t="str">
        <f>VLOOKUP(B79,[1]!Table3[[Part Number]:[Make and Model]],2,0)</f>
        <v xml:space="preserve">CAT 320F L (YBM) CAT 329E L (ZCD)                                          </v>
      </c>
      <c r="D79" s="22" t="str">
        <f>VLOOKUP(B79,[1]!Table3[[Part Number]:[Part Description]],3,0)</f>
        <v>HYDRAULIC OIL FILTER</v>
      </c>
      <c r="E79" s="23">
        <f>VLOOKUP(B79,[1]!Table3[[Part Number]:[Q1 QTY]],7,0)</f>
        <v>2</v>
      </c>
      <c r="F79" s="24">
        <f>VLOOKUP(B79,[1]!Table3[[Part Number]:[OEM CAD $]],4,0)</f>
        <v>106.56</v>
      </c>
      <c r="G79" s="25">
        <f t="shared" si="3"/>
        <v>213.12</v>
      </c>
      <c r="H79" s="25">
        <f>VLOOKUP(B79,[1]!Table3[[Part Number]:[GQP CAD $]],5,0)</f>
        <v>40.49</v>
      </c>
      <c r="I79" s="26">
        <f t="shared" si="0"/>
        <v>80.98</v>
      </c>
    </row>
    <row r="80" spans="2:9" x14ac:dyDescent="0.25">
      <c r="B80" s="62" t="s">
        <v>148</v>
      </c>
      <c r="C80" s="22" t="str">
        <f>VLOOKUP(B80,[1]!Table3[[Part Number]:[Make and Model]],2,0)</f>
        <v xml:space="preserve">CAT D6N LGP (GHS) CAT D6N LGP (PBA) CAT D6N LGP (PBA) (2) CAT D6N LGP (SGG) CAT D6N LGP (SGG) (2)                                    </v>
      </c>
      <c r="D80" s="22" t="str">
        <f>VLOOKUP(B80,[1]!Table3[[Part Number]:[Part Description]],3,0)</f>
        <v>HYDRAULIC OIL FILTER</v>
      </c>
      <c r="E80" s="23">
        <f>VLOOKUP(B80,[1]!Table3[[Part Number]:[Q1 QTY]],7,0)</f>
        <v>5</v>
      </c>
      <c r="F80" s="24">
        <f>VLOOKUP(B80,[1]!Table3[[Part Number]:[OEM CAD $]],4,0)</f>
        <v>123.35</v>
      </c>
      <c r="G80" s="25">
        <f t="shared" si="3"/>
        <v>616.75</v>
      </c>
      <c r="H80" s="25">
        <f>VLOOKUP(B80,[1]!Table3[[Part Number]:[GQP CAD $]],5,0)</f>
        <v>46.87</v>
      </c>
      <c r="I80" s="26">
        <f t="shared" si="0"/>
        <v>234.35</v>
      </c>
    </row>
    <row r="81" spans="2:9" x14ac:dyDescent="0.25">
      <c r="B81" s="62">
        <v>6667352</v>
      </c>
      <c r="C81" s="22" t="str">
        <f>VLOOKUP(B81,[1]!Table3[[Part Number]:[Make and Model]],2,0)</f>
        <v xml:space="preserve">BOBCAT T750 (ANK) BOBCAT S650 (A3N)                                          </v>
      </c>
      <c r="D81" s="22" t="str">
        <f>VLOOKUP(B81,[1]!Table3[[Part Number]:[Part Description]],3,0)</f>
        <v>FUEL WATER SEPARATOR FILTER</v>
      </c>
      <c r="E81" s="23">
        <f>VLOOKUP(B81,[1]!Table3[[Part Number]:[Q1 QTY]],7,0)</f>
        <v>4</v>
      </c>
      <c r="F81" s="24">
        <f>VLOOKUP(B81,[1]!Table3[[Part Number]:[OEM CAD $]],4,0)</f>
        <v>34.04</v>
      </c>
      <c r="G81" s="25">
        <f t="shared" si="3"/>
        <v>136.16</v>
      </c>
      <c r="H81" s="25">
        <f>VLOOKUP(B81,[1]!Table3[[Part Number]:[GQP CAD $]],5,0)</f>
        <v>12.94</v>
      </c>
      <c r="I81" s="26">
        <f t="shared" si="0"/>
        <v>51.76</v>
      </c>
    </row>
    <row r="82" spans="2:9" x14ac:dyDescent="0.25">
      <c r="B82" s="62">
        <v>6678233</v>
      </c>
      <c r="C82" s="22" t="str">
        <f>VLOOKUP(B82,[1]!Table3[[Part Number]:[Make and Model]],2,0)</f>
        <v xml:space="preserve">BOBCAT T750 (ANK) BOBCAT T750 (ATF) BOBCAT S650 (A3N) BOBCAT T770 (AT6) BOBCAT T770 (AT6) (2)                                    </v>
      </c>
      <c r="D82" s="22" t="str">
        <f>VLOOKUP(B82,[1]!Table3[[Part Number]:[Part Description]],3,0)</f>
        <v>ENGINE OIL FILTER</v>
      </c>
      <c r="E82" s="23">
        <f>VLOOKUP(B82,[1]!Table3[[Part Number]:[Q1 QTY]],7,0)</f>
        <v>10</v>
      </c>
      <c r="F82" s="24">
        <f>VLOOKUP(B82,[1]!Table3[[Part Number]:[OEM CAD $]],4,0)</f>
        <v>20.14</v>
      </c>
      <c r="G82" s="25">
        <f t="shared" si="3"/>
        <v>201.4</v>
      </c>
      <c r="H82" s="25">
        <f>VLOOKUP(B82,[1]!Table3[[Part Number]:[GQP CAD $]],5,0)</f>
        <v>7.65</v>
      </c>
      <c r="I82" s="26">
        <f t="shared" si="0"/>
        <v>76.5</v>
      </c>
    </row>
    <row r="83" spans="2:9" x14ac:dyDescent="0.25">
      <c r="B83" s="62">
        <v>7400454</v>
      </c>
      <c r="C83" s="22" t="str">
        <f>VLOOKUP(B83,[1]!Table3[[Part Number]:[Make and Model]],2,0)</f>
        <v xml:space="preserve">BOBCAT T750 (ATF)                                            </v>
      </c>
      <c r="D83" s="22" t="str">
        <f>VLOOKUP(B83,[1]!Table3[[Part Number]:[Part Description]],3,0)</f>
        <v>FUEL WATER SEPARATOR FILTER</v>
      </c>
      <c r="E83" s="23">
        <f>VLOOKUP(B83,[1]!Table3[[Part Number]:[Q1 QTY]],7,0)</f>
        <v>2</v>
      </c>
      <c r="F83" s="24">
        <f>VLOOKUP(B83,[1]!Table3[[Part Number]:[OEM CAD $]],4,0)</f>
        <v>135.49</v>
      </c>
      <c r="G83" s="25">
        <f t="shared" si="3"/>
        <v>270.98</v>
      </c>
      <c r="H83" s="25">
        <f>VLOOKUP(B83,[1]!Table3[[Part Number]:[GQP CAD $]],5,0)</f>
        <v>51.49</v>
      </c>
      <c r="I83" s="26">
        <f t="shared" si="0"/>
        <v>102.98</v>
      </c>
    </row>
    <row r="84" spans="2:9" x14ac:dyDescent="0.25">
      <c r="B84" s="62">
        <v>46825328</v>
      </c>
      <c r="C84" s="22" t="str">
        <f>VLOOKUP(B84,[1]!Table3[[Part Number]:[Make and Model]],2,0)</f>
        <v xml:space="preserve">BOBCAT T770 (AT6) BOBCAT T770 (AT6) (2)                                          </v>
      </c>
      <c r="D84" s="22" t="str">
        <f>VLOOKUP(B84,[1]!Table3[[Part Number]:[Part Description]],3,0)</f>
        <v>FUEL WATER SEPARATOR FILTER</v>
      </c>
      <c r="E84" s="23">
        <f>VLOOKUP(B84,[1]!Table3[[Part Number]:[Q1 QTY]],7,0)</f>
        <v>4</v>
      </c>
      <c r="F84" s="24">
        <f>VLOOKUP(B84,[1]!Table3[[Part Number]:[OEM CAD $]],4,0)</f>
        <v>150.49</v>
      </c>
      <c r="G84" s="25">
        <f t="shared" si="3"/>
        <v>601.96</v>
      </c>
      <c r="H84" s="25">
        <f>VLOOKUP(B84,[1]!Table3[[Part Number]:[GQP CAD $]],5,0)</f>
        <v>57.19</v>
      </c>
      <c r="I84" s="26">
        <f t="shared" si="0"/>
        <v>228.76</v>
      </c>
    </row>
    <row r="85" spans="2:9" x14ac:dyDescent="0.25">
      <c r="B85" s="62" t="s">
        <v>149</v>
      </c>
      <c r="C85" s="22" t="str">
        <f>VLOOKUP(B85,[1]!Table3[[Part Number]:[Make and Model]],2,0)</f>
        <v xml:space="preserve">CAT D5 (3CR) CAT D5 (3CR) (2) CAT 561M (1KW)                                        </v>
      </c>
      <c r="D85" s="22" t="str">
        <f>VLOOKUP(B85,[1]!Table3[[Part Number]:[Part Description]],3,0)</f>
        <v>FUEL WATER SEPARATOR</v>
      </c>
      <c r="E85" s="23">
        <f>VLOOKUP(B85,[1]!Table3[[Part Number]:[Q1 QTY]],7,0)</f>
        <v>6</v>
      </c>
      <c r="F85" s="24">
        <f>VLOOKUP(B85,[1]!Table3[[Part Number]:[OEM CAD $]],4,0)</f>
        <v>52.82</v>
      </c>
      <c r="G85" s="25">
        <f t="shared" si="3"/>
        <v>316.92</v>
      </c>
      <c r="H85" s="25">
        <f>VLOOKUP(B85,[1]!Table3[[Part Number]:[GQP CAD $]],5,0)</f>
        <v>20.07</v>
      </c>
      <c r="I85" s="26">
        <f t="shared" si="0"/>
        <v>120.42</v>
      </c>
    </row>
    <row r="86" spans="2:9" x14ac:dyDescent="0.25">
      <c r="B86" s="62" t="s">
        <v>177</v>
      </c>
      <c r="C86" s="22" t="str">
        <f>VLOOKUP(B86,[1]!Table3[[Part Number]:[Make and Model]],2,0)</f>
        <v xml:space="preserve">CAT 561M (1KW)                                            </v>
      </c>
      <c r="D86" s="22" t="str">
        <f>VLOOKUP(B86,[1]!Table3[[Part Number]:[Part Description]],3,0)</f>
        <v>TRANSMISSION FILTER</v>
      </c>
      <c r="E86" s="23">
        <f>VLOOKUP(B86,[1]!Table3[[Part Number]:[Q1 QTY]],7,0)</f>
        <v>2</v>
      </c>
      <c r="F86" s="24">
        <f>VLOOKUP(B86,[1]!Table3[[Part Number]:[OEM CAD $]],4,0)</f>
        <v>113.9</v>
      </c>
      <c r="G86" s="25">
        <f t="shared" ref="G86:G117" si="4">E86*F86</f>
        <v>227.8</v>
      </c>
      <c r="H86" s="25">
        <f>VLOOKUP(B86,[1]!Table3[[Part Number]:[GQP CAD $]],5,0)</f>
        <v>43.28</v>
      </c>
      <c r="I86" s="26">
        <f t="shared" si="0"/>
        <v>86.56</v>
      </c>
    </row>
    <row r="87" spans="2:9" x14ac:dyDescent="0.25">
      <c r="B87" s="62" t="s">
        <v>150</v>
      </c>
      <c r="C87" s="22" t="str">
        <f>VLOOKUP(B87,[1]!Table3[[Part Number]:[Make and Model]],2,0)</f>
        <v xml:space="preserve">CAT 561N (CPH) CAT 561N (CPH) (2) CAT 561N (CPH) (3) CAT 561N (CPH) (4) CAT 561N (CPH) (5)                                    </v>
      </c>
      <c r="D87" s="22" t="str">
        <f>VLOOKUP(B87,[1]!Table3[[Part Number]:[Part Description]],3,0)</f>
        <v>FUEL WATER SEPARATOR FILTER</v>
      </c>
      <c r="E87" s="23">
        <f>VLOOKUP(B87,[1]!Table3[[Part Number]:[Q1 QTY]],7,0)</f>
        <v>10</v>
      </c>
      <c r="F87" s="24">
        <f>VLOOKUP(B87,[1]!Table3[[Part Number]:[OEM CAD $]],4,0)</f>
        <v>60.23</v>
      </c>
      <c r="G87" s="25">
        <f t="shared" si="4"/>
        <v>602.29999999999995</v>
      </c>
      <c r="H87" s="25">
        <f>VLOOKUP(B87,[1]!Table3[[Part Number]:[GQP CAD $]],5,0)</f>
        <v>22.89</v>
      </c>
      <c r="I87" s="26">
        <f t="shared" si="0"/>
        <v>228.9</v>
      </c>
    </row>
    <row r="88" spans="2:9" x14ac:dyDescent="0.25">
      <c r="B88" s="62" t="s">
        <v>151</v>
      </c>
      <c r="C88" s="22" t="str">
        <f>VLOOKUP(B88,[1]!Table3[[Part Number]:[Make and Model]],2,0)</f>
        <v xml:space="preserve">CAT 303.5E                                            </v>
      </c>
      <c r="D88" s="22" t="str">
        <f>VLOOKUP(B88,[1]!Table3[[Part Number]:[Part Description]],3,0)</f>
        <v xml:space="preserve">FUEL WATER SEPARATOR </v>
      </c>
      <c r="E88" s="23">
        <f>VLOOKUP(B88,[1]!Table3[[Part Number]:[Q1 QTY]],7,0)</f>
        <v>2</v>
      </c>
      <c r="F88" s="24">
        <f>VLOOKUP(B88,[1]!Table3[[Part Number]:[OEM CAD $]],4,0)</f>
        <v>57.5</v>
      </c>
      <c r="G88" s="25">
        <f t="shared" si="4"/>
        <v>115</v>
      </c>
      <c r="H88" s="25">
        <f>VLOOKUP(B88,[1]!Table3[[Part Number]:[GQP CAD $]],5,0)</f>
        <v>21.85</v>
      </c>
      <c r="I88" s="26">
        <f t="shared" si="0"/>
        <v>43.7</v>
      </c>
    </row>
    <row r="89" spans="2:9" x14ac:dyDescent="0.25">
      <c r="B89" s="62" t="s">
        <v>152</v>
      </c>
      <c r="C89" s="22" t="str">
        <f>VLOOKUP(B89,[1]!Table3[[Part Number]:[Make and Model]],2,0)</f>
        <v xml:space="preserve">CAT D3 (1PJ)                                            </v>
      </c>
      <c r="D89" s="22" t="str">
        <f>VLOOKUP(B89,[1]!Table3[[Part Number]:[Part Description]],3,0)</f>
        <v>ENGINE OIL FILTER</v>
      </c>
      <c r="E89" s="23">
        <f>VLOOKUP(B89,[1]!Table3[[Part Number]:[Q1 QTY]],7,0)</f>
        <v>2</v>
      </c>
      <c r="F89" s="24">
        <f>VLOOKUP(B89,[1]!Table3[[Part Number]:[OEM CAD $]],4,0)</f>
        <v>27.68</v>
      </c>
      <c r="G89" s="25">
        <f t="shared" si="4"/>
        <v>55.36</v>
      </c>
      <c r="H89" s="25">
        <f>VLOOKUP(B89,[1]!Table3[[Part Number]:[GQP CAD $]],5,0)</f>
        <v>10.52</v>
      </c>
      <c r="I89" s="26">
        <f t="shared" si="0"/>
        <v>21.04</v>
      </c>
    </row>
    <row r="90" spans="2:9" x14ac:dyDescent="0.25">
      <c r="B90" s="62" t="s">
        <v>153</v>
      </c>
      <c r="C90" s="22" t="str">
        <f>VLOOKUP(B90,[1]!Table3[[Part Number]:[Make and Model]],2,0)</f>
        <v xml:space="preserve">CAT 561N (CPH) CAT 561N (CPH) (2) CAT 561N (CPH) (3) CAT 561N (CPH) (4) CAT 561N (CPH) (5)                                    </v>
      </c>
      <c r="D90" s="22" t="str">
        <f>VLOOKUP(B90,[1]!Table3[[Part Number]:[Part Description]],3,0)</f>
        <v>FUEL FILTER</v>
      </c>
      <c r="E90" s="23">
        <f>VLOOKUP(B90,[1]!Table3[[Part Number]:[Q1 QTY]],7,0)</f>
        <v>20</v>
      </c>
      <c r="F90" s="24">
        <f>VLOOKUP(B90,[1]!Table3[[Part Number]:[OEM CAD $]],4,0)</f>
        <v>51.52</v>
      </c>
      <c r="G90" s="25">
        <f t="shared" si="4"/>
        <v>1030.4000000000001</v>
      </c>
      <c r="H90" s="25">
        <f>VLOOKUP(B90,[1]!Table3[[Part Number]:[GQP CAD $]],5,0)</f>
        <v>19.579999999999998</v>
      </c>
      <c r="I90" s="26">
        <f t="shared" si="0"/>
        <v>391.6</v>
      </c>
    </row>
    <row r="91" spans="2:9" x14ac:dyDescent="0.25">
      <c r="B91" s="62" t="s">
        <v>36</v>
      </c>
      <c r="C91" s="22" t="str">
        <f>VLOOKUP(B91,[1]!Table3[[Part Number]:[Make and Model]],2,0)</f>
        <v xml:space="preserve">CAT 336F L (RKB) CAT D6 (RDC) CAT D6T (MH7)                                        </v>
      </c>
      <c r="D91" s="22" t="str">
        <f>VLOOKUP(B91,[1]!Table3[[Part Number]:[Part Description]],3,0)</f>
        <v xml:space="preserve">FUEL FILTER </v>
      </c>
      <c r="E91" s="23">
        <f>VLOOKUP(B91,[1]!Table3[[Part Number]:[Q1 QTY]],7,0)</f>
        <v>12</v>
      </c>
      <c r="F91" s="24">
        <f>VLOOKUP(B91,[1]!Table3[[Part Number]:[OEM CAD $]],4,0)</f>
        <v>51.52</v>
      </c>
      <c r="G91" s="25">
        <f t="shared" si="4"/>
        <v>618.24</v>
      </c>
      <c r="H91" s="25">
        <f>VLOOKUP(B91,[1]!Table3[[Part Number]:[GQP CAD $]],5,0)</f>
        <v>19.579999999999998</v>
      </c>
      <c r="I91" s="26">
        <f t="shared" si="0"/>
        <v>234.96</v>
      </c>
    </row>
    <row r="92" spans="2:9" x14ac:dyDescent="0.25">
      <c r="B92" s="62" t="s">
        <v>154</v>
      </c>
      <c r="C92" s="22" t="str">
        <f>VLOOKUP(B92,[1]!Table3[[Part Number]:[Make and Model]],2,0)</f>
        <v xml:space="preserve">CAT D4 (66J)                                            </v>
      </c>
      <c r="D92" s="22" t="str">
        <f>VLOOKUP(B92,[1]!Table3[[Part Number]:[Part Description]],3,0)</f>
        <v>SECONDARY FUEL FILTER</v>
      </c>
      <c r="E92" s="23">
        <f>VLOOKUP(B92,[1]!Table3[[Part Number]:[Q1 QTY]],7,0)</f>
        <v>2</v>
      </c>
      <c r="F92" s="24">
        <f>VLOOKUP(B92,[1]!Table3[[Part Number]:[OEM CAD $]],4,0)</f>
        <v>42.69</v>
      </c>
      <c r="G92" s="25">
        <f t="shared" si="4"/>
        <v>85.38</v>
      </c>
      <c r="H92" s="25">
        <f>VLOOKUP(B92,[1]!Table3[[Part Number]:[GQP CAD $]],5,0)</f>
        <v>16.22</v>
      </c>
      <c r="I92" s="26">
        <f t="shared" si="0"/>
        <v>32.44</v>
      </c>
    </row>
    <row r="93" spans="2:9" x14ac:dyDescent="0.25">
      <c r="B93" s="62" t="s">
        <v>39</v>
      </c>
      <c r="C93" s="22" t="str">
        <f>VLOOKUP(B93,[1]!Table3[[Part Number]:[Make and Model]],2,0)</f>
        <v xml:space="preserve">CAT D3 (1PJ) CAT D7G (92V) CAT D7G (3ZD) CAT D7G (3ZD) (2) CAT 561 (85H) CAT 561 (92J) CAT 561 (92J) (2)                                </v>
      </c>
      <c r="D93" s="22" t="str">
        <f>VLOOKUP(B93,[1]!Table3[[Part Number]:[Part Description]],3,0)</f>
        <v>FUEL FILTER</v>
      </c>
      <c r="E93" s="23">
        <f>VLOOKUP(B93,[1]!Table3[[Part Number]:[Q1 QTY]],7,0)</f>
        <v>14</v>
      </c>
      <c r="F93" s="24">
        <f>VLOOKUP(B93,[1]!Table3[[Part Number]:[OEM CAD $]],4,0)</f>
        <v>42.69</v>
      </c>
      <c r="G93" s="25">
        <f t="shared" si="4"/>
        <v>597.66</v>
      </c>
      <c r="H93" s="25">
        <f>VLOOKUP(B93,[1]!Table3[[Part Number]:[GQP CAD $]],5,0)</f>
        <v>16.22</v>
      </c>
      <c r="I93" s="26">
        <f t="shared" si="0"/>
        <v>227.08</v>
      </c>
    </row>
    <row r="94" spans="2:9" x14ac:dyDescent="0.25">
      <c r="B94" s="62" t="s">
        <v>155</v>
      </c>
      <c r="C94" s="22" t="str">
        <f>VLOOKUP(B94,[1]!Table3[[Part Number]:[Make and Model]],2,0)</f>
        <v xml:space="preserve">CAT D5 (3CR) CAT D5 (3CR) (2) CAT D6N LGP (GHS) CAT 561M (1KW) CAT PL61 (WGS) CAT PL61 (WGS) (2) CAT PL61 (WGS) (3)                                </v>
      </c>
      <c r="D94" s="22" t="str">
        <f>VLOOKUP(B94,[1]!Table3[[Part Number]:[Part Description]],3,0)</f>
        <v>PRIMARY FUEL FILTER</v>
      </c>
      <c r="E94" s="23">
        <f>VLOOKUP(B94,[1]!Table3[[Part Number]:[Q1 QTY]],7,0)</f>
        <v>16</v>
      </c>
      <c r="F94" s="24">
        <f>VLOOKUP(B94,[1]!Table3[[Part Number]:[OEM CAD $]],4,0)</f>
        <v>47.05</v>
      </c>
      <c r="G94" s="25">
        <f t="shared" si="4"/>
        <v>752.8</v>
      </c>
      <c r="H94" s="25">
        <f>VLOOKUP(B94,[1]!Table3[[Part Number]:[GQP CAD $]],5,0)</f>
        <v>17.88</v>
      </c>
      <c r="I94" s="26">
        <f t="shared" si="0"/>
        <v>286.08</v>
      </c>
    </row>
    <row r="95" spans="2:9" x14ac:dyDescent="0.25">
      <c r="B95" s="62" t="s">
        <v>156</v>
      </c>
      <c r="C95" s="22" t="str">
        <f>VLOOKUP(B95,[1]!Table3[[Part Number]:[Make and Model]],2,0)</f>
        <v xml:space="preserve">CAT D5 (3CR) CAT D5 (3CR) (2)                                          </v>
      </c>
      <c r="D95" s="22" t="str">
        <f>VLOOKUP(B95,[1]!Table3[[Part Number]:[Part Description]],3,0)</f>
        <v>SECONDARY FUEL FILTER</v>
      </c>
      <c r="E95" s="23">
        <f>VLOOKUP(B95,[1]!Table3[[Part Number]:[Q1 QTY]],7,0)</f>
        <v>4</v>
      </c>
      <c r="F95" s="24">
        <f>VLOOKUP(B95,[1]!Table3[[Part Number]:[OEM CAD $]],4,0)</f>
        <v>67.900000000000006</v>
      </c>
      <c r="G95" s="25">
        <f t="shared" si="4"/>
        <v>271.60000000000002</v>
      </c>
      <c r="H95" s="25">
        <f>VLOOKUP(B95,[1]!Table3[[Part Number]:[GQP CAD $]],5,0)</f>
        <v>25.8</v>
      </c>
      <c r="I95" s="26">
        <f t="shared" si="0"/>
        <v>103.2</v>
      </c>
    </row>
    <row r="96" spans="2:9" x14ac:dyDescent="0.25">
      <c r="B96" s="62" t="s">
        <v>157</v>
      </c>
      <c r="C96" s="22" t="str">
        <f>VLOOKUP(B96,[1]!Table3[[Part Number]:[Make and Model]],2,0)</f>
        <v xml:space="preserve">CAT D4 (66J) CAT D5 (3CR) CAT D5 (3CR) (2) CAT 561 (85H) CAT 561 (92J) CAT 561 (92J) (2) CAT 561M (1KW)                                </v>
      </c>
      <c r="D96" s="22" t="str">
        <f>VLOOKUP(B96,[1]!Table3[[Part Number]:[Part Description]],3,0)</f>
        <v>ENGINE OIL FILTER</v>
      </c>
      <c r="E96" s="23">
        <f>VLOOKUP(B96,[1]!Table3[[Part Number]:[Q1 QTY]],7,0)</f>
        <v>14</v>
      </c>
      <c r="F96" s="24">
        <f>VLOOKUP(B96,[1]!Table3[[Part Number]:[OEM CAD $]],4,0)</f>
        <v>44.09</v>
      </c>
      <c r="G96" s="25">
        <f t="shared" si="4"/>
        <v>617.26</v>
      </c>
      <c r="H96" s="25">
        <f>VLOOKUP(B96,[1]!Table3[[Part Number]:[GQP CAD $]],5,0)</f>
        <v>16.75</v>
      </c>
      <c r="I96" s="26">
        <f t="shared" si="0"/>
        <v>234.5</v>
      </c>
    </row>
    <row r="97" spans="2:9" x14ac:dyDescent="0.25">
      <c r="B97" s="62" t="s">
        <v>158</v>
      </c>
      <c r="C97" s="22" t="str">
        <f>VLOOKUP(B97,[1]!Table3[[Part Number]:[Make and Model]],2,0)</f>
        <v xml:space="preserve">CAT 336F L (RKB) CAT D6 (RDC) CAT D6T (MH7)                                        </v>
      </c>
      <c r="D97" s="22" t="str">
        <f>VLOOKUP(B97,[1]!Table3[[Part Number]:[Part Description]],3,0)</f>
        <v>ENGINE OIL FILTER</v>
      </c>
      <c r="E97" s="23">
        <f>VLOOKUP(B97,[1]!Table3[[Part Number]:[Q1 QTY]],7,0)</f>
        <v>6</v>
      </c>
      <c r="F97" s="24">
        <f>VLOOKUP(B97,[1]!Table3[[Part Number]:[OEM CAD $]],4,0)</f>
        <v>82.08</v>
      </c>
      <c r="G97" s="25">
        <f t="shared" si="4"/>
        <v>492.48</v>
      </c>
      <c r="H97" s="25">
        <f>VLOOKUP(B97,[1]!Table3[[Part Number]:[GQP CAD $]],5,0)</f>
        <v>31.19</v>
      </c>
      <c r="I97" s="26">
        <f t="shared" si="0"/>
        <v>187.14</v>
      </c>
    </row>
    <row r="98" spans="2:9" x14ac:dyDescent="0.25">
      <c r="B98" s="62" t="s">
        <v>159</v>
      </c>
      <c r="C98" s="22" t="str">
        <f>VLOOKUP(B98,[1]!Table3[[Part Number]:[Make and Model]],2,0)</f>
        <v xml:space="preserve">CAT D7G (92V) CAT D7G (3ZD) CAT D7G (3ZD) (2)                                        </v>
      </c>
      <c r="D98" s="22" t="str">
        <f>VLOOKUP(B98,[1]!Table3[[Part Number]:[Part Description]],3,0)</f>
        <v>ENGINE OIL FILTER</v>
      </c>
      <c r="E98" s="23">
        <f>VLOOKUP(B98,[1]!Table3[[Part Number]:[Q1 QTY]],7,0)</f>
        <v>6</v>
      </c>
      <c r="F98" s="24">
        <f>VLOOKUP(B98,[1]!Table3[[Part Number]:[OEM CAD $]],4,0)</f>
        <v>17.309999999999999</v>
      </c>
      <c r="G98" s="25">
        <f t="shared" si="4"/>
        <v>103.85999999999999</v>
      </c>
      <c r="H98" s="25">
        <f>VLOOKUP(B98,[1]!Table3[[Part Number]:[GQP CAD $]],5,0)</f>
        <v>6.58</v>
      </c>
      <c r="I98" s="26">
        <f t="shared" si="0"/>
        <v>39.479999999999997</v>
      </c>
    </row>
    <row r="99" spans="2:9" x14ac:dyDescent="0.25">
      <c r="B99" s="62" t="s">
        <v>160</v>
      </c>
      <c r="C99" s="22" t="str">
        <f>VLOOKUP(B99,[1]!Table3[[Part Number]:[Make and Model]],2,0)</f>
        <v xml:space="preserve">CAT D6N LGP (GHS) CAT PL61 (WGS) CAT PL61 (WGS) (2) CAT PL61 (WGS) (3)                                      </v>
      </c>
      <c r="D99" s="22" t="str">
        <f>VLOOKUP(B99,[1]!Table3[[Part Number]:[Part Description]],3,0)</f>
        <v>PRIMARY FUEL FILTER</v>
      </c>
      <c r="E99" s="23">
        <f>VLOOKUP(B99,[1]!Table3[[Part Number]:[Q1 QTY]],7,0)</f>
        <v>8</v>
      </c>
      <c r="F99" s="24">
        <f>VLOOKUP(B99,[1]!Table3[[Part Number]:[OEM CAD $]],4,0)</f>
        <v>62.25</v>
      </c>
      <c r="G99" s="25">
        <f t="shared" si="4"/>
        <v>498</v>
      </c>
      <c r="H99" s="25">
        <f>VLOOKUP(B99,[1]!Table3[[Part Number]:[GQP CAD $]],5,0)</f>
        <v>23.66</v>
      </c>
      <c r="I99" s="26">
        <f t="shared" si="0"/>
        <v>189.28</v>
      </c>
    </row>
    <row r="100" spans="2:9" x14ac:dyDescent="0.25">
      <c r="B100" s="62" t="s">
        <v>161</v>
      </c>
      <c r="C100" s="22" t="str">
        <f>VLOOKUP(B100,[1]!Table3[[Part Number]:[Make and Model]],2,0)</f>
        <v xml:space="preserve">CAT 330 (WCH) CAT 330 (WCH) (2) CAT 330 (WCH) (3) CAT 330 (WCH) (4) CAT 330 (WCH) (5) CAT 330 (WCH) (6)                                  </v>
      </c>
      <c r="D100" s="22" t="str">
        <f>VLOOKUP(B100,[1]!Table3[[Part Number]:[Part Description]],3,0)</f>
        <v>ENGINE OIL FILTER ELEMENT</v>
      </c>
      <c r="E100" s="23">
        <f>VLOOKUP(B100,[1]!Table3[[Part Number]:[Q1 QTY]],7,0)</f>
        <v>12</v>
      </c>
      <c r="F100" s="24">
        <f>VLOOKUP(B100,[1]!Table3[[Part Number]:[OEM CAD $]],4,0)</f>
        <v>44.15</v>
      </c>
      <c r="G100" s="25">
        <f t="shared" si="4"/>
        <v>529.79999999999995</v>
      </c>
      <c r="H100" s="25">
        <f>VLOOKUP(B100,[1]!Table3[[Part Number]:[GQP CAD $]],5,0)</f>
        <v>16.78</v>
      </c>
      <c r="I100" s="26">
        <f t="shared" si="0"/>
        <v>201.36</v>
      </c>
    </row>
    <row r="101" spans="2:9" x14ac:dyDescent="0.25">
      <c r="B101" s="62" t="s">
        <v>162</v>
      </c>
      <c r="C101" s="22" t="str">
        <f>VLOOKUP(B101,[1]!Table3[[Part Number]:[Make and Model]],2,0)</f>
        <v xml:space="preserve">CAT 320E L (WBK) CAT 320E L (WBK) (2) CAT 320F L (YBM) CAT 320 (HEX) CAT 320 (MYK) CAT 320 (MYK) (2) CAT 329E L (ZCD) CAT 329F L (ERL) CAT 329F L (ERL) (2) CAT 330F L (MBX) CAT 330F L (HCK) CAT 330F L (HCK) (2) CAT 330 (LHW) CAT 330 (LHW) (2) CAT 330 (LHW) (3) CAT 330 (LHW) (4)              </v>
      </c>
      <c r="D101" s="22" t="str">
        <f>VLOOKUP(B101,[1]!Table3[[Part Number]:[Part Description]],3,0)</f>
        <v xml:space="preserve">ENGINE OIL FILTER ELEMENT </v>
      </c>
      <c r="E101" s="23">
        <f>VLOOKUP(B101,[1]!Table3[[Part Number]:[Q1 QTY]],7,0)</f>
        <v>31</v>
      </c>
      <c r="F101" s="24">
        <f>VLOOKUP(B101,[1]!Table3[[Part Number]:[OEM CAD $]],4,0)</f>
        <v>44.15</v>
      </c>
      <c r="G101" s="25">
        <f t="shared" si="4"/>
        <v>1368.6499999999999</v>
      </c>
      <c r="H101" s="25">
        <f>VLOOKUP(B101,[1]!Table3[[Part Number]:[GQP CAD $]],5,0)</f>
        <v>16.78</v>
      </c>
      <c r="I101" s="26">
        <f t="shared" si="0"/>
        <v>520.17999999999995</v>
      </c>
    </row>
    <row r="102" spans="2:9" x14ac:dyDescent="0.25">
      <c r="B102" s="62" t="s">
        <v>163</v>
      </c>
      <c r="C102" s="22" t="str">
        <f>VLOOKUP(B102,[1]!Table3[[Part Number]:[Make and Model]],2,0)</f>
        <v xml:space="preserve">CAT 336F L (RKB) CAT D6 (RDC) CAT D6T (MH7)                                        </v>
      </c>
      <c r="D102" s="22" t="str">
        <f>VLOOKUP(B102,[1]!Table3[[Part Number]:[Part Description]],3,0)</f>
        <v xml:space="preserve">FUEL WATER SEPARATOR </v>
      </c>
      <c r="E102" s="23">
        <f>VLOOKUP(B102,[1]!Table3[[Part Number]:[Q1 QTY]],7,0)</f>
        <v>6</v>
      </c>
      <c r="F102" s="24">
        <f>VLOOKUP(B102,[1]!Table3[[Part Number]:[OEM CAD $]],4,0)</f>
        <v>104.86</v>
      </c>
      <c r="G102" s="25">
        <f t="shared" si="4"/>
        <v>629.16</v>
      </c>
      <c r="H102" s="25">
        <f>VLOOKUP(B102,[1]!Table3[[Part Number]:[GQP CAD $]],5,0)</f>
        <v>39.85</v>
      </c>
      <c r="I102" s="26">
        <f t="shared" si="0"/>
        <v>239.1</v>
      </c>
    </row>
    <row r="103" spans="2:9" x14ac:dyDescent="0.25">
      <c r="B103" s="62" t="s">
        <v>37</v>
      </c>
      <c r="C103" s="22" t="str">
        <f>VLOOKUP(B103,[1]!Table3[[Part Number]:[Make and Model]],2,0)</f>
        <v xml:space="preserve">CAT D6N LGP (GHS)                                            </v>
      </c>
      <c r="D103" s="22" t="str">
        <f>VLOOKUP(B103,[1]!Table3[[Part Number]:[Part Description]],3,0)</f>
        <v>FUEL WATER SEPARATOR **VERIFY**</v>
      </c>
      <c r="E103" s="23">
        <f>VLOOKUP(B103,[1]!Table3[[Part Number]:[Q1 QTY]],7,0)</f>
        <v>2</v>
      </c>
      <c r="F103" s="24">
        <f>VLOOKUP(B103,[1]!Table3[[Part Number]:[OEM CAD $]],4,0)</f>
        <v>85.6</v>
      </c>
      <c r="G103" s="25">
        <f t="shared" si="4"/>
        <v>171.2</v>
      </c>
      <c r="H103" s="25">
        <f>VLOOKUP(B103,[1]!Table3[[Part Number]:[GQP CAD $]],5,0)</f>
        <v>32.53</v>
      </c>
      <c r="I103" s="26">
        <f t="shared" si="0"/>
        <v>65.06</v>
      </c>
    </row>
    <row r="104" spans="2:9" x14ac:dyDescent="0.25">
      <c r="B104" s="62" t="s">
        <v>164</v>
      </c>
      <c r="C104" s="22" t="str">
        <f>VLOOKUP(B104,[1]!Table3[[Part Number]:[Make and Model]],2,0)</f>
        <v xml:space="preserve">CAT 320E L (WBK) CAT 320E L (WBK) (2) CAT 320F L (YBM) CAT 329E L (ZCD) CAT 329F L (ERL) CAT 329F L (ERL) (2) CAT 330F L (MBX) CAT 330F L (HCK) CAT 330F L (HCK) (2) CAT D6N LGP (PBA) CAT D6N LGP (PBA) (2) CAT D6N LGP (SGG) CAT D6N LGP (SGG) (2)                    </v>
      </c>
      <c r="D104" s="22" t="str">
        <f>VLOOKUP(B104,[1]!Table3[[Part Number]:[Part Description]],3,0)</f>
        <v>FUEL FILTER ELEMENT</v>
      </c>
      <c r="E104" s="23">
        <f>VLOOKUP(B104,[1]!Table3[[Part Number]:[Q1 QTY]],7,0)</f>
        <v>30</v>
      </c>
      <c r="F104" s="24">
        <f>VLOOKUP(B104,[1]!Table3[[Part Number]:[OEM CAD $]],4,0)</f>
        <v>51.88</v>
      </c>
      <c r="G104" s="25">
        <f t="shared" si="4"/>
        <v>1556.4</v>
      </c>
      <c r="H104" s="25">
        <f>VLOOKUP(B104,[1]!Table3[[Part Number]:[GQP CAD $]],5,0)</f>
        <v>19.71</v>
      </c>
      <c r="I104" s="26">
        <f t="shared" si="0"/>
        <v>591.29999999999995</v>
      </c>
    </row>
    <row r="105" spans="2:9" x14ac:dyDescent="0.25">
      <c r="B105" s="62" t="s">
        <v>165</v>
      </c>
      <c r="C105" s="22" t="str">
        <f>VLOOKUP(B105,[1]!Table3[[Part Number]:[Make and Model]],2,0)</f>
        <v xml:space="preserve">CAT 299D (DX2)                                            </v>
      </c>
      <c r="D105" s="22" t="str">
        <f>VLOOKUP(B105,[1]!Table3[[Part Number]:[Part Description]],3,0)</f>
        <v>FUEL WATER SEPARATOR FILTER</v>
      </c>
      <c r="E105" s="23">
        <f>VLOOKUP(B105,[1]!Table3[[Part Number]:[Q1 QTY]],7,0)</f>
        <v>2</v>
      </c>
      <c r="F105" s="24">
        <f>VLOOKUP(B105,[1]!Table3[[Part Number]:[OEM CAD $]],4,0)</f>
        <v>42.6</v>
      </c>
      <c r="G105" s="25">
        <f t="shared" si="4"/>
        <v>85.2</v>
      </c>
      <c r="H105" s="25">
        <f>VLOOKUP(B105,[1]!Table3[[Part Number]:[GQP CAD $]],5,0)</f>
        <v>16.190000000000001</v>
      </c>
      <c r="I105" s="26">
        <f t="shared" si="0"/>
        <v>32.380000000000003</v>
      </c>
    </row>
    <row r="106" spans="2:9" x14ac:dyDescent="0.25">
      <c r="B106" s="62" t="s">
        <v>166</v>
      </c>
      <c r="C106" s="22" t="str">
        <f>VLOOKUP(B106,[1]!Table3[[Part Number]:[Make and Model]],2,0)</f>
        <v xml:space="preserve">CAT 303.5E CAT 299D (DX2)                                          </v>
      </c>
      <c r="D106" s="22" t="str">
        <f>VLOOKUP(B106,[1]!Table3[[Part Number]:[Part Description]],3,0)</f>
        <v>ENGINE OIL FILTER</v>
      </c>
      <c r="E106" s="23">
        <f>VLOOKUP(B106,[1]!Table3[[Part Number]:[Q1 QTY]],7,0)</f>
        <v>4</v>
      </c>
      <c r="F106" s="24">
        <f>VLOOKUP(B106,[1]!Table3[[Part Number]:[OEM CAD $]],4,0)</f>
        <v>40.69</v>
      </c>
      <c r="G106" s="25">
        <f t="shared" si="4"/>
        <v>162.76</v>
      </c>
      <c r="H106" s="25">
        <f>VLOOKUP(B106,[1]!Table3[[Part Number]:[GQP CAD $]],5,0)</f>
        <v>15.46</v>
      </c>
      <c r="I106" s="26">
        <f t="shared" si="0"/>
        <v>61.84</v>
      </c>
    </row>
    <row r="107" spans="2:9" x14ac:dyDescent="0.25">
      <c r="B107" s="62" t="s">
        <v>166</v>
      </c>
      <c r="C107" s="22" t="str">
        <f>VLOOKUP(B107,[1]!Table3[[Part Number]:[Make and Model]],2,0)</f>
        <v xml:space="preserve">CAT 303.5E CAT 299D (DX2)                                          </v>
      </c>
      <c r="D107" s="22" t="str">
        <f>VLOOKUP(B107,[1]!Table3[[Part Number]:[Part Description]],3,0)</f>
        <v>ENGINE OIL FILTER</v>
      </c>
      <c r="E107" s="23">
        <f>VLOOKUP(B107,[1]!Table3[[Part Number]:[Q1 QTY]],7,0)</f>
        <v>4</v>
      </c>
      <c r="F107" s="24">
        <f>VLOOKUP(B107,[1]!Table3[[Part Number]:[OEM CAD $]],4,0)</f>
        <v>40.69</v>
      </c>
      <c r="G107" s="25">
        <f t="shared" si="4"/>
        <v>162.76</v>
      </c>
      <c r="H107" s="25">
        <f>VLOOKUP(B107,[1]!Table3[[Part Number]:[GQP CAD $]],5,0)</f>
        <v>15.46</v>
      </c>
      <c r="I107" s="26">
        <f t="shared" ref="I107:I126" si="5">ROUND(E107*H107,2)</f>
        <v>61.84</v>
      </c>
    </row>
    <row r="108" spans="2:9" x14ac:dyDescent="0.25">
      <c r="B108" s="62" t="s">
        <v>47</v>
      </c>
      <c r="C108" s="22" t="str">
        <f>VLOOKUP(B108,[1]!Table3[[Part Number]:[Make and Model]],2,0)</f>
        <v xml:space="preserve">CAT D6N LGP (GHS) CAT D6N LGP (PBA) CAT D6N LGP (PBA) (2) CAT D6N LGP (SGG) CAT D6N LGP (SGG) (2)                                    </v>
      </c>
      <c r="D108" s="22" t="str">
        <f>VLOOKUP(B108,[1]!Table3[[Part Number]:[Part Description]],3,0)</f>
        <v>ENGINE OIL FILTER</v>
      </c>
      <c r="E108" s="23">
        <f>VLOOKUP(B108,[1]!Table3[[Part Number]:[Q1 QTY]],7,0)</f>
        <v>10</v>
      </c>
      <c r="F108" s="24">
        <f>VLOOKUP(B108,[1]!Table3[[Part Number]:[OEM CAD $]],4,0)</f>
        <v>36.51</v>
      </c>
      <c r="G108" s="25">
        <f t="shared" si="4"/>
        <v>365.09999999999997</v>
      </c>
      <c r="H108" s="25">
        <f>VLOOKUP(B108,[1]!Table3[[Part Number]:[GQP CAD $]],5,0)</f>
        <v>13.87</v>
      </c>
      <c r="I108" s="26">
        <f t="shared" si="5"/>
        <v>138.69999999999999</v>
      </c>
    </row>
    <row r="109" spans="2:9" x14ac:dyDescent="0.25">
      <c r="B109" s="62" t="s">
        <v>167</v>
      </c>
      <c r="C109" s="22" t="str">
        <f>VLOOKUP(B109,[1]!Table3[[Part Number]:[Make and Model]],2,0)</f>
        <v xml:space="preserve">CAT 320E L (WBK) CAT 320E L (WBK) (2) CAT 320F L (YBM) CAT 329E L (ZCD) CAT 329F L (ERL) CAT 329F L (ERL) (2) CAT 330F L (MBX) CAT 330F L (HCK) CAT 330F L (HCK) (2) CAT D6N LGP (PBA) CAT D6N LGP (PBA) (2) CAT D6N LGP (SGG) CAT D6N LGP (SGG) (2)                    </v>
      </c>
      <c r="D109" s="22" t="str">
        <f>VLOOKUP(B109,[1]!Table3[[Part Number]:[Part Description]],3,0)</f>
        <v>FUEL WATER SEPARATOR</v>
      </c>
      <c r="E109" s="23">
        <f>VLOOKUP(B109,[1]!Table3[[Part Number]:[Q1 QTY]],7,0)</f>
        <v>28</v>
      </c>
      <c r="F109" s="24">
        <f>VLOOKUP(B109,[1]!Table3[[Part Number]:[OEM CAD $]],4,0)</f>
        <v>78.87</v>
      </c>
      <c r="G109" s="25">
        <f t="shared" si="4"/>
        <v>2208.36</v>
      </c>
      <c r="H109" s="25">
        <f>VLOOKUP(B109,[1]!Table3[[Part Number]:[GQP CAD $]],5,0)</f>
        <v>29.97</v>
      </c>
      <c r="I109" s="26">
        <f t="shared" si="5"/>
        <v>839.16</v>
      </c>
    </row>
    <row r="110" spans="2:9" x14ac:dyDescent="0.25">
      <c r="B110" s="62" t="s">
        <v>168</v>
      </c>
      <c r="C110" s="22" t="str">
        <f>VLOOKUP(B110,[1]!Table3[[Part Number]:[Make and Model]],2,0)</f>
        <v xml:space="preserve">CAT 561N (CPH) CAT 561N (CPH) (2) CAT 561N (CPH) (3) CAT 561N (CPH) (4) CAT 561N (CPH) (5) CAT PL61 (WGS) CAT PL61 (WGS) (2) CAT PL61 (WGS) (3)                              </v>
      </c>
      <c r="D110" s="22" t="str">
        <f>VLOOKUP(B110,[1]!Table3[[Part Number]:[Part Description]],3,0)</f>
        <v>ENGINE OIL FILTER</v>
      </c>
      <c r="E110" s="23">
        <f>VLOOKUP(B110,[1]!Table3[[Part Number]:[Q1 QTY]],7,0)</f>
        <v>16</v>
      </c>
      <c r="F110" s="24">
        <f>VLOOKUP(B110,[1]!Table3[[Part Number]:[OEM CAD $]],4,0)</f>
        <v>78</v>
      </c>
      <c r="G110" s="25">
        <f t="shared" si="4"/>
        <v>1248</v>
      </c>
      <c r="H110" s="25">
        <f>VLOOKUP(B110,[1]!Table3[[Part Number]:[GQP CAD $]],5,0)</f>
        <v>29.64</v>
      </c>
      <c r="I110" s="26">
        <f t="shared" si="5"/>
        <v>474.24</v>
      </c>
    </row>
    <row r="111" spans="2:9" x14ac:dyDescent="0.25">
      <c r="B111" s="62" t="s">
        <v>169</v>
      </c>
      <c r="C111" s="22" t="str">
        <f>VLOOKUP(B111,[1]!Table3[[Part Number]:[Make and Model]],2,0)</f>
        <v xml:space="preserve">CAT 320 (HEX) CAT 320 (MYK) CAT 320 (MYK) (2) CAT 330 (LHW) CAT 330 (LHW) (2) CAT 330 (LHW) (3) CAT 330 (LHW) (4) CAT 330 (WCH) CAT 330 (WCH) (2) CAT 330 (WCH) (3) CAT 330 (WCH) (4) CAT 330 (WCH) (5) CAT 330 (WCH) (6)                    </v>
      </c>
      <c r="D111" s="22" t="str">
        <f>VLOOKUP(B111,[1]!Table3[[Part Number]:[Part Description]],3,0)</f>
        <v>SECONDARY FUEL FILTER ELEMENT</v>
      </c>
      <c r="E111" s="23">
        <f>VLOOKUP(B111,[1]!Table3[[Part Number]:[Q1 QTY]],7,0)</f>
        <v>26</v>
      </c>
      <c r="F111" s="24">
        <f>VLOOKUP(B111,[1]!Table3[[Part Number]:[OEM CAD $]],4,0)</f>
        <v>66.94</v>
      </c>
      <c r="G111" s="25">
        <f t="shared" si="4"/>
        <v>1740.44</v>
      </c>
      <c r="H111" s="25">
        <f>VLOOKUP(B111,[1]!Table3[[Part Number]:[GQP CAD $]],5,0)</f>
        <v>25.44</v>
      </c>
      <c r="I111" s="26">
        <f t="shared" si="5"/>
        <v>661.44</v>
      </c>
    </row>
    <row r="112" spans="2:9" x14ac:dyDescent="0.25">
      <c r="B112" s="62" t="s">
        <v>170</v>
      </c>
      <c r="C112" s="22" t="str">
        <f>VLOOKUP(B112,[1]!Table3[[Part Number]:[Make and Model]],2,0)</f>
        <v xml:space="preserve">CAT D7G (92V) CAT D7G (3ZD) CAT D7G (3ZD) (2)                                        </v>
      </c>
      <c r="D112" s="22" t="str">
        <f>VLOOKUP(B112,[1]!Table3[[Part Number]:[Part Description]],3,0)</f>
        <v>FUEL WATER SEPARATOR FILTER</v>
      </c>
      <c r="E112" s="23">
        <f>VLOOKUP(B112,[1]!Table3[[Part Number]:[Q1 QTY]],7,0)</f>
        <v>6</v>
      </c>
      <c r="F112" s="24">
        <f>VLOOKUP(B112,[1]!Table3[[Part Number]:[OEM CAD $]],4,0)</f>
        <v>104</v>
      </c>
      <c r="G112" s="25">
        <f t="shared" si="4"/>
        <v>624</v>
      </c>
      <c r="H112" s="25">
        <f>VLOOKUP(B112,[1]!Table3[[Part Number]:[GQP CAD $]],5,0)</f>
        <v>39.520000000000003</v>
      </c>
      <c r="I112" s="26">
        <f t="shared" si="5"/>
        <v>237.12</v>
      </c>
    </row>
    <row r="113" spans="2:9" x14ac:dyDescent="0.25">
      <c r="B113" s="62" t="s">
        <v>171</v>
      </c>
      <c r="C113" s="22" t="str">
        <f>VLOOKUP(B113,[1]!Table3[[Part Number]:[Make and Model]],2,0)</f>
        <v xml:space="preserve">CAT 320 (HEX) CAT 320 (MYK) CAT 320 (MYK) (2) CAT 330 (LHW) CAT 330 (LHW) (2) CAT 330 (LHW) (3) CAT 330 (LHW) (4) CAT 330 (WCH) CAT 330 (WCH) (2) CAT 330 (WCH) (3) CAT 330 (WCH) (4) CAT 330 (WCH) (5) CAT 330 (WCH) (6)                    </v>
      </c>
      <c r="D113" s="22" t="str">
        <f>VLOOKUP(B113,[1]!Table3[[Part Number]:[Part Description]],3,0)</f>
        <v>FUEL WATER SEPARATOR ELEMENT</v>
      </c>
      <c r="E113" s="23">
        <f>VLOOKUP(B113,[1]!Table3[[Part Number]:[Q1 QTY]],7,0)</f>
        <v>26</v>
      </c>
      <c r="F113" s="24">
        <f>VLOOKUP(B113,[1]!Table3[[Part Number]:[OEM CAD $]],4,0)</f>
        <v>95.91</v>
      </c>
      <c r="G113" s="25">
        <f t="shared" si="4"/>
        <v>2493.66</v>
      </c>
      <c r="H113" s="25">
        <f>VLOOKUP(B113,[1]!Table3[[Part Number]:[GQP CAD $]],5,0)</f>
        <v>36.450000000000003</v>
      </c>
      <c r="I113" s="26">
        <f t="shared" si="5"/>
        <v>947.7</v>
      </c>
    </row>
    <row r="114" spans="2:9" x14ac:dyDescent="0.25">
      <c r="B114" s="62" t="s">
        <v>172</v>
      </c>
      <c r="C114" s="22" t="str">
        <f>VLOOKUP(B114,[1]!Table3[[Part Number]:[Make and Model]],2,0)</f>
        <v xml:space="preserve">CAT D6N LGP (SGG) CAT D6N LGP (SGG) (2)                                          </v>
      </c>
      <c r="D114" s="22" t="str">
        <f>VLOOKUP(B114,[1]!Table3[[Part Number]:[Part Description]],3,0)</f>
        <v>IN-LINE FUEL FILTER</v>
      </c>
      <c r="E114" s="23">
        <f>VLOOKUP(B114,[1]!Table3[[Part Number]:[Q1 QTY]],7,0)</f>
        <v>4</v>
      </c>
      <c r="F114" s="24">
        <f>VLOOKUP(B114,[1]!Table3[[Part Number]:[OEM CAD $]],4,0)</f>
        <v>81.27</v>
      </c>
      <c r="G114" s="25">
        <f t="shared" si="4"/>
        <v>325.08</v>
      </c>
      <c r="H114" s="25">
        <f>VLOOKUP(B114,[1]!Table3[[Part Number]:[GQP CAD $]],5,0)</f>
        <v>30.88</v>
      </c>
      <c r="I114" s="26">
        <f t="shared" si="5"/>
        <v>123.52</v>
      </c>
    </row>
    <row r="115" spans="2:9" x14ac:dyDescent="0.25">
      <c r="B115" s="62" t="s">
        <v>173</v>
      </c>
      <c r="C115" s="22" t="str">
        <f>VLOOKUP(B115,[1]!Table3[[Part Number]:[Make and Model]],2,0)</f>
        <v xml:space="preserve">CAT D7G (92V) CAT D7G (3ZD) CAT D7G (3ZD) (2)                                        </v>
      </c>
      <c r="D115" s="22" t="str">
        <f>VLOOKUP(B115,[1]!Table3[[Part Number]:[Part Description]],3,0)</f>
        <v>FUEL FILTER</v>
      </c>
      <c r="E115" s="23">
        <f>VLOOKUP(B115,[1]!Table3[[Part Number]:[Q1 QTY]],7,0)</f>
        <v>6</v>
      </c>
      <c r="F115" s="24">
        <f>VLOOKUP(B115,[1]!Table3[[Part Number]:[OEM CAD $]],4,0)</f>
        <v>43.78</v>
      </c>
      <c r="G115" s="25">
        <f t="shared" si="4"/>
        <v>262.68</v>
      </c>
      <c r="H115" s="25">
        <f>VLOOKUP(B115,[1]!Table3[[Part Number]:[GQP CAD $]],5,0)</f>
        <v>16.64</v>
      </c>
      <c r="I115" s="26">
        <f t="shared" si="5"/>
        <v>99.84</v>
      </c>
    </row>
    <row r="116" spans="2:9" x14ac:dyDescent="0.25">
      <c r="B116" s="54" t="s">
        <v>174</v>
      </c>
      <c r="C116" s="22" t="str">
        <f>VLOOKUP(B116,[1]!Table3[[Part Number]:[Make and Model]],2,0)</f>
        <v xml:space="preserve">CAT D4 (66J)                                            </v>
      </c>
      <c r="D116" s="22" t="str">
        <f>VLOOKUP(B116,[1]!Table3[[Part Number]:[Part Description]],3,0)</f>
        <v>FUEL WATER SEPARATOR</v>
      </c>
      <c r="E116" s="23">
        <f>VLOOKUP(B116,[1]!Table3[[Part Number]:[Q1 QTY]],7,0)</f>
        <v>2</v>
      </c>
      <c r="F116" s="24">
        <f>VLOOKUP(B116,[1]!Table3[[Part Number]:[OEM CAD $]],4,0)</f>
        <v>60.68</v>
      </c>
      <c r="G116" s="25">
        <f t="shared" si="4"/>
        <v>121.36</v>
      </c>
      <c r="H116" s="25">
        <f>VLOOKUP(B116,[1]!Table3[[Part Number]:[GQP CAD $]],5,0)</f>
        <v>23.06</v>
      </c>
      <c r="I116" s="26">
        <f t="shared" si="5"/>
        <v>46.12</v>
      </c>
    </row>
    <row r="117" spans="2:9" x14ac:dyDescent="0.25">
      <c r="B117" s="54" t="s">
        <v>222</v>
      </c>
      <c r="C117" s="22" t="str">
        <f>VLOOKUP(B117,[1]!Table3[[Part Number]:[Make and Model]],2,0)</f>
        <v xml:space="preserve">CAT D3 (1PJ)                                            </v>
      </c>
      <c r="D117" s="22" t="str">
        <f>VLOOKUP(B117,[1]!Table3[[Part Number]:[Part Description]],3,0)</f>
        <v>**FUEL TANK STRAINER**</v>
      </c>
      <c r="E117" s="23">
        <f>VLOOKUP(B117,[1]!Table3[[Part Number]:[Q1 QTY]],7,0)</f>
        <v>2</v>
      </c>
      <c r="F117" s="24">
        <f>VLOOKUP(B117,[1]!Table3[[Part Number]:[OEM CAD $]],4,0)</f>
        <v>127.92</v>
      </c>
      <c r="G117" s="25">
        <f t="shared" si="4"/>
        <v>255.84</v>
      </c>
      <c r="H117" s="25">
        <f>VLOOKUP(B117,[1]!Table3[[Part Number]:[GQP CAD $]],5,0)</f>
        <v>48.61</v>
      </c>
      <c r="I117" s="26">
        <f t="shared" si="5"/>
        <v>97.22</v>
      </c>
    </row>
    <row r="118" spans="2:9" x14ac:dyDescent="0.25">
      <c r="B118" s="54"/>
      <c r="C118" s="22"/>
      <c r="D118" s="22"/>
      <c r="E118" s="23"/>
      <c r="F118" s="24"/>
      <c r="G118" s="25"/>
      <c r="H118" s="25"/>
      <c r="I118" s="26">
        <f t="shared" si="5"/>
        <v>0</v>
      </c>
    </row>
    <row r="119" spans="2:9" x14ac:dyDescent="0.25">
      <c r="B119" s="54"/>
      <c r="C119" s="22"/>
      <c r="D119" s="22"/>
      <c r="E119" s="23"/>
      <c r="F119" s="24"/>
      <c r="G119" s="25"/>
      <c r="H119" s="25"/>
      <c r="I119" s="26">
        <f t="shared" si="5"/>
        <v>0</v>
      </c>
    </row>
    <row r="120" spans="2:9" x14ac:dyDescent="0.25">
      <c r="B120" s="54"/>
      <c r="C120" s="22"/>
      <c r="D120" s="22"/>
      <c r="E120" s="23"/>
      <c r="F120" s="24"/>
      <c r="G120" s="25"/>
      <c r="H120" s="25"/>
      <c r="I120" s="26">
        <f t="shared" si="5"/>
        <v>0</v>
      </c>
    </row>
    <row r="121" spans="2:9" x14ac:dyDescent="0.25">
      <c r="B121" s="54"/>
      <c r="C121" s="22"/>
      <c r="D121" s="22"/>
      <c r="E121" s="23"/>
      <c r="F121" s="24"/>
      <c r="G121" s="25"/>
      <c r="H121" s="25"/>
      <c r="I121" s="26">
        <f t="shared" si="5"/>
        <v>0</v>
      </c>
    </row>
    <row r="122" spans="2:9" x14ac:dyDescent="0.25">
      <c r="B122" s="54"/>
      <c r="C122" s="22"/>
      <c r="D122" s="22"/>
      <c r="E122" s="23"/>
      <c r="F122" s="24"/>
      <c r="G122" s="25"/>
      <c r="H122" s="25"/>
      <c r="I122" s="26">
        <f t="shared" si="5"/>
        <v>0</v>
      </c>
    </row>
    <row r="123" spans="2:9" x14ac:dyDescent="0.25">
      <c r="B123" s="54"/>
      <c r="C123" s="22"/>
      <c r="D123" s="22"/>
      <c r="E123" s="23"/>
      <c r="F123" s="24"/>
      <c r="G123" s="25"/>
      <c r="H123" s="25"/>
      <c r="I123" s="26">
        <f t="shared" si="5"/>
        <v>0</v>
      </c>
    </row>
    <row r="124" spans="2:9" x14ac:dyDescent="0.25">
      <c r="B124" s="54"/>
      <c r="C124" s="22"/>
      <c r="D124" s="22"/>
      <c r="E124" s="23"/>
      <c r="F124" s="24"/>
      <c r="G124" s="25"/>
      <c r="H124" s="25"/>
      <c r="I124" s="26">
        <f t="shared" si="5"/>
        <v>0</v>
      </c>
    </row>
    <row r="125" spans="2:9" x14ac:dyDescent="0.25">
      <c r="B125" s="54"/>
      <c r="C125" s="22"/>
      <c r="D125" s="22"/>
      <c r="E125" s="23"/>
      <c r="F125" s="24"/>
      <c r="G125" s="25"/>
      <c r="H125" s="25"/>
      <c r="I125" s="26">
        <f t="shared" si="5"/>
        <v>0</v>
      </c>
    </row>
    <row r="126" spans="2:9" x14ac:dyDescent="0.25">
      <c r="B126" s="54"/>
      <c r="C126" s="22"/>
      <c r="D126" s="22"/>
      <c r="E126" s="23"/>
      <c r="F126" s="24"/>
      <c r="G126" s="25"/>
      <c r="H126" s="25"/>
      <c r="I126" s="26">
        <f t="shared" si="5"/>
        <v>0</v>
      </c>
    </row>
    <row r="127" spans="2:9" x14ac:dyDescent="0.25">
      <c r="B127" s="84"/>
      <c r="C127" s="85"/>
      <c r="D127" s="85"/>
      <c r="E127" s="85"/>
      <c r="F127" s="86"/>
      <c r="G127" s="27"/>
      <c r="H127" s="28" t="s">
        <v>17</v>
      </c>
      <c r="I127" s="29">
        <f>SUM(I15:I126)</f>
        <v>26978.15</v>
      </c>
    </row>
    <row r="128" spans="2:9" x14ac:dyDescent="0.25">
      <c r="B128" s="30"/>
      <c r="C128" s="31"/>
      <c r="D128" s="32" t="s">
        <v>18</v>
      </c>
      <c r="E128" s="87">
        <f>SUM(G15:G126)</f>
        <v>68587.410000000018</v>
      </c>
      <c r="F128" s="88"/>
      <c r="G128" s="33"/>
      <c r="H128" s="28" t="s">
        <v>19</v>
      </c>
      <c r="I128" s="34">
        <v>0</v>
      </c>
    </row>
    <row r="129" spans="2:9" x14ac:dyDescent="0.25">
      <c r="B129" s="30"/>
      <c r="C129" s="31"/>
      <c r="D129" s="32" t="s">
        <v>20</v>
      </c>
      <c r="E129" s="87">
        <f>SUM(I15:I126)</f>
        <v>26978.15</v>
      </c>
      <c r="F129" s="88"/>
      <c r="G129" s="33"/>
      <c r="H129" s="35" t="s">
        <v>21</v>
      </c>
      <c r="I129" s="34">
        <v>0</v>
      </c>
    </row>
    <row r="130" spans="2:9" x14ac:dyDescent="0.25">
      <c r="B130" s="30"/>
      <c r="C130" s="31"/>
      <c r="D130" s="32" t="s">
        <v>22</v>
      </c>
      <c r="E130" s="97">
        <f>E128-E129</f>
        <v>41609.260000000017</v>
      </c>
      <c r="F130" s="98"/>
      <c r="G130" s="36"/>
      <c r="H130" s="28" t="s">
        <v>23</v>
      </c>
      <c r="I130" s="37">
        <f>SUM(I127:I129)</f>
        <v>26978.15</v>
      </c>
    </row>
    <row r="131" spans="2:9" x14ac:dyDescent="0.25">
      <c r="B131" s="30"/>
      <c r="C131" s="31"/>
      <c r="D131" s="32"/>
      <c r="E131" s="99"/>
      <c r="F131" s="100"/>
      <c r="G131" s="38"/>
      <c r="H131" s="28" t="s">
        <v>24</v>
      </c>
      <c r="I131" s="37">
        <f>I130*0.05</f>
        <v>1348.9075000000003</v>
      </c>
    </row>
    <row r="132" spans="2:9" x14ac:dyDescent="0.25">
      <c r="B132" s="30"/>
      <c r="C132" s="31"/>
      <c r="D132" s="39"/>
      <c r="E132" s="39"/>
      <c r="F132" s="40"/>
      <c r="G132" s="40"/>
      <c r="H132" s="28" t="s">
        <v>25</v>
      </c>
      <c r="I132" s="34"/>
    </row>
    <row r="133" spans="2:9" ht="15.75" x14ac:dyDescent="0.25">
      <c r="B133" s="94" t="s">
        <v>26</v>
      </c>
      <c r="C133" s="95"/>
      <c r="D133" s="95"/>
      <c r="E133" s="95"/>
      <c r="F133" s="96"/>
      <c r="G133" s="41"/>
      <c r="H133" s="42" t="s">
        <v>27</v>
      </c>
      <c r="I133" s="43">
        <f>SUM(I130:I132)</f>
        <v>28327.057500000003</v>
      </c>
    </row>
  </sheetData>
  <mergeCells count="25">
    <mergeCell ref="C10:D10"/>
    <mergeCell ref="C11:D11"/>
    <mergeCell ref="C12:D12"/>
    <mergeCell ref="B133:F133"/>
    <mergeCell ref="E1:F5"/>
    <mergeCell ref="E130:F130"/>
    <mergeCell ref="E131:F131"/>
    <mergeCell ref="C8:D8"/>
    <mergeCell ref="C9:D9"/>
    <mergeCell ref="H1:I5"/>
    <mergeCell ref="F13:I13"/>
    <mergeCell ref="B127:F127"/>
    <mergeCell ref="E128:F128"/>
    <mergeCell ref="E129:F129"/>
    <mergeCell ref="E11:F11"/>
    <mergeCell ref="H11:I11"/>
    <mergeCell ref="E8:F8"/>
    <mergeCell ref="E12:F12"/>
    <mergeCell ref="H12:I12"/>
    <mergeCell ref="E10:F10"/>
    <mergeCell ref="H10:I10"/>
    <mergeCell ref="H8:I8"/>
    <mergeCell ref="E9:F9"/>
    <mergeCell ref="H9:I9"/>
    <mergeCell ref="C7:D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99A78-E5C8-4240-A79F-D4E32981751F}">
  <dimension ref="B1:I133"/>
  <sheetViews>
    <sheetView topLeftCell="A98" workbookViewId="0">
      <selection activeCell="G95" sqref="G1:G1048576"/>
    </sheetView>
  </sheetViews>
  <sheetFormatPr defaultRowHeight="15" x14ac:dyDescent="0.25"/>
  <cols>
    <col min="1" max="1" width="2.7109375" customWidth="1"/>
    <col min="2" max="2" width="15.42578125" customWidth="1"/>
    <col min="3" max="3" width="44.42578125" bestFit="1" customWidth="1"/>
    <col min="4" max="4" width="36" customWidth="1"/>
    <col min="5" max="5" width="7.28515625" customWidth="1"/>
    <col min="6" max="6" width="14.7109375" customWidth="1"/>
    <col min="7" max="7" width="14.7109375" hidden="1" customWidth="1"/>
    <col min="8" max="8" width="14.7109375" customWidth="1"/>
    <col min="9" max="9" width="20.42578125" bestFit="1" customWidth="1"/>
  </cols>
  <sheetData>
    <row r="1" spans="2:9" ht="15" customHeight="1" x14ac:dyDescent="0.25">
      <c r="B1" s="2"/>
      <c r="C1" s="3"/>
      <c r="D1" s="3"/>
      <c r="E1" s="77" t="s">
        <v>28</v>
      </c>
      <c r="F1" s="77"/>
      <c r="G1" s="44"/>
      <c r="H1" s="77" t="s">
        <v>34</v>
      </c>
      <c r="I1" s="78"/>
    </row>
    <row r="2" spans="2:9" ht="15" customHeight="1" x14ac:dyDescent="0.25">
      <c r="B2" s="4"/>
      <c r="E2" s="79"/>
      <c r="F2" s="79"/>
      <c r="G2" s="45"/>
      <c r="H2" s="79"/>
      <c r="I2" s="80"/>
    </row>
    <row r="3" spans="2:9" ht="15" customHeight="1" x14ac:dyDescent="0.25">
      <c r="B3" s="4"/>
      <c r="E3" s="79"/>
      <c r="F3" s="79"/>
      <c r="G3" s="45"/>
      <c r="H3" s="79"/>
      <c r="I3" s="80"/>
    </row>
    <row r="4" spans="2:9" ht="15" customHeight="1" x14ac:dyDescent="0.25">
      <c r="B4" s="4"/>
      <c r="E4" s="79"/>
      <c r="F4" s="79"/>
      <c r="G4" s="45"/>
      <c r="H4" s="79"/>
      <c r="I4" s="80"/>
    </row>
    <row r="5" spans="2:9" ht="15" customHeight="1" x14ac:dyDescent="0.25">
      <c r="B5" s="5"/>
      <c r="C5" s="1"/>
      <c r="D5" s="1"/>
      <c r="E5" s="81"/>
      <c r="F5" s="81"/>
      <c r="G5" s="46"/>
      <c r="H5" s="81"/>
      <c r="I5" s="82"/>
    </row>
    <row r="6" spans="2:9" ht="36" x14ac:dyDescent="0.55000000000000004">
      <c r="B6" s="6"/>
      <c r="C6" s="7"/>
      <c r="D6" s="7"/>
      <c r="E6" s="8"/>
      <c r="F6" s="8"/>
      <c r="G6" s="8"/>
      <c r="H6" s="8"/>
      <c r="I6" s="8"/>
    </row>
    <row r="7" spans="2:9" x14ac:dyDescent="0.25">
      <c r="B7" s="49" t="s">
        <v>7</v>
      </c>
      <c r="C7" s="103" t="s">
        <v>70</v>
      </c>
      <c r="D7" s="104"/>
      <c r="E7" s="9" t="s">
        <v>8</v>
      </c>
      <c r="F7" s="10">
        <v>45870</v>
      </c>
      <c r="G7" s="10"/>
      <c r="H7" s="11" t="s">
        <v>9</v>
      </c>
      <c r="I7" s="12"/>
    </row>
    <row r="8" spans="2:9" x14ac:dyDescent="0.25">
      <c r="B8" s="50" t="s">
        <v>10</v>
      </c>
      <c r="C8" s="101">
        <v>0</v>
      </c>
      <c r="D8" s="101"/>
      <c r="E8" s="89" t="s">
        <v>11</v>
      </c>
      <c r="F8" s="89"/>
      <c r="G8" s="13"/>
      <c r="H8" s="93"/>
      <c r="I8" s="93"/>
    </row>
    <row r="9" spans="2:9" x14ac:dyDescent="0.25">
      <c r="B9" s="50" t="s">
        <v>12</v>
      </c>
      <c r="C9" s="101">
        <v>0</v>
      </c>
      <c r="D9" s="101"/>
      <c r="E9" s="89" t="s">
        <v>13</v>
      </c>
      <c r="F9" s="89"/>
      <c r="G9" s="13"/>
      <c r="H9" s="92"/>
      <c r="I9" s="92"/>
    </row>
    <row r="10" spans="2:9" x14ac:dyDescent="0.25">
      <c r="B10" s="50"/>
      <c r="C10" s="101">
        <v>0</v>
      </c>
      <c r="D10" s="101"/>
      <c r="E10" s="89" t="s">
        <v>14</v>
      </c>
      <c r="F10" s="89"/>
      <c r="G10" s="13"/>
      <c r="H10" s="90"/>
      <c r="I10" s="90"/>
    </row>
    <row r="11" spans="2:9" x14ac:dyDescent="0.25">
      <c r="B11" s="50"/>
      <c r="C11" s="101">
        <v>0</v>
      </c>
      <c r="D11" s="101"/>
      <c r="E11" s="89"/>
      <c r="F11" s="89"/>
      <c r="G11" s="13"/>
      <c r="H11" s="90"/>
      <c r="I11" s="90"/>
    </row>
    <row r="12" spans="2:9" x14ac:dyDescent="0.25">
      <c r="B12" s="51"/>
      <c r="C12" s="101">
        <v>0</v>
      </c>
      <c r="D12" s="101"/>
      <c r="E12" s="102"/>
      <c r="F12" s="102"/>
      <c r="G12" s="14"/>
      <c r="H12" s="91"/>
      <c r="I12" s="91"/>
    </row>
    <row r="13" spans="2:9" ht="15.75" thickBot="1" x14ac:dyDescent="0.3">
      <c r="B13" s="15"/>
      <c r="C13" s="16"/>
      <c r="D13" s="16"/>
      <c r="E13" s="16"/>
      <c r="F13" s="83" t="s">
        <v>3</v>
      </c>
      <c r="G13" s="83"/>
      <c r="H13" s="83"/>
      <c r="I13" s="83"/>
    </row>
    <row r="14" spans="2:9" ht="15.75" thickBot="1" x14ac:dyDescent="0.3">
      <c r="B14" s="56" t="s">
        <v>0</v>
      </c>
      <c r="C14" s="18" t="s">
        <v>15</v>
      </c>
      <c r="D14" s="19" t="s">
        <v>1</v>
      </c>
      <c r="E14" s="20" t="s">
        <v>2</v>
      </c>
      <c r="F14" s="20" t="s">
        <v>4</v>
      </c>
      <c r="G14" s="20"/>
      <c r="H14" s="20" t="s">
        <v>5</v>
      </c>
      <c r="I14" s="21" t="s">
        <v>16</v>
      </c>
    </row>
    <row r="15" spans="2:9" x14ac:dyDescent="0.25">
      <c r="B15" s="63">
        <v>7008043</v>
      </c>
      <c r="C15" s="22" t="str">
        <f>VLOOKUP(B15,[1]!Table3[[Part Number]:[Make and Model]],2,0)</f>
        <v xml:space="preserve">BOBCAT S650 (A3N)                                            </v>
      </c>
      <c r="D15" s="22" t="str">
        <f>VLOOKUP(B15,[1]!Table3[[Part Number]:[Part Description]],3,0)</f>
        <v>PRIMARY AIR FILTER ELEMENT (OUTER)</v>
      </c>
      <c r="E15" s="23">
        <f>VLOOKUP(B15,[1]!Table3[[Part Number]:[Q2 QTY]],8,0)</f>
        <v>0</v>
      </c>
      <c r="F15" s="24">
        <f>VLOOKUP(B15,[1]!Table3[[Part Number]:[OEM CAD $]],4,0)</f>
        <v>62.49</v>
      </c>
      <c r="G15" s="25">
        <f>E15*F15</f>
        <v>0</v>
      </c>
      <c r="H15" s="25">
        <f>VLOOKUP(B15,[1]!Table3[[Part Number]:[GQP CAD $]],5,0)</f>
        <v>23.75</v>
      </c>
      <c r="I15" s="26">
        <f t="shared" ref="I15:I106" si="0">ROUND(E15*H15,2)</f>
        <v>0</v>
      </c>
    </row>
    <row r="16" spans="2:9" x14ac:dyDescent="0.25">
      <c r="B16" s="62">
        <v>7008044</v>
      </c>
      <c r="C16" s="22" t="str">
        <f>VLOOKUP(B16,[1]!Table3[[Part Number]:[Make and Model]],2,0)</f>
        <v xml:space="preserve">BOBCAT S650 (A3N)                                            </v>
      </c>
      <c r="D16" s="22" t="str">
        <f>VLOOKUP(B16,[1]!Table3[[Part Number]:[Part Description]],3,0)</f>
        <v>SECONDARY AIR FILTER ELEMENT</v>
      </c>
      <c r="E16" s="23">
        <f>VLOOKUP(B16,[1]!Table3[[Part Number]:[Q2 QTY]],8,0)</f>
        <v>0</v>
      </c>
      <c r="F16" s="24">
        <f>VLOOKUP(B16,[1]!Table3[[Part Number]:[OEM CAD $]],4,0)</f>
        <v>39.99</v>
      </c>
      <c r="G16" s="25">
        <f t="shared" ref="G16:G35" si="1">E16*F16</f>
        <v>0</v>
      </c>
      <c r="H16" s="25">
        <f>VLOOKUP(B16,[1]!Table3[[Part Number]:[GQP CAD $]],5,0)</f>
        <v>15.2</v>
      </c>
      <c r="I16" s="26">
        <f t="shared" si="0"/>
        <v>0</v>
      </c>
    </row>
    <row r="17" spans="2:9" x14ac:dyDescent="0.25">
      <c r="B17" s="62">
        <v>7010031</v>
      </c>
      <c r="C17" s="22" t="str">
        <f>VLOOKUP(B17,[1]!Table3[[Part Number]:[Make and Model]],2,0)</f>
        <v xml:space="preserve">BOBCAT T750 (ANK) BOBCAT T750 (ATF) BOBCAT T770 (AT6) BOBCAT T770 (AT6) (2)                                      </v>
      </c>
      <c r="D17" s="22" t="str">
        <f>VLOOKUP(B17,[1]!Table3[[Part Number]:[Part Description]],3,0)</f>
        <v>SECONDARY AIR FILTER ELEMENT</v>
      </c>
      <c r="E17" s="23">
        <f>VLOOKUP(B17,[1]!Table3[[Part Number]:[Q2 QTY]],8,0)</f>
        <v>0</v>
      </c>
      <c r="F17" s="24">
        <f>VLOOKUP(B17,[1]!Table3[[Part Number]:[OEM CAD $]],4,0)</f>
        <v>103.99</v>
      </c>
      <c r="G17" s="25">
        <f t="shared" si="1"/>
        <v>0</v>
      </c>
      <c r="H17" s="25">
        <f>VLOOKUP(B17,[1]!Table3[[Part Number]:[GQP CAD $]],5,0)</f>
        <v>39.520000000000003</v>
      </c>
      <c r="I17" s="26">
        <f t="shared" si="0"/>
        <v>0</v>
      </c>
    </row>
    <row r="18" spans="2:9" x14ac:dyDescent="0.25">
      <c r="B18" s="62">
        <v>7286652</v>
      </c>
      <c r="C18" s="22" t="str">
        <f>VLOOKUP(B18,[1]!Table3[[Part Number]:[Make and Model]],2,0)</f>
        <v xml:space="preserve">BOBCAT T750 (ANK) BOBCAT T750 (ATF) BOBCAT T770 (AT6) BOBCAT T770 (AT6) (2)                                      </v>
      </c>
      <c r="D18" s="22" t="str">
        <f>VLOOKUP(B18,[1]!Table3[[Part Number]:[Part Description]],3,0)</f>
        <v>PRIMARY AIR FILTER ELEMENT (OUTER)</v>
      </c>
      <c r="E18" s="23">
        <f>VLOOKUP(B18,[1]!Table3[[Part Number]:[Q2 QTY]],8,0)</f>
        <v>0</v>
      </c>
      <c r="F18" s="24">
        <f>VLOOKUP(B18,[1]!Table3[[Part Number]:[OEM CAD $]],4,0)</f>
        <v>140.99</v>
      </c>
      <c r="G18" s="25">
        <f t="shared" si="1"/>
        <v>0</v>
      </c>
      <c r="H18" s="25">
        <f>VLOOKUP(B18,[1]!Table3[[Part Number]:[GQP CAD $]],5,0)</f>
        <v>53.58</v>
      </c>
      <c r="I18" s="26">
        <f t="shared" si="0"/>
        <v>0</v>
      </c>
    </row>
    <row r="19" spans="2:9" x14ac:dyDescent="0.25">
      <c r="B19" s="62" t="s">
        <v>95</v>
      </c>
      <c r="C19" s="22" t="str">
        <f>VLOOKUP(B19,[1]!Table3[[Part Number]:[Make and Model]],2,0)</f>
        <v xml:space="preserve">CAT 299D (DX2)                                            </v>
      </c>
      <c r="D19" s="22" t="str">
        <f>VLOOKUP(B19,[1]!Table3[[Part Number]:[Part Description]],3,0)</f>
        <v>PRIMARY AIR FILTER ELEMENT</v>
      </c>
      <c r="E19" s="23">
        <f>VLOOKUP(B19,[1]!Table3[[Part Number]:[Q2 QTY]],8,0)</f>
        <v>0</v>
      </c>
      <c r="F19" s="24">
        <f>VLOOKUP(B19,[1]!Table3[[Part Number]:[OEM CAD $]],4,0)</f>
        <v>76.02</v>
      </c>
      <c r="G19" s="25">
        <f t="shared" si="1"/>
        <v>0</v>
      </c>
      <c r="H19" s="25">
        <f>VLOOKUP(B19,[1]!Table3[[Part Number]:[GQP CAD $]],5,0)</f>
        <v>28.89</v>
      </c>
      <c r="I19" s="26">
        <f t="shared" si="0"/>
        <v>0</v>
      </c>
    </row>
    <row r="20" spans="2:9" x14ac:dyDescent="0.25">
      <c r="B20" s="62" t="s">
        <v>96</v>
      </c>
      <c r="C20" s="22" t="str">
        <f>VLOOKUP(B20,[1]!Table3[[Part Number]:[Make and Model]],2,0)</f>
        <v xml:space="preserve">CAT 299D (DX2)                                            </v>
      </c>
      <c r="D20" s="22" t="str">
        <f>VLOOKUP(B20,[1]!Table3[[Part Number]:[Part Description]],3,0)</f>
        <v>SECONDARY AIR FILTER ELEMENT</v>
      </c>
      <c r="E20" s="23">
        <f>VLOOKUP(B20,[1]!Table3[[Part Number]:[Q2 QTY]],8,0)</f>
        <v>0</v>
      </c>
      <c r="F20" s="24">
        <f>VLOOKUP(B20,[1]!Table3[[Part Number]:[OEM CAD $]],4,0)</f>
        <v>54.17</v>
      </c>
      <c r="G20" s="25">
        <f t="shared" si="1"/>
        <v>0</v>
      </c>
      <c r="H20" s="25">
        <f>VLOOKUP(B20,[1]!Table3[[Part Number]:[GQP CAD $]],5,0)</f>
        <v>20.58</v>
      </c>
      <c r="I20" s="26">
        <f t="shared" si="0"/>
        <v>0</v>
      </c>
    </row>
    <row r="21" spans="2:9" x14ac:dyDescent="0.25">
      <c r="B21" s="62" t="s">
        <v>97</v>
      </c>
      <c r="C21" s="22" t="str">
        <f>VLOOKUP(B21,[1]!Table3[[Part Number]:[Make and Model]],2,0)</f>
        <v xml:space="preserve">CAT D6T (MH7)                                            </v>
      </c>
      <c r="D21" s="22" t="str">
        <f>VLOOKUP(B21,[1]!Table3[[Part Number]:[Part Description]],3,0)</f>
        <v>CABIN AIR FILTER ELEMENT</v>
      </c>
      <c r="E21" s="23">
        <f>VLOOKUP(B21,[1]!Table3[[Part Number]:[Q2 QTY]],8,0)</f>
        <v>0</v>
      </c>
      <c r="F21" s="24">
        <f>VLOOKUP(B21,[1]!Table3[[Part Number]:[OEM CAD $]],4,0)</f>
        <v>43.37</v>
      </c>
      <c r="G21" s="25">
        <f t="shared" si="1"/>
        <v>0</v>
      </c>
      <c r="H21" s="25">
        <f>VLOOKUP(B21,[1]!Table3[[Part Number]:[GQP CAD $]],5,0)</f>
        <v>16.48</v>
      </c>
      <c r="I21" s="26">
        <f t="shared" si="0"/>
        <v>0</v>
      </c>
    </row>
    <row r="22" spans="2:9" x14ac:dyDescent="0.25">
      <c r="B22" s="62" t="s">
        <v>98</v>
      </c>
      <c r="C22" s="22" t="str">
        <f>VLOOKUP(B22,[1]!Table3[[Part Number]:[Make and Model]],2,0)</f>
        <v xml:space="preserve">CAT 320E L (WBK) CAT 320E L (WBK) (2) CAT 320F L (YBM)                                        </v>
      </c>
      <c r="D22" s="22" t="str">
        <f>VLOOKUP(B22,[1]!Table3[[Part Number]:[Part Description]],3,0)</f>
        <v>SECONDARY AIR FILTER ELEMENT</v>
      </c>
      <c r="E22" s="23">
        <f>VLOOKUP(B22,[1]!Table3[[Part Number]:[Q2 QTY]],8,0)</f>
        <v>0</v>
      </c>
      <c r="F22" s="24">
        <f>VLOOKUP(B22,[1]!Table3[[Part Number]:[OEM CAD $]],4,0)</f>
        <v>97.91</v>
      </c>
      <c r="G22" s="25">
        <f t="shared" si="1"/>
        <v>0</v>
      </c>
      <c r="H22" s="25">
        <f>VLOOKUP(B22,[1]!Table3[[Part Number]:[GQP CAD $]],5,0)</f>
        <v>37.21</v>
      </c>
      <c r="I22" s="26">
        <f t="shared" si="0"/>
        <v>0</v>
      </c>
    </row>
    <row r="23" spans="2:9" x14ac:dyDescent="0.25">
      <c r="B23" s="62" t="s">
        <v>99</v>
      </c>
      <c r="C23" s="22" t="str">
        <f>VLOOKUP(B23,[1]!Table3[[Part Number]:[Make and Model]],2,0)</f>
        <v xml:space="preserve">CAT 320E L (WBK) CAT 320E L (WBK) (2) CAT 320F L (YBM)                                        </v>
      </c>
      <c r="D23" s="22" t="str">
        <f>VLOOKUP(B23,[1]!Table3[[Part Number]:[Part Description]],3,0)</f>
        <v>PRIMARY AIR FILTER ELEMENT</v>
      </c>
      <c r="E23" s="23">
        <f>VLOOKUP(B23,[1]!Table3[[Part Number]:[Q2 QTY]],8,0)</f>
        <v>0</v>
      </c>
      <c r="F23" s="24">
        <f>VLOOKUP(B23,[1]!Table3[[Part Number]:[OEM CAD $]],4,0)</f>
        <v>120.35</v>
      </c>
      <c r="G23" s="25">
        <f t="shared" si="1"/>
        <v>0</v>
      </c>
      <c r="H23" s="25">
        <f>VLOOKUP(B23,[1]!Table3[[Part Number]:[GQP CAD $]],5,0)</f>
        <v>45.73</v>
      </c>
      <c r="I23" s="26">
        <f t="shared" si="0"/>
        <v>0</v>
      </c>
    </row>
    <row r="24" spans="2:9" x14ac:dyDescent="0.25">
      <c r="B24" s="62" t="s">
        <v>100</v>
      </c>
      <c r="C24" s="22" t="str">
        <f>VLOOKUP(B24,[1]!Table3[[Part Number]:[Make and Model]],2,0)</f>
        <v xml:space="preserve">CAT 303.5E                                            </v>
      </c>
      <c r="D24" s="22" t="str">
        <f>VLOOKUP(B24,[1]!Table3[[Part Number]:[Part Description]],3,0)</f>
        <v>PRIMARY AIR FILTER ELEMENT</v>
      </c>
      <c r="E24" s="23">
        <f>VLOOKUP(B24,[1]!Table3[[Part Number]:[Q2 QTY]],8,0)</f>
        <v>0</v>
      </c>
      <c r="F24" s="24">
        <f>VLOOKUP(B24,[1]!Table3[[Part Number]:[OEM CAD $]],4,0)</f>
        <v>67.33</v>
      </c>
      <c r="G24" s="25">
        <f t="shared" si="1"/>
        <v>0</v>
      </c>
      <c r="H24" s="25">
        <f>VLOOKUP(B24,[1]!Table3[[Part Number]:[GQP CAD $]],5,0)</f>
        <v>25.59</v>
      </c>
      <c r="I24" s="26">
        <f t="shared" si="0"/>
        <v>0</v>
      </c>
    </row>
    <row r="25" spans="2:9" x14ac:dyDescent="0.25">
      <c r="B25" s="62" t="s">
        <v>101</v>
      </c>
      <c r="C25" s="22" t="str">
        <f>VLOOKUP(B25,[1]!Table3[[Part Number]:[Make and Model]],2,0)</f>
        <v xml:space="preserve">CAT 303.5E                                            </v>
      </c>
      <c r="D25" s="22" t="str">
        <f>VLOOKUP(B25,[1]!Table3[[Part Number]:[Part Description]],3,0)</f>
        <v>SECONDARY AIR FILTER ELEMENT</v>
      </c>
      <c r="E25" s="23">
        <f>VLOOKUP(B25,[1]!Table3[[Part Number]:[Q2 QTY]],8,0)</f>
        <v>0</v>
      </c>
      <c r="F25" s="24">
        <f>VLOOKUP(B25,[1]!Table3[[Part Number]:[OEM CAD $]],4,0)</f>
        <v>61.69</v>
      </c>
      <c r="G25" s="25">
        <f t="shared" si="1"/>
        <v>0</v>
      </c>
      <c r="H25" s="25">
        <f>VLOOKUP(B25,[1]!Table3[[Part Number]:[GQP CAD $]],5,0)</f>
        <v>23.44</v>
      </c>
      <c r="I25" s="26">
        <f t="shared" si="0"/>
        <v>0</v>
      </c>
    </row>
    <row r="26" spans="2:9" x14ac:dyDescent="0.25">
      <c r="B26" s="62" t="s">
        <v>102</v>
      </c>
      <c r="C26" s="22" t="str">
        <f>VLOOKUP(B26,[1]!Table3[[Part Number]:[Make and Model]],2,0)</f>
        <v xml:space="preserve">CAT 336F L (RKB)                                            </v>
      </c>
      <c r="D26" s="22" t="str">
        <f>VLOOKUP(B26,[1]!Table3[[Part Number]:[Part Description]],3,0)</f>
        <v>PRIMARY AIR FILTER ELEMENT</v>
      </c>
      <c r="E26" s="23">
        <f>VLOOKUP(B26,[1]!Table3[[Part Number]:[Q2 QTY]],8,0)</f>
        <v>0</v>
      </c>
      <c r="F26" s="24">
        <f>VLOOKUP(B26,[1]!Table3[[Part Number]:[OEM CAD $]],4,0)</f>
        <v>201.81</v>
      </c>
      <c r="G26" s="25">
        <f t="shared" si="1"/>
        <v>0</v>
      </c>
      <c r="H26" s="25">
        <f>VLOOKUP(B26,[1]!Table3[[Part Number]:[GQP CAD $]],5,0)</f>
        <v>76.69</v>
      </c>
      <c r="I26" s="26">
        <f t="shared" si="0"/>
        <v>0</v>
      </c>
    </row>
    <row r="27" spans="2:9" x14ac:dyDescent="0.25">
      <c r="B27" s="62" t="s">
        <v>103</v>
      </c>
      <c r="C27" s="22" t="str">
        <f>VLOOKUP(B27,[1]!Table3[[Part Number]:[Make and Model]],2,0)</f>
        <v xml:space="preserve">CAT 336F L (RKB)                                            </v>
      </c>
      <c r="D27" s="22" t="str">
        <f>VLOOKUP(B27,[1]!Table3[[Part Number]:[Part Description]],3,0)</f>
        <v>SECONDARY AIR FILTER ELEMENT</v>
      </c>
      <c r="E27" s="23">
        <f>VLOOKUP(B27,[1]!Table3[[Part Number]:[Q2 QTY]],8,0)</f>
        <v>0</v>
      </c>
      <c r="F27" s="24">
        <f>VLOOKUP(B27,[1]!Table3[[Part Number]:[OEM CAD $]],4,0)</f>
        <v>119.45</v>
      </c>
      <c r="G27" s="25">
        <f t="shared" si="1"/>
        <v>0</v>
      </c>
      <c r="H27" s="25">
        <f>VLOOKUP(B27,[1]!Table3[[Part Number]:[GQP CAD $]],5,0)</f>
        <v>45.39</v>
      </c>
      <c r="I27" s="26">
        <f t="shared" si="0"/>
        <v>0</v>
      </c>
    </row>
    <row r="28" spans="2:9" x14ac:dyDescent="0.25">
      <c r="B28" s="62" t="s">
        <v>104</v>
      </c>
      <c r="C28" s="22" t="str">
        <f>VLOOKUP(B28,[1]!Table3[[Part Number]:[Make and Model]],2,0)</f>
        <v xml:space="preserve">CAT D6N LGP (PBA) CAT D6N LGP (PBA) (2)                                          </v>
      </c>
      <c r="D28" s="22" t="str">
        <f>VLOOKUP(B28,[1]!Table3[[Part Number]:[Part Description]],3,0)</f>
        <v>PRIMARY CABIN AIR FILTER ELEMENT</v>
      </c>
      <c r="E28" s="23">
        <f>VLOOKUP(B28,[1]!Table3[[Part Number]:[Q2 QTY]],8,0)</f>
        <v>0</v>
      </c>
      <c r="F28" s="24">
        <f>VLOOKUP(B28,[1]!Table3[[Part Number]:[OEM CAD $]],4,0)</f>
        <v>112.48</v>
      </c>
      <c r="G28" s="25">
        <f t="shared" si="1"/>
        <v>0</v>
      </c>
      <c r="H28" s="25">
        <f>VLOOKUP(B28,[1]!Table3[[Part Number]:[GQP CAD $]],5,0)</f>
        <v>42.74</v>
      </c>
      <c r="I28" s="26">
        <f t="shared" si="0"/>
        <v>0</v>
      </c>
    </row>
    <row r="29" spans="2:9" x14ac:dyDescent="0.25">
      <c r="B29" s="62" t="s">
        <v>41</v>
      </c>
      <c r="C29" s="22" t="str">
        <f>VLOOKUP(B29,[1]!Table3[[Part Number]:[Make and Model]],2,0)</f>
        <v xml:space="preserve">CAT PL61 (WGS) CAT PL61 (WGS) (2) CAT PL61 (WGS) (3)                                        </v>
      </c>
      <c r="D29" s="22" t="str">
        <f>VLOOKUP(B29,[1]!Table3[[Part Number]:[Part Description]],3,0)</f>
        <v>CABIN AIR FILTER ELEMENT</v>
      </c>
      <c r="E29" s="23">
        <f>VLOOKUP(B29,[1]!Table3[[Part Number]:[Q2 QTY]],8,0)</f>
        <v>0</v>
      </c>
      <c r="F29" s="24">
        <f>VLOOKUP(B29,[1]!Table3[[Part Number]:[OEM CAD $]],4,0)</f>
        <v>85.17</v>
      </c>
      <c r="G29" s="25">
        <f t="shared" si="1"/>
        <v>0</v>
      </c>
      <c r="H29" s="25">
        <f>VLOOKUP(B29,[1]!Table3[[Part Number]:[GQP CAD $]],5,0)</f>
        <v>32.36</v>
      </c>
      <c r="I29" s="26">
        <f t="shared" si="0"/>
        <v>0</v>
      </c>
    </row>
    <row r="30" spans="2:9" x14ac:dyDescent="0.25">
      <c r="B30" s="62" t="s">
        <v>45</v>
      </c>
      <c r="C30" s="22" t="str">
        <f>VLOOKUP(B30,[1]!Table3[[Part Number]:[Make and Model]],2,0)</f>
        <v xml:space="preserve">CAT D6N LGP (GHS) CAT PL61 (WGS) CAT PL61 (WGS) (2) CAT PL61 (WGS) (3)                                      </v>
      </c>
      <c r="D30" s="22" t="str">
        <f>VLOOKUP(B30,[1]!Table3[[Part Number]:[Part Description]],3,0)</f>
        <v>PRIMARY AIR FILTER ELEMENT</v>
      </c>
      <c r="E30" s="23">
        <f>VLOOKUP(B30,[1]!Table3[[Part Number]:[Q2 QTY]],8,0)</f>
        <v>0</v>
      </c>
      <c r="F30" s="24">
        <f>VLOOKUP(B30,[1]!Table3[[Part Number]:[OEM CAD $]],4,0)</f>
        <v>221.03</v>
      </c>
      <c r="G30" s="25">
        <f t="shared" si="1"/>
        <v>0</v>
      </c>
      <c r="H30" s="25">
        <f>VLOOKUP(B30,[1]!Table3[[Part Number]:[GQP CAD $]],5,0)</f>
        <v>83.99</v>
      </c>
      <c r="I30" s="26">
        <f t="shared" si="0"/>
        <v>0</v>
      </c>
    </row>
    <row r="31" spans="2:9" x14ac:dyDescent="0.25">
      <c r="B31" s="62" t="s">
        <v>46</v>
      </c>
      <c r="C31" s="22" t="str">
        <f>VLOOKUP(B31,[1]!Table3[[Part Number]:[Make and Model]],2,0)</f>
        <v xml:space="preserve">CAT D6N LGP (GHS) CAT PL61 (WGS) CAT PL61 (WGS) (2) CAT PL61 (WGS) (3)                                      </v>
      </c>
      <c r="D31" s="22" t="str">
        <f>VLOOKUP(B31,[1]!Table3[[Part Number]:[Part Description]],3,0)</f>
        <v>SECONDARY AIR FILTER ELEMENT</v>
      </c>
      <c r="E31" s="23">
        <f>VLOOKUP(B31,[1]!Table3[[Part Number]:[Q2 QTY]],8,0)</f>
        <v>0</v>
      </c>
      <c r="F31" s="24">
        <f>VLOOKUP(B31,[1]!Table3[[Part Number]:[OEM CAD $]],4,0)</f>
        <v>152.66999999999999</v>
      </c>
      <c r="G31" s="25">
        <f t="shared" si="1"/>
        <v>0</v>
      </c>
      <c r="H31" s="25">
        <f>VLOOKUP(B31,[1]!Table3[[Part Number]:[GQP CAD $]],5,0)</f>
        <v>58.01</v>
      </c>
      <c r="I31" s="26">
        <f t="shared" si="0"/>
        <v>0</v>
      </c>
    </row>
    <row r="32" spans="2:9" x14ac:dyDescent="0.25">
      <c r="B32" s="62" t="s">
        <v>105</v>
      </c>
      <c r="C32" s="22" t="str">
        <f>VLOOKUP(B32,[1]!Table3[[Part Number]:[Make and Model]],2,0)</f>
        <v xml:space="preserve">CAT 299D (DX2)                                            </v>
      </c>
      <c r="D32" s="22" t="str">
        <f>VLOOKUP(B32,[1]!Table3[[Part Number]:[Part Description]],3,0)</f>
        <v>CABIN AIR FILTER ELEMENT</v>
      </c>
      <c r="E32" s="23">
        <f>VLOOKUP(B32,[1]!Table3[[Part Number]:[Q2 QTY]],8,0)</f>
        <v>0</v>
      </c>
      <c r="F32" s="24">
        <f>VLOOKUP(B32,[1]!Table3[[Part Number]:[OEM CAD $]],4,0)</f>
        <v>37.51</v>
      </c>
      <c r="G32" s="25">
        <f t="shared" si="1"/>
        <v>0</v>
      </c>
      <c r="H32" s="25">
        <f>VLOOKUP(B32,[1]!Table3[[Part Number]:[GQP CAD $]],5,0)</f>
        <v>14.25</v>
      </c>
      <c r="I32" s="26">
        <f t="shared" si="0"/>
        <v>0</v>
      </c>
    </row>
    <row r="33" spans="2:9" x14ac:dyDescent="0.25">
      <c r="B33" s="62" t="s">
        <v>106</v>
      </c>
      <c r="C33" s="22" t="str">
        <f>VLOOKUP(B33,[1]!Table3[[Part Number]:[Make and Model]],2,0)</f>
        <v xml:space="preserve">CAT 303.5E                                            </v>
      </c>
      <c r="D33" s="22" t="str">
        <f>VLOOKUP(B33,[1]!Table3[[Part Number]:[Part Description]],3,0)</f>
        <v>CABIN AIR FILTER ELEMENT</v>
      </c>
      <c r="E33" s="23">
        <f>VLOOKUP(B33,[1]!Table3[[Part Number]:[Q2 QTY]],8,0)</f>
        <v>0</v>
      </c>
      <c r="F33" s="24">
        <f>VLOOKUP(B33,[1]!Table3[[Part Number]:[OEM CAD $]],4,0)</f>
        <v>98.39</v>
      </c>
      <c r="G33" s="25">
        <f t="shared" si="1"/>
        <v>0</v>
      </c>
      <c r="H33" s="25">
        <f>VLOOKUP(B33,[1]!Table3[[Part Number]:[GQP CAD $]],5,0)</f>
        <v>37.39</v>
      </c>
      <c r="I33" s="26">
        <f t="shared" si="0"/>
        <v>0</v>
      </c>
    </row>
    <row r="34" spans="2:9" x14ac:dyDescent="0.25">
      <c r="B34" s="62" t="s">
        <v>107</v>
      </c>
      <c r="C34" s="22" t="str">
        <f>VLOOKUP(B34,[1]!Table3[[Part Number]:[Make and Model]],2,0)</f>
        <v xml:space="preserve">CAT D4 (66J)                                            </v>
      </c>
      <c r="D34" s="22" t="str">
        <f>VLOOKUP(B34,[1]!Table3[[Part Number]:[Part Description]],3,0)</f>
        <v>SECONDARY AIR FILTER ELEMENT</v>
      </c>
      <c r="E34" s="23">
        <f>VLOOKUP(B34,[1]!Table3[[Part Number]:[Q2 QTY]],8,0)</f>
        <v>0</v>
      </c>
      <c r="F34" s="24">
        <f>VLOOKUP(B34,[1]!Table3[[Part Number]:[OEM CAD $]],4,0)</f>
        <v>111.66</v>
      </c>
      <c r="G34" s="25">
        <f t="shared" si="1"/>
        <v>0</v>
      </c>
      <c r="H34" s="25">
        <f>VLOOKUP(B34,[1]!Table3[[Part Number]:[GQP CAD $]],5,0)</f>
        <v>42.43</v>
      </c>
      <c r="I34" s="26">
        <f t="shared" si="0"/>
        <v>0</v>
      </c>
    </row>
    <row r="35" spans="2:9" x14ac:dyDescent="0.25">
      <c r="B35" s="62" t="s">
        <v>108</v>
      </c>
      <c r="C35" s="22" t="str">
        <f>VLOOKUP(B35,[1]!Table3[[Part Number]:[Make and Model]],2,0)</f>
        <v xml:space="preserve">CAT 561 (85H) CAT 561 (92J) CAT 561 (92J) (2)                                        </v>
      </c>
      <c r="D35" s="22" t="str">
        <f>VLOOKUP(B35,[1]!Table3[[Part Number]:[Part Description]],3,0)</f>
        <v>SECONDARY AIR FILTER</v>
      </c>
      <c r="E35" s="23">
        <f>VLOOKUP(B35,[1]!Table3[[Part Number]:[Q2 QTY]],8,0)</f>
        <v>0</v>
      </c>
      <c r="F35" s="24">
        <f>VLOOKUP(B35,[1]!Table3[[Part Number]:[OEM CAD $]],4,0)</f>
        <v>160.44</v>
      </c>
      <c r="G35" s="25">
        <f t="shared" si="1"/>
        <v>0</v>
      </c>
      <c r="H35" s="25">
        <f>VLOOKUP(B35,[1]!Table3[[Part Number]:[GQP CAD $]],5,0)</f>
        <v>60.97</v>
      </c>
      <c r="I35" s="26">
        <f t="shared" si="0"/>
        <v>0</v>
      </c>
    </row>
    <row r="36" spans="2:9" x14ac:dyDescent="0.25">
      <c r="B36" s="62" t="s">
        <v>109</v>
      </c>
      <c r="C36" s="22" t="str">
        <f>VLOOKUP(B36,[1]!Table3[[Part Number]:[Make and Model]],2,0)</f>
        <v xml:space="preserve">CAT D6N LGP (PBA) CAT D6N LGP (PBA) (2) CAT D6N LGP (SGG) CAT D6N LGP (SGG) (2)                                      </v>
      </c>
      <c r="D36" s="22" t="str">
        <f>VLOOKUP(B36,[1]!Table3[[Part Number]:[Part Description]],3,0)</f>
        <v>SECONDARY CABIN AIR FILTER ELEMENT</v>
      </c>
      <c r="E36" s="23">
        <f>VLOOKUP(B36,[1]!Table3[[Part Number]:[Q2 QTY]],8,0)</f>
        <v>0</v>
      </c>
      <c r="F36" s="24">
        <f>VLOOKUP(B36,[1]!Table3[[Part Number]:[OEM CAD $]],4,0)</f>
        <v>79.09</v>
      </c>
      <c r="G36" s="25">
        <f t="shared" ref="G36:G99" si="2">E36*F36</f>
        <v>0</v>
      </c>
      <c r="H36" s="25">
        <f>VLOOKUP(B36,[1]!Table3[[Part Number]:[GQP CAD $]],5,0)</f>
        <v>30.05</v>
      </c>
      <c r="I36" s="26">
        <f t="shared" si="0"/>
        <v>0</v>
      </c>
    </row>
    <row r="37" spans="2:9" x14ac:dyDescent="0.25">
      <c r="B37" s="62" t="s">
        <v>110</v>
      </c>
      <c r="C37" s="22" t="str">
        <f>VLOOKUP(B37,[1]!Table3[[Part Number]:[Make and Model]],2,0)</f>
        <v xml:space="preserve">CAT D6 (RDC) CAT D6T (MH7) CAT 561N (CPH) CAT 561N (CPH) (2) CAT 561N (CPH) (3) CAT 561N (CPH) (4) CAT 561N (CPH) (5)                                </v>
      </c>
      <c r="D37" s="22" t="str">
        <f>VLOOKUP(B37,[1]!Table3[[Part Number]:[Part Description]],3,0)</f>
        <v>SECONDARY AIR FILTER ELEMENT</v>
      </c>
      <c r="E37" s="23">
        <f>VLOOKUP(B37,[1]!Table3[[Part Number]:[Q2 QTY]],8,0)</f>
        <v>0</v>
      </c>
      <c r="F37" s="24">
        <f>VLOOKUP(B37,[1]!Table3[[Part Number]:[OEM CAD $]],4,0)</f>
        <v>109.02</v>
      </c>
      <c r="G37" s="25">
        <f t="shared" si="2"/>
        <v>0</v>
      </c>
      <c r="H37" s="25">
        <f>VLOOKUP(B37,[1]!Table3[[Part Number]:[GQP CAD $]],5,0)</f>
        <v>41.43</v>
      </c>
      <c r="I37" s="26">
        <f t="shared" si="0"/>
        <v>0</v>
      </c>
    </row>
    <row r="38" spans="2:9" x14ac:dyDescent="0.25">
      <c r="B38" s="62" t="s">
        <v>111</v>
      </c>
      <c r="C38" s="22" t="str">
        <f>VLOOKUP(B38,[1]!Table3[[Part Number]:[Make and Model]],2,0)</f>
        <v xml:space="preserve">CAT D6N LGP (PBA) CAT D6N LGP (PBA) (2)                                          </v>
      </c>
      <c r="D38" s="22" t="str">
        <f>VLOOKUP(B38,[1]!Table3[[Part Number]:[Part Description]],3,0)</f>
        <v>SECONDARY AIR FILTER ELEMENT</v>
      </c>
      <c r="E38" s="23">
        <f>VLOOKUP(B38,[1]!Table3[[Part Number]:[Q2 QTY]],8,0)</f>
        <v>0</v>
      </c>
      <c r="F38" s="24">
        <f>VLOOKUP(B38,[1]!Table3[[Part Number]:[OEM CAD $]],4,0)</f>
        <v>137.53</v>
      </c>
      <c r="G38" s="25">
        <f t="shared" si="2"/>
        <v>0</v>
      </c>
      <c r="H38" s="25">
        <f>VLOOKUP(B38,[1]!Table3[[Part Number]:[GQP CAD $]],5,0)</f>
        <v>52.26</v>
      </c>
      <c r="I38" s="26">
        <f t="shared" si="0"/>
        <v>0</v>
      </c>
    </row>
    <row r="39" spans="2:9" x14ac:dyDescent="0.25">
      <c r="B39" s="62" t="s">
        <v>112</v>
      </c>
      <c r="C39" s="22" t="str">
        <f>VLOOKUP(B39,[1]!Table3[[Part Number]:[Make and Model]],2,0)</f>
        <v xml:space="preserve">CAT 329E L (ZCD) CAT 329F L (ERL) CAT 329F L (ERL) (2) CAT 330F L (MBX) CAT 330F L (HCK) CAT 330F L (HCK) (2)                                  </v>
      </c>
      <c r="D39" s="22" t="str">
        <f>VLOOKUP(B39,[1]!Table3[[Part Number]:[Part Description]],3,0)</f>
        <v>CABIN AIR FILTER ELEMENT</v>
      </c>
      <c r="E39" s="23">
        <f>VLOOKUP(B39,[1]!Table3[[Part Number]:[Q2 QTY]],8,0)</f>
        <v>0</v>
      </c>
      <c r="F39" s="24">
        <f>VLOOKUP(B39,[1]!Table3[[Part Number]:[OEM CAD $]],4,0)</f>
        <v>94.42</v>
      </c>
      <c r="G39" s="25">
        <f t="shared" si="2"/>
        <v>0</v>
      </c>
      <c r="H39" s="25">
        <f>VLOOKUP(B39,[1]!Table3[[Part Number]:[GQP CAD $]],5,0)</f>
        <v>35.880000000000003</v>
      </c>
      <c r="I39" s="26">
        <f t="shared" si="0"/>
        <v>0</v>
      </c>
    </row>
    <row r="40" spans="2:9" x14ac:dyDescent="0.25">
      <c r="B40" s="62" t="s">
        <v>113</v>
      </c>
      <c r="C40" s="22" t="str">
        <f>VLOOKUP(B40,[1]!Table3[[Part Number]:[Make and Model]],2,0)</f>
        <v xml:space="preserve">CAT 561N (CPH) CAT 561N (CPH) (2) CAT 561N (CPH) (3) CAT 561N (CPH) (4) CAT 561N (CPH) (5)                                    </v>
      </c>
      <c r="D40" s="22" t="str">
        <f>VLOOKUP(B40,[1]!Table3[[Part Number]:[Part Description]],3,0)</f>
        <v>CABIN AIR FILTER ELEMENT</v>
      </c>
      <c r="E40" s="23">
        <f>VLOOKUP(B40,[1]!Table3[[Part Number]:[Q2 QTY]],8,0)</f>
        <v>0</v>
      </c>
      <c r="F40" s="24">
        <f>VLOOKUP(B40,[1]!Table3[[Part Number]:[OEM CAD $]],4,0)</f>
        <v>1076.32</v>
      </c>
      <c r="G40" s="25">
        <f t="shared" si="2"/>
        <v>0</v>
      </c>
      <c r="H40" s="25">
        <f>VLOOKUP(B40,[1]!Table3[[Part Number]:[GQP CAD $]],5,0)</f>
        <v>409</v>
      </c>
      <c r="I40" s="26">
        <f t="shared" si="0"/>
        <v>0</v>
      </c>
    </row>
    <row r="41" spans="2:9" x14ac:dyDescent="0.25">
      <c r="B41" s="62" t="s">
        <v>114</v>
      </c>
      <c r="C41" s="22" t="str">
        <f>VLOOKUP(B41,[1]!Table3[[Part Number]:[Make and Model]],2,0)</f>
        <v xml:space="preserve">CAT 320 (HEX) CAT 320 (MYK) CAT 320 (MYK) (2)                                        </v>
      </c>
      <c r="D41" s="22" t="str">
        <f>VLOOKUP(B41,[1]!Table3[[Part Number]:[Part Description]],3,0)</f>
        <v>PRIMARY AIR FILTER ELEMENT</v>
      </c>
      <c r="E41" s="23">
        <f>VLOOKUP(B41,[1]!Table3[[Part Number]:[Q2 QTY]],8,0)</f>
        <v>0</v>
      </c>
      <c r="F41" s="24">
        <f>VLOOKUP(B41,[1]!Table3[[Part Number]:[OEM CAD $]],4,0)</f>
        <v>244.2</v>
      </c>
      <c r="G41" s="25">
        <f t="shared" si="2"/>
        <v>0</v>
      </c>
      <c r="H41" s="25">
        <f>VLOOKUP(B41,[1]!Table3[[Part Number]:[GQP CAD $]],5,0)</f>
        <v>92.8</v>
      </c>
      <c r="I41" s="26">
        <f t="shared" si="0"/>
        <v>0</v>
      </c>
    </row>
    <row r="42" spans="2:9" x14ac:dyDescent="0.25">
      <c r="B42" s="62" t="s">
        <v>115</v>
      </c>
      <c r="C42" s="22" t="str">
        <f>VLOOKUP(B42,[1]!Table3[[Part Number]:[Make and Model]],2,0)</f>
        <v xml:space="preserve">CAT 320 (HEX) CAT 320 (MYK) CAT 320 (MYK) (2)                                        </v>
      </c>
      <c r="D42" s="22" t="str">
        <f>VLOOKUP(B42,[1]!Table3[[Part Number]:[Part Description]],3,0)</f>
        <v>SECONDARY AIR FILTER ELEMENT</v>
      </c>
      <c r="E42" s="23">
        <f>VLOOKUP(B42,[1]!Table3[[Part Number]:[Q2 QTY]],8,0)</f>
        <v>0</v>
      </c>
      <c r="F42" s="24">
        <f>VLOOKUP(B42,[1]!Table3[[Part Number]:[OEM CAD $]],4,0)</f>
        <v>133.28</v>
      </c>
      <c r="G42" s="25">
        <f t="shared" si="2"/>
        <v>0</v>
      </c>
      <c r="H42" s="25">
        <f>VLOOKUP(B42,[1]!Table3[[Part Number]:[GQP CAD $]],5,0)</f>
        <v>50.65</v>
      </c>
      <c r="I42" s="26">
        <f t="shared" si="0"/>
        <v>0</v>
      </c>
    </row>
    <row r="43" spans="2:9" x14ac:dyDescent="0.25">
      <c r="B43" s="62" t="s">
        <v>116</v>
      </c>
      <c r="C43" s="22" t="str">
        <f>VLOOKUP(B43,[1]!Table3[[Part Number]:[Make and Model]],2,0)</f>
        <v xml:space="preserve">CAT 330 (LHW) CAT 330 (LHW) (2) CAT 330 (LHW) (3) CAT 330 (LHW) (4) CAT 330 (WCH) CAT 330 (WCH) (2) CAT 330 (WCH) (3) CAT 330 (WCH) (4) CAT 330 (WCH) (5) CAT 330 (WCH) (6)                          </v>
      </c>
      <c r="D43" s="22" t="str">
        <f>VLOOKUP(B43,[1]!Table3[[Part Number]:[Part Description]],3,0)</f>
        <v>PRIMARY AIR FILTER ELEMENT</v>
      </c>
      <c r="E43" s="23">
        <f>VLOOKUP(B43,[1]!Table3[[Part Number]:[Q2 QTY]],8,0)</f>
        <v>0</v>
      </c>
      <c r="F43" s="24">
        <f>VLOOKUP(B43,[1]!Table3[[Part Number]:[OEM CAD $]],4,0)</f>
        <v>307.85000000000002</v>
      </c>
      <c r="G43" s="25">
        <f t="shared" si="2"/>
        <v>0</v>
      </c>
      <c r="H43" s="25">
        <f>VLOOKUP(B43,[1]!Table3[[Part Number]:[GQP CAD $]],5,0)</f>
        <v>116.98</v>
      </c>
      <c r="I43" s="26">
        <f t="shared" si="0"/>
        <v>0</v>
      </c>
    </row>
    <row r="44" spans="2:9" x14ac:dyDescent="0.25">
      <c r="B44" s="62" t="s">
        <v>117</v>
      </c>
      <c r="C44" s="22" t="str">
        <f>VLOOKUP(B44,[1]!Table3[[Part Number]:[Make and Model]],2,0)</f>
        <v xml:space="preserve">CAT 330 (LHW) CAT 330 (LHW) (2) CAT 330 (LHW) (3) CAT 330 (LHW) (4) CAT 330 (WCH) CAT 330 (WCH) (2) CAT 330 (WCH) (3) CAT 330 (WCH) (4) CAT 330 (WCH) (5) CAT 330 (WCH) (6)                          </v>
      </c>
      <c r="D44" s="22" t="str">
        <f>VLOOKUP(B44,[1]!Table3[[Part Number]:[Part Description]],3,0)</f>
        <v>SECONDAY AIR FILTER ELEMENT</v>
      </c>
      <c r="E44" s="23">
        <f>VLOOKUP(B44,[1]!Table3[[Part Number]:[Q2 QTY]],8,0)</f>
        <v>0</v>
      </c>
      <c r="F44" s="24">
        <f>VLOOKUP(B44,[1]!Table3[[Part Number]:[OEM CAD $]],4,0)</f>
        <v>137.38</v>
      </c>
      <c r="G44" s="25">
        <f t="shared" si="2"/>
        <v>0</v>
      </c>
      <c r="H44" s="25">
        <f>VLOOKUP(B44,[1]!Table3[[Part Number]:[GQP CAD $]],5,0)</f>
        <v>52.2</v>
      </c>
      <c r="I44" s="26">
        <f t="shared" si="0"/>
        <v>0</v>
      </c>
    </row>
    <row r="45" spans="2:9" x14ac:dyDescent="0.25">
      <c r="B45" s="62" t="s">
        <v>118</v>
      </c>
      <c r="C45" s="22" t="str">
        <f>VLOOKUP(B45,[1]!Table3[[Part Number]:[Make and Model]],2,0)</f>
        <v xml:space="preserve">CAT D3 (1PJ)                                            </v>
      </c>
      <c r="D45" s="22" t="str">
        <f>VLOOKUP(B45,[1]!Table3[[Part Number]:[Part Description]],3,0)</f>
        <v>SECONDARY AIR FILTER ELEMENT</v>
      </c>
      <c r="E45" s="23">
        <f>VLOOKUP(B45,[1]!Table3[[Part Number]:[Q2 QTY]],8,0)</f>
        <v>0</v>
      </c>
      <c r="F45" s="24">
        <f>VLOOKUP(B45,[1]!Table3[[Part Number]:[OEM CAD $]],4,0)</f>
        <v>77.260000000000005</v>
      </c>
      <c r="G45" s="25">
        <f t="shared" si="2"/>
        <v>0</v>
      </c>
      <c r="H45" s="25">
        <f>VLOOKUP(B45,[1]!Table3[[Part Number]:[GQP CAD $]],5,0)</f>
        <v>29.36</v>
      </c>
      <c r="I45" s="26">
        <f t="shared" si="0"/>
        <v>0</v>
      </c>
    </row>
    <row r="46" spans="2:9" x14ac:dyDescent="0.25">
      <c r="B46" s="62" t="s">
        <v>119</v>
      </c>
      <c r="C46" s="22" t="str">
        <f>VLOOKUP(B46,[1]!Table3[[Part Number]:[Make and Model]],2,0)</f>
        <v xml:space="preserve">CAT D3 (1PJ)                                            </v>
      </c>
      <c r="D46" s="22" t="str">
        <f>VLOOKUP(B46,[1]!Table3[[Part Number]:[Part Description]],3,0)</f>
        <v>PRIMARY AIR FILTER ELEMENT</v>
      </c>
      <c r="E46" s="23">
        <f>VLOOKUP(B46,[1]!Table3[[Part Number]:[Q2 QTY]],8,0)</f>
        <v>0</v>
      </c>
      <c r="F46" s="24">
        <f>VLOOKUP(B46,[1]!Table3[[Part Number]:[OEM CAD $]],4,0)</f>
        <v>91.61</v>
      </c>
      <c r="G46" s="25">
        <f t="shared" si="2"/>
        <v>0</v>
      </c>
      <c r="H46" s="25">
        <f>VLOOKUP(B46,[1]!Table3[[Part Number]:[GQP CAD $]],5,0)</f>
        <v>34.81</v>
      </c>
      <c r="I46" s="26">
        <f t="shared" si="0"/>
        <v>0</v>
      </c>
    </row>
    <row r="47" spans="2:9" x14ac:dyDescent="0.25">
      <c r="B47" s="62" t="s">
        <v>120</v>
      </c>
      <c r="C47" s="22" t="str">
        <f>VLOOKUP(B47,[1]!Table3[[Part Number]:[Make and Model]],2,0)</f>
        <v xml:space="preserve">CAT 320 (HEX) CAT 320 (MYK) CAT 320 (MYK) (2) CAT 330 (LHW) CAT 330 (LHW) (2) CAT 330 (LHW) (3) CAT 330 (LHW) (4) CAT 330 (WCH) CAT 330 (WCH) (2) CAT 330 (WCH) (3) CAT 330 (WCH) (4) CAT 330 (WCH) (5) CAT 330 (WCH) (6)                    </v>
      </c>
      <c r="D47" s="22" t="str">
        <f>VLOOKUP(B47,[1]!Table3[[Part Number]:[Part Description]],3,0)</f>
        <v xml:space="preserve">CABIN AIR FILTER ELEMENT </v>
      </c>
      <c r="E47" s="23">
        <f>VLOOKUP(B47,[1]!Table3[[Part Number]:[Q2 QTY]],8,0)</f>
        <v>0</v>
      </c>
      <c r="F47" s="24">
        <f>VLOOKUP(B47,[1]!Table3[[Part Number]:[OEM CAD $]],4,0)</f>
        <v>87.85</v>
      </c>
      <c r="G47" s="25">
        <f t="shared" si="2"/>
        <v>0</v>
      </c>
      <c r="H47" s="25">
        <f>VLOOKUP(B47,[1]!Table3[[Part Number]:[GQP CAD $]],5,0)</f>
        <v>33.380000000000003</v>
      </c>
      <c r="I47" s="26">
        <f t="shared" si="0"/>
        <v>0</v>
      </c>
    </row>
    <row r="48" spans="2:9" x14ac:dyDescent="0.25">
      <c r="B48" s="62" t="s">
        <v>121</v>
      </c>
      <c r="C48" s="22" t="str">
        <f>VLOOKUP(B48,[1]!Table3[[Part Number]:[Make and Model]],2,0)</f>
        <v xml:space="preserve">CAT D6N LGP (SGG) CAT D6N LGP (SGG) (2)                                          </v>
      </c>
      <c r="D48" s="22" t="str">
        <f>VLOOKUP(B48,[1]!Table3[[Part Number]:[Part Description]],3,0)</f>
        <v>PRIMARY AIR FILTER ELEMENT</v>
      </c>
      <c r="E48" s="23">
        <f>VLOOKUP(B48,[1]!Table3[[Part Number]:[Q2 QTY]],8,0)</f>
        <v>0</v>
      </c>
      <c r="F48" s="24">
        <f>VLOOKUP(B48,[1]!Table3[[Part Number]:[OEM CAD $]],4,0)</f>
        <v>136.4</v>
      </c>
      <c r="G48" s="25">
        <f t="shared" si="2"/>
        <v>0</v>
      </c>
      <c r="H48" s="25">
        <f>VLOOKUP(B48,[1]!Table3[[Part Number]:[GQP CAD $]],5,0)</f>
        <v>51.83</v>
      </c>
      <c r="I48" s="26">
        <f t="shared" si="0"/>
        <v>0</v>
      </c>
    </row>
    <row r="49" spans="2:9" x14ac:dyDescent="0.25">
      <c r="B49" s="62" t="s">
        <v>122</v>
      </c>
      <c r="C49" s="22" t="str">
        <f>VLOOKUP(B49,[1]!Table3[[Part Number]:[Make and Model]],2,0)</f>
        <v xml:space="preserve">CAT D6N LGP (SGG) CAT D6N LGP (SGG) (2)                                          </v>
      </c>
      <c r="D49" s="22" t="str">
        <f>VLOOKUP(B49,[1]!Table3[[Part Number]:[Part Description]],3,0)</f>
        <v>SECONDARY AIR FILTER ELEMENT</v>
      </c>
      <c r="E49" s="23">
        <f>VLOOKUP(B49,[1]!Table3[[Part Number]:[Q2 QTY]],8,0)</f>
        <v>0</v>
      </c>
      <c r="F49" s="24">
        <f>VLOOKUP(B49,[1]!Table3[[Part Number]:[OEM CAD $]],4,0)</f>
        <v>103.4</v>
      </c>
      <c r="G49" s="25">
        <f t="shared" si="2"/>
        <v>0</v>
      </c>
      <c r="H49" s="25">
        <f>VLOOKUP(B49,[1]!Table3[[Part Number]:[GQP CAD $]],5,0)</f>
        <v>39.29</v>
      </c>
      <c r="I49" s="26">
        <f t="shared" si="0"/>
        <v>0</v>
      </c>
    </row>
    <row r="50" spans="2:9" x14ac:dyDescent="0.25">
      <c r="B50" s="62" t="s">
        <v>123</v>
      </c>
      <c r="C50" s="22" t="str">
        <f>VLOOKUP(B50,[1]!Table3[[Part Number]:[Make and Model]],2,0)</f>
        <v xml:space="preserve">CAT D6N LGP (PBA) CAT D6N LGP (PBA) (2)                                          </v>
      </c>
      <c r="D50" s="22" t="str">
        <f>VLOOKUP(B50,[1]!Table3[[Part Number]:[Part Description]],3,0)</f>
        <v>PRIMARY AIR FILTER ELEMENT</v>
      </c>
      <c r="E50" s="23">
        <f>VLOOKUP(B50,[1]!Table3[[Part Number]:[Q2 QTY]],8,0)</f>
        <v>0</v>
      </c>
      <c r="F50" s="24">
        <f>VLOOKUP(B50,[1]!Table3[[Part Number]:[OEM CAD $]],4,0)</f>
        <v>225.94</v>
      </c>
      <c r="G50" s="25">
        <f t="shared" si="2"/>
        <v>0</v>
      </c>
      <c r="H50" s="25">
        <f>VLOOKUP(B50,[1]!Table3[[Part Number]:[GQP CAD $]],5,0)</f>
        <v>85.86</v>
      </c>
      <c r="I50" s="26">
        <f t="shared" si="0"/>
        <v>0</v>
      </c>
    </row>
    <row r="51" spans="2:9" x14ac:dyDescent="0.25">
      <c r="B51" s="62" t="s">
        <v>124</v>
      </c>
      <c r="C51" s="22" t="str">
        <f>VLOOKUP(B51,[1]!Table3[[Part Number]:[Make and Model]],2,0)</f>
        <v xml:space="preserve">CAT D6 (RDC)                                            </v>
      </c>
      <c r="D51" s="22" t="str">
        <f>VLOOKUP(B51,[1]!Table3[[Part Number]:[Part Description]],3,0)</f>
        <v>CABIN AIR FILTER ELEMENT</v>
      </c>
      <c r="E51" s="23">
        <f>VLOOKUP(B51,[1]!Table3[[Part Number]:[Q2 QTY]],8,0)</f>
        <v>0</v>
      </c>
      <c r="F51" s="24">
        <f>VLOOKUP(B51,[1]!Table3[[Part Number]:[OEM CAD $]],4,0)</f>
        <v>143.80000000000001</v>
      </c>
      <c r="G51" s="25">
        <f t="shared" si="2"/>
        <v>0</v>
      </c>
      <c r="H51" s="25">
        <f>VLOOKUP(B51,[1]!Table3[[Part Number]:[GQP CAD $]],5,0)</f>
        <v>54.64</v>
      </c>
      <c r="I51" s="26">
        <f t="shared" si="0"/>
        <v>0</v>
      </c>
    </row>
    <row r="52" spans="2:9" x14ac:dyDescent="0.25">
      <c r="B52" s="62" t="s">
        <v>125</v>
      </c>
      <c r="C52" s="22" t="str">
        <f>VLOOKUP(B52,[1]!Table3[[Part Number]:[Make and Model]],2,0)</f>
        <v xml:space="preserve">CAT D6 (RDC) CAT D6T (MH7) CAT 561N (CPH) CAT 561N (CPH) (2) CAT 561N (CPH) (3) CAT 561N (CPH) (4) CAT 561N (CPH) (5)                                </v>
      </c>
      <c r="D52" s="22" t="str">
        <f>VLOOKUP(B52,[1]!Table3[[Part Number]:[Part Description]],3,0)</f>
        <v>PRIMARY AIR FILTER ELEMENT</v>
      </c>
      <c r="E52" s="23">
        <f>VLOOKUP(B52,[1]!Table3[[Part Number]:[Q2 QTY]],8,0)</f>
        <v>0</v>
      </c>
      <c r="F52" s="24">
        <f>VLOOKUP(B52,[1]!Table3[[Part Number]:[OEM CAD $]],4,0)</f>
        <v>259.82</v>
      </c>
      <c r="G52" s="25">
        <f t="shared" si="2"/>
        <v>0</v>
      </c>
      <c r="H52" s="25">
        <f>VLOOKUP(B52,[1]!Table3[[Part Number]:[GQP CAD $]],5,0)</f>
        <v>98.73</v>
      </c>
      <c r="I52" s="26">
        <f t="shared" si="0"/>
        <v>0</v>
      </c>
    </row>
    <row r="53" spans="2:9" x14ac:dyDescent="0.25">
      <c r="B53" s="62" t="s">
        <v>126</v>
      </c>
      <c r="C53" s="22" t="str">
        <f>VLOOKUP(B53,[1]!Table3[[Part Number]:[Make and Model]],2,0)</f>
        <v xml:space="preserve">CAT D5 (3CR) CAT D5 (3CR) (2) CAT 561M (1KW)                                        </v>
      </c>
      <c r="D53" s="22" t="str">
        <f>VLOOKUP(B53,[1]!Table3[[Part Number]:[Part Description]],3,0)</f>
        <v>PRIMARY AIR FILTER ELEMENT</v>
      </c>
      <c r="E53" s="23">
        <f>VLOOKUP(B53,[1]!Table3[[Part Number]:[Q2 QTY]],8,0)</f>
        <v>0</v>
      </c>
      <c r="F53" s="24">
        <f>VLOOKUP(B53,[1]!Table3[[Part Number]:[OEM CAD $]],4,0)</f>
        <v>110.04</v>
      </c>
      <c r="G53" s="25">
        <f t="shared" si="2"/>
        <v>0</v>
      </c>
      <c r="H53" s="25">
        <f>VLOOKUP(B53,[1]!Table3[[Part Number]:[GQP CAD $]],5,0)</f>
        <v>41.82</v>
      </c>
      <c r="I53" s="26">
        <f t="shared" si="0"/>
        <v>0</v>
      </c>
    </row>
    <row r="54" spans="2:9" x14ac:dyDescent="0.25">
      <c r="B54" s="62" t="s">
        <v>127</v>
      </c>
      <c r="C54" s="22" t="str">
        <f>VLOOKUP(B54,[1]!Table3[[Part Number]:[Make and Model]],2,0)</f>
        <v xml:space="preserve">CAT D5 (3CR) CAT D5 (3CR) (2) CAT 561M (1KW)                                        </v>
      </c>
      <c r="D54" s="22" t="str">
        <f>VLOOKUP(B54,[1]!Table3[[Part Number]:[Part Description]],3,0)</f>
        <v>SECONDARY AIR FILTER ELEMENT</v>
      </c>
      <c r="E54" s="23">
        <f>VLOOKUP(B54,[1]!Table3[[Part Number]:[Q2 QTY]],8,0)</f>
        <v>0</v>
      </c>
      <c r="F54" s="24">
        <f>VLOOKUP(B54,[1]!Table3[[Part Number]:[OEM CAD $]],4,0)</f>
        <v>81.73</v>
      </c>
      <c r="G54" s="25">
        <f t="shared" si="2"/>
        <v>0</v>
      </c>
      <c r="H54" s="25">
        <f>VLOOKUP(B54,[1]!Table3[[Part Number]:[GQP CAD $]],5,0)</f>
        <v>31.06</v>
      </c>
      <c r="I54" s="26">
        <f t="shared" si="0"/>
        <v>0</v>
      </c>
    </row>
    <row r="55" spans="2:9" x14ac:dyDescent="0.25">
      <c r="B55" s="62" t="s">
        <v>128</v>
      </c>
      <c r="C55" s="22" t="str">
        <f>VLOOKUP(B55,[1]!Table3[[Part Number]:[Make and Model]],2,0)</f>
        <v xml:space="preserve">CAT 329E L (ZCD) CAT 329F L (ERL) CAT 329F L (ERL) (2) CAT 330F L (MBX) CAT 330F L (HCK) CAT 330F L (HCK) (2)                                  </v>
      </c>
      <c r="D55" s="22" t="str">
        <f>VLOOKUP(B55,[1]!Table3[[Part Number]:[Part Description]],3,0)</f>
        <v>PRIMARY AIR FILTER ELEMENT</v>
      </c>
      <c r="E55" s="23">
        <f>VLOOKUP(B55,[1]!Table3[[Part Number]:[Q2 QTY]],8,0)</f>
        <v>0</v>
      </c>
      <c r="F55" s="24">
        <f>VLOOKUP(B55,[1]!Table3[[Part Number]:[OEM CAD $]],4,0)</f>
        <v>165.83</v>
      </c>
      <c r="G55" s="25">
        <f t="shared" si="2"/>
        <v>0</v>
      </c>
      <c r="H55" s="25">
        <f>VLOOKUP(B55,[1]!Table3[[Part Number]:[GQP CAD $]],5,0)</f>
        <v>63.02</v>
      </c>
      <c r="I55" s="26">
        <f t="shared" si="0"/>
        <v>0</v>
      </c>
    </row>
    <row r="56" spans="2:9" x14ac:dyDescent="0.25">
      <c r="B56" s="62" t="s">
        <v>129</v>
      </c>
      <c r="C56" s="22" t="str">
        <f>VLOOKUP(B56,[1]!Table3[[Part Number]:[Make and Model]],2,0)</f>
        <v xml:space="preserve">CAT 329E L (ZCD) CAT 329F L (ERL) CAT 329F L (ERL) (2) CAT 330F L (MBX) CAT 330F L (HCK) CAT 330F L (HCK) (2)                                  </v>
      </c>
      <c r="D56" s="22" t="str">
        <f>VLOOKUP(B56,[1]!Table3[[Part Number]:[Part Description]],3,0)</f>
        <v>SECONDARY AIR FILTER ELEMENT</v>
      </c>
      <c r="E56" s="23">
        <f>VLOOKUP(B56,[1]!Table3[[Part Number]:[Q2 QTY]],8,0)</f>
        <v>0</v>
      </c>
      <c r="F56" s="24">
        <f>VLOOKUP(B56,[1]!Table3[[Part Number]:[OEM CAD $]],4,0)</f>
        <v>117.3</v>
      </c>
      <c r="G56" s="25">
        <f t="shared" si="2"/>
        <v>0</v>
      </c>
      <c r="H56" s="25">
        <f>VLOOKUP(B56,[1]!Table3[[Part Number]:[GQP CAD $]],5,0)</f>
        <v>44.57</v>
      </c>
      <c r="I56" s="26">
        <f t="shared" si="0"/>
        <v>0</v>
      </c>
    </row>
    <row r="57" spans="2:9" x14ac:dyDescent="0.25">
      <c r="B57" s="62" t="s">
        <v>130</v>
      </c>
      <c r="C57" s="22" t="str">
        <f>VLOOKUP(B57,[1]!Table3[[Part Number]:[Make and Model]],2,0)</f>
        <v xml:space="preserve">CAT D7G (92V) CAT D7G (3ZD) CAT D7G (3ZD) (2)                                        </v>
      </c>
      <c r="D57" s="22" t="str">
        <f>VLOOKUP(B57,[1]!Table3[[Part Number]:[Part Description]],3,0)</f>
        <v>CABIN AIR FILTER ELEMENT</v>
      </c>
      <c r="E57" s="23">
        <f>VLOOKUP(B57,[1]!Table3[[Part Number]:[Q2 QTY]],8,0)</f>
        <v>0</v>
      </c>
      <c r="F57" s="24">
        <f>VLOOKUP(B57,[1]!Table3[[Part Number]:[OEM CAD $]],4,0)</f>
        <v>121.67</v>
      </c>
      <c r="G57" s="25">
        <f t="shared" si="2"/>
        <v>0</v>
      </c>
      <c r="H57" s="25">
        <f>VLOOKUP(B57,[1]!Table3[[Part Number]:[GQP CAD $]],5,0)</f>
        <v>46.23</v>
      </c>
      <c r="I57" s="26">
        <f t="shared" si="0"/>
        <v>0</v>
      </c>
    </row>
    <row r="58" spans="2:9" x14ac:dyDescent="0.25">
      <c r="B58" s="62" t="s">
        <v>131</v>
      </c>
      <c r="C58" s="22" t="str">
        <f>VLOOKUP(B58,[1]!Table3[[Part Number]:[Make and Model]],2,0)</f>
        <v xml:space="preserve">CAT D7G (92V) CAT D7G (3ZD) CAT D7G (3ZD) (2) CAT 561 (85H) CAT 561 (92J) CAT 561 (92J) (2)                                  </v>
      </c>
      <c r="D58" s="22" t="str">
        <f>VLOOKUP(B58,[1]!Table3[[Part Number]:[Part Description]],3,0)</f>
        <v>PRIMARY AIR FILTER ELEMENT</v>
      </c>
      <c r="E58" s="23">
        <f>VLOOKUP(B58,[1]!Table3[[Part Number]:[Q2 QTY]],8,0)</f>
        <v>0</v>
      </c>
      <c r="F58" s="24">
        <f>VLOOKUP(B58,[1]!Table3[[Part Number]:[OEM CAD $]],4,0)</f>
        <v>143.6</v>
      </c>
      <c r="G58" s="25">
        <f t="shared" si="2"/>
        <v>0</v>
      </c>
      <c r="H58" s="25">
        <f>VLOOKUP(B58,[1]!Table3[[Part Number]:[GQP CAD $]],5,0)</f>
        <v>54.57</v>
      </c>
      <c r="I58" s="26">
        <f t="shared" si="0"/>
        <v>0</v>
      </c>
    </row>
    <row r="59" spans="2:9" x14ac:dyDescent="0.25">
      <c r="B59" s="62" t="s">
        <v>132</v>
      </c>
      <c r="C59" s="22" t="str">
        <f>VLOOKUP(B59,[1]!Table3[[Part Number]:[Make and Model]],2,0)</f>
        <v xml:space="preserve">CAT D4 (66J)                                            </v>
      </c>
      <c r="D59" s="22" t="str">
        <f>VLOOKUP(B59,[1]!Table3[[Part Number]:[Part Description]],3,0)</f>
        <v>PRIMARY AIR FILTER ELEMENT</v>
      </c>
      <c r="E59" s="23">
        <f>VLOOKUP(B59,[1]!Table3[[Part Number]:[Q2 QTY]],8,0)</f>
        <v>0</v>
      </c>
      <c r="F59" s="24">
        <f>VLOOKUP(B59,[1]!Table3[[Part Number]:[OEM CAD $]],4,0)</f>
        <v>125.6</v>
      </c>
      <c r="G59" s="25">
        <f t="shared" si="2"/>
        <v>0</v>
      </c>
      <c r="H59" s="25">
        <f>VLOOKUP(B59,[1]!Table3[[Part Number]:[GQP CAD $]],5,0)</f>
        <v>47.73</v>
      </c>
      <c r="I59" s="26">
        <f t="shared" si="0"/>
        <v>0</v>
      </c>
    </row>
    <row r="60" spans="2:9" x14ac:dyDescent="0.25">
      <c r="B60" s="62" t="s">
        <v>133</v>
      </c>
      <c r="C60" s="22" t="str">
        <f>VLOOKUP(B60,[1]!Table3[[Part Number]:[Make and Model]],2,0)</f>
        <v xml:space="preserve">CAT D7G (92V) CAT D7G (3ZD) CAT D7G (3ZD) (2)                                        </v>
      </c>
      <c r="D60" s="22" t="str">
        <f>VLOOKUP(B60,[1]!Table3[[Part Number]:[Part Description]],3,0)</f>
        <v>SECONDARY AIR FILTER ELEMENT</v>
      </c>
      <c r="E60" s="23">
        <f>VLOOKUP(B60,[1]!Table3[[Part Number]:[Q2 QTY]],8,0)</f>
        <v>0</v>
      </c>
      <c r="F60" s="24">
        <f>VLOOKUP(B60,[1]!Table3[[Part Number]:[OEM CAD $]],4,0)</f>
        <v>115.44</v>
      </c>
      <c r="G60" s="25">
        <f t="shared" si="2"/>
        <v>0</v>
      </c>
      <c r="H60" s="25">
        <f>VLOOKUP(B60,[1]!Table3[[Part Number]:[GQP CAD $]],5,0)</f>
        <v>43.87</v>
      </c>
      <c r="I60" s="26">
        <f t="shared" si="0"/>
        <v>0</v>
      </c>
    </row>
    <row r="61" spans="2:9" x14ac:dyDescent="0.25">
      <c r="B61" s="62">
        <v>6692337</v>
      </c>
      <c r="C61" s="22" t="str">
        <f>VLOOKUP(B61,[1]!Table3[[Part Number]:[Make and Model]],2,0)</f>
        <v xml:space="preserve">BOBCAT T750 (ATF) BOBCAT S650 (A3N)                                          </v>
      </c>
      <c r="D61" s="22" t="str">
        <f>VLOOKUP(B61,[1]!Table3[[Part Number]:[Part Description]],3,0)</f>
        <v>HYDRAULIC OIL FILTER ELEMENT</v>
      </c>
      <c r="E61" s="23">
        <f>VLOOKUP(B61,[1]!Table3[[Part Number]:[Q2 QTY]],8,0)</f>
        <v>2</v>
      </c>
      <c r="F61" s="24">
        <f>VLOOKUP(B61,[1]!Table3[[Part Number]:[OEM CAD $]],4,0)</f>
        <v>93.99</v>
      </c>
      <c r="G61" s="25">
        <f t="shared" si="2"/>
        <v>187.98</v>
      </c>
      <c r="H61" s="25">
        <f>VLOOKUP(B61,[1]!Table3[[Part Number]:[GQP CAD $]],5,0)</f>
        <v>35.72</v>
      </c>
      <c r="I61" s="26">
        <f t="shared" si="0"/>
        <v>71.44</v>
      </c>
    </row>
    <row r="62" spans="2:9" x14ac:dyDescent="0.25">
      <c r="B62" s="62">
        <v>7012314</v>
      </c>
      <c r="C62" s="22" t="str">
        <f>VLOOKUP(B62,[1]!Table3[[Part Number]:[Make and Model]],2,0)</f>
        <v xml:space="preserve">BOBCAT T750 (ANK)                                            </v>
      </c>
      <c r="D62" s="22" t="str">
        <f>VLOOKUP(B62,[1]!Table3[[Part Number]:[Part Description]],3,0)</f>
        <v>HYDRAULIC OIL FILTER ELEMENT</v>
      </c>
      <c r="E62" s="23">
        <f>VLOOKUP(B62,[1]!Table3[[Part Number]:[Q2 QTY]],8,0)</f>
        <v>1</v>
      </c>
      <c r="F62" s="24">
        <f>VLOOKUP(B62,[1]!Table3[[Part Number]:[OEM CAD $]],4,0)</f>
        <v>138.99</v>
      </c>
      <c r="G62" s="25">
        <f t="shared" si="2"/>
        <v>138.99</v>
      </c>
      <c r="H62" s="25">
        <f>VLOOKUP(B62,[1]!Table3[[Part Number]:[GQP CAD $]],5,0)</f>
        <v>52.82</v>
      </c>
      <c r="I62" s="26">
        <f t="shared" si="0"/>
        <v>52.82</v>
      </c>
    </row>
    <row r="63" spans="2:9" x14ac:dyDescent="0.25">
      <c r="B63" s="62">
        <v>7414582</v>
      </c>
      <c r="C63" s="22" t="str">
        <f>VLOOKUP(B63,[1]!Table3[[Part Number]:[Make and Model]],2,0)</f>
        <v xml:space="preserve">BOBCAT T770 (AT6) BOBCAT T770 (AT6) (2)                                          </v>
      </c>
      <c r="D63" s="22" t="str">
        <f>VLOOKUP(B63,[1]!Table3[[Part Number]:[Part Description]],3,0)</f>
        <v>HYDRAULIC OIL FILTER ELEMENT</v>
      </c>
      <c r="E63" s="23">
        <f>VLOOKUP(B63,[1]!Table3[[Part Number]:[Q2 QTY]],8,0)</f>
        <v>2</v>
      </c>
      <c r="F63" s="24">
        <f>VLOOKUP(B63,[1]!Table3[[Part Number]:[OEM CAD $]],4,0)</f>
        <v>117.99</v>
      </c>
      <c r="G63" s="25">
        <f t="shared" si="2"/>
        <v>235.98</v>
      </c>
      <c r="H63" s="25">
        <f>VLOOKUP(B63,[1]!Table3[[Part Number]:[GQP CAD $]],5,0)</f>
        <v>44.84</v>
      </c>
      <c r="I63" s="26">
        <f t="shared" si="0"/>
        <v>89.68</v>
      </c>
    </row>
    <row r="64" spans="2:9" x14ac:dyDescent="0.25">
      <c r="B64" s="62" t="s">
        <v>134</v>
      </c>
      <c r="C64" s="22" t="str">
        <f>VLOOKUP(B64,[1]!Table3[[Part Number]:[Make and Model]],2,0)</f>
        <v xml:space="preserve">CAT 320F L (YBM) CAT 336F L (RKB)                                          </v>
      </c>
      <c r="D64" s="22" t="str">
        <f>VLOOKUP(B64,[1]!Table3[[Part Number]:[Part Description]],3,0)</f>
        <v>HYDRAULIC OIL FILTER</v>
      </c>
      <c r="E64" s="23">
        <f>VLOOKUP(B64,[1]!Table3[[Part Number]:[Q2 QTY]],8,0)</f>
        <v>2</v>
      </c>
      <c r="F64" s="24">
        <f>VLOOKUP(B64,[1]!Table3[[Part Number]:[OEM CAD $]],4,0)</f>
        <v>102.09</v>
      </c>
      <c r="G64" s="25">
        <f t="shared" si="2"/>
        <v>204.18</v>
      </c>
      <c r="H64" s="25">
        <f>VLOOKUP(B64,[1]!Table3[[Part Number]:[GQP CAD $]],5,0)</f>
        <v>38.79</v>
      </c>
      <c r="I64" s="26">
        <f t="shared" si="0"/>
        <v>77.58</v>
      </c>
    </row>
    <row r="65" spans="2:9" x14ac:dyDescent="0.25">
      <c r="B65" s="62" t="s">
        <v>135</v>
      </c>
      <c r="C65" s="22" t="str">
        <f>VLOOKUP(B65,[1]!Table3[[Part Number]:[Make and Model]],2,0)</f>
        <v xml:space="preserve">CAT D4 (66J)                                            </v>
      </c>
      <c r="D65" s="22" t="str">
        <f>VLOOKUP(B65,[1]!Table3[[Part Number]:[Part Description]],3,0)</f>
        <v>HYDRAULIC OIL FILTER</v>
      </c>
      <c r="E65" s="23">
        <f>VLOOKUP(B65,[1]!Table3[[Part Number]:[Q2 QTY]],8,0)</f>
        <v>1</v>
      </c>
      <c r="F65" s="24">
        <f>VLOOKUP(B65,[1]!Table3[[Part Number]:[OEM CAD $]],4,0)</f>
        <v>703.78</v>
      </c>
      <c r="G65" s="25">
        <f t="shared" si="2"/>
        <v>703.78</v>
      </c>
      <c r="H65" s="25">
        <f>VLOOKUP(B65,[1]!Table3[[Part Number]:[GQP CAD $]],5,0)</f>
        <v>267.44</v>
      </c>
      <c r="I65" s="26">
        <f t="shared" si="0"/>
        <v>267.44</v>
      </c>
    </row>
    <row r="66" spans="2:9" x14ac:dyDescent="0.25">
      <c r="B66" s="62" t="s">
        <v>136</v>
      </c>
      <c r="C66" s="22" t="str">
        <f>VLOOKUP(B66,[1]!Table3[[Part Number]:[Make and Model]],2,0)</f>
        <v xml:space="preserve">CAT 320E L (WBK) CAT 320E L (WBK) (2) CAT 320F L (YBM) CAT 329E L (ZCD) CAT 329F L (ERL) CAT 329F L (ERL) (2) CAT 330F L (MBX) CAT 330F L (HCK) CAT 330F L (HCK) (2) CAT 336F L (RKB)                          </v>
      </c>
      <c r="D66" s="22" t="str">
        <f>VLOOKUP(B66,[1]!Table3[[Part Number]:[Part Description]],3,0)</f>
        <v xml:space="preserve">HYDRAULIC OIL FILTER ELEMENT </v>
      </c>
      <c r="E66" s="23">
        <f>VLOOKUP(B66,[1]!Table3[[Part Number]:[Q2 QTY]],8,0)</f>
        <v>12</v>
      </c>
      <c r="F66" s="24">
        <f>VLOOKUP(B66,[1]!Table3[[Part Number]:[OEM CAD $]],4,0)</f>
        <v>229</v>
      </c>
      <c r="G66" s="25">
        <f t="shared" si="2"/>
        <v>2748</v>
      </c>
      <c r="H66" s="25">
        <f>VLOOKUP(B66,[1]!Table3[[Part Number]:[GQP CAD $]],5,0)</f>
        <v>87.02</v>
      </c>
      <c r="I66" s="26">
        <f t="shared" si="0"/>
        <v>1044.24</v>
      </c>
    </row>
    <row r="67" spans="2:9" x14ac:dyDescent="0.25">
      <c r="B67" s="62" t="s">
        <v>38</v>
      </c>
      <c r="C67" s="22" t="str">
        <f>VLOOKUP(B67,[1]!Table3[[Part Number]:[Make and Model]],2,0)</f>
        <v xml:space="preserve">CAT PL61 (WGS) CAT PL61 (WGS) (2) CAT PL61 (WGS) (3)                                        </v>
      </c>
      <c r="D67" s="22" t="str">
        <f>VLOOKUP(B67,[1]!Table3[[Part Number]:[Part Description]],3,0)</f>
        <v>HYDRAULIC OIL FILTER ELEMENT</v>
      </c>
      <c r="E67" s="23">
        <f>VLOOKUP(B67,[1]!Table3[[Part Number]:[Q2 QTY]],8,0)</f>
        <v>3</v>
      </c>
      <c r="F67" s="24">
        <f>VLOOKUP(B67,[1]!Table3[[Part Number]:[OEM CAD $]],4,0)</f>
        <v>150.47</v>
      </c>
      <c r="G67" s="25">
        <f t="shared" si="2"/>
        <v>451.40999999999997</v>
      </c>
      <c r="H67" s="25">
        <f>VLOOKUP(B67,[1]!Table3[[Part Number]:[GQP CAD $]],5,0)</f>
        <v>57.18</v>
      </c>
      <c r="I67" s="26">
        <f t="shared" si="0"/>
        <v>171.54</v>
      </c>
    </row>
    <row r="68" spans="2:9" x14ac:dyDescent="0.25">
      <c r="B68" s="62" t="s">
        <v>137</v>
      </c>
      <c r="C68" s="22" t="str">
        <f>VLOOKUP(B68,[1]!Table3[[Part Number]:[Make and Model]],2,0)</f>
        <v xml:space="preserve">CAT D3 (1PJ) CAT D5 (3CR) CAT D5 (3CR) (2)                                        </v>
      </c>
      <c r="D68" s="22" t="str">
        <f>VLOOKUP(B68,[1]!Table3[[Part Number]:[Part Description]],3,0)</f>
        <v>HYDRAULIC OIL FILTER</v>
      </c>
      <c r="E68" s="23">
        <f>VLOOKUP(B68,[1]!Table3[[Part Number]:[Q2 QTY]],8,0)</f>
        <v>3</v>
      </c>
      <c r="F68" s="24">
        <f>VLOOKUP(B68,[1]!Table3[[Part Number]:[OEM CAD $]],4,0)</f>
        <v>38.32</v>
      </c>
      <c r="G68" s="25">
        <f t="shared" si="2"/>
        <v>114.96000000000001</v>
      </c>
      <c r="H68" s="25">
        <f>VLOOKUP(B68,[1]!Table3[[Part Number]:[GQP CAD $]],5,0)</f>
        <v>14.56</v>
      </c>
      <c r="I68" s="26">
        <f t="shared" si="0"/>
        <v>43.68</v>
      </c>
    </row>
    <row r="69" spans="2:9" x14ac:dyDescent="0.25">
      <c r="B69" s="62" t="s">
        <v>138</v>
      </c>
      <c r="C69" s="22" t="str">
        <f>VLOOKUP(B69,[1]!Table3[[Part Number]:[Make and Model]],2,0)</f>
        <v xml:space="preserve">CAT D3 (1PJ)                                            </v>
      </c>
      <c r="D69" s="22" t="str">
        <f>VLOOKUP(B69,[1]!Table3[[Part Number]:[Part Description]],3,0)</f>
        <v xml:space="preserve">HYDRAULIC/TRANSMISSION OIL FILTER </v>
      </c>
      <c r="E69" s="23">
        <f>VLOOKUP(B69,[1]!Table3[[Part Number]:[Q2 QTY]],8,0)</f>
        <v>1</v>
      </c>
      <c r="F69" s="24">
        <f>VLOOKUP(B69,[1]!Table3[[Part Number]:[OEM CAD $]],4,0)</f>
        <v>47.44</v>
      </c>
      <c r="G69" s="25">
        <f t="shared" si="2"/>
        <v>47.44</v>
      </c>
      <c r="H69" s="25">
        <f>VLOOKUP(B69,[1]!Table3[[Part Number]:[GQP CAD $]],5,0)</f>
        <v>18.03</v>
      </c>
      <c r="I69" s="26">
        <f t="shared" si="0"/>
        <v>18.03</v>
      </c>
    </row>
    <row r="70" spans="2:9" x14ac:dyDescent="0.25">
      <c r="B70" s="62" t="s">
        <v>139</v>
      </c>
      <c r="C70" s="22" t="str">
        <f>VLOOKUP(B70,[1]!Table3[[Part Number]:[Make and Model]],2,0)</f>
        <v xml:space="preserve">CAT D4 (66J)                                            </v>
      </c>
      <c r="D70" s="22" t="str">
        <f>VLOOKUP(B70,[1]!Table3[[Part Number]:[Part Description]],3,0)</f>
        <v xml:space="preserve">HYDRAULIC OIL FILTER ELEMENT </v>
      </c>
      <c r="E70" s="23">
        <f>VLOOKUP(B70,[1]!Table3[[Part Number]:[Q2 QTY]],8,0)</f>
        <v>1</v>
      </c>
      <c r="F70" s="24">
        <f>VLOOKUP(B70,[1]!Table3[[Part Number]:[OEM CAD $]],4,0)</f>
        <v>93.49</v>
      </c>
      <c r="G70" s="25">
        <f t="shared" si="2"/>
        <v>93.49</v>
      </c>
      <c r="H70" s="25">
        <f>VLOOKUP(B70,[1]!Table3[[Part Number]:[GQP CAD $]],5,0)</f>
        <v>35.53</v>
      </c>
      <c r="I70" s="26">
        <f t="shared" si="0"/>
        <v>35.53</v>
      </c>
    </row>
    <row r="71" spans="2:9" x14ac:dyDescent="0.25">
      <c r="B71" s="62" t="s">
        <v>140</v>
      </c>
      <c r="C71" s="22" t="str">
        <f>VLOOKUP(B71,[1]!Table3[[Part Number]:[Make and Model]],2,0)</f>
        <v xml:space="preserve">CAT 303.5E                                            </v>
      </c>
      <c r="D71" s="22" t="str">
        <f>VLOOKUP(B71,[1]!Table3[[Part Number]:[Part Description]],3,0)</f>
        <v>HYDRAULIC OIL FILTER</v>
      </c>
      <c r="E71" s="23">
        <f>VLOOKUP(B71,[1]!Table3[[Part Number]:[Q2 QTY]],8,0)</f>
        <v>1</v>
      </c>
      <c r="F71" s="24">
        <f>VLOOKUP(B71,[1]!Table3[[Part Number]:[OEM CAD $]],4,0)</f>
        <v>130.47</v>
      </c>
      <c r="G71" s="25">
        <f t="shared" si="2"/>
        <v>130.47</v>
      </c>
      <c r="H71" s="25">
        <f>VLOOKUP(B71,[1]!Table3[[Part Number]:[GQP CAD $]],5,0)</f>
        <v>49.58</v>
      </c>
      <c r="I71" s="26">
        <f t="shared" si="0"/>
        <v>49.58</v>
      </c>
    </row>
    <row r="72" spans="2:9" x14ac:dyDescent="0.25">
      <c r="B72" s="62" t="s">
        <v>40</v>
      </c>
      <c r="C72" s="22" t="str">
        <f>VLOOKUP(B72,[1]!Table3[[Part Number]:[Make and Model]],2,0)</f>
        <v xml:space="preserve">CAT D6N LGP (GHS)                                            </v>
      </c>
      <c r="D72" s="22" t="str">
        <f>VLOOKUP(B72,[1]!Table3[[Part Number]:[Part Description]],3,0)</f>
        <v xml:space="preserve">HYDRAULIC OIL FILTER ELEMENT </v>
      </c>
      <c r="E72" s="23">
        <f>VLOOKUP(B72,[1]!Table3[[Part Number]:[Q2 QTY]],8,0)</f>
        <v>1</v>
      </c>
      <c r="F72" s="24">
        <f>VLOOKUP(B72,[1]!Table3[[Part Number]:[OEM CAD $]],4,0)</f>
        <v>204.36</v>
      </c>
      <c r="G72" s="25">
        <f t="shared" si="2"/>
        <v>204.36</v>
      </c>
      <c r="H72" s="25">
        <f>VLOOKUP(B72,[1]!Table3[[Part Number]:[GQP CAD $]],5,0)</f>
        <v>77.66</v>
      </c>
      <c r="I72" s="26">
        <f t="shared" si="0"/>
        <v>77.66</v>
      </c>
    </row>
    <row r="73" spans="2:9" x14ac:dyDescent="0.25">
      <c r="B73" s="62" t="s">
        <v>141</v>
      </c>
      <c r="C73" s="22" t="str">
        <f>VLOOKUP(B73,[1]!Table3[[Part Number]:[Make and Model]],2,0)</f>
        <v xml:space="preserve">CAT 303.5E                                            </v>
      </c>
      <c r="D73" s="22" t="str">
        <f>VLOOKUP(B73,[1]!Table3[[Part Number]:[Part Description]],3,0)</f>
        <v>HYDRAULIC PUMP</v>
      </c>
      <c r="E73" s="23">
        <f>VLOOKUP(B73,[1]!Table3[[Part Number]:[Q2 QTY]],8,0)</f>
        <v>1</v>
      </c>
      <c r="F73" s="24">
        <f>VLOOKUP(B73,[1]!Table3[[Part Number]:[OEM CAD $]],4,0)</f>
        <v>7622.73</v>
      </c>
      <c r="G73" s="25">
        <f t="shared" si="2"/>
        <v>7622.73</v>
      </c>
      <c r="H73" s="25">
        <f>VLOOKUP(B73,[1]!Table3[[Part Number]:[GQP CAD $]],5,0)</f>
        <v>3811.37</v>
      </c>
      <c r="I73" s="26">
        <f t="shared" si="0"/>
        <v>3811.37</v>
      </c>
    </row>
    <row r="74" spans="2:9" x14ac:dyDescent="0.25">
      <c r="B74" s="62" t="s">
        <v>142</v>
      </c>
      <c r="C74" s="22" t="str">
        <f>VLOOKUP(B74,[1]!Table3[[Part Number]:[Make and Model]],2,0)</f>
        <v xml:space="preserve">CAT 299D (DX2)                                            </v>
      </c>
      <c r="D74" s="22" t="str">
        <f>VLOOKUP(B74,[1]!Table3[[Part Number]:[Part Description]],3,0)</f>
        <v>HYDRAULIC OIL FILTER ELEMENT</v>
      </c>
      <c r="E74" s="23">
        <f>VLOOKUP(B74,[1]!Table3[[Part Number]:[Q2 QTY]],8,0)</f>
        <v>1</v>
      </c>
      <c r="F74" s="24">
        <f>VLOOKUP(B74,[1]!Table3[[Part Number]:[OEM CAD $]],4,0)</f>
        <v>72.069999999999993</v>
      </c>
      <c r="G74" s="25">
        <f t="shared" si="2"/>
        <v>72.069999999999993</v>
      </c>
      <c r="H74" s="25">
        <f>VLOOKUP(B74,[1]!Table3[[Part Number]:[GQP CAD $]],5,0)</f>
        <v>27.39</v>
      </c>
      <c r="I74" s="26">
        <f t="shared" si="0"/>
        <v>27.39</v>
      </c>
    </row>
    <row r="75" spans="2:9" x14ac:dyDescent="0.25">
      <c r="B75" s="62" t="s">
        <v>143</v>
      </c>
      <c r="C75" s="22" t="str">
        <f>VLOOKUP(B75,[1]!Table3[[Part Number]:[Make and Model]],2,0)</f>
        <v xml:space="preserve">CAT 330 (LHW) CAT 330 (LHW) (2) CAT 330 (LHW) (3) CAT 330 (LHW) (4)                                      </v>
      </c>
      <c r="D75" s="22" t="str">
        <f>VLOOKUP(B75,[1]!Table3[[Part Number]:[Part Description]],3,0)</f>
        <v>HYDRAULIC OIL FILTER</v>
      </c>
      <c r="E75" s="23">
        <f>VLOOKUP(B75,[1]!Table3[[Part Number]:[Q2 QTY]],8,0)</f>
        <v>4</v>
      </c>
      <c r="F75" s="24">
        <f>VLOOKUP(B75,[1]!Table3[[Part Number]:[OEM CAD $]],4,0)</f>
        <v>159.19999999999999</v>
      </c>
      <c r="G75" s="25">
        <f t="shared" si="2"/>
        <v>636.79999999999995</v>
      </c>
      <c r="H75" s="25">
        <f>VLOOKUP(B75,[1]!Table3[[Part Number]:[GQP CAD $]],5,0)</f>
        <v>60.5</v>
      </c>
      <c r="I75" s="26">
        <f t="shared" si="0"/>
        <v>242</v>
      </c>
    </row>
    <row r="76" spans="2:9" x14ac:dyDescent="0.25">
      <c r="B76" s="62" t="s">
        <v>144</v>
      </c>
      <c r="C76" s="22" t="str">
        <f>VLOOKUP(B76,[1]!Table3[[Part Number]:[Make and Model]],2,0)</f>
        <v xml:space="preserve">CAT D7G (92V) CAT D7G (3ZD) CAT D7G (3ZD) (2)                                        </v>
      </c>
      <c r="D76" s="22" t="str">
        <f>VLOOKUP(B76,[1]!Table3[[Part Number]:[Part Description]],3,0)</f>
        <v>HYDRAULIC OIL FILTER ELEMENT</v>
      </c>
      <c r="E76" s="23">
        <f>VLOOKUP(B76,[1]!Table3[[Part Number]:[Q2 QTY]],8,0)</f>
        <v>3</v>
      </c>
      <c r="F76" s="24">
        <f>VLOOKUP(B76,[1]!Table3[[Part Number]:[OEM CAD $]],4,0)</f>
        <v>131.11000000000001</v>
      </c>
      <c r="G76" s="25">
        <f t="shared" si="2"/>
        <v>393.33000000000004</v>
      </c>
      <c r="H76" s="25">
        <f>VLOOKUP(B76,[1]!Table3[[Part Number]:[GQP CAD $]],5,0)</f>
        <v>49.82</v>
      </c>
      <c r="I76" s="26">
        <f t="shared" si="0"/>
        <v>149.46</v>
      </c>
    </row>
    <row r="77" spans="2:9" x14ac:dyDescent="0.25">
      <c r="B77" s="62" t="s">
        <v>145</v>
      </c>
      <c r="C77" s="22" t="str">
        <f>VLOOKUP(B77,[1]!Table3[[Part Number]:[Make and Model]],2,0)</f>
        <v xml:space="preserve">CAT D6 (RDC) CAT D6N LGP (PBA) CAT D6N LGP (PBA) (2) CAT D6N LGP (SGG) CAT D6N LGP (SGG) (2) CAT D6T (MH7) CAT 561N (CPH) CAT 561N (CPH) (2) CAT 561N (CPH) (3) CAT 561N (CPH) (4) CAT 561N (CPH) (5)                        </v>
      </c>
      <c r="D77" s="22" t="str">
        <f>VLOOKUP(B77,[1]!Table3[[Part Number]:[Part Description]],3,0)</f>
        <v>HYDRAULIC OIL FILTER ELEMENT</v>
      </c>
      <c r="E77" s="23">
        <f>VLOOKUP(B77,[1]!Table3[[Part Number]:[Q2 QTY]],8,0)</f>
        <v>11</v>
      </c>
      <c r="F77" s="24">
        <f>VLOOKUP(B77,[1]!Table3[[Part Number]:[OEM CAD $]],4,0)</f>
        <v>171.55</v>
      </c>
      <c r="G77" s="25">
        <f t="shared" si="2"/>
        <v>1887.0500000000002</v>
      </c>
      <c r="H77" s="25">
        <f>VLOOKUP(B77,[1]!Table3[[Part Number]:[GQP CAD $]],5,0)</f>
        <v>65.19</v>
      </c>
      <c r="I77" s="26">
        <f t="shared" si="0"/>
        <v>717.09</v>
      </c>
    </row>
    <row r="78" spans="2:9" x14ac:dyDescent="0.25">
      <c r="B78" s="62" t="s">
        <v>146</v>
      </c>
      <c r="C78" s="22" t="str">
        <f>VLOOKUP(B78,[1]!Table3[[Part Number]:[Make and Model]],2,0)</f>
        <v xml:space="preserve">CAT 320 (HEX) CAT 320 (MYK) CAT 320 (MYK) (2) CAT 330 (LHW) CAT 330 (LHW) (2) CAT 330 (LHW) (3) CAT 330 (LHW) (4) CAT 330 (WCH) CAT 330 (WCH) (2) CAT 330 (WCH) (3) CAT 330 (WCH) (4) CAT 330 (WCH) (5) CAT 330 (WCH) (6)                    </v>
      </c>
      <c r="D78" s="22" t="str">
        <f>VLOOKUP(B78,[1]!Table3[[Part Number]:[Part Description]],3,0)</f>
        <v>HYDRAULIC OIL FILTER ELEMENT</v>
      </c>
      <c r="E78" s="23">
        <f>VLOOKUP(B78,[1]!Table3[[Part Number]:[Q2 QTY]],8,0)</f>
        <v>13</v>
      </c>
      <c r="F78" s="24">
        <f>VLOOKUP(B78,[1]!Table3[[Part Number]:[OEM CAD $]],4,0)</f>
        <v>283.86</v>
      </c>
      <c r="G78" s="25">
        <f t="shared" si="2"/>
        <v>3690.1800000000003</v>
      </c>
      <c r="H78" s="25">
        <f>VLOOKUP(B78,[1]!Table3[[Part Number]:[GQP CAD $]],5,0)</f>
        <v>107.87</v>
      </c>
      <c r="I78" s="26">
        <f t="shared" si="0"/>
        <v>1402.31</v>
      </c>
    </row>
    <row r="79" spans="2:9" x14ac:dyDescent="0.25">
      <c r="B79" s="62" t="s">
        <v>147</v>
      </c>
      <c r="C79" s="22" t="str">
        <f>VLOOKUP(B79,[1]!Table3[[Part Number]:[Make and Model]],2,0)</f>
        <v xml:space="preserve">CAT 320F L (YBM) CAT 329E L (ZCD)                                          </v>
      </c>
      <c r="D79" s="22" t="str">
        <f>VLOOKUP(B79,[1]!Table3[[Part Number]:[Part Description]],3,0)</f>
        <v>HYDRAULIC OIL FILTER</v>
      </c>
      <c r="E79" s="23">
        <f>VLOOKUP(B79,[1]!Table3[[Part Number]:[Q2 QTY]],8,0)</f>
        <v>2</v>
      </c>
      <c r="F79" s="24">
        <f>VLOOKUP(B79,[1]!Table3[[Part Number]:[OEM CAD $]],4,0)</f>
        <v>106.56</v>
      </c>
      <c r="G79" s="25">
        <f t="shared" si="2"/>
        <v>213.12</v>
      </c>
      <c r="H79" s="25">
        <f>VLOOKUP(B79,[1]!Table3[[Part Number]:[GQP CAD $]],5,0)</f>
        <v>40.49</v>
      </c>
      <c r="I79" s="26">
        <f t="shared" si="0"/>
        <v>80.98</v>
      </c>
    </row>
    <row r="80" spans="2:9" x14ac:dyDescent="0.25">
      <c r="B80" s="62" t="s">
        <v>148</v>
      </c>
      <c r="C80" s="22" t="str">
        <f>VLOOKUP(B80,[1]!Table3[[Part Number]:[Make and Model]],2,0)</f>
        <v xml:space="preserve">CAT D6N LGP (GHS) CAT D6N LGP (PBA) CAT D6N LGP (PBA) (2) CAT D6N LGP (SGG) CAT D6N LGP (SGG) (2)                                    </v>
      </c>
      <c r="D80" s="22" t="str">
        <f>VLOOKUP(B80,[1]!Table3[[Part Number]:[Part Description]],3,0)</f>
        <v>HYDRAULIC OIL FILTER</v>
      </c>
      <c r="E80" s="23">
        <f>VLOOKUP(B80,[1]!Table3[[Part Number]:[Q2 QTY]],8,0)</f>
        <v>5</v>
      </c>
      <c r="F80" s="24">
        <f>VLOOKUP(B80,[1]!Table3[[Part Number]:[OEM CAD $]],4,0)</f>
        <v>123.35</v>
      </c>
      <c r="G80" s="25">
        <f t="shared" si="2"/>
        <v>616.75</v>
      </c>
      <c r="H80" s="25">
        <f>VLOOKUP(B80,[1]!Table3[[Part Number]:[GQP CAD $]],5,0)</f>
        <v>46.87</v>
      </c>
      <c r="I80" s="26">
        <f t="shared" si="0"/>
        <v>234.35</v>
      </c>
    </row>
    <row r="81" spans="2:9" x14ac:dyDescent="0.25">
      <c r="B81" s="62">
        <v>6667352</v>
      </c>
      <c r="C81" s="22" t="str">
        <f>VLOOKUP(B81,[1]!Table3[[Part Number]:[Make and Model]],2,0)</f>
        <v xml:space="preserve">BOBCAT T750 (ANK) BOBCAT S650 (A3N)                                          </v>
      </c>
      <c r="D81" s="22" t="str">
        <f>VLOOKUP(B81,[1]!Table3[[Part Number]:[Part Description]],3,0)</f>
        <v>FUEL WATER SEPARATOR FILTER</v>
      </c>
      <c r="E81" s="23">
        <f>VLOOKUP(B81,[1]!Table3[[Part Number]:[Q2 QTY]],8,0)</f>
        <v>2</v>
      </c>
      <c r="F81" s="24">
        <f>VLOOKUP(B81,[1]!Table3[[Part Number]:[OEM CAD $]],4,0)</f>
        <v>34.04</v>
      </c>
      <c r="G81" s="25">
        <f t="shared" si="2"/>
        <v>68.08</v>
      </c>
      <c r="H81" s="25">
        <f>VLOOKUP(B81,[1]!Table3[[Part Number]:[GQP CAD $]],5,0)</f>
        <v>12.94</v>
      </c>
      <c r="I81" s="26">
        <f t="shared" si="0"/>
        <v>25.88</v>
      </c>
    </row>
    <row r="82" spans="2:9" x14ac:dyDescent="0.25">
      <c r="B82" s="62">
        <v>6678233</v>
      </c>
      <c r="C82" s="22" t="str">
        <f>VLOOKUP(B82,[1]!Table3[[Part Number]:[Make and Model]],2,0)</f>
        <v xml:space="preserve">BOBCAT T750 (ANK) BOBCAT T750 (ATF) BOBCAT S650 (A3N) BOBCAT T770 (AT6) BOBCAT T770 (AT6) (2)                                    </v>
      </c>
      <c r="D82" s="22" t="str">
        <f>VLOOKUP(B82,[1]!Table3[[Part Number]:[Part Description]],3,0)</f>
        <v>ENGINE OIL FILTER</v>
      </c>
      <c r="E82" s="23">
        <f>VLOOKUP(B82,[1]!Table3[[Part Number]:[Q2 QTY]],8,0)</f>
        <v>5</v>
      </c>
      <c r="F82" s="24">
        <f>VLOOKUP(B82,[1]!Table3[[Part Number]:[OEM CAD $]],4,0)</f>
        <v>20.14</v>
      </c>
      <c r="G82" s="25">
        <f t="shared" si="2"/>
        <v>100.7</v>
      </c>
      <c r="H82" s="25">
        <f>VLOOKUP(B82,[1]!Table3[[Part Number]:[GQP CAD $]],5,0)</f>
        <v>7.65</v>
      </c>
      <c r="I82" s="26">
        <f t="shared" si="0"/>
        <v>38.25</v>
      </c>
    </row>
    <row r="83" spans="2:9" x14ac:dyDescent="0.25">
      <c r="B83" s="62">
        <v>7400454</v>
      </c>
      <c r="C83" s="22" t="str">
        <f>VLOOKUP(B83,[1]!Table3[[Part Number]:[Make and Model]],2,0)</f>
        <v xml:space="preserve">BOBCAT T750 (ATF)                                            </v>
      </c>
      <c r="D83" s="22" t="str">
        <f>VLOOKUP(B83,[1]!Table3[[Part Number]:[Part Description]],3,0)</f>
        <v>FUEL WATER SEPARATOR FILTER</v>
      </c>
      <c r="E83" s="23">
        <f>VLOOKUP(B83,[1]!Table3[[Part Number]:[Q2 QTY]],8,0)</f>
        <v>1</v>
      </c>
      <c r="F83" s="24">
        <f>VLOOKUP(B83,[1]!Table3[[Part Number]:[OEM CAD $]],4,0)</f>
        <v>135.49</v>
      </c>
      <c r="G83" s="25">
        <f t="shared" si="2"/>
        <v>135.49</v>
      </c>
      <c r="H83" s="25">
        <f>VLOOKUP(B83,[1]!Table3[[Part Number]:[GQP CAD $]],5,0)</f>
        <v>51.49</v>
      </c>
      <c r="I83" s="26">
        <f t="shared" si="0"/>
        <v>51.49</v>
      </c>
    </row>
    <row r="84" spans="2:9" x14ac:dyDescent="0.25">
      <c r="B84" s="62">
        <v>46825328</v>
      </c>
      <c r="C84" s="22" t="str">
        <f>VLOOKUP(B84,[1]!Table3[[Part Number]:[Make and Model]],2,0)</f>
        <v xml:space="preserve">BOBCAT T770 (AT6) BOBCAT T770 (AT6) (2)                                          </v>
      </c>
      <c r="D84" s="22" t="str">
        <f>VLOOKUP(B84,[1]!Table3[[Part Number]:[Part Description]],3,0)</f>
        <v>FUEL WATER SEPARATOR FILTER</v>
      </c>
      <c r="E84" s="23">
        <f>VLOOKUP(B84,[1]!Table3[[Part Number]:[Q2 QTY]],8,0)</f>
        <v>2</v>
      </c>
      <c r="F84" s="24">
        <f>VLOOKUP(B84,[1]!Table3[[Part Number]:[OEM CAD $]],4,0)</f>
        <v>150.49</v>
      </c>
      <c r="G84" s="25">
        <f t="shared" si="2"/>
        <v>300.98</v>
      </c>
      <c r="H84" s="25">
        <f>VLOOKUP(B84,[1]!Table3[[Part Number]:[GQP CAD $]],5,0)</f>
        <v>57.19</v>
      </c>
      <c r="I84" s="26">
        <f t="shared" si="0"/>
        <v>114.38</v>
      </c>
    </row>
    <row r="85" spans="2:9" x14ac:dyDescent="0.25">
      <c r="B85" s="62" t="s">
        <v>149</v>
      </c>
      <c r="C85" s="22" t="str">
        <f>VLOOKUP(B85,[1]!Table3[[Part Number]:[Make and Model]],2,0)</f>
        <v xml:space="preserve">CAT D5 (3CR) CAT D5 (3CR) (2) CAT 561M (1KW)                                        </v>
      </c>
      <c r="D85" s="22" t="str">
        <f>VLOOKUP(B85,[1]!Table3[[Part Number]:[Part Description]],3,0)</f>
        <v>FUEL WATER SEPARATOR</v>
      </c>
      <c r="E85" s="23">
        <f>VLOOKUP(B85,[1]!Table3[[Part Number]:[Q2 QTY]],8,0)</f>
        <v>3</v>
      </c>
      <c r="F85" s="24">
        <f>VLOOKUP(B85,[1]!Table3[[Part Number]:[OEM CAD $]],4,0)</f>
        <v>52.82</v>
      </c>
      <c r="G85" s="25">
        <f t="shared" si="2"/>
        <v>158.46</v>
      </c>
      <c r="H85" s="25">
        <f>VLOOKUP(B85,[1]!Table3[[Part Number]:[GQP CAD $]],5,0)</f>
        <v>20.07</v>
      </c>
      <c r="I85" s="26">
        <f t="shared" si="0"/>
        <v>60.21</v>
      </c>
    </row>
    <row r="86" spans="2:9" x14ac:dyDescent="0.25">
      <c r="B86" s="62" t="s">
        <v>177</v>
      </c>
      <c r="C86" s="22" t="str">
        <f>VLOOKUP(B86,[1]!Table3[[Part Number]:[Make and Model]],2,0)</f>
        <v xml:space="preserve">CAT 561M (1KW)                                            </v>
      </c>
      <c r="D86" s="22" t="str">
        <f>VLOOKUP(B86,[1]!Table3[[Part Number]:[Part Description]],3,0)</f>
        <v>TRANSMISSION FILTER</v>
      </c>
      <c r="E86" s="23">
        <f>VLOOKUP(B86,[1]!Table3[[Part Number]:[Q2 QTY]],8,0)</f>
        <v>1</v>
      </c>
      <c r="F86" s="24">
        <f>VLOOKUP(B86,[1]!Table3[[Part Number]:[OEM CAD $]],4,0)</f>
        <v>113.9</v>
      </c>
      <c r="G86" s="25">
        <f t="shared" si="2"/>
        <v>113.9</v>
      </c>
      <c r="H86" s="25">
        <f>VLOOKUP(B86,[1]!Table3[[Part Number]:[GQP CAD $]],5,0)</f>
        <v>43.28</v>
      </c>
      <c r="I86" s="26">
        <f t="shared" si="0"/>
        <v>43.28</v>
      </c>
    </row>
    <row r="87" spans="2:9" x14ac:dyDescent="0.25">
      <c r="B87" s="62" t="s">
        <v>150</v>
      </c>
      <c r="C87" s="22" t="str">
        <f>VLOOKUP(B87,[1]!Table3[[Part Number]:[Make and Model]],2,0)</f>
        <v xml:space="preserve">CAT 561N (CPH) CAT 561N (CPH) (2) CAT 561N (CPH) (3) CAT 561N (CPH) (4) CAT 561N (CPH) (5)                                    </v>
      </c>
      <c r="D87" s="22" t="str">
        <f>VLOOKUP(B87,[1]!Table3[[Part Number]:[Part Description]],3,0)</f>
        <v>FUEL WATER SEPARATOR FILTER</v>
      </c>
      <c r="E87" s="23">
        <f>VLOOKUP(B87,[1]!Table3[[Part Number]:[Q2 QTY]],8,0)</f>
        <v>5</v>
      </c>
      <c r="F87" s="24">
        <f>VLOOKUP(B87,[1]!Table3[[Part Number]:[OEM CAD $]],4,0)</f>
        <v>60.23</v>
      </c>
      <c r="G87" s="25">
        <f t="shared" si="2"/>
        <v>301.14999999999998</v>
      </c>
      <c r="H87" s="25">
        <f>VLOOKUP(B87,[1]!Table3[[Part Number]:[GQP CAD $]],5,0)</f>
        <v>22.89</v>
      </c>
      <c r="I87" s="26">
        <f t="shared" si="0"/>
        <v>114.45</v>
      </c>
    </row>
    <row r="88" spans="2:9" x14ac:dyDescent="0.25">
      <c r="B88" s="62" t="s">
        <v>151</v>
      </c>
      <c r="C88" s="22" t="str">
        <f>VLOOKUP(B88,[1]!Table3[[Part Number]:[Make and Model]],2,0)</f>
        <v xml:space="preserve">CAT 303.5E                                            </v>
      </c>
      <c r="D88" s="22" t="str">
        <f>VLOOKUP(B88,[1]!Table3[[Part Number]:[Part Description]],3,0)</f>
        <v xml:space="preserve">FUEL WATER SEPARATOR </v>
      </c>
      <c r="E88" s="23">
        <f>VLOOKUP(B88,[1]!Table3[[Part Number]:[Q2 QTY]],8,0)</f>
        <v>1</v>
      </c>
      <c r="F88" s="24">
        <f>VLOOKUP(B88,[1]!Table3[[Part Number]:[OEM CAD $]],4,0)</f>
        <v>57.5</v>
      </c>
      <c r="G88" s="25">
        <f t="shared" si="2"/>
        <v>57.5</v>
      </c>
      <c r="H88" s="25">
        <f>VLOOKUP(B88,[1]!Table3[[Part Number]:[GQP CAD $]],5,0)</f>
        <v>21.85</v>
      </c>
      <c r="I88" s="26">
        <f t="shared" si="0"/>
        <v>21.85</v>
      </c>
    </row>
    <row r="89" spans="2:9" x14ac:dyDescent="0.25">
      <c r="B89" s="62" t="s">
        <v>152</v>
      </c>
      <c r="C89" s="22" t="str">
        <f>VLOOKUP(B89,[1]!Table3[[Part Number]:[Make and Model]],2,0)</f>
        <v xml:space="preserve">CAT D3 (1PJ)                                            </v>
      </c>
      <c r="D89" s="22" t="str">
        <f>VLOOKUP(B89,[1]!Table3[[Part Number]:[Part Description]],3,0)</f>
        <v>ENGINE OIL FILTER</v>
      </c>
      <c r="E89" s="23">
        <f>VLOOKUP(B89,[1]!Table3[[Part Number]:[Q2 QTY]],8,0)</f>
        <v>1</v>
      </c>
      <c r="F89" s="24">
        <f>VLOOKUP(B89,[1]!Table3[[Part Number]:[OEM CAD $]],4,0)</f>
        <v>27.68</v>
      </c>
      <c r="G89" s="25">
        <f t="shared" si="2"/>
        <v>27.68</v>
      </c>
      <c r="H89" s="25">
        <f>VLOOKUP(B89,[1]!Table3[[Part Number]:[GQP CAD $]],5,0)</f>
        <v>10.52</v>
      </c>
      <c r="I89" s="26">
        <f t="shared" si="0"/>
        <v>10.52</v>
      </c>
    </row>
    <row r="90" spans="2:9" x14ac:dyDescent="0.25">
      <c r="B90" s="62" t="s">
        <v>153</v>
      </c>
      <c r="C90" s="22" t="str">
        <f>VLOOKUP(B90,[1]!Table3[[Part Number]:[Make and Model]],2,0)</f>
        <v xml:space="preserve">CAT 561N (CPH) CAT 561N (CPH) (2) CAT 561N (CPH) (3) CAT 561N (CPH) (4) CAT 561N (CPH) (5)                                    </v>
      </c>
      <c r="D90" s="22" t="str">
        <f>VLOOKUP(B90,[1]!Table3[[Part Number]:[Part Description]],3,0)</f>
        <v>FUEL FILTER</v>
      </c>
      <c r="E90" s="23">
        <f>VLOOKUP(B90,[1]!Table3[[Part Number]:[Q2 QTY]],8,0)</f>
        <v>10</v>
      </c>
      <c r="F90" s="24">
        <f>VLOOKUP(B90,[1]!Table3[[Part Number]:[OEM CAD $]],4,0)</f>
        <v>51.52</v>
      </c>
      <c r="G90" s="25">
        <f t="shared" si="2"/>
        <v>515.20000000000005</v>
      </c>
      <c r="H90" s="25">
        <f>VLOOKUP(B90,[1]!Table3[[Part Number]:[GQP CAD $]],5,0)</f>
        <v>19.579999999999998</v>
      </c>
      <c r="I90" s="26">
        <f t="shared" si="0"/>
        <v>195.8</v>
      </c>
    </row>
    <row r="91" spans="2:9" x14ac:dyDescent="0.25">
      <c r="B91" s="62" t="s">
        <v>36</v>
      </c>
      <c r="C91" s="22" t="str">
        <f>VLOOKUP(B91,[1]!Table3[[Part Number]:[Make and Model]],2,0)</f>
        <v xml:space="preserve">CAT 336F L (RKB) CAT D6 (RDC) CAT D6T (MH7)                                        </v>
      </c>
      <c r="D91" s="22" t="str">
        <f>VLOOKUP(B91,[1]!Table3[[Part Number]:[Part Description]],3,0)</f>
        <v xml:space="preserve">FUEL FILTER </v>
      </c>
      <c r="E91" s="23">
        <f>VLOOKUP(B91,[1]!Table3[[Part Number]:[Q2 QTY]],8,0)</f>
        <v>6</v>
      </c>
      <c r="F91" s="24">
        <f>VLOOKUP(B91,[1]!Table3[[Part Number]:[OEM CAD $]],4,0)</f>
        <v>51.52</v>
      </c>
      <c r="G91" s="25">
        <f t="shared" si="2"/>
        <v>309.12</v>
      </c>
      <c r="H91" s="25">
        <f>VLOOKUP(B91,[1]!Table3[[Part Number]:[GQP CAD $]],5,0)</f>
        <v>19.579999999999998</v>
      </c>
      <c r="I91" s="26">
        <f t="shared" si="0"/>
        <v>117.48</v>
      </c>
    </row>
    <row r="92" spans="2:9" x14ac:dyDescent="0.25">
      <c r="B92" s="62" t="s">
        <v>154</v>
      </c>
      <c r="C92" s="22" t="str">
        <f>VLOOKUP(B92,[1]!Table3[[Part Number]:[Make and Model]],2,0)</f>
        <v xml:space="preserve">CAT D4 (66J)                                            </v>
      </c>
      <c r="D92" s="22" t="str">
        <f>VLOOKUP(B92,[1]!Table3[[Part Number]:[Part Description]],3,0)</f>
        <v>SECONDARY FUEL FILTER</v>
      </c>
      <c r="E92" s="23">
        <f>VLOOKUP(B92,[1]!Table3[[Part Number]:[Q2 QTY]],8,0)</f>
        <v>1</v>
      </c>
      <c r="F92" s="24">
        <f>VLOOKUP(B92,[1]!Table3[[Part Number]:[OEM CAD $]],4,0)</f>
        <v>42.69</v>
      </c>
      <c r="G92" s="25">
        <f t="shared" si="2"/>
        <v>42.69</v>
      </c>
      <c r="H92" s="25">
        <f>VLOOKUP(B92,[1]!Table3[[Part Number]:[GQP CAD $]],5,0)</f>
        <v>16.22</v>
      </c>
      <c r="I92" s="26">
        <f t="shared" si="0"/>
        <v>16.22</v>
      </c>
    </row>
    <row r="93" spans="2:9" x14ac:dyDescent="0.25">
      <c r="B93" s="62" t="s">
        <v>39</v>
      </c>
      <c r="C93" s="22" t="str">
        <f>VLOOKUP(B93,[1]!Table3[[Part Number]:[Make and Model]],2,0)</f>
        <v xml:space="preserve">CAT D3 (1PJ) CAT D7G (92V) CAT D7G (3ZD) CAT D7G (3ZD) (2) CAT 561 (85H) CAT 561 (92J) CAT 561 (92J) (2)                                </v>
      </c>
      <c r="D93" s="22" t="str">
        <f>VLOOKUP(B93,[1]!Table3[[Part Number]:[Part Description]],3,0)</f>
        <v>FUEL FILTER</v>
      </c>
      <c r="E93" s="23">
        <f>VLOOKUP(B93,[1]!Table3[[Part Number]:[Q2 QTY]],8,0)</f>
        <v>7</v>
      </c>
      <c r="F93" s="24">
        <f>VLOOKUP(B93,[1]!Table3[[Part Number]:[OEM CAD $]],4,0)</f>
        <v>42.69</v>
      </c>
      <c r="G93" s="25">
        <f t="shared" si="2"/>
        <v>298.83</v>
      </c>
      <c r="H93" s="25">
        <f>VLOOKUP(B93,[1]!Table3[[Part Number]:[GQP CAD $]],5,0)</f>
        <v>16.22</v>
      </c>
      <c r="I93" s="26">
        <f t="shared" si="0"/>
        <v>113.54</v>
      </c>
    </row>
    <row r="94" spans="2:9" x14ac:dyDescent="0.25">
      <c r="B94" s="62" t="s">
        <v>155</v>
      </c>
      <c r="C94" s="22" t="str">
        <f>VLOOKUP(B94,[1]!Table3[[Part Number]:[Make and Model]],2,0)</f>
        <v xml:space="preserve">CAT D5 (3CR) CAT D5 (3CR) (2) CAT D6N LGP (GHS) CAT 561M (1KW) CAT PL61 (WGS) CAT PL61 (WGS) (2) CAT PL61 (WGS) (3)                                </v>
      </c>
      <c r="D94" s="22" t="str">
        <f>VLOOKUP(B94,[1]!Table3[[Part Number]:[Part Description]],3,0)</f>
        <v>PRIMARY FUEL FILTER</v>
      </c>
      <c r="E94" s="23">
        <f>VLOOKUP(B94,[1]!Table3[[Part Number]:[Q2 QTY]],8,0)</f>
        <v>8</v>
      </c>
      <c r="F94" s="24">
        <f>VLOOKUP(B94,[1]!Table3[[Part Number]:[OEM CAD $]],4,0)</f>
        <v>47.05</v>
      </c>
      <c r="G94" s="25">
        <f t="shared" si="2"/>
        <v>376.4</v>
      </c>
      <c r="H94" s="25">
        <f>VLOOKUP(B94,[1]!Table3[[Part Number]:[GQP CAD $]],5,0)</f>
        <v>17.88</v>
      </c>
      <c r="I94" s="26">
        <f t="shared" si="0"/>
        <v>143.04</v>
      </c>
    </row>
    <row r="95" spans="2:9" x14ac:dyDescent="0.25">
      <c r="B95" s="62" t="s">
        <v>156</v>
      </c>
      <c r="C95" s="22" t="str">
        <f>VLOOKUP(B95,[1]!Table3[[Part Number]:[Make and Model]],2,0)</f>
        <v xml:space="preserve">CAT D5 (3CR) CAT D5 (3CR) (2)                                          </v>
      </c>
      <c r="D95" s="22" t="str">
        <f>VLOOKUP(B95,[1]!Table3[[Part Number]:[Part Description]],3,0)</f>
        <v>SECONDARY FUEL FILTER</v>
      </c>
      <c r="E95" s="23">
        <f>VLOOKUP(B95,[1]!Table3[[Part Number]:[Q2 QTY]],8,0)</f>
        <v>2</v>
      </c>
      <c r="F95" s="24">
        <f>VLOOKUP(B95,[1]!Table3[[Part Number]:[OEM CAD $]],4,0)</f>
        <v>67.900000000000006</v>
      </c>
      <c r="G95" s="25">
        <f t="shared" si="2"/>
        <v>135.80000000000001</v>
      </c>
      <c r="H95" s="25">
        <f>VLOOKUP(B95,[1]!Table3[[Part Number]:[GQP CAD $]],5,0)</f>
        <v>25.8</v>
      </c>
      <c r="I95" s="26">
        <f t="shared" si="0"/>
        <v>51.6</v>
      </c>
    </row>
    <row r="96" spans="2:9" x14ac:dyDescent="0.25">
      <c r="B96" s="62" t="s">
        <v>157</v>
      </c>
      <c r="C96" s="22" t="str">
        <f>VLOOKUP(B96,[1]!Table3[[Part Number]:[Make and Model]],2,0)</f>
        <v xml:space="preserve">CAT D4 (66J) CAT D5 (3CR) CAT D5 (3CR) (2) CAT 561 (85H) CAT 561 (92J) CAT 561 (92J) (2) CAT 561M (1KW)                                </v>
      </c>
      <c r="D96" s="22" t="str">
        <f>VLOOKUP(B96,[1]!Table3[[Part Number]:[Part Description]],3,0)</f>
        <v>ENGINE OIL FILTER</v>
      </c>
      <c r="E96" s="23">
        <f>VLOOKUP(B96,[1]!Table3[[Part Number]:[Q2 QTY]],8,0)</f>
        <v>7</v>
      </c>
      <c r="F96" s="24">
        <f>VLOOKUP(B96,[1]!Table3[[Part Number]:[OEM CAD $]],4,0)</f>
        <v>44.09</v>
      </c>
      <c r="G96" s="25">
        <f t="shared" si="2"/>
        <v>308.63</v>
      </c>
      <c r="H96" s="25">
        <f>VLOOKUP(B96,[1]!Table3[[Part Number]:[GQP CAD $]],5,0)</f>
        <v>16.75</v>
      </c>
      <c r="I96" s="26">
        <f t="shared" si="0"/>
        <v>117.25</v>
      </c>
    </row>
    <row r="97" spans="2:9" x14ac:dyDescent="0.25">
      <c r="B97" s="62" t="s">
        <v>158</v>
      </c>
      <c r="C97" s="22" t="str">
        <f>VLOOKUP(B97,[1]!Table3[[Part Number]:[Make and Model]],2,0)</f>
        <v xml:space="preserve">CAT 336F L (RKB) CAT D6 (RDC) CAT D6T (MH7)                                        </v>
      </c>
      <c r="D97" s="22" t="str">
        <f>VLOOKUP(B97,[1]!Table3[[Part Number]:[Part Description]],3,0)</f>
        <v>ENGINE OIL FILTER</v>
      </c>
      <c r="E97" s="23">
        <f>VLOOKUP(B97,[1]!Table3[[Part Number]:[Q2 QTY]],8,0)</f>
        <v>3</v>
      </c>
      <c r="F97" s="24">
        <f>VLOOKUP(B97,[1]!Table3[[Part Number]:[OEM CAD $]],4,0)</f>
        <v>82.08</v>
      </c>
      <c r="G97" s="25">
        <f t="shared" si="2"/>
        <v>246.24</v>
      </c>
      <c r="H97" s="25">
        <f>VLOOKUP(B97,[1]!Table3[[Part Number]:[GQP CAD $]],5,0)</f>
        <v>31.19</v>
      </c>
      <c r="I97" s="26">
        <f t="shared" si="0"/>
        <v>93.57</v>
      </c>
    </row>
    <row r="98" spans="2:9" x14ac:dyDescent="0.25">
      <c r="B98" s="62" t="s">
        <v>159</v>
      </c>
      <c r="C98" s="22" t="str">
        <f>VLOOKUP(B98,[1]!Table3[[Part Number]:[Make and Model]],2,0)</f>
        <v xml:space="preserve">CAT D7G (92V) CAT D7G (3ZD) CAT D7G (3ZD) (2)                                        </v>
      </c>
      <c r="D98" s="22" t="str">
        <f>VLOOKUP(B98,[1]!Table3[[Part Number]:[Part Description]],3,0)</f>
        <v>ENGINE OIL FILTER</v>
      </c>
      <c r="E98" s="23">
        <f>VLOOKUP(B98,[1]!Table3[[Part Number]:[Q2 QTY]],8,0)</f>
        <v>3</v>
      </c>
      <c r="F98" s="24">
        <f>VLOOKUP(B98,[1]!Table3[[Part Number]:[OEM CAD $]],4,0)</f>
        <v>17.309999999999999</v>
      </c>
      <c r="G98" s="25">
        <f t="shared" si="2"/>
        <v>51.929999999999993</v>
      </c>
      <c r="H98" s="25">
        <f>VLOOKUP(B98,[1]!Table3[[Part Number]:[GQP CAD $]],5,0)</f>
        <v>6.58</v>
      </c>
      <c r="I98" s="26">
        <f t="shared" si="0"/>
        <v>19.739999999999998</v>
      </c>
    </row>
    <row r="99" spans="2:9" x14ac:dyDescent="0.25">
      <c r="B99" s="62" t="s">
        <v>160</v>
      </c>
      <c r="C99" s="22" t="str">
        <f>VLOOKUP(B99,[1]!Table3[[Part Number]:[Make and Model]],2,0)</f>
        <v xml:space="preserve">CAT D6N LGP (GHS) CAT PL61 (WGS) CAT PL61 (WGS) (2) CAT PL61 (WGS) (3)                                      </v>
      </c>
      <c r="D99" s="22" t="str">
        <f>VLOOKUP(B99,[1]!Table3[[Part Number]:[Part Description]],3,0)</f>
        <v>PRIMARY FUEL FILTER</v>
      </c>
      <c r="E99" s="23">
        <f>VLOOKUP(B99,[1]!Table3[[Part Number]:[Q2 QTY]],8,0)</f>
        <v>4</v>
      </c>
      <c r="F99" s="24">
        <f>VLOOKUP(B99,[1]!Table3[[Part Number]:[OEM CAD $]],4,0)</f>
        <v>62.25</v>
      </c>
      <c r="G99" s="25">
        <f t="shared" si="2"/>
        <v>249</v>
      </c>
      <c r="H99" s="25">
        <f>VLOOKUP(B99,[1]!Table3[[Part Number]:[GQP CAD $]],5,0)</f>
        <v>23.66</v>
      </c>
      <c r="I99" s="26">
        <f t="shared" si="0"/>
        <v>94.64</v>
      </c>
    </row>
    <row r="100" spans="2:9" x14ac:dyDescent="0.25">
      <c r="B100" s="62" t="s">
        <v>161</v>
      </c>
      <c r="C100" s="22" t="str">
        <f>VLOOKUP(B100,[1]!Table3[[Part Number]:[Make and Model]],2,0)</f>
        <v xml:space="preserve">CAT 330 (WCH) CAT 330 (WCH) (2) CAT 330 (WCH) (3) CAT 330 (WCH) (4) CAT 330 (WCH) (5) CAT 330 (WCH) (6)                                  </v>
      </c>
      <c r="D100" s="22" t="str">
        <f>VLOOKUP(B100,[1]!Table3[[Part Number]:[Part Description]],3,0)</f>
        <v>ENGINE OIL FILTER ELEMENT</v>
      </c>
      <c r="E100" s="23">
        <f>VLOOKUP(B100,[1]!Table3[[Part Number]:[Q2 QTY]],8,0)</f>
        <v>6</v>
      </c>
      <c r="F100" s="24">
        <f>VLOOKUP(B100,[1]!Table3[[Part Number]:[OEM CAD $]],4,0)</f>
        <v>44.15</v>
      </c>
      <c r="G100" s="25">
        <f t="shared" ref="G100:G115" si="3">E100*F100</f>
        <v>264.89999999999998</v>
      </c>
      <c r="H100" s="25">
        <f>VLOOKUP(B100,[1]!Table3[[Part Number]:[GQP CAD $]],5,0)</f>
        <v>16.78</v>
      </c>
      <c r="I100" s="26">
        <f t="shared" si="0"/>
        <v>100.68</v>
      </c>
    </row>
    <row r="101" spans="2:9" x14ac:dyDescent="0.25">
      <c r="B101" s="62" t="s">
        <v>162</v>
      </c>
      <c r="C101" s="22" t="str">
        <f>VLOOKUP(B101,[1]!Table3[[Part Number]:[Make and Model]],2,0)</f>
        <v xml:space="preserve">CAT 320E L (WBK) CAT 320E L (WBK) (2) CAT 320F L (YBM) CAT 320 (HEX) CAT 320 (MYK) CAT 320 (MYK) (2) CAT 329E L (ZCD) CAT 329F L (ERL) CAT 329F L (ERL) (2) CAT 330F L (MBX) CAT 330F L (HCK) CAT 330F L (HCK) (2) CAT 330 (LHW) CAT 330 (LHW) (2) CAT 330 (LHW) (3) CAT 330 (LHW) (4)              </v>
      </c>
      <c r="D101" s="22" t="str">
        <f>VLOOKUP(B101,[1]!Table3[[Part Number]:[Part Description]],3,0)</f>
        <v xml:space="preserve">ENGINE OIL FILTER ELEMENT </v>
      </c>
      <c r="E101" s="23">
        <f>VLOOKUP(B101,[1]!Table3[[Part Number]:[Q2 QTY]],8,0)</f>
        <v>15</v>
      </c>
      <c r="F101" s="24">
        <f>VLOOKUP(B101,[1]!Table3[[Part Number]:[OEM CAD $]],4,0)</f>
        <v>44.15</v>
      </c>
      <c r="G101" s="25">
        <f t="shared" si="3"/>
        <v>662.25</v>
      </c>
      <c r="H101" s="25">
        <f>VLOOKUP(B101,[1]!Table3[[Part Number]:[GQP CAD $]],5,0)</f>
        <v>16.78</v>
      </c>
      <c r="I101" s="26">
        <f t="shared" si="0"/>
        <v>251.7</v>
      </c>
    </row>
    <row r="102" spans="2:9" x14ac:dyDescent="0.25">
      <c r="B102" s="62" t="s">
        <v>163</v>
      </c>
      <c r="C102" s="22" t="str">
        <f>VLOOKUP(B102,[1]!Table3[[Part Number]:[Make and Model]],2,0)</f>
        <v xml:space="preserve">CAT 336F L (RKB) CAT D6 (RDC) CAT D6T (MH7)                                        </v>
      </c>
      <c r="D102" s="22" t="str">
        <f>VLOOKUP(B102,[1]!Table3[[Part Number]:[Part Description]],3,0)</f>
        <v xml:space="preserve">FUEL WATER SEPARATOR </v>
      </c>
      <c r="E102" s="23">
        <f>VLOOKUP(B102,[1]!Table3[[Part Number]:[Q2 QTY]],8,0)</f>
        <v>3</v>
      </c>
      <c r="F102" s="24">
        <f>VLOOKUP(B102,[1]!Table3[[Part Number]:[OEM CAD $]],4,0)</f>
        <v>104.86</v>
      </c>
      <c r="G102" s="25">
        <f t="shared" si="3"/>
        <v>314.58</v>
      </c>
      <c r="H102" s="25">
        <f>VLOOKUP(B102,[1]!Table3[[Part Number]:[GQP CAD $]],5,0)</f>
        <v>39.85</v>
      </c>
      <c r="I102" s="26">
        <f t="shared" si="0"/>
        <v>119.55</v>
      </c>
    </row>
    <row r="103" spans="2:9" x14ac:dyDescent="0.25">
      <c r="B103" s="62" t="s">
        <v>37</v>
      </c>
      <c r="C103" s="22" t="str">
        <f>VLOOKUP(B103,[1]!Table3[[Part Number]:[Make and Model]],2,0)</f>
        <v xml:space="preserve">CAT D6N LGP (GHS)                                            </v>
      </c>
      <c r="D103" s="22" t="str">
        <f>VLOOKUP(B103,[1]!Table3[[Part Number]:[Part Description]],3,0)</f>
        <v>FUEL WATER SEPARATOR **VERIFY**</v>
      </c>
      <c r="E103" s="23">
        <f>VLOOKUP(B103,[1]!Table3[[Part Number]:[Q2 QTY]],8,0)</f>
        <v>1</v>
      </c>
      <c r="F103" s="24">
        <f>VLOOKUP(B103,[1]!Table3[[Part Number]:[OEM CAD $]],4,0)</f>
        <v>85.6</v>
      </c>
      <c r="G103" s="25">
        <f t="shared" si="3"/>
        <v>85.6</v>
      </c>
      <c r="H103" s="25">
        <f>VLOOKUP(B103,[1]!Table3[[Part Number]:[GQP CAD $]],5,0)</f>
        <v>32.53</v>
      </c>
      <c r="I103" s="26">
        <f t="shared" si="0"/>
        <v>32.53</v>
      </c>
    </row>
    <row r="104" spans="2:9" x14ac:dyDescent="0.25">
      <c r="B104" s="62" t="s">
        <v>164</v>
      </c>
      <c r="C104" s="22" t="str">
        <f>VLOOKUP(B104,[1]!Table3[[Part Number]:[Make and Model]],2,0)</f>
        <v xml:space="preserve">CAT 320E L (WBK) CAT 320E L (WBK) (2) CAT 320F L (YBM) CAT 329E L (ZCD) CAT 329F L (ERL) CAT 329F L (ERL) (2) CAT 330F L (MBX) CAT 330F L (HCK) CAT 330F L (HCK) (2) CAT D6N LGP (PBA) CAT D6N LGP (PBA) (2) CAT D6N LGP (SGG) CAT D6N LGP (SGG) (2)                    </v>
      </c>
      <c r="D104" s="22" t="str">
        <f>VLOOKUP(B104,[1]!Table3[[Part Number]:[Part Description]],3,0)</f>
        <v>FUEL FILTER ELEMENT</v>
      </c>
      <c r="E104" s="23">
        <f>VLOOKUP(B104,[1]!Table3[[Part Number]:[Q2 QTY]],8,0)</f>
        <v>15</v>
      </c>
      <c r="F104" s="24">
        <f>VLOOKUP(B104,[1]!Table3[[Part Number]:[OEM CAD $]],4,0)</f>
        <v>51.88</v>
      </c>
      <c r="G104" s="25">
        <f t="shared" si="3"/>
        <v>778.2</v>
      </c>
      <c r="H104" s="25">
        <f>VLOOKUP(B104,[1]!Table3[[Part Number]:[GQP CAD $]],5,0)</f>
        <v>19.71</v>
      </c>
      <c r="I104" s="26">
        <f t="shared" si="0"/>
        <v>295.64999999999998</v>
      </c>
    </row>
    <row r="105" spans="2:9" x14ac:dyDescent="0.25">
      <c r="B105" s="62" t="s">
        <v>165</v>
      </c>
      <c r="C105" s="22" t="str">
        <f>VLOOKUP(B105,[1]!Table3[[Part Number]:[Make and Model]],2,0)</f>
        <v xml:space="preserve">CAT 299D (DX2)                                            </v>
      </c>
      <c r="D105" s="22" t="str">
        <f>VLOOKUP(B105,[1]!Table3[[Part Number]:[Part Description]],3,0)</f>
        <v>FUEL WATER SEPARATOR FILTER</v>
      </c>
      <c r="E105" s="23">
        <f>VLOOKUP(B105,[1]!Table3[[Part Number]:[Q2 QTY]],8,0)</f>
        <v>1</v>
      </c>
      <c r="F105" s="24">
        <f>VLOOKUP(B105,[1]!Table3[[Part Number]:[OEM CAD $]],4,0)</f>
        <v>42.6</v>
      </c>
      <c r="G105" s="25">
        <f t="shared" si="3"/>
        <v>42.6</v>
      </c>
      <c r="H105" s="25">
        <f>VLOOKUP(B105,[1]!Table3[[Part Number]:[GQP CAD $]],5,0)</f>
        <v>16.190000000000001</v>
      </c>
      <c r="I105" s="26">
        <f t="shared" si="0"/>
        <v>16.190000000000001</v>
      </c>
    </row>
    <row r="106" spans="2:9" x14ac:dyDescent="0.25">
      <c r="B106" s="62" t="s">
        <v>166</v>
      </c>
      <c r="C106" s="22" t="str">
        <f>VLOOKUP(B106,[1]!Table3[[Part Number]:[Make and Model]],2,0)</f>
        <v xml:space="preserve">CAT 303.5E CAT 299D (DX2)                                          </v>
      </c>
      <c r="D106" s="22" t="str">
        <f>VLOOKUP(B106,[1]!Table3[[Part Number]:[Part Description]],3,0)</f>
        <v>ENGINE OIL FILTER</v>
      </c>
      <c r="E106" s="23">
        <f>VLOOKUP(B106,[1]!Table3[[Part Number]:[Q2 QTY]],8,0)</f>
        <v>2</v>
      </c>
      <c r="F106" s="24">
        <f>VLOOKUP(B106,[1]!Table3[[Part Number]:[OEM CAD $]],4,0)</f>
        <v>40.69</v>
      </c>
      <c r="G106" s="25">
        <f t="shared" si="3"/>
        <v>81.38</v>
      </c>
      <c r="H106" s="25">
        <f>VLOOKUP(B106,[1]!Table3[[Part Number]:[GQP CAD $]],5,0)</f>
        <v>15.46</v>
      </c>
      <c r="I106" s="26">
        <f t="shared" si="0"/>
        <v>30.92</v>
      </c>
    </row>
    <row r="107" spans="2:9" x14ac:dyDescent="0.25">
      <c r="B107" s="62" t="s">
        <v>166</v>
      </c>
      <c r="C107" s="22" t="str">
        <f>VLOOKUP(B107,[1]!Table3[[Part Number]:[Make and Model]],2,0)</f>
        <v xml:space="preserve">CAT 303.5E CAT 299D (DX2)                                          </v>
      </c>
      <c r="D107" s="22" t="str">
        <f>VLOOKUP(B107,[1]!Table3[[Part Number]:[Part Description]],3,0)</f>
        <v>ENGINE OIL FILTER</v>
      </c>
      <c r="E107" s="23">
        <f>VLOOKUP(B107,[1]!Table3[[Part Number]:[Q2 QTY]],8,0)</f>
        <v>2</v>
      </c>
      <c r="F107" s="24">
        <f>VLOOKUP(B107,[1]!Table3[[Part Number]:[OEM CAD $]],4,0)</f>
        <v>40.69</v>
      </c>
      <c r="G107" s="25">
        <f t="shared" si="3"/>
        <v>81.38</v>
      </c>
      <c r="H107" s="25">
        <f>VLOOKUP(B107,[1]!Table3[[Part Number]:[GQP CAD $]],5,0)</f>
        <v>15.46</v>
      </c>
      <c r="I107" s="26">
        <f t="shared" ref="I107:I126" si="4">ROUND(E107*H107,2)</f>
        <v>30.92</v>
      </c>
    </row>
    <row r="108" spans="2:9" x14ac:dyDescent="0.25">
      <c r="B108" s="62" t="s">
        <v>47</v>
      </c>
      <c r="C108" s="22" t="str">
        <f>VLOOKUP(B108,[1]!Table3[[Part Number]:[Make and Model]],2,0)</f>
        <v xml:space="preserve">CAT D6N LGP (GHS) CAT D6N LGP (PBA) CAT D6N LGP (PBA) (2) CAT D6N LGP (SGG) CAT D6N LGP (SGG) (2)                                    </v>
      </c>
      <c r="D108" s="22" t="str">
        <f>VLOOKUP(B108,[1]!Table3[[Part Number]:[Part Description]],3,0)</f>
        <v>ENGINE OIL FILTER</v>
      </c>
      <c r="E108" s="23">
        <f>VLOOKUP(B108,[1]!Table3[[Part Number]:[Q2 QTY]],8,0)</f>
        <v>5</v>
      </c>
      <c r="F108" s="24">
        <f>VLOOKUP(B108,[1]!Table3[[Part Number]:[OEM CAD $]],4,0)</f>
        <v>36.51</v>
      </c>
      <c r="G108" s="25">
        <f t="shared" si="3"/>
        <v>182.54999999999998</v>
      </c>
      <c r="H108" s="25">
        <f>VLOOKUP(B108,[1]!Table3[[Part Number]:[GQP CAD $]],5,0)</f>
        <v>13.87</v>
      </c>
      <c r="I108" s="26">
        <f t="shared" si="4"/>
        <v>69.349999999999994</v>
      </c>
    </row>
    <row r="109" spans="2:9" x14ac:dyDescent="0.25">
      <c r="B109" s="62" t="s">
        <v>167</v>
      </c>
      <c r="C109" s="22" t="str">
        <f>VLOOKUP(B109,[1]!Table3[[Part Number]:[Make and Model]],2,0)</f>
        <v xml:space="preserve">CAT 320E L (WBK) CAT 320E L (WBK) (2) CAT 320F L (YBM) CAT 329E L (ZCD) CAT 329F L (ERL) CAT 329F L (ERL) (2) CAT 330F L (MBX) CAT 330F L (HCK) CAT 330F L (HCK) (2) CAT D6N LGP (PBA) CAT D6N LGP (PBA) (2) CAT D6N LGP (SGG) CAT D6N LGP (SGG) (2)                    </v>
      </c>
      <c r="D109" s="22" t="str">
        <f>VLOOKUP(B109,[1]!Table3[[Part Number]:[Part Description]],3,0)</f>
        <v>FUEL WATER SEPARATOR</v>
      </c>
      <c r="E109" s="23">
        <f>VLOOKUP(B109,[1]!Table3[[Part Number]:[Q2 QTY]],8,0)</f>
        <v>14</v>
      </c>
      <c r="F109" s="24">
        <f>VLOOKUP(B109,[1]!Table3[[Part Number]:[OEM CAD $]],4,0)</f>
        <v>78.87</v>
      </c>
      <c r="G109" s="25">
        <f t="shared" si="3"/>
        <v>1104.18</v>
      </c>
      <c r="H109" s="25">
        <f>VLOOKUP(B109,[1]!Table3[[Part Number]:[GQP CAD $]],5,0)</f>
        <v>29.97</v>
      </c>
      <c r="I109" s="26">
        <f t="shared" si="4"/>
        <v>419.58</v>
      </c>
    </row>
    <row r="110" spans="2:9" x14ac:dyDescent="0.25">
      <c r="B110" s="62" t="s">
        <v>168</v>
      </c>
      <c r="C110" s="22" t="str">
        <f>VLOOKUP(B110,[1]!Table3[[Part Number]:[Make and Model]],2,0)</f>
        <v xml:space="preserve">CAT 561N (CPH) CAT 561N (CPH) (2) CAT 561N (CPH) (3) CAT 561N (CPH) (4) CAT 561N (CPH) (5) CAT PL61 (WGS) CAT PL61 (WGS) (2) CAT PL61 (WGS) (3)                              </v>
      </c>
      <c r="D110" s="22" t="str">
        <f>VLOOKUP(B110,[1]!Table3[[Part Number]:[Part Description]],3,0)</f>
        <v>ENGINE OIL FILTER</v>
      </c>
      <c r="E110" s="23">
        <f>VLOOKUP(B110,[1]!Table3[[Part Number]:[Q2 QTY]],8,0)</f>
        <v>8</v>
      </c>
      <c r="F110" s="24">
        <f>VLOOKUP(B110,[1]!Table3[[Part Number]:[OEM CAD $]],4,0)</f>
        <v>78</v>
      </c>
      <c r="G110" s="25">
        <f t="shared" si="3"/>
        <v>624</v>
      </c>
      <c r="H110" s="25">
        <f>VLOOKUP(B110,[1]!Table3[[Part Number]:[GQP CAD $]],5,0)</f>
        <v>29.64</v>
      </c>
      <c r="I110" s="26">
        <f t="shared" si="4"/>
        <v>237.12</v>
      </c>
    </row>
    <row r="111" spans="2:9" x14ac:dyDescent="0.25">
      <c r="B111" s="62" t="s">
        <v>169</v>
      </c>
      <c r="C111" s="22" t="str">
        <f>VLOOKUP(B111,[1]!Table3[[Part Number]:[Make and Model]],2,0)</f>
        <v xml:space="preserve">CAT 320 (HEX) CAT 320 (MYK) CAT 320 (MYK) (2) CAT 330 (LHW) CAT 330 (LHW) (2) CAT 330 (LHW) (3) CAT 330 (LHW) (4) CAT 330 (WCH) CAT 330 (WCH) (2) CAT 330 (WCH) (3) CAT 330 (WCH) (4) CAT 330 (WCH) (5) CAT 330 (WCH) (6)                    </v>
      </c>
      <c r="D111" s="22" t="str">
        <f>VLOOKUP(B111,[1]!Table3[[Part Number]:[Part Description]],3,0)</f>
        <v>SECONDARY FUEL FILTER ELEMENT</v>
      </c>
      <c r="E111" s="23">
        <f>VLOOKUP(B111,[1]!Table3[[Part Number]:[Q2 QTY]],8,0)</f>
        <v>13</v>
      </c>
      <c r="F111" s="24">
        <f>VLOOKUP(B111,[1]!Table3[[Part Number]:[OEM CAD $]],4,0)</f>
        <v>66.94</v>
      </c>
      <c r="G111" s="25">
        <f t="shared" si="3"/>
        <v>870.22</v>
      </c>
      <c r="H111" s="25">
        <f>VLOOKUP(B111,[1]!Table3[[Part Number]:[GQP CAD $]],5,0)</f>
        <v>25.44</v>
      </c>
      <c r="I111" s="26">
        <f t="shared" si="4"/>
        <v>330.72</v>
      </c>
    </row>
    <row r="112" spans="2:9" x14ac:dyDescent="0.25">
      <c r="B112" s="62" t="s">
        <v>170</v>
      </c>
      <c r="C112" s="22" t="str">
        <f>VLOOKUP(B112,[1]!Table3[[Part Number]:[Make and Model]],2,0)</f>
        <v xml:space="preserve">CAT D7G (92V) CAT D7G (3ZD) CAT D7G (3ZD) (2)                                        </v>
      </c>
      <c r="D112" s="22" t="str">
        <f>VLOOKUP(B112,[1]!Table3[[Part Number]:[Part Description]],3,0)</f>
        <v>FUEL WATER SEPARATOR FILTER</v>
      </c>
      <c r="E112" s="23">
        <f>VLOOKUP(B112,[1]!Table3[[Part Number]:[Q2 QTY]],8,0)</f>
        <v>3</v>
      </c>
      <c r="F112" s="24">
        <f>VLOOKUP(B112,[1]!Table3[[Part Number]:[OEM CAD $]],4,0)</f>
        <v>104</v>
      </c>
      <c r="G112" s="25">
        <f t="shared" si="3"/>
        <v>312</v>
      </c>
      <c r="H112" s="25">
        <f>VLOOKUP(B112,[1]!Table3[[Part Number]:[GQP CAD $]],5,0)</f>
        <v>39.520000000000003</v>
      </c>
      <c r="I112" s="26">
        <f t="shared" si="4"/>
        <v>118.56</v>
      </c>
    </row>
    <row r="113" spans="2:9" x14ac:dyDescent="0.25">
      <c r="B113" s="62" t="s">
        <v>171</v>
      </c>
      <c r="C113" s="22" t="str">
        <f>VLOOKUP(B113,[1]!Table3[[Part Number]:[Make and Model]],2,0)</f>
        <v xml:space="preserve">CAT 320 (HEX) CAT 320 (MYK) CAT 320 (MYK) (2) CAT 330 (LHW) CAT 330 (LHW) (2) CAT 330 (LHW) (3) CAT 330 (LHW) (4) CAT 330 (WCH) CAT 330 (WCH) (2) CAT 330 (WCH) (3) CAT 330 (WCH) (4) CAT 330 (WCH) (5) CAT 330 (WCH) (6)                    </v>
      </c>
      <c r="D113" s="22" t="str">
        <f>VLOOKUP(B113,[1]!Table3[[Part Number]:[Part Description]],3,0)</f>
        <v>FUEL WATER SEPARATOR ELEMENT</v>
      </c>
      <c r="E113" s="23">
        <f>VLOOKUP(B113,[1]!Table3[[Part Number]:[Q2 QTY]],8,0)</f>
        <v>13</v>
      </c>
      <c r="F113" s="24">
        <f>VLOOKUP(B113,[1]!Table3[[Part Number]:[OEM CAD $]],4,0)</f>
        <v>95.91</v>
      </c>
      <c r="G113" s="25">
        <f t="shared" si="3"/>
        <v>1246.83</v>
      </c>
      <c r="H113" s="25">
        <f>VLOOKUP(B113,[1]!Table3[[Part Number]:[GQP CAD $]],5,0)</f>
        <v>36.450000000000003</v>
      </c>
      <c r="I113" s="26">
        <f t="shared" si="4"/>
        <v>473.85</v>
      </c>
    </row>
    <row r="114" spans="2:9" x14ac:dyDescent="0.25">
      <c r="B114" s="62" t="s">
        <v>172</v>
      </c>
      <c r="C114" s="22" t="str">
        <f>VLOOKUP(B114,[1]!Table3[[Part Number]:[Make and Model]],2,0)</f>
        <v xml:space="preserve">CAT D6N LGP (SGG) CAT D6N LGP (SGG) (2)                                          </v>
      </c>
      <c r="D114" s="22" t="str">
        <f>VLOOKUP(B114,[1]!Table3[[Part Number]:[Part Description]],3,0)</f>
        <v>IN-LINE FUEL FILTER</v>
      </c>
      <c r="E114" s="23">
        <f>VLOOKUP(B114,[1]!Table3[[Part Number]:[Q2 QTY]],8,0)</f>
        <v>2</v>
      </c>
      <c r="F114" s="24">
        <f>VLOOKUP(B114,[1]!Table3[[Part Number]:[OEM CAD $]],4,0)</f>
        <v>81.27</v>
      </c>
      <c r="G114" s="25">
        <f t="shared" si="3"/>
        <v>162.54</v>
      </c>
      <c r="H114" s="25">
        <f>VLOOKUP(B114,[1]!Table3[[Part Number]:[GQP CAD $]],5,0)</f>
        <v>30.88</v>
      </c>
      <c r="I114" s="26">
        <f t="shared" si="4"/>
        <v>61.76</v>
      </c>
    </row>
    <row r="115" spans="2:9" x14ac:dyDescent="0.25">
      <c r="B115" s="62" t="s">
        <v>173</v>
      </c>
      <c r="C115" s="22" t="str">
        <f>VLOOKUP(B115,[1]!Table3[[Part Number]:[Make and Model]],2,0)</f>
        <v xml:space="preserve">CAT D7G (92V) CAT D7G (3ZD) CAT D7G (3ZD) (2)                                        </v>
      </c>
      <c r="D115" s="22" t="str">
        <f>VLOOKUP(B115,[1]!Table3[[Part Number]:[Part Description]],3,0)</f>
        <v>FUEL FILTER</v>
      </c>
      <c r="E115" s="23">
        <f>VLOOKUP(B115,[1]!Table3[[Part Number]:[Q2 QTY]],8,0)</f>
        <v>3</v>
      </c>
      <c r="F115" s="24">
        <f>VLOOKUP(B115,[1]!Table3[[Part Number]:[OEM CAD $]],4,0)</f>
        <v>43.78</v>
      </c>
      <c r="G115" s="25">
        <f t="shared" si="3"/>
        <v>131.34</v>
      </c>
      <c r="H115" s="25">
        <f>VLOOKUP(B115,[1]!Table3[[Part Number]:[GQP CAD $]],5,0)</f>
        <v>16.64</v>
      </c>
      <c r="I115" s="26">
        <f t="shared" si="4"/>
        <v>49.92</v>
      </c>
    </row>
    <row r="116" spans="2:9" x14ac:dyDescent="0.25">
      <c r="B116" s="54" t="s">
        <v>174</v>
      </c>
      <c r="C116" s="22" t="str">
        <f>VLOOKUP(B116,[1]!Table3[[Part Number]:[Make and Model]],2,0)</f>
        <v xml:space="preserve">CAT D4 (66J)                                            </v>
      </c>
      <c r="D116" s="22" t="str">
        <f>VLOOKUP(B116,[1]!Table3[[Part Number]:[Part Description]],3,0)</f>
        <v>FUEL WATER SEPARATOR</v>
      </c>
      <c r="E116" s="23">
        <f>VLOOKUP(B116,[1]!Table3[[Part Number]:[Q2 QTY]],8,0)</f>
        <v>1</v>
      </c>
      <c r="F116" s="24">
        <f>VLOOKUP(B116,[1]!Table3[[Part Number]:[OEM CAD $]],4,0)</f>
        <v>60.68</v>
      </c>
      <c r="G116" s="25">
        <f t="shared" ref="G116:G117" si="5">E116*F116</f>
        <v>60.68</v>
      </c>
      <c r="H116" s="25">
        <f>VLOOKUP(B116,[1]!Table3[[Part Number]:[GQP CAD $]],5,0)</f>
        <v>23.06</v>
      </c>
      <c r="I116" s="26">
        <f t="shared" si="4"/>
        <v>23.06</v>
      </c>
    </row>
    <row r="117" spans="2:9" x14ac:dyDescent="0.25">
      <c r="B117" s="54" t="s">
        <v>222</v>
      </c>
      <c r="C117" s="22" t="str">
        <f>VLOOKUP(B117,[1]!Table3[[Part Number]:[Make and Model]],2,0)</f>
        <v xml:space="preserve">CAT D3 (1PJ)                                            </v>
      </c>
      <c r="D117" s="22" t="str">
        <f>VLOOKUP(B117,[1]!Table3[[Part Number]:[Part Description]],3,0)</f>
        <v>**FUEL TANK STRAINER**</v>
      </c>
      <c r="E117" s="23">
        <f>VLOOKUP(B117,[1]!Table3[[Part Number]:[Q2 QTY]],8,0)</f>
        <v>1</v>
      </c>
      <c r="F117" s="24">
        <f>VLOOKUP(B117,[1]!Table3[[Part Number]:[OEM CAD $]],4,0)</f>
        <v>127.92</v>
      </c>
      <c r="G117" s="25">
        <f t="shared" si="5"/>
        <v>127.92</v>
      </c>
      <c r="H117" s="25">
        <f>VLOOKUP(B117,[1]!Table3[[Part Number]:[GQP CAD $]],5,0)</f>
        <v>48.61</v>
      </c>
      <c r="I117" s="26">
        <f t="shared" si="4"/>
        <v>48.61</v>
      </c>
    </row>
    <row r="118" spans="2:9" x14ac:dyDescent="0.25">
      <c r="B118" s="54"/>
      <c r="C118" s="22"/>
      <c r="D118" s="22"/>
      <c r="E118" s="23"/>
      <c r="F118" s="24"/>
      <c r="G118" s="25"/>
      <c r="H118" s="25"/>
      <c r="I118" s="26">
        <f t="shared" si="4"/>
        <v>0</v>
      </c>
    </row>
    <row r="119" spans="2:9" x14ac:dyDescent="0.25">
      <c r="B119" s="54"/>
      <c r="C119" s="22"/>
      <c r="D119" s="22"/>
      <c r="E119" s="23"/>
      <c r="F119" s="24"/>
      <c r="G119" s="25"/>
      <c r="H119" s="25"/>
      <c r="I119" s="26">
        <f t="shared" si="4"/>
        <v>0</v>
      </c>
    </row>
    <row r="120" spans="2:9" x14ac:dyDescent="0.25">
      <c r="B120" s="54"/>
      <c r="C120" s="22"/>
      <c r="D120" s="22"/>
      <c r="E120" s="23"/>
      <c r="F120" s="24"/>
      <c r="G120" s="25"/>
      <c r="H120" s="25"/>
      <c r="I120" s="26">
        <f t="shared" si="4"/>
        <v>0</v>
      </c>
    </row>
    <row r="121" spans="2:9" x14ac:dyDescent="0.25">
      <c r="B121" s="54"/>
      <c r="C121" s="22"/>
      <c r="D121" s="22"/>
      <c r="E121" s="23"/>
      <c r="F121" s="24"/>
      <c r="G121" s="25"/>
      <c r="H121" s="25"/>
      <c r="I121" s="26">
        <f t="shared" si="4"/>
        <v>0</v>
      </c>
    </row>
    <row r="122" spans="2:9" x14ac:dyDescent="0.25">
      <c r="B122" s="54"/>
      <c r="C122" s="22"/>
      <c r="D122" s="22"/>
      <c r="E122" s="23"/>
      <c r="F122" s="24"/>
      <c r="G122" s="25"/>
      <c r="H122" s="25"/>
      <c r="I122" s="26">
        <f t="shared" si="4"/>
        <v>0</v>
      </c>
    </row>
    <row r="123" spans="2:9" x14ac:dyDescent="0.25">
      <c r="B123" s="54"/>
      <c r="C123" s="22"/>
      <c r="D123" s="22"/>
      <c r="E123" s="23"/>
      <c r="F123" s="24"/>
      <c r="G123" s="25"/>
      <c r="H123" s="25"/>
      <c r="I123" s="26">
        <f t="shared" si="4"/>
        <v>0</v>
      </c>
    </row>
    <row r="124" spans="2:9" x14ac:dyDescent="0.25">
      <c r="B124" s="54"/>
      <c r="C124" s="22"/>
      <c r="D124" s="22"/>
      <c r="E124" s="23"/>
      <c r="F124" s="24"/>
      <c r="G124" s="25"/>
      <c r="H124" s="25"/>
      <c r="I124" s="26">
        <f t="shared" si="4"/>
        <v>0</v>
      </c>
    </row>
    <row r="125" spans="2:9" x14ac:dyDescent="0.25">
      <c r="B125" s="54"/>
      <c r="C125" s="22"/>
      <c r="D125" s="22"/>
      <c r="E125" s="23"/>
      <c r="F125" s="24"/>
      <c r="G125" s="25"/>
      <c r="H125" s="25"/>
      <c r="I125" s="26">
        <f t="shared" si="4"/>
        <v>0</v>
      </c>
    </row>
    <row r="126" spans="2:9" x14ac:dyDescent="0.25">
      <c r="B126" s="54"/>
      <c r="C126" s="22"/>
      <c r="D126" s="22"/>
      <c r="E126" s="23"/>
      <c r="F126" s="24"/>
      <c r="G126" s="25"/>
      <c r="H126" s="25"/>
      <c r="I126" s="26">
        <f t="shared" si="4"/>
        <v>0</v>
      </c>
    </row>
    <row r="127" spans="2:9" x14ac:dyDescent="0.25">
      <c r="B127" s="84"/>
      <c r="C127" s="85"/>
      <c r="D127" s="85"/>
      <c r="E127" s="85"/>
      <c r="F127" s="86"/>
      <c r="G127" s="27"/>
      <c r="H127" s="28" t="s">
        <v>17</v>
      </c>
      <c r="I127" s="29">
        <f>SUM(I15:I126)</f>
        <v>12818.03</v>
      </c>
    </row>
    <row r="128" spans="2:9" x14ac:dyDescent="0.25">
      <c r="B128" s="30"/>
      <c r="C128" s="31"/>
      <c r="D128" s="32" t="s">
        <v>18</v>
      </c>
      <c r="E128" s="87">
        <f>SUM(G15:G126)</f>
        <v>31324.000000000011</v>
      </c>
      <c r="F128" s="88"/>
      <c r="G128" s="33"/>
      <c r="H128" s="28" t="s">
        <v>19</v>
      </c>
      <c r="I128" s="34">
        <v>0</v>
      </c>
    </row>
    <row r="129" spans="2:9" x14ac:dyDescent="0.25">
      <c r="B129" s="30"/>
      <c r="C129" s="31"/>
      <c r="D129" s="32" t="s">
        <v>20</v>
      </c>
      <c r="E129" s="87">
        <f>SUM(I15:I126)</f>
        <v>12818.03</v>
      </c>
      <c r="F129" s="88"/>
      <c r="G129" s="33"/>
      <c r="H129" s="35" t="s">
        <v>21</v>
      </c>
      <c r="I129" s="34">
        <v>0</v>
      </c>
    </row>
    <row r="130" spans="2:9" x14ac:dyDescent="0.25">
      <c r="B130" s="30"/>
      <c r="C130" s="31"/>
      <c r="D130" s="32" t="s">
        <v>22</v>
      </c>
      <c r="E130" s="97">
        <f>E128-E129</f>
        <v>18505.970000000008</v>
      </c>
      <c r="F130" s="98"/>
      <c r="G130" s="36"/>
      <c r="H130" s="28" t="s">
        <v>23</v>
      </c>
      <c r="I130" s="37">
        <f>SUM(I127:I129)</f>
        <v>12818.03</v>
      </c>
    </row>
    <row r="131" spans="2:9" x14ac:dyDescent="0.25">
      <c r="B131" s="30"/>
      <c r="C131" s="31"/>
      <c r="D131" s="32"/>
      <c r="E131" s="99"/>
      <c r="F131" s="100"/>
      <c r="G131" s="38"/>
      <c r="H131" s="28" t="s">
        <v>24</v>
      </c>
      <c r="I131" s="37">
        <f>I130*0.05</f>
        <v>640.90150000000006</v>
      </c>
    </row>
    <row r="132" spans="2:9" x14ac:dyDescent="0.25">
      <c r="B132" s="30"/>
      <c r="C132" s="31"/>
      <c r="D132" s="39"/>
      <c r="E132" s="39"/>
      <c r="F132" s="40"/>
      <c r="G132" s="40"/>
      <c r="H132" s="28" t="s">
        <v>25</v>
      </c>
      <c r="I132" s="34"/>
    </row>
    <row r="133" spans="2:9" ht="15.75" x14ac:dyDescent="0.25">
      <c r="B133" s="94" t="s">
        <v>26</v>
      </c>
      <c r="C133" s="95"/>
      <c r="D133" s="95"/>
      <c r="E133" s="95"/>
      <c r="F133" s="96"/>
      <c r="G133" s="41"/>
      <c r="H133" s="42" t="s">
        <v>27</v>
      </c>
      <c r="I133" s="43">
        <f>SUM(I130:I132)</f>
        <v>13458.931500000001</v>
      </c>
    </row>
  </sheetData>
  <mergeCells count="25">
    <mergeCell ref="B133:F133"/>
    <mergeCell ref="F13:I13"/>
    <mergeCell ref="B127:F127"/>
    <mergeCell ref="E128:F128"/>
    <mergeCell ref="E129:F129"/>
    <mergeCell ref="E130:F130"/>
    <mergeCell ref="E131:F131"/>
    <mergeCell ref="C11:D11"/>
    <mergeCell ref="E11:F11"/>
    <mergeCell ref="H11:I11"/>
    <mergeCell ref="C12:D12"/>
    <mergeCell ref="E12:F12"/>
    <mergeCell ref="H12:I12"/>
    <mergeCell ref="C9:D9"/>
    <mergeCell ref="E9:F9"/>
    <mergeCell ref="H9:I9"/>
    <mergeCell ref="C10:D10"/>
    <mergeCell ref="E10:F10"/>
    <mergeCell ref="H10:I10"/>
    <mergeCell ref="E1:F5"/>
    <mergeCell ref="H1:I5"/>
    <mergeCell ref="C7:D7"/>
    <mergeCell ref="C8:D8"/>
    <mergeCell ref="E8:F8"/>
    <mergeCell ref="H8:I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E1B43-24D6-42A5-8DBD-1EFC5020F5CF}">
  <dimension ref="B1:I133"/>
  <sheetViews>
    <sheetView topLeftCell="A106" workbookViewId="0">
      <selection activeCell="G91" sqref="G1:G1048576"/>
    </sheetView>
  </sheetViews>
  <sheetFormatPr defaultRowHeight="15" x14ac:dyDescent="0.25"/>
  <cols>
    <col min="1" max="1" width="2.7109375" customWidth="1"/>
    <col min="2" max="2" width="15.42578125" customWidth="1"/>
    <col min="3" max="3" width="44.42578125" bestFit="1" customWidth="1"/>
    <col min="4" max="4" width="36" customWidth="1"/>
    <col min="5" max="5" width="7.28515625" customWidth="1"/>
    <col min="6" max="6" width="14.7109375" customWidth="1"/>
    <col min="7" max="7" width="14.7109375" hidden="1" customWidth="1"/>
    <col min="8" max="8" width="14.7109375" customWidth="1"/>
    <col min="9" max="9" width="20.42578125" bestFit="1" customWidth="1"/>
  </cols>
  <sheetData>
    <row r="1" spans="2:9" ht="15" customHeight="1" x14ac:dyDescent="0.25">
      <c r="B1" s="2"/>
      <c r="C1" s="3"/>
      <c r="D1" s="3"/>
      <c r="E1" s="77" t="s">
        <v>28</v>
      </c>
      <c r="F1" s="77"/>
      <c r="G1" s="44"/>
      <c r="H1" s="77" t="s">
        <v>34</v>
      </c>
      <c r="I1" s="78"/>
    </row>
    <row r="2" spans="2:9" ht="15" customHeight="1" x14ac:dyDescent="0.25">
      <c r="B2" s="4"/>
      <c r="E2" s="79"/>
      <c r="F2" s="79"/>
      <c r="G2" s="45"/>
      <c r="H2" s="79"/>
      <c r="I2" s="80"/>
    </row>
    <row r="3" spans="2:9" ht="15" customHeight="1" x14ac:dyDescent="0.25">
      <c r="B3" s="4"/>
      <c r="E3" s="79"/>
      <c r="F3" s="79"/>
      <c r="G3" s="45"/>
      <c r="H3" s="79"/>
      <c r="I3" s="80"/>
    </row>
    <row r="4" spans="2:9" ht="15" customHeight="1" x14ac:dyDescent="0.25">
      <c r="B4" s="4"/>
      <c r="E4" s="79"/>
      <c r="F4" s="79"/>
      <c r="G4" s="45"/>
      <c r="H4" s="79"/>
      <c r="I4" s="80"/>
    </row>
    <row r="5" spans="2:9" ht="15" customHeight="1" x14ac:dyDescent="0.25">
      <c r="B5" s="5"/>
      <c r="C5" s="1"/>
      <c r="D5" s="1"/>
      <c r="E5" s="81"/>
      <c r="F5" s="81"/>
      <c r="G5" s="46"/>
      <c r="H5" s="81"/>
      <c r="I5" s="82"/>
    </row>
    <row r="6" spans="2:9" ht="36" x14ac:dyDescent="0.55000000000000004">
      <c r="B6" s="6"/>
      <c r="C6" s="7"/>
      <c r="D6" s="7"/>
      <c r="E6" s="8"/>
      <c r="F6" s="8"/>
      <c r="G6" s="8"/>
      <c r="H6" s="8"/>
      <c r="I6" s="8"/>
    </row>
    <row r="7" spans="2:9" x14ac:dyDescent="0.25">
      <c r="B7" s="49" t="s">
        <v>7</v>
      </c>
      <c r="C7" s="103" t="s">
        <v>70</v>
      </c>
      <c r="D7" s="104"/>
      <c r="E7" s="9" t="s">
        <v>8</v>
      </c>
      <c r="F7" s="10">
        <v>45870</v>
      </c>
      <c r="G7" s="10"/>
      <c r="H7" s="11" t="s">
        <v>9</v>
      </c>
      <c r="I7" s="12"/>
    </row>
    <row r="8" spans="2:9" x14ac:dyDescent="0.25">
      <c r="B8" s="50" t="s">
        <v>10</v>
      </c>
      <c r="C8" s="101">
        <v>0</v>
      </c>
      <c r="D8" s="101"/>
      <c r="E8" s="89" t="s">
        <v>11</v>
      </c>
      <c r="F8" s="89"/>
      <c r="G8" s="13"/>
      <c r="H8" s="93"/>
      <c r="I8" s="93"/>
    </row>
    <row r="9" spans="2:9" x14ac:dyDescent="0.25">
      <c r="B9" s="50" t="s">
        <v>12</v>
      </c>
      <c r="C9" s="101">
        <v>0</v>
      </c>
      <c r="D9" s="101"/>
      <c r="E9" s="89" t="s">
        <v>13</v>
      </c>
      <c r="F9" s="89"/>
      <c r="G9" s="13"/>
      <c r="H9" s="92"/>
      <c r="I9" s="92"/>
    </row>
    <row r="10" spans="2:9" x14ac:dyDescent="0.25">
      <c r="B10" s="50"/>
      <c r="C10" s="101">
        <v>0</v>
      </c>
      <c r="D10" s="101"/>
      <c r="E10" s="89" t="s">
        <v>14</v>
      </c>
      <c r="F10" s="89"/>
      <c r="G10" s="13"/>
      <c r="H10" s="90"/>
      <c r="I10" s="90"/>
    </row>
    <row r="11" spans="2:9" x14ac:dyDescent="0.25">
      <c r="B11" s="50"/>
      <c r="C11" s="101">
        <v>0</v>
      </c>
      <c r="D11" s="101"/>
      <c r="E11" s="89"/>
      <c r="F11" s="89"/>
      <c r="G11" s="13"/>
      <c r="H11" s="90"/>
      <c r="I11" s="90"/>
    </row>
    <row r="12" spans="2:9" x14ac:dyDescent="0.25">
      <c r="B12" s="51"/>
      <c r="C12" s="101">
        <v>0</v>
      </c>
      <c r="D12" s="101"/>
      <c r="E12" s="102"/>
      <c r="F12" s="102"/>
      <c r="G12" s="14"/>
      <c r="H12" s="91"/>
      <c r="I12" s="91"/>
    </row>
    <row r="13" spans="2:9" ht="15.75" thickBot="1" x14ac:dyDescent="0.3">
      <c r="B13" s="15"/>
      <c r="C13" s="16"/>
      <c r="D13" s="16"/>
      <c r="E13" s="16"/>
      <c r="F13" s="83" t="s">
        <v>3</v>
      </c>
      <c r="G13" s="83"/>
      <c r="H13" s="83"/>
      <c r="I13" s="83"/>
    </row>
    <row r="14" spans="2:9" ht="15.75" thickBot="1" x14ac:dyDescent="0.3">
      <c r="B14" s="56" t="s">
        <v>0</v>
      </c>
      <c r="C14" s="18" t="s">
        <v>15</v>
      </c>
      <c r="D14" s="19" t="s">
        <v>1</v>
      </c>
      <c r="E14" s="20" t="s">
        <v>2</v>
      </c>
      <c r="F14" s="20" t="s">
        <v>4</v>
      </c>
      <c r="G14" s="20"/>
      <c r="H14" s="20" t="s">
        <v>5</v>
      </c>
      <c r="I14" s="21" t="s">
        <v>16</v>
      </c>
    </row>
    <row r="15" spans="2:9" x14ac:dyDescent="0.25">
      <c r="B15" s="63">
        <v>7008043</v>
      </c>
      <c r="C15" s="22" t="str">
        <f>VLOOKUP(B15,[1]!Table3[[Part Number]:[Make and Model]],2,0)</f>
        <v xml:space="preserve">BOBCAT S650 (A3N)                                            </v>
      </c>
      <c r="D15" s="22" t="str">
        <f>VLOOKUP(B15,[1]!Table3[[Part Number]:[Part Description]],3,0)</f>
        <v>PRIMARY AIR FILTER ELEMENT (OUTER)</v>
      </c>
      <c r="E15" s="23">
        <f>VLOOKUP(B15,'[1]Product by Part Number'!$A:$I,9,0)</f>
        <v>0</v>
      </c>
      <c r="F15" s="24">
        <f>VLOOKUP(B15,[1]!Table3[[Part Number]:[OEM CAD $]],4,0)</f>
        <v>62.49</v>
      </c>
      <c r="G15" s="25">
        <f>E15*F15</f>
        <v>0</v>
      </c>
      <c r="H15" s="25">
        <f>VLOOKUP(B15,[1]!Table3[[Part Number]:[GQP CAD $]],5,0)</f>
        <v>23.75</v>
      </c>
      <c r="I15" s="26">
        <f t="shared" ref="I15:I106" si="0">ROUND(E15*H15,2)</f>
        <v>0</v>
      </c>
    </row>
    <row r="16" spans="2:9" x14ac:dyDescent="0.25">
      <c r="B16" s="62">
        <v>7008044</v>
      </c>
      <c r="C16" s="22" t="str">
        <f>VLOOKUP(B16,[1]!Table3[[Part Number]:[Make and Model]],2,0)</f>
        <v xml:space="preserve">BOBCAT S650 (A3N)                                            </v>
      </c>
      <c r="D16" s="22" t="str">
        <f>VLOOKUP(B16,[1]!Table3[[Part Number]:[Part Description]],3,0)</f>
        <v>SECONDARY AIR FILTER ELEMENT</v>
      </c>
      <c r="E16" s="23">
        <f>VLOOKUP(B16,'[1]Product by Part Number'!$A:$I,9,0)</f>
        <v>0</v>
      </c>
      <c r="F16" s="24">
        <f>VLOOKUP(B16,[1]!Table3[[Part Number]:[OEM CAD $]],4,0)</f>
        <v>39.99</v>
      </c>
      <c r="G16" s="25">
        <f t="shared" ref="G16:G79" si="1">E16*F16</f>
        <v>0</v>
      </c>
      <c r="H16" s="25">
        <f>VLOOKUP(B16,[1]!Table3[[Part Number]:[GQP CAD $]],5,0)</f>
        <v>15.2</v>
      </c>
      <c r="I16" s="26">
        <f t="shared" si="0"/>
        <v>0</v>
      </c>
    </row>
    <row r="17" spans="2:9" x14ac:dyDescent="0.25">
      <c r="B17" s="62">
        <v>7010031</v>
      </c>
      <c r="C17" s="22" t="str">
        <f>VLOOKUP(B17,[1]!Table3[[Part Number]:[Make and Model]],2,0)</f>
        <v xml:space="preserve">BOBCAT T750 (ANK) BOBCAT T750 (ATF) BOBCAT T770 (AT6) BOBCAT T770 (AT6) (2)                                      </v>
      </c>
      <c r="D17" s="22" t="str">
        <f>VLOOKUP(B17,[1]!Table3[[Part Number]:[Part Description]],3,0)</f>
        <v>SECONDARY AIR FILTER ELEMENT</v>
      </c>
      <c r="E17" s="23">
        <f>VLOOKUP(B17,'[1]Product by Part Number'!$A:$I,9,0)</f>
        <v>0</v>
      </c>
      <c r="F17" s="24">
        <f>VLOOKUP(B17,[1]!Table3[[Part Number]:[OEM CAD $]],4,0)</f>
        <v>103.99</v>
      </c>
      <c r="G17" s="25">
        <f t="shared" si="1"/>
        <v>0</v>
      </c>
      <c r="H17" s="25">
        <f>VLOOKUP(B17,[1]!Table3[[Part Number]:[GQP CAD $]],5,0)</f>
        <v>39.520000000000003</v>
      </c>
      <c r="I17" s="26">
        <f t="shared" si="0"/>
        <v>0</v>
      </c>
    </row>
    <row r="18" spans="2:9" x14ac:dyDescent="0.25">
      <c r="B18" s="62">
        <v>7286652</v>
      </c>
      <c r="C18" s="22" t="str">
        <f>VLOOKUP(B18,[1]!Table3[[Part Number]:[Make and Model]],2,0)</f>
        <v xml:space="preserve">BOBCAT T750 (ANK) BOBCAT T750 (ATF) BOBCAT T770 (AT6) BOBCAT T770 (AT6) (2)                                      </v>
      </c>
      <c r="D18" s="22" t="str">
        <f>VLOOKUP(B18,[1]!Table3[[Part Number]:[Part Description]],3,0)</f>
        <v>PRIMARY AIR FILTER ELEMENT (OUTER)</v>
      </c>
      <c r="E18" s="23">
        <f>VLOOKUP(B18,'[1]Product by Part Number'!$A:$I,9,0)</f>
        <v>0</v>
      </c>
      <c r="F18" s="24">
        <f>VLOOKUP(B18,[1]!Table3[[Part Number]:[OEM CAD $]],4,0)</f>
        <v>140.99</v>
      </c>
      <c r="G18" s="25">
        <f t="shared" si="1"/>
        <v>0</v>
      </c>
      <c r="H18" s="25">
        <f>VLOOKUP(B18,[1]!Table3[[Part Number]:[GQP CAD $]],5,0)</f>
        <v>53.58</v>
      </c>
      <c r="I18" s="26">
        <f t="shared" si="0"/>
        <v>0</v>
      </c>
    </row>
    <row r="19" spans="2:9" x14ac:dyDescent="0.25">
      <c r="B19" s="62" t="s">
        <v>95</v>
      </c>
      <c r="C19" s="22" t="str">
        <f>VLOOKUP(B19,[1]!Table3[[Part Number]:[Make and Model]],2,0)</f>
        <v xml:space="preserve">CAT 299D (DX2)                                            </v>
      </c>
      <c r="D19" s="22" t="str">
        <f>VLOOKUP(B19,[1]!Table3[[Part Number]:[Part Description]],3,0)</f>
        <v>PRIMARY AIR FILTER ELEMENT</v>
      </c>
      <c r="E19" s="23">
        <f>VLOOKUP(B19,'[1]Product by Part Number'!$A:$I,9,0)</f>
        <v>0</v>
      </c>
      <c r="F19" s="24">
        <f>VLOOKUP(B19,[1]!Table3[[Part Number]:[OEM CAD $]],4,0)</f>
        <v>76.02</v>
      </c>
      <c r="G19" s="25">
        <f t="shared" si="1"/>
        <v>0</v>
      </c>
      <c r="H19" s="25">
        <f>VLOOKUP(B19,[1]!Table3[[Part Number]:[GQP CAD $]],5,0)</f>
        <v>28.89</v>
      </c>
      <c r="I19" s="26">
        <f t="shared" si="0"/>
        <v>0</v>
      </c>
    </row>
    <row r="20" spans="2:9" x14ac:dyDescent="0.25">
      <c r="B20" s="62" t="s">
        <v>96</v>
      </c>
      <c r="C20" s="22" t="str">
        <f>VLOOKUP(B20,[1]!Table3[[Part Number]:[Make and Model]],2,0)</f>
        <v xml:space="preserve">CAT 299D (DX2)                                            </v>
      </c>
      <c r="D20" s="22" t="str">
        <f>VLOOKUP(B20,[1]!Table3[[Part Number]:[Part Description]],3,0)</f>
        <v>SECONDARY AIR FILTER ELEMENT</v>
      </c>
      <c r="E20" s="23">
        <f>VLOOKUP(B20,'[1]Product by Part Number'!$A:$I,9,0)</f>
        <v>0</v>
      </c>
      <c r="F20" s="24">
        <f>VLOOKUP(B20,[1]!Table3[[Part Number]:[OEM CAD $]],4,0)</f>
        <v>54.17</v>
      </c>
      <c r="G20" s="25">
        <f t="shared" si="1"/>
        <v>0</v>
      </c>
      <c r="H20" s="25">
        <f>VLOOKUP(B20,[1]!Table3[[Part Number]:[GQP CAD $]],5,0)</f>
        <v>20.58</v>
      </c>
      <c r="I20" s="26">
        <f t="shared" si="0"/>
        <v>0</v>
      </c>
    </row>
    <row r="21" spans="2:9" x14ac:dyDescent="0.25">
      <c r="B21" s="62" t="s">
        <v>97</v>
      </c>
      <c r="C21" s="22" t="str">
        <f>VLOOKUP(B21,[1]!Table3[[Part Number]:[Make and Model]],2,0)</f>
        <v xml:space="preserve">CAT D6T (MH7)                                            </v>
      </c>
      <c r="D21" s="22" t="str">
        <f>VLOOKUP(B21,[1]!Table3[[Part Number]:[Part Description]],3,0)</f>
        <v>CABIN AIR FILTER ELEMENT</v>
      </c>
      <c r="E21" s="23">
        <f>VLOOKUP(B21,'[1]Product by Part Number'!$A:$I,9,0)</f>
        <v>0</v>
      </c>
      <c r="F21" s="24">
        <f>VLOOKUP(B21,[1]!Table3[[Part Number]:[OEM CAD $]],4,0)</f>
        <v>43.37</v>
      </c>
      <c r="G21" s="25">
        <f t="shared" si="1"/>
        <v>0</v>
      </c>
      <c r="H21" s="25">
        <f>VLOOKUP(B21,[1]!Table3[[Part Number]:[GQP CAD $]],5,0)</f>
        <v>16.48</v>
      </c>
      <c r="I21" s="26">
        <f t="shared" si="0"/>
        <v>0</v>
      </c>
    </row>
    <row r="22" spans="2:9" x14ac:dyDescent="0.25">
      <c r="B22" s="62" t="s">
        <v>98</v>
      </c>
      <c r="C22" s="22" t="str">
        <f>VLOOKUP(B22,[1]!Table3[[Part Number]:[Make and Model]],2,0)</f>
        <v xml:space="preserve">CAT 320E L (WBK) CAT 320E L (WBK) (2) CAT 320F L (YBM)                                        </v>
      </c>
      <c r="D22" s="22" t="str">
        <f>VLOOKUP(B22,[1]!Table3[[Part Number]:[Part Description]],3,0)</f>
        <v>SECONDARY AIR FILTER ELEMENT</v>
      </c>
      <c r="E22" s="23">
        <f>VLOOKUP(B22,'[1]Product by Part Number'!$A:$I,9,0)</f>
        <v>0</v>
      </c>
      <c r="F22" s="24">
        <f>VLOOKUP(B22,[1]!Table3[[Part Number]:[OEM CAD $]],4,0)</f>
        <v>97.91</v>
      </c>
      <c r="G22" s="25">
        <f t="shared" si="1"/>
        <v>0</v>
      </c>
      <c r="H22" s="25">
        <f>VLOOKUP(B22,[1]!Table3[[Part Number]:[GQP CAD $]],5,0)</f>
        <v>37.21</v>
      </c>
      <c r="I22" s="26">
        <f t="shared" si="0"/>
        <v>0</v>
      </c>
    </row>
    <row r="23" spans="2:9" x14ac:dyDescent="0.25">
      <c r="B23" s="62" t="s">
        <v>99</v>
      </c>
      <c r="C23" s="22" t="str">
        <f>VLOOKUP(B23,[1]!Table3[[Part Number]:[Make and Model]],2,0)</f>
        <v xml:space="preserve">CAT 320E L (WBK) CAT 320E L (WBK) (2) CAT 320F L (YBM)                                        </v>
      </c>
      <c r="D23" s="22" t="str">
        <f>VLOOKUP(B23,[1]!Table3[[Part Number]:[Part Description]],3,0)</f>
        <v>PRIMARY AIR FILTER ELEMENT</v>
      </c>
      <c r="E23" s="23">
        <f>VLOOKUP(B23,'[1]Product by Part Number'!$A:$I,9,0)</f>
        <v>0</v>
      </c>
      <c r="F23" s="24">
        <f>VLOOKUP(B23,[1]!Table3[[Part Number]:[OEM CAD $]],4,0)</f>
        <v>120.35</v>
      </c>
      <c r="G23" s="25">
        <f t="shared" si="1"/>
        <v>0</v>
      </c>
      <c r="H23" s="25">
        <f>VLOOKUP(B23,[1]!Table3[[Part Number]:[GQP CAD $]],5,0)</f>
        <v>45.73</v>
      </c>
      <c r="I23" s="26">
        <f t="shared" si="0"/>
        <v>0</v>
      </c>
    </row>
    <row r="24" spans="2:9" x14ac:dyDescent="0.25">
      <c r="B24" s="62" t="s">
        <v>100</v>
      </c>
      <c r="C24" s="22" t="str">
        <f>VLOOKUP(B24,[1]!Table3[[Part Number]:[Make and Model]],2,0)</f>
        <v xml:space="preserve">CAT 303.5E                                            </v>
      </c>
      <c r="D24" s="22" t="str">
        <f>VLOOKUP(B24,[1]!Table3[[Part Number]:[Part Description]],3,0)</f>
        <v>PRIMARY AIR FILTER ELEMENT</v>
      </c>
      <c r="E24" s="23">
        <f>VLOOKUP(B24,'[1]Product by Part Number'!$A:$I,9,0)</f>
        <v>0</v>
      </c>
      <c r="F24" s="24">
        <f>VLOOKUP(B24,[1]!Table3[[Part Number]:[OEM CAD $]],4,0)</f>
        <v>67.33</v>
      </c>
      <c r="G24" s="25">
        <f t="shared" si="1"/>
        <v>0</v>
      </c>
      <c r="H24" s="25">
        <f>VLOOKUP(B24,[1]!Table3[[Part Number]:[GQP CAD $]],5,0)</f>
        <v>25.59</v>
      </c>
      <c r="I24" s="26">
        <f t="shared" si="0"/>
        <v>0</v>
      </c>
    </row>
    <row r="25" spans="2:9" x14ac:dyDescent="0.25">
      <c r="B25" s="62" t="s">
        <v>101</v>
      </c>
      <c r="C25" s="22" t="str">
        <f>VLOOKUP(B25,[1]!Table3[[Part Number]:[Make and Model]],2,0)</f>
        <v xml:space="preserve">CAT 303.5E                                            </v>
      </c>
      <c r="D25" s="22" t="str">
        <f>VLOOKUP(B25,[1]!Table3[[Part Number]:[Part Description]],3,0)</f>
        <v>SECONDARY AIR FILTER ELEMENT</v>
      </c>
      <c r="E25" s="23">
        <f>VLOOKUP(B25,'[1]Product by Part Number'!$A:$I,9,0)</f>
        <v>0</v>
      </c>
      <c r="F25" s="24">
        <f>VLOOKUP(B25,[1]!Table3[[Part Number]:[OEM CAD $]],4,0)</f>
        <v>61.69</v>
      </c>
      <c r="G25" s="25">
        <f t="shared" si="1"/>
        <v>0</v>
      </c>
      <c r="H25" s="25">
        <f>VLOOKUP(B25,[1]!Table3[[Part Number]:[GQP CAD $]],5,0)</f>
        <v>23.44</v>
      </c>
      <c r="I25" s="26">
        <f t="shared" si="0"/>
        <v>0</v>
      </c>
    </row>
    <row r="26" spans="2:9" x14ac:dyDescent="0.25">
      <c r="B26" s="62" t="s">
        <v>102</v>
      </c>
      <c r="C26" s="22" t="str">
        <f>VLOOKUP(B26,[1]!Table3[[Part Number]:[Make and Model]],2,0)</f>
        <v xml:space="preserve">CAT 336F L (RKB)                                            </v>
      </c>
      <c r="D26" s="22" t="str">
        <f>VLOOKUP(B26,[1]!Table3[[Part Number]:[Part Description]],3,0)</f>
        <v>PRIMARY AIR FILTER ELEMENT</v>
      </c>
      <c r="E26" s="23">
        <f>VLOOKUP(B26,'[1]Product by Part Number'!$A:$I,9,0)</f>
        <v>0</v>
      </c>
      <c r="F26" s="24">
        <f>VLOOKUP(B26,[1]!Table3[[Part Number]:[OEM CAD $]],4,0)</f>
        <v>201.81</v>
      </c>
      <c r="G26" s="25">
        <f t="shared" si="1"/>
        <v>0</v>
      </c>
      <c r="H26" s="25">
        <f>VLOOKUP(B26,[1]!Table3[[Part Number]:[GQP CAD $]],5,0)</f>
        <v>76.69</v>
      </c>
      <c r="I26" s="26">
        <f t="shared" si="0"/>
        <v>0</v>
      </c>
    </row>
    <row r="27" spans="2:9" x14ac:dyDescent="0.25">
      <c r="B27" s="62" t="s">
        <v>103</v>
      </c>
      <c r="C27" s="22" t="str">
        <f>VLOOKUP(B27,[1]!Table3[[Part Number]:[Make and Model]],2,0)</f>
        <v xml:space="preserve">CAT 336F L (RKB)                                            </v>
      </c>
      <c r="D27" s="22" t="str">
        <f>VLOOKUP(B27,[1]!Table3[[Part Number]:[Part Description]],3,0)</f>
        <v>SECONDARY AIR FILTER ELEMENT</v>
      </c>
      <c r="E27" s="23">
        <f>VLOOKUP(B27,'[1]Product by Part Number'!$A:$I,9,0)</f>
        <v>0</v>
      </c>
      <c r="F27" s="24">
        <f>VLOOKUP(B27,[1]!Table3[[Part Number]:[OEM CAD $]],4,0)</f>
        <v>119.45</v>
      </c>
      <c r="G27" s="25">
        <f t="shared" si="1"/>
        <v>0</v>
      </c>
      <c r="H27" s="25">
        <f>VLOOKUP(B27,[1]!Table3[[Part Number]:[GQP CAD $]],5,0)</f>
        <v>45.39</v>
      </c>
      <c r="I27" s="26">
        <f t="shared" si="0"/>
        <v>0</v>
      </c>
    </row>
    <row r="28" spans="2:9" x14ac:dyDescent="0.25">
      <c r="B28" s="62" t="s">
        <v>104</v>
      </c>
      <c r="C28" s="22" t="str">
        <f>VLOOKUP(B28,[1]!Table3[[Part Number]:[Make and Model]],2,0)</f>
        <v xml:space="preserve">CAT D6N LGP (PBA) CAT D6N LGP (PBA) (2)                                          </v>
      </c>
      <c r="D28" s="22" t="str">
        <f>VLOOKUP(B28,[1]!Table3[[Part Number]:[Part Description]],3,0)</f>
        <v>PRIMARY CABIN AIR FILTER ELEMENT</v>
      </c>
      <c r="E28" s="23">
        <f>VLOOKUP(B28,'[1]Product by Part Number'!$A:$I,9,0)</f>
        <v>0</v>
      </c>
      <c r="F28" s="24">
        <f>VLOOKUP(B28,[1]!Table3[[Part Number]:[OEM CAD $]],4,0)</f>
        <v>112.48</v>
      </c>
      <c r="G28" s="25">
        <f t="shared" si="1"/>
        <v>0</v>
      </c>
      <c r="H28" s="25">
        <f>VLOOKUP(B28,[1]!Table3[[Part Number]:[GQP CAD $]],5,0)</f>
        <v>42.74</v>
      </c>
      <c r="I28" s="26">
        <f t="shared" si="0"/>
        <v>0</v>
      </c>
    </row>
    <row r="29" spans="2:9" x14ac:dyDescent="0.25">
      <c r="B29" s="62" t="s">
        <v>41</v>
      </c>
      <c r="C29" s="22" t="str">
        <f>VLOOKUP(B29,[1]!Table3[[Part Number]:[Make and Model]],2,0)</f>
        <v xml:space="preserve">CAT PL61 (WGS) CAT PL61 (WGS) (2) CAT PL61 (WGS) (3)                                        </v>
      </c>
      <c r="D29" s="22" t="str">
        <f>VLOOKUP(B29,[1]!Table3[[Part Number]:[Part Description]],3,0)</f>
        <v>CABIN AIR FILTER ELEMENT</v>
      </c>
      <c r="E29" s="23">
        <f>VLOOKUP(B29,'[1]Product by Part Number'!$A:$I,9,0)</f>
        <v>0</v>
      </c>
      <c r="F29" s="24">
        <f>VLOOKUP(B29,[1]!Table3[[Part Number]:[OEM CAD $]],4,0)</f>
        <v>85.17</v>
      </c>
      <c r="G29" s="25">
        <f t="shared" si="1"/>
        <v>0</v>
      </c>
      <c r="H29" s="25">
        <f>VLOOKUP(B29,[1]!Table3[[Part Number]:[GQP CAD $]],5,0)</f>
        <v>32.36</v>
      </c>
      <c r="I29" s="26">
        <f t="shared" si="0"/>
        <v>0</v>
      </c>
    </row>
    <row r="30" spans="2:9" x14ac:dyDescent="0.25">
      <c r="B30" s="62" t="s">
        <v>45</v>
      </c>
      <c r="C30" s="22" t="str">
        <f>VLOOKUP(B30,[1]!Table3[[Part Number]:[Make and Model]],2,0)</f>
        <v xml:space="preserve">CAT D6N LGP (GHS) CAT PL61 (WGS) CAT PL61 (WGS) (2) CAT PL61 (WGS) (3)                                      </v>
      </c>
      <c r="D30" s="22" t="str">
        <f>VLOOKUP(B30,[1]!Table3[[Part Number]:[Part Description]],3,0)</f>
        <v>PRIMARY AIR FILTER ELEMENT</v>
      </c>
      <c r="E30" s="23">
        <f>VLOOKUP(B30,'[1]Product by Part Number'!$A:$I,9,0)</f>
        <v>0</v>
      </c>
      <c r="F30" s="24">
        <f>VLOOKUP(B30,[1]!Table3[[Part Number]:[OEM CAD $]],4,0)</f>
        <v>221.03</v>
      </c>
      <c r="G30" s="25">
        <f t="shared" si="1"/>
        <v>0</v>
      </c>
      <c r="H30" s="25">
        <f>VLOOKUP(B30,[1]!Table3[[Part Number]:[GQP CAD $]],5,0)</f>
        <v>83.99</v>
      </c>
      <c r="I30" s="26">
        <f t="shared" si="0"/>
        <v>0</v>
      </c>
    </row>
    <row r="31" spans="2:9" x14ac:dyDescent="0.25">
      <c r="B31" s="62" t="s">
        <v>46</v>
      </c>
      <c r="C31" s="22" t="str">
        <f>VLOOKUP(B31,[1]!Table3[[Part Number]:[Make and Model]],2,0)</f>
        <v xml:space="preserve">CAT D6N LGP (GHS) CAT PL61 (WGS) CAT PL61 (WGS) (2) CAT PL61 (WGS) (3)                                      </v>
      </c>
      <c r="D31" s="22" t="str">
        <f>VLOOKUP(B31,[1]!Table3[[Part Number]:[Part Description]],3,0)</f>
        <v>SECONDARY AIR FILTER ELEMENT</v>
      </c>
      <c r="E31" s="23">
        <f>VLOOKUP(B31,'[1]Product by Part Number'!$A:$I,9,0)</f>
        <v>0</v>
      </c>
      <c r="F31" s="24">
        <f>VLOOKUP(B31,[1]!Table3[[Part Number]:[OEM CAD $]],4,0)</f>
        <v>152.66999999999999</v>
      </c>
      <c r="G31" s="25">
        <f t="shared" si="1"/>
        <v>0</v>
      </c>
      <c r="H31" s="25">
        <f>VLOOKUP(B31,[1]!Table3[[Part Number]:[GQP CAD $]],5,0)</f>
        <v>58.01</v>
      </c>
      <c r="I31" s="26">
        <f t="shared" si="0"/>
        <v>0</v>
      </c>
    </row>
    <row r="32" spans="2:9" x14ac:dyDescent="0.25">
      <c r="B32" s="62" t="s">
        <v>105</v>
      </c>
      <c r="C32" s="22" t="str">
        <f>VLOOKUP(B32,[1]!Table3[[Part Number]:[Make and Model]],2,0)</f>
        <v xml:space="preserve">CAT 299D (DX2)                                            </v>
      </c>
      <c r="D32" s="22" t="str">
        <f>VLOOKUP(B32,[1]!Table3[[Part Number]:[Part Description]],3,0)</f>
        <v>CABIN AIR FILTER ELEMENT</v>
      </c>
      <c r="E32" s="23">
        <f>VLOOKUP(B32,'[1]Product by Part Number'!$A:$I,9,0)</f>
        <v>0</v>
      </c>
      <c r="F32" s="24">
        <f>VLOOKUP(B32,[1]!Table3[[Part Number]:[OEM CAD $]],4,0)</f>
        <v>37.51</v>
      </c>
      <c r="G32" s="25">
        <f t="shared" si="1"/>
        <v>0</v>
      </c>
      <c r="H32" s="25">
        <f>VLOOKUP(B32,[1]!Table3[[Part Number]:[GQP CAD $]],5,0)</f>
        <v>14.25</v>
      </c>
      <c r="I32" s="26">
        <f t="shared" si="0"/>
        <v>0</v>
      </c>
    </row>
    <row r="33" spans="2:9" x14ac:dyDescent="0.25">
      <c r="B33" s="62" t="s">
        <v>106</v>
      </c>
      <c r="C33" s="22" t="str">
        <f>VLOOKUP(B33,[1]!Table3[[Part Number]:[Make and Model]],2,0)</f>
        <v xml:space="preserve">CAT 303.5E                                            </v>
      </c>
      <c r="D33" s="22" t="str">
        <f>VLOOKUP(B33,[1]!Table3[[Part Number]:[Part Description]],3,0)</f>
        <v>CABIN AIR FILTER ELEMENT</v>
      </c>
      <c r="E33" s="23">
        <f>VLOOKUP(B33,'[1]Product by Part Number'!$A:$I,9,0)</f>
        <v>0</v>
      </c>
      <c r="F33" s="24">
        <f>VLOOKUP(B33,[1]!Table3[[Part Number]:[OEM CAD $]],4,0)</f>
        <v>98.39</v>
      </c>
      <c r="G33" s="25">
        <f t="shared" si="1"/>
        <v>0</v>
      </c>
      <c r="H33" s="25">
        <f>VLOOKUP(B33,[1]!Table3[[Part Number]:[GQP CAD $]],5,0)</f>
        <v>37.39</v>
      </c>
      <c r="I33" s="26">
        <f t="shared" si="0"/>
        <v>0</v>
      </c>
    </row>
    <row r="34" spans="2:9" x14ac:dyDescent="0.25">
      <c r="B34" s="62" t="s">
        <v>107</v>
      </c>
      <c r="C34" s="22" t="str">
        <f>VLOOKUP(B34,[1]!Table3[[Part Number]:[Make and Model]],2,0)</f>
        <v xml:space="preserve">CAT D4 (66J)                                            </v>
      </c>
      <c r="D34" s="22" t="str">
        <f>VLOOKUP(B34,[1]!Table3[[Part Number]:[Part Description]],3,0)</f>
        <v>SECONDARY AIR FILTER ELEMENT</v>
      </c>
      <c r="E34" s="23">
        <f>VLOOKUP(B34,'[1]Product by Part Number'!$A:$I,9,0)</f>
        <v>0</v>
      </c>
      <c r="F34" s="24">
        <f>VLOOKUP(B34,[1]!Table3[[Part Number]:[OEM CAD $]],4,0)</f>
        <v>111.66</v>
      </c>
      <c r="G34" s="25">
        <f t="shared" si="1"/>
        <v>0</v>
      </c>
      <c r="H34" s="25">
        <f>VLOOKUP(B34,[1]!Table3[[Part Number]:[GQP CAD $]],5,0)</f>
        <v>42.43</v>
      </c>
      <c r="I34" s="26">
        <f t="shared" si="0"/>
        <v>0</v>
      </c>
    </row>
    <row r="35" spans="2:9" x14ac:dyDescent="0.25">
      <c r="B35" s="62" t="s">
        <v>108</v>
      </c>
      <c r="C35" s="22" t="str">
        <f>VLOOKUP(B35,[1]!Table3[[Part Number]:[Make and Model]],2,0)</f>
        <v xml:space="preserve">CAT 561 (85H) CAT 561 (92J) CAT 561 (92J) (2)                                        </v>
      </c>
      <c r="D35" s="22" t="str">
        <f>VLOOKUP(B35,[1]!Table3[[Part Number]:[Part Description]],3,0)</f>
        <v>SECONDARY AIR FILTER</v>
      </c>
      <c r="E35" s="23">
        <f>VLOOKUP(B35,'[1]Product by Part Number'!$A:$I,9,0)</f>
        <v>0</v>
      </c>
      <c r="F35" s="24">
        <f>VLOOKUP(B35,[1]!Table3[[Part Number]:[OEM CAD $]],4,0)</f>
        <v>160.44</v>
      </c>
      <c r="G35" s="25">
        <f t="shared" si="1"/>
        <v>0</v>
      </c>
      <c r="H35" s="25">
        <f>VLOOKUP(B35,[1]!Table3[[Part Number]:[GQP CAD $]],5,0)</f>
        <v>60.97</v>
      </c>
      <c r="I35" s="26">
        <f t="shared" si="0"/>
        <v>0</v>
      </c>
    </row>
    <row r="36" spans="2:9" x14ac:dyDescent="0.25">
      <c r="B36" s="62" t="s">
        <v>109</v>
      </c>
      <c r="C36" s="22" t="str">
        <f>VLOOKUP(B36,[1]!Table3[[Part Number]:[Make and Model]],2,0)</f>
        <v xml:space="preserve">CAT D6N LGP (PBA) CAT D6N LGP (PBA) (2) CAT D6N LGP (SGG) CAT D6N LGP (SGG) (2)                                      </v>
      </c>
      <c r="D36" s="22" t="str">
        <f>VLOOKUP(B36,[1]!Table3[[Part Number]:[Part Description]],3,0)</f>
        <v>SECONDARY CABIN AIR FILTER ELEMENT</v>
      </c>
      <c r="E36" s="23">
        <f>VLOOKUP(B36,'[1]Product by Part Number'!$A:$I,9,0)</f>
        <v>0</v>
      </c>
      <c r="F36" s="24">
        <f>VLOOKUP(B36,[1]!Table3[[Part Number]:[OEM CAD $]],4,0)</f>
        <v>79.09</v>
      </c>
      <c r="G36" s="25">
        <f t="shared" si="1"/>
        <v>0</v>
      </c>
      <c r="H36" s="25">
        <f>VLOOKUP(B36,[1]!Table3[[Part Number]:[GQP CAD $]],5,0)</f>
        <v>30.05</v>
      </c>
      <c r="I36" s="26">
        <f t="shared" si="0"/>
        <v>0</v>
      </c>
    </row>
    <row r="37" spans="2:9" x14ac:dyDescent="0.25">
      <c r="B37" s="62" t="s">
        <v>110</v>
      </c>
      <c r="C37" s="22" t="str">
        <f>VLOOKUP(B37,[1]!Table3[[Part Number]:[Make and Model]],2,0)</f>
        <v xml:space="preserve">CAT D6 (RDC) CAT D6T (MH7) CAT 561N (CPH) CAT 561N (CPH) (2) CAT 561N (CPH) (3) CAT 561N (CPH) (4) CAT 561N (CPH) (5)                                </v>
      </c>
      <c r="D37" s="22" t="str">
        <f>VLOOKUP(B37,[1]!Table3[[Part Number]:[Part Description]],3,0)</f>
        <v>SECONDARY AIR FILTER ELEMENT</v>
      </c>
      <c r="E37" s="23">
        <f>VLOOKUP(B37,'[1]Product by Part Number'!$A:$I,9,0)</f>
        <v>0</v>
      </c>
      <c r="F37" s="24">
        <f>VLOOKUP(B37,[1]!Table3[[Part Number]:[OEM CAD $]],4,0)</f>
        <v>109.02</v>
      </c>
      <c r="G37" s="25">
        <f t="shared" si="1"/>
        <v>0</v>
      </c>
      <c r="H37" s="25">
        <f>VLOOKUP(B37,[1]!Table3[[Part Number]:[GQP CAD $]],5,0)</f>
        <v>41.43</v>
      </c>
      <c r="I37" s="26">
        <f t="shared" si="0"/>
        <v>0</v>
      </c>
    </row>
    <row r="38" spans="2:9" x14ac:dyDescent="0.25">
      <c r="B38" s="62" t="s">
        <v>111</v>
      </c>
      <c r="C38" s="22" t="str">
        <f>VLOOKUP(B38,[1]!Table3[[Part Number]:[Make and Model]],2,0)</f>
        <v xml:space="preserve">CAT D6N LGP (PBA) CAT D6N LGP (PBA) (2)                                          </v>
      </c>
      <c r="D38" s="22" t="str">
        <f>VLOOKUP(B38,[1]!Table3[[Part Number]:[Part Description]],3,0)</f>
        <v>SECONDARY AIR FILTER ELEMENT</v>
      </c>
      <c r="E38" s="23">
        <f>VLOOKUP(B38,'[1]Product by Part Number'!$A:$I,9,0)</f>
        <v>0</v>
      </c>
      <c r="F38" s="24">
        <f>VLOOKUP(B38,[1]!Table3[[Part Number]:[OEM CAD $]],4,0)</f>
        <v>137.53</v>
      </c>
      <c r="G38" s="25">
        <f t="shared" si="1"/>
        <v>0</v>
      </c>
      <c r="H38" s="25">
        <f>VLOOKUP(B38,[1]!Table3[[Part Number]:[GQP CAD $]],5,0)</f>
        <v>52.26</v>
      </c>
      <c r="I38" s="26">
        <f t="shared" si="0"/>
        <v>0</v>
      </c>
    </row>
    <row r="39" spans="2:9" x14ac:dyDescent="0.25">
      <c r="B39" s="62" t="s">
        <v>112</v>
      </c>
      <c r="C39" s="22" t="str">
        <f>VLOOKUP(B39,[1]!Table3[[Part Number]:[Make and Model]],2,0)</f>
        <v xml:space="preserve">CAT 329E L (ZCD) CAT 329F L (ERL) CAT 329F L (ERL) (2) CAT 330F L (MBX) CAT 330F L (HCK) CAT 330F L (HCK) (2)                                  </v>
      </c>
      <c r="D39" s="22" t="str">
        <f>VLOOKUP(B39,[1]!Table3[[Part Number]:[Part Description]],3,0)</f>
        <v>CABIN AIR FILTER ELEMENT</v>
      </c>
      <c r="E39" s="23">
        <f>VLOOKUP(B39,'[1]Product by Part Number'!$A:$I,9,0)</f>
        <v>0</v>
      </c>
      <c r="F39" s="24">
        <f>VLOOKUP(B39,[1]!Table3[[Part Number]:[OEM CAD $]],4,0)</f>
        <v>94.42</v>
      </c>
      <c r="G39" s="25">
        <f t="shared" si="1"/>
        <v>0</v>
      </c>
      <c r="H39" s="25">
        <f>VLOOKUP(B39,[1]!Table3[[Part Number]:[GQP CAD $]],5,0)</f>
        <v>35.880000000000003</v>
      </c>
      <c r="I39" s="26">
        <f t="shared" si="0"/>
        <v>0</v>
      </c>
    </row>
    <row r="40" spans="2:9" x14ac:dyDescent="0.25">
      <c r="B40" s="62" t="s">
        <v>113</v>
      </c>
      <c r="C40" s="22" t="str">
        <f>VLOOKUP(B40,[1]!Table3[[Part Number]:[Make and Model]],2,0)</f>
        <v xml:space="preserve">CAT 561N (CPH) CAT 561N (CPH) (2) CAT 561N (CPH) (3) CAT 561N (CPH) (4) CAT 561N (CPH) (5)                                    </v>
      </c>
      <c r="D40" s="22" t="str">
        <f>VLOOKUP(B40,[1]!Table3[[Part Number]:[Part Description]],3,0)</f>
        <v>CABIN AIR FILTER ELEMENT</v>
      </c>
      <c r="E40" s="23">
        <f>VLOOKUP(B40,'[1]Product by Part Number'!$A:$I,9,0)</f>
        <v>0</v>
      </c>
      <c r="F40" s="24">
        <f>VLOOKUP(B40,[1]!Table3[[Part Number]:[OEM CAD $]],4,0)</f>
        <v>1076.32</v>
      </c>
      <c r="G40" s="25">
        <f t="shared" si="1"/>
        <v>0</v>
      </c>
      <c r="H40" s="25">
        <f>VLOOKUP(B40,[1]!Table3[[Part Number]:[GQP CAD $]],5,0)</f>
        <v>409</v>
      </c>
      <c r="I40" s="26">
        <f t="shared" si="0"/>
        <v>0</v>
      </c>
    </row>
    <row r="41" spans="2:9" x14ac:dyDescent="0.25">
      <c r="B41" s="62" t="s">
        <v>114</v>
      </c>
      <c r="C41" s="22" t="str">
        <f>VLOOKUP(B41,[1]!Table3[[Part Number]:[Make and Model]],2,0)</f>
        <v xml:space="preserve">CAT 320 (HEX) CAT 320 (MYK) CAT 320 (MYK) (2)                                        </v>
      </c>
      <c r="D41" s="22" t="str">
        <f>VLOOKUP(B41,[1]!Table3[[Part Number]:[Part Description]],3,0)</f>
        <v>PRIMARY AIR FILTER ELEMENT</v>
      </c>
      <c r="E41" s="23">
        <f>VLOOKUP(B41,'[1]Product by Part Number'!$A:$I,9,0)</f>
        <v>0</v>
      </c>
      <c r="F41" s="24">
        <f>VLOOKUP(B41,[1]!Table3[[Part Number]:[OEM CAD $]],4,0)</f>
        <v>244.2</v>
      </c>
      <c r="G41" s="25">
        <f t="shared" si="1"/>
        <v>0</v>
      </c>
      <c r="H41" s="25">
        <f>VLOOKUP(B41,[1]!Table3[[Part Number]:[GQP CAD $]],5,0)</f>
        <v>92.8</v>
      </c>
      <c r="I41" s="26">
        <f t="shared" si="0"/>
        <v>0</v>
      </c>
    </row>
    <row r="42" spans="2:9" x14ac:dyDescent="0.25">
      <c r="B42" s="62" t="s">
        <v>115</v>
      </c>
      <c r="C42" s="22" t="str">
        <f>VLOOKUP(B42,[1]!Table3[[Part Number]:[Make and Model]],2,0)</f>
        <v xml:space="preserve">CAT 320 (HEX) CAT 320 (MYK) CAT 320 (MYK) (2)                                        </v>
      </c>
      <c r="D42" s="22" t="str">
        <f>VLOOKUP(B42,[1]!Table3[[Part Number]:[Part Description]],3,0)</f>
        <v>SECONDARY AIR FILTER ELEMENT</v>
      </c>
      <c r="E42" s="23">
        <f>VLOOKUP(B42,'[1]Product by Part Number'!$A:$I,9,0)</f>
        <v>0</v>
      </c>
      <c r="F42" s="24">
        <f>VLOOKUP(B42,[1]!Table3[[Part Number]:[OEM CAD $]],4,0)</f>
        <v>133.28</v>
      </c>
      <c r="G42" s="25">
        <f t="shared" si="1"/>
        <v>0</v>
      </c>
      <c r="H42" s="25">
        <f>VLOOKUP(B42,[1]!Table3[[Part Number]:[GQP CAD $]],5,0)</f>
        <v>50.65</v>
      </c>
      <c r="I42" s="26">
        <f t="shared" si="0"/>
        <v>0</v>
      </c>
    </row>
    <row r="43" spans="2:9" x14ac:dyDescent="0.25">
      <c r="B43" s="62" t="s">
        <v>116</v>
      </c>
      <c r="C43" s="22" t="str">
        <f>VLOOKUP(B43,[1]!Table3[[Part Number]:[Make and Model]],2,0)</f>
        <v xml:space="preserve">CAT 330 (LHW) CAT 330 (LHW) (2) CAT 330 (LHW) (3) CAT 330 (LHW) (4) CAT 330 (WCH) CAT 330 (WCH) (2) CAT 330 (WCH) (3) CAT 330 (WCH) (4) CAT 330 (WCH) (5) CAT 330 (WCH) (6)                          </v>
      </c>
      <c r="D43" s="22" t="str">
        <f>VLOOKUP(B43,[1]!Table3[[Part Number]:[Part Description]],3,0)</f>
        <v>PRIMARY AIR FILTER ELEMENT</v>
      </c>
      <c r="E43" s="23">
        <f>VLOOKUP(B43,'[1]Product by Part Number'!$A:$I,9,0)</f>
        <v>0</v>
      </c>
      <c r="F43" s="24">
        <f>VLOOKUP(B43,[1]!Table3[[Part Number]:[OEM CAD $]],4,0)</f>
        <v>307.85000000000002</v>
      </c>
      <c r="G43" s="25">
        <f t="shared" si="1"/>
        <v>0</v>
      </c>
      <c r="H43" s="25">
        <f>VLOOKUP(B43,[1]!Table3[[Part Number]:[GQP CAD $]],5,0)</f>
        <v>116.98</v>
      </c>
      <c r="I43" s="26">
        <f t="shared" si="0"/>
        <v>0</v>
      </c>
    </row>
    <row r="44" spans="2:9" x14ac:dyDescent="0.25">
      <c r="B44" s="62" t="s">
        <v>117</v>
      </c>
      <c r="C44" s="22" t="str">
        <f>VLOOKUP(B44,[1]!Table3[[Part Number]:[Make and Model]],2,0)</f>
        <v xml:space="preserve">CAT 330 (LHW) CAT 330 (LHW) (2) CAT 330 (LHW) (3) CAT 330 (LHW) (4) CAT 330 (WCH) CAT 330 (WCH) (2) CAT 330 (WCH) (3) CAT 330 (WCH) (4) CAT 330 (WCH) (5) CAT 330 (WCH) (6)                          </v>
      </c>
      <c r="D44" s="22" t="str">
        <f>VLOOKUP(B44,[1]!Table3[[Part Number]:[Part Description]],3,0)</f>
        <v>SECONDAY AIR FILTER ELEMENT</v>
      </c>
      <c r="E44" s="23">
        <f>VLOOKUP(B44,'[1]Product by Part Number'!$A:$I,9,0)</f>
        <v>0</v>
      </c>
      <c r="F44" s="24">
        <f>VLOOKUP(B44,[1]!Table3[[Part Number]:[OEM CAD $]],4,0)</f>
        <v>137.38</v>
      </c>
      <c r="G44" s="25">
        <f t="shared" si="1"/>
        <v>0</v>
      </c>
      <c r="H44" s="25">
        <f>VLOOKUP(B44,[1]!Table3[[Part Number]:[GQP CAD $]],5,0)</f>
        <v>52.2</v>
      </c>
      <c r="I44" s="26">
        <f t="shared" si="0"/>
        <v>0</v>
      </c>
    </row>
    <row r="45" spans="2:9" x14ac:dyDescent="0.25">
      <c r="B45" s="62" t="s">
        <v>118</v>
      </c>
      <c r="C45" s="22" t="str">
        <f>VLOOKUP(B45,[1]!Table3[[Part Number]:[Make and Model]],2,0)</f>
        <v xml:space="preserve">CAT D3 (1PJ)                                            </v>
      </c>
      <c r="D45" s="22" t="str">
        <f>VLOOKUP(B45,[1]!Table3[[Part Number]:[Part Description]],3,0)</f>
        <v>SECONDARY AIR FILTER ELEMENT</v>
      </c>
      <c r="E45" s="23">
        <f>VLOOKUP(B45,'[1]Product by Part Number'!$A:$I,9,0)</f>
        <v>0</v>
      </c>
      <c r="F45" s="24">
        <f>VLOOKUP(B45,[1]!Table3[[Part Number]:[OEM CAD $]],4,0)</f>
        <v>77.260000000000005</v>
      </c>
      <c r="G45" s="25">
        <f t="shared" si="1"/>
        <v>0</v>
      </c>
      <c r="H45" s="25">
        <f>VLOOKUP(B45,[1]!Table3[[Part Number]:[GQP CAD $]],5,0)</f>
        <v>29.36</v>
      </c>
      <c r="I45" s="26">
        <f t="shared" si="0"/>
        <v>0</v>
      </c>
    </row>
    <row r="46" spans="2:9" x14ac:dyDescent="0.25">
      <c r="B46" s="62" t="s">
        <v>119</v>
      </c>
      <c r="C46" s="22" t="str">
        <f>VLOOKUP(B46,[1]!Table3[[Part Number]:[Make and Model]],2,0)</f>
        <v xml:space="preserve">CAT D3 (1PJ)                                            </v>
      </c>
      <c r="D46" s="22" t="str">
        <f>VLOOKUP(B46,[1]!Table3[[Part Number]:[Part Description]],3,0)</f>
        <v>PRIMARY AIR FILTER ELEMENT</v>
      </c>
      <c r="E46" s="23">
        <f>VLOOKUP(B46,'[1]Product by Part Number'!$A:$I,9,0)</f>
        <v>0</v>
      </c>
      <c r="F46" s="24">
        <f>VLOOKUP(B46,[1]!Table3[[Part Number]:[OEM CAD $]],4,0)</f>
        <v>91.61</v>
      </c>
      <c r="G46" s="25">
        <f t="shared" si="1"/>
        <v>0</v>
      </c>
      <c r="H46" s="25">
        <f>VLOOKUP(B46,[1]!Table3[[Part Number]:[GQP CAD $]],5,0)</f>
        <v>34.81</v>
      </c>
      <c r="I46" s="26">
        <f t="shared" si="0"/>
        <v>0</v>
      </c>
    </row>
    <row r="47" spans="2:9" x14ac:dyDescent="0.25">
      <c r="B47" s="62" t="s">
        <v>120</v>
      </c>
      <c r="C47" s="22" t="str">
        <f>VLOOKUP(B47,[1]!Table3[[Part Number]:[Make and Model]],2,0)</f>
        <v xml:space="preserve">CAT 320 (HEX) CAT 320 (MYK) CAT 320 (MYK) (2) CAT 330 (LHW) CAT 330 (LHW) (2) CAT 330 (LHW) (3) CAT 330 (LHW) (4) CAT 330 (WCH) CAT 330 (WCH) (2) CAT 330 (WCH) (3) CAT 330 (WCH) (4) CAT 330 (WCH) (5) CAT 330 (WCH) (6)                    </v>
      </c>
      <c r="D47" s="22" t="str">
        <f>VLOOKUP(B47,[1]!Table3[[Part Number]:[Part Description]],3,0)</f>
        <v xml:space="preserve">CABIN AIR FILTER ELEMENT </v>
      </c>
      <c r="E47" s="23">
        <f>VLOOKUP(B47,'[1]Product by Part Number'!$A:$I,9,0)</f>
        <v>0</v>
      </c>
      <c r="F47" s="24">
        <f>VLOOKUP(B47,[1]!Table3[[Part Number]:[OEM CAD $]],4,0)</f>
        <v>87.85</v>
      </c>
      <c r="G47" s="25">
        <f t="shared" si="1"/>
        <v>0</v>
      </c>
      <c r="H47" s="25">
        <f>VLOOKUP(B47,[1]!Table3[[Part Number]:[GQP CAD $]],5,0)</f>
        <v>33.380000000000003</v>
      </c>
      <c r="I47" s="26">
        <f t="shared" si="0"/>
        <v>0</v>
      </c>
    </row>
    <row r="48" spans="2:9" x14ac:dyDescent="0.25">
      <c r="B48" s="62" t="s">
        <v>121</v>
      </c>
      <c r="C48" s="22" t="str">
        <f>VLOOKUP(B48,[1]!Table3[[Part Number]:[Make and Model]],2,0)</f>
        <v xml:space="preserve">CAT D6N LGP (SGG) CAT D6N LGP (SGG) (2)                                          </v>
      </c>
      <c r="D48" s="22" t="str">
        <f>VLOOKUP(B48,[1]!Table3[[Part Number]:[Part Description]],3,0)</f>
        <v>PRIMARY AIR FILTER ELEMENT</v>
      </c>
      <c r="E48" s="23">
        <f>VLOOKUP(B48,'[1]Product by Part Number'!$A:$I,9,0)</f>
        <v>0</v>
      </c>
      <c r="F48" s="24">
        <f>VLOOKUP(B48,[1]!Table3[[Part Number]:[OEM CAD $]],4,0)</f>
        <v>136.4</v>
      </c>
      <c r="G48" s="25">
        <f t="shared" si="1"/>
        <v>0</v>
      </c>
      <c r="H48" s="25">
        <f>VLOOKUP(B48,[1]!Table3[[Part Number]:[GQP CAD $]],5,0)</f>
        <v>51.83</v>
      </c>
      <c r="I48" s="26">
        <f t="shared" si="0"/>
        <v>0</v>
      </c>
    </row>
    <row r="49" spans="2:9" x14ac:dyDescent="0.25">
      <c r="B49" s="62" t="s">
        <v>122</v>
      </c>
      <c r="C49" s="22" t="str">
        <f>VLOOKUP(B49,[1]!Table3[[Part Number]:[Make and Model]],2,0)</f>
        <v xml:space="preserve">CAT D6N LGP (SGG) CAT D6N LGP (SGG) (2)                                          </v>
      </c>
      <c r="D49" s="22" t="str">
        <f>VLOOKUP(B49,[1]!Table3[[Part Number]:[Part Description]],3,0)</f>
        <v>SECONDARY AIR FILTER ELEMENT</v>
      </c>
      <c r="E49" s="23">
        <f>VLOOKUP(B49,'[1]Product by Part Number'!$A:$I,9,0)</f>
        <v>0</v>
      </c>
      <c r="F49" s="24">
        <f>VLOOKUP(B49,[1]!Table3[[Part Number]:[OEM CAD $]],4,0)</f>
        <v>103.4</v>
      </c>
      <c r="G49" s="25">
        <f t="shared" si="1"/>
        <v>0</v>
      </c>
      <c r="H49" s="25">
        <f>VLOOKUP(B49,[1]!Table3[[Part Number]:[GQP CAD $]],5,0)</f>
        <v>39.29</v>
      </c>
      <c r="I49" s="26">
        <f t="shared" si="0"/>
        <v>0</v>
      </c>
    </row>
    <row r="50" spans="2:9" x14ac:dyDescent="0.25">
      <c r="B50" s="62" t="s">
        <v>123</v>
      </c>
      <c r="C50" s="22" t="str">
        <f>VLOOKUP(B50,[1]!Table3[[Part Number]:[Make and Model]],2,0)</f>
        <v xml:space="preserve">CAT D6N LGP (PBA) CAT D6N LGP (PBA) (2)                                          </v>
      </c>
      <c r="D50" s="22" t="str">
        <f>VLOOKUP(B50,[1]!Table3[[Part Number]:[Part Description]],3,0)</f>
        <v>PRIMARY AIR FILTER ELEMENT</v>
      </c>
      <c r="E50" s="23">
        <f>VLOOKUP(B50,'[1]Product by Part Number'!$A:$I,9,0)</f>
        <v>0</v>
      </c>
      <c r="F50" s="24">
        <f>VLOOKUP(B50,[1]!Table3[[Part Number]:[OEM CAD $]],4,0)</f>
        <v>225.94</v>
      </c>
      <c r="G50" s="25">
        <f t="shared" si="1"/>
        <v>0</v>
      </c>
      <c r="H50" s="25">
        <f>VLOOKUP(B50,[1]!Table3[[Part Number]:[GQP CAD $]],5,0)</f>
        <v>85.86</v>
      </c>
      <c r="I50" s="26">
        <f t="shared" si="0"/>
        <v>0</v>
      </c>
    </row>
    <row r="51" spans="2:9" x14ac:dyDescent="0.25">
      <c r="B51" s="62" t="s">
        <v>124</v>
      </c>
      <c r="C51" s="22" t="str">
        <f>VLOOKUP(B51,[1]!Table3[[Part Number]:[Make and Model]],2,0)</f>
        <v xml:space="preserve">CAT D6 (RDC)                                            </v>
      </c>
      <c r="D51" s="22" t="str">
        <f>VLOOKUP(B51,[1]!Table3[[Part Number]:[Part Description]],3,0)</f>
        <v>CABIN AIR FILTER ELEMENT</v>
      </c>
      <c r="E51" s="23">
        <f>VLOOKUP(B51,'[1]Product by Part Number'!$A:$I,9,0)</f>
        <v>0</v>
      </c>
      <c r="F51" s="24">
        <f>VLOOKUP(B51,[1]!Table3[[Part Number]:[OEM CAD $]],4,0)</f>
        <v>143.80000000000001</v>
      </c>
      <c r="G51" s="25">
        <f t="shared" si="1"/>
        <v>0</v>
      </c>
      <c r="H51" s="25">
        <f>VLOOKUP(B51,[1]!Table3[[Part Number]:[GQP CAD $]],5,0)</f>
        <v>54.64</v>
      </c>
      <c r="I51" s="26">
        <f t="shared" si="0"/>
        <v>0</v>
      </c>
    </row>
    <row r="52" spans="2:9" x14ac:dyDescent="0.25">
      <c r="B52" s="62" t="s">
        <v>125</v>
      </c>
      <c r="C52" s="22" t="str">
        <f>VLOOKUP(B52,[1]!Table3[[Part Number]:[Make and Model]],2,0)</f>
        <v xml:space="preserve">CAT D6 (RDC) CAT D6T (MH7) CAT 561N (CPH) CAT 561N (CPH) (2) CAT 561N (CPH) (3) CAT 561N (CPH) (4) CAT 561N (CPH) (5)                                </v>
      </c>
      <c r="D52" s="22" t="str">
        <f>VLOOKUP(B52,[1]!Table3[[Part Number]:[Part Description]],3,0)</f>
        <v>PRIMARY AIR FILTER ELEMENT</v>
      </c>
      <c r="E52" s="23">
        <f>VLOOKUP(B52,'[1]Product by Part Number'!$A:$I,9,0)</f>
        <v>0</v>
      </c>
      <c r="F52" s="24">
        <f>VLOOKUP(B52,[1]!Table3[[Part Number]:[OEM CAD $]],4,0)</f>
        <v>259.82</v>
      </c>
      <c r="G52" s="25">
        <f t="shared" si="1"/>
        <v>0</v>
      </c>
      <c r="H52" s="25">
        <f>VLOOKUP(B52,[1]!Table3[[Part Number]:[GQP CAD $]],5,0)</f>
        <v>98.73</v>
      </c>
      <c r="I52" s="26">
        <f t="shared" si="0"/>
        <v>0</v>
      </c>
    </row>
    <row r="53" spans="2:9" x14ac:dyDescent="0.25">
      <c r="B53" s="62" t="s">
        <v>126</v>
      </c>
      <c r="C53" s="22" t="str">
        <f>VLOOKUP(B53,[1]!Table3[[Part Number]:[Make and Model]],2,0)</f>
        <v xml:space="preserve">CAT D5 (3CR) CAT D5 (3CR) (2) CAT 561M (1KW)                                        </v>
      </c>
      <c r="D53" s="22" t="str">
        <f>VLOOKUP(B53,[1]!Table3[[Part Number]:[Part Description]],3,0)</f>
        <v>PRIMARY AIR FILTER ELEMENT</v>
      </c>
      <c r="E53" s="23">
        <f>VLOOKUP(B53,'[1]Product by Part Number'!$A:$I,9,0)</f>
        <v>0</v>
      </c>
      <c r="F53" s="24">
        <f>VLOOKUP(B53,[1]!Table3[[Part Number]:[OEM CAD $]],4,0)</f>
        <v>110.04</v>
      </c>
      <c r="G53" s="25">
        <f t="shared" si="1"/>
        <v>0</v>
      </c>
      <c r="H53" s="25">
        <f>VLOOKUP(B53,[1]!Table3[[Part Number]:[GQP CAD $]],5,0)</f>
        <v>41.82</v>
      </c>
      <c r="I53" s="26">
        <f t="shared" si="0"/>
        <v>0</v>
      </c>
    </row>
    <row r="54" spans="2:9" x14ac:dyDescent="0.25">
      <c r="B54" s="62" t="s">
        <v>127</v>
      </c>
      <c r="C54" s="22" t="str">
        <f>VLOOKUP(B54,[1]!Table3[[Part Number]:[Make and Model]],2,0)</f>
        <v xml:space="preserve">CAT D5 (3CR) CAT D5 (3CR) (2) CAT 561M (1KW)                                        </v>
      </c>
      <c r="D54" s="22" t="str">
        <f>VLOOKUP(B54,[1]!Table3[[Part Number]:[Part Description]],3,0)</f>
        <v>SECONDARY AIR FILTER ELEMENT</v>
      </c>
      <c r="E54" s="23">
        <f>VLOOKUP(B54,'[1]Product by Part Number'!$A:$I,9,0)</f>
        <v>0</v>
      </c>
      <c r="F54" s="24">
        <f>VLOOKUP(B54,[1]!Table3[[Part Number]:[OEM CAD $]],4,0)</f>
        <v>81.73</v>
      </c>
      <c r="G54" s="25">
        <f t="shared" si="1"/>
        <v>0</v>
      </c>
      <c r="H54" s="25">
        <f>VLOOKUP(B54,[1]!Table3[[Part Number]:[GQP CAD $]],5,0)</f>
        <v>31.06</v>
      </c>
      <c r="I54" s="26">
        <f t="shared" si="0"/>
        <v>0</v>
      </c>
    </row>
    <row r="55" spans="2:9" x14ac:dyDescent="0.25">
      <c r="B55" s="62" t="s">
        <v>128</v>
      </c>
      <c r="C55" s="22" t="str">
        <f>VLOOKUP(B55,[1]!Table3[[Part Number]:[Make and Model]],2,0)</f>
        <v xml:space="preserve">CAT 329E L (ZCD) CAT 329F L (ERL) CAT 329F L (ERL) (2) CAT 330F L (MBX) CAT 330F L (HCK) CAT 330F L (HCK) (2)                                  </v>
      </c>
      <c r="D55" s="22" t="str">
        <f>VLOOKUP(B55,[1]!Table3[[Part Number]:[Part Description]],3,0)</f>
        <v>PRIMARY AIR FILTER ELEMENT</v>
      </c>
      <c r="E55" s="23">
        <f>VLOOKUP(B55,'[1]Product by Part Number'!$A:$I,9,0)</f>
        <v>0</v>
      </c>
      <c r="F55" s="24">
        <f>VLOOKUP(B55,[1]!Table3[[Part Number]:[OEM CAD $]],4,0)</f>
        <v>165.83</v>
      </c>
      <c r="G55" s="25">
        <f t="shared" si="1"/>
        <v>0</v>
      </c>
      <c r="H55" s="25">
        <f>VLOOKUP(B55,[1]!Table3[[Part Number]:[GQP CAD $]],5,0)</f>
        <v>63.02</v>
      </c>
      <c r="I55" s="26">
        <f t="shared" si="0"/>
        <v>0</v>
      </c>
    </row>
    <row r="56" spans="2:9" x14ac:dyDescent="0.25">
      <c r="B56" s="62" t="s">
        <v>129</v>
      </c>
      <c r="C56" s="22" t="str">
        <f>VLOOKUP(B56,[1]!Table3[[Part Number]:[Make and Model]],2,0)</f>
        <v xml:space="preserve">CAT 329E L (ZCD) CAT 329F L (ERL) CAT 329F L (ERL) (2) CAT 330F L (MBX) CAT 330F L (HCK) CAT 330F L (HCK) (2)                                  </v>
      </c>
      <c r="D56" s="22" t="str">
        <f>VLOOKUP(B56,[1]!Table3[[Part Number]:[Part Description]],3,0)</f>
        <v>SECONDARY AIR FILTER ELEMENT</v>
      </c>
      <c r="E56" s="23">
        <f>VLOOKUP(B56,'[1]Product by Part Number'!$A:$I,9,0)</f>
        <v>0</v>
      </c>
      <c r="F56" s="24">
        <f>VLOOKUP(B56,[1]!Table3[[Part Number]:[OEM CAD $]],4,0)</f>
        <v>117.3</v>
      </c>
      <c r="G56" s="25">
        <f t="shared" si="1"/>
        <v>0</v>
      </c>
      <c r="H56" s="25">
        <f>VLOOKUP(B56,[1]!Table3[[Part Number]:[GQP CAD $]],5,0)</f>
        <v>44.57</v>
      </c>
      <c r="I56" s="26">
        <f t="shared" si="0"/>
        <v>0</v>
      </c>
    </row>
    <row r="57" spans="2:9" x14ac:dyDescent="0.25">
      <c r="B57" s="62" t="s">
        <v>130</v>
      </c>
      <c r="C57" s="22" t="str">
        <f>VLOOKUP(B57,[1]!Table3[[Part Number]:[Make and Model]],2,0)</f>
        <v xml:space="preserve">CAT D7G (92V) CAT D7G (3ZD) CAT D7G (3ZD) (2)                                        </v>
      </c>
      <c r="D57" s="22" t="str">
        <f>VLOOKUP(B57,[1]!Table3[[Part Number]:[Part Description]],3,0)</f>
        <v>CABIN AIR FILTER ELEMENT</v>
      </c>
      <c r="E57" s="23">
        <f>VLOOKUP(B57,'[1]Product by Part Number'!$A:$I,9,0)</f>
        <v>0</v>
      </c>
      <c r="F57" s="24">
        <f>VLOOKUP(B57,[1]!Table3[[Part Number]:[OEM CAD $]],4,0)</f>
        <v>121.67</v>
      </c>
      <c r="G57" s="25">
        <f t="shared" si="1"/>
        <v>0</v>
      </c>
      <c r="H57" s="25">
        <f>VLOOKUP(B57,[1]!Table3[[Part Number]:[GQP CAD $]],5,0)</f>
        <v>46.23</v>
      </c>
      <c r="I57" s="26">
        <f t="shared" si="0"/>
        <v>0</v>
      </c>
    </row>
    <row r="58" spans="2:9" x14ac:dyDescent="0.25">
      <c r="B58" s="62" t="s">
        <v>131</v>
      </c>
      <c r="C58" s="22" t="str">
        <f>VLOOKUP(B58,[1]!Table3[[Part Number]:[Make and Model]],2,0)</f>
        <v xml:space="preserve">CAT D7G (92V) CAT D7G (3ZD) CAT D7G (3ZD) (2) CAT 561 (85H) CAT 561 (92J) CAT 561 (92J) (2)                                  </v>
      </c>
      <c r="D58" s="22" t="str">
        <f>VLOOKUP(B58,[1]!Table3[[Part Number]:[Part Description]],3,0)</f>
        <v>PRIMARY AIR FILTER ELEMENT</v>
      </c>
      <c r="E58" s="23">
        <f>VLOOKUP(B58,'[1]Product by Part Number'!$A:$I,9,0)</f>
        <v>0</v>
      </c>
      <c r="F58" s="24">
        <f>VLOOKUP(B58,[1]!Table3[[Part Number]:[OEM CAD $]],4,0)</f>
        <v>143.6</v>
      </c>
      <c r="G58" s="25">
        <f t="shared" si="1"/>
        <v>0</v>
      </c>
      <c r="H58" s="25">
        <f>VLOOKUP(B58,[1]!Table3[[Part Number]:[GQP CAD $]],5,0)</f>
        <v>54.57</v>
      </c>
      <c r="I58" s="26">
        <f t="shared" si="0"/>
        <v>0</v>
      </c>
    </row>
    <row r="59" spans="2:9" x14ac:dyDescent="0.25">
      <c r="B59" s="62" t="s">
        <v>132</v>
      </c>
      <c r="C59" s="22" t="str">
        <f>VLOOKUP(B59,[1]!Table3[[Part Number]:[Make and Model]],2,0)</f>
        <v xml:space="preserve">CAT D4 (66J)                                            </v>
      </c>
      <c r="D59" s="22" t="str">
        <f>VLOOKUP(B59,[1]!Table3[[Part Number]:[Part Description]],3,0)</f>
        <v>PRIMARY AIR FILTER ELEMENT</v>
      </c>
      <c r="E59" s="23">
        <f>VLOOKUP(B59,'[1]Product by Part Number'!$A:$I,9,0)</f>
        <v>0</v>
      </c>
      <c r="F59" s="24">
        <f>VLOOKUP(B59,[1]!Table3[[Part Number]:[OEM CAD $]],4,0)</f>
        <v>125.6</v>
      </c>
      <c r="G59" s="25">
        <f t="shared" si="1"/>
        <v>0</v>
      </c>
      <c r="H59" s="25">
        <f>VLOOKUP(B59,[1]!Table3[[Part Number]:[GQP CAD $]],5,0)</f>
        <v>47.73</v>
      </c>
      <c r="I59" s="26">
        <f t="shared" si="0"/>
        <v>0</v>
      </c>
    </row>
    <row r="60" spans="2:9" x14ac:dyDescent="0.25">
      <c r="B60" s="62" t="s">
        <v>133</v>
      </c>
      <c r="C60" s="22" t="str">
        <f>VLOOKUP(B60,[1]!Table3[[Part Number]:[Make and Model]],2,0)</f>
        <v xml:space="preserve">CAT D7G (92V) CAT D7G (3ZD) CAT D7G (3ZD) (2)                                        </v>
      </c>
      <c r="D60" s="22" t="str">
        <f>VLOOKUP(B60,[1]!Table3[[Part Number]:[Part Description]],3,0)</f>
        <v>SECONDARY AIR FILTER ELEMENT</v>
      </c>
      <c r="E60" s="23">
        <f>VLOOKUP(B60,'[1]Product by Part Number'!$A:$I,9,0)</f>
        <v>0</v>
      </c>
      <c r="F60" s="24">
        <f>VLOOKUP(B60,[1]!Table3[[Part Number]:[OEM CAD $]],4,0)</f>
        <v>115.44</v>
      </c>
      <c r="G60" s="25">
        <f t="shared" si="1"/>
        <v>0</v>
      </c>
      <c r="H60" s="25">
        <f>VLOOKUP(B60,[1]!Table3[[Part Number]:[GQP CAD $]],5,0)</f>
        <v>43.87</v>
      </c>
      <c r="I60" s="26">
        <f t="shared" si="0"/>
        <v>0</v>
      </c>
    </row>
    <row r="61" spans="2:9" x14ac:dyDescent="0.25">
      <c r="B61" s="62">
        <v>6692337</v>
      </c>
      <c r="C61" s="22" t="str">
        <f>VLOOKUP(B61,[1]!Table3[[Part Number]:[Make and Model]],2,0)</f>
        <v xml:space="preserve">BOBCAT T750 (ATF) BOBCAT S650 (A3N)                                          </v>
      </c>
      <c r="D61" s="22" t="str">
        <f>VLOOKUP(B61,[1]!Table3[[Part Number]:[Part Description]],3,0)</f>
        <v>HYDRAULIC OIL FILTER ELEMENT</v>
      </c>
      <c r="E61" s="23">
        <f>VLOOKUP(B61,'[1]Product by Part Number'!$A:$I,9,0)</f>
        <v>0</v>
      </c>
      <c r="F61" s="24">
        <f>VLOOKUP(B61,[1]!Table3[[Part Number]:[OEM CAD $]],4,0)</f>
        <v>93.99</v>
      </c>
      <c r="G61" s="25">
        <f t="shared" si="1"/>
        <v>0</v>
      </c>
      <c r="H61" s="25">
        <f>VLOOKUP(B61,[1]!Table3[[Part Number]:[GQP CAD $]],5,0)</f>
        <v>35.72</v>
      </c>
      <c r="I61" s="26">
        <f t="shared" si="0"/>
        <v>0</v>
      </c>
    </row>
    <row r="62" spans="2:9" x14ac:dyDescent="0.25">
      <c r="B62" s="62">
        <v>7012314</v>
      </c>
      <c r="C62" s="22" t="str">
        <f>VLOOKUP(B62,[1]!Table3[[Part Number]:[Make and Model]],2,0)</f>
        <v xml:space="preserve">BOBCAT T750 (ANK)                                            </v>
      </c>
      <c r="D62" s="22" t="str">
        <f>VLOOKUP(B62,[1]!Table3[[Part Number]:[Part Description]],3,0)</f>
        <v>HYDRAULIC OIL FILTER ELEMENT</v>
      </c>
      <c r="E62" s="23">
        <f>VLOOKUP(B62,'[1]Product by Part Number'!$A:$I,9,0)</f>
        <v>0</v>
      </c>
      <c r="F62" s="24">
        <f>VLOOKUP(B62,[1]!Table3[[Part Number]:[OEM CAD $]],4,0)</f>
        <v>138.99</v>
      </c>
      <c r="G62" s="25">
        <f t="shared" si="1"/>
        <v>0</v>
      </c>
      <c r="H62" s="25">
        <f>VLOOKUP(B62,[1]!Table3[[Part Number]:[GQP CAD $]],5,0)</f>
        <v>52.82</v>
      </c>
      <c r="I62" s="26">
        <f t="shared" si="0"/>
        <v>0</v>
      </c>
    </row>
    <row r="63" spans="2:9" x14ac:dyDescent="0.25">
      <c r="B63" s="62">
        <v>7414582</v>
      </c>
      <c r="C63" s="22" t="str">
        <f>VLOOKUP(B63,[1]!Table3[[Part Number]:[Make and Model]],2,0)</f>
        <v xml:space="preserve">BOBCAT T770 (AT6) BOBCAT T770 (AT6) (2)                                          </v>
      </c>
      <c r="D63" s="22" t="str">
        <f>VLOOKUP(B63,[1]!Table3[[Part Number]:[Part Description]],3,0)</f>
        <v>HYDRAULIC OIL FILTER ELEMENT</v>
      </c>
      <c r="E63" s="23">
        <f>VLOOKUP(B63,'[1]Product by Part Number'!$A:$I,9,0)</f>
        <v>0</v>
      </c>
      <c r="F63" s="24">
        <f>VLOOKUP(B63,[1]!Table3[[Part Number]:[OEM CAD $]],4,0)</f>
        <v>117.99</v>
      </c>
      <c r="G63" s="25">
        <f t="shared" si="1"/>
        <v>0</v>
      </c>
      <c r="H63" s="25">
        <f>VLOOKUP(B63,[1]!Table3[[Part Number]:[GQP CAD $]],5,0)</f>
        <v>44.84</v>
      </c>
      <c r="I63" s="26">
        <f t="shared" si="0"/>
        <v>0</v>
      </c>
    </row>
    <row r="64" spans="2:9" x14ac:dyDescent="0.25">
      <c r="B64" s="62" t="s">
        <v>134</v>
      </c>
      <c r="C64" s="22" t="str">
        <f>VLOOKUP(B64,[1]!Table3[[Part Number]:[Make and Model]],2,0)</f>
        <v xml:space="preserve">CAT 320F L (YBM) CAT 336F L (RKB)                                          </v>
      </c>
      <c r="D64" s="22" t="str">
        <f>VLOOKUP(B64,[1]!Table3[[Part Number]:[Part Description]],3,0)</f>
        <v>HYDRAULIC OIL FILTER</v>
      </c>
      <c r="E64" s="23">
        <f>VLOOKUP(B64,'[1]Product by Part Number'!$A:$I,9,0)</f>
        <v>0</v>
      </c>
      <c r="F64" s="24">
        <f>VLOOKUP(B64,[1]!Table3[[Part Number]:[OEM CAD $]],4,0)</f>
        <v>102.09</v>
      </c>
      <c r="G64" s="25">
        <f t="shared" si="1"/>
        <v>0</v>
      </c>
      <c r="H64" s="25">
        <f>VLOOKUP(B64,[1]!Table3[[Part Number]:[GQP CAD $]],5,0)</f>
        <v>38.79</v>
      </c>
      <c r="I64" s="26">
        <f t="shared" si="0"/>
        <v>0</v>
      </c>
    </row>
    <row r="65" spans="2:9" x14ac:dyDescent="0.25">
      <c r="B65" s="62" t="s">
        <v>135</v>
      </c>
      <c r="C65" s="22" t="str">
        <f>VLOOKUP(B65,[1]!Table3[[Part Number]:[Make and Model]],2,0)</f>
        <v xml:space="preserve">CAT D4 (66J)                                            </v>
      </c>
      <c r="D65" s="22" t="str">
        <f>VLOOKUP(B65,[1]!Table3[[Part Number]:[Part Description]],3,0)</f>
        <v>HYDRAULIC OIL FILTER</v>
      </c>
      <c r="E65" s="23">
        <f>VLOOKUP(B65,'[1]Product by Part Number'!$A:$I,9,0)</f>
        <v>0</v>
      </c>
      <c r="F65" s="24">
        <f>VLOOKUP(B65,[1]!Table3[[Part Number]:[OEM CAD $]],4,0)</f>
        <v>703.78</v>
      </c>
      <c r="G65" s="25">
        <f t="shared" si="1"/>
        <v>0</v>
      </c>
      <c r="H65" s="25">
        <f>VLOOKUP(B65,[1]!Table3[[Part Number]:[GQP CAD $]],5,0)</f>
        <v>267.44</v>
      </c>
      <c r="I65" s="26">
        <f t="shared" si="0"/>
        <v>0</v>
      </c>
    </row>
    <row r="66" spans="2:9" x14ac:dyDescent="0.25">
      <c r="B66" s="62" t="s">
        <v>136</v>
      </c>
      <c r="C66" s="22" t="str">
        <f>VLOOKUP(B66,[1]!Table3[[Part Number]:[Make and Model]],2,0)</f>
        <v xml:space="preserve">CAT 320E L (WBK) CAT 320E L (WBK) (2) CAT 320F L (YBM) CAT 329E L (ZCD) CAT 329F L (ERL) CAT 329F L (ERL) (2) CAT 330F L (MBX) CAT 330F L (HCK) CAT 330F L (HCK) (2) CAT 336F L (RKB)                          </v>
      </c>
      <c r="D66" s="22" t="str">
        <f>VLOOKUP(B66,[1]!Table3[[Part Number]:[Part Description]],3,0)</f>
        <v xml:space="preserve">HYDRAULIC OIL FILTER ELEMENT </v>
      </c>
      <c r="E66" s="23">
        <f>VLOOKUP(B66,'[1]Product by Part Number'!$A:$I,9,0)</f>
        <v>0</v>
      </c>
      <c r="F66" s="24">
        <f>VLOOKUP(B66,[1]!Table3[[Part Number]:[OEM CAD $]],4,0)</f>
        <v>229</v>
      </c>
      <c r="G66" s="25">
        <f t="shared" si="1"/>
        <v>0</v>
      </c>
      <c r="H66" s="25">
        <f>VLOOKUP(B66,[1]!Table3[[Part Number]:[GQP CAD $]],5,0)</f>
        <v>87.02</v>
      </c>
      <c r="I66" s="26">
        <f t="shared" si="0"/>
        <v>0</v>
      </c>
    </row>
    <row r="67" spans="2:9" x14ac:dyDescent="0.25">
      <c r="B67" s="62" t="s">
        <v>38</v>
      </c>
      <c r="C67" s="22" t="str">
        <f>VLOOKUP(B67,[1]!Table3[[Part Number]:[Make and Model]],2,0)</f>
        <v xml:space="preserve">CAT PL61 (WGS) CAT PL61 (WGS) (2) CAT PL61 (WGS) (3)                                        </v>
      </c>
      <c r="D67" s="22" t="str">
        <f>VLOOKUP(B67,[1]!Table3[[Part Number]:[Part Description]],3,0)</f>
        <v>HYDRAULIC OIL FILTER ELEMENT</v>
      </c>
      <c r="E67" s="23">
        <f>VLOOKUP(B67,'[1]Product by Part Number'!$A:$I,9,0)</f>
        <v>0</v>
      </c>
      <c r="F67" s="24">
        <f>VLOOKUP(B67,[1]!Table3[[Part Number]:[OEM CAD $]],4,0)</f>
        <v>150.47</v>
      </c>
      <c r="G67" s="25">
        <f t="shared" si="1"/>
        <v>0</v>
      </c>
      <c r="H67" s="25">
        <f>VLOOKUP(B67,[1]!Table3[[Part Number]:[GQP CAD $]],5,0)</f>
        <v>57.18</v>
      </c>
      <c r="I67" s="26">
        <f t="shared" si="0"/>
        <v>0</v>
      </c>
    </row>
    <row r="68" spans="2:9" x14ac:dyDescent="0.25">
      <c r="B68" s="62" t="s">
        <v>137</v>
      </c>
      <c r="C68" s="22" t="str">
        <f>VLOOKUP(B68,[1]!Table3[[Part Number]:[Make and Model]],2,0)</f>
        <v xml:space="preserve">CAT D3 (1PJ) CAT D5 (3CR) CAT D5 (3CR) (2)                                        </v>
      </c>
      <c r="D68" s="22" t="str">
        <f>VLOOKUP(B68,[1]!Table3[[Part Number]:[Part Description]],3,0)</f>
        <v>HYDRAULIC OIL FILTER</v>
      </c>
      <c r="E68" s="23">
        <f>VLOOKUP(B68,'[1]Product by Part Number'!$A:$I,9,0)</f>
        <v>0</v>
      </c>
      <c r="F68" s="24">
        <f>VLOOKUP(B68,[1]!Table3[[Part Number]:[OEM CAD $]],4,0)</f>
        <v>38.32</v>
      </c>
      <c r="G68" s="25">
        <f t="shared" si="1"/>
        <v>0</v>
      </c>
      <c r="H68" s="25">
        <f>VLOOKUP(B68,[1]!Table3[[Part Number]:[GQP CAD $]],5,0)</f>
        <v>14.56</v>
      </c>
      <c r="I68" s="26">
        <f t="shared" si="0"/>
        <v>0</v>
      </c>
    </row>
    <row r="69" spans="2:9" x14ac:dyDescent="0.25">
      <c r="B69" s="62" t="s">
        <v>138</v>
      </c>
      <c r="C69" s="22" t="str">
        <f>VLOOKUP(B69,[1]!Table3[[Part Number]:[Make and Model]],2,0)</f>
        <v xml:space="preserve">CAT D3 (1PJ)                                            </v>
      </c>
      <c r="D69" s="22" t="str">
        <f>VLOOKUP(B69,[1]!Table3[[Part Number]:[Part Description]],3,0)</f>
        <v xml:space="preserve">HYDRAULIC/TRANSMISSION OIL FILTER </v>
      </c>
      <c r="E69" s="23">
        <f>VLOOKUP(B69,'[1]Product by Part Number'!$A:$I,9,0)</f>
        <v>0</v>
      </c>
      <c r="F69" s="24">
        <f>VLOOKUP(B69,[1]!Table3[[Part Number]:[OEM CAD $]],4,0)</f>
        <v>47.44</v>
      </c>
      <c r="G69" s="25">
        <f t="shared" si="1"/>
        <v>0</v>
      </c>
      <c r="H69" s="25">
        <f>VLOOKUP(B69,[1]!Table3[[Part Number]:[GQP CAD $]],5,0)</f>
        <v>18.03</v>
      </c>
      <c r="I69" s="26">
        <f t="shared" si="0"/>
        <v>0</v>
      </c>
    </row>
    <row r="70" spans="2:9" x14ac:dyDescent="0.25">
      <c r="B70" s="62" t="s">
        <v>139</v>
      </c>
      <c r="C70" s="22" t="str">
        <f>VLOOKUP(B70,[1]!Table3[[Part Number]:[Make and Model]],2,0)</f>
        <v xml:space="preserve">CAT D4 (66J)                                            </v>
      </c>
      <c r="D70" s="22" t="str">
        <f>VLOOKUP(B70,[1]!Table3[[Part Number]:[Part Description]],3,0)</f>
        <v xml:space="preserve">HYDRAULIC OIL FILTER ELEMENT </v>
      </c>
      <c r="E70" s="23">
        <f>VLOOKUP(B70,'[1]Product by Part Number'!$A:$I,9,0)</f>
        <v>0</v>
      </c>
      <c r="F70" s="24">
        <f>VLOOKUP(B70,[1]!Table3[[Part Number]:[OEM CAD $]],4,0)</f>
        <v>93.49</v>
      </c>
      <c r="G70" s="25">
        <f t="shared" si="1"/>
        <v>0</v>
      </c>
      <c r="H70" s="25">
        <f>VLOOKUP(B70,[1]!Table3[[Part Number]:[GQP CAD $]],5,0)</f>
        <v>35.53</v>
      </c>
      <c r="I70" s="26">
        <f t="shared" si="0"/>
        <v>0</v>
      </c>
    </row>
    <row r="71" spans="2:9" x14ac:dyDescent="0.25">
      <c r="B71" s="62" t="s">
        <v>140</v>
      </c>
      <c r="C71" s="22" t="str">
        <f>VLOOKUP(B71,[1]!Table3[[Part Number]:[Make and Model]],2,0)</f>
        <v xml:space="preserve">CAT 303.5E                                            </v>
      </c>
      <c r="D71" s="22" t="str">
        <f>VLOOKUP(B71,[1]!Table3[[Part Number]:[Part Description]],3,0)</f>
        <v>HYDRAULIC OIL FILTER</v>
      </c>
      <c r="E71" s="23">
        <f>VLOOKUP(B71,'[1]Product by Part Number'!$A:$I,9,0)</f>
        <v>0</v>
      </c>
      <c r="F71" s="24">
        <f>VLOOKUP(B71,[1]!Table3[[Part Number]:[OEM CAD $]],4,0)</f>
        <v>130.47</v>
      </c>
      <c r="G71" s="25">
        <f t="shared" si="1"/>
        <v>0</v>
      </c>
      <c r="H71" s="25">
        <f>VLOOKUP(B71,[1]!Table3[[Part Number]:[GQP CAD $]],5,0)</f>
        <v>49.58</v>
      </c>
      <c r="I71" s="26">
        <f t="shared" si="0"/>
        <v>0</v>
      </c>
    </row>
    <row r="72" spans="2:9" x14ac:dyDescent="0.25">
      <c r="B72" s="62" t="s">
        <v>40</v>
      </c>
      <c r="C72" s="22" t="str">
        <f>VLOOKUP(B72,[1]!Table3[[Part Number]:[Make and Model]],2,0)</f>
        <v xml:space="preserve">CAT D6N LGP (GHS)                                            </v>
      </c>
      <c r="D72" s="22" t="str">
        <f>VLOOKUP(B72,[1]!Table3[[Part Number]:[Part Description]],3,0)</f>
        <v xml:space="preserve">HYDRAULIC OIL FILTER ELEMENT </v>
      </c>
      <c r="E72" s="23">
        <f>VLOOKUP(B72,'[1]Product by Part Number'!$A:$I,9,0)</f>
        <v>0</v>
      </c>
      <c r="F72" s="24">
        <f>VLOOKUP(B72,[1]!Table3[[Part Number]:[OEM CAD $]],4,0)</f>
        <v>204.36</v>
      </c>
      <c r="G72" s="25">
        <f t="shared" si="1"/>
        <v>0</v>
      </c>
      <c r="H72" s="25">
        <f>VLOOKUP(B72,[1]!Table3[[Part Number]:[GQP CAD $]],5,0)</f>
        <v>77.66</v>
      </c>
      <c r="I72" s="26">
        <f t="shared" si="0"/>
        <v>0</v>
      </c>
    </row>
    <row r="73" spans="2:9" x14ac:dyDescent="0.25">
      <c r="B73" s="62" t="s">
        <v>141</v>
      </c>
      <c r="C73" s="22" t="str">
        <f>VLOOKUP(B73,[1]!Table3[[Part Number]:[Make and Model]],2,0)</f>
        <v xml:space="preserve">CAT 303.5E                                            </v>
      </c>
      <c r="D73" s="22" t="str">
        <f>VLOOKUP(B73,[1]!Table3[[Part Number]:[Part Description]],3,0)</f>
        <v>HYDRAULIC PUMP</v>
      </c>
      <c r="E73" s="23">
        <f>VLOOKUP(B73,'[1]Product by Part Number'!$A:$I,9,0)</f>
        <v>0</v>
      </c>
      <c r="F73" s="24">
        <f>VLOOKUP(B73,[1]!Table3[[Part Number]:[OEM CAD $]],4,0)</f>
        <v>7622.73</v>
      </c>
      <c r="G73" s="25">
        <f t="shared" si="1"/>
        <v>0</v>
      </c>
      <c r="H73" s="25">
        <f>VLOOKUP(B73,[1]!Table3[[Part Number]:[GQP CAD $]],5,0)</f>
        <v>3811.37</v>
      </c>
      <c r="I73" s="26">
        <f t="shared" si="0"/>
        <v>0</v>
      </c>
    </row>
    <row r="74" spans="2:9" x14ac:dyDescent="0.25">
      <c r="B74" s="62" t="s">
        <v>142</v>
      </c>
      <c r="C74" s="22" t="str">
        <f>VLOOKUP(B74,[1]!Table3[[Part Number]:[Make and Model]],2,0)</f>
        <v xml:space="preserve">CAT 299D (DX2)                                            </v>
      </c>
      <c r="D74" s="22" t="str">
        <f>VLOOKUP(B74,[1]!Table3[[Part Number]:[Part Description]],3,0)</f>
        <v>HYDRAULIC OIL FILTER ELEMENT</v>
      </c>
      <c r="E74" s="23">
        <f>VLOOKUP(B74,'[1]Product by Part Number'!$A:$I,9,0)</f>
        <v>0</v>
      </c>
      <c r="F74" s="24">
        <f>VLOOKUP(B74,[1]!Table3[[Part Number]:[OEM CAD $]],4,0)</f>
        <v>72.069999999999993</v>
      </c>
      <c r="G74" s="25">
        <f t="shared" si="1"/>
        <v>0</v>
      </c>
      <c r="H74" s="25">
        <f>VLOOKUP(B74,[1]!Table3[[Part Number]:[GQP CAD $]],5,0)</f>
        <v>27.39</v>
      </c>
      <c r="I74" s="26">
        <f t="shared" si="0"/>
        <v>0</v>
      </c>
    </row>
    <row r="75" spans="2:9" x14ac:dyDescent="0.25">
      <c r="B75" s="62" t="s">
        <v>143</v>
      </c>
      <c r="C75" s="22" t="str">
        <f>VLOOKUP(B75,[1]!Table3[[Part Number]:[Make and Model]],2,0)</f>
        <v xml:space="preserve">CAT 330 (LHW) CAT 330 (LHW) (2) CAT 330 (LHW) (3) CAT 330 (LHW) (4)                                      </v>
      </c>
      <c r="D75" s="22" t="str">
        <f>VLOOKUP(B75,[1]!Table3[[Part Number]:[Part Description]],3,0)</f>
        <v>HYDRAULIC OIL FILTER</v>
      </c>
      <c r="E75" s="23">
        <f>VLOOKUP(B75,'[1]Product by Part Number'!$A:$I,9,0)</f>
        <v>0</v>
      </c>
      <c r="F75" s="24">
        <f>VLOOKUP(B75,[1]!Table3[[Part Number]:[OEM CAD $]],4,0)</f>
        <v>159.19999999999999</v>
      </c>
      <c r="G75" s="25">
        <f t="shared" si="1"/>
        <v>0</v>
      </c>
      <c r="H75" s="25">
        <f>VLOOKUP(B75,[1]!Table3[[Part Number]:[GQP CAD $]],5,0)</f>
        <v>60.5</v>
      </c>
      <c r="I75" s="26">
        <f t="shared" si="0"/>
        <v>0</v>
      </c>
    </row>
    <row r="76" spans="2:9" x14ac:dyDescent="0.25">
      <c r="B76" s="62" t="s">
        <v>144</v>
      </c>
      <c r="C76" s="22" t="str">
        <f>VLOOKUP(B76,[1]!Table3[[Part Number]:[Make and Model]],2,0)</f>
        <v xml:space="preserve">CAT D7G (92V) CAT D7G (3ZD) CAT D7G (3ZD) (2)                                        </v>
      </c>
      <c r="D76" s="22" t="str">
        <f>VLOOKUP(B76,[1]!Table3[[Part Number]:[Part Description]],3,0)</f>
        <v>HYDRAULIC OIL FILTER ELEMENT</v>
      </c>
      <c r="E76" s="23">
        <f>VLOOKUP(B76,'[1]Product by Part Number'!$A:$I,9,0)</f>
        <v>0</v>
      </c>
      <c r="F76" s="24">
        <f>VLOOKUP(B76,[1]!Table3[[Part Number]:[OEM CAD $]],4,0)</f>
        <v>131.11000000000001</v>
      </c>
      <c r="G76" s="25">
        <f t="shared" si="1"/>
        <v>0</v>
      </c>
      <c r="H76" s="25">
        <f>VLOOKUP(B76,[1]!Table3[[Part Number]:[GQP CAD $]],5,0)</f>
        <v>49.82</v>
      </c>
      <c r="I76" s="26">
        <f t="shared" si="0"/>
        <v>0</v>
      </c>
    </row>
    <row r="77" spans="2:9" x14ac:dyDescent="0.25">
      <c r="B77" s="62" t="s">
        <v>145</v>
      </c>
      <c r="C77" s="22" t="str">
        <f>VLOOKUP(B77,[1]!Table3[[Part Number]:[Make and Model]],2,0)</f>
        <v xml:space="preserve">CAT D6 (RDC) CAT D6N LGP (PBA) CAT D6N LGP (PBA) (2) CAT D6N LGP (SGG) CAT D6N LGP (SGG) (2) CAT D6T (MH7) CAT 561N (CPH) CAT 561N (CPH) (2) CAT 561N (CPH) (3) CAT 561N (CPH) (4) CAT 561N (CPH) (5)                        </v>
      </c>
      <c r="D77" s="22" t="str">
        <f>VLOOKUP(B77,[1]!Table3[[Part Number]:[Part Description]],3,0)</f>
        <v>HYDRAULIC OIL FILTER ELEMENT</v>
      </c>
      <c r="E77" s="23">
        <f>VLOOKUP(B77,'[1]Product by Part Number'!$A:$I,9,0)</f>
        <v>0</v>
      </c>
      <c r="F77" s="24">
        <f>VLOOKUP(B77,[1]!Table3[[Part Number]:[OEM CAD $]],4,0)</f>
        <v>171.55</v>
      </c>
      <c r="G77" s="25">
        <f t="shared" si="1"/>
        <v>0</v>
      </c>
      <c r="H77" s="25">
        <f>VLOOKUP(B77,[1]!Table3[[Part Number]:[GQP CAD $]],5,0)</f>
        <v>65.19</v>
      </c>
      <c r="I77" s="26">
        <f t="shared" si="0"/>
        <v>0</v>
      </c>
    </row>
    <row r="78" spans="2:9" x14ac:dyDescent="0.25">
      <c r="B78" s="62" t="s">
        <v>146</v>
      </c>
      <c r="C78" s="22" t="str">
        <f>VLOOKUP(B78,[1]!Table3[[Part Number]:[Make and Model]],2,0)</f>
        <v xml:space="preserve">CAT 320 (HEX) CAT 320 (MYK) CAT 320 (MYK) (2) CAT 330 (LHW) CAT 330 (LHW) (2) CAT 330 (LHW) (3) CAT 330 (LHW) (4) CAT 330 (WCH) CAT 330 (WCH) (2) CAT 330 (WCH) (3) CAT 330 (WCH) (4) CAT 330 (WCH) (5) CAT 330 (WCH) (6)                    </v>
      </c>
      <c r="D78" s="22" t="str">
        <f>VLOOKUP(B78,[1]!Table3[[Part Number]:[Part Description]],3,0)</f>
        <v>HYDRAULIC OIL FILTER ELEMENT</v>
      </c>
      <c r="E78" s="23">
        <f>VLOOKUP(B78,'[1]Product by Part Number'!$A:$I,9,0)</f>
        <v>0</v>
      </c>
      <c r="F78" s="24">
        <f>VLOOKUP(B78,[1]!Table3[[Part Number]:[OEM CAD $]],4,0)</f>
        <v>283.86</v>
      </c>
      <c r="G78" s="25">
        <f t="shared" si="1"/>
        <v>0</v>
      </c>
      <c r="H78" s="25">
        <f>VLOOKUP(B78,[1]!Table3[[Part Number]:[GQP CAD $]],5,0)</f>
        <v>107.87</v>
      </c>
      <c r="I78" s="26">
        <f t="shared" si="0"/>
        <v>0</v>
      </c>
    </row>
    <row r="79" spans="2:9" x14ac:dyDescent="0.25">
      <c r="B79" s="62" t="s">
        <v>147</v>
      </c>
      <c r="C79" s="22" t="str">
        <f>VLOOKUP(B79,[1]!Table3[[Part Number]:[Make and Model]],2,0)</f>
        <v xml:space="preserve">CAT 320F L (YBM) CAT 329E L (ZCD)                                          </v>
      </c>
      <c r="D79" s="22" t="str">
        <f>VLOOKUP(B79,[1]!Table3[[Part Number]:[Part Description]],3,0)</f>
        <v>HYDRAULIC OIL FILTER</v>
      </c>
      <c r="E79" s="23">
        <f>VLOOKUP(B79,'[1]Product by Part Number'!$A:$I,9,0)</f>
        <v>0</v>
      </c>
      <c r="F79" s="24">
        <f>VLOOKUP(B79,[1]!Table3[[Part Number]:[OEM CAD $]],4,0)</f>
        <v>106.56</v>
      </c>
      <c r="G79" s="25">
        <f t="shared" si="1"/>
        <v>0</v>
      </c>
      <c r="H79" s="25">
        <f>VLOOKUP(B79,[1]!Table3[[Part Number]:[GQP CAD $]],5,0)</f>
        <v>40.49</v>
      </c>
      <c r="I79" s="26">
        <f t="shared" si="0"/>
        <v>0</v>
      </c>
    </row>
    <row r="80" spans="2:9" x14ac:dyDescent="0.25">
      <c r="B80" s="62" t="s">
        <v>148</v>
      </c>
      <c r="C80" s="22" t="str">
        <f>VLOOKUP(B80,[1]!Table3[[Part Number]:[Make and Model]],2,0)</f>
        <v xml:space="preserve">CAT D6N LGP (GHS) CAT D6N LGP (PBA) CAT D6N LGP (PBA) (2) CAT D6N LGP (SGG) CAT D6N LGP (SGG) (2)                                    </v>
      </c>
      <c r="D80" s="22" t="str">
        <f>VLOOKUP(B80,[1]!Table3[[Part Number]:[Part Description]],3,0)</f>
        <v>HYDRAULIC OIL FILTER</v>
      </c>
      <c r="E80" s="23">
        <f>VLOOKUP(B80,'[1]Product by Part Number'!$A:$I,9,0)</f>
        <v>0</v>
      </c>
      <c r="F80" s="24">
        <f>VLOOKUP(B80,[1]!Table3[[Part Number]:[OEM CAD $]],4,0)</f>
        <v>123.35</v>
      </c>
      <c r="G80" s="25">
        <f t="shared" ref="G80:G115" si="2">E80*F80</f>
        <v>0</v>
      </c>
      <c r="H80" s="25">
        <f>VLOOKUP(B80,[1]!Table3[[Part Number]:[GQP CAD $]],5,0)</f>
        <v>46.87</v>
      </c>
      <c r="I80" s="26">
        <f t="shared" si="0"/>
        <v>0</v>
      </c>
    </row>
    <row r="81" spans="2:9" x14ac:dyDescent="0.25">
      <c r="B81" s="62">
        <v>6667352</v>
      </c>
      <c r="C81" s="22" t="str">
        <f>VLOOKUP(B81,[1]!Table3[[Part Number]:[Make and Model]],2,0)</f>
        <v xml:space="preserve">BOBCAT T750 (ANK) BOBCAT S650 (A3N)                                          </v>
      </c>
      <c r="D81" s="22" t="str">
        <f>VLOOKUP(B81,[1]!Table3[[Part Number]:[Part Description]],3,0)</f>
        <v>FUEL WATER SEPARATOR FILTER</v>
      </c>
      <c r="E81" s="23">
        <f>VLOOKUP(B81,'[1]Product by Part Number'!$A:$I,9,0)</f>
        <v>2</v>
      </c>
      <c r="F81" s="24">
        <f>VLOOKUP(B81,[1]!Table3[[Part Number]:[OEM CAD $]],4,0)</f>
        <v>34.04</v>
      </c>
      <c r="G81" s="25">
        <f t="shared" si="2"/>
        <v>68.08</v>
      </c>
      <c r="H81" s="25">
        <f>VLOOKUP(B81,[1]!Table3[[Part Number]:[GQP CAD $]],5,0)</f>
        <v>12.94</v>
      </c>
      <c r="I81" s="26">
        <f t="shared" si="0"/>
        <v>25.88</v>
      </c>
    </row>
    <row r="82" spans="2:9" x14ac:dyDescent="0.25">
      <c r="B82" s="62">
        <v>6678233</v>
      </c>
      <c r="C82" s="22" t="str">
        <f>VLOOKUP(B82,[1]!Table3[[Part Number]:[Make and Model]],2,0)</f>
        <v xml:space="preserve">BOBCAT T750 (ANK) BOBCAT T750 (ATF) BOBCAT S650 (A3N) BOBCAT T770 (AT6) BOBCAT T770 (AT6) (2)                                    </v>
      </c>
      <c r="D82" s="22" t="str">
        <f>VLOOKUP(B82,[1]!Table3[[Part Number]:[Part Description]],3,0)</f>
        <v>ENGINE OIL FILTER</v>
      </c>
      <c r="E82" s="23">
        <f>VLOOKUP(B82,'[1]Product by Part Number'!$A:$I,9,0)</f>
        <v>5</v>
      </c>
      <c r="F82" s="24">
        <f>VLOOKUP(B82,[1]!Table3[[Part Number]:[OEM CAD $]],4,0)</f>
        <v>20.14</v>
      </c>
      <c r="G82" s="25">
        <f t="shared" si="2"/>
        <v>100.7</v>
      </c>
      <c r="H82" s="25">
        <f>VLOOKUP(B82,[1]!Table3[[Part Number]:[GQP CAD $]],5,0)</f>
        <v>7.65</v>
      </c>
      <c r="I82" s="26">
        <f t="shared" si="0"/>
        <v>38.25</v>
      </c>
    </row>
    <row r="83" spans="2:9" x14ac:dyDescent="0.25">
      <c r="B83" s="62">
        <v>7400454</v>
      </c>
      <c r="C83" s="22" t="str">
        <f>VLOOKUP(B83,[1]!Table3[[Part Number]:[Make and Model]],2,0)</f>
        <v xml:space="preserve">BOBCAT T750 (ATF)                                            </v>
      </c>
      <c r="D83" s="22" t="str">
        <f>VLOOKUP(B83,[1]!Table3[[Part Number]:[Part Description]],3,0)</f>
        <v>FUEL WATER SEPARATOR FILTER</v>
      </c>
      <c r="E83" s="23">
        <f>VLOOKUP(B83,'[1]Product by Part Number'!$A:$I,9,0)</f>
        <v>1</v>
      </c>
      <c r="F83" s="24">
        <f>VLOOKUP(B83,[1]!Table3[[Part Number]:[OEM CAD $]],4,0)</f>
        <v>135.49</v>
      </c>
      <c r="G83" s="25">
        <f t="shared" si="2"/>
        <v>135.49</v>
      </c>
      <c r="H83" s="25">
        <f>VLOOKUP(B83,[1]!Table3[[Part Number]:[GQP CAD $]],5,0)</f>
        <v>51.49</v>
      </c>
      <c r="I83" s="26">
        <f t="shared" si="0"/>
        <v>51.49</v>
      </c>
    </row>
    <row r="84" spans="2:9" x14ac:dyDescent="0.25">
      <c r="B84" s="62">
        <v>46825328</v>
      </c>
      <c r="C84" s="22" t="str">
        <f>VLOOKUP(B84,[1]!Table3[[Part Number]:[Make and Model]],2,0)</f>
        <v xml:space="preserve">BOBCAT T770 (AT6) BOBCAT T770 (AT6) (2)                                          </v>
      </c>
      <c r="D84" s="22" t="str">
        <f>VLOOKUP(B84,[1]!Table3[[Part Number]:[Part Description]],3,0)</f>
        <v>FUEL WATER SEPARATOR FILTER</v>
      </c>
      <c r="E84" s="23">
        <f>VLOOKUP(B84,'[1]Product by Part Number'!$A:$I,9,0)</f>
        <v>2</v>
      </c>
      <c r="F84" s="24">
        <f>VLOOKUP(B84,[1]!Table3[[Part Number]:[OEM CAD $]],4,0)</f>
        <v>150.49</v>
      </c>
      <c r="G84" s="25">
        <f t="shared" si="2"/>
        <v>300.98</v>
      </c>
      <c r="H84" s="25">
        <f>VLOOKUP(B84,[1]!Table3[[Part Number]:[GQP CAD $]],5,0)</f>
        <v>57.19</v>
      </c>
      <c r="I84" s="26">
        <f t="shared" si="0"/>
        <v>114.38</v>
      </c>
    </row>
    <row r="85" spans="2:9" x14ac:dyDescent="0.25">
      <c r="B85" s="62" t="s">
        <v>149</v>
      </c>
      <c r="C85" s="22" t="str">
        <f>VLOOKUP(B85,[1]!Table3[[Part Number]:[Make and Model]],2,0)</f>
        <v xml:space="preserve">CAT D5 (3CR) CAT D5 (3CR) (2) CAT 561M (1KW)                                        </v>
      </c>
      <c r="D85" s="22" t="str">
        <f>VLOOKUP(B85,[1]!Table3[[Part Number]:[Part Description]],3,0)</f>
        <v>FUEL WATER SEPARATOR</v>
      </c>
      <c r="E85" s="23">
        <f>VLOOKUP(B85,'[1]Product by Part Number'!$A:$I,9,0)</f>
        <v>3</v>
      </c>
      <c r="F85" s="24">
        <f>VLOOKUP(B85,[1]!Table3[[Part Number]:[OEM CAD $]],4,0)</f>
        <v>52.82</v>
      </c>
      <c r="G85" s="25">
        <f t="shared" si="2"/>
        <v>158.46</v>
      </c>
      <c r="H85" s="25">
        <f>VLOOKUP(B85,[1]!Table3[[Part Number]:[GQP CAD $]],5,0)</f>
        <v>20.07</v>
      </c>
      <c r="I85" s="26">
        <f t="shared" si="0"/>
        <v>60.21</v>
      </c>
    </row>
    <row r="86" spans="2:9" x14ac:dyDescent="0.25">
      <c r="B86" s="62" t="s">
        <v>177</v>
      </c>
      <c r="C86" s="22" t="str">
        <f>VLOOKUP(B86,[1]!Table3[[Part Number]:[Make and Model]],2,0)</f>
        <v xml:space="preserve">CAT 561M (1KW)                                            </v>
      </c>
      <c r="D86" s="22" t="str">
        <f>VLOOKUP(B86,[1]!Table3[[Part Number]:[Part Description]],3,0)</f>
        <v>TRANSMISSION FILTER</v>
      </c>
      <c r="E86" s="23">
        <f>VLOOKUP(B86,'[1]Product by Part Number'!$A:$I,9,0)</f>
        <v>1</v>
      </c>
      <c r="F86" s="24">
        <f>VLOOKUP(B86,[1]!Table3[[Part Number]:[OEM CAD $]],4,0)</f>
        <v>113.9</v>
      </c>
      <c r="G86" s="25">
        <f t="shared" si="2"/>
        <v>113.9</v>
      </c>
      <c r="H86" s="25">
        <f>VLOOKUP(B86,[1]!Table3[[Part Number]:[GQP CAD $]],5,0)</f>
        <v>43.28</v>
      </c>
      <c r="I86" s="26">
        <f t="shared" si="0"/>
        <v>43.28</v>
      </c>
    </row>
    <row r="87" spans="2:9" x14ac:dyDescent="0.25">
      <c r="B87" s="62" t="s">
        <v>150</v>
      </c>
      <c r="C87" s="22" t="str">
        <f>VLOOKUP(B87,[1]!Table3[[Part Number]:[Make and Model]],2,0)</f>
        <v xml:space="preserve">CAT 561N (CPH) CAT 561N (CPH) (2) CAT 561N (CPH) (3) CAT 561N (CPH) (4) CAT 561N (CPH) (5)                                    </v>
      </c>
      <c r="D87" s="22" t="str">
        <f>VLOOKUP(B87,[1]!Table3[[Part Number]:[Part Description]],3,0)</f>
        <v>FUEL WATER SEPARATOR FILTER</v>
      </c>
      <c r="E87" s="23">
        <f>VLOOKUP(B87,'[1]Product by Part Number'!$A:$I,9,0)</f>
        <v>5</v>
      </c>
      <c r="F87" s="24">
        <f>VLOOKUP(B87,[1]!Table3[[Part Number]:[OEM CAD $]],4,0)</f>
        <v>60.23</v>
      </c>
      <c r="G87" s="25">
        <f t="shared" si="2"/>
        <v>301.14999999999998</v>
      </c>
      <c r="H87" s="25">
        <f>VLOOKUP(B87,[1]!Table3[[Part Number]:[GQP CAD $]],5,0)</f>
        <v>22.89</v>
      </c>
      <c r="I87" s="26">
        <f t="shared" si="0"/>
        <v>114.45</v>
      </c>
    </row>
    <row r="88" spans="2:9" x14ac:dyDescent="0.25">
      <c r="B88" s="62" t="s">
        <v>151</v>
      </c>
      <c r="C88" s="22" t="str">
        <f>VLOOKUP(B88,[1]!Table3[[Part Number]:[Make and Model]],2,0)</f>
        <v xml:space="preserve">CAT 303.5E                                            </v>
      </c>
      <c r="D88" s="22" t="str">
        <f>VLOOKUP(B88,[1]!Table3[[Part Number]:[Part Description]],3,0)</f>
        <v xml:space="preserve">FUEL WATER SEPARATOR </v>
      </c>
      <c r="E88" s="23">
        <f>VLOOKUP(B88,'[1]Product by Part Number'!$A:$I,9,0)</f>
        <v>1</v>
      </c>
      <c r="F88" s="24">
        <f>VLOOKUP(B88,[1]!Table3[[Part Number]:[OEM CAD $]],4,0)</f>
        <v>57.5</v>
      </c>
      <c r="G88" s="25">
        <f t="shared" si="2"/>
        <v>57.5</v>
      </c>
      <c r="H88" s="25">
        <f>VLOOKUP(B88,[1]!Table3[[Part Number]:[GQP CAD $]],5,0)</f>
        <v>21.85</v>
      </c>
      <c r="I88" s="26">
        <f t="shared" si="0"/>
        <v>21.85</v>
      </c>
    </row>
    <row r="89" spans="2:9" x14ac:dyDescent="0.25">
      <c r="B89" s="62" t="s">
        <v>152</v>
      </c>
      <c r="C89" s="22" t="str">
        <f>VLOOKUP(B89,[1]!Table3[[Part Number]:[Make and Model]],2,0)</f>
        <v xml:space="preserve">CAT D3 (1PJ)                                            </v>
      </c>
      <c r="D89" s="22" t="str">
        <f>VLOOKUP(B89,[1]!Table3[[Part Number]:[Part Description]],3,0)</f>
        <v>ENGINE OIL FILTER</v>
      </c>
      <c r="E89" s="23">
        <f>VLOOKUP(B89,'[1]Product by Part Number'!$A:$I,9,0)</f>
        <v>1</v>
      </c>
      <c r="F89" s="24">
        <f>VLOOKUP(B89,[1]!Table3[[Part Number]:[OEM CAD $]],4,0)</f>
        <v>27.68</v>
      </c>
      <c r="G89" s="25">
        <f t="shared" si="2"/>
        <v>27.68</v>
      </c>
      <c r="H89" s="25">
        <f>VLOOKUP(B89,[1]!Table3[[Part Number]:[GQP CAD $]],5,0)</f>
        <v>10.52</v>
      </c>
      <c r="I89" s="26">
        <f t="shared" si="0"/>
        <v>10.52</v>
      </c>
    </row>
    <row r="90" spans="2:9" x14ac:dyDescent="0.25">
      <c r="B90" s="62" t="s">
        <v>153</v>
      </c>
      <c r="C90" s="22" t="str">
        <f>VLOOKUP(B90,[1]!Table3[[Part Number]:[Make and Model]],2,0)</f>
        <v xml:space="preserve">CAT 561N (CPH) CAT 561N (CPH) (2) CAT 561N (CPH) (3) CAT 561N (CPH) (4) CAT 561N (CPH) (5)                                    </v>
      </c>
      <c r="D90" s="22" t="str">
        <f>VLOOKUP(B90,[1]!Table3[[Part Number]:[Part Description]],3,0)</f>
        <v>FUEL FILTER</v>
      </c>
      <c r="E90" s="23">
        <f>VLOOKUP(B90,'[1]Product by Part Number'!$A:$I,9,0)</f>
        <v>10</v>
      </c>
      <c r="F90" s="24">
        <f>VLOOKUP(B90,[1]!Table3[[Part Number]:[OEM CAD $]],4,0)</f>
        <v>51.52</v>
      </c>
      <c r="G90" s="25">
        <f t="shared" si="2"/>
        <v>515.20000000000005</v>
      </c>
      <c r="H90" s="25">
        <f>VLOOKUP(B90,[1]!Table3[[Part Number]:[GQP CAD $]],5,0)</f>
        <v>19.579999999999998</v>
      </c>
      <c r="I90" s="26">
        <f t="shared" si="0"/>
        <v>195.8</v>
      </c>
    </row>
    <row r="91" spans="2:9" x14ac:dyDescent="0.25">
      <c r="B91" s="62" t="s">
        <v>36</v>
      </c>
      <c r="C91" s="22" t="str">
        <f>VLOOKUP(B91,[1]!Table3[[Part Number]:[Make and Model]],2,0)</f>
        <v xml:space="preserve">CAT 336F L (RKB) CAT D6 (RDC) CAT D6T (MH7)                                        </v>
      </c>
      <c r="D91" s="22" t="str">
        <f>VLOOKUP(B91,[1]!Table3[[Part Number]:[Part Description]],3,0)</f>
        <v xml:space="preserve">FUEL FILTER </v>
      </c>
      <c r="E91" s="23">
        <f>VLOOKUP(B91,'[1]Product by Part Number'!$A:$I,9,0)</f>
        <v>6</v>
      </c>
      <c r="F91" s="24">
        <f>VLOOKUP(B91,[1]!Table3[[Part Number]:[OEM CAD $]],4,0)</f>
        <v>51.52</v>
      </c>
      <c r="G91" s="25">
        <f t="shared" si="2"/>
        <v>309.12</v>
      </c>
      <c r="H91" s="25">
        <f>VLOOKUP(B91,[1]!Table3[[Part Number]:[GQP CAD $]],5,0)</f>
        <v>19.579999999999998</v>
      </c>
      <c r="I91" s="26">
        <f t="shared" si="0"/>
        <v>117.48</v>
      </c>
    </row>
    <row r="92" spans="2:9" x14ac:dyDescent="0.25">
      <c r="B92" s="62" t="s">
        <v>154</v>
      </c>
      <c r="C92" s="22" t="str">
        <f>VLOOKUP(B92,[1]!Table3[[Part Number]:[Make and Model]],2,0)</f>
        <v xml:space="preserve">CAT D4 (66J)                                            </v>
      </c>
      <c r="D92" s="22" t="str">
        <f>VLOOKUP(B92,[1]!Table3[[Part Number]:[Part Description]],3,0)</f>
        <v>SECONDARY FUEL FILTER</v>
      </c>
      <c r="E92" s="23">
        <f>VLOOKUP(B92,'[1]Product by Part Number'!$A:$I,9,0)</f>
        <v>1</v>
      </c>
      <c r="F92" s="24">
        <f>VLOOKUP(B92,[1]!Table3[[Part Number]:[OEM CAD $]],4,0)</f>
        <v>42.69</v>
      </c>
      <c r="G92" s="25">
        <f t="shared" si="2"/>
        <v>42.69</v>
      </c>
      <c r="H92" s="25">
        <f>VLOOKUP(B92,[1]!Table3[[Part Number]:[GQP CAD $]],5,0)</f>
        <v>16.22</v>
      </c>
      <c r="I92" s="26">
        <f t="shared" si="0"/>
        <v>16.22</v>
      </c>
    </row>
    <row r="93" spans="2:9" x14ac:dyDescent="0.25">
      <c r="B93" s="62" t="s">
        <v>39</v>
      </c>
      <c r="C93" s="22" t="str">
        <f>VLOOKUP(B93,[1]!Table3[[Part Number]:[Make and Model]],2,0)</f>
        <v xml:space="preserve">CAT D3 (1PJ) CAT D7G (92V) CAT D7G (3ZD) CAT D7G (3ZD) (2) CAT 561 (85H) CAT 561 (92J) CAT 561 (92J) (2)                                </v>
      </c>
      <c r="D93" s="22" t="str">
        <f>VLOOKUP(B93,[1]!Table3[[Part Number]:[Part Description]],3,0)</f>
        <v>FUEL FILTER</v>
      </c>
      <c r="E93" s="23">
        <f>VLOOKUP(B93,'[1]Product by Part Number'!$A:$I,9,0)</f>
        <v>7</v>
      </c>
      <c r="F93" s="24">
        <f>VLOOKUP(B93,[1]!Table3[[Part Number]:[OEM CAD $]],4,0)</f>
        <v>42.69</v>
      </c>
      <c r="G93" s="25">
        <f t="shared" si="2"/>
        <v>298.83</v>
      </c>
      <c r="H93" s="25">
        <f>VLOOKUP(B93,[1]!Table3[[Part Number]:[GQP CAD $]],5,0)</f>
        <v>16.22</v>
      </c>
      <c r="I93" s="26">
        <f t="shared" si="0"/>
        <v>113.54</v>
      </c>
    </row>
    <row r="94" spans="2:9" x14ac:dyDescent="0.25">
      <c r="B94" s="62" t="s">
        <v>155</v>
      </c>
      <c r="C94" s="22" t="str">
        <f>VLOOKUP(B94,[1]!Table3[[Part Number]:[Make and Model]],2,0)</f>
        <v xml:space="preserve">CAT D5 (3CR) CAT D5 (3CR) (2) CAT D6N LGP (GHS) CAT 561M (1KW) CAT PL61 (WGS) CAT PL61 (WGS) (2) CAT PL61 (WGS) (3)                                </v>
      </c>
      <c r="D94" s="22" t="str">
        <f>VLOOKUP(B94,[1]!Table3[[Part Number]:[Part Description]],3,0)</f>
        <v>PRIMARY FUEL FILTER</v>
      </c>
      <c r="E94" s="23">
        <f>VLOOKUP(B94,'[1]Product by Part Number'!$A:$I,9,0)</f>
        <v>8</v>
      </c>
      <c r="F94" s="24">
        <f>VLOOKUP(B94,[1]!Table3[[Part Number]:[OEM CAD $]],4,0)</f>
        <v>47.05</v>
      </c>
      <c r="G94" s="25">
        <f t="shared" si="2"/>
        <v>376.4</v>
      </c>
      <c r="H94" s="25">
        <f>VLOOKUP(B94,[1]!Table3[[Part Number]:[GQP CAD $]],5,0)</f>
        <v>17.88</v>
      </c>
      <c r="I94" s="26">
        <f t="shared" si="0"/>
        <v>143.04</v>
      </c>
    </row>
    <row r="95" spans="2:9" x14ac:dyDescent="0.25">
      <c r="B95" s="62" t="s">
        <v>156</v>
      </c>
      <c r="C95" s="22" t="str">
        <f>VLOOKUP(B95,[1]!Table3[[Part Number]:[Make and Model]],2,0)</f>
        <v xml:space="preserve">CAT D5 (3CR) CAT D5 (3CR) (2)                                          </v>
      </c>
      <c r="D95" s="22" t="str">
        <f>VLOOKUP(B95,[1]!Table3[[Part Number]:[Part Description]],3,0)</f>
        <v>SECONDARY FUEL FILTER</v>
      </c>
      <c r="E95" s="23">
        <f>VLOOKUP(B95,'[1]Product by Part Number'!$A:$I,9,0)</f>
        <v>2</v>
      </c>
      <c r="F95" s="24">
        <f>VLOOKUP(B95,[1]!Table3[[Part Number]:[OEM CAD $]],4,0)</f>
        <v>67.900000000000006</v>
      </c>
      <c r="G95" s="25">
        <f t="shared" si="2"/>
        <v>135.80000000000001</v>
      </c>
      <c r="H95" s="25">
        <f>VLOOKUP(B95,[1]!Table3[[Part Number]:[GQP CAD $]],5,0)</f>
        <v>25.8</v>
      </c>
      <c r="I95" s="26">
        <f t="shared" si="0"/>
        <v>51.6</v>
      </c>
    </row>
    <row r="96" spans="2:9" x14ac:dyDescent="0.25">
      <c r="B96" s="62" t="s">
        <v>157</v>
      </c>
      <c r="C96" s="22" t="str">
        <f>VLOOKUP(B96,[1]!Table3[[Part Number]:[Make and Model]],2,0)</f>
        <v xml:space="preserve">CAT D4 (66J) CAT D5 (3CR) CAT D5 (3CR) (2) CAT 561 (85H) CAT 561 (92J) CAT 561 (92J) (2) CAT 561M (1KW)                                </v>
      </c>
      <c r="D96" s="22" t="str">
        <f>VLOOKUP(B96,[1]!Table3[[Part Number]:[Part Description]],3,0)</f>
        <v>ENGINE OIL FILTER</v>
      </c>
      <c r="E96" s="23">
        <f>VLOOKUP(B96,'[1]Product by Part Number'!$A:$I,9,0)</f>
        <v>7</v>
      </c>
      <c r="F96" s="24">
        <f>VLOOKUP(B96,[1]!Table3[[Part Number]:[OEM CAD $]],4,0)</f>
        <v>44.09</v>
      </c>
      <c r="G96" s="25">
        <f t="shared" si="2"/>
        <v>308.63</v>
      </c>
      <c r="H96" s="25">
        <f>VLOOKUP(B96,[1]!Table3[[Part Number]:[GQP CAD $]],5,0)</f>
        <v>16.75</v>
      </c>
      <c r="I96" s="26">
        <f t="shared" si="0"/>
        <v>117.25</v>
      </c>
    </row>
    <row r="97" spans="2:9" x14ac:dyDescent="0.25">
      <c r="B97" s="62" t="s">
        <v>158</v>
      </c>
      <c r="C97" s="22" t="str">
        <f>VLOOKUP(B97,[1]!Table3[[Part Number]:[Make and Model]],2,0)</f>
        <v xml:space="preserve">CAT 336F L (RKB) CAT D6 (RDC) CAT D6T (MH7)                                        </v>
      </c>
      <c r="D97" s="22" t="str">
        <f>VLOOKUP(B97,[1]!Table3[[Part Number]:[Part Description]],3,0)</f>
        <v>ENGINE OIL FILTER</v>
      </c>
      <c r="E97" s="23">
        <f>VLOOKUP(B97,'[1]Product by Part Number'!$A:$I,9,0)</f>
        <v>3</v>
      </c>
      <c r="F97" s="24">
        <f>VLOOKUP(B97,[1]!Table3[[Part Number]:[OEM CAD $]],4,0)</f>
        <v>82.08</v>
      </c>
      <c r="G97" s="25">
        <f t="shared" si="2"/>
        <v>246.24</v>
      </c>
      <c r="H97" s="25">
        <f>VLOOKUP(B97,[1]!Table3[[Part Number]:[GQP CAD $]],5,0)</f>
        <v>31.19</v>
      </c>
      <c r="I97" s="26">
        <f t="shared" si="0"/>
        <v>93.57</v>
      </c>
    </row>
    <row r="98" spans="2:9" x14ac:dyDescent="0.25">
      <c r="B98" s="62" t="s">
        <v>159</v>
      </c>
      <c r="C98" s="22" t="str">
        <f>VLOOKUP(B98,[1]!Table3[[Part Number]:[Make and Model]],2,0)</f>
        <v xml:space="preserve">CAT D7G (92V) CAT D7G (3ZD) CAT D7G (3ZD) (2)                                        </v>
      </c>
      <c r="D98" s="22" t="str">
        <f>VLOOKUP(B98,[1]!Table3[[Part Number]:[Part Description]],3,0)</f>
        <v>ENGINE OIL FILTER</v>
      </c>
      <c r="E98" s="23">
        <f>VLOOKUP(B98,'[1]Product by Part Number'!$A:$I,9,0)</f>
        <v>3</v>
      </c>
      <c r="F98" s="24">
        <f>VLOOKUP(B98,[1]!Table3[[Part Number]:[OEM CAD $]],4,0)</f>
        <v>17.309999999999999</v>
      </c>
      <c r="G98" s="25">
        <f t="shared" si="2"/>
        <v>51.929999999999993</v>
      </c>
      <c r="H98" s="25">
        <f>VLOOKUP(B98,[1]!Table3[[Part Number]:[GQP CAD $]],5,0)</f>
        <v>6.58</v>
      </c>
      <c r="I98" s="26">
        <f t="shared" si="0"/>
        <v>19.739999999999998</v>
      </c>
    </row>
    <row r="99" spans="2:9" x14ac:dyDescent="0.25">
      <c r="B99" s="62" t="s">
        <v>160</v>
      </c>
      <c r="C99" s="22" t="str">
        <f>VLOOKUP(B99,[1]!Table3[[Part Number]:[Make and Model]],2,0)</f>
        <v xml:space="preserve">CAT D6N LGP (GHS) CAT PL61 (WGS) CAT PL61 (WGS) (2) CAT PL61 (WGS) (3)                                      </v>
      </c>
      <c r="D99" s="22" t="str">
        <f>VLOOKUP(B99,[1]!Table3[[Part Number]:[Part Description]],3,0)</f>
        <v>PRIMARY FUEL FILTER</v>
      </c>
      <c r="E99" s="23">
        <f>VLOOKUP(B99,'[1]Product by Part Number'!$A:$I,9,0)</f>
        <v>4</v>
      </c>
      <c r="F99" s="24">
        <f>VLOOKUP(B99,[1]!Table3[[Part Number]:[OEM CAD $]],4,0)</f>
        <v>62.25</v>
      </c>
      <c r="G99" s="25">
        <f t="shared" si="2"/>
        <v>249</v>
      </c>
      <c r="H99" s="25">
        <f>VLOOKUP(B99,[1]!Table3[[Part Number]:[GQP CAD $]],5,0)</f>
        <v>23.66</v>
      </c>
      <c r="I99" s="26">
        <f t="shared" si="0"/>
        <v>94.64</v>
      </c>
    </row>
    <row r="100" spans="2:9" x14ac:dyDescent="0.25">
      <c r="B100" s="62" t="s">
        <v>161</v>
      </c>
      <c r="C100" s="22" t="str">
        <f>VLOOKUP(B100,[1]!Table3[[Part Number]:[Make and Model]],2,0)</f>
        <v xml:space="preserve">CAT 330 (WCH) CAT 330 (WCH) (2) CAT 330 (WCH) (3) CAT 330 (WCH) (4) CAT 330 (WCH) (5) CAT 330 (WCH) (6)                                  </v>
      </c>
      <c r="D100" s="22" t="str">
        <f>VLOOKUP(B100,[1]!Table3[[Part Number]:[Part Description]],3,0)</f>
        <v>ENGINE OIL FILTER ELEMENT</v>
      </c>
      <c r="E100" s="23">
        <f>VLOOKUP(B100,'[1]Product by Part Number'!$A:$I,9,0)</f>
        <v>6</v>
      </c>
      <c r="F100" s="24">
        <f>VLOOKUP(B100,[1]!Table3[[Part Number]:[OEM CAD $]],4,0)</f>
        <v>44.15</v>
      </c>
      <c r="G100" s="25">
        <f t="shared" si="2"/>
        <v>264.89999999999998</v>
      </c>
      <c r="H100" s="25">
        <f>VLOOKUP(B100,[1]!Table3[[Part Number]:[GQP CAD $]],5,0)</f>
        <v>16.78</v>
      </c>
      <c r="I100" s="26">
        <f t="shared" si="0"/>
        <v>100.68</v>
      </c>
    </row>
    <row r="101" spans="2:9" x14ac:dyDescent="0.25">
      <c r="B101" s="62" t="s">
        <v>162</v>
      </c>
      <c r="C101" s="22" t="str">
        <f>VLOOKUP(B101,[1]!Table3[[Part Number]:[Make and Model]],2,0)</f>
        <v xml:space="preserve">CAT 320E L (WBK) CAT 320E L (WBK) (2) CAT 320F L (YBM) CAT 320 (HEX) CAT 320 (MYK) CAT 320 (MYK) (2) CAT 329E L (ZCD) CAT 329F L (ERL) CAT 329F L (ERL) (2) CAT 330F L (MBX) CAT 330F L (HCK) CAT 330F L (HCK) (2) CAT 330 (LHW) CAT 330 (LHW) (2) CAT 330 (LHW) (3) CAT 330 (LHW) (4)              </v>
      </c>
      <c r="D101" s="22" t="str">
        <f>VLOOKUP(B101,[1]!Table3[[Part Number]:[Part Description]],3,0)</f>
        <v xml:space="preserve">ENGINE OIL FILTER ELEMENT </v>
      </c>
      <c r="E101" s="23">
        <f>VLOOKUP(B101,'[1]Product by Part Number'!$A:$I,9,0)</f>
        <v>15</v>
      </c>
      <c r="F101" s="24">
        <f>VLOOKUP(B101,[1]!Table3[[Part Number]:[OEM CAD $]],4,0)</f>
        <v>44.15</v>
      </c>
      <c r="G101" s="25">
        <f t="shared" si="2"/>
        <v>662.25</v>
      </c>
      <c r="H101" s="25">
        <f>VLOOKUP(B101,[1]!Table3[[Part Number]:[GQP CAD $]],5,0)</f>
        <v>16.78</v>
      </c>
      <c r="I101" s="26">
        <f t="shared" si="0"/>
        <v>251.7</v>
      </c>
    </row>
    <row r="102" spans="2:9" x14ac:dyDescent="0.25">
      <c r="B102" s="62" t="s">
        <v>163</v>
      </c>
      <c r="C102" s="22" t="str">
        <f>VLOOKUP(B102,[1]!Table3[[Part Number]:[Make and Model]],2,0)</f>
        <v xml:space="preserve">CAT 336F L (RKB) CAT D6 (RDC) CAT D6T (MH7)                                        </v>
      </c>
      <c r="D102" s="22" t="str">
        <f>VLOOKUP(B102,[1]!Table3[[Part Number]:[Part Description]],3,0)</f>
        <v xml:space="preserve">FUEL WATER SEPARATOR </v>
      </c>
      <c r="E102" s="23">
        <f>VLOOKUP(B102,'[1]Product by Part Number'!$A:$I,9,0)</f>
        <v>3</v>
      </c>
      <c r="F102" s="24">
        <f>VLOOKUP(B102,[1]!Table3[[Part Number]:[OEM CAD $]],4,0)</f>
        <v>104.86</v>
      </c>
      <c r="G102" s="25">
        <f t="shared" si="2"/>
        <v>314.58</v>
      </c>
      <c r="H102" s="25">
        <f>VLOOKUP(B102,[1]!Table3[[Part Number]:[GQP CAD $]],5,0)</f>
        <v>39.85</v>
      </c>
      <c r="I102" s="26">
        <f t="shared" si="0"/>
        <v>119.55</v>
      </c>
    </row>
    <row r="103" spans="2:9" x14ac:dyDescent="0.25">
      <c r="B103" s="62" t="s">
        <v>37</v>
      </c>
      <c r="C103" s="22" t="str">
        <f>VLOOKUP(B103,[1]!Table3[[Part Number]:[Make and Model]],2,0)</f>
        <v xml:space="preserve">CAT D6N LGP (GHS)                                            </v>
      </c>
      <c r="D103" s="22" t="str">
        <f>VLOOKUP(B103,[1]!Table3[[Part Number]:[Part Description]],3,0)</f>
        <v>FUEL WATER SEPARATOR **VERIFY**</v>
      </c>
      <c r="E103" s="23">
        <f>VLOOKUP(B103,'[1]Product by Part Number'!$A:$I,9,0)</f>
        <v>1</v>
      </c>
      <c r="F103" s="24">
        <f>VLOOKUP(B103,[1]!Table3[[Part Number]:[OEM CAD $]],4,0)</f>
        <v>85.6</v>
      </c>
      <c r="G103" s="25">
        <f t="shared" si="2"/>
        <v>85.6</v>
      </c>
      <c r="H103" s="25">
        <f>VLOOKUP(B103,[1]!Table3[[Part Number]:[GQP CAD $]],5,0)</f>
        <v>32.53</v>
      </c>
      <c r="I103" s="26">
        <f t="shared" si="0"/>
        <v>32.53</v>
      </c>
    </row>
    <row r="104" spans="2:9" x14ac:dyDescent="0.25">
      <c r="B104" s="62" t="s">
        <v>164</v>
      </c>
      <c r="C104" s="22" t="str">
        <f>VLOOKUP(B104,[1]!Table3[[Part Number]:[Make and Model]],2,0)</f>
        <v xml:space="preserve">CAT 320E L (WBK) CAT 320E L (WBK) (2) CAT 320F L (YBM) CAT 329E L (ZCD) CAT 329F L (ERL) CAT 329F L (ERL) (2) CAT 330F L (MBX) CAT 330F L (HCK) CAT 330F L (HCK) (2) CAT D6N LGP (PBA) CAT D6N LGP (PBA) (2) CAT D6N LGP (SGG) CAT D6N LGP (SGG) (2)                    </v>
      </c>
      <c r="D104" s="22" t="str">
        <f>VLOOKUP(B104,[1]!Table3[[Part Number]:[Part Description]],3,0)</f>
        <v>FUEL FILTER ELEMENT</v>
      </c>
      <c r="E104" s="23">
        <f>VLOOKUP(B104,'[1]Product by Part Number'!$A:$I,9,0)</f>
        <v>15</v>
      </c>
      <c r="F104" s="24">
        <f>VLOOKUP(B104,[1]!Table3[[Part Number]:[OEM CAD $]],4,0)</f>
        <v>51.88</v>
      </c>
      <c r="G104" s="25">
        <f t="shared" si="2"/>
        <v>778.2</v>
      </c>
      <c r="H104" s="25">
        <f>VLOOKUP(B104,[1]!Table3[[Part Number]:[GQP CAD $]],5,0)</f>
        <v>19.71</v>
      </c>
      <c r="I104" s="26">
        <f t="shared" si="0"/>
        <v>295.64999999999998</v>
      </c>
    </row>
    <row r="105" spans="2:9" x14ac:dyDescent="0.25">
      <c r="B105" s="62" t="s">
        <v>165</v>
      </c>
      <c r="C105" s="22" t="str">
        <f>VLOOKUP(B105,[1]!Table3[[Part Number]:[Make and Model]],2,0)</f>
        <v xml:space="preserve">CAT 299D (DX2)                                            </v>
      </c>
      <c r="D105" s="22" t="str">
        <f>VLOOKUP(B105,[1]!Table3[[Part Number]:[Part Description]],3,0)</f>
        <v>FUEL WATER SEPARATOR FILTER</v>
      </c>
      <c r="E105" s="23">
        <f>VLOOKUP(B105,'[1]Product by Part Number'!$A:$I,9,0)</f>
        <v>1</v>
      </c>
      <c r="F105" s="24">
        <f>VLOOKUP(B105,[1]!Table3[[Part Number]:[OEM CAD $]],4,0)</f>
        <v>42.6</v>
      </c>
      <c r="G105" s="25">
        <f t="shared" si="2"/>
        <v>42.6</v>
      </c>
      <c r="H105" s="25">
        <f>VLOOKUP(B105,[1]!Table3[[Part Number]:[GQP CAD $]],5,0)</f>
        <v>16.190000000000001</v>
      </c>
      <c r="I105" s="26">
        <f t="shared" si="0"/>
        <v>16.190000000000001</v>
      </c>
    </row>
    <row r="106" spans="2:9" x14ac:dyDescent="0.25">
      <c r="B106" s="62" t="s">
        <v>166</v>
      </c>
      <c r="C106" s="22" t="str">
        <f>VLOOKUP(B106,[1]!Table3[[Part Number]:[Make and Model]],2,0)</f>
        <v xml:space="preserve">CAT 303.5E CAT 299D (DX2)                                          </v>
      </c>
      <c r="D106" s="22" t="str">
        <f>VLOOKUP(B106,[1]!Table3[[Part Number]:[Part Description]],3,0)</f>
        <v>ENGINE OIL FILTER</v>
      </c>
      <c r="E106" s="23">
        <f>VLOOKUP(B106,'[1]Product by Part Number'!$A:$I,9,0)</f>
        <v>2</v>
      </c>
      <c r="F106" s="24">
        <f>VLOOKUP(B106,[1]!Table3[[Part Number]:[OEM CAD $]],4,0)</f>
        <v>40.69</v>
      </c>
      <c r="G106" s="25">
        <f t="shared" si="2"/>
        <v>81.38</v>
      </c>
      <c r="H106" s="25">
        <f>VLOOKUP(B106,[1]!Table3[[Part Number]:[GQP CAD $]],5,0)</f>
        <v>15.46</v>
      </c>
      <c r="I106" s="26">
        <f t="shared" si="0"/>
        <v>30.92</v>
      </c>
    </row>
    <row r="107" spans="2:9" x14ac:dyDescent="0.25">
      <c r="B107" s="62" t="s">
        <v>166</v>
      </c>
      <c r="C107" s="22" t="str">
        <f>VLOOKUP(B107,[1]!Table3[[Part Number]:[Make and Model]],2,0)</f>
        <v xml:space="preserve">CAT 303.5E CAT 299D (DX2)                                          </v>
      </c>
      <c r="D107" s="22" t="str">
        <f>VLOOKUP(B107,[1]!Table3[[Part Number]:[Part Description]],3,0)</f>
        <v>ENGINE OIL FILTER</v>
      </c>
      <c r="E107" s="23">
        <f>VLOOKUP(B107,'[1]Product by Part Number'!$A:$I,9,0)</f>
        <v>2</v>
      </c>
      <c r="F107" s="24">
        <f>VLOOKUP(B107,[1]!Table3[[Part Number]:[OEM CAD $]],4,0)</f>
        <v>40.69</v>
      </c>
      <c r="G107" s="25">
        <f t="shared" si="2"/>
        <v>81.38</v>
      </c>
      <c r="H107" s="25">
        <f>VLOOKUP(B107,[1]!Table3[[Part Number]:[GQP CAD $]],5,0)</f>
        <v>15.46</v>
      </c>
      <c r="I107" s="26">
        <f t="shared" ref="I107:I126" si="3">ROUND(E107*H107,2)</f>
        <v>30.92</v>
      </c>
    </row>
    <row r="108" spans="2:9" x14ac:dyDescent="0.25">
      <c r="B108" s="62" t="s">
        <v>47</v>
      </c>
      <c r="C108" s="22" t="str">
        <f>VLOOKUP(B108,[1]!Table3[[Part Number]:[Make and Model]],2,0)</f>
        <v xml:space="preserve">CAT D6N LGP (GHS) CAT D6N LGP (PBA) CAT D6N LGP (PBA) (2) CAT D6N LGP (SGG) CAT D6N LGP (SGG) (2)                                    </v>
      </c>
      <c r="D108" s="22" t="str">
        <f>VLOOKUP(B108,[1]!Table3[[Part Number]:[Part Description]],3,0)</f>
        <v>ENGINE OIL FILTER</v>
      </c>
      <c r="E108" s="23">
        <f>VLOOKUP(B108,'[1]Product by Part Number'!$A:$I,9,0)</f>
        <v>5</v>
      </c>
      <c r="F108" s="24">
        <f>VLOOKUP(B108,[1]!Table3[[Part Number]:[OEM CAD $]],4,0)</f>
        <v>36.51</v>
      </c>
      <c r="G108" s="25">
        <f t="shared" si="2"/>
        <v>182.54999999999998</v>
      </c>
      <c r="H108" s="25">
        <f>VLOOKUP(B108,[1]!Table3[[Part Number]:[GQP CAD $]],5,0)</f>
        <v>13.87</v>
      </c>
      <c r="I108" s="26">
        <f t="shared" si="3"/>
        <v>69.349999999999994</v>
      </c>
    </row>
    <row r="109" spans="2:9" x14ac:dyDescent="0.25">
      <c r="B109" s="62" t="s">
        <v>167</v>
      </c>
      <c r="C109" s="22" t="str">
        <f>VLOOKUP(B109,[1]!Table3[[Part Number]:[Make and Model]],2,0)</f>
        <v xml:space="preserve">CAT 320E L (WBK) CAT 320E L (WBK) (2) CAT 320F L (YBM) CAT 329E L (ZCD) CAT 329F L (ERL) CAT 329F L (ERL) (2) CAT 330F L (MBX) CAT 330F L (HCK) CAT 330F L (HCK) (2) CAT D6N LGP (PBA) CAT D6N LGP (PBA) (2) CAT D6N LGP (SGG) CAT D6N LGP (SGG) (2)                    </v>
      </c>
      <c r="D109" s="22" t="str">
        <f>VLOOKUP(B109,[1]!Table3[[Part Number]:[Part Description]],3,0)</f>
        <v>FUEL WATER SEPARATOR</v>
      </c>
      <c r="E109" s="23">
        <f>VLOOKUP(B109,'[1]Product by Part Number'!$A:$I,9,0)</f>
        <v>14</v>
      </c>
      <c r="F109" s="24">
        <f>VLOOKUP(B109,[1]!Table3[[Part Number]:[OEM CAD $]],4,0)</f>
        <v>78.87</v>
      </c>
      <c r="G109" s="25">
        <f t="shared" si="2"/>
        <v>1104.18</v>
      </c>
      <c r="H109" s="25">
        <f>VLOOKUP(B109,[1]!Table3[[Part Number]:[GQP CAD $]],5,0)</f>
        <v>29.97</v>
      </c>
      <c r="I109" s="26">
        <f t="shared" si="3"/>
        <v>419.58</v>
      </c>
    </row>
    <row r="110" spans="2:9" x14ac:dyDescent="0.25">
      <c r="B110" s="62" t="s">
        <v>168</v>
      </c>
      <c r="C110" s="22" t="str">
        <f>VLOOKUP(B110,[1]!Table3[[Part Number]:[Make and Model]],2,0)</f>
        <v xml:space="preserve">CAT 561N (CPH) CAT 561N (CPH) (2) CAT 561N (CPH) (3) CAT 561N (CPH) (4) CAT 561N (CPH) (5) CAT PL61 (WGS) CAT PL61 (WGS) (2) CAT PL61 (WGS) (3)                              </v>
      </c>
      <c r="D110" s="22" t="str">
        <f>VLOOKUP(B110,[1]!Table3[[Part Number]:[Part Description]],3,0)</f>
        <v>ENGINE OIL FILTER</v>
      </c>
      <c r="E110" s="23">
        <f>VLOOKUP(B110,'[1]Product by Part Number'!$A:$I,9,0)</f>
        <v>8</v>
      </c>
      <c r="F110" s="24">
        <f>VLOOKUP(B110,[1]!Table3[[Part Number]:[OEM CAD $]],4,0)</f>
        <v>78</v>
      </c>
      <c r="G110" s="25">
        <f t="shared" si="2"/>
        <v>624</v>
      </c>
      <c r="H110" s="25">
        <f>VLOOKUP(B110,[1]!Table3[[Part Number]:[GQP CAD $]],5,0)</f>
        <v>29.64</v>
      </c>
      <c r="I110" s="26">
        <f t="shared" si="3"/>
        <v>237.12</v>
      </c>
    </row>
    <row r="111" spans="2:9" x14ac:dyDescent="0.25">
      <c r="B111" s="62" t="s">
        <v>169</v>
      </c>
      <c r="C111" s="22" t="str">
        <f>VLOOKUP(B111,[1]!Table3[[Part Number]:[Make and Model]],2,0)</f>
        <v xml:space="preserve">CAT 320 (HEX) CAT 320 (MYK) CAT 320 (MYK) (2) CAT 330 (LHW) CAT 330 (LHW) (2) CAT 330 (LHW) (3) CAT 330 (LHW) (4) CAT 330 (WCH) CAT 330 (WCH) (2) CAT 330 (WCH) (3) CAT 330 (WCH) (4) CAT 330 (WCH) (5) CAT 330 (WCH) (6)                    </v>
      </c>
      <c r="D111" s="22" t="str">
        <f>VLOOKUP(B111,[1]!Table3[[Part Number]:[Part Description]],3,0)</f>
        <v>SECONDARY FUEL FILTER ELEMENT</v>
      </c>
      <c r="E111" s="23">
        <f>VLOOKUP(B111,'[1]Product by Part Number'!$A:$I,9,0)</f>
        <v>13</v>
      </c>
      <c r="F111" s="24">
        <f>VLOOKUP(B111,[1]!Table3[[Part Number]:[OEM CAD $]],4,0)</f>
        <v>66.94</v>
      </c>
      <c r="G111" s="25">
        <f t="shared" si="2"/>
        <v>870.22</v>
      </c>
      <c r="H111" s="25">
        <f>VLOOKUP(B111,[1]!Table3[[Part Number]:[GQP CAD $]],5,0)</f>
        <v>25.44</v>
      </c>
      <c r="I111" s="26">
        <f t="shared" si="3"/>
        <v>330.72</v>
      </c>
    </row>
    <row r="112" spans="2:9" x14ac:dyDescent="0.25">
      <c r="B112" s="62" t="s">
        <v>170</v>
      </c>
      <c r="C112" s="22" t="str">
        <f>VLOOKUP(B112,[1]!Table3[[Part Number]:[Make and Model]],2,0)</f>
        <v xml:space="preserve">CAT D7G (92V) CAT D7G (3ZD) CAT D7G (3ZD) (2)                                        </v>
      </c>
      <c r="D112" s="22" t="str">
        <f>VLOOKUP(B112,[1]!Table3[[Part Number]:[Part Description]],3,0)</f>
        <v>FUEL WATER SEPARATOR FILTER</v>
      </c>
      <c r="E112" s="23">
        <f>VLOOKUP(B112,'[1]Product by Part Number'!$A:$I,9,0)</f>
        <v>3</v>
      </c>
      <c r="F112" s="24">
        <f>VLOOKUP(B112,[1]!Table3[[Part Number]:[OEM CAD $]],4,0)</f>
        <v>104</v>
      </c>
      <c r="G112" s="25">
        <f t="shared" si="2"/>
        <v>312</v>
      </c>
      <c r="H112" s="25">
        <f>VLOOKUP(B112,[1]!Table3[[Part Number]:[GQP CAD $]],5,0)</f>
        <v>39.520000000000003</v>
      </c>
      <c r="I112" s="26">
        <f t="shared" si="3"/>
        <v>118.56</v>
      </c>
    </row>
    <row r="113" spans="2:9" x14ac:dyDescent="0.25">
      <c r="B113" s="62" t="s">
        <v>171</v>
      </c>
      <c r="C113" s="22" t="str">
        <f>VLOOKUP(B113,[1]!Table3[[Part Number]:[Make and Model]],2,0)</f>
        <v xml:space="preserve">CAT 320 (HEX) CAT 320 (MYK) CAT 320 (MYK) (2) CAT 330 (LHW) CAT 330 (LHW) (2) CAT 330 (LHW) (3) CAT 330 (LHW) (4) CAT 330 (WCH) CAT 330 (WCH) (2) CAT 330 (WCH) (3) CAT 330 (WCH) (4) CAT 330 (WCH) (5) CAT 330 (WCH) (6)                    </v>
      </c>
      <c r="D113" s="22" t="str">
        <f>VLOOKUP(B113,[1]!Table3[[Part Number]:[Part Description]],3,0)</f>
        <v>FUEL WATER SEPARATOR ELEMENT</v>
      </c>
      <c r="E113" s="23">
        <f>VLOOKUP(B113,'[1]Product by Part Number'!$A:$I,9,0)</f>
        <v>13</v>
      </c>
      <c r="F113" s="24">
        <f>VLOOKUP(B113,[1]!Table3[[Part Number]:[OEM CAD $]],4,0)</f>
        <v>95.91</v>
      </c>
      <c r="G113" s="25">
        <f t="shared" si="2"/>
        <v>1246.83</v>
      </c>
      <c r="H113" s="25">
        <f>VLOOKUP(B113,[1]!Table3[[Part Number]:[GQP CAD $]],5,0)</f>
        <v>36.450000000000003</v>
      </c>
      <c r="I113" s="26">
        <f t="shared" si="3"/>
        <v>473.85</v>
      </c>
    </row>
    <row r="114" spans="2:9" x14ac:dyDescent="0.25">
      <c r="B114" s="62" t="s">
        <v>172</v>
      </c>
      <c r="C114" s="22" t="str">
        <f>VLOOKUP(B114,[1]!Table3[[Part Number]:[Make and Model]],2,0)</f>
        <v xml:space="preserve">CAT D6N LGP (SGG) CAT D6N LGP (SGG) (2)                                          </v>
      </c>
      <c r="D114" s="22" t="str">
        <f>VLOOKUP(B114,[1]!Table3[[Part Number]:[Part Description]],3,0)</f>
        <v>IN-LINE FUEL FILTER</v>
      </c>
      <c r="E114" s="23">
        <f>VLOOKUP(B114,'[1]Product by Part Number'!$A:$I,9,0)</f>
        <v>2</v>
      </c>
      <c r="F114" s="24">
        <f>VLOOKUP(B114,[1]!Table3[[Part Number]:[OEM CAD $]],4,0)</f>
        <v>81.27</v>
      </c>
      <c r="G114" s="25">
        <f t="shared" si="2"/>
        <v>162.54</v>
      </c>
      <c r="H114" s="25">
        <f>VLOOKUP(B114,[1]!Table3[[Part Number]:[GQP CAD $]],5,0)</f>
        <v>30.88</v>
      </c>
      <c r="I114" s="26">
        <f t="shared" si="3"/>
        <v>61.76</v>
      </c>
    </row>
    <row r="115" spans="2:9" x14ac:dyDescent="0.25">
      <c r="B115" s="62" t="s">
        <v>173</v>
      </c>
      <c r="C115" s="22" t="str">
        <f>VLOOKUP(B115,[1]!Table3[[Part Number]:[Make and Model]],2,0)</f>
        <v xml:space="preserve">CAT D7G (92V) CAT D7G (3ZD) CAT D7G (3ZD) (2)                                        </v>
      </c>
      <c r="D115" s="22" t="str">
        <f>VLOOKUP(B115,[1]!Table3[[Part Number]:[Part Description]],3,0)</f>
        <v>FUEL FILTER</v>
      </c>
      <c r="E115" s="23">
        <f>VLOOKUP(B115,'[1]Product by Part Number'!$A:$I,9,0)</f>
        <v>3</v>
      </c>
      <c r="F115" s="24">
        <f>VLOOKUP(B115,[1]!Table3[[Part Number]:[OEM CAD $]],4,0)</f>
        <v>43.78</v>
      </c>
      <c r="G115" s="25">
        <f t="shared" si="2"/>
        <v>131.34</v>
      </c>
      <c r="H115" s="25">
        <f>VLOOKUP(B115,[1]!Table3[[Part Number]:[GQP CAD $]],5,0)</f>
        <v>16.64</v>
      </c>
      <c r="I115" s="26">
        <f t="shared" si="3"/>
        <v>49.92</v>
      </c>
    </row>
    <row r="116" spans="2:9" x14ac:dyDescent="0.25">
      <c r="B116" s="54" t="s">
        <v>174</v>
      </c>
      <c r="C116" s="22" t="str">
        <f>VLOOKUP(B116,[1]!Table3[[Part Number]:[Make and Model]],2,0)</f>
        <v xml:space="preserve">CAT D4 (66J)                                            </v>
      </c>
      <c r="D116" s="22" t="str">
        <f>VLOOKUP(B116,[1]!Table3[[Part Number]:[Part Description]],3,0)</f>
        <v>FUEL WATER SEPARATOR</v>
      </c>
      <c r="E116" s="23">
        <f>VLOOKUP(B116,'[1]Product by Part Number'!$A:$I,9,0)</f>
        <v>1</v>
      </c>
      <c r="F116" s="24">
        <f>VLOOKUP(B116,[1]!Table3[[Part Number]:[OEM CAD $]],4,0)</f>
        <v>60.68</v>
      </c>
      <c r="G116" s="25">
        <f t="shared" ref="G116:G117" si="4">E116*F116</f>
        <v>60.68</v>
      </c>
      <c r="H116" s="25">
        <f>VLOOKUP(B116,[1]!Table3[[Part Number]:[GQP CAD $]],5,0)</f>
        <v>23.06</v>
      </c>
      <c r="I116" s="26">
        <f t="shared" si="3"/>
        <v>23.06</v>
      </c>
    </row>
    <row r="117" spans="2:9" x14ac:dyDescent="0.25">
      <c r="B117" s="54" t="s">
        <v>222</v>
      </c>
      <c r="C117" s="22" t="str">
        <f>VLOOKUP(B117,[1]!Table3[[Part Number]:[Make and Model]],2,0)</f>
        <v xml:space="preserve">CAT D3 (1PJ)                                            </v>
      </c>
      <c r="D117" s="22" t="str">
        <f>VLOOKUP(B117,[1]!Table3[[Part Number]:[Part Description]],3,0)</f>
        <v>**FUEL TANK STRAINER**</v>
      </c>
      <c r="E117" s="23">
        <f>VLOOKUP(B117,'[1]Product by Part Number'!$A:$I,9,0)</f>
        <v>1</v>
      </c>
      <c r="F117" s="24">
        <f>VLOOKUP(B117,[1]!Table3[[Part Number]:[OEM CAD $]],4,0)</f>
        <v>127.92</v>
      </c>
      <c r="G117" s="25">
        <f t="shared" si="4"/>
        <v>127.92</v>
      </c>
      <c r="H117" s="25">
        <f>VLOOKUP(B117,[1]!Table3[[Part Number]:[GQP CAD $]],5,0)</f>
        <v>48.61</v>
      </c>
      <c r="I117" s="26">
        <f t="shared" si="3"/>
        <v>48.61</v>
      </c>
    </row>
    <row r="118" spans="2:9" x14ac:dyDescent="0.25">
      <c r="B118" s="54"/>
      <c r="C118" s="22"/>
      <c r="D118" s="22"/>
      <c r="E118" s="23"/>
      <c r="F118" s="24"/>
      <c r="G118" s="25"/>
      <c r="H118" s="25"/>
      <c r="I118" s="26">
        <f t="shared" si="3"/>
        <v>0</v>
      </c>
    </row>
    <row r="119" spans="2:9" x14ac:dyDescent="0.25">
      <c r="B119" s="54"/>
      <c r="C119" s="22"/>
      <c r="D119" s="22"/>
      <c r="E119" s="23"/>
      <c r="F119" s="24"/>
      <c r="G119" s="25"/>
      <c r="H119" s="25"/>
      <c r="I119" s="26">
        <f t="shared" si="3"/>
        <v>0</v>
      </c>
    </row>
    <row r="120" spans="2:9" x14ac:dyDescent="0.25">
      <c r="B120" s="54"/>
      <c r="C120" s="22"/>
      <c r="D120" s="22"/>
      <c r="E120" s="23"/>
      <c r="F120" s="24"/>
      <c r="G120" s="25"/>
      <c r="H120" s="25"/>
      <c r="I120" s="26">
        <f t="shared" si="3"/>
        <v>0</v>
      </c>
    </row>
    <row r="121" spans="2:9" x14ac:dyDescent="0.25">
      <c r="B121" s="54"/>
      <c r="C121" s="22"/>
      <c r="D121" s="22"/>
      <c r="E121" s="23"/>
      <c r="F121" s="24"/>
      <c r="G121" s="25"/>
      <c r="H121" s="25"/>
      <c r="I121" s="26">
        <f t="shared" si="3"/>
        <v>0</v>
      </c>
    </row>
    <row r="122" spans="2:9" x14ac:dyDescent="0.25">
      <c r="B122" s="54"/>
      <c r="C122" s="22"/>
      <c r="D122" s="22"/>
      <c r="E122" s="23"/>
      <c r="F122" s="24"/>
      <c r="G122" s="25"/>
      <c r="H122" s="25"/>
      <c r="I122" s="26">
        <f t="shared" si="3"/>
        <v>0</v>
      </c>
    </row>
    <row r="123" spans="2:9" x14ac:dyDescent="0.25">
      <c r="B123" s="54"/>
      <c r="C123" s="22"/>
      <c r="D123" s="22"/>
      <c r="E123" s="23"/>
      <c r="F123" s="24"/>
      <c r="G123" s="25"/>
      <c r="H123" s="25"/>
      <c r="I123" s="26">
        <f t="shared" si="3"/>
        <v>0</v>
      </c>
    </row>
    <row r="124" spans="2:9" x14ac:dyDescent="0.25">
      <c r="B124" s="54"/>
      <c r="C124" s="22"/>
      <c r="D124" s="22"/>
      <c r="E124" s="23"/>
      <c r="F124" s="24"/>
      <c r="G124" s="25"/>
      <c r="H124" s="25"/>
      <c r="I124" s="26">
        <f t="shared" si="3"/>
        <v>0</v>
      </c>
    </row>
    <row r="125" spans="2:9" x14ac:dyDescent="0.25">
      <c r="B125" s="54"/>
      <c r="C125" s="22"/>
      <c r="D125" s="22"/>
      <c r="E125" s="23"/>
      <c r="F125" s="24"/>
      <c r="G125" s="25"/>
      <c r="H125" s="25"/>
      <c r="I125" s="26">
        <f t="shared" si="3"/>
        <v>0</v>
      </c>
    </row>
    <row r="126" spans="2:9" x14ac:dyDescent="0.25">
      <c r="B126" s="54"/>
      <c r="C126" s="22"/>
      <c r="D126" s="22"/>
      <c r="E126" s="23"/>
      <c r="F126" s="24"/>
      <c r="G126" s="25"/>
      <c r="H126" s="25"/>
      <c r="I126" s="26">
        <f t="shared" si="3"/>
        <v>0</v>
      </c>
    </row>
    <row r="127" spans="2:9" x14ac:dyDescent="0.25">
      <c r="B127" s="84"/>
      <c r="C127" s="85"/>
      <c r="D127" s="85"/>
      <c r="E127" s="85"/>
      <c r="F127" s="86"/>
      <c r="G127" s="27"/>
      <c r="H127" s="28" t="s">
        <v>17</v>
      </c>
      <c r="I127" s="29">
        <f>SUM(I15:I126)</f>
        <v>4153.8600000000006</v>
      </c>
    </row>
    <row r="128" spans="2:9" x14ac:dyDescent="0.25">
      <c r="B128" s="30"/>
      <c r="C128" s="31"/>
      <c r="D128" s="32" t="s">
        <v>18</v>
      </c>
      <c r="E128" s="87">
        <f>SUM(G15:G126)</f>
        <v>10930.930000000002</v>
      </c>
      <c r="F128" s="88"/>
      <c r="G128" s="33"/>
      <c r="H128" s="28" t="s">
        <v>19</v>
      </c>
      <c r="I128" s="34">
        <v>0</v>
      </c>
    </row>
    <row r="129" spans="2:9" x14ac:dyDescent="0.25">
      <c r="B129" s="30"/>
      <c r="C129" s="31"/>
      <c r="D129" s="32" t="s">
        <v>20</v>
      </c>
      <c r="E129" s="87">
        <f>SUM(I15:I126)</f>
        <v>4153.8600000000006</v>
      </c>
      <c r="F129" s="88"/>
      <c r="G129" s="33"/>
      <c r="H129" s="35" t="s">
        <v>21</v>
      </c>
      <c r="I129" s="34">
        <v>0</v>
      </c>
    </row>
    <row r="130" spans="2:9" x14ac:dyDescent="0.25">
      <c r="B130" s="30"/>
      <c r="C130" s="31"/>
      <c r="D130" s="32" t="s">
        <v>22</v>
      </c>
      <c r="E130" s="97">
        <f>E128-E129</f>
        <v>6777.0700000000015</v>
      </c>
      <c r="F130" s="98"/>
      <c r="G130" s="36"/>
      <c r="H130" s="28" t="s">
        <v>23</v>
      </c>
      <c r="I130" s="37">
        <f>SUM(I127:I129)</f>
        <v>4153.8600000000006</v>
      </c>
    </row>
    <row r="131" spans="2:9" x14ac:dyDescent="0.25">
      <c r="B131" s="30"/>
      <c r="C131" s="31"/>
      <c r="D131" s="32"/>
      <c r="E131" s="99"/>
      <c r="F131" s="100"/>
      <c r="G131" s="38"/>
      <c r="H131" s="28" t="s">
        <v>24</v>
      </c>
      <c r="I131" s="37">
        <f>I130*0.05</f>
        <v>207.69300000000004</v>
      </c>
    </row>
    <row r="132" spans="2:9" x14ac:dyDescent="0.25">
      <c r="B132" s="30"/>
      <c r="C132" s="31"/>
      <c r="D132" s="39"/>
      <c r="E132" s="39"/>
      <c r="F132" s="40"/>
      <c r="G132" s="40"/>
      <c r="H132" s="28" t="s">
        <v>25</v>
      </c>
      <c r="I132" s="34"/>
    </row>
    <row r="133" spans="2:9" ht="15.75" x14ac:dyDescent="0.25">
      <c r="B133" s="94" t="s">
        <v>26</v>
      </c>
      <c r="C133" s="95"/>
      <c r="D133" s="95"/>
      <c r="E133" s="95"/>
      <c r="F133" s="96"/>
      <c r="G133" s="41"/>
      <c r="H133" s="42" t="s">
        <v>27</v>
      </c>
      <c r="I133" s="43">
        <f>SUM(I130:I132)</f>
        <v>4361.5530000000008</v>
      </c>
    </row>
  </sheetData>
  <mergeCells count="25">
    <mergeCell ref="B133:F133"/>
    <mergeCell ref="F13:I13"/>
    <mergeCell ref="B127:F127"/>
    <mergeCell ref="E128:F128"/>
    <mergeCell ref="E129:F129"/>
    <mergeCell ref="E130:F130"/>
    <mergeCell ref="E131:F131"/>
    <mergeCell ref="C11:D11"/>
    <mergeCell ref="E11:F11"/>
    <mergeCell ref="H11:I11"/>
    <mergeCell ref="C12:D12"/>
    <mergeCell ref="E12:F12"/>
    <mergeCell ref="H12:I12"/>
    <mergeCell ref="C9:D9"/>
    <mergeCell ref="E9:F9"/>
    <mergeCell ref="H9:I9"/>
    <mergeCell ref="C10:D10"/>
    <mergeCell ref="E10:F10"/>
    <mergeCell ref="H10:I10"/>
    <mergeCell ref="E1:F5"/>
    <mergeCell ref="H1:I5"/>
    <mergeCell ref="C7:D7"/>
    <mergeCell ref="C8:D8"/>
    <mergeCell ref="E8:F8"/>
    <mergeCell ref="H8:I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655DB-8C3F-4826-8B60-5289592E367E}">
  <dimension ref="B1:I133"/>
  <sheetViews>
    <sheetView topLeftCell="A113" workbookViewId="0">
      <selection activeCell="F132" sqref="F132"/>
    </sheetView>
  </sheetViews>
  <sheetFormatPr defaultRowHeight="15" x14ac:dyDescent="0.25"/>
  <cols>
    <col min="1" max="1" width="2.7109375" customWidth="1"/>
    <col min="2" max="2" width="15.42578125" customWidth="1"/>
    <col min="3" max="3" width="44.42578125" bestFit="1" customWidth="1"/>
    <col min="4" max="4" width="36" customWidth="1"/>
    <col min="5" max="5" width="10" bestFit="1" customWidth="1"/>
    <col min="6" max="8" width="14.7109375" customWidth="1"/>
    <col min="9" max="9" width="20.42578125" bestFit="1" customWidth="1"/>
  </cols>
  <sheetData>
    <row r="1" spans="2:9" ht="15" customHeight="1" x14ac:dyDescent="0.25">
      <c r="B1" s="2"/>
      <c r="C1" s="3"/>
      <c r="D1" s="3"/>
      <c r="E1" s="77" t="s">
        <v>28</v>
      </c>
      <c r="F1" s="77"/>
      <c r="G1" s="44"/>
      <c r="H1" s="77" t="s">
        <v>34</v>
      </c>
      <c r="I1" s="78"/>
    </row>
    <row r="2" spans="2:9" ht="15" customHeight="1" x14ac:dyDescent="0.25">
      <c r="B2" s="4"/>
      <c r="E2" s="79"/>
      <c r="F2" s="79"/>
      <c r="G2" s="45"/>
      <c r="H2" s="79"/>
      <c r="I2" s="80"/>
    </row>
    <row r="3" spans="2:9" ht="15" customHeight="1" x14ac:dyDescent="0.25">
      <c r="B3" s="4"/>
      <c r="E3" s="79"/>
      <c r="F3" s="79"/>
      <c r="G3" s="45"/>
      <c r="H3" s="79"/>
      <c r="I3" s="80"/>
    </row>
    <row r="4" spans="2:9" ht="15" customHeight="1" x14ac:dyDescent="0.25">
      <c r="B4" s="4"/>
      <c r="E4" s="79"/>
      <c r="F4" s="79"/>
      <c r="G4" s="45"/>
      <c r="H4" s="79"/>
      <c r="I4" s="80"/>
    </row>
    <row r="5" spans="2:9" ht="15" customHeight="1" x14ac:dyDescent="0.25">
      <c r="B5" s="5"/>
      <c r="C5" s="1"/>
      <c r="D5" s="1"/>
      <c r="E5" s="81"/>
      <c r="F5" s="81"/>
      <c r="G5" s="46"/>
      <c r="H5" s="81"/>
      <c r="I5" s="82"/>
    </row>
    <row r="6" spans="2:9" ht="36" x14ac:dyDescent="0.55000000000000004">
      <c r="B6" s="6"/>
      <c r="C6" s="7"/>
      <c r="D6" s="7"/>
      <c r="E6" s="8"/>
      <c r="F6" s="8"/>
      <c r="G6" s="8"/>
      <c r="H6" s="8"/>
      <c r="I6" s="8"/>
    </row>
    <row r="7" spans="2:9" x14ac:dyDescent="0.25">
      <c r="B7" s="49" t="s">
        <v>7</v>
      </c>
      <c r="C7" s="103" t="s">
        <v>70</v>
      </c>
      <c r="D7" s="104"/>
      <c r="E7" s="9" t="s">
        <v>8</v>
      </c>
      <c r="F7" s="10">
        <v>45870</v>
      </c>
      <c r="G7" s="10"/>
      <c r="H7" s="11" t="s">
        <v>9</v>
      </c>
      <c r="I7" s="12"/>
    </row>
    <row r="8" spans="2:9" x14ac:dyDescent="0.25">
      <c r="B8" s="50" t="s">
        <v>10</v>
      </c>
      <c r="C8" s="101">
        <v>0</v>
      </c>
      <c r="D8" s="101"/>
      <c r="E8" s="89" t="s">
        <v>11</v>
      </c>
      <c r="F8" s="89"/>
      <c r="G8" s="13"/>
      <c r="H8" s="93"/>
      <c r="I8" s="93"/>
    </row>
    <row r="9" spans="2:9" x14ac:dyDescent="0.25">
      <c r="B9" s="50" t="s">
        <v>12</v>
      </c>
      <c r="C9" s="101">
        <v>0</v>
      </c>
      <c r="D9" s="101"/>
      <c r="E9" s="89" t="s">
        <v>13</v>
      </c>
      <c r="F9" s="89"/>
      <c r="G9" s="13"/>
      <c r="H9" s="92"/>
      <c r="I9" s="92"/>
    </row>
    <row r="10" spans="2:9" x14ac:dyDescent="0.25">
      <c r="B10" s="50"/>
      <c r="C10" s="101">
        <v>0</v>
      </c>
      <c r="D10" s="101"/>
      <c r="E10" s="89" t="s">
        <v>14</v>
      </c>
      <c r="F10" s="89"/>
      <c r="G10" s="13"/>
      <c r="H10" s="90"/>
      <c r="I10" s="90"/>
    </row>
    <row r="11" spans="2:9" x14ac:dyDescent="0.25">
      <c r="B11" s="50"/>
      <c r="C11" s="101">
        <v>0</v>
      </c>
      <c r="D11" s="101"/>
      <c r="E11" s="89"/>
      <c r="F11" s="89"/>
      <c r="G11" s="13"/>
      <c r="H11" s="90"/>
      <c r="I11" s="90"/>
    </row>
    <row r="12" spans="2:9" x14ac:dyDescent="0.25">
      <c r="B12" s="51"/>
      <c r="C12" s="101">
        <v>0</v>
      </c>
      <c r="D12" s="101"/>
      <c r="E12" s="102"/>
      <c r="F12" s="102"/>
      <c r="G12" s="14"/>
      <c r="H12" s="91"/>
      <c r="I12" s="91"/>
    </row>
    <row r="13" spans="2:9" ht="15.75" thickBot="1" x14ac:dyDescent="0.3">
      <c r="B13" s="15"/>
      <c r="C13" s="16"/>
      <c r="D13" s="16"/>
      <c r="E13" s="16"/>
      <c r="F13" s="83" t="s">
        <v>3</v>
      </c>
      <c r="G13" s="83"/>
      <c r="H13" s="83"/>
      <c r="I13" s="83"/>
    </row>
    <row r="14" spans="2:9" ht="15.75" thickBot="1" x14ac:dyDescent="0.3">
      <c r="B14" s="56" t="s">
        <v>0</v>
      </c>
      <c r="C14" s="18" t="s">
        <v>15</v>
      </c>
      <c r="D14" s="19" t="s">
        <v>1</v>
      </c>
      <c r="E14" s="20" t="s">
        <v>2</v>
      </c>
      <c r="F14" s="20" t="s">
        <v>4</v>
      </c>
      <c r="G14" s="20"/>
      <c r="H14" s="20" t="s">
        <v>5</v>
      </c>
      <c r="I14" s="21" t="s">
        <v>16</v>
      </c>
    </row>
    <row r="15" spans="2:9" x14ac:dyDescent="0.25">
      <c r="B15" s="63">
        <v>7008043</v>
      </c>
      <c r="C15" s="22" t="str">
        <f>VLOOKUP(B15,[1]!Table3[[Part Number]:[Make and Model]],2,0)</f>
        <v xml:space="preserve">BOBCAT S650 (A3N)                                            </v>
      </c>
      <c r="D15" s="22" t="str">
        <f>VLOOKUP(B15,[1]!Table3[[Part Number]:[Part Description]],3,0)</f>
        <v>PRIMARY AIR FILTER ELEMENT (OUTER)</v>
      </c>
      <c r="E15" s="23">
        <f>VLOOKUP(B15,'[1]Product by Part Number'!$A:$J,10,0)</f>
        <v>1</v>
      </c>
      <c r="F15" s="24">
        <f>VLOOKUP(B15,[1]!Table3[[Part Number]:[OEM CAD $]],4,0)</f>
        <v>62.49</v>
      </c>
      <c r="G15" s="25">
        <f>E15*F15</f>
        <v>62.49</v>
      </c>
      <c r="H15" s="25">
        <f>VLOOKUP(B15,[1]!Table3[[Part Number]:[GQP CAD $]],5,0)</f>
        <v>23.75</v>
      </c>
      <c r="I15" s="26">
        <f t="shared" ref="I15:I106" si="0">ROUND(E15*H15,2)</f>
        <v>23.75</v>
      </c>
    </row>
    <row r="16" spans="2:9" x14ac:dyDescent="0.25">
      <c r="B16" s="62">
        <v>7008044</v>
      </c>
      <c r="C16" s="22" t="str">
        <f>VLOOKUP(B16,[1]!Table3[[Part Number]:[Make and Model]],2,0)</f>
        <v xml:space="preserve">BOBCAT S650 (A3N)                                            </v>
      </c>
      <c r="D16" s="22" t="str">
        <f>VLOOKUP(B16,[1]!Table3[[Part Number]:[Part Description]],3,0)</f>
        <v>SECONDARY AIR FILTER ELEMENT</v>
      </c>
      <c r="E16" s="23">
        <f>VLOOKUP(B16,'[1]Product by Part Number'!$A:$J,10,0)</f>
        <v>1</v>
      </c>
      <c r="F16" s="24">
        <f>VLOOKUP(B16,[1]!Table3[[Part Number]:[OEM CAD $]],4,0)</f>
        <v>39.99</v>
      </c>
      <c r="G16" s="25">
        <f t="shared" ref="G16:G79" si="1">E16*F16</f>
        <v>39.99</v>
      </c>
      <c r="H16" s="25">
        <f>VLOOKUP(B16,[1]!Table3[[Part Number]:[GQP CAD $]],5,0)</f>
        <v>15.2</v>
      </c>
      <c r="I16" s="26">
        <f t="shared" si="0"/>
        <v>15.2</v>
      </c>
    </row>
    <row r="17" spans="2:9" x14ac:dyDescent="0.25">
      <c r="B17" s="62">
        <v>7010031</v>
      </c>
      <c r="C17" s="22" t="str">
        <f>VLOOKUP(B17,[1]!Table3[[Part Number]:[Make and Model]],2,0)</f>
        <v xml:space="preserve">BOBCAT T750 (ANK) BOBCAT T750 (ATF) BOBCAT T770 (AT6) BOBCAT T770 (AT6) (2)                                      </v>
      </c>
      <c r="D17" s="22" t="str">
        <f>VLOOKUP(B17,[1]!Table3[[Part Number]:[Part Description]],3,0)</f>
        <v>SECONDARY AIR FILTER ELEMENT</v>
      </c>
      <c r="E17" s="23">
        <f>VLOOKUP(B17,'[1]Product by Part Number'!$A:$J,10,0)</f>
        <v>4</v>
      </c>
      <c r="F17" s="24">
        <f>VLOOKUP(B17,[1]!Table3[[Part Number]:[OEM CAD $]],4,0)</f>
        <v>103.99</v>
      </c>
      <c r="G17" s="25">
        <f t="shared" si="1"/>
        <v>415.96</v>
      </c>
      <c r="H17" s="25">
        <f>VLOOKUP(B17,[1]!Table3[[Part Number]:[GQP CAD $]],5,0)</f>
        <v>39.520000000000003</v>
      </c>
      <c r="I17" s="26">
        <f t="shared" si="0"/>
        <v>158.08000000000001</v>
      </c>
    </row>
    <row r="18" spans="2:9" x14ac:dyDescent="0.25">
      <c r="B18" s="62">
        <v>7286652</v>
      </c>
      <c r="C18" s="22" t="str">
        <f>VLOOKUP(B18,[1]!Table3[[Part Number]:[Make and Model]],2,0)</f>
        <v xml:space="preserve">BOBCAT T750 (ANK) BOBCAT T750 (ATF) BOBCAT T770 (AT6) BOBCAT T770 (AT6) (2)                                      </v>
      </c>
      <c r="D18" s="22" t="str">
        <f>VLOOKUP(B18,[1]!Table3[[Part Number]:[Part Description]],3,0)</f>
        <v>PRIMARY AIR FILTER ELEMENT (OUTER)</v>
      </c>
      <c r="E18" s="23">
        <f>VLOOKUP(B18,'[1]Product by Part Number'!$A:$J,10,0)</f>
        <v>4</v>
      </c>
      <c r="F18" s="24">
        <f>VLOOKUP(B18,[1]!Table3[[Part Number]:[OEM CAD $]],4,0)</f>
        <v>140.99</v>
      </c>
      <c r="G18" s="25">
        <f t="shared" si="1"/>
        <v>563.96</v>
      </c>
      <c r="H18" s="25">
        <f>VLOOKUP(B18,[1]!Table3[[Part Number]:[GQP CAD $]],5,0)</f>
        <v>53.58</v>
      </c>
      <c r="I18" s="26">
        <f t="shared" si="0"/>
        <v>214.32</v>
      </c>
    </row>
    <row r="19" spans="2:9" x14ac:dyDescent="0.25">
      <c r="B19" s="62" t="s">
        <v>95</v>
      </c>
      <c r="C19" s="22" t="str">
        <f>VLOOKUP(B19,[1]!Table3[[Part Number]:[Make and Model]],2,0)</f>
        <v xml:space="preserve">CAT 299D (DX2)                                            </v>
      </c>
      <c r="D19" s="22" t="str">
        <f>VLOOKUP(B19,[1]!Table3[[Part Number]:[Part Description]],3,0)</f>
        <v>PRIMARY AIR FILTER ELEMENT</v>
      </c>
      <c r="E19" s="23">
        <f>VLOOKUP(B19,'[1]Product by Part Number'!$A:$J,10,0)</f>
        <v>1</v>
      </c>
      <c r="F19" s="24">
        <f>VLOOKUP(B19,[1]!Table3[[Part Number]:[OEM CAD $]],4,0)</f>
        <v>76.02</v>
      </c>
      <c r="G19" s="25">
        <f t="shared" si="1"/>
        <v>76.02</v>
      </c>
      <c r="H19" s="25">
        <f>VLOOKUP(B19,[1]!Table3[[Part Number]:[GQP CAD $]],5,0)</f>
        <v>28.89</v>
      </c>
      <c r="I19" s="26">
        <f t="shared" si="0"/>
        <v>28.89</v>
      </c>
    </row>
    <row r="20" spans="2:9" x14ac:dyDescent="0.25">
      <c r="B20" s="62" t="s">
        <v>96</v>
      </c>
      <c r="C20" s="22" t="str">
        <f>VLOOKUP(B20,[1]!Table3[[Part Number]:[Make and Model]],2,0)</f>
        <v xml:space="preserve">CAT 299D (DX2)                                            </v>
      </c>
      <c r="D20" s="22" t="str">
        <f>VLOOKUP(B20,[1]!Table3[[Part Number]:[Part Description]],3,0)</f>
        <v>SECONDARY AIR FILTER ELEMENT</v>
      </c>
      <c r="E20" s="23">
        <f>VLOOKUP(B20,'[1]Product by Part Number'!$A:$J,10,0)</f>
        <v>1</v>
      </c>
      <c r="F20" s="24">
        <f>VLOOKUP(B20,[1]!Table3[[Part Number]:[OEM CAD $]],4,0)</f>
        <v>54.17</v>
      </c>
      <c r="G20" s="25">
        <f t="shared" si="1"/>
        <v>54.17</v>
      </c>
      <c r="H20" s="25">
        <f>VLOOKUP(B20,[1]!Table3[[Part Number]:[GQP CAD $]],5,0)</f>
        <v>20.58</v>
      </c>
      <c r="I20" s="26">
        <f t="shared" si="0"/>
        <v>20.58</v>
      </c>
    </row>
    <row r="21" spans="2:9" x14ac:dyDescent="0.25">
      <c r="B21" s="62" t="s">
        <v>97</v>
      </c>
      <c r="C21" s="22" t="str">
        <f>VLOOKUP(B21,[1]!Table3[[Part Number]:[Make and Model]],2,0)</f>
        <v xml:space="preserve">CAT D6T (MH7)                                            </v>
      </c>
      <c r="D21" s="22" t="str">
        <f>VLOOKUP(B21,[1]!Table3[[Part Number]:[Part Description]],3,0)</f>
        <v>CABIN AIR FILTER ELEMENT</v>
      </c>
      <c r="E21" s="23">
        <f>VLOOKUP(B21,'[1]Product by Part Number'!$A:$J,10,0)</f>
        <v>1</v>
      </c>
      <c r="F21" s="24">
        <f>VLOOKUP(B21,[1]!Table3[[Part Number]:[OEM CAD $]],4,0)</f>
        <v>43.37</v>
      </c>
      <c r="G21" s="25">
        <f t="shared" si="1"/>
        <v>43.37</v>
      </c>
      <c r="H21" s="25">
        <f>VLOOKUP(B21,[1]!Table3[[Part Number]:[GQP CAD $]],5,0)</f>
        <v>16.48</v>
      </c>
      <c r="I21" s="26">
        <f t="shared" si="0"/>
        <v>16.48</v>
      </c>
    </row>
    <row r="22" spans="2:9" x14ac:dyDescent="0.25">
      <c r="B22" s="62" t="s">
        <v>98</v>
      </c>
      <c r="C22" s="22" t="str">
        <f>VLOOKUP(B22,[1]!Table3[[Part Number]:[Make and Model]],2,0)</f>
        <v xml:space="preserve">CAT 320E L (WBK) CAT 320E L (WBK) (2) CAT 320F L (YBM)                                        </v>
      </c>
      <c r="D22" s="22" t="str">
        <f>VLOOKUP(B22,[1]!Table3[[Part Number]:[Part Description]],3,0)</f>
        <v>SECONDARY AIR FILTER ELEMENT</v>
      </c>
      <c r="E22" s="23">
        <f>VLOOKUP(B22,'[1]Product by Part Number'!$A:$J,10,0)</f>
        <v>3</v>
      </c>
      <c r="F22" s="24">
        <f>VLOOKUP(B22,[1]!Table3[[Part Number]:[OEM CAD $]],4,0)</f>
        <v>97.91</v>
      </c>
      <c r="G22" s="25">
        <f t="shared" si="1"/>
        <v>293.73</v>
      </c>
      <c r="H22" s="25">
        <f>VLOOKUP(B22,[1]!Table3[[Part Number]:[GQP CAD $]],5,0)</f>
        <v>37.21</v>
      </c>
      <c r="I22" s="26">
        <f t="shared" si="0"/>
        <v>111.63</v>
      </c>
    </row>
    <row r="23" spans="2:9" x14ac:dyDescent="0.25">
      <c r="B23" s="62" t="s">
        <v>99</v>
      </c>
      <c r="C23" s="22" t="str">
        <f>VLOOKUP(B23,[1]!Table3[[Part Number]:[Make and Model]],2,0)</f>
        <v xml:space="preserve">CAT 320E L (WBK) CAT 320E L (WBK) (2) CAT 320F L (YBM)                                        </v>
      </c>
      <c r="D23" s="22" t="str">
        <f>VLOOKUP(B23,[1]!Table3[[Part Number]:[Part Description]],3,0)</f>
        <v>PRIMARY AIR FILTER ELEMENT</v>
      </c>
      <c r="E23" s="23">
        <f>VLOOKUP(B23,'[1]Product by Part Number'!$A:$J,10,0)</f>
        <v>3</v>
      </c>
      <c r="F23" s="24">
        <f>VLOOKUP(B23,[1]!Table3[[Part Number]:[OEM CAD $]],4,0)</f>
        <v>120.35</v>
      </c>
      <c r="G23" s="25">
        <f t="shared" si="1"/>
        <v>361.04999999999995</v>
      </c>
      <c r="H23" s="25">
        <f>VLOOKUP(B23,[1]!Table3[[Part Number]:[GQP CAD $]],5,0)</f>
        <v>45.73</v>
      </c>
      <c r="I23" s="26">
        <f t="shared" si="0"/>
        <v>137.19</v>
      </c>
    </row>
    <row r="24" spans="2:9" x14ac:dyDescent="0.25">
      <c r="B24" s="62" t="s">
        <v>100</v>
      </c>
      <c r="C24" s="22" t="str">
        <f>VLOOKUP(B24,[1]!Table3[[Part Number]:[Make and Model]],2,0)</f>
        <v xml:space="preserve">CAT 303.5E                                            </v>
      </c>
      <c r="D24" s="22" t="str">
        <f>VLOOKUP(B24,[1]!Table3[[Part Number]:[Part Description]],3,0)</f>
        <v>PRIMARY AIR FILTER ELEMENT</v>
      </c>
      <c r="E24" s="23">
        <f>VLOOKUP(B24,'[1]Product by Part Number'!$A:$J,10,0)</f>
        <v>1</v>
      </c>
      <c r="F24" s="24">
        <f>VLOOKUP(B24,[1]!Table3[[Part Number]:[OEM CAD $]],4,0)</f>
        <v>67.33</v>
      </c>
      <c r="G24" s="25">
        <f t="shared" si="1"/>
        <v>67.33</v>
      </c>
      <c r="H24" s="25">
        <f>VLOOKUP(B24,[1]!Table3[[Part Number]:[GQP CAD $]],5,0)</f>
        <v>25.59</v>
      </c>
      <c r="I24" s="26">
        <f t="shared" si="0"/>
        <v>25.59</v>
      </c>
    </row>
    <row r="25" spans="2:9" x14ac:dyDescent="0.25">
      <c r="B25" s="62" t="s">
        <v>101</v>
      </c>
      <c r="C25" s="22" t="str">
        <f>VLOOKUP(B25,[1]!Table3[[Part Number]:[Make and Model]],2,0)</f>
        <v xml:space="preserve">CAT 303.5E                                            </v>
      </c>
      <c r="D25" s="22" t="str">
        <f>VLOOKUP(B25,[1]!Table3[[Part Number]:[Part Description]],3,0)</f>
        <v>SECONDARY AIR FILTER ELEMENT</v>
      </c>
      <c r="E25" s="23">
        <f>VLOOKUP(B25,'[1]Product by Part Number'!$A:$J,10,0)</f>
        <v>1</v>
      </c>
      <c r="F25" s="24">
        <f>VLOOKUP(B25,[1]!Table3[[Part Number]:[OEM CAD $]],4,0)</f>
        <v>61.69</v>
      </c>
      <c r="G25" s="25">
        <f t="shared" si="1"/>
        <v>61.69</v>
      </c>
      <c r="H25" s="25">
        <f>VLOOKUP(B25,[1]!Table3[[Part Number]:[GQP CAD $]],5,0)</f>
        <v>23.44</v>
      </c>
      <c r="I25" s="26">
        <f t="shared" si="0"/>
        <v>23.44</v>
      </c>
    </row>
    <row r="26" spans="2:9" x14ac:dyDescent="0.25">
      <c r="B26" s="62" t="s">
        <v>102</v>
      </c>
      <c r="C26" s="22" t="str">
        <f>VLOOKUP(B26,[1]!Table3[[Part Number]:[Make and Model]],2,0)</f>
        <v xml:space="preserve">CAT 336F L (RKB)                                            </v>
      </c>
      <c r="D26" s="22" t="str">
        <f>VLOOKUP(B26,[1]!Table3[[Part Number]:[Part Description]],3,0)</f>
        <v>PRIMARY AIR FILTER ELEMENT</v>
      </c>
      <c r="E26" s="23">
        <f>VLOOKUP(B26,'[1]Product by Part Number'!$A:$J,10,0)</f>
        <v>1</v>
      </c>
      <c r="F26" s="24">
        <f>VLOOKUP(B26,[1]!Table3[[Part Number]:[OEM CAD $]],4,0)</f>
        <v>201.81</v>
      </c>
      <c r="G26" s="25">
        <f t="shared" si="1"/>
        <v>201.81</v>
      </c>
      <c r="H26" s="25">
        <f>VLOOKUP(B26,[1]!Table3[[Part Number]:[GQP CAD $]],5,0)</f>
        <v>76.69</v>
      </c>
      <c r="I26" s="26">
        <f t="shared" si="0"/>
        <v>76.69</v>
      </c>
    </row>
    <row r="27" spans="2:9" x14ac:dyDescent="0.25">
      <c r="B27" s="62" t="s">
        <v>103</v>
      </c>
      <c r="C27" s="22" t="str">
        <f>VLOOKUP(B27,[1]!Table3[[Part Number]:[Make and Model]],2,0)</f>
        <v xml:space="preserve">CAT 336F L (RKB)                                            </v>
      </c>
      <c r="D27" s="22" t="str">
        <f>VLOOKUP(B27,[1]!Table3[[Part Number]:[Part Description]],3,0)</f>
        <v>SECONDARY AIR FILTER ELEMENT</v>
      </c>
      <c r="E27" s="23">
        <f>VLOOKUP(B27,'[1]Product by Part Number'!$A:$J,10,0)</f>
        <v>1</v>
      </c>
      <c r="F27" s="24">
        <f>VLOOKUP(B27,[1]!Table3[[Part Number]:[OEM CAD $]],4,0)</f>
        <v>119.45</v>
      </c>
      <c r="G27" s="25">
        <f t="shared" si="1"/>
        <v>119.45</v>
      </c>
      <c r="H27" s="25">
        <f>VLOOKUP(B27,[1]!Table3[[Part Number]:[GQP CAD $]],5,0)</f>
        <v>45.39</v>
      </c>
      <c r="I27" s="26">
        <f t="shared" si="0"/>
        <v>45.39</v>
      </c>
    </row>
    <row r="28" spans="2:9" x14ac:dyDescent="0.25">
      <c r="B28" s="62" t="s">
        <v>104</v>
      </c>
      <c r="C28" s="22" t="str">
        <f>VLOOKUP(B28,[1]!Table3[[Part Number]:[Make and Model]],2,0)</f>
        <v xml:space="preserve">CAT D6N LGP (PBA) CAT D6N LGP (PBA) (2)                                          </v>
      </c>
      <c r="D28" s="22" t="str">
        <f>VLOOKUP(B28,[1]!Table3[[Part Number]:[Part Description]],3,0)</f>
        <v>PRIMARY CABIN AIR FILTER ELEMENT</v>
      </c>
      <c r="E28" s="23">
        <f>VLOOKUP(B28,'[1]Product by Part Number'!$A:$J,10,0)</f>
        <v>2</v>
      </c>
      <c r="F28" s="24">
        <f>VLOOKUP(B28,[1]!Table3[[Part Number]:[OEM CAD $]],4,0)</f>
        <v>112.48</v>
      </c>
      <c r="G28" s="25">
        <f t="shared" si="1"/>
        <v>224.96</v>
      </c>
      <c r="H28" s="25">
        <f>VLOOKUP(B28,[1]!Table3[[Part Number]:[GQP CAD $]],5,0)</f>
        <v>42.74</v>
      </c>
      <c r="I28" s="26">
        <f t="shared" si="0"/>
        <v>85.48</v>
      </c>
    </row>
    <row r="29" spans="2:9" x14ac:dyDescent="0.25">
      <c r="B29" s="62" t="s">
        <v>41</v>
      </c>
      <c r="C29" s="22" t="str">
        <f>VLOOKUP(B29,[1]!Table3[[Part Number]:[Make and Model]],2,0)</f>
        <v xml:space="preserve">CAT PL61 (WGS) CAT PL61 (WGS) (2) CAT PL61 (WGS) (3)                                        </v>
      </c>
      <c r="D29" s="22" t="str">
        <f>VLOOKUP(B29,[1]!Table3[[Part Number]:[Part Description]],3,0)</f>
        <v>CABIN AIR FILTER ELEMENT</v>
      </c>
      <c r="E29" s="23">
        <f>VLOOKUP(B29,'[1]Product by Part Number'!$A:$J,10,0)</f>
        <v>3</v>
      </c>
      <c r="F29" s="24">
        <f>VLOOKUP(B29,[1]!Table3[[Part Number]:[OEM CAD $]],4,0)</f>
        <v>85.17</v>
      </c>
      <c r="G29" s="25">
        <f t="shared" si="1"/>
        <v>255.51</v>
      </c>
      <c r="H29" s="25">
        <f>VLOOKUP(B29,[1]!Table3[[Part Number]:[GQP CAD $]],5,0)</f>
        <v>32.36</v>
      </c>
      <c r="I29" s="26">
        <f t="shared" si="0"/>
        <v>97.08</v>
      </c>
    </row>
    <row r="30" spans="2:9" x14ac:dyDescent="0.25">
      <c r="B30" s="62" t="s">
        <v>45</v>
      </c>
      <c r="C30" s="22" t="str">
        <f>VLOOKUP(B30,[1]!Table3[[Part Number]:[Make and Model]],2,0)</f>
        <v xml:space="preserve">CAT D6N LGP (GHS) CAT PL61 (WGS) CAT PL61 (WGS) (2) CAT PL61 (WGS) (3)                                      </v>
      </c>
      <c r="D30" s="22" t="str">
        <f>VLOOKUP(B30,[1]!Table3[[Part Number]:[Part Description]],3,0)</f>
        <v>PRIMARY AIR FILTER ELEMENT</v>
      </c>
      <c r="E30" s="23">
        <f>VLOOKUP(B30,'[1]Product by Part Number'!$A:$J,10,0)</f>
        <v>4</v>
      </c>
      <c r="F30" s="24">
        <f>VLOOKUP(B30,[1]!Table3[[Part Number]:[OEM CAD $]],4,0)</f>
        <v>221.03</v>
      </c>
      <c r="G30" s="25">
        <f t="shared" si="1"/>
        <v>884.12</v>
      </c>
      <c r="H30" s="25">
        <f>VLOOKUP(B30,[1]!Table3[[Part Number]:[GQP CAD $]],5,0)</f>
        <v>83.99</v>
      </c>
      <c r="I30" s="26">
        <f t="shared" si="0"/>
        <v>335.96</v>
      </c>
    </row>
    <row r="31" spans="2:9" x14ac:dyDescent="0.25">
      <c r="B31" s="62" t="s">
        <v>46</v>
      </c>
      <c r="C31" s="22" t="str">
        <f>VLOOKUP(B31,[1]!Table3[[Part Number]:[Make and Model]],2,0)</f>
        <v xml:space="preserve">CAT D6N LGP (GHS) CAT PL61 (WGS) CAT PL61 (WGS) (2) CAT PL61 (WGS) (3)                                      </v>
      </c>
      <c r="D31" s="22" t="str">
        <f>VLOOKUP(B31,[1]!Table3[[Part Number]:[Part Description]],3,0)</f>
        <v>SECONDARY AIR FILTER ELEMENT</v>
      </c>
      <c r="E31" s="23">
        <f>VLOOKUP(B31,'[1]Product by Part Number'!$A:$J,10,0)</f>
        <v>4</v>
      </c>
      <c r="F31" s="24">
        <f>VLOOKUP(B31,[1]!Table3[[Part Number]:[OEM CAD $]],4,0)</f>
        <v>152.66999999999999</v>
      </c>
      <c r="G31" s="25">
        <f t="shared" si="1"/>
        <v>610.67999999999995</v>
      </c>
      <c r="H31" s="25">
        <f>VLOOKUP(B31,[1]!Table3[[Part Number]:[GQP CAD $]],5,0)</f>
        <v>58.01</v>
      </c>
      <c r="I31" s="26">
        <f t="shared" si="0"/>
        <v>232.04</v>
      </c>
    </row>
    <row r="32" spans="2:9" x14ac:dyDescent="0.25">
      <c r="B32" s="62" t="s">
        <v>105</v>
      </c>
      <c r="C32" s="22" t="str">
        <f>VLOOKUP(B32,[1]!Table3[[Part Number]:[Make and Model]],2,0)</f>
        <v xml:space="preserve">CAT 299D (DX2)                                            </v>
      </c>
      <c r="D32" s="22" t="str">
        <f>VLOOKUP(B32,[1]!Table3[[Part Number]:[Part Description]],3,0)</f>
        <v>CABIN AIR FILTER ELEMENT</v>
      </c>
      <c r="E32" s="23">
        <f>VLOOKUP(B32,'[1]Product by Part Number'!$A:$J,10,0)</f>
        <v>1</v>
      </c>
      <c r="F32" s="24">
        <f>VLOOKUP(B32,[1]!Table3[[Part Number]:[OEM CAD $]],4,0)</f>
        <v>37.51</v>
      </c>
      <c r="G32" s="25">
        <f t="shared" si="1"/>
        <v>37.51</v>
      </c>
      <c r="H32" s="25">
        <f>VLOOKUP(B32,[1]!Table3[[Part Number]:[GQP CAD $]],5,0)</f>
        <v>14.25</v>
      </c>
      <c r="I32" s="26">
        <f t="shared" si="0"/>
        <v>14.25</v>
      </c>
    </row>
    <row r="33" spans="2:9" x14ac:dyDescent="0.25">
      <c r="B33" s="62" t="s">
        <v>106</v>
      </c>
      <c r="C33" s="22" t="str">
        <f>VLOOKUP(B33,[1]!Table3[[Part Number]:[Make and Model]],2,0)</f>
        <v xml:space="preserve">CAT 303.5E                                            </v>
      </c>
      <c r="D33" s="22" t="str">
        <f>VLOOKUP(B33,[1]!Table3[[Part Number]:[Part Description]],3,0)</f>
        <v>CABIN AIR FILTER ELEMENT</v>
      </c>
      <c r="E33" s="23">
        <f>VLOOKUP(B33,'[1]Product by Part Number'!$A:$J,10,0)</f>
        <v>1</v>
      </c>
      <c r="F33" s="24">
        <f>VLOOKUP(B33,[1]!Table3[[Part Number]:[OEM CAD $]],4,0)</f>
        <v>98.39</v>
      </c>
      <c r="G33" s="25">
        <f t="shared" si="1"/>
        <v>98.39</v>
      </c>
      <c r="H33" s="25">
        <f>VLOOKUP(B33,[1]!Table3[[Part Number]:[GQP CAD $]],5,0)</f>
        <v>37.39</v>
      </c>
      <c r="I33" s="26">
        <f t="shared" si="0"/>
        <v>37.39</v>
      </c>
    </row>
    <row r="34" spans="2:9" x14ac:dyDescent="0.25">
      <c r="B34" s="62" t="s">
        <v>107</v>
      </c>
      <c r="C34" s="22" t="str">
        <f>VLOOKUP(B34,[1]!Table3[[Part Number]:[Make and Model]],2,0)</f>
        <v xml:space="preserve">CAT D4 (66J)                                            </v>
      </c>
      <c r="D34" s="22" t="str">
        <f>VLOOKUP(B34,[1]!Table3[[Part Number]:[Part Description]],3,0)</f>
        <v>SECONDARY AIR FILTER ELEMENT</v>
      </c>
      <c r="E34" s="23">
        <f>VLOOKUP(B34,'[1]Product by Part Number'!$A:$J,10,0)</f>
        <v>1</v>
      </c>
      <c r="F34" s="24">
        <f>VLOOKUP(B34,[1]!Table3[[Part Number]:[OEM CAD $]],4,0)</f>
        <v>111.66</v>
      </c>
      <c r="G34" s="25">
        <f t="shared" si="1"/>
        <v>111.66</v>
      </c>
      <c r="H34" s="25">
        <f>VLOOKUP(B34,[1]!Table3[[Part Number]:[GQP CAD $]],5,0)</f>
        <v>42.43</v>
      </c>
      <c r="I34" s="26">
        <f t="shared" si="0"/>
        <v>42.43</v>
      </c>
    </row>
    <row r="35" spans="2:9" x14ac:dyDescent="0.25">
      <c r="B35" s="62" t="s">
        <v>108</v>
      </c>
      <c r="C35" s="22" t="str">
        <f>VLOOKUP(B35,[1]!Table3[[Part Number]:[Make and Model]],2,0)</f>
        <v xml:space="preserve">CAT 561 (85H) CAT 561 (92J) CAT 561 (92J) (2)                                        </v>
      </c>
      <c r="D35" s="22" t="str">
        <f>VLOOKUP(B35,[1]!Table3[[Part Number]:[Part Description]],3,0)</f>
        <v>SECONDARY AIR FILTER</v>
      </c>
      <c r="E35" s="23">
        <f>VLOOKUP(B35,'[1]Product by Part Number'!$A:$J,10,0)</f>
        <v>3</v>
      </c>
      <c r="F35" s="24">
        <f>VLOOKUP(B35,[1]!Table3[[Part Number]:[OEM CAD $]],4,0)</f>
        <v>160.44</v>
      </c>
      <c r="G35" s="25">
        <f t="shared" si="1"/>
        <v>481.32</v>
      </c>
      <c r="H35" s="25">
        <f>VLOOKUP(B35,[1]!Table3[[Part Number]:[GQP CAD $]],5,0)</f>
        <v>60.97</v>
      </c>
      <c r="I35" s="26">
        <f t="shared" si="0"/>
        <v>182.91</v>
      </c>
    </row>
    <row r="36" spans="2:9" x14ac:dyDescent="0.25">
      <c r="B36" s="62" t="s">
        <v>109</v>
      </c>
      <c r="C36" s="22" t="str">
        <f>VLOOKUP(B36,[1]!Table3[[Part Number]:[Make and Model]],2,0)</f>
        <v xml:space="preserve">CAT D6N LGP (PBA) CAT D6N LGP (PBA) (2) CAT D6N LGP (SGG) CAT D6N LGP (SGG) (2)                                      </v>
      </c>
      <c r="D36" s="22" t="str">
        <f>VLOOKUP(B36,[1]!Table3[[Part Number]:[Part Description]],3,0)</f>
        <v>SECONDARY CABIN AIR FILTER ELEMENT</v>
      </c>
      <c r="E36" s="23">
        <f>VLOOKUP(B36,'[1]Product by Part Number'!$A:$J,10,0)</f>
        <v>6</v>
      </c>
      <c r="F36" s="24">
        <f>VLOOKUP(B36,[1]!Table3[[Part Number]:[OEM CAD $]],4,0)</f>
        <v>79.09</v>
      </c>
      <c r="G36" s="25">
        <f t="shared" si="1"/>
        <v>474.54</v>
      </c>
      <c r="H36" s="25">
        <f>VLOOKUP(B36,[1]!Table3[[Part Number]:[GQP CAD $]],5,0)</f>
        <v>30.05</v>
      </c>
      <c r="I36" s="26">
        <f t="shared" si="0"/>
        <v>180.3</v>
      </c>
    </row>
    <row r="37" spans="2:9" x14ac:dyDescent="0.25">
      <c r="B37" s="62" t="s">
        <v>110</v>
      </c>
      <c r="C37" s="22" t="str">
        <f>VLOOKUP(B37,[1]!Table3[[Part Number]:[Make and Model]],2,0)</f>
        <v xml:space="preserve">CAT D6 (RDC) CAT D6T (MH7) CAT 561N (CPH) CAT 561N (CPH) (2) CAT 561N (CPH) (3) CAT 561N (CPH) (4) CAT 561N (CPH) (5)                                </v>
      </c>
      <c r="D37" s="22" t="str">
        <f>VLOOKUP(B37,[1]!Table3[[Part Number]:[Part Description]],3,0)</f>
        <v>SECONDARY AIR FILTER ELEMENT</v>
      </c>
      <c r="E37" s="23">
        <f>VLOOKUP(B37,'[1]Product by Part Number'!$A:$J,10,0)</f>
        <v>7</v>
      </c>
      <c r="F37" s="24">
        <f>VLOOKUP(B37,[1]!Table3[[Part Number]:[OEM CAD $]],4,0)</f>
        <v>109.02</v>
      </c>
      <c r="G37" s="25">
        <f t="shared" si="1"/>
        <v>763.14</v>
      </c>
      <c r="H37" s="25">
        <f>VLOOKUP(B37,[1]!Table3[[Part Number]:[GQP CAD $]],5,0)</f>
        <v>41.43</v>
      </c>
      <c r="I37" s="26">
        <f t="shared" si="0"/>
        <v>290.01</v>
      </c>
    </row>
    <row r="38" spans="2:9" x14ac:dyDescent="0.25">
      <c r="B38" s="62" t="s">
        <v>111</v>
      </c>
      <c r="C38" s="22" t="str">
        <f>VLOOKUP(B38,[1]!Table3[[Part Number]:[Make and Model]],2,0)</f>
        <v xml:space="preserve">CAT D6N LGP (PBA) CAT D6N LGP (PBA) (2)                                          </v>
      </c>
      <c r="D38" s="22" t="str">
        <f>VLOOKUP(B38,[1]!Table3[[Part Number]:[Part Description]],3,0)</f>
        <v>SECONDARY AIR FILTER ELEMENT</v>
      </c>
      <c r="E38" s="23">
        <f>VLOOKUP(B38,'[1]Product by Part Number'!$A:$J,10,0)</f>
        <v>2</v>
      </c>
      <c r="F38" s="24">
        <f>VLOOKUP(B38,[1]!Table3[[Part Number]:[OEM CAD $]],4,0)</f>
        <v>137.53</v>
      </c>
      <c r="G38" s="25">
        <f t="shared" si="1"/>
        <v>275.06</v>
      </c>
      <c r="H38" s="25">
        <f>VLOOKUP(B38,[1]!Table3[[Part Number]:[GQP CAD $]],5,0)</f>
        <v>52.26</v>
      </c>
      <c r="I38" s="26">
        <f t="shared" si="0"/>
        <v>104.52</v>
      </c>
    </row>
    <row r="39" spans="2:9" x14ac:dyDescent="0.25">
      <c r="B39" s="62" t="s">
        <v>112</v>
      </c>
      <c r="C39" s="22" t="str">
        <f>VLOOKUP(B39,[1]!Table3[[Part Number]:[Make and Model]],2,0)</f>
        <v xml:space="preserve">CAT 329E L (ZCD) CAT 329F L (ERL) CAT 329F L (ERL) (2) CAT 330F L (MBX) CAT 330F L (HCK) CAT 330F L (HCK) (2)                                  </v>
      </c>
      <c r="D39" s="22" t="str">
        <f>VLOOKUP(B39,[1]!Table3[[Part Number]:[Part Description]],3,0)</f>
        <v>CABIN AIR FILTER ELEMENT</v>
      </c>
      <c r="E39" s="23">
        <f>VLOOKUP(B39,'[1]Product by Part Number'!$A:$J,10,0)</f>
        <v>6</v>
      </c>
      <c r="F39" s="24">
        <f>VLOOKUP(B39,[1]!Table3[[Part Number]:[OEM CAD $]],4,0)</f>
        <v>94.42</v>
      </c>
      <c r="G39" s="25">
        <f t="shared" si="1"/>
        <v>566.52</v>
      </c>
      <c r="H39" s="25">
        <f>VLOOKUP(B39,[1]!Table3[[Part Number]:[GQP CAD $]],5,0)</f>
        <v>35.880000000000003</v>
      </c>
      <c r="I39" s="26">
        <f t="shared" si="0"/>
        <v>215.28</v>
      </c>
    </row>
    <row r="40" spans="2:9" x14ac:dyDescent="0.25">
      <c r="B40" s="62" t="s">
        <v>113</v>
      </c>
      <c r="C40" s="22" t="str">
        <f>VLOOKUP(B40,[1]!Table3[[Part Number]:[Make and Model]],2,0)</f>
        <v xml:space="preserve">CAT 561N (CPH) CAT 561N (CPH) (2) CAT 561N (CPH) (3) CAT 561N (CPH) (4) CAT 561N (CPH) (5)                                    </v>
      </c>
      <c r="D40" s="22" t="str">
        <f>VLOOKUP(B40,[1]!Table3[[Part Number]:[Part Description]],3,0)</f>
        <v>CABIN AIR FILTER ELEMENT</v>
      </c>
      <c r="E40" s="23">
        <f>VLOOKUP(B40,'[1]Product by Part Number'!$A:$J,10,0)</f>
        <v>5</v>
      </c>
      <c r="F40" s="24">
        <f>VLOOKUP(B40,[1]!Table3[[Part Number]:[OEM CAD $]],4,0)</f>
        <v>1076.32</v>
      </c>
      <c r="G40" s="25">
        <f t="shared" si="1"/>
        <v>5381.5999999999995</v>
      </c>
      <c r="H40" s="25">
        <f>VLOOKUP(B40,[1]!Table3[[Part Number]:[GQP CAD $]],5,0)</f>
        <v>409</v>
      </c>
      <c r="I40" s="26">
        <f t="shared" si="0"/>
        <v>2045</v>
      </c>
    </row>
    <row r="41" spans="2:9" x14ac:dyDescent="0.25">
      <c r="B41" s="62" t="s">
        <v>114</v>
      </c>
      <c r="C41" s="22" t="str">
        <f>VLOOKUP(B41,[1]!Table3[[Part Number]:[Make and Model]],2,0)</f>
        <v xml:space="preserve">CAT 320 (HEX) CAT 320 (MYK) CAT 320 (MYK) (2)                                        </v>
      </c>
      <c r="D41" s="22" t="str">
        <f>VLOOKUP(B41,[1]!Table3[[Part Number]:[Part Description]],3,0)</f>
        <v>PRIMARY AIR FILTER ELEMENT</v>
      </c>
      <c r="E41" s="23">
        <f>VLOOKUP(B41,'[1]Product by Part Number'!$A:$J,10,0)</f>
        <v>3</v>
      </c>
      <c r="F41" s="24">
        <f>VLOOKUP(B41,[1]!Table3[[Part Number]:[OEM CAD $]],4,0)</f>
        <v>244.2</v>
      </c>
      <c r="G41" s="25">
        <f t="shared" si="1"/>
        <v>732.59999999999991</v>
      </c>
      <c r="H41" s="25">
        <f>VLOOKUP(B41,[1]!Table3[[Part Number]:[GQP CAD $]],5,0)</f>
        <v>92.8</v>
      </c>
      <c r="I41" s="26">
        <f t="shared" si="0"/>
        <v>278.39999999999998</v>
      </c>
    </row>
    <row r="42" spans="2:9" x14ac:dyDescent="0.25">
      <c r="B42" s="62" t="s">
        <v>115</v>
      </c>
      <c r="C42" s="22" t="str">
        <f>VLOOKUP(B42,[1]!Table3[[Part Number]:[Make and Model]],2,0)</f>
        <v xml:space="preserve">CAT 320 (HEX) CAT 320 (MYK) CAT 320 (MYK) (2)                                        </v>
      </c>
      <c r="D42" s="22" t="str">
        <f>VLOOKUP(B42,[1]!Table3[[Part Number]:[Part Description]],3,0)</f>
        <v>SECONDARY AIR FILTER ELEMENT</v>
      </c>
      <c r="E42" s="23">
        <f>VLOOKUP(B42,'[1]Product by Part Number'!$A:$J,10,0)</f>
        <v>3</v>
      </c>
      <c r="F42" s="24">
        <f>VLOOKUP(B42,[1]!Table3[[Part Number]:[OEM CAD $]],4,0)</f>
        <v>133.28</v>
      </c>
      <c r="G42" s="25">
        <f t="shared" si="1"/>
        <v>399.84000000000003</v>
      </c>
      <c r="H42" s="25">
        <f>VLOOKUP(B42,[1]!Table3[[Part Number]:[GQP CAD $]],5,0)</f>
        <v>50.65</v>
      </c>
      <c r="I42" s="26">
        <f t="shared" si="0"/>
        <v>151.94999999999999</v>
      </c>
    </row>
    <row r="43" spans="2:9" x14ac:dyDescent="0.25">
      <c r="B43" s="62" t="s">
        <v>116</v>
      </c>
      <c r="C43" s="22" t="str">
        <f>VLOOKUP(B43,[1]!Table3[[Part Number]:[Make and Model]],2,0)</f>
        <v xml:space="preserve">CAT 330 (LHW) CAT 330 (LHW) (2) CAT 330 (LHW) (3) CAT 330 (LHW) (4) CAT 330 (WCH) CAT 330 (WCH) (2) CAT 330 (WCH) (3) CAT 330 (WCH) (4) CAT 330 (WCH) (5) CAT 330 (WCH) (6)                          </v>
      </c>
      <c r="D43" s="22" t="str">
        <f>VLOOKUP(B43,[1]!Table3[[Part Number]:[Part Description]],3,0)</f>
        <v>PRIMARY AIR FILTER ELEMENT</v>
      </c>
      <c r="E43" s="23">
        <f>VLOOKUP(B43,'[1]Product by Part Number'!$A:$J,10,0)</f>
        <v>10</v>
      </c>
      <c r="F43" s="24">
        <f>VLOOKUP(B43,[1]!Table3[[Part Number]:[OEM CAD $]],4,0)</f>
        <v>307.85000000000002</v>
      </c>
      <c r="G43" s="25">
        <f t="shared" si="1"/>
        <v>3078.5</v>
      </c>
      <c r="H43" s="25">
        <f>VLOOKUP(B43,[1]!Table3[[Part Number]:[GQP CAD $]],5,0)</f>
        <v>116.98</v>
      </c>
      <c r="I43" s="26">
        <f t="shared" si="0"/>
        <v>1169.8</v>
      </c>
    </row>
    <row r="44" spans="2:9" x14ac:dyDescent="0.25">
      <c r="B44" s="62" t="s">
        <v>117</v>
      </c>
      <c r="C44" s="22" t="str">
        <f>VLOOKUP(B44,[1]!Table3[[Part Number]:[Make and Model]],2,0)</f>
        <v xml:space="preserve">CAT 330 (LHW) CAT 330 (LHW) (2) CAT 330 (LHW) (3) CAT 330 (LHW) (4) CAT 330 (WCH) CAT 330 (WCH) (2) CAT 330 (WCH) (3) CAT 330 (WCH) (4) CAT 330 (WCH) (5) CAT 330 (WCH) (6)                          </v>
      </c>
      <c r="D44" s="22" t="str">
        <f>VLOOKUP(B44,[1]!Table3[[Part Number]:[Part Description]],3,0)</f>
        <v>SECONDAY AIR FILTER ELEMENT</v>
      </c>
      <c r="E44" s="23">
        <f>VLOOKUP(B44,'[1]Product by Part Number'!$A:$J,10,0)</f>
        <v>10</v>
      </c>
      <c r="F44" s="24">
        <f>VLOOKUP(B44,[1]!Table3[[Part Number]:[OEM CAD $]],4,0)</f>
        <v>137.38</v>
      </c>
      <c r="G44" s="25">
        <f t="shared" si="1"/>
        <v>1373.8</v>
      </c>
      <c r="H44" s="25">
        <f>VLOOKUP(B44,[1]!Table3[[Part Number]:[GQP CAD $]],5,0)</f>
        <v>52.2</v>
      </c>
      <c r="I44" s="26">
        <f t="shared" si="0"/>
        <v>522</v>
      </c>
    </row>
    <row r="45" spans="2:9" x14ac:dyDescent="0.25">
      <c r="B45" s="62" t="s">
        <v>118</v>
      </c>
      <c r="C45" s="22" t="str">
        <f>VLOOKUP(B45,[1]!Table3[[Part Number]:[Make and Model]],2,0)</f>
        <v xml:space="preserve">CAT D3 (1PJ)                                            </v>
      </c>
      <c r="D45" s="22" t="str">
        <f>VLOOKUP(B45,[1]!Table3[[Part Number]:[Part Description]],3,0)</f>
        <v>SECONDARY AIR FILTER ELEMENT</v>
      </c>
      <c r="E45" s="23">
        <f>VLOOKUP(B45,'[1]Product by Part Number'!$A:$J,10,0)</f>
        <v>1</v>
      </c>
      <c r="F45" s="24">
        <f>VLOOKUP(B45,[1]!Table3[[Part Number]:[OEM CAD $]],4,0)</f>
        <v>77.260000000000005</v>
      </c>
      <c r="G45" s="25">
        <f t="shared" si="1"/>
        <v>77.260000000000005</v>
      </c>
      <c r="H45" s="25">
        <f>VLOOKUP(B45,[1]!Table3[[Part Number]:[GQP CAD $]],5,0)</f>
        <v>29.36</v>
      </c>
      <c r="I45" s="26">
        <f t="shared" si="0"/>
        <v>29.36</v>
      </c>
    </row>
    <row r="46" spans="2:9" x14ac:dyDescent="0.25">
      <c r="B46" s="62" t="s">
        <v>119</v>
      </c>
      <c r="C46" s="22" t="str">
        <f>VLOOKUP(B46,[1]!Table3[[Part Number]:[Make and Model]],2,0)</f>
        <v xml:space="preserve">CAT D3 (1PJ)                                            </v>
      </c>
      <c r="D46" s="22" t="str">
        <f>VLOOKUP(B46,[1]!Table3[[Part Number]:[Part Description]],3,0)</f>
        <v>PRIMARY AIR FILTER ELEMENT</v>
      </c>
      <c r="E46" s="23">
        <f>VLOOKUP(B46,'[1]Product by Part Number'!$A:$J,10,0)</f>
        <v>1</v>
      </c>
      <c r="F46" s="24">
        <f>VLOOKUP(B46,[1]!Table3[[Part Number]:[OEM CAD $]],4,0)</f>
        <v>91.61</v>
      </c>
      <c r="G46" s="25">
        <f t="shared" si="1"/>
        <v>91.61</v>
      </c>
      <c r="H46" s="25">
        <f>VLOOKUP(B46,[1]!Table3[[Part Number]:[GQP CAD $]],5,0)</f>
        <v>34.81</v>
      </c>
      <c r="I46" s="26">
        <f t="shared" si="0"/>
        <v>34.81</v>
      </c>
    </row>
    <row r="47" spans="2:9" x14ac:dyDescent="0.25">
      <c r="B47" s="62" t="s">
        <v>120</v>
      </c>
      <c r="C47" s="22" t="str">
        <f>VLOOKUP(B47,[1]!Table3[[Part Number]:[Make and Model]],2,0)</f>
        <v xml:space="preserve">CAT 320 (HEX) CAT 320 (MYK) CAT 320 (MYK) (2) CAT 330 (LHW) CAT 330 (LHW) (2) CAT 330 (LHW) (3) CAT 330 (LHW) (4) CAT 330 (WCH) CAT 330 (WCH) (2) CAT 330 (WCH) (3) CAT 330 (WCH) (4) CAT 330 (WCH) (5) CAT 330 (WCH) (6)                    </v>
      </c>
      <c r="D47" s="22" t="str">
        <f>VLOOKUP(B47,[1]!Table3[[Part Number]:[Part Description]],3,0)</f>
        <v xml:space="preserve">CABIN AIR FILTER ELEMENT </v>
      </c>
      <c r="E47" s="23">
        <f>VLOOKUP(B47,'[1]Product by Part Number'!$A:$J,10,0)</f>
        <v>13</v>
      </c>
      <c r="F47" s="24">
        <f>VLOOKUP(B47,[1]!Table3[[Part Number]:[OEM CAD $]],4,0)</f>
        <v>87.85</v>
      </c>
      <c r="G47" s="25">
        <f t="shared" si="1"/>
        <v>1142.05</v>
      </c>
      <c r="H47" s="25">
        <f>VLOOKUP(B47,[1]!Table3[[Part Number]:[GQP CAD $]],5,0)</f>
        <v>33.380000000000003</v>
      </c>
      <c r="I47" s="26">
        <f t="shared" si="0"/>
        <v>433.94</v>
      </c>
    </row>
    <row r="48" spans="2:9" x14ac:dyDescent="0.25">
      <c r="B48" s="62" t="s">
        <v>121</v>
      </c>
      <c r="C48" s="22" t="str">
        <f>VLOOKUP(B48,[1]!Table3[[Part Number]:[Make and Model]],2,0)</f>
        <v xml:space="preserve">CAT D6N LGP (SGG) CAT D6N LGP (SGG) (2)                                          </v>
      </c>
      <c r="D48" s="22" t="str">
        <f>VLOOKUP(B48,[1]!Table3[[Part Number]:[Part Description]],3,0)</f>
        <v>PRIMARY AIR FILTER ELEMENT</v>
      </c>
      <c r="E48" s="23">
        <f>VLOOKUP(B48,'[1]Product by Part Number'!$A:$J,10,0)</f>
        <v>2</v>
      </c>
      <c r="F48" s="24">
        <f>VLOOKUP(B48,[1]!Table3[[Part Number]:[OEM CAD $]],4,0)</f>
        <v>136.4</v>
      </c>
      <c r="G48" s="25">
        <f t="shared" si="1"/>
        <v>272.8</v>
      </c>
      <c r="H48" s="25">
        <f>VLOOKUP(B48,[1]!Table3[[Part Number]:[GQP CAD $]],5,0)</f>
        <v>51.83</v>
      </c>
      <c r="I48" s="26">
        <f t="shared" si="0"/>
        <v>103.66</v>
      </c>
    </row>
    <row r="49" spans="2:9" x14ac:dyDescent="0.25">
      <c r="B49" s="62" t="s">
        <v>122</v>
      </c>
      <c r="C49" s="22" t="str">
        <f>VLOOKUP(B49,[1]!Table3[[Part Number]:[Make and Model]],2,0)</f>
        <v xml:space="preserve">CAT D6N LGP (SGG) CAT D6N LGP (SGG) (2)                                          </v>
      </c>
      <c r="D49" s="22" t="str">
        <f>VLOOKUP(B49,[1]!Table3[[Part Number]:[Part Description]],3,0)</f>
        <v>SECONDARY AIR FILTER ELEMENT</v>
      </c>
      <c r="E49" s="23">
        <f>VLOOKUP(B49,'[1]Product by Part Number'!$A:$J,10,0)</f>
        <v>2</v>
      </c>
      <c r="F49" s="24">
        <f>VLOOKUP(B49,[1]!Table3[[Part Number]:[OEM CAD $]],4,0)</f>
        <v>103.4</v>
      </c>
      <c r="G49" s="25">
        <f t="shared" si="1"/>
        <v>206.8</v>
      </c>
      <c r="H49" s="25">
        <f>VLOOKUP(B49,[1]!Table3[[Part Number]:[GQP CAD $]],5,0)</f>
        <v>39.29</v>
      </c>
      <c r="I49" s="26">
        <f t="shared" si="0"/>
        <v>78.58</v>
      </c>
    </row>
    <row r="50" spans="2:9" x14ac:dyDescent="0.25">
      <c r="B50" s="62" t="s">
        <v>123</v>
      </c>
      <c r="C50" s="22" t="str">
        <f>VLOOKUP(B50,[1]!Table3[[Part Number]:[Make and Model]],2,0)</f>
        <v xml:space="preserve">CAT D6N LGP (PBA) CAT D6N LGP (PBA) (2)                                          </v>
      </c>
      <c r="D50" s="22" t="str">
        <f>VLOOKUP(B50,[1]!Table3[[Part Number]:[Part Description]],3,0)</f>
        <v>PRIMARY AIR FILTER ELEMENT</v>
      </c>
      <c r="E50" s="23">
        <f>VLOOKUP(B50,'[1]Product by Part Number'!$A:$J,10,0)</f>
        <v>2</v>
      </c>
      <c r="F50" s="24">
        <f>VLOOKUP(B50,[1]!Table3[[Part Number]:[OEM CAD $]],4,0)</f>
        <v>225.94</v>
      </c>
      <c r="G50" s="25">
        <f t="shared" si="1"/>
        <v>451.88</v>
      </c>
      <c r="H50" s="25">
        <f>VLOOKUP(B50,[1]!Table3[[Part Number]:[GQP CAD $]],5,0)</f>
        <v>85.86</v>
      </c>
      <c r="I50" s="26">
        <f t="shared" si="0"/>
        <v>171.72</v>
      </c>
    </row>
    <row r="51" spans="2:9" x14ac:dyDescent="0.25">
      <c r="B51" s="62" t="s">
        <v>124</v>
      </c>
      <c r="C51" s="22" t="str">
        <f>VLOOKUP(B51,[1]!Table3[[Part Number]:[Make and Model]],2,0)</f>
        <v xml:space="preserve">CAT D6 (RDC)                                            </v>
      </c>
      <c r="D51" s="22" t="str">
        <f>VLOOKUP(B51,[1]!Table3[[Part Number]:[Part Description]],3,0)</f>
        <v>CABIN AIR FILTER ELEMENT</v>
      </c>
      <c r="E51" s="23">
        <f>VLOOKUP(B51,'[1]Product by Part Number'!$A:$J,10,0)</f>
        <v>1</v>
      </c>
      <c r="F51" s="24">
        <f>VLOOKUP(B51,[1]!Table3[[Part Number]:[OEM CAD $]],4,0)</f>
        <v>143.80000000000001</v>
      </c>
      <c r="G51" s="25">
        <f t="shared" si="1"/>
        <v>143.80000000000001</v>
      </c>
      <c r="H51" s="25">
        <f>VLOOKUP(B51,[1]!Table3[[Part Number]:[GQP CAD $]],5,0)</f>
        <v>54.64</v>
      </c>
      <c r="I51" s="26">
        <f t="shared" si="0"/>
        <v>54.64</v>
      </c>
    </row>
    <row r="52" spans="2:9" x14ac:dyDescent="0.25">
      <c r="B52" s="62" t="s">
        <v>125</v>
      </c>
      <c r="C52" s="22" t="str">
        <f>VLOOKUP(B52,[1]!Table3[[Part Number]:[Make and Model]],2,0)</f>
        <v xml:space="preserve">CAT D6 (RDC) CAT D6T (MH7) CAT 561N (CPH) CAT 561N (CPH) (2) CAT 561N (CPH) (3) CAT 561N (CPH) (4) CAT 561N (CPH) (5)                                </v>
      </c>
      <c r="D52" s="22" t="str">
        <f>VLOOKUP(B52,[1]!Table3[[Part Number]:[Part Description]],3,0)</f>
        <v>PRIMARY AIR FILTER ELEMENT</v>
      </c>
      <c r="E52" s="23">
        <f>VLOOKUP(B52,'[1]Product by Part Number'!$A:$J,10,0)</f>
        <v>7</v>
      </c>
      <c r="F52" s="24">
        <f>VLOOKUP(B52,[1]!Table3[[Part Number]:[OEM CAD $]],4,0)</f>
        <v>259.82</v>
      </c>
      <c r="G52" s="25">
        <f t="shared" si="1"/>
        <v>1818.74</v>
      </c>
      <c r="H52" s="25">
        <f>VLOOKUP(B52,[1]!Table3[[Part Number]:[GQP CAD $]],5,0)</f>
        <v>98.73</v>
      </c>
      <c r="I52" s="26">
        <f t="shared" si="0"/>
        <v>691.11</v>
      </c>
    </row>
    <row r="53" spans="2:9" x14ac:dyDescent="0.25">
      <c r="B53" s="62" t="s">
        <v>126</v>
      </c>
      <c r="C53" s="22" t="str">
        <f>VLOOKUP(B53,[1]!Table3[[Part Number]:[Make and Model]],2,0)</f>
        <v xml:space="preserve">CAT D5 (3CR) CAT D5 (3CR) (2) CAT 561M (1KW)                                        </v>
      </c>
      <c r="D53" s="22" t="str">
        <f>VLOOKUP(B53,[1]!Table3[[Part Number]:[Part Description]],3,0)</f>
        <v>PRIMARY AIR FILTER ELEMENT</v>
      </c>
      <c r="E53" s="23">
        <f>VLOOKUP(B53,'[1]Product by Part Number'!$A:$J,10,0)</f>
        <v>3</v>
      </c>
      <c r="F53" s="24">
        <f>VLOOKUP(B53,[1]!Table3[[Part Number]:[OEM CAD $]],4,0)</f>
        <v>110.04</v>
      </c>
      <c r="G53" s="25">
        <f t="shared" si="1"/>
        <v>330.12</v>
      </c>
      <c r="H53" s="25">
        <f>VLOOKUP(B53,[1]!Table3[[Part Number]:[GQP CAD $]],5,0)</f>
        <v>41.82</v>
      </c>
      <c r="I53" s="26">
        <f t="shared" si="0"/>
        <v>125.46</v>
      </c>
    </row>
    <row r="54" spans="2:9" x14ac:dyDescent="0.25">
      <c r="B54" s="62" t="s">
        <v>127</v>
      </c>
      <c r="C54" s="22" t="str">
        <f>VLOOKUP(B54,[1]!Table3[[Part Number]:[Make and Model]],2,0)</f>
        <v xml:space="preserve">CAT D5 (3CR) CAT D5 (3CR) (2) CAT 561M (1KW)                                        </v>
      </c>
      <c r="D54" s="22" t="str">
        <f>VLOOKUP(B54,[1]!Table3[[Part Number]:[Part Description]],3,0)</f>
        <v>SECONDARY AIR FILTER ELEMENT</v>
      </c>
      <c r="E54" s="23">
        <f>VLOOKUP(B54,'[1]Product by Part Number'!$A:$J,10,0)</f>
        <v>3</v>
      </c>
      <c r="F54" s="24">
        <f>VLOOKUP(B54,[1]!Table3[[Part Number]:[OEM CAD $]],4,0)</f>
        <v>81.73</v>
      </c>
      <c r="G54" s="25">
        <f t="shared" si="1"/>
        <v>245.19</v>
      </c>
      <c r="H54" s="25">
        <f>VLOOKUP(B54,[1]!Table3[[Part Number]:[GQP CAD $]],5,0)</f>
        <v>31.06</v>
      </c>
      <c r="I54" s="26">
        <f t="shared" si="0"/>
        <v>93.18</v>
      </c>
    </row>
    <row r="55" spans="2:9" x14ac:dyDescent="0.25">
      <c r="B55" s="62" t="s">
        <v>128</v>
      </c>
      <c r="C55" s="22" t="str">
        <f>VLOOKUP(B55,[1]!Table3[[Part Number]:[Make and Model]],2,0)</f>
        <v xml:space="preserve">CAT 329E L (ZCD) CAT 329F L (ERL) CAT 329F L (ERL) (2) CAT 330F L (MBX) CAT 330F L (HCK) CAT 330F L (HCK) (2)                                  </v>
      </c>
      <c r="D55" s="22" t="str">
        <f>VLOOKUP(B55,[1]!Table3[[Part Number]:[Part Description]],3,0)</f>
        <v>PRIMARY AIR FILTER ELEMENT</v>
      </c>
      <c r="E55" s="23">
        <f>VLOOKUP(B55,'[1]Product by Part Number'!$A:$J,10,0)</f>
        <v>6</v>
      </c>
      <c r="F55" s="24">
        <f>VLOOKUP(B55,[1]!Table3[[Part Number]:[OEM CAD $]],4,0)</f>
        <v>165.83</v>
      </c>
      <c r="G55" s="25">
        <f t="shared" si="1"/>
        <v>994.98</v>
      </c>
      <c r="H55" s="25">
        <f>VLOOKUP(B55,[1]!Table3[[Part Number]:[GQP CAD $]],5,0)</f>
        <v>63.02</v>
      </c>
      <c r="I55" s="26">
        <f t="shared" si="0"/>
        <v>378.12</v>
      </c>
    </row>
    <row r="56" spans="2:9" x14ac:dyDescent="0.25">
      <c r="B56" s="62" t="s">
        <v>129</v>
      </c>
      <c r="C56" s="22" t="str">
        <f>VLOOKUP(B56,[1]!Table3[[Part Number]:[Make and Model]],2,0)</f>
        <v xml:space="preserve">CAT 329E L (ZCD) CAT 329F L (ERL) CAT 329F L (ERL) (2) CAT 330F L (MBX) CAT 330F L (HCK) CAT 330F L (HCK) (2)                                  </v>
      </c>
      <c r="D56" s="22" t="str">
        <f>VLOOKUP(B56,[1]!Table3[[Part Number]:[Part Description]],3,0)</f>
        <v>SECONDARY AIR FILTER ELEMENT</v>
      </c>
      <c r="E56" s="23">
        <f>VLOOKUP(B56,'[1]Product by Part Number'!$A:$J,10,0)</f>
        <v>6</v>
      </c>
      <c r="F56" s="24">
        <f>VLOOKUP(B56,[1]!Table3[[Part Number]:[OEM CAD $]],4,0)</f>
        <v>117.3</v>
      </c>
      <c r="G56" s="25">
        <f t="shared" si="1"/>
        <v>703.8</v>
      </c>
      <c r="H56" s="25">
        <f>VLOOKUP(B56,[1]!Table3[[Part Number]:[GQP CAD $]],5,0)</f>
        <v>44.57</v>
      </c>
      <c r="I56" s="26">
        <f t="shared" si="0"/>
        <v>267.42</v>
      </c>
    </row>
    <row r="57" spans="2:9" x14ac:dyDescent="0.25">
      <c r="B57" s="62" t="s">
        <v>130</v>
      </c>
      <c r="C57" s="22" t="str">
        <f>VLOOKUP(B57,[1]!Table3[[Part Number]:[Make and Model]],2,0)</f>
        <v xml:space="preserve">CAT D7G (92V) CAT D7G (3ZD) CAT D7G (3ZD) (2)                                        </v>
      </c>
      <c r="D57" s="22" t="str">
        <f>VLOOKUP(B57,[1]!Table3[[Part Number]:[Part Description]],3,0)</f>
        <v>CABIN AIR FILTER ELEMENT</v>
      </c>
      <c r="E57" s="23">
        <f>VLOOKUP(B57,'[1]Product by Part Number'!$A:$J,10,0)</f>
        <v>3</v>
      </c>
      <c r="F57" s="24">
        <f>VLOOKUP(B57,[1]!Table3[[Part Number]:[OEM CAD $]],4,0)</f>
        <v>121.67</v>
      </c>
      <c r="G57" s="25">
        <f t="shared" si="1"/>
        <v>365.01</v>
      </c>
      <c r="H57" s="25">
        <f>VLOOKUP(B57,[1]!Table3[[Part Number]:[GQP CAD $]],5,0)</f>
        <v>46.23</v>
      </c>
      <c r="I57" s="26">
        <f t="shared" si="0"/>
        <v>138.69</v>
      </c>
    </row>
    <row r="58" spans="2:9" x14ac:dyDescent="0.25">
      <c r="B58" s="62" t="s">
        <v>131</v>
      </c>
      <c r="C58" s="22" t="str">
        <f>VLOOKUP(B58,[1]!Table3[[Part Number]:[Make and Model]],2,0)</f>
        <v xml:space="preserve">CAT D7G (92V) CAT D7G (3ZD) CAT D7G (3ZD) (2) CAT 561 (85H) CAT 561 (92J) CAT 561 (92J) (2)                                  </v>
      </c>
      <c r="D58" s="22" t="str">
        <f>VLOOKUP(B58,[1]!Table3[[Part Number]:[Part Description]],3,0)</f>
        <v>PRIMARY AIR FILTER ELEMENT</v>
      </c>
      <c r="E58" s="23">
        <f>VLOOKUP(B58,'[1]Product by Part Number'!$A:$J,10,0)</f>
        <v>6</v>
      </c>
      <c r="F58" s="24">
        <f>VLOOKUP(B58,[1]!Table3[[Part Number]:[OEM CAD $]],4,0)</f>
        <v>143.6</v>
      </c>
      <c r="G58" s="25">
        <f t="shared" si="1"/>
        <v>861.59999999999991</v>
      </c>
      <c r="H58" s="25">
        <f>VLOOKUP(B58,[1]!Table3[[Part Number]:[GQP CAD $]],5,0)</f>
        <v>54.57</v>
      </c>
      <c r="I58" s="26">
        <f t="shared" si="0"/>
        <v>327.42</v>
      </c>
    </row>
    <row r="59" spans="2:9" x14ac:dyDescent="0.25">
      <c r="B59" s="62" t="s">
        <v>132</v>
      </c>
      <c r="C59" s="22" t="str">
        <f>VLOOKUP(B59,[1]!Table3[[Part Number]:[Make and Model]],2,0)</f>
        <v xml:space="preserve">CAT D4 (66J)                                            </v>
      </c>
      <c r="D59" s="22" t="str">
        <f>VLOOKUP(B59,[1]!Table3[[Part Number]:[Part Description]],3,0)</f>
        <v>PRIMARY AIR FILTER ELEMENT</v>
      </c>
      <c r="E59" s="23">
        <f>VLOOKUP(B59,'[1]Product by Part Number'!$A:$J,10,0)</f>
        <v>1</v>
      </c>
      <c r="F59" s="24">
        <f>VLOOKUP(B59,[1]!Table3[[Part Number]:[OEM CAD $]],4,0)</f>
        <v>125.6</v>
      </c>
      <c r="G59" s="25">
        <f t="shared" si="1"/>
        <v>125.6</v>
      </c>
      <c r="H59" s="25">
        <f>VLOOKUP(B59,[1]!Table3[[Part Number]:[GQP CAD $]],5,0)</f>
        <v>47.73</v>
      </c>
      <c r="I59" s="26">
        <f t="shared" si="0"/>
        <v>47.73</v>
      </c>
    </row>
    <row r="60" spans="2:9" x14ac:dyDescent="0.25">
      <c r="B60" s="62" t="s">
        <v>133</v>
      </c>
      <c r="C60" s="22" t="str">
        <f>VLOOKUP(B60,[1]!Table3[[Part Number]:[Make and Model]],2,0)</f>
        <v xml:space="preserve">CAT D7G (92V) CAT D7G (3ZD) CAT D7G (3ZD) (2)                                        </v>
      </c>
      <c r="D60" s="22" t="str">
        <f>VLOOKUP(B60,[1]!Table3[[Part Number]:[Part Description]],3,0)</f>
        <v>SECONDARY AIR FILTER ELEMENT</v>
      </c>
      <c r="E60" s="23">
        <f>VLOOKUP(B60,'[1]Product by Part Number'!$A:$J,10,0)</f>
        <v>3</v>
      </c>
      <c r="F60" s="24">
        <f>VLOOKUP(B60,[1]!Table3[[Part Number]:[OEM CAD $]],4,0)</f>
        <v>115.44</v>
      </c>
      <c r="G60" s="25">
        <f t="shared" si="1"/>
        <v>346.32</v>
      </c>
      <c r="H60" s="25">
        <f>VLOOKUP(B60,[1]!Table3[[Part Number]:[GQP CAD $]],5,0)</f>
        <v>43.87</v>
      </c>
      <c r="I60" s="26">
        <f t="shared" si="0"/>
        <v>131.61000000000001</v>
      </c>
    </row>
    <row r="61" spans="2:9" x14ac:dyDescent="0.25">
      <c r="B61" s="62">
        <v>6692337</v>
      </c>
      <c r="C61" s="22" t="str">
        <f>VLOOKUP(B61,[1]!Table3[[Part Number]:[Make and Model]],2,0)</f>
        <v xml:space="preserve">BOBCAT T750 (ATF) BOBCAT S650 (A3N)                                          </v>
      </c>
      <c r="D61" s="22" t="str">
        <f>VLOOKUP(B61,[1]!Table3[[Part Number]:[Part Description]],3,0)</f>
        <v>HYDRAULIC OIL FILTER ELEMENT</v>
      </c>
      <c r="E61" s="23">
        <f>VLOOKUP(B61,'[1]Product by Part Number'!$A:$J,10,0)</f>
        <v>2</v>
      </c>
      <c r="F61" s="24">
        <f>VLOOKUP(B61,[1]!Table3[[Part Number]:[OEM CAD $]],4,0)</f>
        <v>93.99</v>
      </c>
      <c r="G61" s="25">
        <f t="shared" si="1"/>
        <v>187.98</v>
      </c>
      <c r="H61" s="25">
        <f>VLOOKUP(B61,[1]!Table3[[Part Number]:[GQP CAD $]],5,0)</f>
        <v>35.72</v>
      </c>
      <c r="I61" s="26">
        <f t="shared" si="0"/>
        <v>71.44</v>
      </c>
    </row>
    <row r="62" spans="2:9" x14ac:dyDescent="0.25">
      <c r="B62" s="62">
        <v>7012314</v>
      </c>
      <c r="C62" s="22" t="str">
        <f>VLOOKUP(B62,[1]!Table3[[Part Number]:[Make and Model]],2,0)</f>
        <v xml:space="preserve">BOBCAT T750 (ANK)                                            </v>
      </c>
      <c r="D62" s="22" t="str">
        <f>VLOOKUP(B62,[1]!Table3[[Part Number]:[Part Description]],3,0)</f>
        <v>HYDRAULIC OIL FILTER ELEMENT</v>
      </c>
      <c r="E62" s="23">
        <f>VLOOKUP(B62,'[1]Product by Part Number'!$A:$J,10,0)</f>
        <v>1</v>
      </c>
      <c r="F62" s="24">
        <f>VLOOKUP(B62,[1]!Table3[[Part Number]:[OEM CAD $]],4,0)</f>
        <v>138.99</v>
      </c>
      <c r="G62" s="25">
        <f t="shared" si="1"/>
        <v>138.99</v>
      </c>
      <c r="H62" s="25">
        <f>VLOOKUP(B62,[1]!Table3[[Part Number]:[GQP CAD $]],5,0)</f>
        <v>52.82</v>
      </c>
      <c r="I62" s="26">
        <f t="shared" si="0"/>
        <v>52.82</v>
      </c>
    </row>
    <row r="63" spans="2:9" x14ac:dyDescent="0.25">
      <c r="B63" s="62">
        <v>7414582</v>
      </c>
      <c r="C63" s="22" t="str">
        <f>VLOOKUP(B63,[1]!Table3[[Part Number]:[Make and Model]],2,0)</f>
        <v xml:space="preserve">BOBCAT T770 (AT6) BOBCAT T770 (AT6) (2)                                          </v>
      </c>
      <c r="D63" s="22" t="str">
        <f>VLOOKUP(B63,[1]!Table3[[Part Number]:[Part Description]],3,0)</f>
        <v>HYDRAULIC OIL FILTER ELEMENT</v>
      </c>
      <c r="E63" s="23">
        <f>VLOOKUP(B63,'[1]Product by Part Number'!$A:$J,10,0)</f>
        <v>2</v>
      </c>
      <c r="F63" s="24">
        <f>VLOOKUP(B63,[1]!Table3[[Part Number]:[OEM CAD $]],4,0)</f>
        <v>117.99</v>
      </c>
      <c r="G63" s="25">
        <f t="shared" si="1"/>
        <v>235.98</v>
      </c>
      <c r="H63" s="25">
        <f>VLOOKUP(B63,[1]!Table3[[Part Number]:[GQP CAD $]],5,0)</f>
        <v>44.84</v>
      </c>
      <c r="I63" s="26">
        <f t="shared" si="0"/>
        <v>89.68</v>
      </c>
    </row>
    <row r="64" spans="2:9" x14ac:dyDescent="0.25">
      <c r="B64" s="62" t="s">
        <v>134</v>
      </c>
      <c r="C64" s="22" t="str">
        <f>VLOOKUP(B64,[1]!Table3[[Part Number]:[Make and Model]],2,0)</f>
        <v xml:space="preserve">CAT 320F L (YBM) CAT 336F L (RKB)                                          </v>
      </c>
      <c r="D64" s="22" t="str">
        <f>VLOOKUP(B64,[1]!Table3[[Part Number]:[Part Description]],3,0)</f>
        <v>HYDRAULIC OIL FILTER</v>
      </c>
      <c r="E64" s="23">
        <f>VLOOKUP(B64,'[1]Product by Part Number'!$A:$J,10,0)</f>
        <v>2</v>
      </c>
      <c r="F64" s="24">
        <f>VLOOKUP(B64,[1]!Table3[[Part Number]:[OEM CAD $]],4,0)</f>
        <v>102.09</v>
      </c>
      <c r="G64" s="25">
        <f t="shared" si="1"/>
        <v>204.18</v>
      </c>
      <c r="H64" s="25">
        <f>VLOOKUP(B64,[1]!Table3[[Part Number]:[GQP CAD $]],5,0)</f>
        <v>38.79</v>
      </c>
      <c r="I64" s="26">
        <f t="shared" si="0"/>
        <v>77.58</v>
      </c>
    </row>
    <row r="65" spans="2:9" x14ac:dyDescent="0.25">
      <c r="B65" s="62" t="s">
        <v>135</v>
      </c>
      <c r="C65" s="22" t="str">
        <f>VLOOKUP(B65,[1]!Table3[[Part Number]:[Make and Model]],2,0)</f>
        <v xml:space="preserve">CAT D4 (66J)                                            </v>
      </c>
      <c r="D65" s="22" t="str">
        <f>VLOOKUP(B65,[1]!Table3[[Part Number]:[Part Description]],3,0)</f>
        <v>HYDRAULIC OIL FILTER</v>
      </c>
      <c r="E65" s="23">
        <f>VLOOKUP(B65,'[1]Product by Part Number'!$A:$J,10,0)</f>
        <v>1</v>
      </c>
      <c r="F65" s="24">
        <f>VLOOKUP(B65,[1]!Table3[[Part Number]:[OEM CAD $]],4,0)</f>
        <v>703.78</v>
      </c>
      <c r="G65" s="25">
        <f t="shared" si="1"/>
        <v>703.78</v>
      </c>
      <c r="H65" s="25">
        <f>VLOOKUP(B65,[1]!Table3[[Part Number]:[GQP CAD $]],5,0)</f>
        <v>267.44</v>
      </c>
      <c r="I65" s="26">
        <f t="shared" si="0"/>
        <v>267.44</v>
      </c>
    </row>
    <row r="66" spans="2:9" x14ac:dyDescent="0.25">
      <c r="B66" s="62" t="s">
        <v>136</v>
      </c>
      <c r="C66" s="22" t="str">
        <f>VLOOKUP(B66,[1]!Table3[[Part Number]:[Make and Model]],2,0)</f>
        <v xml:space="preserve">CAT 320E L (WBK) CAT 320E L (WBK) (2) CAT 320F L (YBM) CAT 329E L (ZCD) CAT 329F L (ERL) CAT 329F L (ERL) (2) CAT 330F L (MBX) CAT 330F L (HCK) CAT 330F L (HCK) (2) CAT 336F L (RKB)                          </v>
      </c>
      <c r="D66" s="22" t="str">
        <f>VLOOKUP(B66,[1]!Table3[[Part Number]:[Part Description]],3,0)</f>
        <v xml:space="preserve">HYDRAULIC OIL FILTER ELEMENT </v>
      </c>
      <c r="E66" s="23">
        <f>VLOOKUP(B66,'[1]Product by Part Number'!$A:$J,10,0)</f>
        <v>12</v>
      </c>
      <c r="F66" s="24">
        <f>VLOOKUP(B66,[1]!Table3[[Part Number]:[OEM CAD $]],4,0)</f>
        <v>229</v>
      </c>
      <c r="G66" s="25">
        <f t="shared" si="1"/>
        <v>2748</v>
      </c>
      <c r="H66" s="25">
        <f>VLOOKUP(B66,[1]!Table3[[Part Number]:[GQP CAD $]],5,0)</f>
        <v>87.02</v>
      </c>
      <c r="I66" s="26">
        <f t="shared" si="0"/>
        <v>1044.24</v>
      </c>
    </row>
    <row r="67" spans="2:9" x14ac:dyDescent="0.25">
      <c r="B67" s="62" t="s">
        <v>38</v>
      </c>
      <c r="C67" s="22" t="str">
        <f>VLOOKUP(B67,[1]!Table3[[Part Number]:[Make and Model]],2,0)</f>
        <v xml:space="preserve">CAT PL61 (WGS) CAT PL61 (WGS) (2) CAT PL61 (WGS) (3)                                        </v>
      </c>
      <c r="D67" s="22" t="str">
        <f>VLOOKUP(B67,[1]!Table3[[Part Number]:[Part Description]],3,0)</f>
        <v>HYDRAULIC OIL FILTER ELEMENT</v>
      </c>
      <c r="E67" s="23">
        <f>VLOOKUP(B67,'[1]Product by Part Number'!$A:$J,10,0)</f>
        <v>3</v>
      </c>
      <c r="F67" s="24">
        <f>VLOOKUP(B67,[1]!Table3[[Part Number]:[OEM CAD $]],4,0)</f>
        <v>150.47</v>
      </c>
      <c r="G67" s="25">
        <f t="shared" si="1"/>
        <v>451.40999999999997</v>
      </c>
      <c r="H67" s="25">
        <f>VLOOKUP(B67,[1]!Table3[[Part Number]:[GQP CAD $]],5,0)</f>
        <v>57.18</v>
      </c>
      <c r="I67" s="26">
        <f t="shared" si="0"/>
        <v>171.54</v>
      </c>
    </row>
    <row r="68" spans="2:9" x14ac:dyDescent="0.25">
      <c r="B68" s="62" t="s">
        <v>137</v>
      </c>
      <c r="C68" s="22" t="str">
        <f>VLOOKUP(B68,[1]!Table3[[Part Number]:[Make and Model]],2,0)</f>
        <v xml:space="preserve">CAT D3 (1PJ) CAT D5 (3CR) CAT D5 (3CR) (2)                                        </v>
      </c>
      <c r="D68" s="22" t="str">
        <f>VLOOKUP(B68,[1]!Table3[[Part Number]:[Part Description]],3,0)</f>
        <v>HYDRAULIC OIL FILTER</v>
      </c>
      <c r="E68" s="23">
        <f>VLOOKUP(B68,'[1]Product by Part Number'!$A:$J,10,0)</f>
        <v>3</v>
      </c>
      <c r="F68" s="24">
        <f>VLOOKUP(B68,[1]!Table3[[Part Number]:[OEM CAD $]],4,0)</f>
        <v>38.32</v>
      </c>
      <c r="G68" s="25">
        <f t="shared" si="1"/>
        <v>114.96000000000001</v>
      </c>
      <c r="H68" s="25">
        <f>VLOOKUP(B68,[1]!Table3[[Part Number]:[GQP CAD $]],5,0)</f>
        <v>14.56</v>
      </c>
      <c r="I68" s="26">
        <f t="shared" si="0"/>
        <v>43.68</v>
      </c>
    </row>
    <row r="69" spans="2:9" x14ac:dyDescent="0.25">
      <c r="B69" s="62" t="s">
        <v>138</v>
      </c>
      <c r="C69" s="22" t="str">
        <f>VLOOKUP(B69,[1]!Table3[[Part Number]:[Make and Model]],2,0)</f>
        <v xml:space="preserve">CAT D3 (1PJ)                                            </v>
      </c>
      <c r="D69" s="22" t="str">
        <f>VLOOKUP(B69,[1]!Table3[[Part Number]:[Part Description]],3,0)</f>
        <v xml:space="preserve">HYDRAULIC/TRANSMISSION OIL FILTER </v>
      </c>
      <c r="E69" s="23">
        <f>VLOOKUP(B69,'[1]Product by Part Number'!$A:$J,10,0)</f>
        <v>1</v>
      </c>
      <c r="F69" s="24">
        <f>VLOOKUP(B69,[1]!Table3[[Part Number]:[OEM CAD $]],4,0)</f>
        <v>47.44</v>
      </c>
      <c r="G69" s="25">
        <f t="shared" si="1"/>
        <v>47.44</v>
      </c>
      <c r="H69" s="25">
        <f>VLOOKUP(B69,[1]!Table3[[Part Number]:[GQP CAD $]],5,0)</f>
        <v>18.03</v>
      </c>
      <c r="I69" s="26">
        <f t="shared" si="0"/>
        <v>18.03</v>
      </c>
    </row>
    <row r="70" spans="2:9" x14ac:dyDescent="0.25">
      <c r="B70" s="62" t="s">
        <v>139</v>
      </c>
      <c r="C70" s="22" t="str">
        <f>VLOOKUP(B70,[1]!Table3[[Part Number]:[Make and Model]],2,0)</f>
        <v xml:space="preserve">CAT D4 (66J)                                            </v>
      </c>
      <c r="D70" s="22" t="str">
        <f>VLOOKUP(B70,[1]!Table3[[Part Number]:[Part Description]],3,0)</f>
        <v xml:space="preserve">HYDRAULIC OIL FILTER ELEMENT </v>
      </c>
      <c r="E70" s="23">
        <f>VLOOKUP(B70,'[1]Product by Part Number'!$A:$J,10,0)</f>
        <v>1</v>
      </c>
      <c r="F70" s="24">
        <f>VLOOKUP(B70,[1]!Table3[[Part Number]:[OEM CAD $]],4,0)</f>
        <v>93.49</v>
      </c>
      <c r="G70" s="25">
        <f t="shared" si="1"/>
        <v>93.49</v>
      </c>
      <c r="H70" s="25">
        <f>VLOOKUP(B70,[1]!Table3[[Part Number]:[GQP CAD $]],5,0)</f>
        <v>35.53</v>
      </c>
      <c r="I70" s="26">
        <f t="shared" si="0"/>
        <v>35.53</v>
      </c>
    </row>
    <row r="71" spans="2:9" x14ac:dyDescent="0.25">
      <c r="B71" s="62" t="s">
        <v>140</v>
      </c>
      <c r="C71" s="22" t="str">
        <f>VLOOKUP(B71,[1]!Table3[[Part Number]:[Make and Model]],2,0)</f>
        <v xml:space="preserve">CAT 303.5E                                            </v>
      </c>
      <c r="D71" s="22" t="str">
        <f>VLOOKUP(B71,[1]!Table3[[Part Number]:[Part Description]],3,0)</f>
        <v>HYDRAULIC OIL FILTER</v>
      </c>
      <c r="E71" s="23">
        <f>VLOOKUP(B71,'[1]Product by Part Number'!$A:$J,10,0)</f>
        <v>1</v>
      </c>
      <c r="F71" s="24">
        <f>VLOOKUP(B71,[1]!Table3[[Part Number]:[OEM CAD $]],4,0)</f>
        <v>130.47</v>
      </c>
      <c r="G71" s="25">
        <f t="shared" si="1"/>
        <v>130.47</v>
      </c>
      <c r="H71" s="25">
        <f>VLOOKUP(B71,[1]!Table3[[Part Number]:[GQP CAD $]],5,0)</f>
        <v>49.58</v>
      </c>
      <c r="I71" s="26">
        <f t="shared" si="0"/>
        <v>49.58</v>
      </c>
    </row>
    <row r="72" spans="2:9" x14ac:dyDescent="0.25">
      <c r="B72" s="62" t="s">
        <v>40</v>
      </c>
      <c r="C72" s="22" t="str">
        <f>VLOOKUP(B72,[1]!Table3[[Part Number]:[Make and Model]],2,0)</f>
        <v xml:space="preserve">CAT D6N LGP (GHS)                                            </v>
      </c>
      <c r="D72" s="22" t="str">
        <f>VLOOKUP(B72,[1]!Table3[[Part Number]:[Part Description]],3,0)</f>
        <v xml:space="preserve">HYDRAULIC OIL FILTER ELEMENT </v>
      </c>
      <c r="E72" s="23">
        <f>VLOOKUP(B72,'[1]Product by Part Number'!$A:$J,10,0)</f>
        <v>1</v>
      </c>
      <c r="F72" s="24">
        <f>VLOOKUP(B72,[1]!Table3[[Part Number]:[OEM CAD $]],4,0)</f>
        <v>204.36</v>
      </c>
      <c r="G72" s="25">
        <f t="shared" si="1"/>
        <v>204.36</v>
      </c>
      <c r="H72" s="25">
        <f>VLOOKUP(B72,[1]!Table3[[Part Number]:[GQP CAD $]],5,0)</f>
        <v>77.66</v>
      </c>
      <c r="I72" s="26">
        <f t="shared" si="0"/>
        <v>77.66</v>
      </c>
    </row>
    <row r="73" spans="2:9" x14ac:dyDescent="0.25">
      <c r="B73" s="62" t="s">
        <v>141</v>
      </c>
      <c r="C73" s="22" t="str">
        <f>VLOOKUP(B73,[1]!Table3[[Part Number]:[Make and Model]],2,0)</f>
        <v xml:space="preserve">CAT 303.5E                                            </v>
      </c>
      <c r="D73" s="22" t="str">
        <f>VLOOKUP(B73,[1]!Table3[[Part Number]:[Part Description]],3,0)</f>
        <v>HYDRAULIC PUMP</v>
      </c>
      <c r="E73" s="23">
        <f>VLOOKUP(B73,'[1]Product by Part Number'!$A:$J,10,0)</f>
        <v>1</v>
      </c>
      <c r="F73" s="24">
        <f>VLOOKUP(B73,[1]!Table3[[Part Number]:[OEM CAD $]],4,0)</f>
        <v>7622.73</v>
      </c>
      <c r="G73" s="25">
        <f t="shared" si="1"/>
        <v>7622.73</v>
      </c>
      <c r="H73" s="25">
        <f>VLOOKUP(B73,[1]!Table3[[Part Number]:[GQP CAD $]],5,0)</f>
        <v>3811.37</v>
      </c>
      <c r="I73" s="26">
        <f t="shared" si="0"/>
        <v>3811.37</v>
      </c>
    </row>
    <row r="74" spans="2:9" x14ac:dyDescent="0.25">
      <c r="B74" s="62" t="s">
        <v>142</v>
      </c>
      <c r="C74" s="22" t="str">
        <f>VLOOKUP(B74,[1]!Table3[[Part Number]:[Make and Model]],2,0)</f>
        <v xml:space="preserve">CAT 299D (DX2)                                            </v>
      </c>
      <c r="D74" s="22" t="str">
        <f>VLOOKUP(B74,[1]!Table3[[Part Number]:[Part Description]],3,0)</f>
        <v>HYDRAULIC OIL FILTER ELEMENT</v>
      </c>
      <c r="E74" s="23">
        <f>VLOOKUP(B74,'[1]Product by Part Number'!$A:$J,10,0)</f>
        <v>1</v>
      </c>
      <c r="F74" s="24">
        <f>VLOOKUP(B74,[1]!Table3[[Part Number]:[OEM CAD $]],4,0)</f>
        <v>72.069999999999993</v>
      </c>
      <c r="G74" s="25">
        <f t="shared" si="1"/>
        <v>72.069999999999993</v>
      </c>
      <c r="H74" s="25">
        <f>VLOOKUP(B74,[1]!Table3[[Part Number]:[GQP CAD $]],5,0)</f>
        <v>27.39</v>
      </c>
      <c r="I74" s="26">
        <f t="shared" si="0"/>
        <v>27.39</v>
      </c>
    </row>
    <row r="75" spans="2:9" x14ac:dyDescent="0.25">
      <c r="B75" s="62" t="s">
        <v>143</v>
      </c>
      <c r="C75" s="22" t="str">
        <f>VLOOKUP(B75,[1]!Table3[[Part Number]:[Make and Model]],2,0)</f>
        <v xml:space="preserve">CAT 330 (LHW) CAT 330 (LHW) (2) CAT 330 (LHW) (3) CAT 330 (LHW) (4)                                      </v>
      </c>
      <c r="D75" s="22" t="str">
        <f>VLOOKUP(B75,[1]!Table3[[Part Number]:[Part Description]],3,0)</f>
        <v>HYDRAULIC OIL FILTER</v>
      </c>
      <c r="E75" s="23">
        <f>VLOOKUP(B75,'[1]Product by Part Number'!$A:$J,10,0)</f>
        <v>4</v>
      </c>
      <c r="F75" s="24">
        <f>VLOOKUP(B75,[1]!Table3[[Part Number]:[OEM CAD $]],4,0)</f>
        <v>159.19999999999999</v>
      </c>
      <c r="G75" s="25">
        <f t="shared" si="1"/>
        <v>636.79999999999995</v>
      </c>
      <c r="H75" s="25">
        <f>VLOOKUP(B75,[1]!Table3[[Part Number]:[GQP CAD $]],5,0)</f>
        <v>60.5</v>
      </c>
      <c r="I75" s="26">
        <f t="shared" si="0"/>
        <v>242</v>
      </c>
    </row>
    <row r="76" spans="2:9" x14ac:dyDescent="0.25">
      <c r="B76" s="62" t="s">
        <v>144</v>
      </c>
      <c r="C76" s="22" t="str">
        <f>VLOOKUP(B76,[1]!Table3[[Part Number]:[Make and Model]],2,0)</f>
        <v xml:space="preserve">CAT D7G (92V) CAT D7G (3ZD) CAT D7G (3ZD) (2)                                        </v>
      </c>
      <c r="D76" s="22" t="str">
        <f>VLOOKUP(B76,[1]!Table3[[Part Number]:[Part Description]],3,0)</f>
        <v>HYDRAULIC OIL FILTER ELEMENT</v>
      </c>
      <c r="E76" s="23">
        <f>VLOOKUP(B76,'[1]Product by Part Number'!$A:$J,10,0)</f>
        <v>3</v>
      </c>
      <c r="F76" s="24">
        <f>VLOOKUP(B76,[1]!Table3[[Part Number]:[OEM CAD $]],4,0)</f>
        <v>131.11000000000001</v>
      </c>
      <c r="G76" s="25">
        <f t="shared" si="1"/>
        <v>393.33000000000004</v>
      </c>
      <c r="H76" s="25">
        <f>VLOOKUP(B76,[1]!Table3[[Part Number]:[GQP CAD $]],5,0)</f>
        <v>49.82</v>
      </c>
      <c r="I76" s="26">
        <f t="shared" si="0"/>
        <v>149.46</v>
      </c>
    </row>
    <row r="77" spans="2:9" x14ac:dyDescent="0.25">
      <c r="B77" s="62" t="s">
        <v>145</v>
      </c>
      <c r="C77" s="22" t="str">
        <f>VLOOKUP(B77,[1]!Table3[[Part Number]:[Make and Model]],2,0)</f>
        <v xml:space="preserve">CAT D6 (RDC) CAT D6N LGP (PBA) CAT D6N LGP (PBA) (2) CAT D6N LGP (SGG) CAT D6N LGP (SGG) (2) CAT D6T (MH7) CAT 561N (CPH) CAT 561N (CPH) (2) CAT 561N (CPH) (3) CAT 561N (CPH) (4) CAT 561N (CPH) (5)                        </v>
      </c>
      <c r="D77" s="22" t="str">
        <f>VLOOKUP(B77,[1]!Table3[[Part Number]:[Part Description]],3,0)</f>
        <v>HYDRAULIC OIL FILTER ELEMENT</v>
      </c>
      <c r="E77" s="23">
        <f>VLOOKUP(B77,'[1]Product by Part Number'!$A:$J,10,0)</f>
        <v>11</v>
      </c>
      <c r="F77" s="24">
        <f>VLOOKUP(B77,[1]!Table3[[Part Number]:[OEM CAD $]],4,0)</f>
        <v>171.55</v>
      </c>
      <c r="G77" s="25">
        <f t="shared" si="1"/>
        <v>1887.0500000000002</v>
      </c>
      <c r="H77" s="25">
        <f>VLOOKUP(B77,[1]!Table3[[Part Number]:[GQP CAD $]],5,0)</f>
        <v>65.19</v>
      </c>
      <c r="I77" s="26">
        <f t="shared" si="0"/>
        <v>717.09</v>
      </c>
    </row>
    <row r="78" spans="2:9" x14ac:dyDescent="0.25">
      <c r="B78" s="62" t="s">
        <v>146</v>
      </c>
      <c r="C78" s="22" t="str">
        <f>VLOOKUP(B78,[1]!Table3[[Part Number]:[Make and Model]],2,0)</f>
        <v xml:space="preserve">CAT 320 (HEX) CAT 320 (MYK) CAT 320 (MYK) (2) CAT 330 (LHW) CAT 330 (LHW) (2) CAT 330 (LHW) (3) CAT 330 (LHW) (4) CAT 330 (WCH) CAT 330 (WCH) (2) CAT 330 (WCH) (3) CAT 330 (WCH) (4) CAT 330 (WCH) (5) CAT 330 (WCH) (6)                    </v>
      </c>
      <c r="D78" s="22" t="str">
        <f>VLOOKUP(B78,[1]!Table3[[Part Number]:[Part Description]],3,0)</f>
        <v>HYDRAULIC OIL FILTER ELEMENT</v>
      </c>
      <c r="E78" s="23">
        <f>VLOOKUP(B78,'[1]Product by Part Number'!$A:$J,10,0)</f>
        <v>13</v>
      </c>
      <c r="F78" s="24">
        <f>VLOOKUP(B78,[1]!Table3[[Part Number]:[OEM CAD $]],4,0)</f>
        <v>283.86</v>
      </c>
      <c r="G78" s="25">
        <f t="shared" si="1"/>
        <v>3690.1800000000003</v>
      </c>
      <c r="H78" s="25">
        <f>VLOOKUP(B78,[1]!Table3[[Part Number]:[GQP CAD $]],5,0)</f>
        <v>107.87</v>
      </c>
      <c r="I78" s="26">
        <f t="shared" si="0"/>
        <v>1402.31</v>
      </c>
    </row>
    <row r="79" spans="2:9" x14ac:dyDescent="0.25">
      <c r="B79" s="62" t="s">
        <v>147</v>
      </c>
      <c r="C79" s="22" t="str">
        <f>VLOOKUP(B79,[1]!Table3[[Part Number]:[Make and Model]],2,0)</f>
        <v xml:space="preserve">CAT 320F L (YBM) CAT 329E L (ZCD)                                          </v>
      </c>
      <c r="D79" s="22" t="str">
        <f>VLOOKUP(B79,[1]!Table3[[Part Number]:[Part Description]],3,0)</f>
        <v>HYDRAULIC OIL FILTER</v>
      </c>
      <c r="E79" s="23">
        <f>VLOOKUP(B79,'[1]Product by Part Number'!$A:$J,10,0)</f>
        <v>2</v>
      </c>
      <c r="F79" s="24">
        <f>VLOOKUP(B79,[1]!Table3[[Part Number]:[OEM CAD $]],4,0)</f>
        <v>106.56</v>
      </c>
      <c r="G79" s="25">
        <f t="shared" si="1"/>
        <v>213.12</v>
      </c>
      <c r="H79" s="25">
        <f>VLOOKUP(B79,[1]!Table3[[Part Number]:[GQP CAD $]],5,0)</f>
        <v>40.49</v>
      </c>
      <c r="I79" s="26">
        <f t="shared" si="0"/>
        <v>80.98</v>
      </c>
    </row>
    <row r="80" spans="2:9" x14ac:dyDescent="0.25">
      <c r="B80" s="62" t="s">
        <v>148</v>
      </c>
      <c r="C80" s="22" t="str">
        <f>VLOOKUP(B80,[1]!Table3[[Part Number]:[Make and Model]],2,0)</f>
        <v xml:space="preserve">CAT D6N LGP (GHS) CAT D6N LGP (PBA) CAT D6N LGP (PBA) (2) CAT D6N LGP (SGG) CAT D6N LGP (SGG) (2)                                    </v>
      </c>
      <c r="D80" s="22" t="str">
        <f>VLOOKUP(B80,[1]!Table3[[Part Number]:[Part Description]],3,0)</f>
        <v>HYDRAULIC OIL FILTER</v>
      </c>
      <c r="E80" s="23">
        <f>VLOOKUP(B80,'[1]Product by Part Number'!$A:$J,10,0)</f>
        <v>5</v>
      </c>
      <c r="F80" s="24">
        <f>VLOOKUP(B80,[1]!Table3[[Part Number]:[OEM CAD $]],4,0)</f>
        <v>123.35</v>
      </c>
      <c r="G80" s="25">
        <f t="shared" ref="G80:G115" si="2">E80*F80</f>
        <v>616.75</v>
      </c>
      <c r="H80" s="25">
        <f>VLOOKUP(B80,[1]!Table3[[Part Number]:[GQP CAD $]],5,0)</f>
        <v>46.87</v>
      </c>
      <c r="I80" s="26">
        <f t="shared" si="0"/>
        <v>234.35</v>
      </c>
    </row>
    <row r="81" spans="2:9" x14ac:dyDescent="0.25">
      <c r="B81" s="62">
        <v>6667352</v>
      </c>
      <c r="C81" s="22" t="str">
        <f>VLOOKUP(B81,[1]!Table3[[Part Number]:[Make and Model]],2,0)</f>
        <v xml:space="preserve">BOBCAT T750 (ANK) BOBCAT S650 (A3N)                                          </v>
      </c>
      <c r="D81" s="22" t="str">
        <f>VLOOKUP(B81,[1]!Table3[[Part Number]:[Part Description]],3,0)</f>
        <v>FUEL WATER SEPARATOR FILTER</v>
      </c>
      <c r="E81" s="23">
        <f>VLOOKUP(B81,'[1]Product by Part Number'!$A:$J,10,0)</f>
        <v>2</v>
      </c>
      <c r="F81" s="24">
        <f>VLOOKUP(B81,[1]!Table3[[Part Number]:[OEM CAD $]],4,0)</f>
        <v>34.04</v>
      </c>
      <c r="G81" s="25">
        <f t="shared" si="2"/>
        <v>68.08</v>
      </c>
      <c r="H81" s="25">
        <f>VLOOKUP(B81,[1]!Table3[[Part Number]:[GQP CAD $]],5,0)</f>
        <v>12.94</v>
      </c>
      <c r="I81" s="26">
        <f t="shared" si="0"/>
        <v>25.88</v>
      </c>
    </row>
    <row r="82" spans="2:9" x14ac:dyDescent="0.25">
      <c r="B82" s="62">
        <v>6678233</v>
      </c>
      <c r="C82" s="22" t="str">
        <f>VLOOKUP(B82,[1]!Table3[[Part Number]:[Make and Model]],2,0)</f>
        <v xml:space="preserve">BOBCAT T750 (ANK) BOBCAT T750 (ATF) BOBCAT S650 (A3N) BOBCAT T770 (AT6) BOBCAT T770 (AT6) (2)                                    </v>
      </c>
      <c r="D82" s="22" t="str">
        <f>VLOOKUP(B82,[1]!Table3[[Part Number]:[Part Description]],3,0)</f>
        <v>ENGINE OIL FILTER</v>
      </c>
      <c r="E82" s="23">
        <f>VLOOKUP(B82,'[1]Product by Part Number'!$A:$J,10,0)</f>
        <v>5</v>
      </c>
      <c r="F82" s="24">
        <f>VLOOKUP(B82,[1]!Table3[[Part Number]:[OEM CAD $]],4,0)</f>
        <v>20.14</v>
      </c>
      <c r="G82" s="25">
        <f t="shared" si="2"/>
        <v>100.7</v>
      </c>
      <c r="H82" s="25">
        <f>VLOOKUP(B82,[1]!Table3[[Part Number]:[GQP CAD $]],5,0)</f>
        <v>7.65</v>
      </c>
      <c r="I82" s="26">
        <f t="shared" si="0"/>
        <v>38.25</v>
      </c>
    </row>
    <row r="83" spans="2:9" x14ac:dyDescent="0.25">
      <c r="B83" s="62">
        <v>7400454</v>
      </c>
      <c r="C83" s="22" t="str">
        <f>VLOOKUP(B83,[1]!Table3[[Part Number]:[Make and Model]],2,0)</f>
        <v xml:space="preserve">BOBCAT T750 (ATF)                                            </v>
      </c>
      <c r="D83" s="22" t="str">
        <f>VLOOKUP(B83,[1]!Table3[[Part Number]:[Part Description]],3,0)</f>
        <v>FUEL WATER SEPARATOR FILTER</v>
      </c>
      <c r="E83" s="23">
        <f>VLOOKUP(B83,'[1]Product by Part Number'!$A:$J,10,0)</f>
        <v>1</v>
      </c>
      <c r="F83" s="24">
        <f>VLOOKUP(B83,[1]!Table3[[Part Number]:[OEM CAD $]],4,0)</f>
        <v>135.49</v>
      </c>
      <c r="G83" s="25">
        <f t="shared" si="2"/>
        <v>135.49</v>
      </c>
      <c r="H83" s="25">
        <f>VLOOKUP(B83,[1]!Table3[[Part Number]:[GQP CAD $]],5,0)</f>
        <v>51.49</v>
      </c>
      <c r="I83" s="26">
        <f t="shared" si="0"/>
        <v>51.49</v>
      </c>
    </row>
    <row r="84" spans="2:9" x14ac:dyDescent="0.25">
      <c r="B84" s="62">
        <v>46825328</v>
      </c>
      <c r="C84" s="22" t="str">
        <f>VLOOKUP(B84,[1]!Table3[[Part Number]:[Make and Model]],2,0)</f>
        <v xml:space="preserve">BOBCAT T770 (AT6) BOBCAT T770 (AT6) (2)                                          </v>
      </c>
      <c r="D84" s="22" t="str">
        <f>VLOOKUP(B84,[1]!Table3[[Part Number]:[Part Description]],3,0)</f>
        <v>FUEL WATER SEPARATOR FILTER</v>
      </c>
      <c r="E84" s="23">
        <f>VLOOKUP(B84,'[1]Product by Part Number'!$A:$J,10,0)</f>
        <v>2</v>
      </c>
      <c r="F84" s="24">
        <f>VLOOKUP(B84,[1]!Table3[[Part Number]:[OEM CAD $]],4,0)</f>
        <v>150.49</v>
      </c>
      <c r="G84" s="25">
        <f t="shared" si="2"/>
        <v>300.98</v>
      </c>
      <c r="H84" s="25">
        <f>VLOOKUP(B84,[1]!Table3[[Part Number]:[GQP CAD $]],5,0)</f>
        <v>57.19</v>
      </c>
      <c r="I84" s="26">
        <f t="shared" si="0"/>
        <v>114.38</v>
      </c>
    </row>
    <row r="85" spans="2:9" x14ac:dyDescent="0.25">
      <c r="B85" s="62" t="s">
        <v>149</v>
      </c>
      <c r="C85" s="22" t="str">
        <f>VLOOKUP(B85,[1]!Table3[[Part Number]:[Make and Model]],2,0)</f>
        <v xml:space="preserve">CAT D5 (3CR) CAT D5 (3CR) (2) CAT 561M (1KW)                                        </v>
      </c>
      <c r="D85" s="22" t="str">
        <f>VLOOKUP(B85,[1]!Table3[[Part Number]:[Part Description]],3,0)</f>
        <v>FUEL WATER SEPARATOR</v>
      </c>
      <c r="E85" s="23">
        <f>VLOOKUP(B85,'[1]Product by Part Number'!$A:$J,10,0)</f>
        <v>3</v>
      </c>
      <c r="F85" s="24">
        <f>VLOOKUP(B85,[1]!Table3[[Part Number]:[OEM CAD $]],4,0)</f>
        <v>52.82</v>
      </c>
      <c r="G85" s="25">
        <f t="shared" si="2"/>
        <v>158.46</v>
      </c>
      <c r="H85" s="25">
        <f>VLOOKUP(B85,[1]!Table3[[Part Number]:[GQP CAD $]],5,0)</f>
        <v>20.07</v>
      </c>
      <c r="I85" s="26">
        <f t="shared" si="0"/>
        <v>60.21</v>
      </c>
    </row>
    <row r="86" spans="2:9" x14ac:dyDescent="0.25">
      <c r="B86" s="62" t="s">
        <v>177</v>
      </c>
      <c r="C86" s="22" t="str">
        <f>VLOOKUP(B86,[1]!Table3[[Part Number]:[Make and Model]],2,0)</f>
        <v xml:space="preserve">CAT 561M (1KW)                                            </v>
      </c>
      <c r="D86" s="22" t="str">
        <f>VLOOKUP(B86,[1]!Table3[[Part Number]:[Part Description]],3,0)</f>
        <v>TRANSMISSION FILTER</v>
      </c>
      <c r="E86" s="23">
        <f>VLOOKUP(B86,'[1]Product by Part Number'!$A:$J,10,0)</f>
        <v>1</v>
      </c>
      <c r="F86" s="24">
        <f>VLOOKUP(B86,[1]!Table3[[Part Number]:[OEM CAD $]],4,0)</f>
        <v>113.9</v>
      </c>
      <c r="G86" s="25">
        <f t="shared" si="2"/>
        <v>113.9</v>
      </c>
      <c r="H86" s="25">
        <f>VLOOKUP(B86,[1]!Table3[[Part Number]:[GQP CAD $]],5,0)</f>
        <v>43.28</v>
      </c>
      <c r="I86" s="26">
        <f t="shared" si="0"/>
        <v>43.28</v>
      </c>
    </row>
    <row r="87" spans="2:9" x14ac:dyDescent="0.25">
      <c r="B87" s="62" t="s">
        <v>150</v>
      </c>
      <c r="C87" s="22" t="str">
        <f>VLOOKUP(B87,[1]!Table3[[Part Number]:[Make and Model]],2,0)</f>
        <v xml:space="preserve">CAT 561N (CPH) CAT 561N (CPH) (2) CAT 561N (CPH) (3) CAT 561N (CPH) (4) CAT 561N (CPH) (5)                                    </v>
      </c>
      <c r="D87" s="22" t="str">
        <f>VLOOKUP(B87,[1]!Table3[[Part Number]:[Part Description]],3,0)</f>
        <v>FUEL WATER SEPARATOR FILTER</v>
      </c>
      <c r="E87" s="23">
        <f>VLOOKUP(B87,'[1]Product by Part Number'!$A:$J,10,0)</f>
        <v>5</v>
      </c>
      <c r="F87" s="24">
        <f>VLOOKUP(B87,[1]!Table3[[Part Number]:[OEM CAD $]],4,0)</f>
        <v>60.23</v>
      </c>
      <c r="G87" s="25">
        <f t="shared" si="2"/>
        <v>301.14999999999998</v>
      </c>
      <c r="H87" s="25">
        <f>VLOOKUP(B87,[1]!Table3[[Part Number]:[GQP CAD $]],5,0)</f>
        <v>22.89</v>
      </c>
      <c r="I87" s="26">
        <f t="shared" si="0"/>
        <v>114.45</v>
      </c>
    </row>
    <row r="88" spans="2:9" x14ac:dyDescent="0.25">
      <c r="B88" s="62" t="s">
        <v>151</v>
      </c>
      <c r="C88" s="22" t="str">
        <f>VLOOKUP(B88,[1]!Table3[[Part Number]:[Make and Model]],2,0)</f>
        <v xml:space="preserve">CAT 303.5E                                            </v>
      </c>
      <c r="D88" s="22" t="str">
        <f>VLOOKUP(B88,[1]!Table3[[Part Number]:[Part Description]],3,0)</f>
        <v xml:space="preserve">FUEL WATER SEPARATOR </v>
      </c>
      <c r="E88" s="23">
        <f>VLOOKUP(B88,'[1]Product by Part Number'!$A:$J,10,0)</f>
        <v>1</v>
      </c>
      <c r="F88" s="24">
        <f>VLOOKUP(B88,[1]!Table3[[Part Number]:[OEM CAD $]],4,0)</f>
        <v>57.5</v>
      </c>
      <c r="G88" s="25">
        <f t="shared" si="2"/>
        <v>57.5</v>
      </c>
      <c r="H88" s="25">
        <f>VLOOKUP(B88,[1]!Table3[[Part Number]:[GQP CAD $]],5,0)</f>
        <v>21.85</v>
      </c>
      <c r="I88" s="26">
        <f t="shared" si="0"/>
        <v>21.85</v>
      </c>
    </row>
    <row r="89" spans="2:9" x14ac:dyDescent="0.25">
      <c r="B89" s="62" t="s">
        <v>152</v>
      </c>
      <c r="C89" s="22" t="str">
        <f>VLOOKUP(B89,[1]!Table3[[Part Number]:[Make and Model]],2,0)</f>
        <v xml:space="preserve">CAT D3 (1PJ)                                            </v>
      </c>
      <c r="D89" s="22" t="str">
        <f>VLOOKUP(B89,[1]!Table3[[Part Number]:[Part Description]],3,0)</f>
        <v>ENGINE OIL FILTER</v>
      </c>
      <c r="E89" s="23">
        <f>VLOOKUP(B89,'[1]Product by Part Number'!$A:$J,10,0)</f>
        <v>1</v>
      </c>
      <c r="F89" s="24">
        <f>VLOOKUP(B89,[1]!Table3[[Part Number]:[OEM CAD $]],4,0)</f>
        <v>27.68</v>
      </c>
      <c r="G89" s="25">
        <f t="shared" si="2"/>
        <v>27.68</v>
      </c>
      <c r="H89" s="25">
        <f>VLOOKUP(B89,[1]!Table3[[Part Number]:[GQP CAD $]],5,0)</f>
        <v>10.52</v>
      </c>
      <c r="I89" s="26">
        <f t="shared" si="0"/>
        <v>10.52</v>
      </c>
    </row>
    <row r="90" spans="2:9" x14ac:dyDescent="0.25">
      <c r="B90" s="62" t="s">
        <v>153</v>
      </c>
      <c r="C90" s="22" t="str">
        <f>VLOOKUP(B90,[1]!Table3[[Part Number]:[Make and Model]],2,0)</f>
        <v xml:space="preserve">CAT 561N (CPH) CAT 561N (CPH) (2) CAT 561N (CPH) (3) CAT 561N (CPH) (4) CAT 561N (CPH) (5)                                    </v>
      </c>
      <c r="D90" s="22" t="str">
        <f>VLOOKUP(B90,[1]!Table3[[Part Number]:[Part Description]],3,0)</f>
        <v>FUEL FILTER</v>
      </c>
      <c r="E90" s="23">
        <f>VLOOKUP(B90,'[1]Product by Part Number'!$A:$J,10,0)</f>
        <v>10</v>
      </c>
      <c r="F90" s="24">
        <f>VLOOKUP(B90,[1]!Table3[[Part Number]:[OEM CAD $]],4,0)</f>
        <v>51.52</v>
      </c>
      <c r="G90" s="25">
        <f t="shared" si="2"/>
        <v>515.20000000000005</v>
      </c>
      <c r="H90" s="25">
        <f>VLOOKUP(B90,[1]!Table3[[Part Number]:[GQP CAD $]],5,0)</f>
        <v>19.579999999999998</v>
      </c>
      <c r="I90" s="26">
        <f t="shared" si="0"/>
        <v>195.8</v>
      </c>
    </row>
    <row r="91" spans="2:9" x14ac:dyDescent="0.25">
      <c r="B91" s="62" t="s">
        <v>36</v>
      </c>
      <c r="C91" s="22" t="str">
        <f>VLOOKUP(B91,[1]!Table3[[Part Number]:[Make and Model]],2,0)</f>
        <v xml:space="preserve">CAT 336F L (RKB) CAT D6 (RDC) CAT D6T (MH7)                                        </v>
      </c>
      <c r="D91" s="22" t="str">
        <f>VLOOKUP(B91,[1]!Table3[[Part Number]:[Part Description]],3,0)</f>
        <v xml:space="preserve">FUEL FILTER </v>
      </c>
      <c r="E91" s="23">
        <f>VLOOKUP(B91,'[1]Product by Part Number'!$A:$J,10,0)</f>
        <v>6</v>
      </c>
      <c r="F91" s="24">
        <f>VLOOKUP(B91,[1]!Table3[[Part Number]:[OEM CAD $]],4,0)</f>
        <v>51.52</v>
      </c>
      <c r="G91" s="25">
        <f t="shared" si="2"/>
        <v>309.12</v>
      </c>
      <c r="H91" s="25">
        <f>VLOOKUP(B91,[1]!Table3[[Part Number]:[GQP CAD $]],5,0)</f>
        <v>19.579999999999998</v>
      </c>
      <c r="I91" s="26">
        <f t="shared" si="0"/>
        <v>117.48</v>
      </c>
    </row>
    <row r="92" spans="2:9" x14ac:dyDescent="0.25">
      <c r="B92" s="62" t="s">
        <v>154</v>
      </c>
      <c r="C92" s="22" t="str">
        <f>VLOOKUP(B92,[1]!Table3[[Part Number]:[Make and Model]],2,0)</f>
        <v xml:space="preserve">CAT D4 (66J)                                            </v>
      </c>
      <c r="D92" s="22" t="str">
        <f>VLOOKUP(B92,[1]!Table3[[Part Number]:[Part Description]],3,0)</f>
        <v>SECONDARY FUEL FILTER</v>
      </c>
      <c r="E92" s="23">
        <f>VLOOKUP(B92,'[1]Product by Part Number'!$A:$J,10,0)</f>
        <v>1</v>
      </c>
      <c r="F92" s="24">
        <f>VLOOKUP(B92,[1]!Table3[[Part Number]:[OEM CAD $]],4,0)</f>
        <v>42.69</v>
      </c>
      <c r="G92" s="25">
        <f t="shared" si="2"/>
        <v>42.69</v>
      </c>
      <c r="H92" s="25">
        <f>VLOOKUP(B92,[1]!Table3[[Part Number]:[GQP CAD $]],5,0)</f>
        <v>16.22</v>
      </c>
      <c r="I92" s="26">
        <f t="shared" si="0"/>
        <v>16.22</v>
      </c>
    </row>
    <row r="93" spans="2:9" x14ac:dyDescent="0.25">
      <c r="B93" s="62" t="s">
        <v>39</v>
      </c>
      <c r="C93" s="22" t="str">
        <f>VLOOKUP(B93,[1]!Table3[[Part Number]:[Make and Model]],2,0)</f>
        <v xml:space="preserve">CAT D3 (1PJ) CAT D7G (92V) CAT D7G (3ZD) CAT D7G (3ZD) (2) CAT 561 (85H) CAT 561 (92J) CAT 561 (92J) (2)                                </v>
      </c>
      <c r="D93" s="22" t="str">
        <f>VLOOKUP(B93,[1]!Table3[[Part Number]:[Part Description]],3,0)</f>
        <v>FUEL FILTER</v>
      </c>
      <c r="E93" s="23">
        <f>VLOOKUP(B93,'[1]Product by Part Number'!$A:$J,10,0)</f>
        <v>7</v>
      </c>
      <c r="F93" s="24">
        <f>VLOOKUP(B93,[1]!Table3[[Part Number]:[OEM CAD $]],4,0)</f>
        <v>42.69</v>
      </c>
      <c r="G93" s="25">
        <f t="shared" si="2"/>
        <v>298.83</v>
      </c>
      <c r="H93" s="25">
        <f>VLOOKUP(B93,[1]!Table3[[Part Number]:[GQP CAD $]],5,0)</f>
        <v>16.22</v>
      </c>
      <c r="I93" s="26">
        <f t="shared" si="0"/>
        <v>113.54</v>
      </c>
    </row>
    <row r="94" spans="2:9" x14ac:dyDescent="0.25">
      <c r="B94" s="62" t="s">
        <v>155</v>
      </c>
      <c r="C94" s="22" t="str">
        <f>VLOOKUP(B94,[1]!Table3[[Part Number]:[Make and Model]],2,0)</f>
        <v xml:space="preserve">CAT D5 (3CR) CAT D5 (3CR) (2) CAT D6N LGP (GHS) CAT 561M (1KW) CAT PL61 (WGS) CAT PL61 (WGS) (2) CAT PL61 (WGS) (3)                                </v>
      </c>
      <c r="D94" s="22" t="str">
        <f>VLOOKUP(B94,[1]!Table3[[Part Number]:[Part Description]],3,0)</f>
        <v>PRIMARY FUEL FILTER</v>
      </c>
      <c r="E94" s="23">
        <f>VLOOKUP(B94,'[1]Product by Part Number'!$A:$J,10,0)</f>
        <v>8</v>
      </c>
      <c r="F94" s="24">
        <f>VLOOKUP(B94,[1]!Table3[[Part Number]:[OEM CAD $]],4,0)</f>
        <v>47.05</v>
      </c>
      <c r="G94" s="25">
        <f t="shared" si="2"/>
        <v>376.4</v>
      </c>
      <c r="H94" s="25">
        <f>VLOOKUP(B94,[1]!Table3[[Part Number]:[GQP CAD $]],5,0)</f>
        <v>17.88</v>
      </c>
      <c r="I94" s="26">
        <f t="shared" si="0"/>
        <v>143.04</v>
      </c>
    </row>
    <row r="95" spans="2:9" x14ac:dyDescent="0.25">
      <c r="B95" s="62" t="s">
        <v>156</v>
      </c>
      <c r="C95" s="22" t="str">
        <f>VLOOKUP(B95,[1]!Table3[[Part Number]:[Make and Model]],2,0)</f>
        <v xml:space="preserve">CAT D5 (3CR) CAT D5 (3CR) (2)                                          </v>
      </c>
      <c r="D95" s="22" t="str">
        <f>VLOOKUP(B95,[1]!Table3[[Part Number]:[Part Description]],3,0)</f>
        <v>SECONDARY FUEL FILTER</v>
      </c>
      <c r="E95" s="23">
        <f>VLOOKUP(B95,'[1]Product by Part Number'!$A:$J,10,0)</f>
        <v>2</v>
      </c>
      <c r="F95" s="24">
        <f>VLOOKUP(B95,[1]!Table3[[Part Number]:[OEM CAD $]],4,0)</f>
        <v>67.900000000000006</v>
      </c>
      <c r="G95" s="25">
        <f t="shared" si="2"/>
        <v>135.80000000000001</v>
      </c>
      <c r="H95" s="25">
        <f>VLOOKUP(B95,[1]!Table3[[Part Number]:[GQP CAD $]],5,0)</f>
        <v>25.8</v>
      </c>
      <c r="I95" s="26">
        <f t="shared" si="0"/>
        <v>51.6</v>
      </c>
    </row>
    <row r="96" spans="2:9" x14ac:dyDescent="0.25">
      <c r="B96" s="62" t="s">
        <v>157</v>
      </c>
      <c r="C96" s="22" t="str">
        <f>VLOOKUP(B96,[1]!Table3[[Part Number]:[Make and Model]],2,0)</f>
        <v xml:space="preserve">CAT D4 (66J) CAT D5 (3CR) CAT D5 (3CR) (2) CAT 561 (85H) CAT 561 (92J) CAT 561 (92J) (2) CAT 561M (1KW)                                </v>
      </c>
      <c r="D96" s="22" t="str">
        <f>VLOOKUP(B96,[1]!Table3[[Part Number]:[Part Description]],3,0)</f>
        <v>ENGINE OIL FILTER</v>
      </c>
      <c r="E96" s="23">
        <f>VLOOKUP(B96,'[1]Product by Part Number'!$A:$J,10,0)</f>
        <v>7</v>
      </c>
      <c r="F96" s="24">
        <f>VLOOKUP(B96,[1]!Table3[[Part Number]:[OEM CAD $]],4,0)</f>
        <v>44.09</v>
      </c>
      <c r="G96" s="25">
        <f t="shared" si="2"/>
        <v>308.63</v>
      </c>
      <c r="H96" s="25">
        <f>VLOOKUP(B96,[1]!Table3[[Part Number]:[GQP CAD $]],5,0)</f>
        <v>16.75</v>
      </c>
      <c r="I96" s="26">
        <f t="shared" si="0"/>
        <v>117.25</v>
      </c>
    </row>
    <row r="97" spans="2:9" x14ac:dyDescent="0.25">
      <c r="B97" s="62" t="s">
        <v>158</v>
      </c>
      <c r="C97" s="22" t="str">
        <f>VLOOKUP(B97,[1]!Table3[[Part Number]:[Make and Model]],2,0)</f>
        <v xml:space="preserve">CAT 336F L (RKB) CAT D6 (RDC) CAT D6T (MH7)                                        </v>
      </c>
      <c r="D97" s="22" t="str">
        <f>VLOOKUP(B97,[1]!Table3[[Part Number]:[Part Description]],3,0)</f>
        <v>ENGINE OIL FILTER</v>
      </c>
      <c r="E97" s="23">
        <f>VLOOKUP(B97,'[1]Product by Part Number'!$A:$J,10,0)</f>
        <v>3</v>
      </c>
      <c r="F97" s="24">
        <f>VLOOKUP(B97,[1]!Table3[[Part Number]:[OEM CAD $]],4,0)</f>
        <v>82.08</v>
      </c>
      <c r="G97" s="25">
        <f t="shared" si="2"/>
        <v>246.24</v>
      </c>
      <c r="H97" s="25">
        <f>VLOOKUP(B97,[1]!Table3[[Part Number]:[GQP CAD $]],5,0)</f>
        <v>31.19</v>
      </c>
      <c r="I97" s="26">
        <f t="shared" si="0"/>
        <v>93.57</v>
      </c>
    </row>
    <row r="98" spans="2:9" x14ac:dyDescent="0.25">
      <c r="B98" s="62" t="s">
        <v>159</v>
      </c>
      <c r="C98" s="22" t="str">
        <f>VLOOKUP(B98,[1]!Table3[[Part Number]:[Make and Model]],2,0)</f>
        <v xml:space="preserve">CAT D7G (92V) CAT D7G (3ZD) CAT D7G (3ZD) (2)                                        </v>
      </c>
      <c r="D98" s="22" t="str">
        <f>VLOOKUP(B98,[1]!Table3[[Part Number]:[Part Description]],3,0)</f>
        <v>ENGINE OIL FILTER</v>
      </c>
      <c r="E98" s="23">
        <f>VLOOKUP(B98,'[1]Product by Part Number'!$A:$J,10,0)</f>
        <v>3</v>
      </c>
      <c r="F98" s="24">
        <f>VLOOKUP(B98,[1]!Table3[[Part Number]:[OEM CAD $]],4,0)</f>
        <v>17.309999999999999</v>
      </c>
      <c r="G98" s="25">
        <f t="shared" si="2"/>
        <v>51.929999999999993</v>
      </c>
      <c r="H98" s="25">
        <f>VLOOKUP(B98,[1]!Table3[[Part Number]:[GQP CAD $]],5,0)</f>
        <v>6.58</v>
      </c>
      <c r="I98" s="26">
        <f t="shared" si="0"/>
        <v>19.739999999999998</v>
      </c>
    </row>
    <row r="99" spans="2:9" x14ac:dyDescent="0.25">
      <c r="B99" s="62" t="s">
        <v>160</v>
      </c>
      <c r="C99" s="22" t="str">
        <f>VLOOKUP(B99,[1]!Table3[[Part Number]:[Make and Model]],2,0)</f>
        <v xml:space="preserve">CAT D6N LGP (GHS) CAT PL61 (WGS) CAT PL61 (WGS) (2) CAT PL61 (WGS) (3)                                      </v>
      </c>
      <c r="D99" s="22" t="str">
        <f>VLOOKUP(B99,[1]!Table3[[Part Number]:[Part Description]],3,0)</f>
        <v>PRIMARY FUEL FILTER</v>
      </c>
      <c r="E99" s="23">
        <f>VLOOKUP(B99,'[1]Product by Part Number'!$A:$J,10,0)</f>
        <v>4</v>
      </c>
      <c r="F99" s="24">
        <f>VLOOKUP(B99,[1]!Table3[[Part Number]:[OEM CAD $]],4,0)</f>
        <v>62.25</v>
      </c>
      <c r="G99" s="25">
        <f t="shared" si="2"/>
        <v>249</v>
      </c>
      <c r="H99" s="25">
        <f>VLOOKUP(B99,[1]!Table3[[Part Number]:[GQP CAD $]],5,0)</f>
        <v>23.66</v>
      </c>
      <c r="I99" s="26">
        <f t="shared" si="0"/>
        <v>94.64</v>
      </c>
    </row>
    <row r="100" spans="2:9" x14ac:dyDescent="0.25">
      <c r="B100" s="62" t="s">
        <v>161</v>
      </c>
      <c r="C100" s="22" t="str">
        <f>VLOOKUP(B100,[1]!Table3[[Part Number]:[Make and Model]],2,0)</f>
        <v xml:space="preserve">CAT 330 (WCH) CAT 330 (WCH) (2) CAT 330 (WCH) (3) CAT 330 (WCH) (4) CAT 330 (WCH) (5) CAT 330 (WCH) (6)                                  </v>
      </c>
      <c r="D100" s="22" t="str">
        <f>VLOOKUP(B100,[1]!Table3[[Part Number]:[Part Description]],3,0)</f>
        <v>ENGINE OIL FILTER ELEMENT</v>
      </c>
      <c r="E100" s="23">
        <f>VLOOKUP(B100,'[1]Product by Part Number'!$A:$J,10,0)</f>
        <v>6</v>
      </c>
      <c r="F100" s="24">
        <f>VLOOKUP(B100,[1]!Table3[[Part Number]:[OEM CAD $]],4,0)</f>
        <v>44.15</v>
      </c>
      <c r="G100" s="25">
        <f t="shared" si="2"/>
        <v>264.89999999999998</v>
      </c>
      <c r="H100" s="25">
        <f>VLOOKUP(B100,[1]!Table3[[Part Number]:[GQP CAD $]],5,0)</f>
        <v>16.78</v>
      </c>
      <c r="I100" s="26">
        <f t="shared" si="0"/>
        <v>100.68</v>
      </c>
    </row>
    <row r="101" spans="2:9" x14ac:dyDescent="0.25">
      <c r="B101" s="62" t="s">
        <v>162</v>
      </c>
      <c r="C101" s="22" t="str">
        <f>VLOOKUP(B101,[1]!Table3[[Part Number]:[Make and Model]],2,0)</f>
        <v xml:space="preserve">CAT 320E L (WBK) CAT 320E L (WBK) (2) CAT 320F L (YBM) CAT 320 (HEX) CAT 320 (MYK) CAT 320 (MYK) (2) CAT 329E L (ZCD) CAT 329F L (ERL) CAT 329F L (ERL) (2) CAT 330F L (MBX) CAT 330F L (HCK) CAT 330F L (HCK) (2) CAT 330 (LHW) CAT 330 (LHW) (2) CAT 330 (LHW) (3) CAT 330 (LHW) (4)              </v>
      </c>
      <c r="D101" s="22" t="str">
        <f>VLOOKUP(B101,[1]!Table3[[Part Number]:[Part Description]],3,0)</f>
        <v xml:space="preserve">ENGINE OIL FILTER ELEMENT </v>
      </c>
      <c r="E101" s="23">
        <f>VLOOKUP(B101,'[1]Product by Part Number'!$A:$J,10,0)</f>
        <v>15</v>
      </c>
      <c r="F101" s="24">
        <f>VLOOKUP(B101,[1]!Table3[[Part Number]:[OEM CAD $]],4,0)</f>
        <v>44.15</v>
      </c>
      <c r="G101" s="25">
        <f t="shared" si="2"/>
        <v>662.25</v>
      </c>
      <c r="H101" s="25">
        <f>VLOOKUP(B101,[1]!Table3[[Part Number]:[GQP CAD $]],5,0)</f>
        <v>16.78</v>
      </c>
      <c r="I101" s="26">
        <f t="shared" si="0"/>
        <v>251.7</v>
      </c>
    </row>
    <row r="102" spans="2:9" x14ac:dyDescent="0.25">
      <c r="B102" s="62" t="s">
        <v>163</v>
      </c>
      <c r="C102" s="22" t="str">
        <f>VLOOKUP(B102,[1]!Table3[[Part Number]:[Make and Model]],2,0)</f>
        <v xml:space="preserve">CAT 336F L (RKB) CAT D6 (RDC) CAT D6T (MH7)                                        </v>
      </c>
      <c r="D102" s="22" t="str">
        <f>VLOOKUP(B102,[1]!Table3[[Part Number]:[Part Description]],3,0)</f>
        <v xml:space="preserve">FUEL WATER SEPARATOR </v>
      </c>
      <c r="E102" s="23">
        <f>VLOOKUP(B102,'[1]Product by Part Number'!$A:$J,10,0)</f>
        <v>3</v>
      </c>
      <c r="F102" s="24">
        <f>VLOOKUP(B102,[1]!Table3[[Part Number]:[OEM CAD $]],4,0)</f>
        <v>104.86</v>
      </c>
      <c r="G102" s="25">
        <f t="shared" si="2"/>
        <v>314.58</v>
      </c>
      <c r="H102" s="25">
        <f>VLOOKUP(B102,[1]!Table3[[Part Number]:[GQP CAD $]],5,0)</f>
        <v>39.85</v>
      </c>
      <c r="I102" s="26">
        <f t="shared" si="0"/>
        <v>119.55</v>
      </c>
    </row>
    <row r="103" spans="2:9" x14ac:dyDescent="0.25">
      <c r="B103" s="62" t="s">
        <v>37</v>
      </c>
      <c r="C103" s="22" t="str">
        <f>VLOOKUP(B103,[1]!Table3[[Part Number]:[Make and Model]],2,0)</f>
        <v xml:space="preserve">CAT D6N LGP (GHS)                                            </v>
      </c>
      <c r="D103" s="22" t="str">
        <f>VLOOKUP(B103,[1]!Table3[[Part Number]:[Part Description]],3,0)</f>
        <v>FUEL WATER SEPARATOR **VERIFY**</v>
      </c>
      <c r="E103" s="23">
        <f>VLOOKUP(B103,'[1]Product by Part Number'!$A:$J,10,0)</f>
        <v>1</v>
      </c>
      <c r="F103" s="24">
        <f>VLOOKUP(B103,[1]!Table3[[Part Number]:[OEM CAD $]],4,0)</f>
        <v>85.6</v>
      </c>
      <c r="G103" s="25">
        <f t="shared" si="2"/>
        <v>85.6</v>
      </c>
      <c r="H103" s="25">
        <f>VLOOKUP(B103,[1]!Table3[[Part Number]:[GQP CAD $]],5,0)</f>
        <v>32.53</v>
      </c>
      <c r="I103" s="26">
        <f t="shared" si="0"/>
        <v>32.53</v>
      </c>
    </row>
    <row r="104" spans="2:9" x14ac:dyDescent="0.25">
      <c r="B104" s="62" t="s">
        <v>164</v>
      </c>
      <c r="C104" s="22" t="str">
        <f>VLOOKUP(B104,[1]!Table3[[Part Number]:[Make and Model]],2,0)</f>
        <v xml:space="preserve">CAT 320E L (WBK) CAT 320E L (WBK) (2) CAT 320F L (YBM) CAT 329E L (ZCD) CAT 329F L (ERL) CAT 329F L (ERL) (2) CAT 330F L (MBX) CAT 330F L (HCK) CAT 330F L (HCK) (2) CAT D6N LGP (PBA) CAT D6N LGP (PBA) (2) CAT D6N LGP (SGG) CAT D6N LGP (SGG) (2)                    </v>
      </c>
      <c r="D104" s="22" t="str">
        <f>VLOOKUP(B104,[1]!Table3[[Part Number]:[Part Description]],3,0)</f>
        <v>FUEL FILTER ELEMENT</v>
      </c>
      <c r="E104" s="23">
        <f>VLOOKUP(B104,'[1]Product by Part Number'!$A:$J,10,0)</f>
        <v>15</v>
      </c>
      <c r="F104" s="24">
        <f>VLOOKUP(B104,[1]!Table3[[Part Number]:[OEM CAD $]],4,0)</f>
        <v>51.88</v>
      </c>
      <c r="G104" s="25">
        <f t="shared" si="2"/>
        <v>778.2</v>
      </c>
      <c r="H104" s="25">
        <f>VLOOKUP(B104,[1]!Table3[[Part Number]:[GQP CAD $]],5,0)</f>
        <v>19.71</v>
      </c>
      <c r="I104" s="26">
        <f t="shared" si="0"/>
        <v>295.64999999999998</v>
      </c>
    </row>
    <row r="105" spans="2:9" x14ac:dyDescent="0.25">
      <c r="B105" s="62" t="s">
        <v>165</v>
      </c>
      <c r="C105" s="22" t="str">
        <f>VLOOKUP(B105,[1]!Table3[[Part Number]:[Make and Model]],2,0)</f>
        <v xml:space="preserve">CAT 299D (DX2)                                            </v>
      </c>
      <c r="D105" s="22" t="str">
        <f>VLOOKUP(B105,[1]!Table3[[Part Number]:[Part Description]],3,0)</f>
        <v>FUEL WATER SEPARATOR FILTER</v>
      </c>
      <c r="E105" s="23">
        <f>VLOOKUP(B105,'[1]Product by Part Number'!$A:$J,10,0)</f>
        <v>1</v>
      </c>
      <c r="F105" s="24">
        <f>VLOOKUP(B105,[1]!Table3[[Part Number]:[OEM CAD $]],4,0)</f>
        <v>42.6</v>
      </c>
      <c r="G105" s="25">
        <f t="shared" si="2"/>
        <v>42.6</v>
      </c>
      <c r="H105" s="25">
        <f>VLOOKUP(B105,[1]!Table3[[Part Number]:[GQP CAD $]],5,0)</f>
        <v>16.190000000000001</v>
      </c>
      <c r="I105" s="26">
        <f t="shared" si="0"/>
        <v>16.190000000000001</v>
      </c>
    </row>
    <row r="106" spans="2:9" x14ac:dyDescent="0.25">
      <c r="B106" s="62" t="s">
        <v>166</v>
      </c>
      <c r="C106" s="22" t="str">
        <f>VLOOKUP(B106,[1]!Table3[[Part Number]:[Make and Model]],2,0)</f>
        <v xml:space="preserve">CAT 303.5E CAT 299D (DX2)                                          </v>
      </c>
      <c r="D106" s="22" t="str">
        <f>VLOOKUP(B106,[1]!Table3[[Part Number]:[Part Description]],3,0)</f>
        <v>ENGINE OIL FILTER</v>
      </c>
      <c r="E106" s="23">
        <f>VLOOKUP(B106,'[1]Product by Part Number'!$A:$J,10,0)</f>
        <v>2</v>
      </c>
      <c r="F106" s="24">
        <f>VLOOKUP(B106,[1]!Table3[[Part Number]:[OEM CAD $]],4,0)</f>
        <v>40.69</v>
      </c>
      <c r="G106" s="25">
        <f t="shared" si="2"/>
        <v>81.38</v>
      </c>
      <c r="H106" s="25">
        <f>VLOOKUP(B106,[1]!Table3[[Part Number]:[GQP CAD $]],5,0)</f>
        <v>15.46</v>
      </c>
      <c r="I106" s="26">
        <f t="shared" si="0"/>
        <v>30.92</v>
      </c>
    </row>
    <row r="107" spans="2:9" x14ac:dyDescent="0.25">
      <c r="B107" s="62" t="s">
        <v>166</v>
      </c>
      <c r="C107" s="22" t="str">
        <f>VLOOKUP(B107,[1]!Table3[[Part Number]:[Make and Model]],2,0)</f>
        <v xml:space="preserve">CAT 303.5E CAT 299D (DX2)                                          </v>
      </c>
      <c r="D107" s="22" t="str">
        <f>VLOOKUP(B107,[1]!Table3[[Part Number]:[Part Description]],3,0)</f>
        <v>ENGINE OIL FILTER</v>
      </c>
      <c r="E107" s="23">
        <f>VLOOKUP(B107,'[1]Product by Part Number'!$A:$J,10,0)</f>
        <v>2</v>
      </c>
      <c r="F107" s="24">
        <f>VLOOKUP(B107,[1]!Table3[[Part Number]:[OEM CAD $]],4,0)</f>
        <v>40.69</v>
      </c>
      <c r="G107" s="25">
        <f t="shared" si="2"/>
        <v>81.38</v>
      </c>
      <c r="H107" s="25">
        <f>VLOOKUP(B107,[1]!Table3[[Part Number]:[GQP CAD $]],5,0)</f>
        <v>15.46</v>
      </c>
      <c r="I107" s="26">
        <f t="shared" ref="I107:I126" si="3">ROUND(E107*H107,2)</f>
        <v>30.92</v>
      </c>
    </row>
    <row r="108" spans="2:9" x14ac:dyDescent="0.25">
      <c r="B108" s="62" t="s">
        <v>47</v>
      </c>
      <c r="C108" s="22" t="str">
        <f>VLOOKUP(B108,[1]!Table3[[Part Number]:[Make and Model]],2,0)</f>
        <v xml:space="preserve">CAT D6N LGP (GHS) CAT D6N LGP (PBA) CAT D6N LGP (PBA) (2) CAT D6N LGP (SGG) CAT D6N LGP (SGG) (2)                                    </v>
      </c>
      <c r="D108" s="22" t="str">
        <f>VLOOKUP(B108,[1]!Table3[[Part Number]:[Part Description]],3,0)</f>
        <v>ENGINE OIL FILTER</v>
      </c>
      <c r="E108" s="23">
        <f>VLOOKUP(B108,'[1]Product by Part Number'!$A:$J,10,0)</f>
        <v>5</v>
      </c>
      <c r="F108" s="24">
        <f>VLOOKUP(B108,[1]!Table3[[Part Number]:[OEM CAD $]],4,0)</f>
        <v>36.51</v>
      </c>
      <c r="G108" s="25">
        <f t="shared" si="2"/>
        <v>182.54999999999998</v>
      </c>
      <c r="H108" s="25">
        <f>VLOOKUP(B108,[1]!Table3[[Part Number]:[GQP CAD $]],5,0)</f>
        <v>13.87</v>
      </c>
      <c r="I108" s="26">
        <f t="shared" si="3"/>
        <v>69.349999999999994</v>
      </c>
    </row>
    <row r="109" spans="2:9" x14ac:dyDescent="0.25">
      <c r="B109" s="62" t="s">
        <v>167</v>
      </c>
      <c r="C109" s="22" t="str">
        <f>VLOOKUP(B109,[1]!Table3[[Part Number]:[Make and Model]],2,0)</f>
        <v xml:space="preserve">CAT 320E L (WBK) CAT 320E L (WBK) (2) CAT 320F L (YBM) CAT 329E L (ZCD) CAT 329F L (ERL) CAT 329F L (ERL) (2) CAT 330F L (MBX) CAT 330F L (HCK) CAT 330F L (HCK) (2) CAT D6N LGP (PBA) CAT D6N LGP (PBA) (2) CAT D6N LGP (SGG) CAT D6N LGP (SGG) (2)                    </v>
      </c>
      <c r="D109" s="22" t="str">
        <f>VLOOKUP(B109,[1]!Table3[[Part Number]:[Part Description]],3,0)</f>
        <v>FUEL WATER SEPARATOR</v>
      </c>
      <c r="E109" s="23">
        <f>VLOOKUP(B109,'[1]Product by Part Number'!$A:$J,10,0)</f>
        <v>14</v>
      </c>
      <c r="F109" s="24">
        <f>VLOOKUP(B109,[1]!Table3[[Part Number]:[OEM CAD $]],4,0)</f>
        <v>78.87</v>
      </c>
      <c r="G109" s="25">
        <f t="shared" si="2"/>
        <v>1104.18</v>
      </c>
      <c r="H109" s="25">
        <f>VLOOKUP(B109,[1]!Table3[[Part Number]:[GQP CAD $]],5,0)</f>
        <v>29.97</v>
      </c>
      <c r="I109" s="26">
        <f t="shared" si="3"/>
        <v>419.58</v>
      </c>
    </row>
    <row r="110" spans="2:9" x14ac:dyDescent="0.25">
      <c r="B110" s="62" t="s">
        <v>168</v>
      </c>
      <c r="C110" s="22" t="str">
        <f>VLOOKUP(B110,[1]!Table3[[Part Number]:[Make and Model]],2,0)</f>
        <v xml:space="preserve">CAT 561N (CPH) CAT 561N (CPH) (2) CAT 561N (CPH) (3) CAT 561N (CPH) (4) CAT 561N (CPH) (5) CAT PL61 (WGS) CAT PL61 (WGS) (2) CAT PL61 (WGS) (3)                              </v>
      </c>
      <c r="D110" s="22" t="str">
        <f>VLOOKUP(B110,[1]!Table3[[Part Number]:[Part Description]],3,0)</f>
        <v>ENGINE OIL FILTER</v>
      </c>
      <c r="E110" s="23">
        <f>VLOOKUP(B110,'[1]Product by Part Number'!$A:$J,10,0)</f>
        <v>8</v>
      </c>
      <c r="F110" s="24">
        <f>VLOOKUP(B110,[1]!Table3[[Part Number]:[OEM CAD $]],4,0)</f>
        <v>78</v>
      </c>
      <c r="G110" s="25">
        <f t="shared" si="2"/>
        <v>624</v>
      </c>
      <c r="H110" s="25">
        <f>VLOOKUP(B110,[1]!Table3[[Part Number]:[GQP CAD $]],5,0)</f>
        <v>29.64</v>
      </c>
      <c r="I110" s="26">
        <f t="shared" si="3"/>
        <v>237.12</v>
      </c>
    </row>
    <row r="111" spans="2:9" x14ac:dyDescent="0.25">
      <c r="B111" s="62" t="s">
        <v>169</v>
      </c>
      <c r="C111" s="22" t="str">
        <f>VLOOKUP(B111,[1]!Table3[[Part Number]:[Make and Model]],2,0)</f>
        <v xml:space="preserve">CAT 320 (HEX) CAT 320 (MYK) CAT 320 (MYK) (2) CAT 330 (LHW) CAT 330 (LHW) (2) CAT 330 (LHW) (3) CAT 330 (LHW) (4) CAT 330 (WCH) CAT 330 (WCH) (2) CAT 330 (WCH) (3) CAT 330 (WCH) (4) CAT 330 (WCH) (5) CAT 330 (WCH) (6)                    </v>
      </c>
      <c r="D111" s="22" t="str">
        <f>VLOOKUP(B111,[1]!Table3[[Part Number]:[Part Description]],3,0)</f>
        <v>SECONDARY FUEL FILTER ELEMENT</v>
      </c>
      <c r="E111" s="23">
        <f>VLOOKUP(B111,'[1]Product by Part Number'!$A:$J,10,0)</f>
        <v>13</v>
      </c>
      <c r="F111" s="24">
        <f>VLOOKUP(B111,[1]!Table3[[Part Number]:[OEM CAD $]],4,0)</f>
        <v>66.94</v>
      </c>
      <c r="G111" s="25">
        <f t="shared" si="2"/>
        <v>870.22</v>
      </c>
      <c r="H111" s="25">
        <f>VLOOKUP(B111,[1]!Table3[[Part Number]:[GQP CAD $]],5,0)</f>
        <v>25.44</v>
      </c>
      <c r="I111" s="26">
        <f t="shared" si="3"/>
        <v>330.72</v>
      </c>
    </row>
    <row r="112" spans="2:9" x14ac:dyDescent="0.25">
      <c r="B112" s="62" t="s">
        <v>170</v>
      </c>
      <c r="C112" s="22" t="str">
        <f>VLOOKUP(B112,[1]!Table3[[Part Number]:[Make and Model]],2,0)</f>
        <v xml:space="preserve">CAT D7G (92V) CAT D7G (3ZD) CAT D7G (3ZD) (2)                                        </v>
      </c>
      <c r="D112" s="22" t="str">
        <f>VLOOKUP(B112,[1]!Table3[[Part Number]:[Part Description]],3,0)</f>
        <v>FUEL WATER SEPARATOR FILTER</v>
      </c>
      <c r="E112" s="23">
        <f>VLOOKUP(B112,'[1]Product by Part Number'!$A:$J,10,0)</f>
        <v>3</v>
      </c>
      <c r="F112" s="24">
        <f>VLOOKUP(B112,[1]!Table3[[Part Number]:[OEM CAD $]],4,0)</f>
        <v>104</v>
      </c>
      <c r="G112" s="25">
        <f t="shared" si="2"/>
        <v>312</v>
      </c>
      <c r="H112" s="25">
        <f>VLOOKUP(B112,[1]!Table3[[Part Number]:[GQP CAD $]],5,0)</f>
        <v>39.520000000000003</v>
      </c>
      <c r="I112" s="26">
        <f t="shared" si="3"/>
        <v>118.56</v>
      </c>
    </row>
    <row r="113" spans="2:9" x14ac:dyDescent="0.25">
      <c r="B113" s="62" t="s">
        <v>171</v>
      </c>
      <c r="C113" s="22" t="str">
        <f>VLOOKUP(B113,[1]!Table3[[Part Number]:[Make and Model]],2,0)</f>
        <v xml:space="preserve">CAT 320 (HEX) CAT 320 (MYK) CAT 320 (MYK) (2) CAT 330 (LHW) CAT 330 (LHW) (2) CAT 330 (LHW) (3) CAT 330 (LHW) (4) CAT 330 (WCH) CAT 330 (WCH) (2) CAT 330 (WCH) (3) CAT 330 (WCH) (4) CAT 330 (WCH) (5) CAT 330 (WCH) (6)                    </v>
      </c>
      <c r="D113" s="22" t="str">
        <f>VLOOKUP(B113,[1]!Table3[[Part Number]:[Part Description]],3,0)</f>
        <v>FUEL WATER SEPARATOR ELEMENT</v>
      </c>
      <c r="E113" s="23">
        <f>VLOOKUP(B113,'[1]Product by Part Number'!$A:$J,10,0)</f>
        <v>13</v>
      </c>
      <c r="F113" s="24">
        <f>VLOOKUP(B113,[1]!Table3[[Part Number]:[OEM CAD $]],4,0)</f>
        <v>95.91</v>
      </c>
      <c r="G113" s="25">
        <f t="shared" si="2"/>
        <v>1246.83</v>
      </c>
      <c r="H113" s="25">
        <f>VLOOKUP(B113,[1]!Table3[[Part Number]:[GQP CAD $]],5,0)</f>
        <v>36.450000000000003</v>
      </c>
      <c r="I113" s="26">
        <f t="shared" si="3"/>
        <v>473.85</v>
      </c>
    </row>
    <row r="114" spans="2:9" x14ac:dyDescent="0.25">
      <c r="B114" s="62" t="s">
        <v>172</v>
      </c>
      <c r="C114" s="22" t="str">
        <f>VLOOKUP(B114,[1]!Table3[[Part Number]:[Make and Model]],2,0)</f>
        <v xml:space="preserve">CAT D6N LGP (SGG) CAT D6N LGP (SGG) (2)                                          </v>
      </c>
      <c r="D114" s="22" t="str">
        <f>VLOOKUP(B114,[1]!Table3[[Part Number]:[Part Description]],3,0)</f>
        <v>IN-LINE FUEL FILTER</v>
      </c>
      <c r="E114" s="23">
        <f>VLOOKUP(B114,'[1]Product by Part Number'!$A:$J,10,0)</f>
        <v>2</v>
      </c>
      <c r="F114" s="24">
        <f>VLOOKUP(B114,[1]!Table3[[Part Number]:[OEM CAD $]],4,0)</f>
        <v>81.27</v>
      </c>
      <c r="G114" s="25">
        <f t="shared" si="2"/>
        <v>162.54</v>
      </c>
      <c r="H114" s="25">
        <f>VLOOKUP(B114,[1]!Table3[[Part Number]:[GQP CAD $]],5,0)</f>
        <v>30.88</v>
      </c>
      <c r="I114" s="26">
        <f t="shared" si="3"/>
        <v>61.76</v>
      </c>
    </row>
    <row r="115" spans="2:9" x14ac:dyDescent="0.25">
      <c r="B115" s="62" t="s">
        <v>173</v>
      </c>
      <c r="C115" s="22" t="str">
        <f>VLOOKUP(B115,[1]!Table3[[Part Number]:[Make and Model]],2,0)</f>
        <v xml:space="preserve">CAT D7G (92V) CAT D7G (3ZD) CAT D7G (3ZD) (2)                                        </v>
      </c>
      <c r="D115" s="22" t="str">
        <f>VLOOKUP(B115,[1]!Table3[[Part Number]:[Part Description]],3,0)</f>
        <v>FUEL FILTER</v>
      </c>
      <c r="E115" s="23">
        <f>VLOOKUP(B115,'[1]Product by Part Number'!$A:$J,10,0)</f>
        <v>3</v>
      </c>
      <c r="F115" s="24">
        <f>VLOOKUP(B115,[1]!Table3[[Part Number]:[OEM CAD $]],4,0)</f>
        <v>43.78</v>
      </c>
      <c r="G115" s="25">
        <f t="shared" si="2"/>
        <v>131.34</v>
      </c>
      <c r="H115" s="25">
        <f>VLOOKUP(B115,[1]!Table3[[Part Number]:[GQP CAD $]],5,0)</f>
        <v>16.64</v>
      </c>
      <c r="I115" s="26">
        <f t="shared" si="3"/>
        <v>49.92</v>
      </c>
    </row>
    <row r="116" spans="2:9" x14ac:dyDescent="0.25">
      <c r="B116" s="54" t="s">
        <v>174</v>
      </c>
      <c r="C116" s="22" t="str">
        <f>VLOOKUP(B116,[1]!Table3[[Part Number]:[Make and Model]],2,0)</f>
        <v xml:space="preserve">CAT D4 (66J)                                            </v>
      </c>
      <c r="D116" s="22" t="str">
        <f>VLOOKUP(B116,[1]!Table3[[Part Number]:[Part Description]],3,0)</f>
        <v>FUEL WATER SEPARATOR</v>
      </c>
      <c r="E116" s="23">
        <f>VLOOKUP(B116,'[1]Product by Part Number'!$A:$J,10,0)</f>
        <v>1</v>
      </c>
      <c r="F116" s="24">
        <f>VLOOKUP(B116,[1]!Table3[[Part Number]:[OEM CAD $]],4,0)</f>
        <v>60.68</v>
      </c>
      <c r="G116" s="25">
        <f t="shared" ref="G116:G117" si="4">E116*F116</f>
        <v>60.68</v>
      </c>
      <c r="H116" s="25">
        <f>VLOOKUP(B116,[1]!Table3[[Part Number]:[GQP CAD $]],5,0)</f>
        <v>23.06</v>
      </c>
      <c r="I116" s="26">
        <f t="shared" si="3"/>
        <v>23.06</v>
      </c>
    </row>
    <row r="117" spans="2:9" x14ac:dyDescent="0.25">
      <c r="B117" s="54" t="s">
        <v>222</v>
      </c>
      <c r="C117" s="22" t="str">
        <f>VLOOKUP(B117,[1]!Table3[[Part Number]:[Make and Model]],2,0)</f>
        <v xml:space="preserve">CAT D3 (1PJ)                                            </v>
      </c>
      <c r="D117" s="22" t="str">
        <f>VLOOKUP(B117,[1]!Table3[[Part Number]:[Part Description]],3,0)</f>
        <v>**FUEL TANK STRAINER**</v>
      </c>
      <c r="E117" s="23">
        <f>VLOOKUP(B117,'[1]Product by Part Number'!$A:$J,10,0)</f>
        <v>1</v>
      </c>
      <c r="F117" s="24">
        <f>VLOOKUP(B117,[1]!Table3[[Part Number]:[OEM CAD $]],4,0)</f>
        <v>127.92</v>
      </c>
      <c r="G117" s="25">
        <f t="shared" si="4"/>
        <v>127.92</v>
      </c>
      <c r="H117" s="25">
        <f>VLOOKUP(B117,[1]!Table3[[Part Number]:[GQP CAD $]],5,0)</f>
        <v>48.61</v>
      </c>
      <c r="I117" s="26">
        <f t="shared" si="3"/>
        <v>48.61</v>
      </c>
    </row>
    <row r="118" spans="2:9" x14ac:dyDescent="0.25">
      <c r="B118" s="54"/>
      <c r="C118" s="22"/>
      <c r="D118" s="22"/>
      <c r="E118" s="23"/>
      <c r="F118" s="24"/>
      <c r="G118" s="25"/>
      <c r="H118" s="25"/>
      <c r="I118" s="26">
        <f t="shared" si="3"/>
        <v>0</v>
      </c>
    </row>
    <row r="119" spans="2:9" x14ac:dyDescent="0.25">
      <c r="B119" s="54"/>
      <c r="C119" s="22"/>
      <c r="D119" s="22"/>
      <c r="E119" s="23"/>
      <c r="F119" s="24"/>
      <c r="G119" s="25"/>
      <c r="H119" s="25"/>
      <c r="I119" s="26">
        <f t="shared" si="3"/>
        <v>0</v>
      </c>
    </row>
    <row r="120" spans="2:9" x14ac:dyDescent="0.25">
      <c r="B120" s="54"/>
      <c r="C120" s="22"/>
      <c r="D120" s="22"/>
      <c r="E120" s="23"/>
      <c r="F120" s="24"/>
      <c r="G120" s="25"/>
      <c r="H120" s="25"/>
      <c r="I120" s="26">
        <f t="shared" si="3"/>
        <v>0</v>
      </c>
    </row>
    <row r="121" spans="2:9" x14ac:dyDescent="0.25">
      <c r="B121" s="54"/>
      <c r="C121" s="22"/>
      <c r="D121" s="22"/>
      <c r="E121" s="23"/>
      <c r="F121" s="24"/>
      <c r="G121" s="25"/>
      <c r="H121" s="25"/>
      <c r="I121" s="26">
        <f t="shared" si="3"/>
        <v>0</v>
      </c>
    </row>
    <row r="122" spans="2:9" x14ac:dyDescent="0.25">
      <c r="B122" s="54"/>
      <c r="C122" s="22"/>
      <c r="D122" s="22"/>
      <c r="E122" s="23"/>
      <c r="F122" s="24"/>
      <c r="G122" s="25"/>
      <c r="H122" s="25"/>
      <c r="I122" s="26">
        <f t="shared" si="3"/>
        <v>0</v>
      </c>
    </row>
    <row r="123" spans="2:9" x14ac:dyDescent="0.25">
      <c r="B123" s="54"/>
      <c r="C123" s="22"/>
      <c r="D123" s="22"/>
      <c r="E123" s="23"/>
      <c r="F123" s="24"/>
      <c r="G123" s="25"/>
      <c r="H123" s="25"/>
      <c r="I123" s="26">
        <f t="shared" si="3"/>
        <v>0</v>
      </c>
    </row>
    <row r="124" spans="2:9" x14ac:dyDescent="0.25">
      <c r="B124" s="54"/>
      <c r="C124" s="22"/>
      <c r="D124" s="22"/>
      <c r="E124" s="23"/>
      <c r="F124" s="24"/>
      <c r="G124" s="25"/>
      <c r="H124" s="25"/>
      <c r="I124" s="26">
        <f t="shared" si="3"/>
        <v>0</v>
      </c>
    </row>
    <row r="125" spans="2:9" x14ac:dyDescent="0.25">
      <c r="B125" s="54"/>
      <c r="C125" s="22"/>
      <c r="D125" s="22"/>
      <c r="E125" s="23"/>
      <c r="F125" s="24"/>
      <c r="G125" s="25"/>
      <c r="H125" s="25"/>
      <c r="I125" s="26">
        <f t="shared" si="3"/>
        <v>0</v>
      </c>
    </row>
    <row r="126" spans="2:9" x14ac:dyDescent="0.25">
      <c r="B126" s="54"/>
      <c r="C126" s="22"/>
      <c r="D126" s="22"/>
      <c r="E126" s="23"/>
      <c r="F126" s="24"/>
      <c r="G126" s="25"/>
      <c r="H126" s="25"/>
      <c r="I126" s="26">
        <f t="shared" si="3"/>
        <v>0</v>
      </c>
    </row>
    <row r="127" spans="2:9" x14ac:dyDescent="0.25">
      <c r="B127" s="84"/>
      <c r="C127" s="85"/>
      <c r="D127" s="85"/>
      <c r="E127" s="85"/>
      <c r="F127" s="86"/>
      <c r="G127" s="27"/>
      <c r="H127" s="28" t="s">
        <v>17</v>
      </c>
      <c r="I127" s="29">
        <f>SUM(I15:I126)</f>
        <v>22807.51</v>
      </c>
    </row>
    <row r="128" spans="2:9" x14ac:dyDescent="0.25">
      <c r="B128" s="30"/>
      <c r="C128" s="31"/>
      <c r="D128" s="32" t="s">
        <v>18</v>
      </c>
      <c r="E128" s="87">
        <f>SUM(G15:G126)</f>
        <v>57612.33</v>
      </c>
      <c r="F128" s="88"/>
      <c r="G128" s="33"/>
      <c r="H128" s="28" t="s">
        <v>19</v>
      </c>
      <c r="I128" s="34">
        <v>0</v>
      </c>
    </row>
    <row r="129" spans="2:9" x14ac:dyDescent="0.25">
      <c r="B129" s="30"/>
      <c r="C129" s="31"/>
      <c r="D129" s="32" t="s">
        <v>20</v>
      </c>
      <c r="E129" s="87">
        <f>SUM(I15:I126)</f>
        <v>22807.51</v>
      </c>
      <c r="F129" s="88"/>
      <c r="G129" s="33"/>
      <c r="H129" s="35" t="s">
        <v>21</v>
      </c>
      <c r="I129" s="34">
        <v>0</v>
      </c>
    </row>
    <row r="130" spans="2:9" x14ac:dyDescent="0.25">
      <c r="B130" s="30"/>
      <c r="C130" s="31"/>
      <c r="D130" s="32" t="s">
        <v>22</v>
      </c>
      <c r="E130" s="97">
        <f>E128-E129</f>
        <v>34804.820000000007</v>
      </c>
      <c r="F130" s="98"/>
      <c r="G130" s="36"/>
      <c r="H130" s="28" t="s">
        <v>23</v>
      </c>
      <c r="I130" s="37">
        <f>SUM(I127:I129)</f>
        <v>22807.51</v>
      </c>
    </row>
    <row r="131" spans="2:9" x14ac:dyDescent="0.25">
      <c r="B131" s="30"/>
      <c r="C131" s="31"/>
      <c r="D131" s="32"/>
      <c r="E131" s="99"/>
      <c r="F131" s="100"/>
      <c r="G131" s="38"/>
      <c r="H131" s="28" t="s">
        <v>24</v>
      </c>
      <c r="I131" s="37">
        <f>I130*0.05</f>
        <v>1140.3754999999999</v>
      </c>
    </row>
    <row r="132" spans="2:9" x14ac:dyDescent="0.25">
      <c r="B132" s="30"/>
      <c r="C132" s="31"/>
      <c r="D132" s="39"/>
      <c r="E132" s="39"/>
      <c r="F132" s="40"/>
      <c r="G132" s="40"/>
      <c r="H132" s="28" t="s">
        <v>25</v>
      </c>
      <c r="I132" s="34"/>
    </row>
    <row r="133" spans="2:9" ht="15.75" x14ac:dyDescent="0.25">
      <c r="B133" s="94" t="s">
        <v>26</v>
      </c>
      <c r="C133" s="95"/>
      <c r="D133" s="95"/>
      <c r="E133" s="95"/>
      <c r="F133" s="96"/>
      <c r="G133" s="41"/>
      <c r="H133" s="42" t="s">
        <v>27</v>
      </c>
      <c r="I133" s="43">
        <f>SUM(I130:I132)</f>
        <v>23947.885499999997</v>
      </c>
    </row>
  </sheetData>
  <mergeCells count="25">
    <mergeCell ref="B133:F133"/>
    <mergeCell ref="F13:I13"/>
    <mergeCell ref="B127:F127"/>
    <mergeCell ref="E128:F128"/>
    <mergeCell ref="E129:F129"/>
    <mergeCell ref="E130:F130"/>
    <mergeCell ref="E131:F131"/>
    <mergeCell ref="C11:D11"/>
    <mergeCell ref="E11:F11"/>
    <mergeCell ref="H11:I11"/>
    <mergeCell ref="C12:D12"/>
    <mergeCell ref="E12:F12"/>
    <mergeCell ref="H12:I12"/>
    <mergeCell ref="C9:D9"/>
    <mergeCell ref="E9:F9"/>
    <mergeCell ref="H9:I9"/>
    <mergeCell ref="C10:D10"/>
    <mergeCell ref="E10:F10"/>
    <mergeCell ref="H10:I10"/>
    <mergeCell ref="E1:F5"/>
    <mergeCell ref="H1:I5"/>
    <mergeCell ref="C7:D7"/>
    <mergeCell ref="C8:D8"/>
    <mergeCell ref="E8:F8"/>
    <mergeCell ref="H8:I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AEAAF-E9D4-4F41-920A-F55BC0791038}">
  <dimension ref="B1:I116"/>
  <sheetViews>
    <sheetView workbookViewId="0">
      <selection activeCell="G1" sqref="G1"/>
    </sheetView>
  </sheetViews>
  <sheetFormatPr defaultRowHeight="15" x14ac:dyDescent="0.25"/>
  <cols>
    <col min="1" max="1" width="2.7109375" customWidth="1"/>
    <col min="2" max="2" width="15.42578125" customWidth="1"/>
    <col min="3" max="3" width="44.42578125" bestFit="1" customWidth="1"/>
    <col min="4" max="4" width="36" customWidth="1"/>
    <col min="5" max="5" width="7.28515625" customWidth="1"/>
    <col min="6" max="6" width="14.7109375" customWidth="1"/>
    <col min="7" max="7" width="14.7109375" hidden="1" customWidth="1"/>
    <col min="8" max="8" width="14.7109375" customWidth="1"/>
    <col min="9" max="9" width="20.42578125" bestFit="1" customWidth="1"/>
  </cols>
  <sheetData>
    <row r="1" spans="2:9" ht="15" customHeight="1" x14ac:dyDescent="0.25">
      <c r="B1" s="2"/>
      <c r="C1" s="3"/>
      <c r="D1" s="3"/>
      <c r="E1" s="77" t="s">
        <v>28</v>
      </c>
      <c r="F1" s="77"/>
      <c r="G1" s="44"/>
      <c r="H1" s="77" t="s">
        <v>35</v>
      </c>
      <c r="I1" s="78"/>
    </row>
    <row r="2" spans="2:9" ht="15" customHeight="1" x14ac:dyDescent="0.25">
      <c r="B2" s="4"/>
      <c r="E2" s="79"/>
      <c r="F2" s="79"/>
      <c r="G2" s="45"/>
      <c r="H2" s="79"/>
      <c r="I2" s="80"/>
    </row>
    <row r="3" spans="2:9" ht="15" customHeight="1" x14ac:dyDescent="0.25">
      <c r="B3" s="4"/>
      <c r="E3" s="79"/>
      <c r="F3" s="79"/>
      <c r="G3" s="45"/>
      <c r="H3" s="79"/>
      <c r="I3" s="80"/>
    </row>
    <row r="4" spans="2:9" ht="15" customHeight="1" x14ac:dyDescent="0.25">
      <c r="B4" s="4"/>
      <c r="E4" s="79"/>
      <c r="F4" s="79"/>
      <c r="G4" s="45"/>
      <c r="H4" s="79"/>
      <c r="I4" s="80"/>
    </row>
    <row r="5" spans="2:9" ht="15" customHeight="1" x14ac:dyDescent="0.25">
      <c r="B5" s="5"/>
      <c r="C5" s="1"/>
      <c r="D5" s="1"/>
      <c r="E5" s="81"/>
      <c r="F5" s="81"/>
      <c r="G5" s="46"/>
      <c r="H5" s="81"/>
      <c r="I5" s="82"/>
    </row>
    <row r="6" spans="2:9" ht="36" x14ac:dyDescent="0.55000000000000004">
      <c r="B6" s="6"/>
      <c r="C6" s="7"/>
      <c r="D6" s="7"/>
      <c r="E6" s="8"/>
      <c r="F6" s="8"/>
      <c r="G6" s="8"/>
      <c r="H6" s="8"/>
      <c r="I6" s="8"/>
    </row>
    <row r="7" spans="2:9" x14ac:dyDescent="0.25">
      <c r="B7" s="49" t="s">
        <v>7</v>
      </c>
      <c r="C7" s="103" t="s">
        <v>70</v>
      </c>
      <c r="D7" s="104"/>
      <c r="E7" s="9" t="s">
        <v>8</v>
      </c>
      <c r="F7" s="10">
        <v>45870</v>
      </c>
      <c r="G7" s="10"/>
      <c r="H7" s="11" t="s">
        <v>9</v>
      </c>
      <c r="I7" s="12"/>
    </row>
    <row r="8" spans="2:9" x14ac:dyDescent="0.25">
      <c r="B8" s="50" t="s">
        <v>10</v>
      </c>
      <c r="C8" s="101">
        <v>0</v>
      </c>
      <c r="D8" s="101"/>
      <c r="E8" s="89" t="s">
        <v>11</v>
      </c>
      <c r="F8" s="89"/>
      <c r="G8" s="13"/>
      <c r="H8" s="93"/>
      <c r="I8" s="93"/>
    </row>
    <row r="9" spans="2:9" x14ac:dyDescent="0.25">
      <c r="B9" s="50" t="s">
        <v>12</v>
      </c>
      <c r="C9" s="101">
        <v>0</v>
      </c>
      <c r="D9" s="101"/>
      <c r="E9" s="89" t="s">
        <v>13</v>
      </c>
      <c r="F9" s="89"/>
      <c r="G9" s="13"/>
      <c r="H9" s="92"/>
      <c r="I9" s="92"/>
    </row>
    <row r="10" spans="2:9" x14ac:dyDescent="0.25">
      <c r="B10" s="50"/>
      <c r="C10" s="101">
        <v>0</v>
      </c>
      <c r="D10" s="101"/>
      <c r="E10" s="89" t="s">
        <v>14</v>
      </c>
      <c r="F10" s="89"/>
      <c r="G10" s="13"/>
      <c r="H10" s="90"/>
      <c r="I10" s="90"/>
    </row>
    <row r="11" spans="2:9" x14ac:dyDescent="0.25">
      <c r="B11" s="50"/>
      <c r="C11" s="101">
        <v>0</v>
      </c>
      <c r="D11" s="101"/>
      <c r="E11" s="89"/>
      <c r="F11" s="89"/>
      <c r="G11" s="13"/>
      <c r="H11" s="90"/>
      <c r="I11" s="90"/>
    </row>
    <row r="12" spans="2:9" x14ac:dyDescent="0.25">
      <c r="B12" s="51"/>
      <c r="C12" s="101">
        <v>0</v>
      </c>
      <c r="D12" s="101"/>
      <c r="E12" s="102"/>
      <c r="F12" s="102"/>
      <c r="G12" s="14"/>
      <c r="H12" s="91"/>
      <c r="I12" s="91"/>
    </row>
    <row r="13" spans="2:9" ht="15.75" thickBot="1" x14ac:dyDescent="0.3">
      <c r="B13" s="57"/>
      <c r="C13" s="16"/>
      <c r="D13" s="16"/>
      <c r="E13" s="16"/>
      <c r="F13" s="83" t="s">
        <v>3</v>
      </c>
      <c r="G13" s="83"/>
      <c r="H13" s="83"/>
      <c r="I13" s="83"/>
    </row>
    <row r="14" spans="2:9" x14ac:dyDescent="0.25">
      <c r="B14" s="61" t="s">
        <v>0</v>
      </c>
      <c r="C14" s="64" t="s">
        <v>15</v>
      </c>
      <c r="D14" s="65" t="s">
        <v>1</v>
      </c>
      <c r="E14" s="66" t="s">
        <v>2</v>
      </c>
      <c r="F14" s="66" t="s">
        <v>4</v>
      </c>
      <c r="G14" s="66"/>
      <c r="H14" s="66" t="s">
        <v>5</v>
      </c>
      <c r="I14" s="73" t="s">
        <v>16</v>
      </c>
    </row>
    <row r="15" spans="2:9" x14ac:dyDescent="0.25">
      <c r="B15" s="71">
        <v>7134153</v>
      </c>
      <c r="C15" s="71" t="str">
        <f>VLOOKUP(B15,[1]!Table3[[Part Number]:[Make and Model]],2,0)</f>
        <v xml:space="preserve">BOBCAT S650 (A3N)                                            </v>
      </c>
      <c r="D15" s="71" t="str">
        <f>VLOOKUP(B15,[1]!Table3[[Part Number]:[Part Description]],3,0)</f>
        <v>SPROCKET</v>
      </c>
      <c r="E15" s="71">
        <f>VLOOKUP(B15,[1]!Table3[[Part Number]:[Annual]],11,0)</f>
        <v>4</v>
      </c>
      <c r="F15" s="71">
        <f>VLOOKUP(B15,[1]!Table3[[Part Number]:[OEM CAD $]],4,0)</f>
        <v>873.49</v>
      </c>
      <c r="G15" s="70">
        <f>E15*F15</f>
        <v>3493.96</v>
      </c>
      <c r="H15" s="70">
        <f>VLOOKUP(B15,[1]!Table3[[Part Number]:[GQP CAD $]],5,0)</f>
        <v>436.75</v>
      </c>
      <c r="I15" s="74">
        <f t="shared" ref="I15:I74" si="0">ROUND(E15*H15,2)</f>
        <v>1747</v>
      </c>
    </row>
    <row r="16" spans="2:9" x14ac:dyDescent="0.25">
      <c r="B16" s="71">
        <v>7165107</v>
      </c>
      <c r="C16" s="71" t="str">
        <f>VLOOKUP(B16,[1]!Table3[[Part Number]:[Make and Model]],2,0)</f>
        <v xml:space="preserve">BOBCAT T750 (ANK)                                            </v>
      </c>
      <c r="D16" s="71" t="str">
        <f>VLOOKUP(B16,[1]!Table3[[Part Number]:[Part Description]],3,0)</f>
        <v>SPROCKET</v>
      </c>
      <c r="E16" s="71">
        <f>VLOOKUP(B16,[1]!Table3[[Part Number]:[Annual]],11,0)</f>
        <v>2</v>
      </c>
      <c r="F16" s="71">
        <f>VLOOKUP(B16,[1]!Table3[[Part Number]:[OEM CAD $]],4,0)</f>
        <v>557.49</v>
      </c>
      <c r="G16" s="25">
        <f t="shared" ref="G16:G79" si="1">E16*F16</f>
        <v>1114.98</v>
      </c>
      <c r="H16" s="25">
        <f>VLOOKUP(B16,[1]!Table3[[Part Number]:[GQP CAD $]],5,0)</f>
        <v>278.75</v>
      </c>
      <c r="I16" s="26">
        <f t="shared" si="0"/>
        <v>557.5</v>
      </c>
    </row>
    <row r="17" spans="2:9" x14ac:dyDescent="0.25">
      <c r="B17" s="71">
        <v>7165109</v>
      </c>
      <c r="C17" s="71" t="str">
        <f>VLOOKUP(B17,[1]!Table3[[Part Number]:[Make and Model]],2,0)</f>
        <v xml:space="preserve">BOBCAT T750 (ATF) BOBCAT T770 (AT6) BOBCAT T770 (AT6) (2)                                        </v>
      </c>
      <c r="D17" s="71" t="str">
        <f>VLOOKUP(B17,[1]!Table3[[Part Number]:[Part Description]],3,0)</f>
        <v>SPROCKET</v>
      </c>
      <c r="E17" s="71">
        <f>VLOOKUP(B17,[1]!Table3[[Part Number]:[Annual]],11,0)</f>
        <v>6</v>
      </c>
      <c r="F17" s="71">
        <f>VLOOKUP(B17,[1]!Table3[[Part Number]:[OEM CAD $]],4,0)</f>
        <v>557.49</v>
      </c>
      <c r="G17" s="25">
        <f t="shared" si="1"/>
        <v>3344.94</v>
      </c>
      <c r="H17" s="25">
        <f>VLOOKUP(B17,[1]!Table3[[Part Number]:[GQP CAD $]],5,0)</f>
        <v>278.75</v>
      </c>
      <c r="I17" s="26">
        <f t="shared" si="0"/>
        <v>1672.5</v>
      </c>
    </row>
    <row r="18" spans="2:9" x14ac:dyDescent="0.25">
      <c r="B18" s="71">
        <v>7326129</v>
      </c>
      <c r="C18" s="71" t="str">
        <f>VLOOKUP(B18,[1]!Table3[[Part Number]:[Make and Model]],2,0)</f>
        <v xml:space="preserve">BOBCAT T750 (ANK) BOBCAT T750 (ATF) BOBCAT T770 (AT6) BOBCAT T770 (AT6) (2)                                      </v>
      </c>
      <c r="D18" s="71" t="str">
        <f>VLOOKUP(B18,[1]!Table3[[Part Number]:[Part Description]],3,0)</f>
        <v>80" Bucket - Severe Duty</v>
      </c>
      <c r="E18" s="71">
        <f>VLOOKUP(B18,[1]!Table3[[Part Number]:[Annual]],11,0)</f>
        <v>4</v>
      </c>
      <c r="F18" s="71">
        <f>VLOOKUP(B18,[1]!Table3[[Part Number]:[OEM CAD $]],4,0)</f>
        <v>4132.46</v>
      </c>
      <c r="G18" s="25">
        <f t="shared" si="1"/>
        <v>16529.84</v>
      </c>
      <c r="H18" s="25">
        <f>VLOOKUP(B18,[1]!Table3[[Part Number]:[GQP CAD $]],5,0)</f>
        <v>2066.23</v>
      </c>
      <c r="I18" s="26">
        <f t="shared" si="0"/>
        <v>8264.92</v>
      </c>
    </row>
    <row r="19" spans="2:9" x14ac:dyDescent="0.25">
      <c r="B19" s="71">
        <v>7326130</v>
      </c>
      <c r="C19" s="71" t="str">
        <f>VLOOKUP(B19,[1]!Table3[[Part Number]:[Make and Model]],2,0)</f>
        <v xml:space="preserve">BOBCAT S650 (A3N)                                            </v>
      </c>
      <c r="D19" s="71" t="str">
        <f>VLOOKUP(B19,[1]!Table3[[Part Number]:[Part Description]],3,0)</f>
        <v>74" Bucket</v>
      </c>
      <c r="E19" s="71">
        <f>VLOOKUP(B19,[1]!Table3[[Part Number]:[Annual]],11,0)</f>
        <v>1</v>
      </c>
      <c r="F19" s="71">
        <f>VLOOKUP(B19,[1]!Table3[[Part Number]:[OEM CAD $]],4,0)</f>
        <v>3835</v>
      </c>
      <c r="G19" s="25">
        <f t="shared" si="1"/>
        <v>3835</v>
      </c>
      <c r="H19" s="25">
        <f>VLOOKUP(B19,[1]!Table3[[Part Number]:[GQP CAD $]],5,0)</f>
        <v>1917.5</v>
      </c>
      <c r="I19" s="26">
        <f t="shared" si="0"/>
        <v>1917.5</v>
      </c>
    </row>
    <row r="20" spans="2:9" x14ac:dyDescent="0.25">
      <c r="B20" s="71" t="s">
        <v>175</v>
      </c>
      <c r="C20" s="71" t="str">
        <f>VLOOKUP(B20,[1]!Table3[[Part Number]:[Make and Model]],2,0)</f>
        <v xml:space="preserve">CAT D6N LGP (PBA) CAT D6N LGP (PBA) (2) CAT D6N LGP (SGG) CAT D6N LGP (SGG) (2) CAT D6T (MH7) CAT D7G (92V) CAT D7G (3ZD) CAT D7G (3ZD) (2)                              </v>
      </c>
      <c r="D20" s="71" t="str">
        <f>VLOOKUP(B20,[1]!Table3[[Part Number]:[Part Description]],3,0)</f>
        <v>GROOVED PIN</v>
      </c>
      <c r="E20" s="71">
        <f>VLOOKUP(B20,[1]!Table3[[Part Number]:[Annual]],11,0)</f>
        <v>18</v>
      </c>
      <c r="F20" s="71">
        <f>VLOOKUP(B20,[1]!Table3[[Part Number]:[OEM CAD $]],4,0)</f>
        <v>12.96</v>
      </c>
      <c r="G20" s="25">
        <f t="shared" si="1"/>
        <v>233.28000000000003</v>
      </c>
      <c r="H20" s="25">
        <f>VLOOKUP(B20,[1]!Table3[[Part Number]:[GQP CAD $]],5,0)</f>
        <v>4.92</v>
      </c>
      <c r="I20" s="26">
        <f t="shared" si="0"/>
        <v>88.56</v>
      </c>
    </row>
    <row r="21" spans="2:9" x14ac:dyDescent="0.25">
      <c r="B21" s="71" t="s">
        <v>176</v>
      </c>
      <c r="C21" s="71" t="str">
        <f>VLOOKUP(B21,[1]!Table3[[Part Number]:[Make and Model]],2,0)</f>
        <v xml:space="preserve">CAT D5 (3CR) CAT D5 (3CR) (2) CAT D6N LGP (PBA) CAT D6N LGP (PBA) (2) CAT D6N LGP (SGG) CAT D6N LGP (SGG) (2) CAT D6T (MH7) CAT D7G (92V) CAT D7G (3ZD) CAT D7G (3ZD) (2)                          </v>
      </c>
      <c r="D21" s="71" t="str">
        <f>VLOOKUP(B21,[1]!Table3[[Part Number]:[Part Description]],3,0)</f>
        <v>RETAINER</v>
      </c>
      <c r="E21" s="71">
        <f>VLOOKUP(B21,[1]!Table3[[Part Number]:[Annual]],11,0)</f>
        <v>20</v>
      </c>
      <c r="F21" s="71">
        <f>VLOOKUP(B21,[1]!Table3[[Part Number]:[OEM CAD $]],4,0)</f>
        <v>22.39</v>
      </c>
      <c r="G21" s="25">
        <f t="shared" si="1"/>
        <v>447.8</v>
      </c>
      <c r="H21" s="25">
        <f>VLOOKUP(B21,[1]!Table3[[Part Number]:[GQP CAD $]],5,0)</f>
        <v>8.51</v>
      </c>
      <c r="I21" s="26">
        <f t="shared" si="0"/>
        <v>170.2</v>
      </c>
    </row>
    <row r="22" spans="2:9" x14ac:dyDescent="0.25">
      <c r="B22" s="71" t="s">
        <v>178</v>
      </c>
      <c r="C22" s="71" t="str">
        <f>VLOOKUP(B22,[1]!Table3[[Part Number]:[Make and Model]],2,0)</f>
        <v xml:space="preserve">CAT 299D (DX2)                                            </v>
      </c>
      <c r="D22" s="71" t="str">
        <f>VLOOKUP(B22,[1]!Table3[[Part Number]:[Part Description]],3,0)</f>
        <v>Cutting Edge</v>
      </c>
      <c r="E22" s="71">
        <f>VLOOKUP(B22,[1]!Table3[[Part Number]:[Annual]],11,0)</f>
        <v>1</v>
      </c>
      <c r="F22" s="71">
        <f>VLOOKUP(B22,[1]!Table3[[Part Number]:[OEM CAD $]],4,0)</f>
        <v>284.42</v>
      </c>
      <c r="G22" s="25">
        <f t="shared" si="1"/>
        <v>284.42</v>
      </c>
      <c r="H22" s="25">
        <f>VLOOKUP(B22,[1]!Table3[[Part Number]:[GQP CAD $]],5,0)</f>
        <v>142.21</v>
      </c>
      <c r="I22" s="26">
        <f t="shared" si="0"/>
        <v>142.21</v>
      </c>
    </row>
    <row r="23" spans="2:9" x14ac:dyDescent="0.25">
      <c r="B23" s="71" t="s">
        <v>179</v>
      </c>
      <c r="C23" s="71" t="str">
        <f>VLOOKUP(B23,[1]!Table3[[Part Number]:[Make and Model]],2,0)</f>
        <v xml:space="preserve">CAT D5 (3CR) CAT D5 (3CR) (2)                                          </v>
      </c>
      <c r="D23" s="71" t="str">
        <f>VLOOKUP(B23,[1]!Table3[[Part Number]:[Part Description]],3,0)</f>
        <v>RIPPER PIN</v>
      </c>
      <c r="E23" s="71">
        <f>VLOOKUP(B23,[1]!Table3[[Part Number]:[Annual]],11,0)</f>
        <v>2</v>
      </c>
      <c r="F23" s="71">
        <f>VLOOKUP(B23,[1]!Table3[[Part Number]:[OEM CAD $]],4,0)</f>
        <v>10.35</v>
      </c>
      <c r="G23" s="25">
        <f t="shared" si="1"/>
        <v>20.7</v>
      </c>
      <c r="H23" s="25">
        <f>VLOOKUP(B23,[1]!Table3[[Part Number]:[GQP CAD $]],5,0)</f>
        <v>3.93</v>
      </c>
      <c r="I23" s="26">
        <f t="shared" si="0"/>
        <v>7.86</v>
      </c>
    </row>
    <row r="24" spans="2:9" x14ac:dyDescent="0.25">
      <c r="B24" s="71" t="s">
        <v>280</v>
      </c>
      <c r="C24" s="71" t="str">
        <f>VLOOKUP(B24,[1]!Table3[[Part Number]:[Make and Model]],2,0)</f>
        <v xml:space="preserve">CAT 299D (DX2)                                            </v>
      </c>
      <c r="D24" s="71" t="str">
        <f>VLOOKUP(B24,[1]!Table3[[Part Number]:[Part Description]],3,0)</f>
        <v>Screw - Flat head</v>
      </c>
      <c r="E24" s="71">
        <f>VLOOKUP(B24,[1]!Table3[[Part Number]:[Annual]],11,0)</f>
        <v>11</v>
      </c>
      <c r="F24" s="71">
        <f>VLOOKUP(B24,[1]!Table3[[Part Number]:[OEM CAD $]],4,0)</f>
        <v>4.6500000000000004</v>
      </c>
      <c r="G24" s="25">
        <f t="shared" si="1"/>
        <v>51.150000000000006</v>
      </c>
      <c r="H24" s="25">
        <f>VLOOKUP(B24,[1]!Table3[[Part Number]:[GQP CAD $]],5,0)</f>
        <v>2.33</v>
      </c>
      <c r="I24" s="26">
        <f t="shared" si="0"/>
        <v>25.63</v>
      </c>
    </row>
    <row r="25" spans="2:9" x14ac:dyDescent="0.25">
      <c r="B25" s="71" t="s">
        <v>183</v>
      </c>
      <c r="C25" s="71" t="str">
        <f>VLOOKUP(B25,[1]!Table3[[Part Number]:[Make and Model]],2,0)</f>
        <v xml:space="preserve">CAT D3 (1PJ)                                            </v>
      </c>
      <c r="D25" s="71" t="str">
        <f>VLOOKUP(B25,[1]!Table3[[Part Number]:[Part Description]],3,0)</f>
        <v>TIP SHORT</v>
      </c>
      <c r="E25" s="71">
        <f>VLOOKUP(B25,[1]!Table3[[Part Number]:[Annual]],11,0)</f>
        <v>1</v>
      </c>
      <c r="F25" s="71">
        <f>VLOOKUP(B25,[1]!Table3[[Part Number]:[OEM CAD $]],4,0)</f>
        <v>37.42</v>
      </c>
      <c r="G25" s="25">
        <f t="shared" si="1"/>
        <v>37.42</v>
      </c>
      <c r="H25" s="25">
        <f>VLOOKUP(B25,[1]!Table3[[Part Number]:[GQP CAD $]],5,0)</f>
        <v>14.22</v>
      </c>
      <c r="I25" s="26">
        <f t="shared" si="0"/>
        <v>14.22</v>
      </c>
    </row>
    <row r="26" spans="2:9" x14ac:dyDescent="0.25">
      <c r="B26" s="71" t="s">
        <v>184</v>
      </c>
      <c r="C26" s="71" t="str">
        <f>VLOOKUP(B26,[1]!Table3[[Part Number]:[Make and Model]],2,0)</f>
        <v xml:space="preserve">CAT D6T (MH7)                                            </v>
      </c>
      <c r="D26" s="71" t="str">
        <f>VLOOKUP(B26,[1]!Table3[[Part Number]:[Part Description]],3,0)</f>
        <v>CUTTING EDGE</v>
      </c>
      <c r="E26" s="71">
        <f>VLOOKUP(B26,[1]!Table3[[Part Number]:[Annual]],11,0)</f>
        <v>8</v>
      </c>
      <c r="F26" s="71">
        <f>VLOOKUP(B26,[1]!Table3[[Part Number]:[OEM CAD $]],4,0)</f>
        <v>559.01</v>
      </c>
      <c r="G26" s="25">
        <f t="shared" si="1"/>
        <v>4472.08</v>
      </c>
      <c r="H26" s="25">
        <f>VLOOKUP(B26,[1]!Table3[[Part Number]:[GQP CAD $]],5,0)</f>
        <v>212.42</v>
      </c>
      <c r="I26" s="26">
        <f t="shared" si="0"/>
        <v>1699.36</v>
      </c>
    </row>
    <row r="27" spans="2:9" x14ac:dyDescent="0.25">
      <c r="B27" s="71" t="s">
        <v>42</v>
      </c>
      <c r="C27" s="71" t="str">
        <f>VLOOKUP(B27,[1]!Table3[[Part Number]:[Make and Model]],2,0)</f>
        <v xml:space="preserve">CAT D5 (3CR) CAT D5 (3CR) (2) CAT D6N LGP (GHS) CAT D6N LGP (PBA) CAT D6N LGP (PBA) (2) CAT D6N LGP (SGG) CAT D6N LGP (SGG) (2) CAT D6T (MH7)                              </v>
      </c>
      <c r="D27" s="71" t="str">
        <f>VLOOKUP(B27,[1]!Table3[[Part Number]:[Part Description]],3,0)</f>
        <v xml:space="preserve">HEX NUT </v>
      </c>
      <c r="E27" s="71">
        <f>VLOOKUP(B27,[1]!Table3[[Part Number]:[Annual]],11,0)</f>
        <v>888</v>
      </c>
      <c r="F27" s="71">
        <f>VLOOKUP(B27,[1]!Table3[[Part Number]:[OEM CAD $]],4,0)</f>
        <v>3.65</v>
      </c>
      <c r="G27" s="25">
        <f t="shared" si="1"/>
        <v>3241.2</v>
      </c>
      <c r="H27" s="25">
        <f>VLOOKUP(B27,[1]!Table3[[Part Number]:[GQP CAD $]],5,0)</f>
        <v>1.39</v>
      </c>
      <c r="I27" s="26">
        <f t="shared" si="0"/>
        <v>1234.32</v>
      </c>
    </row>
    <row r="28" spans="2:9" x14ac:dyDescent="0.25">
      <c r="B28" s="71" t="s">
        <v>192</v>
      </c>
      <c r="C28" s="71" t="str">
        <f>VLOOKUP(B28,[1]!Table3[[Part Number]:[Make and Model]],2,0)</f>
        <v xml:space="preserve">CAT D3 (1PJ)                                            </v>
      </c>
      <c r="D28" s="71" t="str">
        <f>VLOOKUP(B28,[1]!Table3[[Part Number]:[Part Description]],3,0)</f>
        <v>COTTER PIN</v>
      </c>
      <c r="E28" s="71">
        <f>VLOOKUP(B28,[1]!Table3[[Part Number]:[Annual]],11,0)</f>
        <v>1</v>
      </c>
      <c r="F28" s="71">
        <f>VLOOKUP(B28,[1]!Table3[[Part Number]:[OEM CAD $]],4,0)</f>
        <v>1.18</v>
      </c>
      <c r="G28" s="25">
        <f t="shared" si="1"/>
        <v>1.18</v>
      </c>
      <c r="H28" s="25">
        <f>VLOOKUP(B28,[1]!Table3[[Part Number]:[GQP CAD $]],5,0)</f>
        <v>0.45</v>
      </c>
      <c r="I28" s="26">
        <f t="shared" si="0"/>
        <v>0.45</v>
      </c>
    </row>
    <row r="29" spans="2:9" x14ac:dyDescent="0.25">
      <c r="B29" s="71" t="s">
        <v>193</v>
      </c>
      <c r="C29" s="71" t="str">
        <f>VLOOKUP(B29,[1]!Table3[[Part Number]:[Make and Model]],2,0)</f>
        <v xml:space="preserve">CAT D6N LGP (PBA) CAT D6N LGP (PBA) (2) CAT D6N LGP (SGG) CAT D6N LGP (SGG) (2) CAT D6T (MH7)                                    </v>
      </c>
      <c r="D29" s="71" t="str">
        <f>VLOOKUP(B29,[1]!Table3[[Part Number]:[Part Description]],3,0)</f>
        <v>COTTER PIN</v>
      </c>
      <c r="E29" s="71">
        <f>VLOOKUP(B29,[1]!Table3[[Part Number]:[Annual]],11,0)</f>
        <v>30</v>
      </c>
      <c r="F29" s="71">
        <f>VLOOKUP(B29,[1]!Table3[[Part Number]:[OEM CAD $]],4,0)</f>
        <v>7.67</v>
      </c>
      <c r="G29" s="25">
        <f t="shared" si="1"/>
        <v>230.1</v>
      </c>
      <c r="H29" s="25">
        <f>VLOOKUP(B29,[1]!Table3[[Part Number]:[GQP CAD $]],5,0)</f>
        <v>2.91</v>
      </c>
      <c r="I29" s="26">
        <f t="shared" si="0"/>
        <v>87.3</v>
      </c>
    </row>
    <row r="30" spans="2:9" x14ac:dyDescent="0.25">
      <c r="B30" s="71" t="s">
        <v>346</v>
      </c>
      <c r="C30" s="71" t="str">
        <f>VLOOKUP(B30,[1]!Table3[[Part Number]:[Make and Model]],2,0)</f>
        <v xml:space="preserve">CAT D3 (1PJ)                                            </v>
      </c>
      <c r="D30" s="71" t="str">
        <f>VLOOKUP(B30,[1]!Table3[[Part Number]:[Part Description]],3,0)</f>
        <v>BOLT</v>
      </c>
      <c r="E30" s="71">
        <f>VLOOKUP(B30,[1]!Table3[[Part Number]:[Annual]],11,0)</f>
        <v>72</v>
      </c>
      <c r="F30" s="71">
        <f>VLOOKUP(B30,[1]!Table3[[Part Number]:[OEM CAD $]],4,0)</f>
        <v>3.22</v>
      </c>
      <c r="G30" s="25">
        <f t="shared" si="1"/>
        <v>231.84</v>
      </c>
      <c r="H30" s="25">
        <f>VLOOKUP(B30,[1]!Table3[[Part Number]:[GQP CAD $]],5,0)</f>
        <v>1.22</v>
      </c>
      <c r="I30" s="26">
        <f t="shared" si="0"/>
        <v>87.84</v>
      </c>
    </row>
    <row r="31" spans="2:9" x14ac:dyDescent="0.25">
      <c r="B31" s="71" t="s">
        <v>194</v>
      </c>
      <c r="C31" s="71" t="str">
        <f>VLOOKUP(B31,[1]!Table3[[Part Number]:[Make and Model]],2,0)</f>
        <v xml:space="preserve">CAT D3 (1PJ)                                            </v>
      </c>
      <c r="D31" s="71" t="str">
        <f>VLOOKUP(B31,[1]!Table3[[Part Number]:[Part Description]],3,0)</f>
        <v>BLADE AS</v>
      </c>
      <c r="E31" s="71">
        <f>VLOOKUP(B31,[1]!Table3[[Part Number]:[Annual]],11,0)</f>
        <v>4</v>
      </c>
      <c r="F31" s="71">
        <f>VLOOKUP(B31,[1]!Table3[[Part Number]:[OEM CAD $]],4,0)</f>
        <v>11144.2</v>
      </c>
      <c r="G31" s="25">
        <f t="shared" si="1"/>
        <v>44576.800000000003</v>
      </c>
      <c r="H31" s="25">
        <f>VLOOKUP(B31,[1]!Table3[[Part Number]:[GQP CAD $]],5,0)</f>
        <v>4234.8</v>
      </c>
      <c r="I31" s="26">
        <f t="shared" si="0"/>
        <v>16939.2</v>
      </c>
    </row>
    <row r="32" spans="2:9" x14ac:dyDescent="0.25">
      <c r="B32" s="71" t="s">
        <v>196</v>
      </c>
      <c r="C32" s="71" t="str">
        <f>VLOOKUP(B32,[1]!Table3[[Part Number]:[Make and Model]],2,0)</f>
        <v xml:space="preserve">CAT 303.5E                                            </v>
      </c>
      <c r="D32" s="71" t="str">
        <f>VLOOKUP(B32,[1]!Table3[[Part Number]:[Part Description]],3,0)</f>
        <v>BLADE - PUSH REPLACMENT WELD ON EDGE</v>
      </c>
      <c r="E32" s="71">
        <f>VLOOKUP(B32,[1]!Table3[[Part Number]:[Annual]],11,0)</f>
        <v>5</v>
      </c>
      <c r="F32" s="71">
        <f>VLOOKUP(B32,[1]!Table3[[Part Number]:[OEM CAD $]],4,0)</f>
        <v>147.55000000000001</v>
      </c>
      <c r="G32" s="25">
        <f t="shared" si="1"/>
        <v>737.75</v>
      </c>
      <c r="H32" s="25">
        <f>VLOOKUP(B32,[1]!Table3[[Part Number]:[GQP CAD $]],5,0)</f>
        <v>56.07</v>
      </c>
      <c r="I32" s="26">
        <f t="shared" si="0"/>
        <v>280.35000000000002</v>
      </c>
    </row>
    <row r="33" spans="2:9" x14ac:dyDescent="0.25">
      <c r="B33" s="71" t="s">
        <v>199</v>
      </c>
      <c r="C33" s="71" t="str">
        <f>VLOOKUP(B33,[1]!Table3[[Part Number]:[Make and Model]],2,0)</f>
        <v xml:space="preserve">CAT D6T (MH7)                                            </v>
      </c>
      <c r="D33" s="71" t="str">
        <f>VLOOKUP(B33,[1]!Table3[[Part Number]:[Part Description]],3,0)</f>
        <v>RIPPER SHANK</v>
      </c>
      <c r="E33" s="71">
        <f>VLOOKUP(B33,[1]!Table3[[Part Number]:[Annual]],11,0)</f>
        <v>3</v>
      </c>
      <c r="F33" s="71">
        <f>VLOOKUP(B33,[1]!Table3[[Part Number]:[OEM CAD $]],4,0)</f>
        <v>2061.73</v>
      </c>
      <c r="G33" s="25">
        <f t="shared" si="1"/>
        <v>6185.1900000000005</v>
      </c>
      <c r="H33" s="25">
        <f>VLOOKUP(B33,[1]!Table3[[Part Number]:[GQP CAD $]],5,0)</f>
        <v>783.46</v>
      </c>
      <c r="I33" s="26">
        <f t="shared" si="0"/>
        <v>2350.38</v>
      </c>
    </row>
    <row r="34" spans="2:9" x14ac:dyDescent="0.25">
      <c r="B34" s="71" t="s">
        <v>369</v>
      </c>
      <c r="C34" s="71" t="str">
        <f>VLOOKUP(B34,[1]!Table3[[Part Number]:[Make and Model]],2,0)</f>
        <v xml:space="preserve">CAT D3 (1PJ)                                            </v>
      </c>
      <c r="D34" s="71" t="str">
        <f>VLOOKUP(B34,[1]!Table3[[Part Number]:[Part Description]],3,0)</f>
        <v>NUT</v>
      </c>
      <c r="E34" s="71">
        <f>VLOOKUP(B34,[1]!Table3[[Part Number]:[Annual]],11,0)</f>
        <v>72</v>
      </c>
      <c r="F34" s="71">
        <f>VLOOKUP(B34,[1]!Table3[[Part Number]:[OEM CAD $]],4,0)</f>
        <v>2.44</v>
      </c>
      <c r="G34" s="25">
        <f t="shared" si="1"/>
        <v>175.68</v>
      </c>
      <c r="H34" s="25">
        <f>VLOOKUP(B34,[1]!Table3[[Part Number]:[GQP CAD $]],5,0)</f>
        <v>0.93</v>
      </c>
      <c r="I34" s="26">
        <f t="shared" si="0"/>
        <v>66.959999999999994</v>
      </c>
    </row>
    <row r="35" spans="2:9" x14ac:dyDescent="0.25">
      <c r="B35" s="71" t="s">
        <v>200</v>
      </c>
      <c r="C35" s="71" t="str">
        <f>VLOOKUP(B35,[1]!Table3[[Part Number]:[Make and Model]],2,0)</f>
        <v xml:space="preserve">CAT D6N LGP (GHS) CAT D6N LGP (PBA) CAT D6N LGP (PBA) (2) CAT D6N LGP (SGG) CAT D6N LGP (SGG) (2)                                    </v>
      </c>
      <c r="D35" s="71" t="str">
        <f>VLOOKUP(B35,[1]!Table3[[Part Number]:[Part Description]],3,0)</f>
        <v>CUTTING EDGE</v>
      </c>
      <c r="E35" s="71">
        <f>VLOOKUP(B35,[1]!Table3[[Part Number]:[Annual]],11,0)</f>
        <v>40</v>
      </c>
      <c r="F35" s="71">
        <f>VLOOKUP(B35,[1]!Table3[[Part Number]:[OEM CAD $]],4,0)</f>
        <v>435.33</v>
      </c>
      <c r="G35" s="25">
        <f t="shared" si="1"/>
        <v>17413.2</v>
      </c>
      <c r="H35" s="25">
        <f>VLOOKUP(B35,[1]!Table3[[Part Number]:[GQP CAD $]],5,0)</f>
        <v>165.43</v>
      </c>
      <c r="I35" s="26">
        <f t="shared" si="0"/>
        <v>6617.2</v>
      </c>
    </row>
    <row r="36" spans="2:9" x14ac:dyDescent="0.25">
      <c r="B36" s="71" t="s">
        <v>201</v>
      </c>
      <c r="C36" s="71" t="str">
        <f>VLOOKUP(B36,[1]!Table3[[Part Number]:[Make and Model]],2,0)</f>
        <v xml:space="preserve">CAT D5 (3CR) CAT D5 (3CR) (2)                                          </v>
      </c>
      <c r="D36" s="71" t="str">
        <f>VLOOKUP(B36,[1]!Table3[[Part Number]:[Part Description]],3,0)</f>
        <v>END BIT RH</v>
      </c>
      <c r="E36" s="71">
        <f>VLOOKUP(B36,[1]!Table3[[Part Number]:[Annual]],11,0)</f>
        <v>8</v>
      </c>
      <c r="F36" s="71">
        <f>VLOOKUP(B36,[1]!Table3[[Part Number]:[OEM CAD $]],4,0)</f>
        <v>273.04000000000002</v>
      </c>
      <c r="G36" s="25">
        <f t="shared" si="1"/>
        <v>2184.3200000000002</v>
      </c>
      <c r="H36" s="25">
        <f>VLOOKUP(B36,[1]!Table3[[Part Number]:[GQP CAD $]],5,0)</f>
        <v>103.76</v>
      </c>
      <c r="I36" s="26">
        <f t="shared" si="0"/>
        <v>830.08</v>
      </c>
    </row>
    <row r="37" spans="2:9" x14ac:dyDescent="0.25">
      <c r="B37" s="71" t="s">
        <v>202</v>
      </c>
      <c r="C37" s="71" t="str">
        <f>VLOOKUP(B37,[1]!Table3[[Part Number]:[Make and Model]],2,0)</f>
        <v xml:space="preserve">CAT D5 (3CR) CAT D5 (3CR) (2)                                          </v>
      </c>
      <c r="D37" s="71" t="str">
        <f>VLOOKUP(B37,[1]!Table3[[Part Number]:[Part Description]],3,0)</f>
        <v>END BIT LH</v>
      </c>
      <c r="E37" s="71">
        <f>VLOOKUP(B37,[1]!Table3[[Part Number]:[Annual]],11,0)</f>
        <v>8</v>
      </c>
      <c r="F37" s="71">
        <f>VLOOKUP(B37,[1]!Table3[[Part Number]:[OEM CAD $]],4,0)</f>
        <v>273.04000000000002</v>
      </c>
      <c r="G37" s="25">
        <f t="shared" si="1"/>
        <v>2184.3200000000002</v>
      </c>
      <c r="H37" s="25">
        <f>VLOOKUP(B37,[1]!Table3[[Part Number]:[GQP CAD $]],5,0)</f>
        <v>103.76</v>
      </c>
      <c r="I37" s="26">
        <f t="shared" si="0"/>
        <v>830.08</v>
      </c>
    </row>
    <row r="38" spans="2:9" x14ac:dyDescent="0.25">
      <c r="B38" s="71" t="s">
        <v>203</v>
      </c>
      <c r="C38" s="71" t="str">
        <f>VLOOKUP(B38,[1]!Table3[[Part Number]:[Make and Model]],2,0)</f>
        <v xml:space="preserve">CAT D3 (1PJ)                                            </v>
      </c>
      <c r="D38" s="71" t="str">
        <f>VLOOKUP(B38,[1]!Table3[[Part Number]:[Part Description]],3,0)</f>
        <v>END BIT</v>
      </c>
      <c r="E38" s="71">
        <f>VLOOKUP(B38,[1]!Table3[[Part Number]:[Annual]],11,0)</f>
        <v>8</v>
      </c>
      <c r="F38" s="71">
        <f>VLOOKUP(B38,[1]!Table3[[Part Number]:[OEM CAD $]],4,0)</f>
        <v>73.28</v>
      </c>
      <c r="G38" s="25">
        <f t="shared" si="1"/>
        <v>586.24</v>
      </c>
      <c r="H38" s="25">
        <f>VLOOKUP(B38,[1]!Table3[[Part Number]:[GQP CAD $]],5,0)</f>
        <v>27.85</v>
      </c>
      <c r="I38" s="26">
        <f t="shared" si="0"/>
        <v>222.8</v>
      </c>
    </row>
    <row r="39" spans="2:9" x14ac:dyDescent="0.25">
      <c r="B39" s="71" t="s">
        <v>204</v>
      </c>
      <c r="C39" s="71" t="str">
        <f>VLOOKUP(B39,[1]!Table3[[Part Number]:[Make and Model]],2,0)</f>
        <v xml:space="preserve">CAT D3 (1PJ)                                            </v>
      </c>
      <c r="D39" s="71" t="str">
        <f>VLOOKUP(B39,[1]!Table3[[Part Number]:[Part Description]],3,0)</f>
        <v>CUTTING EDGE</v>
      </c>
      <c r="E39" s="71">
        <f>VLOOKUP(B39,[1]!Table3[[Part Number]:[Annual]],11,0)</f>
        <v>8</v>
      </c>
      <c r="F39" s="71">
        <f>VLOOKUP(B39,[1]!Table3[[Part Number]:[OEM CAD $]],4,0)</f>
        <v>195.02</v>
      </c>
      <c r="G39" s="25">
        <f t="shared" si="1"/>
        <v>1560.16</v>
      </c>
      <c r="H39" s="25">
        <f>VLOOKUP(B39,[1]!Table3[[Part Number]:[GQP CAD $]],5,0)</f>
        <v>74.11</v>
      </c>
      <c r="I39" s="26">
        <f t="shared" si="0"/>
        <v>592.88</v>
      </c>
    </row>
    <row r="40" spans="2:9" x14ac:dyDescent="0.25">
      <c r="B40" s="71" t="s">
        <v>57</v>
      </c>
      <c r="C40" s="71" t="str">
        <f>VLOOKUP(B40,[1]!Table3[[Part Number]:[Make and Model]],2,0)</f>
        <v xml:space="preserve">CAT D5 (3CR) CAT D5 (3CR) (2)                                          </v>
      </c>
      <c r="D40" s="71" t="str">
        <f>VLOOKUP(B40,[1]!Table3[[Part Number]:[Part Description]],3,0)</f>
        <v>CUTTING EDGE</v>
      </c>
      <c r="E40" s="71">
        <f>VLOOKUP(B40,[1]!Table3[[Part Number]:[Annual]],11,0)</f>
        <v>16</v>
      </c>
      <c r="F40" s="71">
        <f>VLOOKUP(B40,[1]!Table3[[Part Number]:[OEM CAD $]],4,0)</f>
        <v>296.41000000000003</v>
      </c>
      <c r="G40" s="25">
        <f t="shared" si="1"/>
        <v>4742.5600000000004</v>
      </c>
      <c r="H40" s="25">
        <f>VLOOKUP(B40,[1]!Table3[[Part Number]:[GQP CAD $]],5,0)</f>
        <v>112.64</v>
      </c>
      <c r="I40" s="26">
        <f t="shared" si="0"/>
        <v>1802.24</v>
      </c>
    </row>
    <row r="41" spans="2:9" x14ac:dyDescent="0.25">
      <c r="B41" s="71" t="s">
        <v>59</v>
      </c>
      <c r="C41" s="71" t="str">
        <f>VLOOKUP(B41,[1]!Table3[[Part Number]:[Make and Model]],2,0)</f>
        <v xml:space="preserve">CAT D5 (3CR) CAT D5 (3CR) (2) CAT D6N LGP (GHS) CAT D6N LGP (PBA) CAT D6N LGP (PBA) (2) CAT D6N LGP (SGG) CAT D6N LGP (SGG) (2) CAT D6T (MH7)                              </v>
      </c>
      <c r="D41" s="71" t="str">
        <f>VLOOKUP(B41,[1]!Table3[[Part Number]:[Part Description]],3,0)</f>
        <v>PLOW BOLT</v>
      </c>
      <c r="E41" s="71">
        <f>VLOOKUP(B41,[1]!Table3[[Part Number]:[Annual]],11,0)</f>
        <v>888</v>
      </c>
      <c r="F41" s="71">
        <f>VLOOKUP(B41,[1]!Table3[[Part Number]:[OEM CAD $]],4,0)</f>
        <v>4.51</v>
      </c>
      <c r="G41" s="25">
        <f t="shared" si="1"/>
        <v>4004.8799999999997</v>
      </c>
      <c r="H41" s="25">
        <f>VLOOKUP(B41,[1]!Table3[[Part Number]:[GQP CAD $]],5,0)</f>
        <v>1.71</v>
      </c>
      <c r="I41" s="26">
        <f t="shared" si="0"/>
        <v>1518.48</v>
      </c>
    </row>
    <row r="42" spans="2:9" x14ac:dyDescent="0.25">
      <c r="B42" s="71" t="s">
        <v>391</v>
      </c>
      <c r="C42" s="71" t="str">
        <f>VLOOKUP(B42,[1]!Table3[[Part Number]:[Make and Model]],2,0)</f>
        <v xml:space="preserve">CAT D3 (1PJ) CAT D6N LGP (SGG) CAT D6N LGP (SGG) (2) CAT 561M (1KW) CAT 561M (1KW) CAT 561N (CPH) CAT 561N (CPH) CAT 561N (CPH) (2) CAT 561N (CPH) (2) CAT 561N (CPH) (3) CAT 561N (CPH) (3) CAT 561N (CPH) (4) CAT 561N (CPH) (4) CAT 561N (CPH) (5) CAT 561N (CPH) (5)                </v>
      </c>
      <c r="D42" s="71" t="str">
        <f>VLOOKUP(B42,[1]!Table3[[Part Number]:[Part Description]],3,0)</f>
        <v>WASHER</v>
      </c>
      <c r="E42" s="71">
        <f>VLOOKUP(B42,[1]!Table3[[Part Number]:[Annual]],11,0)</f>
        <v>476</v>
      </c>
      <c r="F42" s="71">
        <f>VLOOKUP(B42,[1]!Table3[[Part Number]:[OEM CAD $]],4,0)</f>
        <v>2.83</v>
      </c>
      <c r="G42" s="25">
        <f t="shared" si="1"/>
        <v>1347.08</v>
      </c>
      <c r="H42" s="25">
        <f>VLOOKUP(B42,[1]!Table3[[Part Number]:[GQP CAD $]],5,0)</f>
        <v>1.42</v>
      </c>
      <c r="I42" s="26">
        <f t="shared" si="0"/>
        <v>675.92</v>
      </c>
    </row>
    <row r="43" spans="2:9" x14ac:dyDescent="0.25">
      <c r="B43" s="71" t="s">
        <v>43</v>
      </c>
      <c r="C43" s="71" t="str">
        <f>VLOOKUP(B43,[1]!Table3[[Part Number]:[Make and Model]],2,0)</f>
        <v xml:space="preserve">CAT D5 (3CR) CAT D5 (3CR) (2) CAT D6 (RDC) CAT D6N LGP (GHS) CAT D6N LGP (PBA) CAT D6N LGP (PBA) (2) CAT D6N LGP (SGG) CAT D6N LGP (SGG) (2) CAT D6T (MH7)                            </v>
      </c>
      <c r="D43" s="71" t="str">
        <f>VLOOKUP(B43,[1]!Table3[[Part Number]:[Part Description]],3,0)</f>
        <v>FLAT WASHER</v>
      </c>
      <c r="E43" s="71">
        <f>VLOOKUP(B43,[1]!Table3[[Part Number]:[Annual]],11,0)</f>
        <v>938</v>
      </c>
      <c r="F43" s="71">
        <f>VLOOKUP(B43,[1]!Table3[[Part Number]:[OEM CAD $]],4,0)</f>
        <v>3.56</v>
      </c>
      <c r="G43" s="25">
        <f t="shared" si="1"/>
        <v>3339.28</v>
      </c>
      <c r="H43" s="25">
        <f>VLOOKUP(B43,[1]!Table3[[Part Number]:[GQP CAD $]],5,0)</f>
        <v>1.35</v>
      </c>
      <c r="I43" s="26">
        <f t="shared" si="0"/>
        <v>1266.3</v>
      </c>
    </row>
    <row r="44" spans="2:9" x14ac:dyDescent="0.25">
      <c r="B44" s="71" t="s">
        <v>207</v>
      </c>
      <c r="C44" s="71" t="str">
        <f>VLOOKUP(B44,[1]!Table3[[Part Number]:[Make and Model]],2,0)</f>
        <v xml:space="preserve">CAT D7G (92V) CAT D7G (3ZD) CAT D7G (3ZD) (2)                                        </v>
      </c>
      <c r="D44" s="71" t="str">
        <f>VLOOKUP(B44,[1]!Table3[[Part Number]:[Part Description]],3,0)</f>
        <v>RIPPER SHANK</v>
      </c>
      <c r="E44" s="71">
        <f>VLOOKUP(B44,[1]!Table3[[Part Number]:[Annual]],11,0)</f>
        <v>3</v>
      </c>
      <c r="F44" s="71">
        <f>VLOOKUP(B44,[1]!Table3[[Part Number]:[OEM CAD $]],4,0)</f>
        <v>6515.49</v>
      </c>
      <c r="G44" s="25">
        <f t="shared" si="1"/>
        <v>19546.47</v>
      </c>
      <c r="H44" s="25">
        <f>VLOOKUP(B44,[1]!Table3[[Part Number]:[GQP CAD $]],5,0)</f>
        <v>2475.89</v>
      </c>
      <c r="I44" s="26">
        <f t="shared" si="0"/>
        <v>7427.67</v>
      </c>
    </row>
    <row r="45" spans="2:9" x14ac:dyDescent="0.25">
      <c r="B45" s="71" t="s">
        <v>208</v>
      </c>
      <c r="C45" s="71" t="str">
        <f>VLOOKUP(B45,[1]!Table3[[Part Number]:[Make and Model]],2,0)</f>
        <v xml:space="preserve">CAT D3 (1PJ)                                            </v>
      </c>
      <c r="D45" s="71" t="str">
        <f>VLOOKUP(B45,[1]!Table3[[Part Number]:[Part Description]],3,0)</f>
        <v>DOWEL PIN</v>
      </c>
      <c r="E45" s="71">
        <f>VLOOKUP(B45,[1]!Table3[[Part Number]:[Annual]],11,0)</f>
        <v>1</v>
      </c>
      <c r="F45" s="71">
        <f>VLOOKUP(B45,[1]!Table3[[Part Number]:[OEM CAD $]],4,0)</f>
        <v>67.7</v>
      </c>
      <c r="G45" s="25">
        <f t="shared" si="1"/>
        <v>67.7</v>
      </c>
      <c r="H45" s="25">
        <f>VLOOKUP(B45,[1]!Table3[[Part Number]:[GQP CAD $]],5,0)</f>
        <v>25.73</v>
      </c>
      <c r="I45" s="26">
        <f t="shared" si="0"/>
        <v>25.73</v>
      </c>
    </row>
    <row r="46" spans="2:9" x14ac:dyDescent="0.25">
      <c r="B46" s="71" t="s">
        <v>209</v>
      </c>
      <c r="C46" s="71" t="str">
        <f>VLOOKUP(B46,[1]!Table3[[Part Number]:[Make and Model]],2,0)</f>
        <v xml:space="preserve">CAT D5 (3CR) CAT D5 (3CR) (2)                                          </v>
      </c>
      <c r="D46" s="71" t="str">
        <f>VLOOKUP(B46,[1]!Table3[[Part Number]:[Part Description]],3,0)</f>
        <v>RIPPER</v>
      </c>
      <c r="E46" s="71">
        <f>VLOOKUP(B46,[1]!Table3[[Part Number]:[Annual]],11,0)</f>
        <v>2</v>
      </c>
      <c r="F46" s="71">
        <f>VLOOKUP(B46,[1]!Table3[[Part Number]:[OEM CAD $]],4,0)</f>
        <v>144.57</v>
      </c>
      <c r="G46" s="25">
        <f t="shared" si="1"/>
        <v>289.14</v>
      </c>
      <c r="H46" s="25">
        <f>VLOOKUP(B46,[1]!Table3[[Part Number]:[GQP CAD $]],5,0)</f>
        <v>54.94</v>
      </c>
      <c r="I46" s="26">
        <f t="shared" si="0"/>
        <v>109.88</v>
      </c>
    </row>
    <row r="47" spans="2:9" x14ac:dyDescent="0.25">
      <c r="B47" s="71" t="s">
        <v>210</v>
      </c>
      <c r="C47" s="71" t="str">
        <f>VLOOKUP(B47,[1]!Table3[[Part Number]:[Make and Model]],2,0)</f>
        <v xml:space="preserve">CAT D6N LGP (PBA) CAT D6N LGP (PBA) (2) CAT D6N LGP (SGG) CAT D6N LGP (SGG) (2)                                      </v>
      </c>
      <c r="D47" s="71" t="str">
        <f>VLOOKUP(B47,[1]!Table3[[Part Number]:[Part Description]],3,0)</f>
        <v>RIPPER TIP</v>
      </c>
      <c r="E47" s="71">
        <f>VLOOKUP(B47,[1]!Table3[[Part Number]:[Annual]],11,0)</f>
        <v>12</v>
      </c>
      <c r="F47" s="71">
        <f>VLOOKUP(B47,[1]!Table3[[Part Number]:[OEM CAD $]],4,0)</f>
        <v>224.12</v>
      </c>
      <c r="G47" s="25">
        <f t="shared" si="1"/>
        <v>2689.44</v>
      </c>
      <c r="H47" s="25">
        <f>VLOOKUP(B47,[1]!Table3[[Part Number]:[GQP CAD $]],5,0)</f>
        <v>85.17</v>
      </c>
      <c r="I47" s="26">
        <f t="shared" si="0"/>
        <v>1022.04</v>
      </c>
    </row>
    <row r="48" spans="2:9" x14ac:dyDescent="0.25">
      <c r="B48" s="71" t="s">
        <v>211</v>
      </c>
      <c r="C48" s="71" t="str">
        <f>VLOOKUP(B48,[1]!Table3[[Part Number]:[Make and Model]],2,0)</f>
        <v xml:space="preserve">CAT D6T (MH7) CAT D7G (92V) CAT D7G (3ZD) CAT D7G (3ZD) (2)                                      </v>
      </c>
      <c r="D48" s="71" t="str">
        <f>VLOOKUP(B48,[1]!Table3[[Part Number]:[Part Description]],3,0)</f>
        <v>RIPPER TOOTH</v>
      </c>
      <c r="E48" s="71">
        <f>VLOOKUP(B48,[1]!Table3[[Part Number]:[Annual]],11,0)</f>
        <v>6</v>
      </c>
      <c r="F48" s="71">
        <f>VLOOKUP(B48,[1]!Table3[[Part Number]:[OEM CAD $]],4,0)</f>
        <v>224.15</v>
      </c>
      <c r="G48" s="25">
        <f t="shared" si="1"/>
        <v>1344.9</v>
      </c>
      <c r="H48" s="25">
        <f>VLOOKUP(B48,[1]!Table3[[Part Number]:[GQP CAD $]],5,0)</f>
        <v>85.18</v>
      </c>
      <c r="I48" s="26">
        <f t="shared" si="0"/>
        <v>511.08</v>
      </c>
    </row>
    <row r="49" spans="2:9" x14ac:dyDescent="0.25">
      <c r="B49" s="71" t="s">
        <v>213</v>
      </c>
      <c r="C49" s="71" t="str">
        <f>VLOOKUP(B49,[1]!Table3[[Part Number]:[Make and Model]],2,0)</f>
        <v xml:space="preserve">CAT D3 (1PJ)                                            </v>
      </c>
      <c r="D49" s="71" t="str">
        <f>VLOOKUP(B49,[1]!Table3[[Part Number]:[Part Description]],3,0)</f>
        <v>G.E.T PIN</v>
      </c>
      <c r="E49" s="71">
        <f>VLOOKUP(B49,[1]!Table3[[Part Number]:[Annual]],11,0)</f>
        <v>1</v>
      </c>
      <c r="F49" s="71">
        <f>VLOOKUP(B49,[1]!Table3[[Part Number]:[OEM CAD $]],4,0)</f>
        <v>4.38</v>
      </c>
      <c r="G49" s="25">
        <f t="shared" si="1"/>
        <v>4.38</v>
      </c>
      <c r="H49" s="25">
        <f>VLOOKUP(B49,[1]!Table3[[Part Number]:[GQP CAD $]],5,0)</f>
        <v>1.66</v>
      </c>
      <c r="I49" s="26">
        <f t="shared" si="0"/>
        <v>1.66</v>
      </c>
    </row>
    <row r="50" spans="2:9" x14ac:dyDescent="0.25">
      <c r="B50" s="71" t="s">
        <v>214</v>
      </c>
      <c r="C50" s="71" t="str">
        <f>VLOOKUP(B50,[1]!Table3[[Part Number]:[Make and Model]],2,0)</f>
        <v xml:space="preserve">CAT D3 (1PJ)                                            </v>
      </c>
      <c r="D50" s="71" t="str">
        <f>VLOOKUP(B50,[1]!Table3[[Part Number]:[Part Description]],3,0)</f>
        <v>TIP PIN RETAINER</v>
      </c>
      <c r="E50" s="71">
        <f>VLOOKUP(B50,[1]!Table3[[Part Number]:[Annual]],11,0)</f>
        <v>1</v>
      </c>
      <c r="F50" s="71">
        <f>VLOOKUP(B50,[1]!Table3[[Part Number]:[OEM CAD $]],4,0)</f>
        <v>9.4499999999999993</v>
      </c>
      <c r="G50" s="25">
        <f t="shared" si="1"/>
        <v>9.4499999999999993</v>
      </c>
      <c r="H50" s="25">
        <f>VLOOKUP(B50,[1]!Table3[[Part Number]:[GQP CAD $]],5,0)</f>
        <v>3.59</v>
      </c>
      <c r="I50" s="26">
        <f t="shared" si="0"/>
        <v>3.59</v>
      </c>
    </row>
    <row r="51" spans="2:9" x14ac:dyDescent="0.25">
      <c r="B51" s="71" t="s">
        <v>63</v>
      </c>
      <c r="C51" s="71" t="str">
        <f>VLOOKUP(B51,[1]!Table3[[Part Number]:[Make and Model]],2,0)</f>
        <v xml:space="preserve">CAT D6N LGP (GHS) CAT D6N LGP (PBA) CAT D6N LGP (PBA) (2) CAT D6N LGP (SGG) CAT D6N LGP (SGG) (2)                                    </v>
      </c>
      <c r="D51" s="71" t="str">
        <f>VLOOKUP(B51,[1]!Table3[[Part Number]:[Part Description]],3,0)</f>
        <v>END BIT LH</v>
      </c>
      <c r="E51" s="71">
        <f>VLOOKUP(B51,[1]!Table3[[Part Number]:[Annual]],11,0)</f>
        <v>20</v>
      </c>
      <c r="F51" s="71">
        <f>VLOOKUP(B51,[1]!Table3[[Part Number]:[OEM CAD $]],4,0)</f>
        <v>160.9</v>
      </c>
      <c r="G51" s="25">
        <f t="shared" si="1"/>
        <v>3218</v>
      </c>
      <c r="H51" s="25">
        <f>VLOOKUP(B51,[1]!Table3[[Part Number]:[GQP CAD $]],5,0)</f>
        <v>61.14</v>
      </c>
      <c r="I51" s="26">
        <f t="shared" si="0"/>
        <v>1222.8</v>
      </c>
    </row>
    <row r="52" spans="2:9" x14ac:dyDescent="0.25">
      <c r="B52" s="71" t="s">
        <v>64</v>
      </c>
      <c r="C52" s="71" t="str">
        <f>VLOOKUP(B52,[1]!Table3[[Part Number]:[Make and Model]],2,0)</f>
        <v xml:space="preserve">CAT D6N LGP (GHS) CAT D6N LGP (PBA) CAT D6N LGP (PBA) (2) CAT D6N LGP (SGG) CAT D6N LGP (SGG) (2)                                    </v>
      </c>
      <c r="D52" s="71" t="str">
        <f>VLOOKUP(B52,[1]!Table3[[Part Number]:[Part Description]],3,0)</f>
        <v>END BIT RH</v>
      </c>
      <c r="E52" s="71">
        <f>VLOOKUP(B52,[1]!Table3[[Part Number]:[Annual]],11,0)</f>
        <v>20</v>
      </c>
      <c r="F52" s="71">
        <f>VLOOKUP(B52,[1]!Table3[[Part Number]:[OEM CAD $]],4,0)</f>
        <v>160.9</v>
      </c>
      <c r="G52" s="25">
        <f t="shared" si="1"/>
        <v>3218</v>
      </c>
      <c r="H52" s="25">
        <f>VLOOKUP(B52,[1]!Table3[[Part Number]:[GQP CAD $]],5,0)</f>
        <v>61.14</v>
      </c>
      <c r="I52" s="26">
        <f t="shared" si="0"/>
        <v>1222.8</v>
      </c>
    </row>
    <row r="53" spans="2:9" x14ac:dyDescent="0.25">
      <c r="B53" s="71" t="s">
        <v>215</v>
      </c>
      <c r="C53" s="71" t="str">
        <f>VLOOKUP(B53,[1]!Table3[[Part Number]:[Make and Model]],2,0)</f>
        <v xml:space="preserve">CAT D6N LGP (PBA) CAT D6N LGP (PBA) (2) CAT D6N LGP (SGG) CAT D6N LGP (SGG) (2) CAT D6T (MH7)                                    </v>
      </c>
      <c r="D53" s="71" t="str">
        <f>VLOOKUP(B53,[1]!Table3[[Part Number]:[Part Description]],3,0)</f>
        <v>RIPPER PIN</v>
      </c>
      <c r="E53" s="71">
        <f>VLOOKUP(B53,[1]!Table3[[Part Number]:[Annual]],11,0)</f>
        <v>15</v>
      </c>
      <c r="F53" s="71">
        <f>VLOOKUP(B53,[1]!Table3[[Part Number]:[OEM CAD $]],4,0)</f>
        <v>164.9</v>
      </c>
      <c r="G53" s="25">
        <f t="shared" si="1"/>
        <v>2473.5</v>
      </c>
      <c r="H53" s="25">
        <f>VLOOKUP(B53,[1]!Table3[[Part Number]:[GQP CAD $]],5,0)</f>
        <v>62.66</v>
      </c>
      <c r="I53" s="26">
        <f t="shared" si="0"/>
        <v>939.9</v>
      </c>
    </row>
    <row r="54" spans="2:9" x14ac:dyDescent="0.25">
      <c r="B54" s="71" t="s">
        <v>216</v>
      </c>
      <c r="C54" s="71" t="str">
        <f>VLOOKUP(B54,[1]!Table3[[Part Number]:[Make and Model]],2,0)</f>
        <v xml:space="preserve">CAT D3 (1PJ)                                            </v>
      </c>
      <c r="D54" s="71" t="str">
        <f>VLOOKUP(B54,[1]!Table3[[Part Number]:[Part Description]],3,0)</f>
        <v>RIPPER SHANK</v>
      </c>
      <c r="E54" s="71">
        <f>VLOOKUP(B54,[1]!Table3[[Part Number]:[Annual]],11,0)</f>
        <v>1</v>
      </c>
      <c r="F54" s="71">
        <f>VLOOKUP(B54,[1]!Table3[[Part Number]:[OEM CAD $]],4,0)</f>
        <v>446.79</v>
      </c>
      <c r="G54" s="25">
        <f t="shared" si="1"/>
        <v>446.79</v>
      </c>
      <c r="H54" s="25">
        <f>VLOOKUP(B54,[1]!Table3[[Part Number]:[GQP CAD $]],5,0)</f>
        <v>169.78</v>
      </c>
      <c r="I54" s="26">
        <f t="shared" si="0"/>
        <v>169.78</v>
      </c>
    </row>
    <row r="55" spans="2:9" x14ac:dyDescent="0.25">
      <c r="B55" s="71" t="s">
        <v>434</v>
      </c>
      <c r="C55" s="71" t="str">
        <f>VLOOKUP(B55,[1]!Table3[[Part Number]:[Make and Model]],2,0)</f>
        <v xml:space="preserve">CAT 299D (DX2)                                            </v>
      </c>
      <c r="D55" s="71" t="str">
        <f>VLOOKUP(B55,[1]!Table3[[Part Number]:[Part Description]],3,0)</f>
        <v>Lock Nut</v>
      </c>
      <c r="E55" s="71">
        <f>VLOOKUP(B55,[1]!Table3[[Part Number]:[Annual]],11,0)</f>
        <v>11</v>
      </c>
      <c r="F55" s="71">
        <f>VLOOKUP(B55,[1]!Table3[[Part Number]:[OEM CAD $]],4,0)</f>
        <v>8.8699999999999992</v>
      </c>
      <c r="G55" s="25">
        <f t="shared" si="1"/>
        <v>97.57</v>
      </c>
      <c r="H55" s="25">
        <f>VLOOKUP(B55,[1]!Table3[[Part Number]:[GQP CAD $]],5,0)</f>
        <v>4.4400000000000004</v>
      </c>
      <c r="I55" s="26">
        <f t="shared" si="0"/>
        <v>48.84</v>
      </c>
    </row>
    <row r="56" spans="2:9" x14ac:dyDescent="0.25">
      <c r="B56" s="71" t="s">
        <v>220</v>
      </c>
      <c r="C56" s="71" t="str">
        <f>VLOOKUP(B56,[1]!Table3[[Part Number]:[Make and Model]],2,0)</f>
        <v xml:space="preserve">CAT D5 (3CR) CAT D5 (3CR) (2)                                          </v>
      </c>
      <c r="D56" s="71" t="str">
        <f>VLOOKUP(B56,[1]!Table3[[Part Number]:[Part Description]],3,0)</f>
        <v>RIPPER SHANK</v>
      </c>
      <c r="E56" s="71">
        <f>VLOOKUP(B56,[1]!Table3[[Part Number]:[Annual]],11,0)</f>
        <v>2</v>
      </c>
      <c r="F56" s="71">
        <f>VLOOKUP(B56,[1]!Table3[[Part Number]:[OEM CAD $]],4,0)</f>
        <v>1095.81</v>
      </c>
      <c r="G56" s="25">
        <f t="shared" si="1"/>
        <v>2191.62</v>
      </c>
      <c r="H56" s="25">
        <f>VLOOKUP(B56,[1]!Table3[[Part Number]:[GQP CAD $]],5,0)</f>
        <v>416.41</v>
      </c>
      <c r="I56" s="26">
        <f t="shared" si="0"/>
        <v>832.82</v>
      </c>
    </row>
    <row r="57" spans="2:9" x14ac:dyDescent="0.25">
      <c r="B57" s="71" t="s">
        <v>221</v>
      </c>
      <c r="C57" s="71" t="str">
        <f>VLOOKUP(B57,[1]!Table3[[Part Number]:[Make and Model]],2,0)</f>
        <v xml:space="preserve">CAT D6N LGP (PBA) CAT D6N LGP (PBA) (2) CAT D6N LGP (SGG) CAT D6N LGP (SGG) (2)                                      </v>
      </c>
      <c r="D57" s="71" t="str">
        <f>VLOOKUP(B57,[1]!Table3[[Part Number]:[Part Description]],3,0)</f>
        <v>RIPPER SHANK</v>
      </c>
      <c r="E57" s="71">
        <f>VLOOKUP(B57,[1]!Table3[[Part Number]:[Annual]],11,0)</f>
        <v>12</v>
      </c>
      <c r="F57" s="71">
        <f>VLOOKUP(B57,[1]!Table3[[Part Number]:[OEM CAD $]],4,0)</f>
        <v>2053.06</v>
      </c>
      <c r="G57" s="25">
        <f t="shared" si="1"/>
        <v>24636.720000000001</v>
      </c>
      <c r="H57" s="25">
        <f>VLOOKUP(B57,[1]!Table3[[Part Number]:[GQP CAD $]],5,0)</f>
        <v>780.16</v>
      </c>
      <c r="I57" s="26">
        <f t="shared" si="0"/>
        <v>9361.92</v>
      </c>
    </row>
    <row r="58" spans="2:9" x14ac:dyDescent="0.25">
      <c r="B58" s="71" t="s">
        <v>223</v>
      </c>
      <c r="C58" s="71" t="str">
        <f>VLOOKUP(B58,[1]!Table3[[Part Number]:[Make and Model]],2,0)</f>
        <v xml:space="preserve">CAT D6T (MH7)                                            </v>
      </c>
      <c r="D58" s="71" t="str">
        <f>VLOOKUP(B58,[1]!Table3[[Part Number]:[Part Description]],3,0)</f>
        <v>END BIT RH</v>
      </c>
      <c r="E58" s="71">
        <f>VLOOKUP(B58,[1]!Table3[[Part Number]:[Annual]],11,0)</f>
        <v>4</v>
      </c>
      <c r="F58" s="71">
        <f>VLOOKUP(B58,[1]!Table3[[Part Number]:[OEM CAD $]],4,0)</f>
        <v>219.63</v>
      </c>
      <c r="G58" s="25">
        <f t="shared" si="1"/>
        <v>878.52</v>
      </c>
      <c r="H58" s="25">
        <f>VLOOKUP(B58,[1]!Table3[[Part Number]:[GQP CAD $]],5,0)</f>
        <v>83.46</v>
      </c>
      <c r="I58" s="26">
        <f t="shared" si="0"/>
        <v>333.84</v>
      </c>
    </row>
    <row r="59" spans="2:9" x14ac:dyDescent="0.25">
      <c r="B59" s="71" t="s">
        <v>224</v>
      </c>
      <c r="C59" s="71" t="str">
        <f>VLOOKUP(B59,[1]!Table3[[Part Number]:[Make and Model]],2,0)</f>
        <v xml:space="preserve">CAT D6T (MH7)                                            </v>
      </c>
      <c r="D59" s="71" t="str">
        <f>VLOOKUP(B59,[1]!Table3[[Part Number]:[Part Description]],3,0)</f>
        <v>END BIT LH</v>
      </c>
      <c r="E59" s="71">
        <f>VLOOKUP(B59,[1]!Table3[[Part Number]:[Annual]],11,0)</f>
        <v>4</v>
      </c>
      <c r="F59" s="71">
        <f>VLOOKUP(B59,[1]!Table3[[Part Number]:[OEM CAD $]],4,0)</f>
        <v>219.63</v>
      </c>
      <c r="G59" s="25">
        <f t="shared" si="1"/>
        <v>878.52</v>
      </c>
      <c r="H59" s="25">
        <f>VLOOKUP(B59,[1]!Table3[[Part Number]:[GQP CAD $]],5,0)</f>
        <v>83.46</v>
      </c>
      <c r="I59" s="26">
        <f t="shared" si="0"/>
        <v>333.84</v>
      </c>
    </row>
    <row r="60" spans="2:9" x14ac:dyDescent="0.25">
      <c r="B60" s="71" t="s">
        <v>225</v>
      </c>
      <c r="C60" s="71" t="str">
        <f>VLOOKUP(B60,[1]!Table3[[Part Number]:[Make and Model]],2,0)</f>
        <v xml:space="preserve">CAT D5 (3CR) CAT D5 (3CR) (2)                                          </v>
      </c>
      <c r="D60" s="71" t="str">
        <f>VLOOKUP(B60,[1]!Table3[[Part Number]:[Part Description]],3,0)</f>
        <v>ANGLING BLADE ASSY</v>
      </c>
      <c r="E60" s="71">
        <f>VLOOKUP(B60,[1]!Table3[[Part Number]:[Annual]],11,0)</f>
        <v>8</v>
      </c>
      <c r="F60" s="71">
        <f>VLOOKUP(B60,[1]!Table3[[Part Number]:[OEM CAD $]],4,0)</f>
        <v>16888.900000000001</v>
      </c>
      <c r="G60" s="25">
        <f t="shared" si="1"/>
        <v>135111.20000000001</v>
      </c>
      <c r="H60" s="25">
        <f>VLOOKUP(B60,[1]!Table3[[Part Number]:[GQP CAD $]],5,0)</f>
        <v>6417.78</v>
      </c>
      <c r="I60" s="26">
        <f t="shared" si="0"/>
        <v>51342.239999999998</v>
      </c>
    </row>
    <row r="61" spans="2:9" x14ac:dyDescent="0.25">
      <c r="B61" s="71"/>
      <c r="C61" s="71"/>
      <c r="D61" s="71"/>
      <c r="E61" s="71"/>
      <c r="F61" s="71"/>
      <c r="G61" s="25">
        <f t="shared" si="1"/>
        <v>0</v>
      </c>
      <c r="H61" s="25"/>
      <c r="I61" s="26">
        <f t="shared" si="0"/>
        <v>0</v>
      </c>
    </row>
    <row r="62" spans="2:9" x14ac:dyDescent="0.25">
      <c r="B62" s="71"/>
      <c r="C62" s="71"/>
      <c r="D62" s="71"/>
      <c r="E62" s="71"/>
      <c r="F62" s="71"/>
      <c r="G62" s="25">
        <f t="shared" si="1"/>
        <v>0</v>
      </c>
      <c r="H62" s="25"/>
      <c r="I62" s="26">
        <f t="shared" si="0"/>
        <v>0</v>
      </c>
    </row>
    <row r="63" spans="2:9" x14ac:dyDescent="0.25">
      <c r="B63" s="71"/>
      <c r="C63" s="71"/>
      <c r="D63" s="71"/>
      <c r="E63" s="71"/>
      <c r="F63" s="71"/>
      <c r="G63" s="25">
        <f t="shared" si="1"/>
        <v>0</v>
      </c>
      <c r="H63" s="25"/>
      <c r="I63" s="26">
        <f t="shared" si="0"/>
        <v>0</v>
      </c>
    </row>
    <row r="64" spans="2:9" x14ac:dyDescent="0.25">
      <c r="B64" s="71"/>
      <c r="C64" s="71"/>
      <c r="D64" s="71"/>
      <c r="E64" s="71"/>
      <c r="F64" s="71"/>
      <c r="G64" s="25">
        <f t="shared" si="1"/>
        <v>0</v>
      </c>
      <c r="H64" s="25"/>
      <c r="I64" s="26">
        <f t="shared" si="0"/>
        <v>0</v>
      </c>
    </row>
    <row r="65" spans="2:9" x14ac:dyDescent="0.25">
      <c r="B65" s="71"/>
      <c r="C65" s="71"/>
      <c r="D65" s="71"/>
      <c r="E65" s="71"/>
      <c r="F65" s="71"/>
      <c r="G65" s="25">
        <f t="shared" si="1"/>
        <v>0</v>
      </c>
      <c r="H65" s="25"/>
      <c r="I65" s="26">
        <f t="shared" si="0"/>
        <v>0</v>
      </c>
    </row>
    <row r="66" spans="2:9" x14ac:dyDescent="0.25">
      <c r="B66" s="71"/>
      <c r="C66" s="71"/>
      <c r="D66" s="71"/>
      <c r="E66" s="71"/>
      <c r="F66" s="71"/>
      <c r="G66" s="25">
        <f t="shared" si="1"/>
        <v>0</v>
      </c>
      <c r="H66" s="25"/>
      <c r="I66" s="26">
        <f t="shared" si="0"/>
        <v>0</v>
      </c>
    </row>
    <row r="67" spans="2:9" x14ac:dyDescent="0.25">
      <c r="B67" s="71"/>
      <c r="C67" s="71"/>
      <c r="D67" s="71"/>
      <c r="E67" s="71"/>
      <c r="F67" s="71"/>
      <c r="G67" s="25">
        <f t="shared" si="1"/>
        <v>0</v>
      </c>
      <c r="H67" s="25"/>
      <c r="I67" s="26">
        <f t="shared" si="0"/>
        <v>0</v>
      </c>
    </row>
    <row r="68" spans="2:9" x14ac:dyDescent="0.25">
      <c r="B68" s="71"/>
      <c r="C68" s="71"/>
      <c r="D68" s="71"/>
      <c r="E68" s="71"/>
      <c r="F68" s="71"/>
      <c r="G68" s="25">
        <f t="shared" si="1"/>
        <v>0</v>
      </c>
      <c r="H68" s="25"/>
      <c r="I68" s="26">
        <f t="shared" si="0"/>
        <v>0</v>
      </c>
    </row>
    <row r="69" spans="2:9" x14ac:dyDescent="0.25">
      <c r="B69" s="71"/>
      <c r="C69" s="71"/>
      <c r="D69" s="71"/>
      <c r="E69" s="71"/>
      <c r="F69" s="71"/>
      <c r="G69" s="25">
        <f t="shared" si="1"/>
        <v>0</v>
      </c>
      <c r="H69" s="25"/>
      <c r="I69" s="26">
        <f t="shared" si="0"/>
        <v>0</v>
      </c>
    </row>
    <row r="70" spans="2:9" x14ac:dyDescent="0.25">
      <c r="B70" s="71"/>
      <c r="C70" s="71"/>
      <c r="D70" s="71"/>
      <c r="E70" s="71"/>
      <c r="F70" s="71"/>
      <c r="G70" s="25">
        <f t="shared" si="1"/>
        <v>0</v>
      </c>
      <c r="H70" s="25"/>
      <c r="I70" s="26">
        <f t="shared" si="0"/>
        <v>0</v>
      </c>
    </row>
    <row r="71" spans="2:9" x14ac:dyDescent="0.25">
      <c r="B71" s="71"/>
      <c r="C71" s="71"/>
      <c r="D71" s="71"/>
      <c r="E71" s="71"/>
      <c r="F71" s="71"/>
      <c r="G71" s="25">
        <f t="shared" si="1"/>
        <v>0</v>
      </c>
      <c r="H71" s="25"/>
      <c r="I71" s="26">
        <f t="shared" si="0"/>
        <v>0</v>
      </c>
    </row>
    <row r="72" spans="2:9" x14ac:dyDescent="0.25">
      <c r="B72" s="71"/>
      <c r="C72" s="71"/>
      <c r="D72" s="71"/>
      <c r="E72" s="71"/>
      <c r="F72" s="71"/>
      <c r="G72" s="25">
        <f t="shared" si="1"/>
        <v>0</v>
      </c>
      <c r="H72" s="25"/>
      <c r="I72" s="26">
        <f t="shared" si="0"/>
        <v>0</v>
      </c>
    </row>
    <row r="73" spans="2:9" x14ac:dyDescent="0.25">
      <c r="B73" s="71"/>
      <c r="C73" s="71"/>
      <c r="D73" s="71"/>
      <c r="E73" s="71"/>
      <c r="F73" s="71"/>
      <c r="G73" s="25">
        <f t="shared" si="1"/>
        <v>0</v>
      </c>
      <c r="H73" s="25"/>
      <c r="I73" s="26">
        <f t="shared" si="0"/>
        <v>0</v>
      </c>
    </row>
    <row r="74" spans="2:9" x14ac:dyDescent="0.25">
      <c r="B74" s="71"/>
      <c r="C74" s="71"/>
      <c r="D74" s="71"/>
      <c r="E74" s="71"/>
      <c r="F74" s="71"/>
      <c r="G74" s="25">
        <f t="shared" si="1"/>
        <v>0</v>
      </c>
      <c r="H74" s="25"/>
      <c r="I74" s="26">
        <f t="shared" si="0"/>
        <v>0</v>
      </c>
    </row>
    <row r="75" spans="2:9" x14ac:dyDescent="0.25">
      <c r="B75" s="54"/>
      <c r="C75" s="67"/>
      <c r="D75" s="67"/>
      <c r="E75" s="68"/>
      <c r="F75" s="69"/>
      <c r="G75" s="25">
        <f t="shared" si="1"/>
        <v>0</v>
      </c>
      <c r="H75" s="25"/>
      <c r="I75" s="26">
        <f t="shared" ref="I75:I76" si="2">ROUND(E75*H75,2)</f>
        <v>0</v>
      </c>
    </row>
    <row r="76" spans="2:9" x14ac:dyDescent="0.25">
      <c r="B76" s="54"/>
      <c r="C76" s="67"/>
      <c r="D76" s="67"/>
      <c r="E76" s="68"/>
      <c r="F76" s="69"/>
      <c r="G76" s="25">
        <f t="shared" si="1"/>
        <v>0</v>
      </c>
      <c r="H76" s="25"/>
      <c r="I76" s="26">
        <f t="shared" si="2"/>
        <v>0</v>
      </c>
    </row>
    <row r="77" spans="2:9" x14ac:dyDescent="0.25">
      <c r="B77" s="52"/>
      <c r="C77" s="22"/>
      <c r="D77" s="22"/>
      <c r="E77" s="23"/>
      <c r="F77" s="24"/>
      <c r="G77" s="25">
        <f t="shared" si="1"/>
        <v>0</v>
      </c>
      <c r="H77" s="25"/>
      <c r="I77" s="26">
        <f t="shared" ref="I77:I109" si="3">ROUND(E77*H77,2)</f>
        <v>0</v>
      </c>
    </row>
    <row r="78" spans="2:9" x14ac:dyDescent="0.25">
      <c r="B78" s="52"/>
      <c r="C78" s="22"/>
      <c r="D78" s="22"/>
      <c r="E78" s="23"/>
      <c r="F78" s="24"/>
      <c r="G78" s="25">
        <f t="shared" si="1"/>
        <v>0</v>
      </c>
      <c r="H78" s="25"/>
      <c r="I78" s="26">
        <f t="shared" si="3"/>
        <v>0</v>
      </c>
    </row>
    <row r="79" spans="2:9" x14ac:dyDescent="0.25">
      <c r="B79" s="22"/>
      <c r="C79" s="22"/>
      <c r="D79" s="22"/>
      <c r="E79" s="23"/>
      <c r="F79" s="24"/>
      <c r="G79" s="25">
        <f t="shared" si="1"/>
        <v>0</v>
      </c>
      <c r="H79" s="25"/>
      <c r="I79" s="26">
        <f t="shared" si="3"/>
        <v>0</v>
      </c>
    </row>
    <row r="80" spans="2:9" x14ac:dyDescent="0.25">
      <c r="B80" s="22"/>
      <c r="C80" s="22"/>
      <c r="D80" s="22"/>
      <c r="E80" s="23"/>
      <c r="F80" s="24"/>
      <c r="G80" s="25">
        <f t="shared" ref="G80:G109" si="4">E80*F80</f>
        <v>0</v>
      </c>
      <c r="H80" s="25"/>
      <c r="I80" s="26">
        <f t="shared" si="3"/>
        <v>0</v>
      </c>
    </row>
    <row r="81" spans="2:9" x14ac:dyDescent="0.25">
      <c r="B81" s="22"/>
      <c r="C81" s="22"/>
      <c r="D81" s="22"/>
      <c r="E81" s="23"/>
      <c r="F81" s="24"/>
      <c r="G81" s="25">
        <f t="shared" si="4"/>
        <v>0</v>
      </c>
      <c r="H81" s="25"/>
      <c r="I81" s="26">
        <f t="shared" si="3"/>
        <v>0</v>
      </c>
    </row>
    <row r="82" spans="2:9" x14ac:dyDescent="0.25">
      <c r="B82" s="22"/>
      <c r="C82" s="22"/>
      <c r="D82" s="22"/>
      <c r="E82" s="23"/>
      <c r="F82" s="24"/>
      <c r="G82" s="25">
        <f t="shared" si="4"/>
        <v>0</v>
      </c>
      <c r="H82" s="25"/>
      <c r="I82" s="26">
        <f t="shared" si="3"/>
        <v>0</v>
      </c>
    </row>
    <row r="83" spans="2:9" x14ac:dyDescent="0.25">
      <c r="B83" s="22"/>
      <c r="C83" s="22"/>
      <c r="D83" s="22"/>
      <c r="E83" s="23"/>
      <c r="F83" s="24"/>
      <c r="G83" s="25">
        <f t="shared" si="4"/>
        <v>0</v>
      </c>
      <c r="H83" s="25"/>
      <c r="I83" s="26">
        <f t="shared" si="3"/>
        <v>0</v>
      </c>
    </row>
    <row r="84" spans="2:9" x14ac:dyDescent="0.25">
      <c r="B84" s="22"/>
      <c r="C84" s="22"/>
      <c r="D84" s="22"/>
      <c r="E84" s="23"/>
      <c r="F84" s="24"/>
      <c r="G84" s="25">
        <f t="shared" si="4"/>
        <v>0</v>
      </c>
      <c r="H84" s="25"/>
      <c r="I84" s="26">
        <f t="shared" si="3"/>
        <v>0</v>
      </c>
    </row>
    <row r="85" spans="2:9" x14ac:dyDescent="0.25">
      <c r="B85" s="22"/>
      <c r="C85" s="22"/>
      <c r="D85" s="22"/>
      <c r="E85" s="23"/>
      <c r="F85" s="24"/>
      <c r="G85" s="25">
        <f t="shared" si="4"/>
        <v>0</v>
      </c>
      <c r="H85" s="25"/>
      <c r="I85" s="26">
        <f t="shared" si="3"/>
        <v>0</v>
      </c>
    </row>
    <row r="86" spans="2:9" x14ac:dyDescent="0.25">
      <c r="B86" s="22"/>
      <c r="C86" s="22"/>
      <c r="D86" s="22"/>
      <c r="E86" s="23"/>
      <c r="F86" s="24"/>
      <c r="G86" s="25">
        <f t="shared" si="4"/>
        <v>0</v>
      </c>
      <c r="H86" s="25"/>
      <c r="I86" s="26">
        <f t="shared" si="3"/>
        <v>0</v>
      </c>
    </row>
    <row r="87" spans="2:9" x14ac:dyDescent="0.25">
      <c r="B87" s="22"/>
      <c r="C87" s="22"/>
      <c r="D87" s="22"/>
      <c r="E87" s="23"/>
      <c r="F87" s="24"/>
      <c r="G87" s="25">
        <f t="shared" si="4"/>
        <v>0</v>
      </c>
      <c r="H87" s="25"/>
      <c r="I87" s="26">
        <f t="shared" si="3"/>
        <v>0</v>
      </c>
    </row>
    <row r="88" spans="2:9" x14ac:dyDescent="0.25">
      <c r="B88" s="22"/>
      <c r="C88" s="22"/>
      <c r="D88" s="22"/>
      <c r="E88" s="23"/>
      <c r="F88" s="24"/>
      <c r="G88" s="25">
        <f t="shared" si="4"/>
        <v>0</v>
      </c>
      <c r="H88" s="25"/>
      <c r="I88" s="26">
        <f t="shared" si="3"/>
        <v>0</v>
      </c>
    </row>
    <row r="89" spans="2:9" x14ac:dyDescent="0.25">
      <c r="B89" s="22"/>
      <c r="C89" s="22"/>
      <c r="D89" s="22"/>
      <c r="E89" s="23"/>
      <c r="F89" s="24"/>
      <c r="G89" s="25">
        <f t="shared" si="4"/>
        <v>0</v>
      </c>
      <c r="H89" s="25"/>
      <c r="I89" s="26">
        <f t="shared" si="3"/>
        <v>0</v>
      </c>
    </row>
    <row r="90" spans="2:9" x14ac:dyDescent="0.25">
      <c r="B90" s="22"/>
      <c r="C90" s="22"/>
      <c r="D90" s="22"/>
      <c r="E90" s="23"/>
      <c r="F90" s="24"/>
      <c r="G90" s="25">
        <f t="shared" si="4"/>
        <v>0</v>
      </c>
      <c r="H90" s="25"/>
      <c r="I90" s="26">
        <f t="shared" si="3"/>
        <v>0</v>
      </c>
    </row>
    <row r="91" spans="2:9" x14ac:dyDescent="0.25">
      <c r="B91" s="22"/>
      <c r="C91" s="22"/>
      <c r="D91" s="22"/>
      <c r="E91" s="23"/>
      <c r="F91" s="24"/>
      <c r="G91" s="25">
        <f t="shared" si="4"/>
        <v>0</v>
      </c>
      <c r="H91" s="25"/>
      <c r="I91" s="26">
        <f t="shared" si="3"/>
        <v>0</v>
      </c>
    </row>
    <row r="92" spans="2:9" x14ac:dyDescent="0.25">
      <c r="B92" s="22"/>
      <c r="C92" s="22"/>
      <c r="D92" s="22"/>
      <c r="E92" s="23"/>
      <c r="F92" s="24"/>
      <c r="G92" s="25">
        <f t="shared" si="4"/>
        <v>0</v>
      </c>
      <c r="H92" s="25"/>
      <c r="I92" s="26">
        <f t="shared" si="3"/>
        <v>0</v>
      </c>
    </row>
    <row r="93" spans="2:9" x14ac:dyDescent="0.25">
      <c r="B93" s="22"/>
      <c r="C93" s="22"/>
      <c r="D93" s="22"/>
      <c r="E93" s="23"/>
      <c r="F93" s="24"/>
      <c r="G93" s="25">
        <f t="shared" si="4"/>
        <v>0</v>
      </c>
      <c r="H93" s="25"/>
      <c r="I93" s="26">
        <f t="shared" si="3"/>
        <v>0</v>
      </c>
    </row>
    <row r="94" spans="2:9" x14ac:dyDescent="0.25">
      <c r="B94" s="22"/>
      <c r="C94" s="22"/>
      <c r="D94" s="22"/>
      <c r="E94" s="23"/>
      <c r="F94" s="24"/>
      <c r="G94" s="25">
        <f t="shared" si="4"/>
        <v>0</v>
      </c>
      <c r="H94" s="25"/>
      <c r="I94" s="26">
        <f t="shared" si="3"/>
        <v>0</v>
      </c>
    </row>
    <row r="95" spans="2:9" x14ac:dyDescent="0.25">
      <c r="B95" s="22"/>
      <c r="C95" s="22"/>
      <c r="D95" s="22"/>
      <c r="E95" s="23"/>
      <c r="F95" s="24"/>
      <c r="G95" s="25">
        <f t="shared" si="4"/>
        <v>0</v>
      </c>
      <c r="H95" s="25"/>
      <c r="I95" s="26">
        <f t="shared" si="3"/>
        <v>0</v>
      </c>
    </row>
    <row r="96" spans="2:9" x14ac:dyDescent="0.25">
      <c r="B96" s="22"/>
      <c r="C96" s="22"/>
      <c r="D96" s="22"/>
      <c r="E96" s="23"/>
      <c r="F96" s="24"/>
      <c r="G96" s="25">
        <f t="shared" si="4"/>
        <v>0</v>
      </c>
      <c r="H96" s="25"/>
      <c r="I96" s="26">
        <f t="shared" si="3"/>
        <v>0</v>
      </c>
    </row>
    <row r="97" spans="2:9" x14ac:dyDescent="0.25">
      <c r="B97" s="22"/>
      <c r="C97" s="22"/>
      <c r="D97" s="22"/>
      <c r="E97" s="23"/>
      <c r="F97" s="24"/>
      <c r="G97" s="25">
        <f t="shared" si="4"/>
        <v>0</v>
      </c>
      <c r="H97" s="25"/>
      <c r="I97" s="26">
        <f t="shared" si="3"/>
        <v>0</v>
      </c>
    </row>
    <row r="98" spans="2:9" x14ac:dyDescent="0.25">
      <c r="B98" s="22"/>
      <c r="C98" s="22"/>
      <c r="D98" s="22"/>
      <c r="E98" s="23"/>
      <c r="F98" s="24"/>
      <c r="G98" s="25">
        <f t="shared" si="4"/>
        <v>0</v>
      </c>
      <c r="H98" s="25"/>
      <c r="I98" s="26">
        <f t="shared" si="3"/>
        <v>0</v>
      </c>
    </row>
    <row r="99" spans="2:9" x14ac:dyDescent="0.25">
      <c r="B99" s="22"/>
      <c r="C99" s="22"/>
      <c r="D99" s="22"/>
      <c r="E99" s="23"/>
      <c r="F99" s="24"/>
      <c r="G99" s="25">
        <f t="shared" si="4"/>
        <v>0</v>
      </c>
      <c r="H99" s="25"/>
      <c r="I99" s="26">
        <f t="shared" si="3"/>
        <v>0</v>
      </c>
    </row>
    <row r="100" spans="2:9" x14ac:dyDescent="0.25">
      <c r="B100" s="22"/>
      <c r="C100" s="22"/>
      <c r="D100" s="22"/>
      <c r="E100" s="23"/>
      <c r="F100" s="24"/>
      <c r="G100" s="25">
        <f t="shared" si="4"/>
        <v>0</v>
      </c>
      <c r="H100" s="25"/>
      <c r="I100" s="26">
        <f t="shared" si="3"/>
        <v>0</v>
      </c>
    </row>
    <row r="101" spans="2:9" x14ac:dyDescent="0.25">
      <c r="B101" s="22"/>
      <c r="C101" s="22"/>
      <c r="D101" s="22"/>
      <c r="E101" s="23"/>
      <c r="F101" s="24"/>
      <c r="G101" s="25">
        <f t="shared" si="4"/>
        <v>0</v>
      </c>
      <c r="H101" s="25"/>
      <c r="I101" s="26">
        <f t="shared" si="3"/>
        <v>0</v>
      </c>
    </row>
    <row r="102" spans="2:9" x14ac:dyDescent="0.25">
      <c r="B102" s="22"/>
      <c r="C102" s="22"/>
      <c r="D102" s="22"/>
      <c r="E102" s="23"/>
      <c r="F102" s="24"/>
      <c r="G102" s="25">
        <f t="shared" si="4"/>
        <v>0</v>
      </c>
      <c r="H102" s="25"/>
      <c r="I102" s="26">
        <f t="shared" si="3"/>
        <v>0</v>
      </c>
    </row>
    <row r="103" spans="2:9" x14ac:dyDescent="0.25">
      <c r="B103" s="22"/>
      <c r="C103" s="22"/>
      <c r="D103" s="22"/>
      <c r="E103" s="23"/>
      <c r="F103" s="24"/>
      <c r="G103" s="25">
        <f t="shared" si="4"/>
        <v>0</v>
      </c>
      <c r="H103" s="25"/>
      <c r="I103" s="26">
        <f t="shared" si="3"/>
        <v>0</v>
      </c>
    </row>
    <row r="104" spans="2:9" x14ac:dyDescent="0.25">
      <c r="B104" s="22"/>
      <c r="C104" s="22"/>
      <c r="D104" s="22"/>
      <c r="E104" s="23"/>
      <c r="F104" s="24"/>
      <c r="G104" s="25">
        <f t="shared" si="4"/>
        <v>0</v>
      </c>
      <c r="H104" s="25"/>
      <c r="I104" s="26">
        <f t="shared" si="3"/>
        <v>0</v>
      </c>
    </row>
    <row r="105" spans="2:9" x14ac:dyDescent="0.25">
      <c r="B105" s="22"/>
      <c r="C105" s="22"/>
      <c r="D105" s="22"/>
      <c r="E105" s="23"/>
      <c r="F105" s="24"/>
      <c r="G105" s="25">
        <f t="shared" si="4"/>
        <v>0</v>
      </c>
      <c r="H105" s="25"/>
      <c r="I105" s="26">
        <f t="shared" si="3"/>
        <v>0</v>
      </c>
    </row>
    <row r="106" spans="2:9" x14ac:dyDescent="0.25">
      <c r="B106" s="22"/>
      <c r="C106" s="22"/>
      <c r="D106" s="22"/>
      <c r="E106" s="23"/>
      <c r="F106" s="24"/>
      <c r="G106" s="25">
        <f t="shared" si="4"/>
        <v>0</v>
      </c>
      <c r="H106" s="25"/>
      <c r="I106" s="26">
        <f t="shared" si="3"/>
        <v>0</v>
      </c>
    </row>
    <row r="107" spans="2:9" x14ac:dyDescent="0.25">
      <c r="B107" s="22"/>
      <c r="C107" s="22"/>
      <c r="D107" s="22"/>
      <c r="E107" s="23"/>
      <c r="F107" s="24"/>
      <c r="G107" s="25">
        <f t="shared" si="4"/>
        <v>0</v>
      </c>
      <c r="H107" s="25"/>
      <c r="I107" s="26">
        <f t="shared" si="3"/>
        <v>0</v>
      </c>
    </row>
    <row r="108" spans="2:9" x14ac:dyDescent="0.25">
      <c r="B108" s="22"/>
      <c r="C108" s="22"/>
      <c r="D108" s="22"/>
      <c r="E108" s="23"/>
      <c r="F108" s="24"/>
      <c r="G108" s="25">
        <f t="shared" si="4"/>
        <v>0</v>
      </c>
      <c r="H108" s="25"/>
      <c r="I108" s="26">
        <f t="shared" si="3"/>
        <v>0</v>
      </c>
    </row>
    <row r="109" spans="2:9" x14ac:dyDescent="0.25">
      <c r="B109" s="22"/>
      <c r="C109" s="22"/>
      <c r="D109" s="22"/>
      <c r="E109" s="23"/>
      <c r="F109" s="24"/>
      <c r="G109" s="25">
        <f t="shared" si="4"/>
        <v>0</v>
      </c>
      <c r="H109" s="25"/>
      <c r="I109" s="26">
        <f t="shared" si="3"/>
        <v>0</v>
      </c>
    </row>
    <row r="110" spans="2:9" x14ac:dyDescent="0.25">
      <c r="B110" s="84"/>
      <c r="C110" s="85"/>
      <c r="D110" s="85"/>
      <c r="E110" s="85"/>
      <c r="F110" s="86"/>
      <c r="G110" s="27"/>
      <c r="H110" s="28" t="s">
        <v>17</v>
      </c>
      <c r="I110" s="29">
        <f>SUM(I15:I76)</f>
        <v>126620.66999999998</v>
      </c>
    </row>
    <row r="111" spans="2:9" x14ac:dyDescent="0.25">
      <c r="B111" s="30"/>
      <c r="C111" s="31"/>
      <c r="D111" s="32" t="s">
        <v>18</v>
      </c>
      <c r="E111" s="87">
        <f>SUM(G15:G109)</f>
        <v>323709.27</v>
      </c>
      <c r="F111" s="88"/>
      <c r="G111" s="33"/>
      <c r="H111" s="28" t="s">
        <v>19</v>
      </c>
      <c r="I111" s="34">
        <v>0</v>
      </c>
    </row>
    <row r="112" spans="2:9" x14ac:dyDescent="0.25">
      <c r="B112" s="30"/>
      <c r="C112" s="31"/>
      <c r="D112" s="32" t="s">
        <v>20</v>
      </c>
      <c r="E112" s="87">
        <f>SUM(I15:I109)</f>
        <v>126620.66999999998</v>
      </c>
      <c r="F112" s="88"/>
      <c r="G112" s="33"/>
      <c r="H112" s="35" t="s">
        <v>21</v>
      </c>
      <c r="I112" s="34">
        <v>0</v>
      </c>
    </row>
    <row r="113" spans="2:9" x14ac:dyDescent="0.25">
      <c r="B113" s="30"/>
      <c r="C113" s="31"/>
      <c r="D113" s="32" t="s">
        <v>22</v>
      </c>
      <c r="E113" s="97">
        <f>E111-E112</f>
        <v>197088.60000000003</v>
      </c>
      <c r="F113" s="98"/>
      <c r="G113" s="36"/>
      <c r="H113" s="28" t="s">
        <v>23</v>
      </c>
      <c r="I113" s="37">
        <f>SUM(I110:I112)</f>
        <v>126620.66999999998</v>
      </c>
    </row>
    <row r="114" spans="2:9" x14ac:dyDescent="0.25">
      <c r="B114" s="30"/>
      <c r="C114" s="31"/>
      <c r="D114" s="32"/>
      <c r="E114" s="99"/>
      <c r="F114" s="100"/>
      <c r="G114" s="38"/>
      <c r="H114" s="28" t="s">
        <v>24</v>
      </c>
      <c r="I114" s="37">
        <f>I113*0.05</f>
        <v>6331.0334999999995</v>
      </c>
    </row>
    <row r="115" spans="2:9" x14ac:dyDescent="0.25">
      <c r="B115" s="30"/>
      <c r="C115" s="31"/>
      <c r="D115" s="39"/>
      <c r="E115" s="39"/>
      <c r="F115" s="40"/>
      <c r="G115" s="40"/>
      <c r="H115" s="28" t="s">
        <v>25</v>
      </c>
      <c r="I115" s="34"/>
    </row>
    <row r="116" spans="2:9" ht="15.75" x14ac:dyDescent="0.25">
      <c r="B116" s="94" t="s">
        <v>26</v>
      </c>
      <c r="C116" s="95"/>
      <c r="D116" s="95"/>
      <c r="E116" s="95"/>
      <c r="F116" s="96"/>
      <c r="G116" s="41"/>
      <c r="H116" s="42" t="s">
        <v>27</v>
      </c>
      <c r="I116" s="43">
        <f>SUM(I113:I115)</f>
        <v>132951.70349999997</v>
      </c>
    </row>
  </sheetData>
  <autoFilter ref="B14:I116" xr:uid="{627AEAAF-E9D4-4F41-920A-F55BC0791038}"/>
  <mergeCells count="25">
    <mergeCell ref="E1:F5"/>
    <mergeCell ref="H1:I5"/>
    <mergeCell ref="C7:D7"/>
    <mergeCell ref="C8:D8"/>
    <mergeCell ref="E8:F8"/>
    <mergeCell ref="H8:I8"/>
    <mergeCell ref="C9:D9"/>
    <mergeCell ref="E9:F9"/>
    <mergeCell ref="H9:I9"/>
    <mergeCell ref="C10:D10"/>
    <mergeCell ref="E10:F10"/>
    <mergeCell ref="H10:I10"/>
    <mergeCell ref="C11:D11"/>
    <mergeCell ref="E11:F11"/>
    <mergeCell ref="H11:I11"/>
    <mergeCell ref="C12:D12"/>
    <mergeCell ref="E12:F12"/>
    <mergeCell ref="H12:I12"/>
    <mergeCell ref="B116:F116"/>
    <mergeCell ref="F13:I13"/>
    <mergeCell ref="B110:F110"/>
    <mergeCell ref="E111:F111"/>
    <mergeCell ref="E112:F112"/>
    <mergeCell ref="E113:F113"/>
    <mergeCell ref="E114:F11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D775C-C777-482C-B3DD-888A06E506C2}">
  <sheetPr filterMode="1"/>
  <dimension ref="B1:I79"/>
  <sheetViews>
    <sheetView topLeftCell="A16" workbookViewId="0">
      <selection activeCell="C16" sqref="C16:H16"/>
    </sheetView>
  </sheetViews>
  <sheetFormatPr defaultRowHeight="15" x14ac:dyDescent="0.25"/>
  <cols>
    <col min="1" max="1" width="2.7109375" customWidth="1"/>
    <col min="2" max="2" width="15.42578125" customWidth="1"/>
    <col min="3" max="3" width="44.42578125" bestFit="1" customWidth="1"/>
    <col min="4" max="4" width="36" customWidth="1"/>
    <col min="5" max="5" width="7.28515625" customWidth="1"/>
    <col min="6" max="8" width="14.7109375" customWidth="1"/>
    <col min="9" max="9" width="20.42578125" bestFit="1" customWidth="1"/>
  </cols>
  <sheetData>
    <row r="1" spans="2:9" ht="15" customHeight="1" x14ac:dyDescent="0.25">
      <c r="B1" s="2"/>
      <c r="C1" s="3"/>
      <c r="D1" s="3"/>
      <c r="E1" s="77" t="s">
        <v>28</v>
      </c>
      <c r="F1" s="77"/>
      <c r="G1" s="44"/>
      <c r="H1" s="77" t="s">
        <v>29</v>
      </c>
      <c r="I1" s="78"/>
    </row>
    <row r="2" spans="2:9" ht="15" customHeight="1" x14ac:dyDescent="0.25">
      <c r="B2" s="4"/>
      <c r="E2" s="79"/>
      <c r="F2" s="79"/>
      <c r="G2" s="45"/>
      <c r="H2" s="79"/>
      <c r="I2" s="80"/>
    </row>
    <row r="3" spans="2:9" ht="15" customHeight="1" x14ac:dyDescent="0.25">
      <c r="B3" s="4"/>
      <c r="E3" s="79"/>
      <c r="F3" s="79"/>
      <c r="G3" s="45"/>
      <c r="H3" s="79"/>
      <c r="I3" s="80"/>
    </row>
    <row r="4" spans="2:9" ht="15" customHeight="1" x14ac:dyDescent="0.25">
      <c r="B4" s="4"/>
      <c r="E4" s="79"/>
      <c r="F4" s="79"/>
      <c r="G4" s="45"/>
      <c r="H4" s="79"/>
      <c r="I4" s="80"/>
    </row>
    <row r="5" spans="2:9" ht="15" customHeight="1" x14ac:dyDescent="0.25">
      <c r="B5" s="5"/>
      <c r="C5" s="1"/>
      <c r="D5" s="1"/>
      <c r="E5" s="81"/>
      <c r="F5" s="81"/>
      <c r="G5" s="46"/>
      <c r="H5" s="81"/>
      <c r="I5" s="82"/>
    </row>
    <row r="6" spans="2:9" ht="36" x14ac:dyDescent="0.55000000000000004">
      <c r="B6" s="6"/>
      <c r="C6" s="7"/>
      <c r="D6" s="7"/>
      <c r="E6" s="8"/>
      <c r="F6" s="8"/>
      <c r="G6" s="8"/>
      <c r="H6" s="8"/>
      <c r="I6" s="8"/>
    </row>
    <row r="7" spans="2:9" x14ac:dyDescent="0.25">
      <c r="B7" s="49" t="s">
        <v>7</v>
      </c>
      <c r="C7" s="103" t="s">
        <v>70</v>
      </c>
      <c r="D7" s="104"/>
      <c r="E7" s="9" t="s">
        <v>8</v>
      </c>
      <c r="F7" s="10">
        <v>45870</v>
      </c>
      <c r="G7" s="10"/>
      <c r="H7" s="11" t="s">
        <v>9</v>
      </c>
      <c r="I7" s="12"/>
    </row>
    <row r="8" spans="2:9" x14ac:dyDescent="0.25">
      <c r="B8" s="50" t="s">
        <v>10</v>
      </c>
      <c r="C8" s="101">
        <v>0</v>
      </c>
      <c r="D8" s="101"/>
      <c r="E8" s="89" t="s">
        <v>11</v>
      </c>
      <c r="F8" s="89"/>
      <c r="G8" s="13"/>
      <c r="H8" s="93"/>
      <c r="I8" s="93"/>
    </row>
    <row r="9" spans="2:9" x14ac:dyDescent="0.25">
      <c r="B9" s="50" t="s">
        <v>12</v>
      </c>
      <c r="C9" s="101">
        <v>0</v>
      </c>
      <c r="D9" s="101"/>
      <c r="E9" s="89" t="s">
        <v>13</v>
      </c>
      <c r="F9" s="89"/>
      <c r="G9" s="13"/>
      <c r="H9" s="92"/>
      <c r="I9" s="92"/>
    </row>
    <row r="10" spans="2:9" x14ac:dyDescent="0.25">
      <c r="B10" s="50"/>
      <c r="C10" s="101">
        <v>0</v>
      </c>
      <c r="D10" s="101"/>
      <c r="E10" s="89" t="s">
        <v>14</v>
      </c>
      <c r="F10" s="89"/>
      <c r="G10" s="13"/>
      <c r="H10" s="90"/>
      <c r="I10" s="90"/>
    </row>
    <row r="11" spans="2:9" x14ac:dyDescent="0.25">
      <c r="B11" s="50"/>
      <c r="C11" s="101">
        <v>0</v>
      </c>
      <c r="D11" s="101"/>
      <c r="E11" s="89"/>
      <c r="F11" s="89"/>
      <c r="G11" s="13"/>
      <c r="H11" s="90"/>
      <c r="I11" s="90"/>
    </row>
    <row r="12" spans="2:9" x14ac:dyDescent="0.25">
      <c r="B12" s="51"/>
      <c r="C12" s="101">
        <v>0</v>
      </c>
      <c r="D12" s="101"/>
      <c r="E12" s="102"/>
      <c r="F12" s="102"/>
      <c r="G12" s="14"/>
      <c r="H12" s="91"/>
      <c r="I12" s="91"/>
    </row>
    <row r="13" spans="2:9" ht="15.75" thickBot="1" x14ac:dyDescent="0.3">
      <c r="B13" s="15"/>
      <c r="C13" s="16"/>
      <c r="D13" s="16"/>
      <c r="E13" s="16"/>
      <c r="F13" s="83" t="s">
        <v>3</v>
      </c>
      <c r="G13" s="83"/>
      <c r="H13" s="83"/>
      <c r="I13" s="83"/>
    </row>
    <row r="14" spans="2:9" ht="15.75" thickBot="1" x14ac:dyDescent="0.3">
      <c r="B14" s="56" t="s">
        <v>0</v>
      </c>
      <c r="C14" s="18" t="s">
        <v>15</v>
      </c>
      <c r="D14" s="19" t="s">
        <v>1</v>
      </c>
      <c r="E14" s="20" t="s">
        <v>2</v>
      </c>
      <c r="F14" s="20" t="s">
        <v>4</v>
      </c>
      <c r="G14" s="20"/>
      <c r="H14" s="20" t="s">
        <v>5</v>
      </c>
      <c r="I14" s="21" t="s">
        <v>16</v>
      </c>
    </row>
    <row r="15" spans="2:9" x14ac:dyDescent="0.25">
      <c r="B15" s="63">
        <v>6698542</v>
      </c>
      <c r="C15" s="22" t="str">
        <f>VLOOKUP(B15,'[1]Product by Part Number'!$A:$B,2,0)</f>
        <v xml:space="preserve">BOBCAT T750 (ANK)                                            </v>
      </c>
      <c r="D15" s="22" t="str">
        <f>VLOOKUP(B15,'[1]Product by Part Number'!$A:$C,3,0)</f>
        <v>Injector</v>
      </c>
      <c r="E15" s="23">
        <f>VLOOKUP(B15,'[1]Product by Part Number'!$A:$K,11,0)</f>
        <v>4</v>
      </c>
      <c r="F15" s="24">
        <f>VLOOKUP(B15,'[1]Product by Part Number'!$A:$D,4,0)</f>
        <v>706.99</v>
      </c>
      <c r="G15" s="25">
        <f>E15*F15</f>
        <v>2827.96</v>
      </c>
      <c r="H15" s="25">
        <f>VLOOKUP(B15,'[1]Product by Part Number'!$A:$E,5,0)</f>
        <v>353.5</v>
      </c>
      <c r="I15" s="26">
        <f t="shared" ref="I15:I72" si="0">ROUND(E15*H15,2)</f>
        <v>1414</v>
      </c>
    </row>
    <row r="16" spans="2:9" x14ac:dyDescent="0.25">
      <c r="B16" s="62">
        <v>7008498</v>
      </c>
      <c r="C16" s="22" t="str">
        <f>VLOOKUP(B16,'[1]Product by Part Number'!$A:$B,2,0)</f>
        <v xml:space="preserve">BOBCAT S650 (A3N)                                            </v>
      </c>
      <c r="D16" s="22" t="str">
        <f>VLOOKUP(B16,'[1]Product by Part Number'!$A:$C,3,0)</f>
        <v>Injector</v>
      </c>
      <c r="E16" s="23">
        <f>VLOOKUP(B16,'[1]Product by Part Number'!$A:$K,11,0)</f>
        <v>4</v>
      </c>
      <c r="F16" s="24">
        <f>VLOOKUP(B16,'[1]Product by Part Number'!$A:$D,4,0)</f>
        <v>893.49</v>
      </c>
      <c r="G16" s="25">
        <f t="shared" ref="G16:G36" si="1">E16*F16</f>
        <v>3573.96</v>
      </c>
      <c r="H16" s="25">
        <f>VLOOKUP(B16,'[1]Product by Part Number'!$A:$E,5,0)</f>
        <v>446.75</v>
      </c>
      <c r="I16" s="26">
        <f t="shared" si="0"/>
        <v>1787</v>
      </c>
    </row>
    <row r="17" spans="2:9" x14ac:dyDescent="0.25">
      <c r="B17" s="62">
        <v>7485369</v>
      </c>
      <c r="C17" s="22" t="str">
        <f>VLOOKUP(B17,'[1]Product by Part Number'!$A:$B,2,0)</f>
        <v xml:space="preserve">BOBCAT T750 (ATF)                                            </v>
      </c>
      <c r="D17" s="22" t="str">
        <f>VLOOKUP(B17,'[1]Product by Part Number'!$A:$C,3,0)</f>
        <v>Injector</v>
      </c>
      <c r="E17" s="23">
        <f>VLOOKUP(B17,'[1]Product by Part Number'!$A:$K,11,0)</f>
        <v>4</v>
      </c>
      <c r="F17" s="24">
        <f>VLOOKUP(B17,'[1]Product by Part Number'!$A:$D,4,0)</f>
        <v>1626.49</v>
      </c>
      <c r="G17" s="25">
        <f t="shared" si="1"/>
        <v>6505.96</v>
      </c>
      <c r="H17" s="25">
        <f>VLOOKUP(B17,'[1]Product by Part Number'!$A:$E,5,0)</f>
        <v>813.25</v>
      </c>
      <c r="I17" s="26">
        <f t="shared" si="0"/>
        <v>3253</v>
      </c>
    </row>
    <row r="18" spans="2:9" x14ac:dyDescent="0.25">
      <c r="B18" s="62">
        <v>7516846</v>
      </c>
      <c r="C18" s="22" t="str">
        <f>VLOOKUP(B18,'[1]Product by Part Number'!$A:$B,2,0)</f>
        <v xml:space="preserve">BOBCAT T770 (AT6) BOBCAT T770 (AT6) (2)                                          </v>
      </c>
      <c r="D18" s="22" t="str">
        <f>VLOOKUP(B18,'[1]Product by Part Number'!$A:$C,3,0)</f>
        <v>Injector</v>
      </c>
      <c r="E18" s="23">
        <f>VLOOKUP(B18,'[1]Product by Part Number'!$A:$K,11,0)</f>
        <v>8</v>
      </c>
      <c r="F18" s="24">
        <f>VLOOKUP(B18,'[1]Product by Part Number'!$A:$D,4,0)</f>
        <v>955.49</v>
      </c>
      <c r="G18" s="25">
        <f t="shared" si="1"/>
        <v>7643.92</v>
      </c>
      <c r="H18" s="25">
        <f>VLOOKUP(B18,'[1]Product by Part Number'!$A:$E,5,0)</f>
        <v>477.75</v>
      </c>
      <c r="I18" s="26">
        <f t="shared" si="0"/>
        <v>3822</v>
      </c>
    </row>
    <row r="19" spans="2:9" x14ac:dyDescent="0.25">
      <c r="B19" s="62" t="s">
        <v>226</v>
      </c>
      <c r="C19" s="22" t="str">
        <f>VLOOKUP(B19,'[1]Product by Part Number'!$A:$B,2,0)</f>
        <v xml:space="preserve">CAT D5 (3CR) CAT D5 (3CR) (2) CAT 561M (1KW)                                        </v>
      </c>
      <c r="D19" s="22" t="str">
        <f>VLOOKUP(B19,'[1]Product by Part Number'!$A:$C,3,0)</f>
        <v>FUEL INJECTOR</v>
      </c>
      <c r="E19" s="23">
        <f>VLOOKUP(B19,'[1]Product by Part Number'!$A:$K,11,0)</f>
        <v>18</v>
      </c>
      <c r="F19" s="24">
        <f>VLOOKUP(B19,'[1]Product by Part Number'!$A:$D,4,0)</f>
        <v>914.54</v>
      </c>
      <c r="G19" s="25">
        <f t="shared" si="1"/>
        <v>16461.72</v>
      </c>
      <c r="H19" s="25">
        <f>VLOOKUP(B19,'[1]Product by Part Number'!$A:$E,5,0)</f>
        <v>457.27</v>
      </c>
      <c r="I19" s="26">
        <f t="shared" si="0"/>
        <v>8230.86</v>
      </c>
    </row>
    <row r="20" spans="2:9" x14ac:dyDescent="0.25">
      <c r="B20" s="62" t="s">
        <v>227</v>
      </c>
      <c r="C20" s="22" t="str">
        <f>VLOOKUP(B20,'[1]Product by Part Number'!$A:$B,2,0)</f>
        <v xml:space="preserve">CAT 561N (CPH) CAT 561N (CPH) (2) CAT 561N (CPH) (3) CAT 561N (CPH) (4) CAT 561N (CPH) (5)                                    </v>
      </c>
      <c r="D20" s="22" t="str">
        <f>VLOOKUP(B20,'[1]Product by Part Number'!$A:$C,3,0)</f>
        <v>INJECTROR</v>
      </c>
      <c r="E20" s="23">
        <f>VLOOKUP(B20,'[1]Product by Part Number'!$A:$K,11,0)</f>
        <v>30</v>
      </c>
      <c r="F20" s="24">
        <f>VLOOKUP(B20,'[1]Product by Part Number'!$A:$D,4,0)</f>
        <v>1817.71</v>
      </c>
      <c r="G20" s="25">
        <f t="shared" si="1"/>
        <v>54531.3</v>
      </c>
      <c r="H20" s="25">
        <f>VLOOKUP(B20,'[1]Product by Part Number'!$A:$E,5,0)</f>
        <v>908.86</v>
      </c>
      <c r="I20" s="26">
        <f t="shared" si="0"/>
        <v>27265.8</v>
      </c>
    </row>
    <row r="21" spans="2:9" x14ac:dyDescent="0.25">
      <c r="B21" s="62" t="s">
        <v>228</v>
      </c>
      <c r="C21" s="22" t="str">
        <f>VLOOKUP(B21,'[1]Product by Part Number'!$A:$B,2,0)</f>
        <v xml:space="preserve">CAT D6N LGP (GHS)                                            </v>
      </c>
      <c r="D21" s="22" t="str">
        <f>VLOOKUP(B21,'[1]Product by Part Number'!$A:$C,3,0)</f>
        <v>FUEL INJECTOR</v>
      </c>
      <c r="E21" s="23">
        <f>VLOOKUP(B21,'[1]Product by Part Number'!$A:$K,11,0)</f>
        <v>6</v>
      </c>
      <c r="F21" s="24">
        <f>VLOOKUP(B21,'[1]Product by Part Number'!$A:$D,4,0)</f>
        <v>1132.93</v>
      </c>
      <c r="G21" s="25">
        <f t="shared" si="1"/>
        <v>6797.58</v>
      </c>
      <c r="H21" s="25">
        <f>VLOOKUP(B21,'[1]Product by Part Number'!$A:$E,5,0)</f>
        <v>566.47</v>
      </c>
      <c r="I21" s="26">
        <f t="shared" si="0"/>
        <v>3398.82</v>
      </c>
    </row>
    <row r="22" spans="2:9" x14ac:dyDescent="0.25">
      <c r="B22" s="62" t="s">
        <v>229</v>
      </c>
      <c r="C22" s="22" t="str">
        <f>VLOOKUP(B22,'[1]Product by Part Number'!$A:$B,2,0)</f>
        <v xml:space="preserve">CAT D4 (66J)                                            </v>
      </c>
      <c r="D22" s="22" t="str">
        <f>VLOOKUP(B22,'[1]Product by Part Number'!$A:$C,3,0)</f>
        <v>FUEL INJECTOR</v>
      </c>
      <c r="E22" s="23">
        <f>VLOOKUP(B22,'[1]Product by Part Number'!$A:$K,11,0)</f>
        <v>6</v>
      </c>
      <c r="F22" s="24">
        <f>VLOOKUP(B22,'[1]Product by Part Number'!$A:$D,4,0)</f>
        <v>1138.5999999999999</v>
      </c>
      <c r="G22" s="25">
        <f t="shared" si="1"/>
        <v>6831.5999999999995</v>
      </c>
      <c r="H22" s="25">
        <f>VLOOKUP(B22,'[1]Product by Part Number'!$A:$E,5,0)</f>
        <v>569.29999999999995</v>
      </c>
      <c r="I22" s="26">
        <f t="shared" si="0"/>
        <v>3415.8</v>
      </c>
    </row>
    <row r="23" spans="2:9" x14ac:dyDescent="0.25">
      <c r="B23" s="62" t="s">
        <v>230</v>
      </c>
      <c r="C23" s="22" t="str">
        <f>VLOOKUP(B23,'[1]Product by Part Number'!$A:$B,2,0)</f>
        <v xml:space="preserve">CAT 320F L (YBM) CAT 320 (HEX) CAT 329E L (ZCD)                                        </v>
      </c>
      <c r="D23" s="22" t="str">
        <f>VLOOKUP(B23,'[1]Product by Part Number'!$A:$C,3,0)</f>
        <v>FUEL INJECTOR</v>
      </c>
      <c r="E23" s="23">
        <f>VLOOKUP(B23,'[1]Product by Part Number'!$A:$K,11,0)</f>
        <v>14</v>
      </c>
      <c r="F23" s="24">
        <f>VLOOKUP(B23,'[1]Product by Part Number'!$A:$D,4,0)</f>
        <v>1474.09</v>
      </c>
      <c r="G23" s="25">
        <f t="shared" si="1"/>
        <v>20637.259999999998</v>
      </c>
      <c r="H23" s="25">
        <f>VLOOKUP(B23,'[1]Product by Part Number'!$A:$E,5,0)</f>
        <v>737.05</v>
      </c>
      <c r="I23" s="26">
        <f t="shared" si="0"/>
        <v>10318.700000000001</v>
      </c>
    </row>
    <row r="24" spans="2:9" x14ac:dyDescent="0.25">
      <c r="B24" s="62" t="s">
        <v>231</v>
      </c>
      <c r="C24" s="22" t="str">
        <f>VLOOKUP(B24,'[1]Product by Part Number'!$A:$B,2,0)</f>
        <v xml:space="preserve">CAT 303.5E                                            </v>
      </c>
      <c r="D24" s="22" t="str">
        <f>VLOOKUP(B24,'[1]Product by Part Number'!$A:$C,3,0)</f>
        <v xml:space="preserve">FUEL INJECTOR NOZZLE </v>
      </c>
      <c r="E24" s="23">
        <f>VLOOKUP(B24,'[1]Product by Part Number'!$A:$K,11,0)</f>
        <v>3</v>
      </c>
      <c r="F24" s="24">
        <f>VLOOKUP(B24,'[1]Product by Part Number'!$A:$D,4,0)</f>
        <v>974.18</v>
      </c>
      <c r="G24" s="25">
        <f t="shared" si="1"/>
        <v>2922.54</v>
      </c>
      <c r="H24" s="25">
        <f>VLOOKUP(B24,'[1]Product by Part Number'!$A:$E,5,0)</f>
        <v>487.09</v>
      </c>
      <c r="I24" s="26">
        <f t="shared" si="0"/>
        <v>1461.27</v>
      </c>
    </row>
    <row r="25" spans="2:9" x14ac:dyDescent="0.25">
      <c r="B25" s="62" t="s">
        <v>232</v>
      </c>
      <c r="C25" s="22" t="str">
        <f>VLOOKUP(B25,'[1]Product by Part Number'!$A:$B,2,0)</f>
        <v xml:space="preserve">CAT 336F L (RKB) CAT D6T (MH7)                                          </v>
      </c>
      <c r="D25" s="22" t="str">
        <f>VLOOKUP(B25,'[1]Product by Part Number'!$A:$C,3,0)</f>
        <v xml:space="preserve">FUEL INJECTOR </v>
      </c>
      <c r="E25" s="23">
        <f>VLOOKUP(B25,'[1]Product by Part Number'!$A:$K,11,0)</f>
        <v>12</v>
      </c>
      <c r="F25" s="24">
        <f>VLOOKUP(B25,'[1]Product by Part Number'!$A:$D,4,0)</f>
        <v>1474.09</v>
      </c>
      <c r="G25" s="25">
        <f t="shared" si="1"/>
        <v>17689.079999999998</v>
      </c>
      <c r="H25" s="25">
        <f>VLOOKUP(B25,'[1]Product by Part Number'!$A:$E,5,0)</f>
        <v>737.05</v>
      </c>
      <c r="I25" s="26">
        <f t="shared" si="0"/>
        <v>8844.6</v>
      </c>
    </row>
    <row r="26" spans="2:9" x14ac:dyDescent="0.25">
      <c r="B26" s="62" t="s">
        <v>233</v>
      </c>
      <c r="C26" s="22" t="str">
        <f>VLOOKUP(B26,'[1]Product by Part Number'!$A:$B,2,0)</f>
        <v xml:space="preserve">CAT 299D (DX2)                                            </v>
      </c>
      <c r="D26" s="22" t="str">
        <f>VLOOKUP(B26,'[1]Product by Part Number'!$A:$C,3,0)</f>
        <v>Injector</v>
      </c>
      <c r="E26" s="23">
        <f>VLOOKUP(B26,'[1]Product by Part Number'!$A:$K,11,0)</f>
        <v>4</v>
      </c>
      <c r="F26" s="24">
        <f>VLOOKUP(B26,'[1]Product by Part Number'!$A:$D,4,0)</f>
        <v>1852.34</v>
      </c>
      <c r="G26" s="25">
        <f t="shared" si="1"/>
        <v>7409.36</v>
      </c>
      <c r="H26" s="25">
        <f>VLOOKUP(B26,'[1]Product by Part Number'!$A:$E,5,0)</f>
        <v>926.17</v>
      </c>
      <c r="I26" s="26">
        <f t="shared" si="0"/>
        <v>3704.68</v>
      </c>
    </row>
    <row r="27" spans="2:9" x14ac:dyDescent="0.25">
      <c r="B27" s="62" t="s">
        <v>234</v>
      </c>
      <c r="C27" s="22" t="str">
        <f>VLOOKUP(B27,'[1]Product by Part Number'!$A:$B,2,0)</f>
        <v xml:space="preserve">CAT D3 (1PJ)                                            </v>
      </c>
      <c r="D27" s="22" t="str">
        <f>VLOOKUP(B27,'[1]Product by Part Number'!$A:$C,3,0)</f>
        <v>FUEL INJECTOR</v>
      </c>
      <c r="E27" s="23">
        <f>VLOOKUP(B27,'[1]Product by Part Number'!$A:$K,11,0)</f>
        <v>4</v>
      </c>
      <c r="F27" s="24">
        <f>VLOOKUP(B27,'[1]Product by Part Number'!$A:$D,4,0)</f>
        <v>1132.93</v>
      </c>
      <c r="G27" s="25">
        <f t="shared" si="1"/>
        <v>4531.72</v>
      </c>
      <c r="H27" s="25">
        <f>VLOOKUP(B27,'[1]Product by Part Number'!$A:$E,5,0)</f>
        <v>566.47</v>
      </c>
      <c r="I27" s="26">
        <f t="shared" si="0"/>
        <v>2265.88</v>
      </c>
    </row>
    <row r="28" spans="2:9" x14ac:dyDescent="0.25">
      <c r="B28" s="62" t="s">
        <v>235</v>
      </c>
      <c r="C28" s="22" t="str">
        <f>VLOOKUP(B28,'[1]Product by Part Number'!$A:$B,2,0)</f>
        <v xml:space="preserve">CAT 320 (MYK) CAT 320 (MYK) (2)                                          </v>
      </c>
      <c r="D28" s="22" t="str">
        <f>VLOOKUP(B28,'[1]Product by Part Number'!$A:$C,3,0)</f>
        <v>FUEL INJECTOR</v>
      </c>
      <c r="E28" s="23">
        <f>VLOOKUP(B28,'[1]Product by Part Number'!$A:$K,11,0)</f>
        <v>8</v>
      </c>
      <c r="F28" s="24">
        <f>VLOOKUP(B28,'[1]Product by Part Number'!$A:$D,4,0)</f>
        <v>1132.8800000000001</v>
      </c>
      <c r="G28" s="25">
        <f t="shared" si="1"/>
        <v>9063.0400000000009</v>
      </c>
      <c r="H28" s="25">
        <f>VLOOKUP(B28,'[1]Product by Part Number'!$A:$E,5,0)</f>
        <v>566.44000000000005</v>
      </c>
      <c r="I28" s="26">
        <f t="shared" si="0"/>
        <v>4531.5200000000004</v>
      </c>
    </row>
    <row r="29" spans="2:9" x14ac:dyDescent="0.25">
      <c r="B29" s="62" t="s">
        <v>236</v>
      </c>
      <c r="C29" s="22" t="str">
        <f>VLOOKUP(B29,'[1]Product by Part Number'!$A:$B,2,0)</f>
        <v xml:space="preserve">CAT 320E L (WBK) CAT 320E L (WBK) (2) CAT 329F L (ERL) CAT 329F L (ERL) (2) CAT 330F L (MBX) CAT 330F L (HCK) CAT 330F L (HCK) (2) CAT 330 (LHW) CAT 330 (LHW) (2) CAT 330 (LHW) (3) CAT 330 (LHW) (4) CAT 330 (WCH) CAT 330 (WCH) (2) CAT 330 (WCH) (3) CAT 330 (WCH) (4) CAT 330 (WCH) (5) CAT 330 (WCH) (6) CAT D6N LGP (PBA) CAT D6N LGP (PBA) (2) CAT D6N LGP (SGG) CAT D6N LGP (SGG) (2)    </v>
      </c>
      <c r="D29" s="22" t="str">
        <f>VLOOKUP(B29,'[1]Product by Part Number'!$A:$C,3,0)</f>
        <v>FUEL INJECTOR</v>
      </c>
      <c r="E29" s="23">
        <f>VLOOKUP(B29,'[1]Product by Part Number'!$A:$K,11,0)</f>
        <v>126</v>
      </c>
      <c r="F29" s="24">
        <f>VLOOKUP(B29,'[1]Product by Part Number'!$A:$D,4,0)</f>
        <v>1474.09</v>
      </c>
      <c r="G29" s="25">
        <f t="shared" si="1"/>
        <v>185735.34</v>
      </c>
      <c r="H29" s="25">
        <f>VLOOKUP(B29,'[1]Product by Part Number'!$A:$E,5,0)</f>
        <v>737.05</v>
      </c>
      <c r="I29" s="26">
        <f t="shared" si="0"/>
        <v>92868.3</v>
      </c>
    </row>
    <row r="30" spans="2:9" x14ac:dyDescent="0.25">
      <c r="B30" s="62" t="s">
        <v>237</v>
      </c>
      <c r="C30" s="22" t="str">
        <f>VLOOKUP(B30,'[1]Product by Part Number'!$A:$B,2,0)</f>
        <v xml:space="preserve">CAT D6 (RDC)                                            </v>
      </c>
      <c r="D30" s="22" t="str">
        <f>VLOOKUP(B30,'[1]Product by Part Number'!$A:$C,3,0)</f>
        <v>INJECTOR</v>
      </c>
      <c r="E30" s="23">
        <f>VLOOKUP(B30,'[1]Product by Part Number'!$A:$K,11,0)</f>
        <v>6</v>
      </c>
      <c r="F30" s="24">
        <f>VLOOKUP(B30,'[1]Product by Part Number'!$A:$D,4,0)</f>
        <v>1423.26</v>
      </c>
      <c r="G30" s="25">
        <f t="shared" si="1"/>
        <v>8539.56</v>
      </c>
      <c r="H30" s="25">
        <f>VLOOKUP(B30,'[1]Product by Part Number'!$A:$E,5,0)</f>
        <v>711.63</v>
      </c>
      <c r="I30" s="26">
        <f t="shared" si="0"/>
        <v>4269.78</v>
      </c>
    </row>
    <row r="31" spans="2:9" x14ac:dyDescent="0.25">
      <c r="B31" s="62" t="s">
        <v>238</v>
      </c>
      <c r="C31" s="22" t="str">
        <f>VLOOKUP(B31,'[1]Product by Part Number'!$A:$B,2,0)</f>
        <v xml:space="preserve">CAT D7G (92V) CAT D7G (3ZD) CAT D7G (3ZD) (2)                                        </v>
      </c>
      <c r="D31" s="22" t="str">
        <f>VLOOKUP(B31,'[1]Product by Part Number'!$A:$C,3,0)</f>
        <v>INJECTORS</v>
      </c>
      <c r="E31" s="23">
        <f>VLOOKUP(B31,'[1]Product by Part Number'!$A:$K,11,0)</f>
        <v>18</v>
      </c>
      <c r="F31" s="24">
        <f>VLOOKUP(B31,'[1]Product by Part Number'!$A:$D,4,0)</f>
        <v>500.81</v>
      </c>
      <c r="G31" s="25">
        <f t="shared" si="1"/>
        <v>9014.58</v>
      </c>
      <c r="H31" s="25">
        <f>VLOOKUP(B31,'[1]Product by Part Number'!$A:$E,5,0)</f>
        <v>250.41</v>
      </c>
      <c r="I31" s="26">
        <f t="shared" si="0"/>
        <v>4507.38</v>
      </c>
    </row>
    <row r="32" spans="2:9" x14ac:dyDescent="0.25">
      <c r="B32" s="62" t="s">
        <v>239</v>
      </c>
      <c r="C32" s="22" t="str">
        <f>VLOOKUP(B32,'[1]Product by Part Number'!$A:$B,2,0)</f>
        <v xml:space="preserve">CAT 561 (85H) CAT 561 (92J) CAT 561 (92J) (2)                                        </v>
      </c>
      <c r="D32" s="22" t="str">
        <f>VLOOKUP(B32,'[1]Product by Part Number'!$A:$C,3,0)</f>
        <v>FUEL INJECTOR</v>
      </c>
      <c r="E32" s="23">
        <f>VLOOKUP(B32,'[1]Product by Part Number'!$A:$K,11,0)</f>
        <v>18</v>
      </c>
      <c r="F32" s="24">
        <f>VLOOKUP(B32,'[1]Product by Part Number'!$A:$D,4,0)</f>
        <v>167.77</v>
      </c>
      <c r="G32" s="25">
        <f t="shared" si="1"/>
        <v>3019.86</v>
      </c>
      <c r="H32" s="25">
        <f>VLOOKUP(B32,'[1]Product by Part Number'!$A:$E,5,0)</f>
        <v>83.89</v>
      </c>
      <c r="I32" s="26">
        <f t="shared" si="0"/>
        <v>1510.02</v>
      </c>
    </row>
    <row r="33" spans="2:9" x14ac:dyDescent="0.25">
      <c r="B33" s="54"/>
      <c r="C33" s="22"/>
      <c r="D33" s="22"/>
      <c r="E33" s="23"/>
      <c r="F33" s="24"/>
      <c r="G33" s="25">
        <f t="shared" si="1"/>
        <v>0</v>
      </c>
      <c r="H33" s="25"/>
      <c r="I33" s="26">
        <f t="shared" si="0"/>
        <v>0</v>
      </c>
    </row>
    <row r="34" spans="2:9" x14ac:dyDescent="0.25">
      <c r="B34" s="54"/>
      <c r="C34" s="22"/>
      <c r="D34" s="22"/>
      <c r="E34" s="23"/>
      <c r="F34" s="24"/>
      <c r="G34" s="25">
        <f t="shared" si="1"/>
        <v>0</v>
      </c>
      <c r="H34" s="25"/>
      <c r="I34" s="26">
        <f t="shared" si="0"/>
        <v>0</v>
      </c>
    </row>
    <row r="35" spans="2:9" x14ac:dyDescent="0.25">
      <c r="B35" s="54"/>
      <c r="C35" s="22"/>
      <c r="D35" s="22"/>
      <c r="E35" s="23"/>
      <c r="F35" s="24"/>
      <c r="G35" s="25">
        <f t="shared" si="1"/>
        <v>0</v>
      </c>
      <c r="H35" s="25"/>
      <c r="I35" s="26">
        <f t="shared" si="0"/>
        <v>0</v>
      </c>
    </row>
    <row r="36" spans="2:9" x14ac:dyDescent="0.25">
      <c r="B36" s="54"/>
      <c r="C36" s="22"/>
      <c r="D36" s="22"/>
      <c r="E36" s="23"/>
      <c r="F36" s="24"/>
      <c r="G36" s="25">
        <f t="shared" si="1"/>
        <v>0</v>
      </c>
      <c r="H36" s="25"/>
      <c r="I36" s="26">
        <f t="shared" si="0"/>
        <v>0</v>
      </c>
    </row>
    <row r="37" spans="2:9" hidden="1" x14ac:dyDescent="0.25">
      <c r="B37" s="22"/>
      <c r="C37" s="22"/>
      <c r="D37" s="22"/>
      <c r="E37" s="23"/>
      <c r="F37" s="24"/>
      <c r="G37" s="24"/>
      <c r="H37" s="25"/>
      <c r="I37" s="26">
        <f t="shared" si="0"/>
        <v>0</v>
      </c>
    </row>
    <row r="38" spans="2:9" hidden="1" x14ac:dyDescent="0.25">
      <c r="B38" s="22"/>
      <c r="C38" s="22"/>
      <c r="D38" s="22"/>
      <c r="E38" s="23"/>
      <c r="F38" s="24"/>
      <c r="G38" s="24"/>
      <c r="H38" s="25"/>
      <c r="I38" s="26">
        <f t="shared" si="0"/>
        <v>0</v>
      </c>
    </row>
    <row r="39" spans="2:9" hidden="1" x14ac:dyDescent="0.25">
      <c r="B39" s="22"/>
      <c r="C39" s="22"/>
      <c r="D39" s="22"/>
      <c r="E39" s="23"/>
      <c r="F39" s="24"/>
      <c r="G39" s="24"/>
      <c r="H39" s="25"/>
      <c r="I39" s="26">
        <f t="shared" si="0"/>
        <v>0</v>
      </c>
    </row>
    <row r="40" spans="2:9" hidden="1" x14ac:dyDescent="0.25">
      <c r="B40" s="22"/>
      <c r="C40" s="22"/>
      <c r="D40" s="22"/>
      <c r="E40" s="23"/>
      <c r="F40" s="24"/>
      <c r="G40" s="24"/>
      <c r="H40" s="25"/>
      <c r="I40" s="26">
        <f t="shared" si="0"/>
        <v>0</v>
      </c>
    </row>
    <row r="41" spans="2:9" hidden="1" x14ac:dyDescent="0.25">
      <c r="B41" s="22"/>
      <c r="C41" s="22"/>
      <c r="D41" s="22"/>
      <c r="E41" s="23"/>
      <c r="F41" s="24"/>
      <c r="G41" s="24"/>
      <c r="H41" s="25"/>
      <c r="I41" s="26">
        <f t="shared" si="0"/>
        <v>0</v>
      </c>
    </row>
    <row r="42" spans="2:9" hidden="1" x14ac:dyDescent="0.25">
      <c r="B42" s="22"/>
      <c r="C42" s="22"/>
      <c r="D42" s="22"/>
      <c r="E42" s="23"/>
      <c r="F42" s="24"/>
      <c r="G42" s="24"/>
      <c r="H42" s="25"/>
      <c r="I42" s="26">
        <f t="shared" si="0"/>
        <v>0</v>
      </c>
    </row>
    <row r="43" spans="2:9" hidden="1" x14ac:dyDescent="0.25">
      <c r="B43" s="22"/>
      <c r="C43" s="22"/>
      <c r="D43" s="22"/>
      <c r="E43" s="23"/>
      <c r="F43" s="24"/>
      <c r="G43" s="24"/>
      <c r="H43" s="25"/>
      <c r="I43" s="26">
        <f t="shared" si="0"/>
        <v>0</v>
      </c>
    </row>
    <row r="44" spans="2:9" hidden="1" x14ac:dyDescent="0.25">
      <c r="B44" s="22"/>
      <c r="C44" s="22"/>
      <c r="D44" s="22"/>
      <c r="E44" s="23"/>
      <c r="F44" s="24"/>
      <c r="G44" s="24"/>
      <c r="H44" s="25"/>
      <c r="I44" s="26">
        <f t="shared" si="0"/>
        <v>0</v>
      </c>
    </row>
    <row r="45" spans="2:9" hidden="1" x14ac:dyDescent="0.25">
      <c r="B45" s="22"/>
      <c r="C45" s="22"/>
      <c r="D45" s="22"/>
      <c r="E45" s="23"/>
      <c r="F45" s="24"/>
      <c r="G45" s="24"/>
      <c r="H45" s="25"/>
      <c r="I45" s="26">
        <f t="shared" si="0"/>
        <v>0</v>
      </c>
    </row>
    <row r="46" spans="2:9" hidden="1" x14ac:dyDescent="0.25">
      <c r="B46" s="22"/>
      <c r="C46" s="22"/>
      <c r="D46" s="22"/>
      <c r="E46" s="23"/>
      <c r="F46" s="24"/>
      <c r="G46" s="24"/>
      <c r="H46" s="25"/>
      <c r="I46" s="26">
        <f t="shared" si="0"/>
        <v>0</v>
      </c>
    </row>
    <row r="47" spans="2:9" hidden="1" x14ac:dyDescent="0.25">
      <c r="B47" s="22"/>
      <c r="C47" s="22"/>
      <c r="D47" s="22"/>
      <c r="E47" s="23"/>
      <c r="F47" s="24"/>
      <c r="G47" s="24"/>
      <c r="H47" s="25"/>
      <c r="I47" s="26">
        <f t="shared" si="0"/>
        <v>0</v>
      </c>
    </row>
    <row r="48" spans="2:9" hidden="1" x14ac:dyDescent="0.25">
      <c r="B48" s="22"/>
      <c r="C48" s="22"/>
      <c r="D48" s="22"/>
      <c r="E48" s="23"/>
      <c r="F48" s="24"/>
      <c r="G48" s="24"/>
      <c r="H48" s="25"/>
      <c r="I48" s="26">
        <f t="shared" si="0"/>
        <v>0</v>
      </c>
    </row>
    <row r="49" spans="2:9" hidden="1" x14ac:dyDescent="0.25">
      <c r="B49" s="22"/>
      <c r="C49" s="22"/>
      <c r="D49" s="22"/>
      <c r="E49" s="23"/>
      <c r="F49" s="24"/>
      <c r="G49" s="24"/>
      <c r="H49" s="25"/>
      <c r="I49" s="26">
        <f t="shared" si="0"/>
        <v>0</v>
      </c>
    </row>
    <row r="50" spans="2:9" hidden="1" x14ac:dyDescent="0.25">
      <c r="B50" s="22"/>
      <c r="C50" s="22"/>
      <c r="D50" s="22"/>
      <c r="E50" s="23"/>
      <c r="F50" s="24"/>
      <c r="G50" s="24"/>
      <c r="H50" s="25"/>
      <c r="I50" s="26">
        <f t="shared" si="0"/>
        <v>0</v>
      </c>
    </row>
    <row r="51" spans="2:9" hidden="1" x14ac:dyDescent="0.25">
      <c r="B51" s="22"/>
      <c r="C51" s="22"/>
      <c r="D51" s="22"/>
      <c r="E51" s="23"/>
      <c r="F51" s="24"/>
      <c r="G51" s="24"/>
      <c r="H51" s="25"/>
      <c r="I51" s="26">
        <f t="shared" si="0"/>
        <v>0</v>
      </c>
    </row>
    <row r="52" spans="2:9" hidden="1" x14ac:dyDescent="0.25">
      <c r="B52" s="22"/>
      <c r="C52" s="22"/>
      <c r="D52" s="22"/>
      <c r="E52" s="23"/>
      <c r="F52" s="24"/>
      <c r="G52" s="24"/>
      <c r="H52" s="25"/>
      <c r="I52" s="26">
        <f t="shared" si="0"/>
        <v>0</v>
      </c>
    </row>
    <row r="53" spans="2:9" hidden="1" x14ac:dyDescent="0.25">
      <c r="B53" s="22"/>
      <c r="C53" s="22"/>
      <c r="D53" s="22"/>
      <c r="E53" s="23"/>
      <c r="F53" s="24"/>
      <c r="G53" s="24"/>
      <c r="H53" s="25"/>
      <c r="I53" s="26">
        <f t="shared" si="0"/>
        <v>0</v>
      </c>
    </row>
    <row r="54" spans="2:9" hidden="1" x14ac:dyDescent="0.25">
      <c r="B54" s="22"/>
      <c r="C54" s="22"/>
      <c r="D54" s="22"/>
      <c r="E54" s="23"/>
      <c r="F54" s="24"/>
      <c r="G54" s="24"/>
      <c r="H54" s="25"/>
      <c r="I54" s="26">
        <f t="shared" si="0"/>
        <v>0</v>
      </c>
    </row>
    <row r="55" spans="2:9" hidden="1" x14ac:dyDescent="0.25">
      <c r="B55" s="22"/>
      <c r="C55" s="22"/>
      <c r="D55" s="22"/>
      <c r="E55" s="23"/>
      <c r="F55" s="24"/>
      <c r="G55" s="24"/>
      <c r="H55" s="25"/>
      <c r="I55" s="26">
        <f t="shared" si="0"/>
        <v>0</v>
      </c>
    </row>
    <row r="56" spans="2:9" hidden="1" x14ac:dyDescent="0.25">
      <c r="B56" s="22"/>
      <c r="C56" s="22"/>
      <c r="D56" s="22"/>
      <c r="E56" s="23"/>
      <c r="F56" s="24"/>
      <c r="G56" s="24"/>
      <c r="H56" s="25"/>
      <c r="I56" s="26">
        <f t="shared" si="0"/>
        <v>0</v>
      </c>
    </row>
    <row r="57" spans="2:9" hidden="1" x14ac:dyDescent="0.25">
      <c r="B57" s="22"/>
      <c r="C57" s="22"/>
      <c r="D57" s="22"/>
      <c r="E57" s="23"/>
      <c r="F57" s="24"/>
      <c r="G57" s="24"/>
      <c r="H57" s="25"/>
      <c r="I57" s="26">
        <f t="shared" si="0"/>
        <v>0</v>
      </c>
    </row>
    <row r="58" spans="2:9" hidden="1" x14ac:dyDescent="0.25">
      <c r="B58" s="22"/>
      <c r="C58" s="22"/>
      <c r="D58" s="22"/>
      <c r="E58" s="23"/>
      <c r="F58" s="24"/>
      <c r="G58" s="24"/>
      <c r="H58" s="25"/>
      <c r="I58" s="26">
        <f t="shared" si="0"/>
        <v>0</v>
      </c>
    </row>
    <row r="59" spans="2:9" hidden="1" x14ac:dyDescent="0.25">
      <c r="B59" s="22"/>
      <c r="C59" s="22"/>
      <c r="D59" s="22"/>
      <c r="E59" s="23"/>
      <c r="F59" s="24"/>
      <c r="G59" s="24"/>
      <c r="H59" s="25"/>
      <c r="I59" s="26">
        <f t="shared" si="0"/>
        <v>0</v>
      </c>
    </row>
    <row r="60" spans="2:9" hidden="1" x14ac:dyDescent="0.25">
      <c r="B60" s="22"/>
      <c r="C60" s="22"/>
      <c r="D60" s="22"/>
      <c r="E60" s="23"/>
      <c r="F60" s="24"/>
      <c r="G60" s="24"/>
      <c r="H60" s="25"/>
      <c r="I60" s="26">
        <f t="shared" si="0"/>
        <v>0</v>
      </c>
    </row>
    <row r="61" spans="2:9" hidden="1" x14ac:dyDescent="0.25">
      <c r="B61" s="22"/>
      <c r="C61" s="22"/>
      <c r="D61" s="22"/>
      <c r="E61" s="23"/>
      <c r="F61" s="24"/>
      <c r="G61" s="24"/>
      <c r="H61" s="25"/>
      <c r="I61" s="26">
        <f t="shared" si="0"/>
        <v>0</v>
      </c>
    </row>
    <row r="62" spans="2:9" hidden="1" x14ac:dyDescent="0.25">
      <c r="B62" s="22"/>
      <c r="C62" s="22"/>
      <c r="D62" s="22"/>
      <c r="E62" s="23"/>
      <c r="F62" s="24"/>
      <c r="G62" s="24"/>
      <c r="H62" s="25"/>
      <c r="I62" s="26">
        <f t="shared" si="0"/>
        <v>0</v>
      </c>
    </row>
    <row r="63" spans="2:9" hidden="1" x14ac:dyDescent="0.25">
      <c r="B63" s="22"/>
      <c r="C63" s="22"/>
      <c r="D63" s="22"/>
      <c r="E63" s="23"/>
      <c r="F63" s="24"/>
      <c r="G63" s="24"/>
      <c r="H63" s="25"/>
      <c r="I63" s="26">
        <f t="shared" si="0"/>
        <v>0</v>
      </c>
    </row>
    <row r="64" spans="2:9" hidden="1" x14ac:dyDescent="0.25">
      <c r="B64" s="22"/>
      <c r="C64" s="22"/>
      <c r="D64" s="22"/>
      <c r="E64" s="23"/>
      <c r="F64" s="24"/>
      <c r="G64" s="24"/>
      <c r="H64" s="25"/>
      <c r="I64" s="26">
        <f t="shared" si="0"/>
        <v>0</v>
      </c>
    </row>
    <row r="65" spans="2:9" hidden="1" x14ac:dyDescent="0.25">
      <c r="B65" s="22"/>
      <c r="C65" s="22"/>
      <c r="D65" s="22"/>
      <c r="E65" s="23"/>
      <c r="F65" s="24"/>
      <c r="G65" s="24"/>
      <c r="H65" s="25"/>
      <c r="I65" s="26">
        <f t="shared" si="0"/>
        <v>0</v>
      </c>
    </row>
    <row r="66" spans="2:9" hidden="1" x14ac:dyDescent="0.25">
      <c r="B66" s="22"/>
      <c r="C66" s="22"/>
      <c r="D66" s="22"/>
      <c r="E66" s="23"/>
      <c r="F66" s="24"/>
      <c r="G66" s="24"/>
      <c r="H66" s="25"/>
      <c r="I66" s="26">
        <f t="shared" si="0"/>
        <v>0</v>
      </c>
    </row>
    <row r="67" spans="2:9" hidden="1" x14ac:dyDescent="0.25">
      <c r="B67" s="22"/>
      <c r="C67" s="22"/>
      <c r="D67" s="22"/>
      <c r="E67" s="23"/>
      <c r="F67" s="24"/>
      <c r="G67" s="24"/>
      <c r="H67" s="25"/>
      <c r="I67" s="26">
        <f t="shared" si="0"/>
        <v>0</v>
      </c>
    </row>
    <row r="68" spans="2:9" hidden="1" x14ac:dyDescent="0.25">
      <c r="B68" s="22"/>
      <c r="C68" s="22"/>
      <c r="D68" s="22"/>
      <c r="E68" s="23"/>
      <c r="F68" s="24"/>
      <c r="G68" s="24"/>
      <c r="H68" s="25"/>
      <c r="I68" s="26">
        <f t="shared" si="0"/>
        <v>0</v>
      </c>
    </row>
    <row r="69" spans="2:9" hidden="1" x14ac:dyDescent="0.25">
      <c r="B69" s="22"/>
      <c r="C69" s="22"/>
      <c r="D69" s="22"/>
      <c r="E69" s="23"/>
      <c r="F69" s="24"/>
      <c r="G69" s="24"/>
      <c r="H69" s="25"/>
      <c r="I69" s="26">
        <f t="shared" si="0"/>
        <v>0</v>
      </c>
    </row>
    <row r="70" spans="2:9" hidden="1" x14ac:dyDescent="0.25">
      <c r="B70" s="22"/>
      <c r="C70" s="22"/>
      <c r="D70" s="22"/>
      <c r="E70" s="23"/>
      <c r="F70" s="24"/>
      <c r="G70" s="24"/>
      <c r="H70" s="25"/>
      <c r="I70" s="26">
        <f t="shared" si="0"/>
        <v>0</v>
      </c>
    </row>
    <row r="71" spans="2:9" hidden="1" x14ac:dyDescent="0.25">
      <c r="B71" s="22"/>
      <c r="C71" s="22"/>
      <c r="D71" s="22"/>
      <c r="E71" s="23"/>
      <c r="F71" s="24"/>
      <c r="G71" s="24"/>
      <c r="H71" s="25"/>
      <c r="I71" s="26">
        <f t="shared" si="0"/>
        <v>0</v>
      </c>
    </row>
    <row r="72" spans="2:9" hidden="1" x14ac:dyDescent="0.25">
      <c r="B72" s="22"/>
      <c r="C72" s="22"/>
      <c r="D72" s="22"/>
      <c r="E72" s="23"/>
      <c r="F72" s="24"/>
      <c r="G72" s="24"/>
      <c r="H72" s="25"/>
      <c r="I72" s="26">
        <f t="shared" si="0"/>
        <v>0</v>
      </c>
    </row>
    <row r="73" spans="2:9" x14ac:dyDescent="0.25">
      <c r="B73" s="84"/>
      <c r="C73" s="85"/>
      <c r="D73" s="85"/>
      <c r="E73" s="85"/>
      <c r="F73" s="86"/>
      <c r="G73" s="27"/>
      <c r="H73" s="28" t="s">
        <v>17</v>
      </c>
      <c r="I73" s="29">
        <f>SUM(I15:I72)</f>
        <v>186869.41</v>
      </c>
    </row>
    <row r="74" spans="2:9" x14ac:dyDescent="0.25">
      <c r="B74" s="30"/>
      <c r="C74" s="31"/>
      <c r="D74" s="32" t="s">
        <v>18</v>
      </c>
      <c r="E74" s="87">
        <f>SUM(G15:G72)</f>
        <v>373736.33999999997</v>
      </c>
      <c r="F74" s="88"/>
      <c r="G74" s="33"/>
      <c r="H74" s="28" t="s">
        <v>19</v>
      </c>
      <c r="I74" s="34">
        <v>0</v>
      </c>
    </row>
    <row r="75" spans="2:9" x14ac:dyDescent="0.25">
      <c r="B75" s="30"/>
      <c r="C75" s="31"/>
      <c r="D75" s="32" t="s">
        <v>20</v>
      </c>
      <c r="E75" s="87">
        <f>SUM(I15:I72)</f>
        <v>186869.41</v>
      </c>
      <c r="F75" s="88"/>
      <c r="G75" s="33"/>
      <c r="H75" s="35" t="s">
        <v>21</v>
      </c>
      <c r="I75" s="34">
        <v>0</v>
      </c>
    </row>
    <row r="76" spans="2:9" x14ac:dyDescent="0.25">
      <c r="B76" s="30"/>
      <c r="C76" s="31"/>
      <c r="D76" s="32" t="s">
        <v>22</v>
      </c>
      <c r="E76" s="97">
        <f>E74-E75</f>
        <v>186866.92999999996</v>
      </c>
      <c r="F76" s="98"/>
      <c r="G76" s="36"/>
      <c r="H76" s="28" t="s">
        <v>23</v>
      </c>
      <c r="I76" s="37">
        <f>SUM(I73:I75)</f>
        <v>186869.41</v>
      </c>
    </row>
    <row r="77" spans="2:9" x14ac:dyDescent="0.25">
      <c r="B77" s="30"/>
      <c r="C77" s="31"/>
      <c r="D77" s="32"/>
      <c r="E77" s="99"/>
      <c r="F77" s="100"/>
      <c r="G77" s="38"/>
      <c r="H77" s="28" t="s">
        <v>24</v>
      </c>
      <c r="I77" s="37">
        <f>I76*0.05</f>
        <v>9343.4705000000013</v>
      </c>
    </row>
    <row r="78" spans="2:9" x14ac:dyDescent="0.25">
      <c r="B78" s="30"/>
      <c r="C78" s="31"/>
      <c r="D78" s="39"/>
      <c r="E78" s="39"/>
      <c r="F78" s="40"/>
      <c r="G78" s="40"/>
      <c r="H78" s="28" t="s">
        <v>25</v>
      </c>
      <c r="I78" s="34"/>
    </row>
    <row r="79" spans="2:9" ht="15.75" x14ac:dyDescent="0.25">
      <c r="B79" s="94" t="s">
        <v>26</v>
      </c>
      <c r="C79" s="95"/>
      <c r="D79" s="95"/>
      <c r="E79" s="95"/>
      <c r="F79" s="96"/>
      <c r="G79" s="41"/>
      <c r="H79" s="42" t="s">
        <v>27</v>
      </c>
      <c r="I79" s="43">
        <f>SUM(I76:I78)</f>
        <v>196212.8805</v>
      </c>
    </row>
  </sheetData>
  <autoFilter ref="B14:I79" xr:uid="{667D775C-C777-482C-B3DD-888A06E506C2}">
    <filterColumn colId="6">
      <customFilters>
        <customFilter operator="notEqual" val=" "/>
      </customFilters>
    </filterColumn>
  </autoFilter>
  <mergeCells count="25">
    <mergeCell ref="B79:F79"/>
    <mergeCell ref="F13:I13"/>
    <mergeCell ref="B73:F73"/>
    <mergeCell ref="E74:F74"/>
    <mergeCell ref="E75:F75"/>
    <mergeCell ref="E76:F76"/>
    <mergeCell ref="E77:F77"/>
    <mergeCell ref="E11:F11"/>
    <mergeCell ref="H11:I11"/>
    <mergeCell ref="E12:F12"/>
    <mergeCell ref="H12:I12"/>
    <mergeCell ref="C11:D11"/>
    <mergeCell ref="C12:D12"/>
    <mergeCell ref="E9:F9"/>
    <mergeCell ref="H9:I9"/>
    <mergeCell ref="E10:F10"/>
    <mergeCell ref="H10:I10"/>
    <mergeCell ref="C9:D9"/>
    <mergeCell ref="C10:D10"/>
    <mergeCell ref="E1:F5"/>
    <mergeCell ref="H1:I5"/>
    <mergeCell ref="E8:F8"/>
    <mergeCell ref="H8:I8"/>
    <mergeCell ref="C7:D7"/>
    <mergeCell ref="C8:D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13445-FB78-418E-9CD4-AFF919FEA4DA}">
  <dimension ref="B1:I63"/>
  <sheetViews>
    <sheetView topLeftCell="A38" workbookViewId="0">
      <selection activeCell="F6" sqref="F1:H1048576"/>
    </sheetView>
  </sheetViews>
  <sheetFormatPr defaultRowHeight="15" x14ac:dyDescent="0.25"/>
  <cols>
    <col min="1" max="1" width="2.7109375" customWidth="1"/>
    <col min="2" max="2" width="15.42578125" customWidth="1"/>
    <col min="3" max="3" width="44.42578125" bestFit="1" customWidth="1"/>
    <col min="4" max="4" width="36" customWidth="1"/>
    <col min="5" max="5" width="7.28515625" customWidth="1"/>
    <col min="6" max="6" width="14.7109375" customWidth="1"/>
    <col min="7" max="7" width="14.7109375" hidden="1" customWidth="1"/>
    <col min="8" max="8" width="14.7109375" customWidth="1"/>
    <col min="9" max="9" width="20.42578125" bestFit="1" customWidth="1"/>
  </cols>
  <sheetData>
    <row r="1" spans="2:9" ht="15" customHeight="1" x14ac:dyDescent="0.25">
      <c r="B1" s="2"/>
      <c r="C1" s="3"/>
      <c r="D1" s="3"/>
      <c r="E1" s="77" t="s">
        <v>28</v>
      </c>
      <c r="F1" s="77"/>
      <c r="G1" s="44"/>
      <c r="H1" s="77" t="s">
        <v>6</v>
      </c>
      <c r="I1" s="78"/>
    </row>
    <row r="2" spans="2:9" ht="15" customHeight="1" x14ac:dyDescent="0.25">
      <c r="B2" s="4"/>
      <c r="E2" s="79"/>
      <c r="F2" s="79"/>
      <c r="G2" s="45"/>
      <c r="H2" s="79"/>
      <c r="I2" s="80"/>
    </row>
    <row r="3" spans="2:9" ht="15" customHeight="1" x14ac:dyDescent="0.25">
      <c r="B3" s="4"/>
      <c r="E3" s="79"/>
      <c r="F3" s="79"/>
      <c r="G3" s="45"/>
      <c r="H3" s="79"/>
      <c r="I3" s="80"/>
    </row>
    <row r="4" spans="2:9" ht="15" customHeight="1" x14ac:dyDescent="0.25">
      <c r="B4" s="4"/>
      <c r="E4" s="79"/>
      <c r="F4" s="79"/>
      <c r="G4" s="45"/>
      <c r="H4" s="79"/>
      <c r="I4" s="80"/>
    </row>
    <row r="5" spans="2:9" ht="15" customHeight="1" x14ac:dyDescent="0.25">
      <c r="B5" s="5"/>
      <c r="C5" s="1"/>
      <c r="D5" s="1"/>
      <c r="E5" s="81"/>
      <c r="F5" s="81"/>
      <c r="G5" s="46"/>
      <c r="H5" s="81"/>
      <c r="I5" s="82"/>
    </row>
    <row r="6" spans="2:9" ht="36" x14ac:dyDescent="0.55000000000000004">
      <c r="B6" s="6"/>
      <c r="C6" s="7"/>
      <c r="D6" s="7"/>
      <c r="E6" s="8"/>
      <c r="F6" s="8"/>
      <c r="G6" s="8"/>
      <c r="H6" s="8"/>
      <c r="I6" s="8"/>
    </row>
    <row r="7" spans="2:9" x14ac:dyDescent="0.25">
      <c r="B7" s="49" t="s">
        <v>7</v>
      </c>
      <c r="C7" s="105" t="s">
        <v>33</v>
      </c>
      <c r="D7" s="106"/>
      <c r="E7" s="9" t="s">
        <v>8</v>
      </c>
      <c r="F7" s="10">
        <v>45444</v>
      </c>
      <c r="G7" s="10"/>
      <c r="H7" s="11" t="s">
        <v>9</v>
      </c>
      <c r="I7" s="12"/>
    </row>
    <row r="8" spans="2:9" x14ac:dyDescent="0.25">
      <c r="B8" s="50" t="s">
        <v>10</v>
      </c>
      <c r="C8" s="101">
        <v>0</v>
      </c>
      <c r="D8" s="101"/>
      <c r="E8" s="89" t="s">
        <v>11</v>
      </c>
      <c r="F8" s="89"/>
      <c r="G8" s="13"/>
      <c r="H8" s="93"/>
      <c r="I8" s="93"/>
    </row>
    <row r="9" spans="2:9" x14ac:dyDescent="0.25">
      <c r="B9" s="50" t="s">
        <v>12</v>
      </c>
      <c r="C9" s="101">
        <v>0</v>
      </c>
      <c r="D9" s="101"/>
      <c r="E9" s="89" t="s">
        <v>13</v>
      </c>
      <c r="F9" s="89"/>
      <c r="G9" s="13"/>
      <c r="H9" s="92"/>
      <c r="I9" s="92"/>
    </row>
    <row r="10" spans="2:9" x14ac:dyDescent="0.25">
      <c r="B10" s="50"/>
      <c r="C10" s="101">
        <v>0</v>
      </c>
      <c r="D10" s="101"/>
      <c r="E10" s="89" t="s">
        <v>14</v>
      </c>
      <c r="F10" s="89"/>
      <c r="G10" s="13"/>
      <c r="H10" s="90"/>
      <c r="I10" s="90"/>
    </row>
    <row r="11" spans="2:9" x14ac:dyDescent="0.25">
      <c r="B11" s="50"/>
      <c r="C11" s="101">
        <v>0</v>
      </c>
      <c r="D11" s="101"/>
      <c r="E11" s="89"/>
      <c r="F11" s="89"/>
      <c r="G11" s="13"/>
      <c r="H11" s="90"/>
      <c r="I11" s="90"/>
    </row>
    <row r="12" spans="2:9" x14ac:dyDescent="0.25">
      <c r="B12" s="51"/>
      <c r="C12" s="101">
        <v>0</v>
      </c>
      <c r="D12" s="101"/>
      <c r="E12" s="102"/>
      <c r="F12" s="102"/>
      <c r="G12" s="14"/>
      <c r="H12" s="91"/>
      <c r="I12" s="91"/>
    </row>
    <row r="13" spans="2:9" ht="15.75" thickBot="1" x14ac:dyDescent="0.3">
      <c r="B13" s="15"/>
      <c r="C13" s="16"/>
      <c r="D13" s="16"/>
      <c r="E13" s="16"/>
      <c r="F13" s="83" t="s">
        <v>3</v>
      </c>
      <c r="G13" s="83"/>
      <c r="H13" s="83"/>
      <c r="I13" s="83"/>
    </row>
    <row r="14" spans="2:9" ht="15.75" thickBot="1" x14ac:dyDescent="0.3">
      <c r="B14" s="17" t="s">
        <v>0</v>
      </c>
      <c r="C14" s="18" t="s">
        <v>15</v>
      </c>
      <c r="D14" s="19" t="s">
        <v>1</v>
      </c>
      <c r="E14" s="20" t="s">
        <v>2</v>
      </c>
      <c r="F14" s="20" t="s">
        <v>4</v>
      </c>
      <c r="G14" s="20"/>
      <c r="H14" s="20" t="s">
        <v>5</v>
      </c>
      <c r="I14" s="21" t="s">
        <v>16</v>
      </c>
    </row>
    <row r="15" spans="2:9" x14ac:dyDescent="0.25">
      <c r="B15" s="22" t="s">
        <v>323</v>
      </c>
      <c r="C15" s="22" t="str">
        <f>VLOOKUP(B15,'[1]Product by Part Number'!$A:$B,2,0)</f>
        <v xml:space="preserve">CAT 329F L (ERL) CAT 329F L (ERL) (2)                                          </v>
      </c>
      <c r="D15" s="22" t="str">
        <f>VLOOKUP(B15,'[1]Product by Part Number'!$A:$C,3,0)</f>
        <v xml:space="preserve">SEAT ASSEMBLY </v>
      </c>
      <c r="E15" s="23">
        <f>VLOOKUP(B15,'[1]Product by Part Number'!$A:$K,11,0)</f>
        <v>2</v>
      </c>
      <c r="F15" s="24">
        <f>VLOOKUP(B15,'[1]Product by Part Number'!$A:$D,4,0)</f>
        <v>3384.84</v>
      </c>
      <c r="G15" s="25">
        <f>E15*F15</f>
        <v>6769.68</v>
      </c>
      <c r="H15" s="25">
        <f>VLOOKUP(B15,'[1]Product by Part Number'!$A:$E,5,0)</f>
        <v>1692.42</v>
      </c>
      <c r="I15" s="26">
        <f t="shared" ref="I15:I56" si="0">ROUND(E15*H15,2)</f>
        <v>3384.84</v>
      </c>
    </row>
    <row r="16" spans="2:9" x14ac:dyDescent="0.25">
      <c r="B16" s="22" t="s">
        <v>324</v>
      </c>
      <c r="C16" s="22" t="str">
        <f>VLOOKUP(B16,'[1]Product by Part Number'!$A:$B,2,0)</f>
        <v xml:space="preserve">CAT 329F L (ERL) CAT 329F L (ERL) (2)                                          </v>
      </c>
      <c r="D16" s="22" t="str">
        <f>VLOOKUP(B16,'[1]Product by Part Number'!$A:$C,3,0)</f>
        <v>SEAT SUSPENSION ASSEMBLY</v>
      </c>
      <c r="E16" s="23">
        <f>VLOOKUP(B16,'[1]Product by Part Number'!$A:$K,11,0)</f>
        <v>2</v>
      </c>
      <c r="F16" s="24">
        <f>VLOOKUP(B16,'[1]Product by Part Number'!$A:$D,4,0)</f>
        <v>3739.65</v>
      </c>
      <c r="G16" s="25">
        <f t="shared" ref="G16" si="1">E16*F16</f>
        <v>7479.3</v>
      </c>
      <c r="H16" s="25">
        <f>VLOOKUP(B16,'[1]Product by Part Number'!$A:$E,5,0)</f>
        <v>1869.83</v>
      </c>
      <c r="I16" s="26">
        <f t="shared" si="0"/>
        <v>3739.66</v>
      </c>
    </row>
    <row r="17" spans="2:9" x14ac:dyDescent="0.25">
      <c r="B17" s="22" t="s">
        <v>325</v>
      </c>
      <c r="C17" s="22" t="str">
        <f>VLOOKUP(B17,'[1]Product by Part Number'!$A:$B,2,0)</f>
        <v xml:space="preserve">CAT 320F L (YBM) CAT 329E L (ZCD) CAT 330F L (MBX) CAT 330F L (HCK) CAT 330F L (HCK) (2) CAT 336F L (RKB)                                  </v>
      </c>
      <c r="D17" s="22" t="str">
        <f>VLOOKUP(B17,'[1]Product by Part Number'!$A:$C,3,0)</f>
        <v>SEAT SUSPENSION ASSEMBLY</v>
      </c>
      <c r="E17" s="23">
        <f>VLOOKUP(B17,'[1]Product by Part Number'!$A:$K,11,0)</f>
        <v>6</v>
      </c>
      <c r="F17" s="24">
        <f>VLOOKUP(B17,'[1]Product by Part Number'!$A:$D,4,0)</f>
        <v>4369.08</v>
      </c>
      <c r="G17" s="25">
        <f t="shared" ref="G17:G22" si="2">E17*F17</f>
        <v>26214.48</v>
      </c>
      <c r="H17" s="25">
        <f>VLOOKUP(B17,'[1]Product by Part Number'!$A:$E,5,0)</f>
        <v>2184.54</v>
      </c>
      <c r="I17" s="26">
        <f t="shared" si="0"/>
        <v>13107.24</v>
      </c>
    </row>
    <row r="18" spans="2:9" x14ac:dyDescent="0.25">
      <c r="B18" s="22" t="s">
        <v>340</v>
      </c>
      <c r="C18" s="22" t="str">
        <f>VLOOKUP(B18,'[1]Product by Part Number'!$A:$B,2,0)</f>
        <v xml:space="preserve">CAT 303.5E                                            </v>
      </c>
      <c r="D18" s="22" t="str">
        <f>VLOOKUP(B18,'[1]Product by Part Number'!$A:$C,3,0)</f>
        <v xml:space="preserve">SUSPENSION SEAT ASSEMBLY </v>
      </c>
      <c r="E18" s="23">
        <f>VLOOKUP(B18,'[1]Product by Part Number'!$A:$K,11,0)</f>
        <v>1</v>
      </c>
      <c r="F18" s="24">
        <f>VLOOKUP(B18,'[1]Product by Part Number'!$A:$D,4,0)</f>
        <v>3786.04</v>
      </c>
      <c r="G18" s="25">
        <f t="shared" si="2"/>
        <v>3786.04</v>
      </c>
      <c r="H18" s="25">
        <f>VLOOKUP(B18,'[1]Product by Part Number'!$A:$E,5,0)</f>
        <v>1893.02</v>
      </c>
      <c r="I18" s="26">
        <f t="shared" si="0"/>
        <v>1893.02</v>
      </c>
    </row>
    <row r="19" spans="2:9" x14ac:dyDescent="0.25">
      <c r="B19" s="22" t="s">
        <v>195</v>
      </c>
      <c r="C19" s="22" t="str">
        <f>VLOOKUP(B19,'[1]Product by Part Number'!$A:$B,2,0)</f>
        <v xml:space="preserve">CAT 299D (DX2)                                            </v>
      </c>
      <c r="D19" s="22" t="str">
        <f>VLOOKUP(B19,'[1]Product by Part Number'!$A:$C,3,0)</f>
        <v>Suspension GP - Seat</v>
      </c>
      <c r="E19" s="23">
        <f>VLOOKUP(B19,'[1]Product by Part Number'!$A:$K,11,0)</f>
        <v>1</v>
      </c>
      <c r="F19" s="24">
        <f>VLOOKUP(B19,'[1]Product by Part Number'!$A:$D,4,0)</f>
        <v>2811.32</v>
      </c>
      <c r="G19" s="25">
        <f t="shared" si="2"/>
        <v>2811.32</v>
      </c>
      <c r="H19" s="25">
        <f>VLOOKUP(B19,'[1]Product by Part Number'!$A:$E,5,0)</f>
        <v>1405.66</v>
      </c>
      <c r="I19" s="26">
        <f t="shared" si="0"/>
        <v>1405.66</v>
      </c>
    </row>
    <row r="20" spans="2:9" x14ac:dyDescent="0.25">
      <c r="B20" s="22" t="s">
        <v>362</v>
      </c>
      <c r="C20" s="22" t="str">
        <f>VLOOKUP(B20,'[1]Product by Part Number'!$A:$B,2,0)</f>
        <v xml:space="preserve">CAT 320 (HEX) CAT 320 (MYK) CAT 320 (MYK) (2) CAT 330 (LHW) CAT 330 (LHW) (2) CAT 330 (LHW) (3) CAT 330 (LHW) (4) CAT 330 (WCH) CAT 330 (WCH) (2) CAT 330 (WCH) (3) CAT 330 (WCH) (4) CAT 330 (WCH) (5) CAT 330 (WCH) (6)                    </v>
      </c>
      <c r="D20" s="22" t="str">
        <f>VLOOKUP(B20,'[1]Product by Part Number'!$A:$C,3,0)</f>
        <v>SUSPENSION SEAT ASSEMBLY</v>
      </c>
      <c r="E20" s="23">
        <f>VLOOKUP(B20,'[1]Product by Part Number'!$A:$K,11,0)</f>
        <v>13</v>
      </c>
      <c r="F20" s="24">
        <f>VLOOKUP(B20,'[1]Product by Part Number'!$A:$D,4,0)</f>
        <v>8493.36</v>
      </c>
      <c r="G20" s="25">
        <f t="shared" si="2"/>
        <v>110413.68000000001</v>
      </c>
      <c r="H20" s="25">
        <f>VLOOKUP(B20,'[1]Product by Part Number'!$A:$E,5,0)</f>
        <v>4246.68</v>
      </c>
      <c r="I20" s="26">
        <f t="shared" si="0"/>
        <v>55206.84</v>
      </c>
    </row>
    <row r="21" spans="2:9" x14ac:dyDescent="0.25">
      <c r="B21" s="22" t="s">
        <v>366</v>
      </c>
      <c r="C21" s="22" t="str">
        <f>VLOOKUP(B21,'[1]Product by Part Number'!$A:$B,2,0)</f>
        <v xml:space="preserve">CAT 320F L (YBM) CAT 329E L (ZCD) CAT 330F L (MBX) CAT 330F L (HCK) CAT 330F L (HCK) (2) CAT 336F L (RKB)                                  </v>
      </c>
      <c r="D21" s="22" t="str">
        <f>VLOOKUP(B21,'[1]Product by Part Number'!$A:$C,3,0)</f>
        <v xml:space="preserve">OPERATOR SEAT ASSEMBLY </v>
      </c>
      <c r="E21" s="23">
        <f>VLOOKUP(B21,'[1]Product by Part Number'!$A:$K,11,0)</f>
        <v>6</v>
      </c>
      <c r="F21" s="24">
        <f>VLOOKUP(B21,'[1]Product by Part Number'!$A:$D,4,0)</f>
        <v>4161.4399999999996</v>
      </c>
      <c r="G21" s="25">
        <f t="shared" si="2"/>
        <v>24968.639999999999</v>
      </c>
      <c r="H21" s="25">
        <f>VLOOKUP(B21,'[1]Product by Part Number'!$A:$E,5,0)</f>
        <v>2080.7199999999998</v>
      </c>
      <c r="I21" s="26">
        <f t="shared" si="0"/>
        <v>12484.32</v>
      </c>
    </row>
    <row r="22" spans="2:9" x14ac:dyDescent="0.25">
      <c r="B22" s="22" t="s">
        <v>205</v>
      </c>
      <c r="C22" s="22" t="str">
        <f>VLOOKUP(B22,'[1]Product by Part Number'!$A:$B,2,0)</f>
        <v xml:space="preserve">CAT 561N (CPH) CAT 561N (CPH) (2) CAT 561N (CPH) (3) CAT 561N (CPH) (4) CAT 561N (CPH) (5)                                    </v>
      </c>
      <c r="D22" s="22" t="str">
        <f>VLOOKUP(B22,'[1]Product by Part Number'!$A:$C,3,0)</f>
        <v>SEAT ASSY</v>
      </c>
      <c r="E22" s="23">
        <f>VLOOKUP(B22,'[1]Product by Part Number'!$A:$K,11,0)</f>
        <v>5</v>
      </c>
      <c r="F22" s="24">
        <f>VLOOKUP(B22,'[1]Product by Part Number'!$A:$D,4,0)</f>
        <v>2482.65</v>
      </c>
      <c r="G22" s="25">
        <f t="shared" si="2"/>
        <v>12413.25</v>
      </c>
      <c r="H22" s="25">
        <f>VLOOKUP(B22,'[1]Product by Part Number'!$A:$E,5,0)</f>
        <v>1241.33</v>
      </c>
      <c r="I22" s="26">
        <f t="shared" si="0"/>
        <v>6206.65</v>
      </c>
    </row>
    <row r="23" spans="2:9" x14ac:dyDescent="0.25">
      <c r="B23" s="22"/>
      <c r="C23" s="22"/>
      <c r="D23" s="22"/>
      <c r="E23" s="23"/>
      <c r="F23" s="24"/>
      <c r="G23" s="24"/>
      <c r="H23" s="25"/>
      <c r="I23" s="26">
        <f t="shared" si="0"/>
        <v>0</v>
      </c>
    </row>
    <row r="24" spans="2:9" x14ac:dyDescent="0.25">
      <c r="B24" s="22"/>
      <c r="C24" s="22"/>
      <c r="D24" s="22"/>
      <c r="E24" s="23"/>
      <c r="F24" s="24"/>
      <c r="G24" s="24"/>
      <c r="H24" s="25"/>
      <c r="I24" s="26">
        <f t="shared" si="0"/>
        <v>0</v>
      </c>
    </row>
    <row r="25" spans="2:9" x14ac:dyDescent="0.25">
      <c r="B25" s="22"/>
      <c r="C25" s="22"/>
      <c r="D25" s="22"/>
      <c r="E25" s="23"/>
      <c r="F25" s="24"/>
      <c r="G25" s="24"/>
      <c r="H25" s="25"/>
      <c r="I25" s="26">
        <f t="shared" si="0"/>
        <v>0</v>
      </c>
    </row>
    <row r="26" spans="2:9" x14ac:dyDescent="0.25">
      <c r="B26" s="22"/>
      <c r="C26" s="22"/>
      <c r="D26" s="22"/>
      <c r="E26" s="23"/>
      <c r="F26" s="24"/>
      <c r="G26" s="24"/>
      <c r="H26" s="25"/>
      <c r="I26" s="26">
        <f t="shared" si="0"/>
        <v>0</v>
      </c>
    </row>
    <row r="27" spans="2:9" x14ac:dyDescent="0.25">
      <c r="B27" s="22"/>
      <c r="C27" s="22"/>
      <c r="D27" s="22"/>
      <c r="E27" s="23"/>
      <c r="F27" s="24"/>
      <c r="G27" s="24"/>
      <c r="H27" s="25"/>
      <c r="I27" s="26">
        <f t="shared" si="0"/>
        <v>0</v>
      </c>
    </row>
    <row r="28" spans="2:9" x14ac:dyDescent="0.25">
      <c r="B28" s="22"/>
      <c r="C28" s="22"/>
      <c r="D28" s="22"/>
      <c r="E28" s="23"/>
      <c r="F28" s="24"/>
      <c r="G28" s="24"/>
      <c r="H28" s="25"/>
      <c r="I28" s="26">
        <f t="shared" si="0"/>
        <v>0</v>
      </c>
    </row>
    <row r="29" spans="2:9" x14ac:dyDescent="0.25">
      <c r="B29" s="22"/>
      <c r="C29" s="22"/>
      <c r="D29" s="22"/>
      <c r="E29" s="23"/>
      <c r="F29" s="24"/>
      <c r="G29" s="24"/>
      <c r="H29" s="25"/>
      <c r="I29" s="26">
        <f t="shared" si="0"/>
        <v>0</v>
      </c>
    </row>
    <row r="30" spans="2:9" x14ac:dyDescent="0.25">
      <c r="B30" s="22"/>
      <c r="C30" s="22"/>
      <c r="D30" s="22"/>
      <c r="E30" s="23"/>
      <c r="F30" s="24"/>
      <c r="G30" s="24"/>
      <c r="H30" s="25"/>
      <c r="I30" s="26">
        <f t="shared" si="0"/>
        <v>0</v>
      </c>
    </row>
    <row r="31" spans="2:9" x14ac:dyDescent="0.25">
      <c r="B31" s="22"/>
      <c r="C31" s="22"/>
      <c r="D31" s="22"/>
      <c r="E31" s="23"/>
      <c r="F31" s="24"/>
      <c r="G31" s="24"/>
      <c r="H31" s="25"/>
      <c r="I31" s="26">
        <f t="shared" si="0"/>
        <v>0</v>
      </c>
    </row>
    <row r="32" spans="2:9" x14ac:dyDescent="0.25">
      <c r="B32" s="22"/>
      <c r="C32" s="22"/>
      <c r="D32" s="22"/>
      <c r="E32" s="23"/>
      <c r="F32" s="24"/>
      <c r="G32" s="24"/>
      <c r="H32" s="25"/>
      <c r="I32" s="26">
        <f t="shared" si="0"/>
        <v>0</v>
      </c>
    </row>
    <row r="33" spans="2:9" x14ac:dyDescent="0.25">
      <c r="B33" s="22"/>
      <c r="C33" s="22"/>
      <c r="D33" s="22"/>
      <c r="E33" s="23"/>
      <c r="F33" s="24"/>
      <c r="G33" s="24"/>
      <c r="H33" s="25"/>
      <c r="I33" s="26">
        <f t="shared" si="0"/>
        <v>0</v>
      </c>
    </row>
    <row r="34" spans="2:9" x14ac:dyDescent="0.25">
      <c r="B34" s="22"/>
      <c r="C34" s="22"/>
      <c r="D34" s="22"/>
      <c r="E34" s="23"/>
      <c r="F34" s="24"/>
      <c r="G34" s="24"/>
      <c r="H34" s="25"/>
      <c r="I34" s="26">
        <f t="shared" si="0"/>
        <v>0</v>
      </c>
    </row>
    <row r="35" spans="2:9" x14ac:dyDescent="0.25">
      <c r="B35" s="22"/>
      <c r="C35" s="22"/>
      <c r="D35" s="22"/>
      <c r="E35" s="23"/>
      <c r="F35" s="24"/>
      <c r="G35" s="24"/>
      <c r="H35" s="25"/>
      <c r="I35" s="26">
        <f t="shared" si="0"/>
        <v>0</v>
      </c>
    </row>
    <row r="36" spans="2:9" x14ac:dyDescent="0.25">
      <c r="B36" s="22"/>
      <c r="C36" s="22"/>
      <c r="D36" s="22"/>
      <c r="E36" s="23"/>
      <c r="F36" s="24"/>
      <c r="G36" s="24"/>
      <c r="H36" s="25"/>
      <c r="I36" s="26">
        <f t="shared" si="0"/>
        <v>0</v>
      </c>
    </row>
    <row r="37" spans="2:9" x14ac:dyDescent="0.25">
      <c r="B37" s="22"/>
      <c r="C37" s="22"/>
      <c r="D37" s="22"/>
      <c r="E37" s="23"/>
      <c r="F37" s="24"/>
      <c r="G37" s="24"/>
      <c r="H37" s="25"/>
      <c r="I37" s="26">
        <f t="shared" si="0"/>
        <v>0</v>
      </c>
    </row>
    <row r="38" spans="2:9" x14ac:dyDescent="0.25">
      <c r="B38" s="22"/>
      <c r="C38" s="22"/>
      <c r="D38" s="22"/>
      <c r="E38" s="23"/>
      <c r="F38" s="24"/>
      <c r="G38" s="24"/>
      <c r="H38" s="25"/>
      <c r="I38" s="26">
        <f t="shared" si="0"/>
        <v>0</v>
      </c>
    </row>
    <row r="39" spans="2:9" x14ac:dyDescent="0.25">
      <c r="B39" s="22"/>
      <c r="C39" s="22"/>
      <c r="D39" s="22"/>
      <c r="E39" s="23"/>
      <c r="F39" s="24"/>
      <c r="G39" s="24"/>
      <c r="H39" s="25"/>
      <c r="I39" s="26">
        <f t="shared" si="0"/>
        <v>0</v>
      </c>
    </row>
    <row r="40" spans="2:9" x14ac:dyDescent="0.25">
      <c r="B40" s="22"/>
      <c r="C40" s="22"/>
      <c r="D40" s="22"/>
      <c r="E40" s="23"/>
      <c r="F40" s="24"/>
      <c r="G40" s="24"/>
      <c r="H40" s="25"/>
      <c r="I40" s="26">
        <f t="shared" si="0"/>
        <v>0</v>
      </c>
    </row>
    <row r="41" spans="2:9" x14ac:dyDescent="0.25">
      <c r="B41" s="22"/>
      <c r="C41" s="22"/>
      <c r="D41" s="22"/>
      <c r="E41" s="23"/>
      <c r="F41" s="24"/>
      <c r="G41" s="24"/>
      <c r="H41" s="25"/>
      <c r="I41" s="26">
        <f t="shared" si="0"/>
        <v>0</v>
      </c>
    </row>
    <row r="42" spans="2:9" x14ac:dyDescent="0.25">
      <c r="B42" s="22"/>
      <c r="C42" s="22"/>
      <c r="D42" s="22"/>
      <c r="E42" s="23"/>
      <c r="F42" s="24"/>
      <c r="G42" s="24"/>
      <c r="H42" s="25"/>
      <c r="I42" s="26">
        <f t="shared" si="0"/>
        <v>0</v>
      </c>
    </row>
    <row r="43" spans="2:9" x14ac:dyDescent="0.25">
      <c r="B43" s="22"/>
      <c r="C43" s="22"/>
      <c r="D43" s="22"/>
      <c r="E43" s="23"/>
      <c r="F43" s="24"/>
      <c r="G43" s="24"/>
      <c r="H43" s="25"/>
      <c r="I43" s="26">
        <f t="shared" si="0"/>
        <v>0</v>
      </c>
    </row>
    <row r="44" spans="2:9" x14ac:dyDescent="0.25">
      <c r="B44" s="22"/>
      <c r="C44" s="22"/>
      <c r="D44" s="22"/>
      <c r="E44" s="23"/>
      <c r="F44" s="24"/>
      <c r="G44" s="24"/>
      <c r="H44" s="25"/>
      <c r="I44" s="26">
        <f t="shared" si="0"/>
        <v>0</v>
      </c>
    </row>
    <row r="45" spans="2:9" x14ac:dyDescent="0.25">
      <c r="B45" s="22"/>
      <c r="C45" s="22"/>
      <c r="D45" s="22"/>
      <c r="E45" s="23"/>
      <c r="F45" s="24"/>
      <c r="G45" s="24"/>
      <c r="H45" s="25"/>
      <c r="I45" s="26">
        <f t="shared" si="0"/>
        <v>0</v>
      </c>
    </row>
    <row r="46" spans="2:9" x14ac:dyDescent="0.25">
      <c r="B46" s="22"/>
      <c r="C46" s="22"/>
      <c r="D46" s="22"/>
      <c r="E46" s="23"/>
      <c r="F46" s="24"/>
      <c r="G46" s="24"/>
      <c r="H46" s="25"/>
      <c r="I46" s="26">
        <f t="shared" si="0"/>
        <v>0</v>
      </c>
    </row>
    <row r="47" spans="2:9" x14ac:dyDescent="0.25">
      <c r="B47" s="22"/>
      <c r="C47" s="22"/>
      <c r="D47" s="22"/>
      <c r="E47" s="23"/>
      <c r="F47" s="24"/>
      <c r="G47" s="24"/>
      <c r="H47" s="25"/>
      <c r="I47" s="26">
        <f t="shared" si="0"/>
        <v>0</v>
      </c>
    </row>
    <row r="48" spans="2:9" x14ac:dyDescent="0.25">
      <c r="B48" s="22"/>
      <c r="C48" s="22"/>
      <c r="D48" s="22"/>
      <c r="E48" s="23"/>
      <c r="F48" s="24"/>
      <c r="G48" s="24"/>
      <c r="H48" s="25"/>
      <c r="I48" s="26">
        <f t="shared" si="0"/>
        <v>0</v>
      </c>
    </row>
    <row r="49" spans="2:9" x14ac:dyDescent="0.25">
      <c r="B49" s="22"/>
      <c r="C49" s="22"/>
      <c r="D49" s="22"/>
      <c r="E49" s="23"/>
      <c r="F49" s="24"/>
      <c r="G49" s="24"/>
      <c r="H49" s="25"/>
      <c r="I49" s="26">
        <f t="shared" si="0"/>
        <v>0</v>
      </c>
    </row>
    <row r="50" spans="2:9" x14ac:dyDescent="0.25">
      <c r="B50" s="22"/>
      <c r="C50" s="22"/>
      <c r="D50" s="22"/>
      <c r="E50" s="23"/>
      <c r="F50" s="24"/>
      <c r="G50" s="24"/>
      <c r="H50" s="25"/>
      <c r="I50" s="26">
        <f t="shared" si="0"/>
        <v>0</v>
      </c>
    </row>
    <row r="51" spans="2:9" x14ac:dyDescent="0.25">
      <c r="B51" s="22"/>
      <c r="C51" s="22"/>
      <c r="D51" s="22"/>
      <c r="E51" s="23"/>
      <c r="F51" s="24"/>
      <c r="G51" s="24"/>
      <c r="H51" s="25"/>
      <c r="I51" s="26">
        <f t="shared" si="0"/>
        <v>0</v>
      </c>
    </row>
    <row r="52" spans="2:9" x14ac:dyDescent="0.25">
      <c r="B52" s="22"/>
      <c r="C52" s="22"/>
      <c r="D52" s="22"/>
      <c r="E52" s="23"/>
      <c r="F52" s="24"/>
      <c r="G52" s="24"/>
      <c r="H52" s="25"/>
      <c r="I52" s="26">
        <f t="shared" si="0"/>
        <v>0</v>
      </c>
    </row>
    <row r="53" spans="2:9" x14ac:dyDescent="0.25">
      <c r="B53" s="22"/>
      <c r="C53" s="22"/>
      <c r="D53" s="22"/>
      <c r="E53" s="23"/>
      <c r="F53" s="24"/>
      <c r="G53" s="24"/>
      <c r="H53" s="25"/>
      <c r="I53" s="26">
        <f t="shared" si="0"/>
        <v>0</v>
      </c>
    </row>
    <row r="54" spans="2:9" x14ac:dyDescent="0.25">
      <c r="B54" s="22"/>
      <c r="C54" s="22"/>
      <c r="D54" s="22"/>
      <c r="E54" s="23"/>
      <c r="F54" s="24"/>
      <c r="G54" s="24"/>
      <c r="H54" s="25"/>
      <c r="I54" s="26">
        <f t="shared" si="0"/>
        <v>0</v>
      </c>
    </row>
    <row r="55" spans="2:9" x14ac:dyDescent="0.25">
      <c r="B55" s="22"/>
      <c r="C55" s="22"/>
      <c r="D55" s="22"/>
      <c r="E55" s="23"/>
      <c r="F55" s="24"/>
      <c r="G55" s="24"/>
      <c r="H55" s="25"/>
      <c r="I55" s="26">
        <f t="shared" si="0"/>
        <v>0</v>
      </c>
    </row>
    <row r="56" spans="2:9" x14ac:dyDescent="0.25">
      <c r="B56" s="22"/>
      <c r="C56" s="22"/>
      <c r="D56" s="22"/>
      <c r="E56" s="23"/>
      <c r="F56" s="24"/>
      <c r="G56" s="24"/>
      <c r="H56" s="25"/>
      <c r="I56" s="26">
        <f t="shared" si="0"/>
        <v>0</v>
      </c>
    </row>
    <row r="57" spans="2:9" x14ac:dyDescent="0.25">
      <c r="B57" s="84"/>
      <c r="C57" s="85"/>
      <c r="D57" s="85"/>
      <c r="E57" s="85"/>
      <c r="F57" s="86"/>
      <c r="G57" s="27"/>
      <c r="H57" s="28" t="s">
        <v>17</v>
      </c>
      <c r="I57" s="29">
        <f>SUM(I15:I56)</f>
        <v>97428.229999999981</v>
      </c>
    </row>
    <row r="58" spans="2:9" x14ac:dyDescent="0.25">
      <c r="B58" s="30"/>
      <c r="C58" s="31"/>
      <c r="D58" s="32" t="s">
        <v>18</v>
      </c>
      <c r="E58" s="87">
        <f>SUM(G15:G56)</f>
        <v>194856.39</v>
      </c>
      <c r="F58" s="88"/>
      <c r="G58" s="33"/>
      <c r="H58" s="28" t="s">
        <v>19</v>
      </c>
      <c r="I58" s="34">
        <v>0</v>
      </c>
    </row>
    <row r="59" spans="2:9" x14ac:dyDescent="0.25">
      <c r="B59" s="30"/>
      <c r="C59" s="31"/>
      <c r="D59" s="32" t="s">
        <v>20</v>
      </c>
      <c r="E59" s="87">
        <f>SUM(I15:I56)</f>
        <v>97428.229999999981</v>
      </c>
      <c r="F59" s="88"/>
      <c r="G59" s="33"/>
      <c r="H59" s="35" t="s">
        <v>21</v>
      </c>
      <c r="I59" s="34">
        <v>0</v>
      </c>
    </row>
    <row r="60" spans="2:9" x14ac:dyDescent="0.25">
      <c r="B60" s="30"/>
      <c r="C60" s="31"/>
      <c r="D60" s="32" t="s">
        <v>22</v>
      </c>
      <c r="E60" s="97">
        <f>E58-E59</f>
        <v>97428.160000000033</v>
      </c>
      <c r="F60" s="98"/>
      <c r="G60" s="36"/>
      <c r="H60" s="28" t="s">
        <v>23</v>
      </c>
      <c r="I60" s="37">
        <f>SUM(I57:I59)</f>
        <v>97428.229999999981</v>
      </c>
    </row>
    <row r="61" spans="2:9" x14ac:dyDescent="0.25">
      <c r="B61" s="30"/>
      <c r="C61" s="31"/>
      <c r="D61" s="32"/>
      <c r="E61" s="99"/>
      <c r="F61" s="100"/>
      <c r="G61" s="38"/>
      <c r="H61" s="28" t="s">
        <v>24</v>
      </c>
      <c r="I61" s="37">
        <f>I60*0.05</f>
        <v>4871.4114999999993</v>
      </c>
    </row>
    <row r="62" spans="2:9" x14ac:dyDescent="0.25">
      <c r="B62" s="30"/>
      <c r="C62" s="31"/>
      <c r="D62" s="39"/>
      <c r="E62" s="39"/>
      <c r="F62" s="40"/>
      <c r="G62" s="40"/>
      <c r="H62" s="28" t="s">
        <v>25</v>
      </c>
      <c r="I62" s="34"/>
    </row>
    <row r="63" spans="2:9" ht="15.75" x14ac:dyDescent="0.25">
      <c r="B63" s="94" t="s">
        <v>26</v>
      </c>
      <c r="C63" s="95"/>
      <c r="D63" s="95"/>
      <c r="E63" s="95"/>
      <c r="F63" s="96"/>
      <c r="G63" s="41"/>
      <c r="H63" s="42" t="s">
        <v>27</v>
      </c>
      <c r="I63" s="43">
        <f>SUM(I60:I62)</f>
        <v>102299.64149999998</v>
      </c>
    </row>
  </sheetData>
  <autoFilter ref="B14:I63" xr:uid="{A4513445-FB78-418E-9CD4-AFF919FEA4DA}"/>
  <mergeCells count="25">
    <mergeCell ref="B63:F63"/>
    <mergeCell ref="F13:I13"/>
    <mergeCell ref="B57:F57"/>
    <mergeCell ref="E58:F58"/>
    <mergeCell ref="E59:F59"/>
    <mergeCell ref="E60:F60"/>
    <mergeCell ref="E61:F61"/>
    <mergeCell ref="E11:F11"/>
    <mergeCell ref="H11:I11"/>
    <mergeCell ref="E12:F12"/>
    <mergeCell ref="H12:I12"/>
    <mergeCell ref="C11:D11"/>
    <mergeCell ref="C12:D12"/>
    <mergeCell ref="E9:F9"/>
    <mergeCell ref="H9:I9"/>
    <mergeCell ref="E10:F10"/>
    <mergeCell ref="H10:I10"/>
    <mergeCell ref="C9:D9"/>
    <mergeCell ref="C10:D10"/>
    <mergeCell ref="E1:F5"/>
    <mergeCell ref="H1:I5"/>
    <mergeCell ref="E8:F8"/>
    <mergeCell ref="H8:I8"/>
    <mergeCell ref="C7:D7"/>
    <mergeCell ref="C8:D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25FAD-9762-4487-A658-7003DC988604}">
  <sheetPr filterMode="1"/>
  <dimension ref="B1:I79"/>
  <sheetViews>
    <sheetView topLeftCell="A11" workbookViewId="0">
      <selection activeCell="F28" sqref="F28"/>
    </sheetView>
  </sheetViews>
  <sheetFormatPr defaultRowHeight="15" x14ac:dyDescent="0.25"/>
  <cols>
    <col min="1" max="1" width="2.7109375" customWidth="1"/>
    <col min="2" max="2" width="15.42578125" customWidth="1"/>
    <col min="3" max="3" width="44.42578125" bestFit="1" customWidth="1"/>
    <col min="4" max="4" width="36" customWidth="1"/>
    <col min="5" max="5" width="7.28515625" customWidth="1"/>
    <col min="6" max="8" width="14.7109375" customWidth="1"/>
    <col min="9" max="9" width="20.42578125" bestFit="1" customWidth="1"/>
  </cols>
  <sheetData>
    <row r="1" spans="2:9" ht="15" customHeight="1" x14ac:dyDescent="0.25">
      <c r="B1" s="2"/>
      <c r="C1" s="3"/>
      <c r="D1" s="3"/>
      <c r="E1" s="77" t="s">
        <v>28</v>
      </c>
      <c r="F1" s="77"/>
      <c r="G1" s="44"/>
      <c r="H1" s="77" t="s">
        <v>29</v>
      </c>
      <c r="I1" s="78"/>
    </row>
    <row r="2" spans="2:9" ht="15" customHeight="1" x14ac:dyDescent="0.25">
      <c r="B2" s="4"/>
      <c r="E2" s="79"/>
      <c r="F2" s="79"/>
      <c r="G2" s="45"/>
      <c r="H2" s="79"/>
      <c r="I2" s="80"/>
    </row>
    <row r="3" spans="2:9" ht="15" customHeight="1" x14ac:dyDescent="0.25">
      <c r="B3" s="4"/>
      <c r="E3" s="79"/>
      <c r="F3" s="79"/>
      <c r="G3" s="45"/>
      <c r="H3" s="79"/>
      <c r="I3" s="80"/>
    </row>
    <row r="4" spans="2:9" ht="15" customHeight="1" x14ac:dyDescent="0.25">
      <c r="B4" s="4"/>
      <c r="E4" s="79"/>
      <c r="F4" s="79"/>
      <c r="G4" s="45"/>
      <c r="H4" s="79"/>
      <c r="I4" s="80"/>
    </row>
    <row r="5" spans="2:9" ht="15" customHeight="1" x14ac:dyDescent="0.25">
      <c r="B5" s="5"/>
      <c r="C5" s="1"/>
      <c r="D5" s="1"/>
      <c r="E5" s="81"/>
      <c r="F5" s="81"/>
      <c r="G5" s="46"/>
      <c r="H5" s="81"/>
      <c r="I5" s="82"/>
    </row>
    <row r="6" spans="2:9" ht="36" x14ac:dyDescent="0.55000000000000004">
      <c r="B6" s="6"/>
      <c r="C6" s="7"/>
      <c r="D6" s="7"/>
      <c r="E6" s="8"/>
      <c r="F6" s="8"/>
      <c r="G6" s="8"/>
      <c r="H6" s="8"/>
      <c r="I6" s="8"/>
    </row>
    <row r="7" spans="2:9" x14ac:dyDescent="0.25">
      <c r="B7" s="49" t="s">
        <v>7</v>
      </c>
      <c r="C7" s="103" t="s">
        <v>70</v>
      </c>
      <c r="D7" s="104"/>
      <c r="E7" s="9" t="s">
        <v>8</v>
      </c>
      <c r="F7" s="10">
        <v>45870</v>
      </c>
      <c r="G7" s="10"/>
      <c r="H7" s="11" t="s">
        <v>9</v>
      </c>
      <c r="I7" s="12"/>
    </row>
    <row r="8" spans="2:9" x14ac:dyDescent="0.25">
      <c r="B8" s="50" t="s">
        <v>10</v>
      </c>
      <c r="C8" s="101">
        <v>0</v>
      </c>
      <c r="D8" s="101"/>
      <c r="E8" s="89" t="s">
        <v>11</v>
      </c>
      <c r="F8" s="89"/>
      <c r="G8" s="13"/>
      <c r="H8" s="93"/>
      <c r="I8" s="93"/>
    </row>
    <row r="9" spans="2:9" x14ac:dyDescent="0.25">
      <c r="B9" s="50" t="s">
        <v>12</v>
      </c>
      <c r="C9" s="101">
        <v>0</v>
      </c>
      <c r="D9" s="101"/>
      <c r="E9" s="89" t="s">
        <v>13</v>
      </c>
      <c r="F9" s="89"/>
      <c r="G9" s="13"/>
      <c r="H9" s="92"/>
      <c r="I9" s="92"/>
    </row>
    <row r="10" spans="2:9" x14ac:dyDescent="0.25">
      <c r="B10" s="50"/>
      <c r="C10" s="101">
        <v>0</v>
      </c>
      <c r="D10" s="101"/>
      <c r="E10" s="89" t="s">
        <v>14</v>
      </c>
      <c r="F10" s="89"/>
      <c r="G10" s="13"/>
      <c r="H10" s="90"/>
      <c r="I10" s="90"/>
    </row>
    <row r="11" spans="2:9" x14ac:dyDescent="0.25">
      <c r="B11" s="50"/>
      <c r="C11" s="101">
        <v>0</v>
      </c>
      <c r="D11" s="101"/>
      <c r="E11" s="89"/>
      <c r="F11" s="89"/>
      <c r="G11" s="13"/>
      <c r="H11" s="90"/>
      <c r="I11" s="90"/>
    </row>
    <row r="12" spans="2:9" x14ac:dyDescent="0.25">
      <c r="B12" s="51"/>
      <c r="C12" s="101">
        <v>0</v>
      </c>
      <c r="D12" s="101"/>
      <c r="E12" s="102"/>
      <c r="F12" s="102"/>
      <c r="G12" s="14"/>
      <c r="H12" s="91"/>
      <c r="I12" s="91"/>
    </row>
    <row r="13" spans="2:9" ht="15.75" thickBot="1" x14ac:dyDescent="0.3">
      <c r="B13" s="15"/>
      <c r="C13" s="16"/>
      <c r="D13" s="16"/>
      <c r="E13" s="16"/>
      <c r="F13" s="83" t="s">
        <v>3</v>
      </c>
      <c r="G13" s="83"/>
      <c r="H13" s="83"/>
      <c r="I13" s="83"/>
    </row>
    <row r="14" spans="2:9" ht="15.75" thickBot="1" x14ac:dyDescent="0.3">
      <c r="B14" s="56" t="s">
        <v>0</v>
      </c>
      <c r="C14" s="18" t="s">
        <v>15</v>
      </c>
      <c r="D14" s="19" t="s">
        <v>1</v>
      </c>
      <c r="E14" s="20" t="s">
        <v>2</v>
      </c>
      <c r="F14" s="20" t="s">
        <v>4</v>
      </c>
      <c r="G14" s="20"/>
      <c r="H14" s="20" t="s">
        <v>5</v>
      </c>
      <c r="I14" s="21" t="s">
        <v>16</v>
      </c>
    </row>
    <row r="15" spans="2:9" x14ac:dyDescent="0.25">
      <c r="B15" s="63">
        <v>6730108</v>
      </c>
      <c r="C15" s="22" t="str">
        <f>VLOOKUP(B15,'[1]Product by Part Number'!$A:$B,2,0)</f>
        <v xml:space="preserve">BOBCAT S650 (A3N)                                            </v>
      </c>
      <c r="D15" s="22" t="str">
        <f>VLOOKUP(B15,'[1]Product by Part Number'!$A:$C,3,0)</f>
        <v>Tires - 12x16.5</v>
      </c>
      <c r="E15" s="23">
        <f>VLOOKUP(B15,'[1]Product by Part Number'!$A:$K,11,0)</f>
        <v>4</v>
      </c>
      <c r="F15" s="24">
        <f>VLOOKUP(B15,'[1]Product by Part Number'!$A:$D,4,0)</f>
        <v>728.49</v>
      </c>
      <c r="G15" s="25">
        <f>E15*F15</f>
        <v>2913.96</v>
      </c>
      <c r="H15" s="25">
        <f>VLOOKUP(B15,'[1]Product by Part Number'!$A:$E,5,0)</f>
        <v>364.25</v>
      </c>
      <c r="I15" s="26">
        <f t="shared" ref="I15:I72" si="0">ROUND(E15*H15,2)</f>
        <v>1457</v>
      </c>
    </row>
    <row r="16" spans="2:9" x14ac:dyDescent="0.25">
      <c r="B16" s="62"/>
      <c r="C16" s="22"/>
      <c r="D16" s="22"/>
      <c r="E16" s="23"/>
      <c r="F16" s="24"/>
      <c r="G16" s="25">
        <f t="shared" ref="G16:G36" si="1">E16*F16</f>
        <v>0</v>
      </c>
      <c r="H16" s="25"/>
      <c r="I16" s="26">
        <f t="shared" si="0"/>
        <v>0</v>
      </c>
    </row>
    <row r="17" spans="2:9" x14ac:dyDescent="0.25">
      <c r="B17" s="62"/>
      <c r="C17" s="22"/>
      <c r="D17" s="22"/>
      <c r="E17" s="23"/>
      <c r="F17" s="24"/>
      <c r="G17" s="25">
        <f t="shared" si="1"/>
        <v>0</v>
      </c>
      <c r="H17" s="25"/>
      <c r="I17" s="26">
        <f t="shared" si="0"/>
        <v>0</v>
      </c>
    </row>
    <row r="18" spans="2:9" x14ac:dyDescent="0.25">
      <c r="B18" s="62"/>
      <c r="C18" s="22"/>
      <c r="D18" s="22"/>
      <c r="E18" s="23"/>
      <c r="F18" s="24"/>
      <c r="G18" s="25">
        <f t="shared" si="1"/>
        <v>0</v>
      </c>
      <c r="H18" s="25"/>
      <c r="I18" s="26">
        <f t="shared" si="0"/>
        <v>0</v>
      </c>
    </row>
    <row r="19" spans="2:9" x14ac:dyDescent="0.25">
      <c r="B19" s="62"/>
      <c r="C19" s="22"/>
      <c r="D19" s="22"/>
      <c r="E19" s="23"/>
      <c r="F19" s="24"/>
      <c r="G19" s="25">
        <f t="shared" si="1"/>
        <v>0</v>
      </c>
      <c r="H19" s="25"/>
      <c r="I19" s="26">
        <f t="shared" si="0"/>
        <v>0</v>
      </c>
    </row>
    <row r="20" spans="2:9" x14ac:dyDescent="0.25">
      <c r="B20" s="62"/>
      <c r="C20" s="22"/>
      <c r="D20" s="22"/>
      <c r="E20" s="23"/>
      <c r="F20" s="24"/>
      <c r="G20" s="25">
        <f t="shared" si="1"/>
        <v>0</v>
      </c>
      <c r="H20" s="25"/>
      <c r="I20" s="26">
        <f t="shared" si="0"/>
        <v>0</v>
      </c>
    </row>
    <row r="21" spans="2:9" x14ac:dyDescent="0.25">
      <c r="B21" s="62"/>
      <c r="C21" s="22"/>
      <c r="D21" s="22"/>
      <c r="E21" s="23"/>
      <c r="F21" s="24"/>
      <c r="G21" s="25">
        <f t="shared" si="1"/>
        <v>0</v>
      </c>
      <c r="H21" s="25"/>
      <c r="I21" s="26">
        <f t="shared" si="0"/>
        <v>0</v>
      </c>
    </row>
    <row r="22" spans="2:9" x14ac:dyDescent="0.25">
      <c r="B22" s="62"/>
      <c r="C22" s="22"/>
      <c r="D22" s="22"/>
      <c r="E22" s="23"/>
      <c r="F22" s="24"/>
      <c r="G22" s="25">
        <f t="shared" si="1"/>
        <v>0</v>
      </c>
      <c r="H22" s="25"/>
      <c r="I22" s="26">
        <f t="shared" si="0"/>
        <v>0</v>
      </c>
    </row>
    <row r="23" spans="2:9" x14ac:dyDescent="0.25">
      <c r="B23" s="62"/>
      <c r="C23" s="22"/>
      <c r="D23" s="22"/>
      <c r="E23" s="23"/>
      <c r="F23" s="24"/>
      <c r="G23" s="25">
        <f t="shared" si="1"/>
        <v>0</v>
      </c>
      <c r="H23" s="25"/>
      <c r="I23" s="26">
        <f t="shared" si="0"/>
        <v>0</v>
      </c>
    </row>
    <row r="24" spans="2:9" x14ac:dyDescent="0.25">
      <c r="B24" s="62"/>
      <c r="C24" s="22"/>
      <c r="D24" s="22"/>
      <c r="E24" s="23"/>
      <c r="F24" s="24"/>
      <c r="G24" s="25">
        <f t="shared" si="1"/>
        <v>0</v>
      </c>
      <c r="H24" s="25"/>
      <c r="I24" s="26">
        <f t="shared" si="0"/>
        <v>0</v>
      </c>
    </row>
    <row r="25" spans="2:9" x14ac:dyDescent="0.25">
      <c r="B25" s="62"/>
      <c r="C25" s="22"/>
      <c r="D25" s="22"/>
      <c r="E25" s="23"/>
      <c r="F25" s="24"/>
      <c r="G25" s="25">
        <f t="shared" si="1"/>
        <v>0</v>
      </c>
      <c r="H25" s="25"/>
      <c r="I25" s="26">
        <f t="shared" si="0"/>
        <v>0</v>
      </c>
    </row>
    <row r="26" spans="2:9" x14ac:dyDescent="0.25">
      <c r="B26" s="62"/>
      <c r="C26" s="22"/>
      <c r="D26" s="22"/>
      <c r="E26" s="23"/>
      <c r="F26" s="24"/>
      <c r="G26" s="25">
        <f t="shared" si="1"/>
        <v>0</v>
      </c>
      <c r="H26" s="25"/>
      <c r="I26" s="26">
        <f t="shared" si="0"/>
        <v>0</v>
      </c>
    </row>
    <row r="27" spans="2:9" x14ac:dyDescent="0.25">
      <c r="B27" s="62"/>
      <c r="C27" s="22"/>
      <c r="D27" s="22"/>
      <c r="E27" s="23"/>
      <c r="F27" s="24"/>
      <c r="G27" s="25">
        <f t="shared" si="1"/>
        <v>0</v>
      </c>
      <c r="H27" s="25"/>
      <c r="I27" s="26">
        <f t="shared" si="0"/>
        <v>0</v>
      </c>
    </row>
    <row r="28" spans="2:9" x14ac:dyDescent="0.25">
      <c r="B28" s="62"/>
      <c r="C28" s="22"/>
      <c r="D28" s="22"/>
      <c r="E28" s="23"/>
      <c r="F28" s="24"/>
      <c r="G28" s="25">
        <f t="shared" si="1"/>
        <v>0</v>
      </c>
      <c r="H28" s="25"/>
      <c r="I28" s="26">
        <f t="shared" si="0"/>
        <v>0</v>
      </c>
    </row>
    <row r="29" spans="2:9" x14ac:dyDescent="0.25">
      <c r="B29" s="62"/>
      <c r="C29" s="22"/>
      <c r="D29" s="22"/>
      <c r="E29" s="23"/>
      <c r="F29" s="24"/>
      <c r="G29" s="25">
        <f t="shared" si="1"/>
        <v>0</v>
      </c>
      <c r="H29" s="25"/>
      <c r="I29" s="26">
        <f t="shared" si="0"/>
        <v>0</v>
      </c>
    </row>
    <row r="30" spans="2:9" x14ac:dyDescent="0.25">
      <c r="B30" s="62"/>
      <c r="C30" s="22"/>
      <c r="D30" s="22"/>
      <c r="E30" s="23"/>
      <c r="F30" s="24"/>
      <c r="G30" s="25">
        <f t="shared" si="1"/>
        <v>0</v>
      </c>
      <c r="H30" s="25"/>
      <c r="I30" s="26">
        <f t="shared" si="0"/>
        <v>0</v>
      </c>
    </row>
    <row r="31" spans="2:9" x14ac:dyDescent="0.25">
      <c r="B31" s="62"/>
      <c r="C31" s="22"/>
      <c r="D31" s="22"/>
      <c r="E31" s="23"/>
      <c r="F31" s="24"/>
      <c r="G31" s="25">
        <f t="shared" si="1"/>
        <v>0</v>
      </c>
      <c r="H31" s="25"/>
      <c r="I31" s="26">
        <f t="shared" si="0"/>
        <v>0</v>
      </c>
    </row>
    <row r="32" spans="2:9" x14ac:dyDescent="0.25">
      <c r="B32" s="62"/>
      <c r="C32" s="22"/>
      <c r="D32" s="22"/>
      <c r="E32" s="23"/>
      <c r="F32" s="24"/>
      <c r="G32" s="25">
        <f t="shared" si="1"/>
        <v>0</v>
      </c>
      <c r="H32" s="25"/>
      <c r="I32" s="26">
        <f t="shared" si="0"/>
        <v>0</v>
      </c>
    </row>
    <row r="33" spans="2:9" x14ac:dyDescent="0.25">
      <c r="B33" s="54"/>
      <c r="C33" s="22"/>
      <c r="D33" s="22"/>
      <c r="E33" s="23"/>
      <c r="F33" s="24"/>
      <c r="G33" s="25">
        <f t="shared" si="1"/>
        <v>0</v>
      </c>
      <c r="H33" s="25"/>
      <c r="I33" s="26">
        <f t="shared" si="0"/>
        <v>0</v>
      </c>
    </row>
    <row r="34" spans="2:9" x14ac:dyDescent="0.25">
      <c r="B34" s="54"/>
      <c r="C34" s="22"/>
      <c r="D34" s="22"/>
      <c r="E34" s="23"/>
      <c r="F34" s="24"/>
      <c r="G34" s="25">
        <f t="shared" si="1"/>
        <v>0</v>
      </c>
      <c r="H34" s="25"/>
      <c r="I34" s="26">
        <f t="shared" si="0"/>
        <v>0</v>
      </c>
    </row>
    <row r="35" spans="2:9" x14ac:dyDescent="0.25">
      <c r="B35" s="54"/>
      <c r="C35" s="22"/>
      <c r="D35" s="22"/>
      <c r="E35" s="23"/>
      <c r="F35" s="24"/>
      <c r="G35" s="25">
        <f t="shared" si="1"/>
        <v>0</v>
      </c>
      <c r="H35" s="25"/>
      <c r="I35" s="26">
        <f t="shared" si="0"/>
        <v>0</v>
      </c>
    </row>
    <row r="36" spans="2:9" x14ac:dyDescent="0.25">
      <c r="B36" s="54"/>
      <c r="C36" s="22"/>
      <c r="D36" s="22"/>
      <c r="E36" s="23"/>
      <c r="F36" s="24"/>
      <c r="G36" s="25">
        <f t="shared" si="1"/>
        <v>0</v>
      </c>
      <c r="H36" s="25"/>
      <c r="I36" s="26">
        <f t="shared" si="0"/>
        <v>0</v>
      </c>
    </row>
    <row r="37" spans="2:9" hidden="1" x14ac:dyDescent="0.25">
      <c r="B37" s="22"/>
      <c r="C37" s="22"/>
      <c r="D37" s="22"/>
      <c r="E37" s="23"/>
      <c r="F37" s="24"/>
      <c r="G37" s="24"/>
      <c r="H37" s="25"/>
      <c r="I37" s="26">
        <f t="shared" si="0"/>
        <v>0</v>
      </c>
    </row>
    <row r="38" spans="2:9" hidden="1" x14ac:dyDescent="0.25">
      <c r="B38" s="22"/>
      <c r="C38" s="22"/>
      <c r="D38" s="22"/>
      <c r="E38" s="23"/>
      <c r="F38" s="24"/>
      <c r="G38" s="24"/>
      <c r="H38" s="25"/>
      <c r="I38" s="26">
        <f t="shared" si="0"/>
        <v>0</v>
      </c>
    </row>
    <row r="39" spans="2:9" hidden="1" x14ac:dyDescent="0.25">
      <c r="B39" s="22"/>
      <c r="C39" s="22"/>
      <c r="D39" s="22"/>
      <c r="E39" s="23"/>
      <c r="F39" s="24"/>
      <c r="G39" s="24"/>
      <c r="H39" s="25"/>
      <c r="I39" s="26">
        <f t="shared" si="0"/>
        <v>0</v>
      </c>
    </row>
    <row r="40" spans="2:9" hidden="1" x14ac:dyDescent="0.25">
      <c r="B40" s="22"/>
      <c r="C40" s="22"/>
      <c r="D40" s="22"/>
      <c r="E40" s="23"/>
      <c r="F40" s="24"/>
      <c r="G40" s="24"/>
      <c r="H40" s="25"/>
      <c r="I40" s="26">
        <f t="shared" si="0"/>
        <v>0</v>
      </c>
    </row>
    <row r="41" spans="2:9" hidden="1" x14ac:dyDescent="0.25">
      <c r="B41" s="22"/>
      <c r="C41" s="22"/>
      <c r="D41" s="22"/>
      <c r="E41" s="23"/>
      <c r="F41" s="24"/>
      <c r="G41" s="24"/>
      <c r="H41" s="25"/>
      <c r="I41" s="26">
        <f t="shared" si="0"/>
        <v>0</v>
      </c>
    </row>
    <row r="42" spans="2:9" hidden="1" x14ac:dyDescent="0.25">
      <c r="B42" s="22"/>
      <c r="C42" s="22"/>
      <c r="D42" s="22"/>
      <c r="E42" s="23"/>
      <c r="F42" s="24"/>
      <c r="G42" s="24"/>
      <c r="H42" s="25"/>
      <c r="I42" s="26">
        <f t="shared" si="0"/>
        <v>0</v>
      </c>
    </row>
    <row r="43" spans="2:9" hidden="1" x14ac:dyDescent="0.25">
      <c r="B43" s="22"/>
      <c r="C43" s="22"/>
      <c r="D43" s="22"/>
      <c r="E43" s="23"/>
      <c r="F43" s="24"/>
      <c r="G43" s="24"/>
      <c r="H43" s="25"/>
      <c r="I43" s="26">
        <f t="shared" si="0"/>
        <v>0</v>
      </c>
    </row>
    <row r="44" spans="2:9" hidden="1" x14ac:dyDescent="0.25">
      <c r="B44" s="22"/>
      <c r="C44" s="22"/>
      <c r="D44" s="22"/>
      <c r="E44" s="23"/>
      <c r="F44" s="24"/>
      <c r="G44" s="24"/>
      <c r="H44" s="25"/>
      <c r="I44" s="26">
        <f t="shared" si="0"/>
        <v>0</v>
      </c>
    </row>
    <row r="45" spans="2:9" hidden="1" x14ac:dyDescent="0.25">
      <c r="B45" s="22"/>
      <c r="C45" s="22"/>
      <c r="D45" s="22"/>
      <c r="E45" s="23"/>
      <c r="F45" s="24"/>
      <c r="G45" s="24"/>
      <c r="H45" s="25"/>
      <c r="I45" s="26">
        <f t="shared" si="0"/>
        <v>0</v>
      </c>
    </row>
    <row r="46" spans="2:9" hidden="1" x14ac:dyDescent="0.25">
      <c r="B46" s="22"/>
      <c r="C46" s="22"/>
      <c r="D46" s="22"/>
      <c r="E46" s="23"/>
      <c r="F46" s="24"/>
      <c r="G46" s="24"/>
      <c r="H46" s="25"/>
      <c r="I46" s="26">
        <f t="shared" si="0"/>
        <v>0</v>
      </c>
    </row>
    <row r="47" spans="2:9" hidden="1" x14ac:dyDescent="0.25">
      <c r="B47" s="22"/>
      <c r="C47" s="22"/>
      <c r="D47" s="22"/>
      <c r="E47" s="23"/>
      <c r="F47" s="24"/>
      <c r="G47" s="24"/>
      <c r="H47" s="25"/>
      <c r="I47" s="26">
        <f t="shared" si="0"/>
        <v>0</v>
      </c>
    </row>
    <row r="48" spans="2:9" hidden="1" x14ac:dyDescent="0.25">
      <c r="B48" s="22"/>
      <c r="C48" s="22"/>
      <c r="D48" s="22"/>
      <c r="E48" s="23"/>
      <c r="F48" s="24"/>
      <c r="G48" s="24"/>
      <c r="H48" s="25"/>
      <c r="I48" s="26">
        <f t="shared" si="0"/>
        <v>0</v>
      </c>
    </row>
    <row r="49" spans="2:9" hidden="1" x14ac:dyDescent="0.25">
      <c r="B49" s="22"/>
      <c r="C49" s="22"/>
      <c r="D49" s="22"/>
      <c r="E49" s="23"/>
      <c r="F49" s="24"/>
      <c r="G49" s="24"/>
      <c r="H49" s="25"/>
      <c r="I49" s="26">
        <f t="shared" si="0"/>
        <v>0</v>
      </c>
    </row>
    <row r="50" spans="2:9" hidden="1" x14ac:dyDescent="0.25">
      <c r="B50" s="22"/>
      <c r="C50" s="22"/>
      <c r="D50" s="22"/>
      <c r="E50" s="23"/>
      <c r="F50" s="24"/>
      <c r="G50" s="24"/>
      <c r="H50" s="25"/>
      <c r="I50" s="26">
        <f t="shared" si="0"/>
        <v>0</v>
      </c>
    </row>
    <row r="51" spans="2:9" hidden="1" x14ac:dyDescent="0.25">
      <c r="B51" s="22"/>
      <c r="C51" s="22"/>
      <c r="D51" s="22"/>
      <c r="E51" s="23"/>
      <c r="F51" s="24"/>
      <c r="G51" s="24"/>
      <c r="H51" s="25"/>
      <c r="I51" s="26">
        <f t="shared" si="0"/>
        <v>0</v>
      </c>
    </row>
    <row r="52" spans="2:9" hidden="1" x14ac:dyDescent="0.25">
      <c r="B52" s="22"/>
      <c r="C52" s="22"/>
      <c r="D52" s="22"/>
      <c r="E52" s="23"/>
      <c r="F52" s="24"/>
      <c r="G52" s="24"/>
      <c r="H52" s="25"/>
      <c r="I52" s="26">
        <f t="shared" si="0"/>
        <v>0</v>
      </c>
    </row>
    <row r="53" spans="2:9" hidden="1" x14ac:dyDescent="0.25">
      <c r="B53" s="22"/>
      <c r="C53" s="22"/>
      <c r="D53" s="22"/>
      <c r="E53" s="23"/>
      <c r="F53" s="24"/>
      <c r="G53" s="24"/>
      <c r="H53" s="25"/>
      <c r="I53" s="26">
        <f t="shared" si="0"/>
        <v>0</v>
      </c>
    </row>
    <row r="54" spans="2:9" hidden="1" x14ac:dyDescent="0.25">
      <c r="B54" s="22"/>
      <c r="C54" s="22"/>
      <c r="D54" s="22"/>
      <c r="E54" s="23"/>
      <c r="F54" s="24"/>
      <c r="G54" s="24"/>
      <c r="H54" s="25"/>
      <c r="I54" s="26">
        <f t="shared" si="0"/>
        <v>0</v>
      </c>
    </row>
    <row r="55" spans="2:9" hidden="1" x14ac:dyDescent="0.25">
      <c r="B55" s="22"/>
      <c r="C55" s="22"/>
      <c r="D55" s="22"/>
      <c r="E55" s="23"/>
      <c r="F55" s="24"/>
      <c r="G55" s="24"/>
      <c r="H55" s="25"/>
      <c r="I55" s="26">
        <f t="shared" si="0"/>
        <v>0</v>
      </c>
    </row>
    <row r="56" spans="2:9" hidden="1" x14ac:dyDescent="0.25">
      <c r="B56" s="22"/>
      <c r="C56" s="22"/>
      <c r="D56" s="22"/>
      <c r="E56" s="23"/>
      <c r="F56" s="24"/>
      <c r="G56" s="24"/>
      <c r="H56" s="25"/>
      <c r="I56" s="26">
        <f t="shared" si="0"/>
        <v>0</v>
      </c>
    </row>
    <row r="57" spans="2:9" hidden="1" x14ac:dyDescent="0.25">
      <c r="B57" s="22"/>
      <c r="C57" s="22"/>
      <c r="D57" s="22"/>
      <c r="E57" s="23"/>
      <c r="F57" s="24"/>
      <c r="G57" s="24"/>
      <c r="H57" s="25"/>
      <c r="I57" s="26">
        <f t="shared" si="0"/>
        <v>0</v>
      </c>
    </row>
    <row r="58" spans="2:9" hidden="1" x14ac:dyDescent="0.25">
      <c r="B58" s="22"/>
      <c r="C58" s="22"/>
      <c r="D58" s="22"/>
      <c r="E58" s="23"/>
      <c r="F58" s="24"/>
      <c r="G58" s="24"/>
      <c r="H58" s="25"/>
      <c r="I58" s="26">
        <f t="shared" si="0"/>
        <v>0</v>
      </c>
    </row>
    <row r="59" spans="2:9" hidden="1" x14ac:dyDescent="0.25">
      <c r="B59" s="22"/>
      <c r="C59" s="22"/>
      <c r="D59" s="22"/>
      <c r="E59" s="23"/>
      <c r="F59" s="24"/>
      <c r="G59" s="24"/>
      <c r="H59" s="25"/>
      <c r="I59" s="26">
        <f t="shared" si="0"/>
        <v>0</v>
      </c>
    </row>
    <row r="60" spans="2:9" hidden="1" x14ac:dyDescent="0.25">
      <c r="B60" s="22"/>
      <c r="C60" s="22"/>
      <c r="D60" s="22"/>
      <c r="E60" s="23"/>
      <c r="F60" s="24"/>
      <c r="G60" s="24"/>
      <c r="H60" s="25"/>
      <c r="I60" s="26">
        <f t="shared" si="0"/>
        <v>0</v>
      </c>
    </row>
    <row r="61" spans="2:9" hidden="1" x14ac:dyDescent="0.25">
      <c r="B61" s="22"/>
      <c r="C61" s="22"/>
      <c r="D61" s="22"/>
      <c r="E61" s="23"/>
      <c r="F61" s="24"/>
      <c r="G61" s="24"/>
      <c r="H61" s="25"/>
      <c r="I61" s="26">
        <f t="shared" si="0"/>
        <v>0</v>
      </c>
    </row>
    <row r="62" spans="2:9" hidden="1" x14ac:dyDescent="0.25">
      <c r="B62" s="22"/>
      <c r="C62" s="22"/>
      <c r="D62" s="22"/>
      <c r="E62" s="23"/>
      <c r="F62" s="24"/>
      <c r="G62" s="24"/>
      <c r="H62" s="25"/>
      <c r="I62" s="26">
        <f t="shared" si="0"/>
        <v>0</v>
      </c>
    </row>
    <row r="63" spans="2:9" hidden="1" x14ac:dyDescent="0.25">
      <c r="B63" s="22"/>
      <c r="C63" s="22"/>
      <c r="D63" s="22"/>
      <c r="E63" s="23"/>
      <c r="F63" s="24"/>
      <c r="G63" s="24"/>
      <c r="H63" s="25"/>
      <c r="I63" s="26">
        <f t="shared" si="0"/>
        <v>0</v>
      </c>
    </row>
    <row r="64" spans="2:9" hidden="1" x14ac:dyDescent="0.25">
      <c r="B64" s="22"/>
      <c r="C64" s="22"/>
      <c r="D64" s="22"/>
      <c r="E64" s="23"/>
      <c r="F64" s="24"/>
      <c r="G64" s="24"/>
      <c r="H64" s="25"/>
      <c r="I64" s="26">
        <f t="shared" si="0"/>
        <v>0</v>
      </c>
    </row>
    <row r="65" spans="2:9" hidden="1" x14ac:dyDescent="0.25">
      <c r="B65" s="22"/>
      <c r="C65" s="22"/>
      <c r="D65" s="22"/>
      <c r="E65" s="23"/>
      <c r="F65" s="24"/>
      <c r="G65" s="24"/>
      <c r="H65" s="25"/>
      <c r="I65" s="26">
        <f t="shared" si="0"/>
        <v>0</v>
      </c>
    </row>
    <row r="66" spans="2:9" hidden="1" x14ac:dyDescent="0.25">
      <c r="B66" s="22"/>
      <c r="C66" s="22"/>
      <c r="D66" s="22"/>
      <c r="E66" s="23"/>
      <c r="F66" s="24"/>
      <c r="G66" s="24"/>
      <c r="H66" s="25"/>
      <c r="I66" s="26">
        <f t="shared" si="0"/>
        <v>0</v>
      </c>
    </row>
    <row r="67" spans="2:9" hidden="1" x14ac:dyDescent="0.25">
      <c r="B67" s="22"/>
      <c r="C67" s="22"/>
      <c r="D67" s="22"/>
      <c r="E67" s="23"/>
      <c r="F67" s="24"/>
      <c r="G67" s="24"/>
      <c r="H67" s="25"/>
      <c r="I67" s="26">
        <f t="shared" si="0"/>
        <v>0</v>
      </c>
    </row>
    <row r="68" spans="2:9" hidden="1" x14ac:dyDescent="0.25">
      <c r="B68" s="22"/>
      <c r="C68" s="22"/>
      <c r="D68" s="22"/>
      <c r="E68" s="23"/>
      <c r="F68" s="24"/>
      <c r="G68" s="24"/>
      <c r="H68" s="25"/>
      <c r="I68" s="26">
        <f t="shared" si="0"/>
        <v>0</v>
      </c>
    </row>
    <row r="69" spans="2:9" hidden="1" x14ac:dyDescent="0.25">
      <c r="B69" s="22"/>
      <c r="C69" s="22"/>
      <c r="D69" s="22"/>
      <c r="E69" s="23"/>
      <c r="F69" s="24"/>
      <c r="G69" s="24"/>
      <c r="H69" s="25"/>
      <c r="I69" s="26">
        <f t="shared" si="0"/>
        <v>0</v>
      </c>
    </row>
    <row r="70" spans="2:9" hidden="1" x14ac:dyDescent="0.25">
      <c r="B70" s="22"/>
      <c r="C70" s="22"/>
      <c r="D70" s="22"/>
      <c r="E70" s="23"/>
      <c r="F70" s="24"/>
      <c r="G70" s="24"/>
      <c r="H70" s="25"/>
      <c r="I70" s="26">
        <f t="shared" si="0"/>
        <v>0</v>
      </c>
    </row>
    <row r="71" spans="2:9" hidden="1" x14ac:dyDescent="0.25">
      <c r="B71" s="22"/>
      <c r="C71" s="22"/>
      <c r="D71" s="22"/>
      <c r="E71" s="23"/>
      <c r="F71" s="24"/>
      <c r="G71" s="24"/>
      <c r="H71" s="25"/>
      <c r="I71" s="26">
        <f t="shared" si="0"/>
        <v>0</v>
      </c>
    </row>
    <row r="72" spans="2:9" hidden="1" x14ac:dyDescent="0.25">
      <c r="B72" s="22"/>
      <c r="C72" s="22"/>
      <c r="D72" s="22"/>
      <c r="E72" s="23"/>
      <c r="F72" s="24"/>
      <c r="G72" s="24"/>
      <c r="H72" s="25"/>
      <c r="I72" s="26">
        <f t="shared" si="0"/>
        <v>0</v>
      </c>
    </row>
    <row r="73" spans="2:9" x14ac:dyDescent="0.25">
      <c r="B73" s="84"/>
      <c r="C73" s="85"/>
      <c r="D73" s="85"/>
      <c r="E73" s="85"/>
      <c r="F73" s="86"/>
      <c r="G73" s="27"/>
      <c r="H73" s="28" t="s">
        <v>17</v>
      </c>
      <c r="I73" s="29">
        <f>SUM(I15:I72)</f>
        <v>1457</v>
      </c>
    </row>
    <row r="74" spans="2:9" x14ac:dyDescent="0.25">
      <c r="B74" s="30"/>
      <c r="C74" s="31"/>
      <c r="D74" s="32" t="s">
        <v>18</v>
      </c>
      <c r="E74" s="87">
        <f>SUM(G15:G72)</f>
        <v>2913.96</v>
      </c>
      <c r="F74" s="88"/>
      <c r="G74" s="33"/>
      <c r="H74" s="28" t="s">
        <v>19</v>
      </c>
      <c r="I74" s="34">
        <v>0</v>
      </c>
    </row>
    <row r="75" spans="2:9" x14ac:dyDescent="0.25">
      <c r="B75" s="30"/>
      <c r="C75" s="31"/>
      <c r="D75" s="32" t="s">
        <v>20</v>
      </c>
      <c r="E75" s="87">
        <f>SUM(I15:I72)</f>
        <v>1457</v>
      </c>
      <c r="F75" s="88"/>
      <c r="G75" s="33"/>
      <c r="H75" s="35" t="s">
        <v>21</v>
      </c>
      <c r="I75" s="34">
        <v>0</v>
      </c>
    </row>
    <row r="76" spans="2:9" x14ac:dyDescent="0.25">
      <c r="B76" s="30"/>
      <c r="C76" s="31"/>
      <c r="D76" s="32" t="s">
        <v>22</v>
      </c>
      <c r="E76" s="97">
        <f>E74-E75</f>
        <v>1456.96</v>
      </c>
      <c r="F76" s="98"/>
      <c r="G76" s="36"/>
      <c r="H76" s="28" t="s">
        <v>23</v>
      </c>
      <c r="I76" s="37">
        <f>SUM(I73:I75)</f>
        <v>1457</v>
      </c>
    </row>
    <row r="77" spans="2:9" x14ac:dyDescent="0.25">
      <c r="B77" s="30"/>
      <c r="C77" s="31"/>
      <c r="D77" s="32"/>
      <c r="E77" s="99"/>
      <c r="F77" s="100"/>
      <c r="G77" s="38"/>
      <c r="H77" s="28" t="s">
        <v>24</v>
      </c>
      <c r="I77" s="37">
        <f>I76*0.05</f>
        <v>72.850000000000009</v>
      </c>
    </row>
    <row r="78" spans="2:9" x14ac:dyDescent="0.25">
      <c r="B78" s="30"/>
      <c r="C78" s="31"/>
      <c r="D78" s="39"/>
      <c r="E78" s="39"/>
      <c r="F78" s="40"/>
      <c r="G78" s="40"/>
      <c r="H78" s="28" t="s">
        <v>25</v>
      </c>
      <c r="I78" s="34"/>
    </row>
    <row r="79" spans="2:9" ht="15.75" x14ac:dyDescent="0.25">
      <c r="B79" s="94" t="s">
        <v>26</v>
      </c>
      <c r="C79" s="95"/>
      <c r="D79" s="95"/>
      <c r="E79" s="95"/>
      <c r="F79" s="96"/>
      <c r="G79" s="41"/>
      <c r="H79" s="42" t="s">
        <v>27</v>
      </c>
      <c r="I79" s="43">
        <f>SUM(I76:I78)</f>
        <v>1529.85</v>
      </c>
    </row>
  </sheetData>
  <autoFilter ref="B14:I79" xr:uid="{667D775C-C777-482C-B3DD-888A06E506C2}">
    <filterColumn colId="6">
      <customFilters>
        <customFilter operator="notEqual" val=" "/>
      </customFilters>
    </filterColumn>
  </autoFilter>
  <mergeCells count="25">
    <mergeCell ref="E1:F5"/>
    <mergeCell ref="H1:I5"/>
    <mergeCell ref="C7:D7"/>
    <mergeCell ref="C8:D8"/>
    <mergeCell ref="E8:F8"/>
    <mergeCell ref="H8:I8"/>
    <mergeCell ref="C9:D9"/>
    <mergeCell ref="E9:F9"/>
    <mergeCell ref="H9:I9"/>
    <mergeCell ref="C10:D10"/>
    <mergeCell ref="E10:F10"/>
    <mergeCell ref="H10:I10"/>
    <mergeCell ref="C11:D11"/>
    <mergeCell ref="E11:F11"/>
    <mergeCell ref="H11:I11"/>
    <mergeCell ref="C12:D12"/>
    <mergeCell ref="E12:F12"/>
    <mergeCell ref="H12:I12"/>
    <mergeCell ref="B79:F79"/>
    <mergeCell ref="F13:I13"/>
    <mergeCell ref="B73:F73"/>
    <mergeCell ref="E74:F74"/>
    <mergeCell ref="E75:F75"/>
    <mergeCell ref="E76:F76"/>
    <mergeCell ref="E77:F7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55399-1473-420D-A9BF-5D9EDEAB72D5}">
  <sheetPr filterMode="1"/>
  <dimension ref="B1:I83"/>
  <sheetViews>
    <sheetView topLeftCell="A20" workbookViewId="0">
      <selection activeCell="D27" sqref="D27"/>
    </sheetView>
  </sheetViews>
  <sheetFormatPr defaultRowHeight="15" x14ac:dyDescent="0.25"/>
  <cols>
    <col min="1" max="1" width="2.7109375" customWidth="1"/>
    <col min="2" max="2" width="15.42578125" customWidth="1"/>
    <col min="3" max="3" width="44.42578125" bestFit="1" customWidth="1"/>
    <col min="4" max="4" width="36" customWidth="1"/>
    <col min="5" max="5" width="7.28515625" customWidth="1"/>
    <col min="6" max="8" width="14.7109375" customWidth="1"/>
    <col min="9" max="9" width="20.42578125" bestFit="1" customWidth="1"/>
  </cols>
  <sheetData>
    <row r="1" spans="2:9" ht="15" customHeight="1" x14ac:dyDescent="0.25">
      <c r="B1" s="2"/>
      <c r="C1" s="3"/>
      <c r="D1" s="3"/>
      <c r="E1" s="77" t="s">
        <v>28</v>
      </c>
      <c r="F1" s="77"/>
      <c r="G1" s="44"/>
      <c r="H1" s="77" t="s">
        <v>32</v>
      </c>
      <c r="I1" s="78"/>
    </row>
    <row r="2" spans="2:9" ht="15" customHeight="1" x14ac:dyDescent="0.25">
      <c r="B2" s="4"/>
      <c r="E2" s="79"/>
      <c r="F2" s="79"/>
      <c r="G2" s="45"/>
      <c r="H2" s="79"/>
      <c r="I2" s="80"/>
    </row>
    <row r="3" spans="2:9" ht="15" customHeight="1" x14ac:dyDescent="0.25">
      <c r="B3" s="4"/>
      <c r="E3" s="79"/>
      <c r="F3" s="79"/>
      <c r="G3" s="45"/>
      <c r="H3" s="79"/>
      <c r="I3" s="80"/>
    </row>
    <row r="4" spans="2:9" ht="15" customHeight="1" x14ac:dyDescent="0.25">
      <c r="B4" s="4"/>
      <c r="E4" s="79"/>
      <c r="F4" s="79"/>
      <c r="G4" s="45"/>
      <c r="H4" s="79"/>
      <c r="I4" s="80"/>
    </row>
    <row r="5" spans="2:9" ht="15" customHeight="1" x14ac:dyDescent="0.25">
      <c r="B5" s="5"/>
      <c r="C5" s="1"/>
      <c r="D5" s="1"/>
      <c r="E5" s="81"/>
      <c r="F5" s="81"/>
      <c r="G5" s="46"/>
      <c r="H5" s="81"/>
      <c r="I5" s="82"/>
    </row>
    <row r="6" spans="2:9" ht="36" x14ac:dyDescent="0.55000000000000004">
      <c r="B6" s="6"/>
      <c r="C6" s="7"/>
      <c r="D6" s="7"/>
      <c r="E6" s="8"/>
      <c r="F6" s="8"/>
      <c r="G6" s="8"/>
      <c r="H6" s="8"/>
      <c r="I6" s="8"/>
    </row>
    <row r="7" spans="2:9" x14ac:dyDescent="0.25">
      <c r="B7" s="49" t="s">
        <v>7</v>
      </c>
      <c r="C7" s="103" t="s">
        <v>70</v>
      </c>
      <c r="D7" s="104"/>
      <c r="E7" s="9" t="s">
        <v>8</v>
      </c>
      <c r="F7" s="10">
        <f>'MOQ Grand Total'!F7</f>
        <v>45870</v>
      </c>
      <c r="G7" s="10"/>
      <c r="H7" s="11" t="s">
        <v>9</v>
      </c>
      <c r="I7" s="12" t="str">
        <f>'MOQ Grand Total'!I7</f>
        <v xml:space="preserve"> </v>
      </c>
    </row>
    <row r="8" spans="2:9" x14ac:dyDescent="0.25">
      <c r="B8" s="50" t="s">
        <v>10</v>
      </c>
      <c r="C8" s="103">
        <f>'MOQ Grand Total'!C8</f>
        <v>0</v>
      </c>
      <c r="D8" s="104"/>
      <c r="E8" s="89" t="s">
        <v>11</v>
      </c>
      <c r="F8" s="89"/>
      <c r="G8" s="13"/>
      <c r="H8" s="93" t="str">
        <f>'MOQ Grand Total'!H8</f>
        <v xml:space="preserve"> </v>
      </c>
      <c r="I8" s="93"/>
    </row>
    <row r="9" spans="2:9" x14ac:dyDescent="0.25">
      <c r="B9" s="50" t="s">
        <v>12</v>
      </c>
      <c r="C9" s="103">
        <f>'MOQ Grand Total'!C9</f>
        <v>0</v>
      </c>
      <c r="D9" s="104"/>
      <c r="E9" s="89" t="s">
        <v>13</v>
      </c>
      <c r="F9" s="89"/>
      <c r="G9" s="13"/>
      <c r="H9" s="93" t="str">
        <f>'MOQ Grand Total'!H9</f>
        <v xml:space="preserve"> </v>
      </c>
      <c r="I9" s="93"/>
    </row>
    <row r="10" spans="2:9" x14ac:dyDescent="0.25">
      <c r="B10" s="50"/>
      <c r="C10" s="103">
        <f>'MOQ Grand Total'!C10</f>
        <v>0</v>
      </c>
      <c r="D10" s="104"/>
      <c r="E10" s="89" t="s">
        <v>14</v>
      </c>
      <c r="F10" s="89"/>
      <c r="G10" s="13"/>
      <c r="H10" s="93" t="str">
        <f>'MOQ Grand Total'!H10</f>
        <v xml:space="preserve"> </v>
      </c>
      <c r="I10" s="93"/>
    </row>
    <row r="11" spans="2:9" x14ac:dyDescent="0.25">
      <c r="B11" s="50"/>
      <c r="C11" s="103">
        <f>'MOQ Grand Total'!C11</f>
        <v>0</v>
      </c>
      <c r="D11" s="104"/>
      <c r="E11" s="89"/>
      <c r="F11" s="89"/>
      <c r="G11" s="13"/>
      <c r="H11" s="93" t="str">
        <f>'MOQ Grand Total'!H11</f>
        <v xml:space="preserve"> </v>
      </c>
      <c r="I11" s="93"/>
    </row>
    <row r="12" spans="2:9" x14ac:dyDescent="0.25">
      <c r="B12" s="51"/>
      <c r="C12" s="103">
        <f>'MOQ Grand Total'!C12</f>
        <v>0</v>
      </c>
      <c r="D12" s="104"/>
      <c r="E12" s="102"/>
      <c r="F12" s="102"/>
      <c r="G12" s="14"/>
      <c r="H12" s="93" t="str">
        <f>'MOQ Grand Total'!H12</f>
        <v xml:space="preserve"> </v>
      </c>
      <c r="I12" s="93"/>
    </row>
    <row r="13" spans="2:9" ht="15.75" thickBot="1" x14ac:dyDescent="0.3">
      <c r="B13" s="15"/>
      <c r="C13" s="16"/>
      <c r="D13" s="16"/>
      <c r="E13" s="16"/>
      <c r="F13" s="83" t="s">
        <v>3</v>
      </c>
      <c r="G13" s="83"/>
      <c r="H13" s="83"/>
      <c r="I13" s="83"/>
    </row>
    <row r="14" spans="2:9" ht="15.75" thickBot="1" x14ac:dyDescent="0.3">
      <c r="B14" s="56" t="s">
        <v>0</v>
      </c>
      <c r="C14" s="18" t="s">
        <v>15</v>
      </c>
      <c r="D14" s="19" t="s">
        <v>1</v>
      </c>
      <c r="E14" s="20" t="s">
        <v>2</v>
      </c>
      <c r="F14" s="20" t="s">
        <v>4</v>
      </c>
      <c r="G14" s="20"/>
      <c r="H14" s="20" t="s">
        <v>5</v>
      </c>
      <c r="I14" s="21" t="s">
        <v>16</v>
      </c>
    </row>
    <row r="15" spans="2:9" x14ac:dyDescent="0.25">
      <c r="B15" s="63">
        <v>7008469</v>
      </c>
      <c r="C15" s="22" t="str">
        <f>VLOOKUP(B15,'[1]Product by Part Number'!$A:$B,2,0)</f>
        <v xml:space="preserve">BOBCAT S650 (A3N)                                            </v>
      </c>
      <c r="D15" s="22" t="str">
        <f>VLOOKUP(B15,'[1]Product by Part Number'!$A:$C,3,0)</f>
        <v>Turbocharger AS</v>
      </c>
      <c r="E15" s="23">
        <f>VLOOKUP(B15,'[1]Product by Part Number'!$A:$K,11,0)</f>
        <v>1</v>
      </c>
      <c r="F15" s="24">
        <f>VLOOKUP(B15,'[1]Product by Part Number'!$A:$D,4,0)</f>
        <v>3921.49</v>
      </c>
      <c r="G15" s="24">
        <f>E15*F15</f>
        <v>3921.49</v>
      </c>
      <c r="H15" s="25">
        <f>VLOOKUP(B15,'[1]Product by Part Number'!$A:$E,5,0)</f>
        <v>1960.75</v>
      </c>
      <c r="I15" s="26">
        <f t="shared" ref="I15:I76" si="0">ROUND(E15*H15,2)</f>
        <v>1960.75</v>
      </c>
    </row>
    <row r="16" spans="2:9" x14ac:dyDescent="0.25">
      <c r="B16" s="62">
        <v>7017202</v>
      </c>
      <c r="C16" s="22" t="str">
        <f>VLOOKUP(B16,'[1]Product by Part Number'!$A:$B,2,0)</f>
        <v xml:space="preserve">BOBCAT T750 (ANK)                                            </v>
      </c>
      <c r="D16" s="22" t="str">
        <f>VLOOKUP(B16,'[1]Product by Part Number'!$A:$C,3,0)</f>
        <v>Turbocharger AS</v>
      </c>
      <c r="E16" s="23">
        <f>VLOOKUP(B16,'[1]Product by Part Number'!$A:$K,11,0)</f>
        <v>1</v>
      </c>
      <c r="F16" s="24">
        <f>VLOOKUP(B16,'[1]Product by Part Number'!$A:$D,4,0)</f>
        <v>4318.99</v>
      </c>
      <c r="G16" s="24">
        <f t="shared" ref="G16:G38" si="1">E16*F16</f>
        <v>4318.99</v>
      </c>
      <c r="H16" s="25">
        <f>VLOOKUP(B16,'[1]Product by Part Number'!$A:$E,5,0)</f>
        <v>2159.5</v>
      </c>
      <c r="I16" s="26">
        <f t="shared" si="0"/>
        <v>2159.5</v>
      </c>
    </row>
    <row r="17" spans="2:9" x14ac:dyDescent="0.25">
      <c r="B17" s="62">
        <v>7024308</v>
      </c>
      <c r="C17" s="22" t="str">
        <f>VLOOKUP(B17,'[1]Product by Part Number'!$A:$B,2,0)</f>
        <v xml:space="preserve">BOBCAT T750 (ATF)                                            </v>
      </c>
      <c r="D17" s="22" t="str">
        <f>VLOOKUP(B17,'[1]Product by Part Number'!$A:$C,3,0)</f>
        <v>Turbocharger AS</v>
      </c>
      <c r="E17" s="23">
        <f>VLOOKUP(B17,'[1]Product by Part Number'!$A:$K,11,0)</f>
        <v>1</v>
      </c>
      <c r="F17" s="24">
        <f>VLOOKUP(B17,'[1]Product by Part Number'!$A:$D,4,0)</f>
        <v>4724.49</v>
      </c>
      <c r="G17" s="24">
        <f t="shared" si="1"/>
        <v>4724.49</v>
      </c>
      <c r="H17" s="25">
        <f>VLOOKUP(B17,'[1]Product by Part Number'!$A:$E,5,0)</f>
        <v>2362.25</v>
      </c>
      <c r="I17" s="26">
        <f t="shared" si="0"/>
        <v>2362.25</v>
      </c>
    </row>
    <row r="18" spans="2:9" x14ac:dyDescent="0.25">
      <c r="B18" s="62">
        <v>7256748</v>
      </c>
      <c r="C18" s="22" t="str">
        <f>VLOOKUP(B18,'[1]Product by Part Number'!$A:$B,2,0)</f>
        <v xml:space="preserve">BOBCAT T770 (AT6) BOBCAT T770 (AT6) (2)                                          </v>
      </c>
      <c r="D18" s="22" t="str">
        <f>VLOOKUP(B18,'[1]Product by Part Number'!$A:$C,3,0)</f>
        <v>Turbocharger AS</v>
      </c>
      <c r="E18" s="23">
        <f>VLOOKUP(B18,'[1]Product by Part Number'!$A:$K,11,0)</f>
        <v>2</v>
      </c>
      <c r="F18" s="24">
        <f>VLOOKUP(B18,'[1]Product by Part Number'!$A:$D,4,0)</f>
        <v>2465.4899999999998</v>
      </c>
      <c r="G18" s="24">
        <f t="shared" si="1"/>
        <v>4930.9799999999996</v>
      </c>
      <c r="H18" s="25">
        <f>VLOOKUP(B18,'[1]Product by Part Number'!$A:$E,5,0)</f>
        <v>1232.75</v>
      </c>
      <c r="I18" s="26">
        <f t="shared" si="0"/>
        <v>2465.5</v>
      </c>
    </row>
    <row r="19" spans="2:9" x14ac:dyDescent="0.25">
      <c r="B19" s="62" t="s">
        <v>240</v>
      </c>
      <c r="C19" s="22" t="str">
        <f>VLOOKUP(B19,'[1]Product by Part Number'!$A:$B,2,0)</f>
        <v xml:space="preserve">CAT D5 (3CR) CAT D5 (3CR) (2) CAT 561M (1KW)                                        </v>
      </c>
      <c r="D19" s="22" t="str">
        <f>VLOOKUP(B19,'[1]Product by Part Number'!$A:$C,3,0)</f>
        <v>TURBOCHARGER ASSEMBLY</v>
      </c>
      <c r="E19" s="23">
        <f>VLOOKUP(B19,'[1]Product by Part Number'!$A:$K,11,0)</f>
        <v>3</v>
      </c>
      <c r="F19" s="24">
        <f>VLOOKUP(B19,'[1]Product by Part Number'!$A:$D,4,0)</f>
        <v>4677.47</v>
      </c>
      <c r="G19" s="24">
        <f t="shared" si="1"/>
        <v>14032.41</v>
      </c>
      <c r="H19" s="25">
        <f>VLOOKUP(B19,'[1]Product by Part Number'!$A:$E,5,0)</f>
        <v>2338.7399999999998</v>
      </c>
      <c r="I19" s="26">
        <f t="shared" si="0"/>
        <v>7016.22</v>
      </c>
    </row>
    <row r="20" spans="2:9" x14ac:dyDescent="0.25">
      <c r="B20" s="62" t="s">
        <v>241</v>
      </c>
      <c r="C20" s="22" t="str">
        <f>VLOOKUP(B20,'[1]Product by Part Number'!$A:$B,2,0)</f>
        <v xml:space="preserve">CAT 561N (CPH) CAT 561N (CPH) (2) CAT 561N (CPH) (3) CAT 561N (CPH) (4) CAT 561N (CPH) (5)                                    </v>
      </c>
      <c r="D20" s="22" t="str">
        <f>VLOOKUP(B20,'[1]Product by Part Number'!$A:$C,3,0)</f>
        <v>TURBOCHARGER</v>
      </c>
      <c r="E20" s="23">
        <f>VLOOKUP(B20,'[1]Product by Part Number'!$A:$K,11,0)</f>
        <v>5</v>
      </c>
      <c r="F20" s="24">
        <f>VLOOKUP(B20,'[1]Product by Part Number'!$A:$D,4,0)</f>
        <v>5839.53</v>
      </c>
      <c r="G20" s="24">
        <f t="shared" si="1"/>
        <v>29197.649999999998</v>
      </c>
      <c r="H20" s="25">
        <f>VLOOKUP(B20,'[1]Product by Part Number'!$A:$E,5,0)</f>
        <v>2919.77</v>
      </c>
      <c r="I20" s="26">
        <f t="shared" si="0"/>
        <v>14598.85</v>
      </c>
    </row>
    <row r="21" spans="2:9" x14ac:dyDescent="0.25">
      <c r="B21" s="62" t="s">
        <v>242</v>
      </c>
      <c r="C21" s="22" t="str">
        <f>VLOOKUP(B21,'[1]Product by Part Number'!$A:$B,2,0)</f>
        <v xml:space="preserve">CAT D4 (66J)                                            </v>
      </c>
      <c r="D21" s="22" t="str">
        <f>VLOOKUP(B21,'[1]Product by Part Number'!$A:$C,3,0)</f>
        <v>TURBOCHARGER ASSEMBLY</v>
      </c>
      <c r="E21" s="23">
        <f>VLOOKUP(B21,'[1]Product by Part Number'!$A:$K,11,0)</f>
        <v>1</v>
      </c>
      <c r="F21" s="24">
        <f>VLOOKUP(B21,'[1]Product by Part Number'!$A:$D,4,0)</f>
        <v>3627.05</v>
      </c>
      <c r="G21" s="24">
        <f t="shared" si="1"/>
        <v>3627.05</v>
      </c>
      <c r="H21" s="25">
        <f>VLOOKUP(B21,'[1]Product by Part Number'!$A:$E,5,0)</f>
        <v>1813.53</v>
      </c>
      <c r="I21" s="26">
        <f t="shared" si="0"/>
        <v>1813.53</v>
      </c>
    </row>
    <row r="22" spans="2:9" x14ac:dyDescent="0.25">
      <c r="B22" s="62" t="s">
        <v>243</v>
      </c>
      <c r="C22" s="22" t="str">
        <f>VLOOKUP(B22,'[1]Product by Part Number'!$A:$B,2,0)</f>
        <v xml:space="preserve">CAT D3 (1PJ)                                            </v>
      </c>
      <c r="D22" s="22" t="str">
        <f>VLOOKUP(B22,'[1]Product by Part Number'!$A:$C,3,0)</f>
        <v>TURBOCHARGER ASSEMBLY</v>
      </c>
      <c r="E22" s="23">
        <f>VLOOKUP(B22,'[1]Product by Part Number'!$A:$K,11,0)</f>
        <v>1</v>
      </c>
      <c r="F22" s="24">
        <f>VLOOKUP(B22,'[1]Product by Part Number'!$A:$D,4,0)</f>
        <v>4384.51</v>
      </c>
      <c r="G22" s="24">
        <f t="shared" si="1"/>
        <v>4384.51</v>
      </c>
      <c r="H22" s="25">
        <f>VLOOKUP(B22,'[1]Product by Part Number'!$A:$E,5,0)</f>
        <v>2192.2600000000002</v>
      </c>
      <c r="I22" s="26">
        <f t="shared" si="0"/>
        <v>2192.2600000000002</v>
      </c>
    </row>
    <row r="23" spans="2:9" x14ac:dyDescent="0.25">
      <c r="B23" s="62" t="s">
        <v>244</v>
      </c>
      <c r="C23" s="22" t="str">
        <f>VLOOKUP(B23,'[1]Product by Part Number'!$A:$B,2,0)</f>
        <v xml:space="preserve">CAT 329E L (ZCD)                                            </v>
      </c>
      <c r="D23" s="22" t="str">
        <f>VLOOKUP(B23,'[1]Product by Part Number'!$A:$C,3,0)</f>
        <v>SECONDARY TURBOCHARGER ASSEMBLY</v>
      </c>
      <c r="E23" s="23">
        <f>VLOOKUP(B23,'[1]Product by Part Number'!$A:$K,11,0)</f>
        <v>1</v>
      </c>
      <c r="F23" s="24">
        <f>VLOOKUP(B23,'[1]Product by Part Number'!$A:$D,4,0)</f>
        <v>4722.29</v>
      </c>
      <c r="G23" s="24">
        <f t="shared" si="1"/>
        <v>4722.29</v>
      </c>
      <c r="H23" s="25">
        <f>VLOOKUP(B23,'[1]Product by Part Number'!$A:$E,5,0)</f>
        <v>2361.15</v>
      </c>
      <c r="I23" s="26">
        <f t="shared" si="0"/>
        <v>2361.15</v>
      </c>
    </row>
    <row r="24" spans="2:9" x14ac:dyDescent="0.25">
      <c r="B24" s="62" t="s">
        <v>245</v>
      </c>
      <c r="C24" s="22" t="str">
        <f>VLOOKUP(B24,'[1]Product by Part Number'!$A:$B,2,0)</f>
        <v xml:space="preserve">CAT 320F L (YBM) CAT 320 (HEX)                                          </v>
      </c>
      <c r="D24" s="22" t="str">
        <f>VLOOKUP(B24,'[1]Product by Part Number'!$A:$C,3,0)</f>
        <v>PRIMARY TURBOCHARGER ASSEMBLY</v>
      </c>
      <c r="E24" s="23">
        <f>VLOOKUP(B24,'[1]Product by Part Number'!$A:$K,11,0)</f>
        <v>2</v>
      </c>
      <c r="F24" s="24">
        <f>VLOOKUP(B24,'[1]Product by Part Number'!$A:$D,4,0)</f>
        <v>3725.79</v>
      </c>
      <c r="G24" s="24">
        <f t="shared" si="1"/>
        <v>7451.58</v>
      </c>
      <c r="H24" s="25">
        <f>VLOOKUP(B24,'[1]Product by Part Number'!$A:$E,5,0)</f>
        <v>1862.9</v>
      </c>
      <c r="I24" s="26">
        <f t="shared" si="0"/>
        <v>3725.8</v>
      </c>
    </row>
    <row r="25" spans="2:9" x14ac:dyDescent="0.25">
      <c r="B25" s="62" t="s">
        <v>246</v>
      </c>
      <c r="C25" s="22" t="str">
        <f>VLOOKUP(B25,'[1]Product by Part Number'!$A:$B,2,0)</f>
        <v xml:space="preserve">CAT 336F L (RKB)                                            </v>
      </c>
      <c r="D25" s="22" t="str">
        <f>VLOOKUP(B25,'[1]Product by Part Number'!$A:$C,3,0)</f>
        <v>TURBOCHARGER ASSEMBLY</v>
      </c>
      <c r="E25" s="23">
        <f>VLOOKUP(B25,'[1]Product by Part Number'!$A:$K,11,0)</f>
        <v>1</v>
      </c>
      <c r="F25" s="24">
        <f>VLOOKUP(B25,'[1]Product by Part Number'!$A:$D,4,0)</f>
        <v>7358.86</v>
      </c>
      <c r="G25" s="24">
        <f t="shared" si="1"/>
        <v>7358.86</v>
      </c>
      <c r="H25" s="25">
        <f>VLOOKUP(B25,'[1]Product by Part Number'!$A:$E,5,0)</f>
        <v>3679.43</v>
      </c>
      <c r="I25" s="26">
        <f t="shared" si="0"/>
        <v>3679.43</v>
      </c>
    </row>
    <row r="26" spans="2:9" x14ac:dyDescent="0.25">
      <c r="B26" s="62" t="s">
        <v>247</v>
      </c>
      <c r="C26" s="22" t="str">
        <f>VLOOKUP(B26,'[1]Product by Part Number'!$A:$B,2,0)</f>
        <v xml:space="preserve">CAT 329E L (ZCD)                                            </v>
      </c>
      <c r="D26" s="22" t="str">
        <f>VLOOKUP(B26,'[1]Product by Part Number'!$A:$C,3,0)</f>
        <v>PRIMARY TURBOCHARGER ASSEMBLY</v>
      </c>
      <c r="E26" s="23">
        <f>VLOOKUP(B26,'[1]Product by Part Number'!$A:$K,11,0)</f>
        <v>1</v>
      </c>
      <c r="F26" s="24">
        <f>VLOOKUP(B26,'[1]Product by Part Number'!$A:$D,4,0)</f>
        <v>3927.73</v>
      </c>
      <c r="G26" s="24">
        <f t="shared" si="1"/>
        <v>3927.73</v>
      </c>
      <c r="H26" s="25">
        <f>VLOOKUP(B26,'[1]Product by Part Number'!$A:$E,5,0)</f>
        <v>1963.87</v>
      </c>
      <c r="I26" s="26">
        <f t="shared" si="0"/>
        <v>1963.87</v>
      </c>
    </row>
    <row r="27" spans="2:9" x14ac:dyDescent="0.25">
      <c r="B27" s="62" t="s">
        <v>248</v>
      </c>
      <c r="C27" s="22" t="str">
        <f>VLOOKUP(B27,'[1]Product by Part Number'!$A:$B,2,0)</f>
        <v xml:space="preserve">CAT 329F L (ERL) CAT 329F L (ERL) (2) CAT 330F L (MBX) CAT 330F L (HCK) CAT 330F L (HCK) (2) CAT 330 (LHW) CAT 330 (LHW) (2) CAT 330 (LHW) (3) CAT 330 (LHW) (4) CAT 330 (WCH) CAT 330 (WCH) (2) CAT 330 (WCH) (3) CAT 330 (WCH) (4) CAT 330 (WCH) (5) CAT 330 (WCH) (6)                </v>
      </c>
      <c r="D27" s="22" t="str">
        <f>VLOOKUP(B27,'[1]Product by Part Number'!$A:$C,3,0)</f>
        <v>PRIMARY TURBOCHARGER ASSEMBLY</v>
      </c>
      <c r="E27" s="23">
        <f>VLOOKUP(B27,'[1]Product by Part Number'!$A:$K,11,0)</f>
        <v>15</v>
      </c>
      <c r="F27" s="24">
        <f>VLOOKUP(B27,'[1]Product by Part Number'!$A:$D,4,0)</f>
        <v>4722.29</v>
      </c>
      <c r="G27" s="24">
        <f t="shared" si="1"/>
        <v>70834.350000000006</v>
      </c>
      <c r="H27" s="25">
        <f>VLOOKUP(B27,'[1]Product by Part Number'!$A:$E,5,0)</f>
        <v>2361.15</v>
      </c>
      <c r="I27" s="26">
        <f t="shared" si="0"/>
        <v>35417.25</v>
      </c>
    </row>
    <row r="28" spans="2:9" x14ac:dyDescent="0.25">
      <c r="B28" s="62" t="s">
        <v>249</v>
      </c>
      <c r="C28" s="22" t="str">
        <f>VLOOKUP(B28,'[1]Product by Part Number'!$A:$B,2,0)</f>
        <v xml:space="preserve">CAT D6T (MH7)                                            </v>
      </c>
      <c r="D28" s="22" t="str">
        <f>VLOOKUP(B28,'[1]Product by Part Number'!$A:$C,3,0)</f>
        <v>TURBOCHARGER ASSEMBLY</v>
      </c>
      <c r="E28" s="23">
        <f>VLOOKUP(B28,'[1]Product by Part Number'!$A:$K,11,0)</f>
        <v>1</v>
      </c>
      <c r="F28" s="24">
        <f>VLOOKUP(B28,'[1]Product by Part Number'!$A:$D,4,0)</f>
        <v>7083.49</v>
      </c>
      <c r="G28" s="24">
        <f t="shared" si="1"/>
        <v>7083.49</v>
      </c>
      <c r="H28" s="25">
        <f>VLOOKUP(B28,'[1]Product by Part Number'!$A:$E,5,0)</f>
        <v>3541.75</v>
      </c>
      <c r="I28" s="26">
        <f t="shared" si="0"/>
        <v>3541.75</v>
      </c>
    </row>
    <row r="29" spans="2:9" x14ac:dyDescent="0.25">
      <c r="B29" s="62" t="s">
        <v>250</v>
      </c>
      <c r="C29" s="22" t="str">
        <f>VLOOKUP(B29,'[1]Product by Part Number'!$A:$B,2,0)</f>
        <v xml:space="preserve">CAT 299D (DX2)                                            </v>
      </c>
      <c r="D29" s="22" t="str">
        <f>VLOOKUP(B29,'[1]Product by Part Number'!$A:$C,3,0)</f>
        <v>Turbocharger AS</v>
      </c>
      <c r="E29" s="23">
        <f>VLOOKUP(B29,'[1]Product by Part Number'!$A:$K,11,0)</f>
        <v>1</v>
      </c>
      <c r="F29" s="24">
        <f>VLOOKUP(B29,'[1]Product by Part Number'!$A:$D,4,0)</f>
        <v>750</v>
      </c>
      <c r="G29" s="24">
        <f t="shared" si="1"/>
        <v>750</v>
      </c>
      <c r="H29" s="25">
        <f>VLOOKUP(B29,'[1]Product by Part Number'!$A:$E,5,0)</f>
        <v>375</v>
      </c>
      <c r="I29" s="26">
        <f t="shared" si="0"/>
        <v>375</v>
      </c>
    </row>
    <row r="30" spans="2:9" x14ac:dyDescent="0.25">
      <c r="B30" s="62" t="s">
        <v>251</v>
      </c>
      <c r="C30" s="22" t="str">
        <f>VLOOKUP(B30,'[1]Product by Part Number'!$A:$B,2,0)</f>
        <v xml:space="preserve">CAT 320 (MYK) CAT 320 (MYK) (2)                                          </v>
      </c>
      <c r="D30" s="22" t="str">
        <f>VLOOKUP(B30,'[1]Product by Part Number'!$A:$C,3,0)</f>
        <v>SECONDARY TURBOCHARGER ASSEMBLY</v>
      </c>
      <c r="E30" s="23">
        <f>VLOOKUP(B30,'[1]Product by Part Number'!$A:$K,11,0)</f>
        <v>2</v>
      </c>
      <c r="F30" s="24">
        <f>VLOOKUP(B30,'[1]Product by Part Number'!$A:$D,4,0)</f>
        <v>3756.87</v>
      </c>
      <c r="G30" s="24">
        <f t="shared" si="1"/>
        <v>7513.74</v>
      </c>
      <c r="H30" s="25">
        <f>VLOOKUP(B30,'[1]Product by Part Number'!$A:$E,5,0)</f>
        <v>1878.44</v>
      </c>
      <c r="I30" s="26">
        <f t="shared" si="0"/>
        <v>3756.88</v>
      </c>
    </row>
    <row r="31" spans="2:9" x14ac:dyDescent="0.25">
      <c r="B31" s="62" t="s">
        <v>252</v>
      </c>
      <c r="C31" s="22" t="str">
        <f>VLOOKUP(B31,'[1]Product by Part Number'!$A:$B,2,0)</f>
        <v xml:space="preserve">CAT D6N LGP (GHS)                                            </v>
      </c>
      <c r="D31" s="22" t="str">
        <f>VLOOKUP(B31,'[1]Product by Part Number'!$A:$C,3,0)</f>
        <v>TURBOCHARGER ASSEMBLY</v>
      </c>
      <c r="E31" s="23">
        <f>VLOOKUP(B31,'[1]Product by Part Number'!$A:$K,11,0)</f>
        <v>1</v>
      </c>
      <c r="F31" s="24">
        <f>VLOOKUP(B31,'[1]Product by Part Number'!$A:$D,4,0)</f>
        <v>6551.41</v>
      </c>
      <c r="G31" s="24">
        <f t="shared" si="1"/>
        <v>6551.41</v>
      </c>
      <c r="H31" s="25">
        <f>VLOOKUP(B31,'[1]Product by Part Number'!$A:$E,5,0)</f>
        <v>3275.71</v>
      </c>
      <c r="I31" s="26">
        <f t="shared" si="0"/>
        <v>3275.71</v>
      </c>
    </row>
    <row r="32" spans="2:9" x14ac:dyDescent="0.25">
      <c r="B32" s="62" t="s">
        <v>253</v>
      </c>
      <c r="C32" s="22" t="str">
        <f>VLOOKUP(B32,'[1]Product by Part Number'!$A:$B,2,0)</f>
        <v xml:space="preserve">CAT D6 (RDC)                                            </v>
      </c>
      <c r="D32" s="22" t="str">
        <f>VLOOKUP(B32,'[1]Product by Part Number'!$A:$C,3,0)</f>
        <v>TURBO KIT</v>
      </c>
      <c r="E32" s="23">
        <f>VLOOKUP(B32,'[1]Product by Part Number'!$A:$K,11,0)</f>
        <v>1</v>
      </c>
      <c r="F32" s="24">
        <f>VLOOKUP(B32,'[1]Product by Part Number'!$A:$D,4,0)</f>
        <v>6921.5</v>
      </c>
      <c r="G32" s="24">
        <f t="shared" si="1"/>
        <v>6921.5</v>
      </c>
      <c r="H32" s="25">
        <f>VLOOKUP(B32,'[1]Product by Part Number'!$A:$E,5,0)</f>
        <v>3460.75</v>
      </c>
      <c r="I32" s="26">
        <f t="shared" si="0"/>
        <v>3460.75</v>
      </c>
    </row>
    <row r="33" spans="2:9" x14ac:dyDescent="0.25">
      <c r="B33" s="62" t="s">
        <v>254</v>
      </c>
      <c r="C33" s="22" t="str">
        <f>VLOOKUP(B33,'[1]Product by Part Number'!$A:$B,2,0)</f>
        <v xml:space="preserve">CAT 320F L (YBM) CAT 320 (HEX)                                          </v>
      </c>
      <c r="D33" s="22" t="str">
        <f>VLOOKUP(B33,'[1]Product by Part Number'!$A:$C,3,0)</f>
        <v>SECONDARY TURBOCHARGER ASSEMBLY</v>
      </c>
      <c r="E33" s="23">
        <f>VLOOKUP(B33,'[1]Product by Part Number'!$A:$K,11,0)</f>
        <v>2</v>
      </c>
      <c r="F33" s="24">
        <f>VLOOKUP(B33,'[1]Product by Part Number'!$A:$D,4,0)</f>
        <v>3188.6</v>
      </c>
      <c r="G33" s="24">
        <f t="shared" si="1"/>
        <v>6377.2</v>
      </c>
      <c r="H33" s="25">
        <f>VLOOKUP(B33,'[1]Product by Part Number'!$A:$E,5,0)</f>
        <v>1594.3</v>
      </c>
      <c r="I33" s="26">
        <f t="shared" si="0"/>
        <v>3188.6</v>
      </c>
    </row>
    <row r="34" spans="2:9" x14ac:dyDescent="0.25">
      <c r="B34" s="62" t="s">
        <v>255</v>
      </c>
      <c r="C34" s="22" t="str">
        <f>VLOOKUP(B34,'[1]Product by Part Number'!$A:$B,2,0)</f>
        <v xml:space="preserve">CAT 320 (MYK) CAT 320 (MYK) (2)                                          </v>
      </c>
      <c r="D34" s="22" t="str">
        <f>VLOOKUP(B34,'[1]Product by Part Number'!$A:$C,3,0)</f>
        <v>PRIMARY TURBOCHARGER ASSEMBLY</v>
      </c>
      <c r="E34" s="23">
        <f>VLOOKUP(B34,'[1]Product by Part Number'!$A:$K,11,0)</f>
        <v>2</v>
      </c>
      <c r="F34" s="24">
        <f>VLOOKUP(B34,'[1]Product by Part Number'!$A:$D,4,0)</f>
        <v>3256.94</v>
      </c>
      <c r="G34" s="24">
        <f t="shared" si="1"/>
        <v>6513.88</v>
      </c>
      <c r="H34" s="25">
        <f>VLOOKUP(B34,'[1]Product by Part Number'!$A:$E,5,0)</f>
        <v>1628.47</v>
      </c>
      <c r="I34" s="26">
        <f t="shared" si="0"/>
        <v>3256.94</v>
      </c>
    </row>
    <row r="35" spans="2:9" x14ac:dyDescent="0.25">
      <c r="B35" s="62" t="s">
        <v>256</v>
      </c>
      <c r="C35" s="22" t="str">
        <f>VLOOKUP(B35,'[1]Product by Part Number'!$A:$B,2,0)</f>
        <v xml:space="preserve">CAT D6N LGP (PBA) CAT D6N LGP (PBA) (2) CAT D6N LGP (SGG) CAT D6N LGP (SGG) (2)                                      </v>
      </c>
      <c r="D35" s="22" t="str">
        <f>VLOOKUP(B35,'[1]Product by Part Number'!$A:$C,3,0)</f>
        <v>TURBOCHARGER ASSEMBLY</v>
      </c>
      <c r="E35" s="23">
        <f>VLOOKUP(B35,'[1]Product by Part Number'!$A:$K,11,0)</f>
        <v>4</v>
      </c>
      <c r="F35" s="24">
        <f>VLOOKUP(B35,'[1]Product by Part Number'!$A:$D,4,0)</f>
        <v>4119.04</v>
      </c>
      <c r="G35" s="24">
        <f t="shared" si="1"/>
        <v>16476.16</v>
      </c>
      <c r="H35" s="25">
        <f>VLOOKUP(B35,'[1]Product by Part Number'!$A:$E,5,0)</f>
        <v>2059.52</v>
      </c>
      <c r="I35" s="26">
        <f t="shared" si="0"/>
        <v>8238.08</v>
      </c>
    </row>
    <row r="36" spans="2:9" x14ac:dyDescent="0.25">
      <c r="B36" s="62" t="s">
        <v>257</v>
      </c>
      <c r="C36" s="22" t="str">
        <f>VLOOKUP(B36,'[1]Product by Part Number'!$A:$B,2,0)</f>
        <v xml:space="preserve">CAT 320E L (WBK) CAT 320E L (WBK) (2)                                          </v>
      </c>
      <c r="D36" s="22" t="str">
        <f>VLOOKUP(B36,'[1]Product by Part Number'!$A:$C,3,0)</f>
        <v>TURBOCHARGER ASSEMBLY</v>
      </c>
      <c r="E36" s="23">
        <f>VLOOKUP(B36,'[1]Product by Part Number'!$A:$K,11,0)</f>
        <v>2</v>
      </c>
      <c r="F36" s="24">
        <f>VLOOKUP(B36,'[1]Product by Part Number'!$A:$D,4,0)</f>
        <v>5964.28</v>
      </c>
      <c r="G36" s="24">
        <f t="shared" si="1"/>
        <v>11928.56</v>
      </c>
      <c r="H36" s="25">
        <f>VLOOKUP(B36,'[1]Product by Part Number'!$A:$E,5,0)</f>
        <v>2982.14</v>
      </c>
      <c r="I36" s="26">
        <f t="shared" si="0"/>
        <v>5964.28</v>
      </c>
    </row>
    <row r="37" spans="2:9" x14ac:dyDescent="0.25">
      <c r="B37" s="62" t="s">
        <v>258</v>
      </c>
      <c r="C37" s="22" t="str">
        <f>VLOOKUP(B37,'[1]Product by Part Number'!$A:$B,2,0)</f>
        <v xml:space="preserve">CAT D7G (92V) CAT D7G (3ZD) CAT D7G (3ZD) (2)                                        </v>
      </c>
      <c r="D37" s="22" t="str">
        <f>VLOOKUP(B37,'[1]Product by Part Number'!$A:$C,3,0)</f>
        <v>TURBOCHARGER</v>
      </c>
      <c r="E37" s="23">
        <f>VLOOKUP(B37,'[1]Product by Part Number'!$A:$K,11,0)</f>
        <v>3</v>
      </c>
      <c r="F37" s="24">
        <f>VLOOKUP(B37,'[1]Product by Part Number'!$A:$D,4,0)</f>
        <v>6518.5</v>
      </c>
      <c r="G37" s="24">
        <f t="shared" si="1"/>
        <v>19555.5</v>
      </c>
      <c r="H37" s="25">
        <f>VLOOKUP(B37,'[1]Product by Part Number'!$A:$E,5,0)</f>
        <v>3259.25</v>
      </c>
      <c r="I37" s="26">
        <f t="shared" si="0"/>
        <v>9777.75</v>
      </c>
    </row>
    <row r="38" spans="2:9" x14ac:dyDescent="0.25">
      <c r="B38" s="62" t="s">
        <v>259</v>
      </c>
      <c r="C38" s="22" t="str">
        <f>VLOOKUP(B38,'[1]Product by Part Number'!$A:$B,2,0)</f>
        <v xml:space="preserve">CAT 561 (85H) CAT 561 (92J) CAT 561 (92J) (2)                                        </v>
      </c>
      <c r="D38" s="22" t="str">
        <f>VLOOKUP(B38,'[1]Product by Part Number'!$A:$C,3,0)</f>
        <v>TURBOCHARGER</v>
      </c>
      <c r="E38" s="23">
        <f>VLOOKUP(B38,'[1]Product by Part Number'!$A:$K,11,0)</f>
        <v>3</v>
      </c>
      <c r="F38" s="24">
        <f>VLOOKUP(B38,'[1]Product by Part Number'!$A:$D,4,0)</f>
        <v>8878.77</v>
      </c>
      <c r="G38" s="24">
        <f t="shared" si="1"/>
        <v>26636.31</v>
      </c>
      <c r="H38" s="25">
        <f>VLOOKUP(B38,'[1]Product by Part Number'!$A:$E,5,0)</f>
        <v>4439.3900000000003</v>
      </c>
      <c r="I38" s="26">
        <f t="shared" si="0"/>
        <v>13318.17</v>
      </c>
    </row>
    <row r="39" spans="2:9" x14ac:dyDescent="0.25">
      <c r="B39" s="54"/>
      <c r="C39" s="22"/>
      <c r="D39" s="22"/>
      <c r="E39" s="23"/>
      <c r="F39" s="24"/>
      <c r="G39" s="24"/>
      <c r="H39" s="25"/>
      <c r="I39" s="26">
        <f t="shared" si="0"/>
        <v>0</v>
      </c>
    </row>
    <row r="40" spans="2:9" x14ac:dyDescent="0.25">
      <c r="B40" s="54"/>
      <c r="C40" s="22"/>
      <c r="D40" s="22"/>
      <c r="E40" s="23"/>
      <c r="F40" s="24"/>
      <c r="G40" s="24"/>
      <c r="H40" s="25"/>
      <c r="I40" s="26">
        <f t="shared" si="0"/>
        <v>0</v>
      </c>
    </row>
    <row r="41" spans="2:9" hidden="1" x14ac:dyDescent="0.25">
      <c r="B41" s="22"/>
      <c r="C41" s="22"/>
      <c r="D41" s="22"/>
      <c r="E41" s="23"/>
      <c r="F41" s="24"/>
      <c r="G41" s="24"/>
      <c r="H41" s="25"/>
      <c r="I41" s="26">
        <f t="shared" si="0"/>
        <v>0</v>
      </c>
    </row>
    <row r="42" spans="2:9" hidden="1" x14ac:dyDescent="0.25">
      <c r="B42" s="22"/>
      <c r="C42" s="22"/>
      <c r="D42" s="22"/>
      <c r="E42" s="23"/>
      <c r="F42" s="24"/>
      <c r="G42" s="24"/>
      <c r="H42" s="25"/>
      <c r="I42" s="26">
        <f t="shared" si="0"/>
        <v>0</v>
      </c>
    </row>
    <row r="43" spans="2:9" hidden="1" x14ac:dyDescent="0.25">
      <c r="B43" s="22"/>
      <c r="C43" s="22"/>
      <c r="D43" s="22"/>
      <c r="E43" s="23"/>
      <c r="F43" s="24"/>
      <c r="G43" s="24"/>
      <c r="H43" s="25"/>
      <c r="I43" s="26">
        <f t="shared" si="0"/>
        <v>0</v>
      </c>
    </row>
    <row r="44" spans="2:9" hidden="1" x14ac:dyDescent="0.25">
      <c r="B44" s="22"/>
      <c r="C44" s="22"/>
      <c r="D44" s="22"/>
      <c r="E44" s="23"/>
      <c r="F44" s="24"/>
      <c r="G44" s="24"/>
      <c r="H44" s="25"/>
      <c r="I44" s="26">
        <f t="shared" si="0"/>
        <v>0</v>
      </c>
    </row>
    <row r="45" spans="2:9" hidden="1" x14ac:dyDescent="0.25">
      <c r="B45" s="22"/>
      <c r="C45" s="22"/>
      <c r="D45" s="22"/>
      <c r="E45" s="23"/>
      <c r="F45" s="24"/>
      <c r="G45" s="24"/>
      <c r="H45" s="25"/>
      <c r="I45" s="26">
        <f t="shared" si="0"/>
        <v>0</v>
      </c>
    </row>
    <row r="46" spans="2:9" hidden="1" x14ac:dyDescent="0.25">
      <c r="B46" s="22"/>
      <c r="C46" s="22"/>
      <c r="D46" s="22"/>
      <c r="E46" s="23"/>
      <c r="F46" s="24"/>
      <c r="G46" s="24"/>
      <c r="H46" s="25"/>
      <c r="I46" s="26">
        <f t="shared" si="0"/>
        <v>0</v>
      </c>
    </row>
    <row r="47" spans="2:9" hidden="1" x14ac:dyDescent="0.25">
      <c r="B47" s="22"/>
      <c r="C47" s="22"/>
      <c r="D47" s="22"/>
      <c r="E47" s="23"/>
      <c r="F47" s="24"/>
      <c r="G47" s="24"/>
      <c r="H47" s="25"/>
      <c r="I47" s="26">
        <f t="shared" si="0"/>
        <v>0</v>
      </c>
    </row>
    <row r="48" spans="2:9" hidden="1" x14ac:dyDescent="0.25">
      <c r="B48" s="22"/>
      <c r="C48" s="22"/>
      <c r="D48" s="22"/>
      <c r="E48" s="23"/>
      <c r="F48" s="24"/>
      <c r="G48" s="24"/>
      <c r="H48" s="25"/>
      <c r="I48" s="26">
        <f t="shared" si="0"/>
        <v>0</v>
      </c>
    </row>
    <row r="49" spans="2:9" hidden="1" x14ac:dyDescent="0.25">
      <c r="B49" s="22"/>
      <c r="C49" s="22"/>
      <c r="D49" s="22"/>
      <c r="E49" s="23"/>
      <c r="F49" s="24"/>
      <c r="G49" s="24"/>
      <c r="H49" s="25"/>
      <c r="I49" s="26">
        <f t="shared" si="0"/>
        <v>0</v>
      </c>
    </row>
    <row r="50" spans="2:9" hidden="1" x14ac:dyDescent="0.25">
      <c r="B50" s="22"/>
      <c r="C50" s="22"/>
      <c r="D50" s="22"/>
      <c r="E50" s="23"/>
      <c r="F50" s="24"/>
      <c r="G50" s="24"/>
      <c r="H50" s="25"/>
      <c r="I50" s="26">
        <f t="shared" si="0"/>
        <v>0</v>
      </c>
    </row>
    <row r="51" spans="2:9" hidden="1" x14ac:dyDescent="0.25">
      <c r="B51" s="22"/>
      <c r="C51" s="22"/>
      <c r="D51" s="22"/>
      <c r="E51" s="23"/>
      <c r="F51" s="24"/>
      <c r="G51" s="24"/>
      <c r="H51" s="25"/>
      <c r="I51" s="26">
        <f t="shared" si="0"/>
        <v>0</v>
      </c>
    </row>
    <row r="52" spans="2:9" hidden="1" x14ac:dyDescent="0.25">
      <c r="B52" s="22"/>
      <c r="C52" s="22"/>
      <c r="D52" s="22"/>
      <c r="E52" s="23"/>
      <c r="F52" s="24"/>
      <c r="G52" s="24"/>
      <c r="H52" s="25"/>
      <c r="I52" s="26">
        <f t="shared" si="0"/>
        <v>0</v>
      </c>
    </row>
    <row r="53" spans="2:9" hidden="1" x14ac:dyDescent="0.25">
      <c r="B53" s="22"/>
      <c r="C53" s="22"/>
      <c r="D53" s="22"/>
      <c r="E53" s="23"/>
      <c r="F53" s="24"/>
      <c r="G53" s="24"/>
      <c r="H53" s="25"/>
      <c r="I53" s="26">
        <f t="shared" si="0"/>
        <v>0</v>
      </c>
    </row>
    <row r="54" spans="2:9" hidden="1" x14ac:dyDescent="0.25">
      <c r="B54" s="22"/>
      <c r="C54" s="22"/>
      <c r="D54" s="22"/>
      <c r="E54" s="23"/>
      <c r="F54" s="24"/>
      <c r="G54" s="24"/>
      <c r="H54" s="25"/>
      <c r="I54" s="26">
        <f t="shared" si="0"/>
        <v>0</v>
      </c>
    </row>
    <row r="55" spans="2:9" hidden="1" x14ac:dyDescent="0.25">
      <c r="B55" s="22"/>
      <c r="C55" s="22"/>
      <c r="D55" s="22"/>
      <c r="E55" s="23"/>
      <c r="F55" s="24"/>
      <c r="G55" s="24"/>
      <c r="H55" s="25"/>
      <c r="I55" s="26">
        <f t="shared" si="0"/>
        <v>0</v>
      </c>
    </row>
    <row r="56" spans="2:9" hidden="1" x14ac:dyDescent="0.25">
      <c r="B56" s="22"/>
      <c r="C56" s="22"/>
      <c r="D56" s="22"/>
      <c r="E56" s="23"/>
      <c r="F56" s="24"/>
      <c r="G56" s="24"/>
      <c r="H56" s="25"/>
      <c r="I56" s="26">
        <f t="shared" si="0"/>
        <v>0</v>
      </c>
    </row>
    <row r="57" spans="2:9" hidden="1" x14ac:dyDescent="0.25">
      <c r="B57" s="22"/>
      <c r="C57" s="22"/>
      <c r="D57" s="22"/>
      <c r="E57" s="23"/>
      <c r="F57" s="24"/>
      <c r="G57" s="24"/>
      <c r="H57" s="25"/>
      <c r="I57" s="26">
        <f t="shared" si="0"/>
        <v>0</v>
      </c>
    </row>
    <row r="58" spans="2:9" hidden="1" x14ac:dyDescent="0.25">
      <c r="B58" s="22"/>
      <c r="C58" s="22"/>
      <c r="D58" s="22"/>
      <c r="E58" s="23"/>
      <c r="F58" s="24"/>
      <c r="G58" s="24"/>
      <c r="H58" s="25"/>
      <c r="I58" s="26">
        <f t="shared" si="0"/>
        <v>0</v>
      </c>
    </row>
    <row r="59" spans="2:9" hidden="1" x14ac:dyDescent="0.25">
      <c r="B59" s="22"/>
      <c r="C59" s="22"/>
      <c r="D59" s="22"/>
      <c r="E59" s="23"/>
      <c r="F59" s="24"/>
      <c r="G59" s="24"/>
      <c r="H59" s="25"/>
      <c r="I59" s="26">
        <f t="shared" si="0"/>
        <v>0</v>
      </c>
    </row>
    <row r="60" spans="2:9" hidden="1" x14ac:dyDescent="0.25">
      <c r="B60" s="22"/>
      <c r="C60" s="22"/>
      <c r="D60" s="22"/>
      <c r="E60" s="23"/>
      <c r="F60" s="24"/>
      <c r="G60" s="24"/>
      <c r="H60" s="25"/>
      <c r="I60" s="26">
        <f t="shared" si="0"/>
        <v>0</v>
      </c>
    </row>
    <row r="61" spans="2:9" hidden="1" x14ac:dyDescent="0.25">
      <c r="B61" s="22"/>
      <c r="C61" s="22"/>
      <c r="D61" s="22"/>
      <c r="E61" s="23"/>
      <c r="F61" s="24"/>
      <c r="G61" s="24"/>
      <c r="H61" s="25"/>
      <c r="I61" s="26">
        <f t="shared" si="0"/>
        <v>0</v>
      </c>
    </row>
    <row r="62" spans="2:9" hidden="1" x14ac:dyDescent="0.25">
      <c r="B62" s="22"/>
      <c r="C62" s="22"/>
      <c r="D62" s="22"/>
      <c r="E62" s="23"/>
      <c r="F62" s="24"/>
      <c r="G62" s="24"/>
      <c r="H62" s="25"/>
      <c r="I62" s="26">
        <f t="shared" si="0"/>
        <v>0</v>
      </c>
    </row>
    <row r="63" spans="2:9" hidden="1" x14ac:dyDescent="0.25">
      <c r="B63" s="22"/>
      <c r="C63" s="22"/>
      <c r="D63" s="22"/>
      <c r="E63" s="23"/>
      <c r="F63" s="24"/>
      <c r="G63" s="24"/>
      <c r="H63" s="25"/>
      <c r="I63" s="26">
        <f t="shared" si="0"/>
        <v>0</v>
      </c>
    </row>
    <row r="64" spans="2:9" hidden="1" x14ac:dyDescent="0.25">
      <c r="B64" s="22"/>
      <c r="C64" s="22"/>
      <c r="D64" s="22"/>
      <c r="E64" s="23"/>
      <c r="F64" s="24"/>
      <c r="G64" s="24"/>
      <c r="H64" s="25"/>
      <c r="I64" s="26">
        <f t="shared" si="0"/>
        <v>0</v>
      </c>
    </row>
    <row r="65" spans="2:9" hidden="1" x14ac:dyDescent="0.25">
      <c r="B65" s="22"/>
      <c r="C65" s="22"/>
      <c r="D65" s="22"/>
      <c r="E65" s="23"/>
      <c r="F65" s="24"/>
      <c r="G65" s="24"/>
      <c r="H65" s="25"/>
      <c r="I65" s="26">
        <f t="shared" si="0"/>
        <v>0</v>
      </c>
    </row>
    <row r="66" spans="2:9" hidden="1" x14ac:dyDescent="0.25">
      <c r="B66" s="22"/>
      <c r="C66" s="22"/>
      <c r="D66" s="22"/>
      <c r="E66" s="23"/>
      <c r="F66" s="24"/>
      <c r="G66" s="24"/>
      <c r="H66" s="25"/>
      <c r="I66" s="26">
        <f t="shared" si="0"/>
        <v>0</v>
      </c>
    </row>
    <row r="67" spans="2:9" hidden="1" x14ac:dyDescent="0.25">
      <c r="B67" s="22"/>
      <c r="C67" s="22"/>
      <c r="D67" s="22"/>
      <c r="E67" s="23"/>
      <c r="F67" s="24"/>
      <c r="G67" s="24"/>
      <c r="H67" s="25"/>
      <c r="I67" s="26">
        <f t="shared" si="0"/>
        <v>0</v>
      </c>
    </row>
    <row r="68" spans="2:9" hidden="1" x14ac:dyDescent="0.25">
      <c r="B68" s="22"/>
      <c r="C68" s="22"/>
      <c r="D68" s="22"/>
      <c r="E68" s="23"/>
      <c r="F68" s="24"/>
      <c r="G68" s="24"/>
      <c r="H68" s="25"/>
      <c r="I68" s="26">
        <f t="shared" si="0"/>
        <v>0</v>
      </c>
    </row>
    <row r="69" spans="2:9" hidden="1" x14ac:dyDescent="0.25">
      <c r="B69" s="22"/>
      <c r="C69" s="22"/>
      <c r="D69" s="22"/>
      <c r="E69" s="23"/>
      <c r="F69" s="24"/>
      <c r="G69" s="24"/>
      <c r="H69" s="25"/>
      <c r="I69" s="26">
        <f t="shared" si="0"/>
        <v>0</v>
      </c>
    </row>
    <row r="70" spans="2:9" hidden="1" x14ac:dyDescent="0.25">
      <c r="B70" s="22"/>
      <c r="C70" s="22"/>
      <c r="D70" s="22"/>
      <c r="E70" s="23"/>
      <c r="F70" s="24"/>
      <c r="G70" s="24"/>
      <c r="H70" s="25"/>
      <c r="I70" s="26">
        <f t="shared" si="0"/>
        <v>0</v>
      </c>
    </row>
    <row r="71" spans="2:9" hidden="1" x14ac:dyDescent="0.25">
      <c r="B71" s="22"/>
      <c r="C71" s="22"/>
      <c r="D71" s="22"/>
      <c r="E71" s="23"/>
      <c r="F71" s="24"/>
      <c r="G71" s="24"/>
      <c r="H71" s="25"/>
      <c r="I71" s="26">
        <f t="shared" si="0"/>
        <v>0</v>
      </c>
    </row>
    <row r="72" spans="2:9" hidden="1" x14ac:dyDescent="0.25">
      <c r="B72" s="22"/>
      <c r="C72" s="22"/>
      <c r="D72" s="22"/>
      <c r="E72" s="23"/>
      <c r="F72" s="24"/>
      <c r="G72" s="24"/>
      <c r="H72" s="25"/>
      <c r="I72" s="26">
        <f t="shared" si="0"/>
        <v>0</v>
      </c>
    </row>
    <row r="73" spans="2:9" hidden="1" x14ac:dyDescent="0.25">
      <c r="B73" s="22"/>
      <c r="C73" s="22"/>
      <c r="D73" s="22"/>
      <c r="E73" s="23"/>
      <c r="F73" s="24"/>
      <c r="G73" s="24"/>
      <c r="H73" s="25"/>
      <c r="I73" s="26">
        <f t="shared" si="0"/>
        <v>0</v>
      </c>
    </row>
    <row r="74" spans="2:9" hidden="1" x14ac:dyDescent="0.25">
      <c r="B74" s="22"/>
      <c r="C74" s="22"/>
      <c r="D74" s="22"/>
      <c r="E74" s="23"/>
      <c r="F74" s="24"/>
      <c r="G74" s="24"/>
      <c r="H74" s="25"/>
      <c r="I74" s="26">
        <f t="shared" si="0"/>
        <v>0</v>
      </c>
    </row>
    <row r="75" spans="2:9" hidden="1" x14ac:dyDescent="0.25">
      <c r="B75" s="22"/>
      <c r="C75" s="22"/>
      <c r="D75" s="22"/>
      <c r="E75" s="23"/>
      <c r="F75" s="24"/>
      <c r="G75" s="24"/>
      <c r="H75" s="25"/>
      <c r="I75" s="26">
        <f t="shared" si="0"/>
        <v>0</v>
      </c>
    </row>
    <row r="76" spans="2:9" hidden="1" x14ac:dyDescent="0.25">
      <c r="B76" s="22"/>
      <c r="C76" s="22"/>
      <c r="D76" s="22"/>
      <c r="E76" s="23"/>
      <c r="F76" s="24"/>
      <c r="G76" s="24"/>
      <c r="H76" s="25"/>
      <c r="I76" s="26">
        <f t="shared" si="0"/>
        <v>0</v>
      </c>
    </row>
    <row r="77" spans="2:9" x14ac:dyDescent="0.25">
      <c r="B77" s="84"/>
      <c r="C77" s="85"/>
      <c r="D77" s="85"/>
      <c r="E77" s="85"/>
      <c r="F77" s="86"/>
      <c r="G77" s="27"/>
      <c r="H77" s="28" t="s">
        <v>17</v>
      </c>
      <c r="I77" s="29">
        <f>SUM(I15:I76)</f>
        <v>139870.27000000005</v>
      </c>
    </row>
    <row r="78" spans="2:9" x14ac:dyDescent="0.25">
      <c r="B78" s="30"/>
      <c r="C78" s="31"/>
      <c r="D78" s="32" t="s">
        <v>18</v>
      </c>
      <c r="E78" s="87">
        <f>SUM(G15:G76)</f>
        <v>279740.13</v>
      </c>
      <c r="F78" s="88"/>
      <c r="G78" s="33"/>
      <c r="H78" s="28" t="s">
        <v>19</v>
      </c>
      <c r="I78" s="34">
        <v>0</v>
      </c>
    </row>
    <row r="79" spans="2:9" x14ac:dyDescent="0.25">
      <c r="B79" s="30"/>
      <c r="C79" s="31"/>
      <c r="D79" s="32" t="s">
        <v>20</v>
      </c>
      <c r="E79" s="87">
        <f>SUM(I15:I76)</f>
        <v>139870.27000000005</v>
      </c>
      <c r="F79" s="88"/>
      <c r="G79" s="33"/>
      <c r="H79" s="35" t="s">
        <v>21</v>
      </c>
      <c r="I79" s="34">
        <v>0</v>
      </c>
    </row>
    <row r="80" spans="2:9" x14ac:dyDescent="0.25">
      <c r="B80" s="30"/>
      <c r="C80" s="31"/>
      <c r="D80" s="32" t="s">
        <v>22</v>
      </c>
      <c r="E80" s="97">
        <f>E78-E79</f>
        <v>139869.85999999996</v>
      </c>
      <c r="F80" s="98"/>
      <c r="G80" s="36"/>
      <c r="H80" s="28" t="s">
        <v>23</v>
      </c>
      <c r="I80" s="37">
        <f>SUM(I77:I79)</f>
        <v>139870.27000000005</v>
      </c>
    </row>
    <row r="81" spans="2:9" x14ac:dyDescent="0.25">
      <c r="B81" s="30"/>
      <c r="C81" s="31"/>
      <c r="D81" s="32"/>
      <c r="E81" s="99"/>
      <c r="F81" s="100"/>
      <c r="G81" s="38"/>
      <c r="H81" s="28" t="s">
        <v>24</v>
      </c>
      <c r="I81" s="37">
        <f>I80*0.05</f>
        <v>6993.5135000000028</v>
      </c>
    </row>
    <row r="82" spans="2:9" x14ac:dyDescent="0.25">
      <c r="B82" s="30"/>
      <c r="C82" s="31"/>
      <c r="D82" s="39"/>
      <c r="E82" s="39"/>
      <c r="F82" s="40"/>
      <c r="G82" s="40"/>
      <c r="H82" s="28" t="s">
        <v>25</v>
      </c>
      <c r="I82" s="34"/>
    </row>
    <row r="83" spans="2:9" ht="15.75" x14ac:dyDescent="0.25">
      <c r="B83" s="94" t="s">
        <v>26</v>
      </c>
      <c r="C83" s="95"/>
      <c r="D83" s="95"/>
      <c r="E83" s="95"/>
      <c r="F83" s="96"/>
      <c r="G83" s="41"/>
      <c r="H83" s="42" t="s">
        <v>27</v>
      </c>
      <c r="I83" s="43">
        <f>SUM(I80:I82)</f>
        <v>146863.78350000005</v>
      </c>
    </row>
  </sheetData>
  <autoFilter ref="B14:I83" xr:uid="{B7555399-1473-420D-A9BF-5D9EDEAB72D5}">
    <filterColumn colId="6">
      <customFilters>
        <customFilter operator="notEqual" val=" "/>
      </customFilters>
    </filterColumn>
  </autoFilter>
  <mergeCells count="25">
    <mergeCell ref="B83:F83"/>
    <mergeCell ref="F13:I13"/>
    <mergeCell ref="B77:F77"/>
    <mergeCell ref="E78:F78"/>
    <mergeCell ref="E79:F79"/>
    <mergeCell ref="E80:F80"/>
    <mergeCell ref="E81:F81"/>
    <mergeCell ref="E11:F11"/>
    <mergeCell ref="H11:I11"/>
    <mergeCell ref="E12:F12"/>
    <mergeCell ref="H12:I12"/>
    <mergeCell ref="C11:D11"/>
    <mergeCell ref="C12:D12"/>
    <mergeCell ref="E9:F9"/>
    <mergeCell ref="H9:I9"/>
    <mergeCell ref="E10:F10"/>
    <mergeCell ref="H10:I10"/>
    <mergeCell ref="C9:D9"/>
    <mergeCell ref="C10:D10"/>
    <mergeCell ref="E1:F5"/>
    <mergeCell ref="H1:I5"/>
    <mergeCell ref="E8:F8"/>
    <mergeCell ref="H8:I8"/>
    <mergeCell ref="C7:D7"/>
    <mergeCell ref="C8:D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F4D22-6216-4F87-AA33-383BB0DE50F4}">
  <sheetPr filterMode="1"/>
  <dimension ref="B1:I276"/>
  <sheetViews>
    <sheetView topLeftCell="A224" workbookViewId="0">
      <selection activeCell="C15" sqref="C15:H16"/>
    </sheetView>
  </sheetViews>
  <sheetFormatPr defaultRowHeight="15" x14ac:dyDescent="0.25"/>
  <cols>
    <col min="1" max="1" width="2.7109375" customWidth="1"/>
    <col min="2" max="2" width="15.42578125" customWidth="1"/>
    <col min="3" max="3" width="44.42578125" bestFit="1" customWidth="1"/>
    <col min="4" max="4" width="36" customWidth="1"/>
    <col min="5" max="5" width="7.28515625" customWidth="1"/>
    <col min="6" max="8" width="14.7109375" customWidth="1"/>
    <col min="9" max="9" width="20.42578125" bestFit="1" customWidth="1"/>
  </cols>
  <sheetData>
    <row r="1" spans="2:9" ht="15" customHeight="1" x14ac:dyDescent="0.25">
      <c r="B1" s="2"/>
      <c r="C1" s="3"/>
      <c r="D1" s="3"/>
      <c r="E1" s="77" t="s">
        <v>28</v>
      </c>
      <c r="F1" s="77"/>
      <c r="G1" s="44"/>
      <c r="H1" s="77" t="s">
        <v>32</v>
      </c>
      <c r="I1" s="78"/>
    </row>
    <row r="2" spans="2:9" ht="15" customHeight="1" x14ac:dyDescent="0.25">
      <c r="B2" s="4"/>
      <c r="E2" s="79"/>
      <c r="F2" s="79"/>
      <c r="G2" s="45"/>
      <c r="H2" s="79"/>
      <c r="I2" s="80"/>
    </row>
    <row r="3" spans="2:9" ht="15" customHeight="1" x14ac:dyDescent="0.25">
      <c r="B3" s="4"/>
      <c r="E3" s="79"/>
      <c r="F3" s="79"/>
      <c r="G3" s="45"/>
      <c r="H3" s="79"/>
      <c r="I3" s="80"/>
    </row>
    <row r="4" spans="2:9" ht="15" customHeight="1" x14ac:dyDescent="0.25">
      <c r="B4" s="4"/>
      <c r="E4" s="79"/>
      <c r="F4" s="79"/>
      <c r="G4" s="45"/>
      <c r="H4" s="79"/>
      <c r="I4" s="80"/>
    </row>
    <row r="5" spans="2:9" ht="15" customHeight="1" x14ac:dyDescent="0.25">
      <c r="B5" s="5"/>
      <c r="C5" s="1"/>
      <c r="D5" s="1"/>
      <c r="E5" s="81"/>
      <c r="F5" s="81"/>
      <c r="G5" s="46"/>
      <c r="H5" s="81"/>
      <c r="I5" s="82"/>
    </row>
    <row r="6" spans="2:9" ht="36" x14ac:dyDescent="0.55000000000000004">
      <c r="B6" s="6"/>
      <c r="C6" s="7"/>
      <c r="D6" s="7"/>
      <c r="E6" s="8"/>
      <c r="F6" s="8"/>
      <c r="G6" s="8"/>
      <c r="H6" s="8"/>
      <c r="I6" s="8"/>
    </row>
    <row r="7" spans="2:9" x14ac:dyDescent="0.25">
      <c r="B7" s="49" t="s">
        <v>7</v>
      </c>
      <c r="C7" s="103" t="s">
        <v>70</v>
      </c>
      <c r="D7" s="104"/>
      <c r="E7" s="9" t="s">
        <v>8</v>
      </c>
      <c r="F7" s="10">
        <f>'MOQ Grand Total'!F7</f>
        <v>45870</v>
      </c>
      <c r="G7" s="10"/>
      <c r="H7" s="11" t="s">
        <v>9</v>
      </c>
      <c r="I7" s="12" t="str">
        <f>'MOQ Grand Total'!I7</f>
        <v xml:space="preserve"> </v>
      </c>
    </row>
    <row r="8" spans="2:9" x14ac:dyDescent="0.25">
      <c r="B8" s="50" t="s">
        <v>10</v>
      </c>
      <c r="C8" s="103">
        <f>'MOQ Grand Total'!C8</f>
        <v>0</v>
      </c>
      <c r="D8" s="104"/>
      <c r="E8" s="89" t="s">
        <v>11</v>
      </c>
      <c r="F8" s="89"/>
      <c r="G8" s="13"/>
      <c r="H8" s="93" t="str">
        <f>'MOQ Grand Total'!H8</f>
        <v xml:space="preserve"> </v>
      </c>
      <c r="I8" s="93"/>
    </row>
    <row r="9" spans="2:9" x14ac:dyDescent="0.25">
      <c r="B9" s="50" t="s">
        <v>12</v>
      </c>
      <c r="C9" s="103">
        <f>'MOQ Grand Total'!C9</f>
        <v>0</v>
      </c>
      <c r="D9" s="104"/>
      <c r="E9" s="89" t="s">
        <v>13</v>
      </c>
      <c r="F9" s="89"/>
      <c r="G9" s="13"/>
      <c r="H9" s="93" t="str">
        <f>'MOQ Grand Total'!H9</f>
        <v xml:space="preserve"> </v>
      </c>
      <c r="I9" s="93"/>
    </row>
    <row r="10" spans="2:9" x14ac:dyDescent="0.25">
      <c r="B10" s="50"/>
      <c r="C10" s="103">
        <f>'MOQ Grand Total'!C10</f>
        <v>0</v>
      </c>
      <c r="D10" s="104"/>
      <c r="E10" s="89" t="s">
        <v>14</v>
      </c>
      <c r="F10" s="89"/>
      <c r="G10" s="13"/>
      <c r="H10" s="93" t="str">
        <f>'MOQ Grand Total'!H10</f>
        <v xml:space="preserve"> </v>
      </c>
      <c r="I10" s="93"/>
    </row>
    <row r="11" spans="2:9" x14ac:dyDescent="0.25">
      <c r="B11" s="50"/>
      <c r="C11" s="103">
        <f>'MOQ Grand Total'!C11</f>
        <v>0</v>
      </c>
      <c r="D11" s="104"/>
      <c r="E11" s="89"/>
      <c r="F11" s="89"/>
      <c r="G11" s="13"/>
      <c r="H11" s="93" t="str">
        <f>'MOQ Grand Total'!H11</f>
        <v xml:space="preserve"> </v>
      </c>
      <c r="I11" s="93"/>
    </row>
    <row r="12" spans="2:9" x14ac:dyDescent="0.25">
      <c r="B12" s="51"/>
      <c r="C12" s="103">
        <f>'MOQ Grand Total'!C12</f>
        <v>0</v>
      </c>
      <c r="D12" s="104"/>
      <c r="E12" s="102"/>
      <c r="F12" s="102"/>
      <c r="G12" s="14"/>
      <c r="H12" s="93" t="str">
        <f>'MOQ Grand Total'!H12</f>
        <v xml:space="preserve"> </v>
      </c>
      <c r="I12" s="93"/>
    </row>
    <row r="13" spans="2:9" ht="15.75" thickBot="1" x14ac:dyDescent="0.3">
      <c r="B13" s="15"/>
      <c r="C13" s="16"/>
      <c r="D13" s="16"/>
      <c r="E13" s="16"/>
      <c r="F13" s="83" t="s">
        <v>3</v>
      </c>
      <c r="G13" s="83"/>
      <c r="H13" s="83"/>
      <c r="I13" s="83"/>
    </row>
    <row r="14" spans="2:9" ht="15.75" thickBot="1" x14ac:dyDescent="0.3">
      <c r="B14" s="61" t="s">
        <v>0</v>
      </c>
      <c r="C14" s="18" t="s">
        <v>15</v>
      </c>
      <c r="D14" s="19" t="s">
        <v>1</v>
      </c>
      <c r="E14" s="20" t="s">
        <v>2</v>
      </c>
      <c r="F14" s="20" t="s">
        <v>4</v>
      </c>
      <c r="G14" s="20"/>
      <c r="H14" s="20" t="s">
        <v>5</v>
      </c>
      <c r="I14" s="21" t="s">
        <v>16</v>
      </c>
    </row>
    <row r="15" spans="2:9" x14ac:dyDescent="0.25">
      <c r="B15" s="62">
        <v>6678748</v>
      </c>
      <c r="C15" s="22" t="str">
        <f>VLOOKUP(B15,[1]!Table3[[Part Number]:[Make and Model]],2,0)</f>
        <v xml:space="preserve">BOBCAT T750 (ANK) BOBCAT T750 (ATF) BOBCAT T770 (AT6) BOBCAT T770 (AT6) (2)                                      </v>
      </c>
      <c r="D15" s="22" t="str">
        <f>VLOOKUP(B15,[1]!Table3[[Part Number]:[Part Description]],3,0)</f>
        <v>Rubber Track - 320x86x55</v>
      </c>
      <c r="E15" s="23">
        <f>VLOOKUP(B15,[1]!Table3[[Part Number]:[Annual]],11,0)</f>
        <v>8</v>
      </c>
      <c r="F15" s="24">
        <f>VLOOKUP(B15,[1]!Table3[[Part Number]:[OEM CAD $]],4,0)</f>
        <v>2953.99</v>
      </c>
      <c r="G15" s="24">
        <f>E15*F15</f>
        <v>23631.919999999998</v>
      </c>
      <c r="H15" s="25">
        <f>VLOOKUP(B15,[1]!Table3[[Part Number]:[GQP CAD $]],5,0)</f>
        <v>1477</v>
      </c>
      <c r="I15" s="26">
        <f t="shared" ref="I15:I269" si="0">ROUND(E15*H15,2)</f>
        <v>11816</v>
      </c>
    </row>
    <row r="16" spans="2:9" x14ac:dyDescent="0.25">
      <c r="B16" s="62">
        <v>6689371</v>
      </c>
      <c r="C16" s="22" t="str">
        <f>VLOOKUP(B16,[1]!Table3[[Part Number]:[Make and Model]],2,0)</f>
        <v xml:space="preserve">BOBCAT T750 (ANK) BOBCAT T750 (ATF)                                          </v>
      </c>
      <c r="D16" s="22" t="str">
        <f>VLOOKUP(B16,[1]!Table3[[Part Number]:[Part Description]],3,0)</f>
        <v>Roller Assembly</v>
      </c>
      <c r="E16" s="23">
        <f>VLOOKUP(B16,[1]!Table3[[Part Number]:[Annual]],11,0)</f>
        <v>20</v>
      </c>
      <c r="F16" s="24">
        <f>VLOOKUP(B16,[1]!Table3[[Part Number]:[OEM CAD $]],4,0)</f>
        <v>554.99</v>
      </c>
      <c r="G16" s="24">
        <f t="shared" ref="G16:G79" si="1">E16*F16</f>
        <v>11099.8</v>
      </c>
      <c r="H16" s="25">
        <f>VLOOKUP(B16,[1]!Table3[[Part Number]:[GQP CAD $]],5,0)</f>
        <v>277.5</v>
      </c>
      <c r="I16" s="26">
        <f t="shared" si="0"/>
        <v>5550</v>
      </c>
    </row>
    <row r="17" spans="2:9" x14ac:dyDescent="0.25">
      <c r="B17" s="62">
        <v>6693237</v>
      </c>
      <c r="C17" s="22" t="str">
        <f>VLOOKUP(B17,[1]!Table3[[Part Number]:[Make and Model]],2,0)</f>
        <v xml:space="preserve">BOBCAT T750 (ANK) BOBCAT T750 (ATF)                                          </v>
      </c>
      <c r="D17" s="22" t="str">
        <f>VLOOKUP(B17,[1]!Table3[[Part Number]:[Part Description]],3,0)</f>
        <v>TRACK IDLER -Front</v>
      </c>
      <c r="E17" s="23">
        <f>VLOOKUP(B17,[1]!Table3[[Part Number]:[Annual]],11,0)</f>
        <v>4</v>
      </c>
      <c r="F17" s="24">
        <f>VLOOKUP(B17,[1]!Table3[[Part Number]:[OEM CAD $]],4,0)</f>
        <v>807.49</v>
      </c>
      <c r="G17" s="24">
        <f t="shared" si="1"/>
        <v>3229.96</v>
      </c>
      <c r="H17" s="25">
        <f>VLOOKUP(B17,[1]!Table3[[Part Number]:[GQP CAD $]],5,0)</f>
        <v>403.75</v>
      </c>
      <c r="I17" s="26">
        <f t="shared" si="0"/>
        <v>1615</v>
      </c>
    </row>
    <row r="18" spans="2:9" x14ac:dyDescent="0.25">
      <c r="B18" s="62">
        <v>6693238</v>
      </c>
      <c r="C18" s="22" t="str">
        <f>VLOOKUP(B18,[1]!Table3[[Part Number]:[Make and Model]],2,0)</f>
        <v xml:space="preserve">BOBCAT T750 (ANK) BOBCAT T750 (ATF)                                          </v>
      </c>
      <c r="D18" s="22" t="str">
        <f>VLOOKUP(B18,[1]!Table3[[Part Number]:[Part Description]],3,0)</f>
        <v>Track Idler - Rear</v>
      </c>
      <c r="E18" s="23">
        <f>VLOOKUP(B18,[1]!Table3[[Part Number]:[Annual]],11,0)</f>
        <v>4</v>
      </c>
      <c r="F18" s="24">
        <f>VLOOKUP(B18,[1]!Table3[[Part Number]:[OEM CAD $]],4,0)</f>
        <v>610.99</v>
      </c>
      <c r="G18" s="24">
        <f t="shared" si="1"/>
        <v>2443.96</v>
      </c>
      <c r="H18" s="25">
        <f>VLOOKUP(B18,[1]!Table3[[Part Number]:[GQP CAD $]],5,0)</f>
        <v>305.5</v>
      </c>
      <c r="I18" s="26">
        <f t="shared" si="0"/>
        <v>1222</v>
      </c>
    </row>
    <row r="19" spans="2:9" x14ac:dyDescent="0.25">
      <c r="B19" s="62">
        <v>7233630</v>
      </c>
      <c r="C19" s="22" t="str">
        <f>VLOOKUP(B19,[1]!Table3[[Part Number]:[Make and Model]],2,0)</f>
        <v xml:space="preserve">BOBCAT T770 (AT6) BOBCAT T770 (AT6) (2)                                          </v>
      </c>
      <c r="D19" s="22" t="str">
        <f>VLOOKUP(B19,[1]!Table3[[Part Number]:[Part Description]],3,0)</f>
        <v>Track Idler - Rear</v>
      </c>
      <c r="E19" s="23">
        <f>VLOOKUP(B19,[1]!Table3[[Part Number]:[Annual]],11,0)</f>
        <v>4</v>
      </c>
      <c r="F19" s="24">
        <f>VLOOKUP(B19,[1]!Table3[[Part Number]:[OEM CAD $]],4,0)</f>
        <v>620.99</v>
      </c>
      <c r="G19" s="24">
        <f t="shared" si="1"/>
        <v>2483.96</v>
      </c>
      <c r="H19" s="25">
        <f>VLOOKUP(B19,[1]!Table3[[Part Number]:[GQP CAD $]],5,0)</f>
        <v>310.5</v>
      </c>
      <c r="I19" s="26">
        <f t="shared" si="0"/>
        <v>1242</v>
      </c>
    </row>
    <row r="20" spans="2:9" x14ac:dyDescent="0.25">
      <c r="B20" s="62">
        <v>7240006</v>
      </c>
      <c r="C20" s="22" t="str">
        <f>VLOOKUP(B20,[1]!Table3[[Part Number]:[Make and Model]],2,0)</f>
        <v xml:space="preserve">BOBCAT T770 (AT6) BOBCAT T770 (AT6) (2)                                          </v>
      </c>
      <c r="D20" s="22" t="str">
        <f>VLOOKUP(B20,[1]!Table3[[Part Number]:[Part Description]],3,0)</f>
        <v>TRACK IDLER -Front</v>
      </c>
      <c r="E20" s="23">
        <f>VLOOKUP(B20,[1]!Table3[[Part Number]:[Annual]],11,0)</f>
        <v>4</v>
      </c>
      <c r="F20" s="24">
        <f>VLOOKUP(B20,[1]!Table3[[Part Number]:[OEM CAD $]],4,0)</f>
        <v>1001.99</v>
      </c>
      <c r="G20" s="24">
        <f t="shared" si="1"/>
        <v>4007.96</v>
      </c>
      <c r="H20" s="25">
        <f>VLOOKUP(B20,[1]!Table3[[Part Number]:[GQP CAD $]],5,0)</f>
        <v>501</v>
      </c>
      <c r="I20" s="26">
        <f t="shared" si="0"/>
        <v>2004</v>
      </c>
    </row>
    <row r="21" spans="2:9" x14ac:dyDescent="0.25">
      <c r="B21" s="62">
        <v>7352427</v>
      </c>
      <c r="C21" s="22" t="str">
        <f>VLOOKUP(B21,[1]!Table3[[Part Number]:[Make and Model]],2,0)</f>
        <v xml:space="preserve">BOBCAT T770 (AT6) BOBCAT T770 (AT6) (2)                                          </v>
      </c>
      <c r="D21" s="22" t="str">
        <f>VLOOKUP(B21,[1]!Table3[[Part Number]:[Part Description]],3,0)</f>
        <v>Roller Assembly</v>
      </c>
      <c r="E21" s="23">
        <f>VLOOKUP(B21,[1]!Table3[[Part Number]:[Annual]],11,0)</f>
        <v>20</v>
      </c>
      <c r="F21" s="24">
        <f>VLOOKUP(B21,[1]!Table3[[Part Number]:[OEM CAD $]],4,0)</f>
        <v>437.99</v>
      </c>
      <c r="G21" s="24">
        <f t="shared" si="1"/>
        <v>8759.7999999999993</v>
      </c>
      <c r="H21" s="25">
        <f>VLOOKUP(B21,[1]!Table3[[Part Number]:[GQP CAD $]],5,0)</f>
        <v>219</v>
      </c>
      <c r="I21" s="26">
        <f t="shared" si="0"/>
        <v>4380</v>
      </c>
    </row>
    <row r="22" spans="2:9" x14ac:dyDescent="0.25">
      <c r="B22" s="62" t="s">
        <v>260</v>
      </c>
      <c r="C22" s="22" t="str">
        <f>VLOOKUP(B22,[1]!Table3[[Part Number]:[Make and Model]],2,0)</f>
        <v xml:space="preserve">CAT D3 (1PJ)                                            </v>
      </c>
      <c r="D22" s="22" t="str">
        <f>VLOOKUP(B22,[1]!Table3[[Part Number]:[Part Description]],3,0)</f>
        <v xml:space="preserve">HEX HEAD BOLT SF </v>
      </c>
      <c r="E22" s="23">
        <f>VLOOKUP(B22,[1]!Table3[[Part Number]:[Annual]],11,0)</f>
        <v>16</v>
      </c>
      <c r="F22" s="24">
        <f>VLOOKUP(B22,[1]!Table3[[Part Number]:[OEM CAD $]],4,0)</f>
        <v>2.78</v>
      </c>
      <c r="G22" s="24">
        <f t="shared" si="1"/>
        <v>44.48</v>
      </c>
      <c r="H22" s="25">
        <f>VLOOKUP(B22,[1]!Table3[[Part Number]:[GQP CAD $]],5,0)</f>
        <v>1.39</v>
      </c>
      <c r="I22" s="26">
        <f t="shared" si="0"/>
        <v>22.24</v>
      </c>
    </row>
    <row r="23" spans="2:9" x14ac:dyDescent="0.25">
      <c r="B23" s="62" t="s">
        <v>261</v>
      </c>
      <c r="C23" s="22" t="str">
        <f>VLOOKUP(B23,[1]!Table3[[Part Number]:[Make and Model]],2,0)</f>
        <v xml:space="preserve">CAT D7G (92V) CAT D7G (3ZD) CAT D7G (3ZD) (2)                                        </v>
      </c>
      <c r="D23" s="22" t="str">
        <f>VLOOKUP(B23,[1]!Table3[[Part Number]:[Part Description]],3,0)</f>
        <v>CARRIER BOLT</v>
      </c>
      <c r="E23" s="23">
        <f>VLOOKUP(B23,[1]!Table3[[Part Number]:[Annual]],11,0)</f>
        <v>18</v>
      </c>
      <c r="F23" s="24">
        <f>VLOOKUP(B23,[1]!Table3[[Part Number]:[OEM CAD $]],4,0)</f>
        <v>1.1599999999999999</v>
      </c>
      <c r="G23" s="24">
        <f t="shared" si="1"/>
        <v>20.88</v>
      </c>
      <c r="H23" s="25">
        <f>VLOOKUP(B23,[1]!Table3[[Part Number]:[GQP CAD $]],5,0)</f>
        <v>0.57999999999999996</v>
      </c>
      <c r="I23" s="26">
        <f t="shared" si="0"/>
        <v>10.44</v>
      </c>
    </row>
    <row r="24" spans="2:9" x14ac:dyDescent="0.25">
      <c r="B24" s="62" t="s">
        <v>262</v>
      </c>
      <c r="C24" s="22" t="str">
        <f>VLOOKUP(B24,[1]!Table3[[Part Number]:[Make and Model]],2,0)</f>
        <v xml:space="preserve">CAT 561 (85H) CAT 561 (92J) CAT 561 (92J) (2)                                        </v>
      </c>
      <c r="D24" s="22" t="str">
        <f>VLOOKUP(B24,[1]!Table3[[Part Number]:[Part Description]],3,0)</f>
        <v>BOLT ROLLER</v>
      </c>
      <c r="E24" s="23">
        <f>VLOOKUP(B24,[1]!Table3[[Part Number]:[Annual]],11,0)</f>
        <v>144</v>
      </c>
      <c r="F24" s="24">
        <f>VLOOKUP(B24,[1]!Table3[[Part Number]:[OEM CAD $]],4,0)</f>
        <v>8.0500000000000007</v>
      </c>
      <c r="G24" s="24">
        <f t="shared" si="1"/>
        <v>1159.2</v>
      </c>
      <c r="H24" s="25">
        <f>VLOOKUP(B24,[1]!Table3[[Part Number]:[GQP CAD $]],5,0)</f>
        <v>4.03</v>
      </c>
      <c r="I24" s="26">
        <f t="shared" si="0"/>
        <v>580.32000000000005</v>
      </c>
    </row>
    <row r="25" spans="2:9" x14ac:dyDescent="0.25">
      <c r="B25" s="62" t="s">
        <v>48</v>
      </c>
      <c r="C25" s="22" t="str">
        <f>VLOOKUP(B25,[1]!Table3[[Part Number]:[Make and Model]],2,0)</f>
        <v xml:space="preserve">CAT D4 (66J) CAT D6N LGP (GHS) CAT D6N LGP (SGG) CAT D6N LGP (SGG) (2) CAT PL61 (WGS) CAT PL61 (WGS) (2) CAT PL61 (WGS) (3)                                </v>
      </c>
      <c r="D25" s="22" t="str">
        <f>VLOOKUP(B25,[1]!Table3[[Part Number]:[Part Description]],3,0)</f>
        <v>TRACK BOLT MASTER</v>
      </c>
      <c r="E25" s="23">
        <f>VLOOKUP(B25,[1]!Table3[[Part Number]:[Annual]],11,0)</f>
        <v>28</v>
      </c>
      <c r="F25" s="24">
        <f>VLOOKUP(B25,[1]!Table3[[Part Number]:[OEM CAD $]],4,0)</f>
        <v>6.66</v>
      </c>
      <c r="G25" s="24">
        <f t="shared" si="1"/>
        <v>186.48000000000002</v>
      </c>
      <c r="H25" s="25">
        <f>VLOOKUP(B25,[1]!Table3[[Part Number]:[GQP CAD $]],5,0)</f>
        <v>3.33</v>
      </c>
      <c r="I25" s="26">
        <f t="shared" si="0"/>
        <v>93.24</v>
      </c>
    </row>
    <row r="26" spans="2:9" x14ac:dyDescent="0.25">
      <c r="B26" s="62" t="s">
        <v>49</v>
      </c>
      <c r="C26" s="22" t="str">
        <f>VLOOKUP(B26,[1]!Table3[[Part Number]:[Make and Model]],2,0)</f>
        <v xml:space="preserve">CAT D4 (66J) CAT D6N LGP (GHS) CAT D6N LGP (SGG) CAT D6N LGP (SGG) (2) CAT PL61 (WGS) CAT PL61 (WGS) (2) CAT PL61 (WGS) (3)                                </v>
      </c>
      <c r="D26" s="22" t="str">
        <f>VLOOKUP(B26,[1]!Table3[[Part Number]:[Part Description]],3,0)</f>
        <v>TRACK BOLT MASTER</v>
      </c>
      <c r="E26" s="23">
        <f>VLOOKUP(B26,[1]!Table3[[Part Number]:[Annual]],11,0)</f>
        <v>28</v>
      </c>
      <c r="F26" s="24">
        <f>VLOOKUP(B26,[1]!Table3[[Part Number]:[OEM CAD $]],4,0)</f>
        <v>9.23</v>
      </c>
      <c r="G26" s="24">
        <f t="shared" si="1"/>
        <v>258.44</v>
      </c>
      <c r="H26" s="25">
        <f>VLOOKUP(B26,[1]!Table3[[Part Number]:[GQP CAD $]],5,0)</f>
        <v>4.62</v>
      </c>
      <c r="I26" s="26">
        <f t="shared" si="0"/>
        <v>129.36000000000001</v>
      </c>
    </row>
    <row r="27" spans="2:9" x14ac:dyDescent="0.25">
      <c r="B27" s="62" t="s">
        <v>263</v>
      </c>
      <c r="C27" s="22" t="str">
        <f>VLOOKUP(B27,[1]!Table3[[Part Number]:[Make and Model]],2,0)</f>
        <v xml:space="preserve">CAT D5 (3CR) CAT D5 (3CR) (2) CAT 561M (1KW) CAT 561N (CPH) CAT 561N (CPH) (2) CAT 561N (CPH) (3) CAT 561N (CPH) (4) CAT 561N (CPH) (5)                              </v>
      </c>
      <c r="D27" s="22" t="str">
        <f>VLOOKUP(B27,[1]!Table3[[Part Number]:[Part Description]],3,0)</f>
        <v>SPROCKET SEGMENT</v>
      </c>
      <c r="E27" s="23">
        <f>VLOOKUP(B27,[1]!Table3[[Part Number]:[Annual]],11,0)</f>
        <v>80</v>
      </c>
      <c r="F27" s="24">
        <f>VLOOKUP(B27,[1]!Table3[[Part Number]:[OEM CAD $]],4,0)</f>
        <v>177.98</v>
      </c>
      <c r="G27" s="24">
        <f t="shared" si="1"/>
        <v>14238.4</v>
      </c>
      <c r="H27" s="25">
        <f>VLOOKUP(B27,[1]!Table3[[Part Number]:[GQP CAD $]],5,0)</f>
        <v>88.99</v>
      </c>
      <c r="I27" s="26">
        <f t="shared" si="0"/>
        <v>7119.2</v>
      </c>
    </row>
    <row r="28" spans="2:9" x14ac:dyDescent="0.25">
      <c r="B28" s="62" t="s">
        <v>264</v>
      </c>
      <c r="C28" s="22" t="str">
        <f>VLOOKUP(B28,[1]!Table3[[Part Number]:[Make and Model]],2,0)</f>
        <v xml:space="preserve">CAT D5 (3CR) CAT D5 (3CR) (2) CAT 561M (1KW) CAT 561N (CPH) CAT 561N (CPH) (2) CAT 561N (CPH) (3) CAT 561N (CPH) (4) CAT 561N (CPH) (5)                              </v>
      </c>
      <c r="D28" s="22" t="str">
        <f>VLOOKUP(B28,[1]!Table3[[Part Number]:[Part Description]],3,0)</f>
        <v>TRACK LINK ASSEMBLY</v>
      </c>
      <c r="E28" s="23">
        <f>VLOOKUP(B28,[1]!Table3[[Part Number]:[Annual]],11,0)</f>
        <v>16</v>
      </c>
      <c r="F28" s="24">
        <f>VLOOKUP(B28,[1]!Table3[[Part Number]:[OEM CAD $]],4,0)</f>
        <v>11935.92</v>
      </c>
      <c r="G28" s="24">
        <f t="shared" si="1"/>
        <v>190974.72</v>
      </c>
      <c r="H28" s="25">
        <f>VLOOKUP(B28,[1]!Table3[[Part Number]:[GQP CAD $]],5,0)</f>
        <v>5967.96</v>
      </c>
      <c r="I28" s="26">
        <f t="shared" si="0"/>
        <v>95487.360000000001</v>
      </c>
    </row>
    <row r="29" spans="2:9" x14ac:dyDescent="0.25">
      <c r="B29" s="62" t="s">
        <v>265</v>
      </c>
      <c r="C29" s="22" t="str">
        <f>VLOOKUP(B29,[1]!Table3[[Part Number]:[Make and Model]],2,0)</f>
        <v xml:space="preserve">CAT 561M (1KW)                                            </v>
      </c>
      <c r="D29" s="22" t="str">
        <f>VLOOKUP(B29,[1]!Table3[[Part Number]:[Part Description]],3,0)</f>
        <v>BLOCK IDLER</v>
      </c>
      <c r="E29" s="23">
        <f>VLOOKUP(B29,[1]!Table3[[Part Number]:[Annual]],11,0)</f>
        <v>8</v>
      </c>
      <c r="F29" s="24">
        <f>VLOOKUP(B29,[1]!Table3[[Part Number]:[OEM CAD $]],4,0)</f>
        <v>229.89</v>
      </c>
      <c r="G29" s="24">
        <f t="shared" si="1"/>
        <v>1839.12</v>
      </c>
      <c r="H29" s="25">
        <f>VLOOKUP(B29,[1]!Table3[[Part Number]:[GQP CAD $]],5,0)</f>
        <v>114.95</v>
      </c>
      <c r="I29" s="26">
        <f t="shared" si="0"/>
        <v>919.6</v>
      </c>
    </row>
    <row r="30" spans="2:9" x14ac:dyDescent="0.25">
      <c r="B30" s="62" t="s">
        <v>266</v>
      </c>
      <c r="C30" s="22" t="str">
        <f>VLOOKUP(B30,[1]!Table3[[Part Number]:[Make and Model]],2,0)</f>
        <v xml:space="preserve">CAT 561M (1KW)                                            </v>
      </c>
      <c r="D30" s="22" t="str">
        <f>VLOOKUP(B30,[1]!Table3[[Part Number]:[Part Description]],3,0)</f>
        <v>CAP IDLER</v>
      </c>
      <c r="E30" s="23">
        <f>VLOOKUP(B30,[1]!Table3[[Part Number]:[Annual]],11,0)</f>
        <v>8</v>
      </c>
      <c r="F30" s="24">
        <f>VLOOKUP(B30,[1]!Table3[[Part Number]:[OEM CAD $]],4,0)</f>
        <v>166.52</v>
      </c>
      <c r="G30" s="24">
        <f t="shared" si="1"/>
        <v>1332.16</v>
      </c>
      <c r="H30" s="25">
        <f>VLOOKUP(B30,[1]!Table3[[Part Number]:[GQP CAD $]],5,0)</f>
        <v>83.26</v>
      </c>
      <c r="I30" s="26">
        <f t="shared" si="0"/>
        <v>666.08</v>
      </c>
    </row>
    <row r="31" spans="2:9" x14ac:dyDescent="0.25">
      <c r="B31" s="62" t="s">
        <v>50</v>
      </c>
      <c r="C31" s="22" t="str">
        <f>VLOOKUP(B31,[1]!Table3[[Part Number]:[Make and Model]],2,0)</f>
        <v xml:space="preserve">CAT PL61 (WGS) CAT PL61 (WGS) (2) CAT PL61 (WGS) (3)                                        </v>
      </c>
      <c r="D31" s="22" t="str">
        <f>VLOOKUP(B31,[1]!Table3[[Part Number]:[Part Description]],3,0)</f>
        <v>TRACK LINK 39 JOINT</v>
      </c>
      <c r="E31" s="23">
        <f>VLOOKUP(B31,[1]!Table3[[Part Number]:[Annual]],11,0)</f>
        <v>6</v>
      </c>
      <c r="F31" s="24">
        <f>VLOOKUP(B31,[1]!Table3[[Part Number]:[OEM CAD $]],4,0)</f>
        <v>8654.5499999999993</v>
      </c>
      <c r="G31" s="24">
        <f t="shared" si="1"/>
        <v>51927.299999999996</v>
      </c>
      <c r="H31" s="25">
        <f>VLOOKUP(B31,[1]!Table3[[Part Number]:[GQP CAD $]],5,0)</f>
        <v>4327.28</v>
      </c>
      <c r="I31" s="26">
        <f t="shared" si="0"/>
        <v>25963.68</v>
      </c>
    </row>
    <row r="32" spans="2:9" x14ac:dyDescent="0.25">
      <c r="B32" s="62" t="s">
        <v>267</v>
      </c>
      <c r="C32" s="22" t="str">
        <f>VLOOKUP(B32,[1]!Table3[[Part Number]:[Make and Model]],2,0)</f>
        <v xml:space="preserve">CAT 329E L (ZCD)                                            </v>
      </c>
      <c r="D32" s="22" t="str">
        <f>VLOOKUP(B32,[1]!Table3[[Part Number]:[Part Description]],3,0)</f>
        <v>CARRIER BOLT</v>
      </c>
      <c r="E32" s="23">
        <f>VLOOKUP(B32,[1]!Table3[[Part Number]:[Annual]],11,0)</f>
        <v>4</v>
      </c>
      <c r="F32" s="24">
        <f>VLOOKUP(B32,[1]!Table3[[Part Number]:[OEM CAD $]],4,0)</f>
        <v>31.9</v>
      </c>
      <c r="G32" s="24">
        <f t="shared" si="1"/>
        <v>127.6</v>
      </c>
      <c r="H32" s="25">
        <f>VLOOKUP(B32,[1]!Table3[[Part Number]:[GQP CAD $]],5,0)</f>
        <v>15.95</v>
      </c>
      <c r="I32" s="26">
        <f t="shared" si="0"/>
        <v>63.8</v>
      </c>
    </row>
    <row r="33" spans="2:9" x14ac:dyDescent="0.25">
      <c r="B33" s="62" t="s">
        <v>268</v>
      </c>
      <c r="C33" s="22" t="str">
        <f>VLOOKUP(B33,[1]!Table3[[Part Number]:[Make and Model]],2,0)</f>
        <v xml:space="preserve">CAT 329E L (ZCD) CAT 329F L (ERL) CAT 329F L (ERL) (2) CAT 330F L (MBX) CAT 330F L (HCK) CAT 330F L (HCK) (2) CAT 330 (LHW) CAT 330 (LHW) (2) CAT 330 (LHW) (3) CAT 330 (LHW) (4) CAT 330 (WCH) CAT 330 (WCH) (2) CAT 330 (WCH) (3) CAT 330 (WCH) (4) CAT 330 (WCH) (5) CAT 330 (WCH) (6)              </v>
      </c>
      <c r="D33" s="22" t="str">
        <f>VLOOKUP(B33,[1]!Table3[[Part Number]:[Part Description]],3,0)</f>
        <v>FRONT IDLER</v>
      </c>
      <c r="E33" s="23">
        <f>VLOOKUP(B33,[1]!Table3[[Part Number]:[Annual]],11,0)</f>
        <v>32</v>
      </c>
      <c r="F33" s="24">
        <f>VLOOKUP(B33,[1]!Table3[[Part Number]:[OEM CAD $]],4,0)</f>
        <v>3159.07</v>
      </c>
      <c r="G33" s="24">
        <f t="shared" si="1"/>
        <v>101090.24000000001</v>
      </c>
      <c r="H33" s="25">
        <f>VLOOKUP(B33,[1]!Table3[[Part Number]:[GQP CAD $]],5,0)</f>
        <v>1579.54</v>
      </c>
      <c r="I33" s="26">
        <f t="shared" si="0"/>
        <v>50545.279999999999</v>
      </c>
    </row>
    <row r="34" spans="2:9" x14ac:dyDescent="0.25">
      <c r="B34" s="62" t="s">
        <v>269</v>
      </c>
      <c r="C34" s="22" t="str">
        <f>VLOOKUP(B34,[1]!Table3[[Part Number]:[Make and Model]],2,0)</f>
        <v xml:space="preserve">CAT D4 (66J)                                            </v>
      </c>
      <c r="D34" s="22" t="str">
        <f>VLOOKUP(B34,[1]!Table3[[Part Number]:[Part Description]],3,0)</f>
        <v>SINGLE FLANGE TRACK ROLLER</v>
      </c>
      <c r="E34" s="23">
        <f>VLOOKUP(B34,[1]!Table3[[Part Number]:[Annual]],11,0)</f>
        <v>4</v>
      </c>
      <c r="F34" s="24">
        <f>VLOOKUP(B34,[1]!Table3[[Part Number]:[OEM CAD $]],4,0)</f>
        <v>1023.71</v>
      </c>
      <c r="G34" s="24">
        <f t="shared" si="1"/>
        <v>4094.84</v>
      </c>
      <c r="H34" s="25">
        <f>VLOOKUP(B34,[1]!Table3[[Part Number]:[GQP CAD $]],5,0)</f>
        <v>511.86</v>
      </c>
      <c r="I34" s="26">
        <f t="shared" si="0"/>
        <v>2047.44</v>
      </c>
    </row>
    <row r="35" spans="2:9" x14ac:dyDescent="0.25">
      <c r="B35" s="62" t="s">
        <v>270</v>
      </c>
      <c r="C35" s="22" t="str">
        <f>VLOOKUP(B35,[1]!Table3[[Part Number]:[Make and Model]],2,0)</f>
        <v xml:space="preserve">CAT D4 (66J)                                            </v>
      </c>
      <c r="D35" s="22" t="str">
        <f>VLOOKUP(B35,[1]!Table3[[Part Number]:[Part Description]],3,0)</f>
        <v>DOUBLE FLANGE TRACK ROLLER (GUIDE AR)*</v>
      </c>
      <c r="E35" s="23">
        <f>VLOOKUP(B35,[1]!Table3[[Part Number]:[Annual]],11,0)</f>
        <v>6</v>
      </c>
      <c r="F35" s="24">
        <f>VLOOKUP(B35,[1]!Table3[[Part Number]:[OEM CAD $]],4,0)</f>
        <v>1246.45</v>
      </c>
      <c r="G35" s="24">
        <f t="shared" si="1"/>
        <v>7478.7000000000007</v>
      </c>
      <c r="H35" s="25">
        <f>VLOOKUP(B35,[1]!Table3[[Part Number]:[GQP CAD $]],5,0)</f>
        <v>623.23</v>
      </c>
      <c r="I35" s="26">
        <f t="shared" si="0"/>
        <v>3739.38</v>
      </c>
    </row>
    <row r="36" spans="2:9" x14ac:dyDescent="0.25">
      <c r="B36" s="62" t="s">
        <v>271</v>
      </c>
      <c r="C36" s="22" t="str">
        <f>VLOOKUP(B36,[1]!Table3[[Part Number]:[Make and Model]],2,0)</f>
        <v xml:space="preserve">CAT 561 (85H) CAT 561 (92J) CAT 561 (92J) (2)                                        </v>
      </c>
      <c r="D36" s="22" t="str">
        <f>VLOOKUP(B36,[1]!Table3[[Part Number]:[Part Description]],3,0)</f>
        <v>ROLLER SINGLE FLANGE</v>
      </c>
      <c r="E36" s="23">
        <f>VLOOKUP(B36,[1]!Table3[[Part Number]:[Annual]],11,0)</f>
        <v>18</v>
      </c>
      <c r="F36" s="24">
        <f>VLOOKUP(B36,[1]!Table3[[Part Number]:[OEM CAD $]],4,0)</f>
        <v>545.21</v>
      </c>
      <c r="G36" s="24">
        <f t="shared" si="1"/>
        <v>9813.7800000000007</v>
      </c>
      <c r="H36" s="25">
        <f>VLOOKUP(B36,[1]!Table3[[Part Number]:[GQP CAD $]],5,0)</f>
        <v>272.61</v>
      </c>
      <c r="I36" s="26">
        <f t="shared" si="0"/>
        <v>4906.9799999999996</v>
      </c>
    </row>
    <row r="37" spans="2:9" x14ac:dyDescent="0.25">
      <c r="B37" s="62" t="s">
        <v>272</v>
      </c>
      <c r="C37" s="22" t="str">
        <f>VLOOKUP(B37,[1]!Table3[[Part Number]:[Make and Model]],2,0)</f>
        <v xml:space="preserve">CAT 561 (85H) CAT 561 (92J) CAT 561 (92J) (2)                                        </v>
      </c>
      <c r="D37" s="22" t="str">
        <f>VLOOKUP(B37,[1]!Table3[[Part Number]:[Part Description]],3,0)</f>
        <v>ROLLER DOUBLE FLANGE</v>
      </c>
      <c r="E37" s="23">
        <f>VLOOKUP(B37,[1]!Table3[[Part Number]:[Annual]],11,0)</f>
        <v>18</v>
      </c>
      <c r="F37" s="24">
        <f>VLOOKUP(B37,[1]!Table3[[Part Number]:[OEM CAD $]],4,0)</f>
        <v>561.72</v>
      </c>
      <c r="G37" s="24">
        <f t="shared" si="1"/>
        <v>10110.960000000001</v>
      </c>
      <c r="H37" s="25">
        <f>VLOOKUP(B37,[1]!Table3[[Part Number]:[GQP CAD $]],5,0)</f>
        <v>280.86</v>
      </c>
      <c r="I37" s="26">
        <f t="shared" si="0"/>
        <v>5055.4799999999996</v>
      </c>
    </row>
    <row r="38" spans="2:9" x14ac:dyDescent="0.25">
      <c r="B38" s="62" t="s">
        <v>273</v>
      </c>
      <c r="C38" s="22" t="str">
        <f>VLOOKUP(B38,[1]!Table3[[Part Number]:[Make and Model]],2,0)</f>
        <v xml:space="preserve">CAT D5 (3CR) CAT D5 (3CR) (2) CAT 561N (CPH) CAT 561N (CPH) (2) CAT 561N (CPH) (3) CAT 561N (CPH) (4) CAT 561N (CPH) (5)                                </v>
      </c>
      <c r="D38" s="22" t="str">
        <f>VLOOKUP(B38,[1]!Table3[[Part Number]:[Part Description]],3,0)</f>
        <v>SINGLE FLANGE TRACK ROLLER</v>
      </c>
      <c r="E38" s="23">
        <f>VLOOKUP(B38,[1]!Table3[[Part Number]:[Annual]],11,0)</f>
        <v>102</v>
      </c>
      <c r="F38" s="24">
        <f>VLOOKUP(B38,[1]!Table3[[Part Number]:[OEM CAD $]],4,0)</f>
        <v>785.53</v>
      </c>
      <c r="G38" s="24">
        <f t="shared" si="1"/>
        <v>80124.06</v>
      </c>
      <c r="H38" s="25">
        <f>VLOOKUP(B38,[1]!Table3[[Part Number]:[GQP CAD $]],5,0)</f>
        <v>392.77</v>
      </c>
      <c r="I38" s="26">
        <f t="shared" si="0"/>
        <v>40062.54</v>
      </c>
    </row>
    <row r="39" spans="2:9" x14ac:dyDescent="0.25">
      <c r="B39" s="62" t="s">
        <v>274</v>
      </c>
      <c r="C39" s="22" t="str">
        <f>VLOOKUP(B39,[1]!Table3[[Part Number]:[Make and Model]],2,0)</f>
        <v xml:space="preserve">CAT D5 (3CR) CAT D5 (3CR) (2) CAT 561N (CPH) CAT 561N (CPH) (2) CAT 561N (CPH) (3) CAT 561N (CPH) (4) CAT 561N (CPH) (5)                                </v>
      </c>
      <c r="D39" s="22" t="str">
        <f>VLOOKUP(B39,[1]!Table3[[Part Number]:[Part Description]],3,0)</f>
        <v>DOUBLE FLANGE TRACK ROLLER</v>
      </c>
      <c r="E39" s="23">
        <f>VLOOKUP(B39,[1]!Table3[[Part Number]:[Annual]],11,0)</f>
        <v>42</v>
      </c>
      <c r="F39" s="24">
        <f>VLOOKUP(B39,[1]!Table3[[Part Number]:[OEM CAD $]],4,0)</f>
        <v>651.61</v>
      </c>
      <c r="G39" s="24">
        <f t="shared" si="1"/>
        <v>27367.62</v>
      </c>
      <c r="H39" s="25">
        <f>VLOOKUP(B39,[1]!Table3[[Part Number]:[GQP CAD $]],5,0)</f>
        <v>325.81</v>
      </c>
      <c r="I39" s="26">
        <f t="shared" si="0"/>
        <v>13684.02</v>
      </c>
    </row>
    <row r="40" spans="2:9" x14ac:dyDescent="0.25">
      <c r="B40" s="62" t="s">
        <v>275</v>
      </c>
      <c r="C40" s="22" t="str">
        <f>VLOOKUP(B40,[1]!Table3[[Part Number]:[Make and Model]],2,0)</f>
        <v xml:space="preserve">CAT 561M (1KW)                                            </v>
      </c>
      <c r="D40" s="22" t="str">
        <f>VLOOKUP(B40,[1]!Table3[[Part Number]:[Part Description]],3,0)</f>
        <v>SINGLE FL ROLLER</v>
      </c>
      <c r="E40" s="23">
        <f>VLOOKUP(B40,[1]!Table3[[Part Number]:[Annual]],11,0)</f>
        <v>8</v>
      </c>
      <c r="F40" s="24">
        <f>VLOOKUP(B40,[1]!Table3[[Part Number]:[OEM CAD $]],4,0)</f>
        <v>868.38</v>
      </c>
      <c r="G40" s="24">
        <f t="shared" si="1"/>
        <v>6947.04</v>
      </c>
      <c r="H40" s="25">
        <f>VLOOKUP(B40,[1]!Table3[[Part Number]:[GQP CAD $]],5,0)</f>
        <v>434.19</v>
      </c>
      <c r="I40" s="26">
        <f t="shared" si="0"/>
        <v>3473.52</v>
      </c>
    </row>
    <row r="41" spans="2:9" x14ac:dyDescent="0.25">
      <c r="B41" s="62" t="s">
        <v>276</v>
      </c>
      <c r="C41" s="22" t="str">
        <f>VLOOKUP(B41,[1]!Table3[[Part Number]:[Make and Model]],2,0)</f>
        <v xml:space="preserve">CAT 561M (1KW)                                            </v>
      </c>
      <c r="D41" s="22" t="str">
        <f>VLOOKUP(B41,[1]!Table3[[Part Number]:[Part Description]],3,0)</f>
        <v xml:space="preserve">DOUBLE FL ROLLER </v>
      </c>
      <c r="E41" s="23">
        <f>VLOOKUP(B41,[1]!Table3[[Part Number]:[Annual]],11,0)</f>
        <v>6</v>
      </c>
      <c r="F41" s="24">
        <f>VLOOKUP(B41,[1]!Table3[[Part Number]:[OEM CAD $]],4,0)</f>
        <v>629.14</v>
      </c>
      <c r="G41" s="24">
        <f t="shared" si="1"/>
        <v>3774.84</v>
      </c>
      <c r="H41" s="25">
        <f>VLOOKUP(B41,[1]!Table3[[Part Number]:[GQP CAD $]],5,0)</f>
        <v>314.57</v>
      </c>
      <c r="I41" s="26">
        <f t="shared" si="0"/>
        <v>1887.42</v>
      </c>
    </row>
    <row r="42" spans="2:9" x14ac:dyDescent="0.25">
      <c r="B42" s="62" t="s">
        <v>277</v>
      </c>
      <c r="C42" s="22" t="str">
        <f>VLOOKUP(B42,[1]!Table3[[Part Number]:[Make and Model]],2,0)</f>
        <v xml:space="preserve">CAT 336F L (RKB)                                            </v>
      </c>
      <c r="D42" s="22" t="str">
        <f>VLOOKUP(B42,[1]!Table3[[Part Number]:[Part Description]],3,0)</f>
        <v>FRONT IDLER</v>
      </c>
      <c r="E42" s="23">
        <f>VLOOKUP(B42,[1]!Table3[[Part Number]:[Annual]],11,0)</f>
        <v>2</v>
      </c>
      <c r="F42" s="24">
        <f>VLOOKUP(B42,[1]!Table3[[Part Number]:[OEM CAD $]],4,0)</f>
        <v>4335.3599999999997</v>
      </c>
      <c r="G42" s="24">
        <f t="shared" si="1"/>
        <v>8670.7199999999993</v>
      </c>
      <c r="H42" s="25">
        <f>VLOOKUP(B42,[1]!Table3[[Part Number]:[GQP CAD $]],5,0)</f>
        <v>2167.6799999999998</v>
      </c>
      <c r="I42" s="26">
        <f t="shared" si="0"/>
        <v>4335.3599999999997</v>
      </c>
    </row>
    <row r="43" spans="2:9" x14ac:dyDescent="0.25">
      <c r="B43" s="62" t="s">
        <v>180</v>
      </c>
      <c r="C43" s="22" t="str">
        <f>VLOOKUP(B43,[1]!Table3[[Part Number]:[Make and Model]],2,0)</f>
        <v xml:space="preserve">CAT D6 (RDC)                                            </v>
      </c>
      <c r="D43" s="22" t="str">
        <f>VLOOKUP(B43,[1]!Table3[[Part Number]:[Part Description]],3,0)</f>
        <v>FLAT WASHER</v>
      </c>
      <c r="E43" s="23">
        <f>VLOOKUP(B43,[1]!Table3[[Part Number]:[Annual]],11,0)</f>
        <v>16</v>
      </c>
      <c r="F43" s="24">
        <f>VLOOKUP(B43,[1]!Table3[[Part Number]:[OEM CAD $]],4,0)</f>
        <v>8.75</v>
      </c>
      <c r="G43" s="24">
        <f t="shared" si="1"/>
        <v>140</v>
      </c>
      <c r="H43" s="25">
        <f>VLOOKUP(B43,[1]!Table3[[Part Number]:[GQP CAD $]],5,0)</f>
        <v>4.38</v>
      </c>
      <c r="I43" s="26">
        <f t="shared" si="0"/>
        <v>70.08</v>
      </c>
    </row>
    <row r="44" spans="2:9" x14ac:dyDescent="0.25">
      <c r="B44" s="62" t="s">
        <v>278</v>
      </c>
      <c r="C44" s="22" t="str">
        <f>VLOOKUP(B44,[1]!Table3[[Part Number]:[Make and Model]],2,0)</f>
        <v xml:space="preserve">CAT D3 (1PJ)                                            </v>
      </c>
      <c r="D44" s="22" t="str">
        <f>VLOOKUP(B44,[1]!Table3[[Part Number]:[Part Description]],3,0)</f>
        <v>TRACK LINK ASSEMBLY</v>
      </c>
      <c r="E44" s="23">
        <f>VLOOKUP(B44,[1]!Table3[[Part Number]:[Annual]],11,0)</f>
        <v>2</v>
      </c>
      <c r="F44" s="24">
        <f>VLOOKUP(B44,[1]!Table3[[Part Number]:[OEM CAD $]],4,0)</f>
        <v>3975.66</v>
      </c>
      <c r="G44" s="24">
        <f t="shared" si="1"/>
        <v>7951.32</v>
      </c>
      <c r="H44" s="25">
        <f>VLOOKUP(B44,[1]!Table3[[Part Number]:[GQP CAD $]],5,0)</f>
        <v>1987.83</v>
      </c>
      <c r="I44" s="26">
        <f t="shared" si="0"/>
        <v>3975.66</v>
      </c>
    </row>
    <row r="45" spans="2:9" x14ac:dyDescent="0.25">
      <c r="B45" s="62" t="s">
        <v>279</v>
      </c>
      <c r="C45" s="22" t="str">
        <f>VLOOKUP(B45,[1]!Table3[[Part Number]:[Make and Model]],2,0)</f>
        <v xml:space="preserve">CAT 561 (85H) CAT 561 (92J) CAT 561 (92J) (2)                                        </v>
      </c>
      <c r="D45" s="22" t="str">
        <f>VLOOKUP(B45,[1]!Table3[[Part Number]:[Part Description]],3,0)</f>
        <v>TRACK LINK AS</v>
      </c>
      <c r="E45" s="23">
        <f>VLOOKUP(B45,[1]!Table3[[Part Number]:[Annual]],11,0)</f>
        <v>6</v>
      </c>
      <c r="F45" s="24">
        <f>VLOOKUP(B45,[1]!Table3[[Part Number]:[OEM CAD $]],4,0)</f>
        <v>13482.38</v>
      </c>
      <c r="G45" s="24">
        <f t="shared" si="1"/>
        <v>80894.28</v>
      </c>
      <c r="H45" s="25">
        <f>VLOOKUP(B45,[1]!Table3[[Part Number]:[GQP CAD $]],5,0)</f>
        <v>6741.19</v>
      </c>
      <c r="I45" s="26">
        <f t="shared" si="0"/>
        <v>40447.14</v>
      </c>
    </row>
    <row r="46" spans="2:9" x14ac:dyDescent="0.25">
      <c r="B46" s="62" t="s">
        <v>281</v>
      </c>
      <c r="C46" s="22" t="str">
        <f>VLOOKUP(B46,[1]!Table3[[Part Number]:[Make and Model]],2,0)</f>
        <v xml:space="preserve">CAT D5 (3CR) CAT D5 (3CR) (2)                                          </v>
      </c>
      <c r="D46" s="22" t="str">
        <f>VLOOKUP(B46,[1]!Table3[[Part Number]:[Part Description]],3,0)</f>
        <v>CYLINDER HEAD</v>
      </c>
      <c r="E46" s="23">
        <f>VLOOKUP(B46,[1]!Table3[[Part Number]:[Annual]],11,0)</f>
        <v>2</v>
      </c>
      <c r="F46" s="24">
        <f>VLOOKUP(B46,[1]!Table3[[Part Number]:[OEM CAD $]],4,0)</f>
        <v>9139.2999999999993</v>
      </c>
      <c r="G46" s="24">
        <f t="shared" si="1"/>
        <v>18278.599999999999</v>
      </c>
      <c r="H46" s="25">
        <f>VLOOKUP(B46,[1]!Table3[[Part Number]:[GQP CAD $]],5,0)</f>
        <v>4569.6499999999996</v>
      </c>
      <c r="I46" s="26">
        <f t="shared" si="0"/>
        <v>9139.2999999999993</v>
      </c>
    </row>
    <row r="47" spans="2:9" x14ac:dyDescent="0.25">
      <c r="B47" s="62" t="s">
        <v>282</v>
      </c>
      <c r="C47" s="22" t="str">
        <f>VLOOKUP(B47,[1]!Table3[[Part Number]:[Make and Model]],2,0)</f>
        <v xml:space="preserve">CAT D6T (MH7)                                            </v>
      </c>
      <c r="D47" s="22" t="str">
        <f>VLOOKUP(B47,[1]!Table3[[Part Number]:[Part Description]],3,0)</f>
        <v>SPROCKET SEGMENT</v>
      </c>
      <c r="E47" s="23">
        <f>VLOOKUP(B47,[1]!Table3[[Part Number]:[Annual]],11,0)</f>
        <v>10</v>
      </c>
      <c r="F47" s="24">
        <f>VLOOKUP(B47,[1]!Table3[[Part Number]:[OEM CAD $]],4,0)</f>
        <v>292.60000000000002</v>
      </c>
      <c r="G47" s="24">
        <f t="shared" si="1"/>
        <v>2926</v>
      </c>
      <c r="H47" s="25">
        <f>VLOOKUP(B47,[1]!Table3[[Part Number]:[GQP CAD $]],5,0)</f>
        <v>146.30000000000001</v>
      </c>
      <c r="I47" s="26">
        <f t="shared" si="0"/>
        <v>1463</v>
      </c>
    </row>
    <row r="48" spans="2:9" x14ac:dyDescent="0.25">
      <c r="B48" s="62" t="s">
        <v>283</v>
      </c>
      <c r="C48" s="22" t="str">
        <f>VLOOKUP(B48,[1]!Table3[[Part Number]:[Make and Model]],2,0)</f>
        <v xml:space="preserve">CAT D4 (66J)                                            </v>
      </c>
      <c r="D48" s="22" t="str">
        <f>VLOOKUP(B48,[1]!Table3[[Part Number]:[Part Description]],3,0)</f>
        <v>TRACK SHOE SINGLE GROUSER 860MM</v>
      </c>
      <c r="E48" s="23">
        <f>VLOOKUP(B48,[1]!Table3[[Part Number]:[Annual]],11,0)</f>
        <v>90</v>
      </c>
      <c r="F48" s="24">
        <f>VLOOKUP(B48,[1]!Table3[[Part Number]:[OEM CAD $]],4,0)</f>
        <v>188.07</v>
      </c>
      <c r="G48" s="24">
        <f t="shared" si="1"/>
        <v>16926.3</v>
      </c>
      <c r="H48" s="25">
        <f>VLOOKUP(B48,[1]!Table3[[Part Number]:[GQP CAD $]],5,0)</f>
        <v>94.04</v>
      </c>
      <c r="I48" s="26">
        <f t="shared" si="0"/>
        <v>8463.6</v>
      </c>
    </row>
    <row r="49" spans="2:9" x14ac:dyDescent="0.25">
      <c r="B49" s="62" t="s">
        <v>284</v>
      </c>
      <c r="C49" s="22" t="str">
        <f>VLOOKUP(B49,[1]!Table3[[Part Number]:[Make and Model]],2,0)</f>
        <v xml:space="preserve">CAT D4 (66J)                                            </v>
      </c>
      <c r="D49" s="22" t="str">
        <f>VLOOKUP(B49,[1]!Table3[[Part Number]:[Part Description]],3,0)</f>
        <v>TRACK SHOE MASTER</v>
      </c>
      <c r="E49" s="23">
        <f>VLOOKUP(B49,[1]!Table3[[Part Number]:[Annual]],11,0)</f>
        <v>2</v>
      </c>
      <c r="F49" s="24">
        <f>VLOOKUP(B49,[1]!Table3[[Part Number]:[OEM CAD $]],4,0)</f>
        <v>200.07</v>
      </c>
      <c r="G49" s="24">
        <f t="shared" si="1"/>
        <v>400.14</v>
      </c>
      <c r="H49" s="25">
        <f>VLOOKUP(B49,[1]!Table3[[Part Number]:[GQP CAD $]],5,0)</f>
        <v>100.04</v>
      </c>
      <c r="I49" s="26">
        <f t="shared" si="0"/>
        <v>200.08</v>
      </c>
    </row>
    <row r="50" spans="2:9" x14ac:dyDescent="0.25">
      <c r="B50" s="62" t="s">
        <v>285</v>
      </c>
      <c r="C50" s="22" t="str">
        <f>VLOOKUP(B50,[1]!Table3[[Part Number]:[Make and Model]],2,0)</f>
        <v xml:space="preserve">CAT D6N LGP (GHS) CAT D6N LGP (SGG) CAT D6N LGP (SGG) (2)                                        </v>
      </c>
      <c r="D50" s="22" t="str">
        <f>VLOOKUP(B50,[1]!Table3[[Part Number]:[Part Description]],3,0)</f>
        <v xml:space="preserve">TRACK IDLER </v>
      </c>
      <c r="E50" s="23">
        <f>VLOOKUP(B50,[1]!Table3[[Part Number]:[Annual]],11,0)</f>
        <v>12</v>
      </c>
      <c r="F50" s="24">
        <f>VLOOKUP(B50,[1]!Table3[[Part Number]:[OEM CAD $]],4,0)</f>
        <v>2878.82</v>
      </c>
      <c r="G50" s="24">
        <f t="shared" si="1"/>
        <v>34545.840000000004</v>
      </c>
      <c r="H50" s="25">
        <f>VLOOKUP(B50,[1]!Table3[[Part Number]:[GQP CAD $]],5,0)</f>
        <v>1439.41</v>
      </c>
      <c r="I50" s="26">
        <f t="shared" si="0"/>
        <v>17272.919999999998</v>
      </c>
    </row>
    <row r="51" spans="2:9" x14ac:dyDescent="0.25">
      <c r="B51" s="62" t="s">
        <v>286</v>
      </c>
      <c r="C51" s="22" t="str">
        <f>VLOOKUP(B51,[1]!Table3[[Part Number]:[Make and Model]],2,0)</f>
        <v xml:space="preserve">CAT D5 (3CR) CAT D5 (3CR) (2) CAT 561M (1KW) CAT 561N (CPH) CAT 561N (CPH) (2) CAT 561N (CPH) (3) CAT 561N (CPH) (4) CAT 561N (CPH) (5)                              </v>
      </c>
      <c r="D51" s="22" t="str">
        <f>VLOOKUP(B51,[1]!Table3[[Part Number]:[Part Description]],3,0)</f>
        <v xml:space="preserve">TRACK IDLER </v>
      </c>
      <c r="E51" s="23">
        <f>VLOOKUP(B51,[1]!Table3[[Part Number]:[Annual]],11,0)</f>
        <v>18</v>
      </c>
      <c r="F51" s="24">
        <f>VLOOKUP(B51,[1]!Table3[[Part Number]:[OEM CAD $]],4,0)</f>
        <v>3220.34</v>
      </c>
      <c r="G51" s="24">
        <f t="shared" si="1"/>
        <v>57966.12</v>
      </c>
      <c r="H51" s="25">
        <f>VLOOKUP(B51,[1]!Table3[[Part Number]:[GQP CAD $]],5,0)</f>
        <v>1610.17</v>
      </c>
      <c r="I51" s="26">
        <f t="shared" si="0"/>
        <v>28983.06</v>
      </c>
    </row>
    <row r="52" spans="2:9" x14ac:dyDescent="0.25">
      <c r="B52" s="62" t="s">
        <v>287</v>
      </c>
      <c r="C52" s="22" t="str">
        <f>VLOOKUP(B52,[1]!Table3[[Part Number]:[Make and Model]],2,0)</f>
        <v xml:space="preserve">CAT D3 (1PJ)                                            </v>
      </c>
      <c r="D52" s="22" t="str">
        <f>VLOOKUP(B52,[1]!Table3[[Part Number]:[Part Description]],3,0)</f>
        <v>SPROCKET SEGMENT</v>
      </c>
      <c r="E52" s="23">
        <f>VLOOKUP(B52,[1]!Table3[[Part Number]:[Annual]],11,0)</f>
        <v>10</v>
      </c>
      <c r="F52" s="24">
        <f>VLOOKUP(B52,[1]!Table3[[Part Number]:[OEM CAD $]],4,0)</f>
        <v>134.41999999999999</v>
      </c>
      <c r="G52" s="24">
        <f t="shared" si="1"/>
        <v>1344.1999999999998</v>
      </c>
      <c r="H52" s="25">
        <f>VLOOKUP(B52,[1]!Table3[[Part Number]:[GQP CAD $]],5,0)</f>
        <v>67.209999999999994</v>
      </c>
      <c r="I52" s="26">
        <f t="shared" si="0"/>
        <v>672.1</v>
      </c>
    </row>
    <row r="53" spans="2:9" x14ac:dyDescent="0.25">
      <c r="B53" s="62" t="s">
        <v>288</v>
      </c>
      <c r="C53" s="22" t="str">
        <f>VLOOKUP(B53,[1]!Table3[[Part Number]:[Make and Model]],2,0)</f>
        <v xml:space="preserve">CAT D6N LGP (GHS)                                            </v>
      </c>
      <c r="D53" s="22" t="str">
        <f>VLOOKUP(B53,[1]!Table3[[Part Number]:[Part Description]],3,0)</f>
        <v>SEAT SUSPENSION ASSEMBLY</v>
      </c>
      <c r="E53" s="23">
        <f>VLOOKUP(B53,[1]!Table3[[Part Number]:[Annual]],11,0)</f>
        <v>1</v>
      </c>
      <c r="F53" s="24">
        <f>VLOOKUP(B53,[1]!Table3[[Part Number]:[OEM CAD $]],4,0)</f>
        <v>3100.37</v>
      </c>
      <c r="G53" s="24">
        <f t="shared" si="1"/>
        <v>3100.37</v>
      </c>
      <c r="H53" s="25">
        <f>VLOOKUP(B53,[1]!Table3[[Part Number]:[GQP CAD $]],5,0)</f>
        <v>1550.19</v>
      </c>
      <c r="I53" s="26">
        <f t="shared" si="0"/>
        <v>1550.19</v>
      </c>
    </row>
    <row r="54" spans="2:9" x14ac:dyDescent="0.25">
      <c r="B54" s="62" t="s">
        <v>289</v>
      </c>
      <c r="C54" s="22" t="str">
        <f>VLOOKUP(B54,[1]!Table3[[Part Number]:[Make and Model]],2,0)</f>
        <v xml:space="preserve">CAT PL61 (WGS) CAT PL61 (WGS) (2) CAT PL61 (WGS) (3) CAT 299D (DX2)                                      </v>
      </c>
      <c r="D54" s="22" t="str">
        <f>VLOOKUP(B54,[1]!Table3[[Part Number]:[Part Description]],3,0)</f>
        <v>CARRIER BOLT</v>
      </c>
      <c r="E54" s="23">
        <f>VLOOKUP(B54,[1]!Table3[[Part Number]:[Annual]],11,0)</f>
        <v>20</v>
      </c>
      <c r="F54" s="24">
        <f>VLOOKUP(B54,[1]!Table3[[Part Number]:[OEM CAD $]],4,0)</f>
        <v>1.31</v>
      </c>
      <c r="G54" s="24">
        <f t="shared" si="1"/>
        <v>26.200000000000003</v>
      </c>
      <c r="H54" s="25">
        <f>VLOOKUP(B54,[1]!Table3[[Part Number]:[GQP CAD $]],5,0)</f>
        <v>0.66</v>
      </c>
      <c r="I54" s="26">
        <f t="shared" si="0"/>
        <v>13.2</v>
      </c>
    </row>
    <row r="55" spans="2:9" x14ac:dyDescent="0.25">
      <c r="B55" s="62" t="s">
        <v>181</v>
      </c>
      <c r="C55" s="22" t="str">
        <f>VLOOKUP(B55,[1]!Table3[[Part Number]:[Make and Model]],2,0)</f>
        <v xml:space="preserve">CAT D6N LGP (GHS) CAT D6N LGP (SGG) CAT D6N LGP (SGG) (2)                                        </v>
      </c>
      <c r="D55" s="22" t="str">
        <f>VLOOKUP(B55,[1]!Table3[[Part Number]:[Part Description]],3,0)</f>
        <v>REAR WEAR STRIP 16MM</v>
      </c>
      <c r="E55" s="23">
        <f>VLOOKUP(B55,[1]!Table3[[Part Number]:[Annual]],11,0)</f>
        <v>12</v>
      </c>
      <c r="F55" s="24">
        <f>VLOOKUP(B55,[1]!Table3[[Part Number]:[OEM CAD $]],4,0)</f>
        <v>200.89</v>
      </c>
      <c r="G55" s="24">
        <f t="shared" si="1"/>
        <v>2410.6799999999998</v>
      </c>
      <c r="H55" s="25">
        <f>VLOOKUP(B55,[1]!Table3[[Part Number]:[GQP CAD $]],5,0)</f>
        <v>100.45</v>
      </c>
      <c r="I55" s="26">
        <f t="shared" si="0"/>
        <v>1205.4000000000001</v>
      </c>
    </row>
    <row r="56" spans="2:9" x14ac:dyDescent="0.25">
      <c r="B56" s="62" t="s">
        <v>182</v>
      </c>
      <c r="C56" s="22" t="str">
        <f>VLOOKUP(B56,[1]!Table3[[Part Number]:[Make and Model]],2,0)</f>
        <v xml:space="preserve">CAT D6N LGP (GHS) CAT D6N LGP (SGG) CAT D6N LGP (SGG) (2)                                        </v>
      </c>
      <c r="D56" s="22" t="str">
        <f>VLOOKUP(B56,[1]!Table3[[Part Number]:[Part Description]],3,0)</f>
        <v>FRONT WEAR STRIP 16MM</v>
      </c>
      <c r="E56" s="23">
        <f>VLOOKUP(B56,[1]!Table3[[Part Number]:[Annual]],11,0)</f>
        <v>12</v>
      </c>
      <c r="F56" s="24">
        <f>VLOOKUP(B56,[1]!Table3[[Part Number]:[OEM CAD $]],4,0)</f>
        <v>159.66</v>
      </c>
      <c r="G56" s="24">
        <f t="shared" si="1"/>
        <v>1915.92</v>
      </c>
      <c r="H56" s="25">
        <f>VLOOKUP(B56,[1]!Table3[[Part Number]:[GQP CAD $]],5,0)</f>
        <v>79.83</v>
      </c>
      <c r="I56" s="26">
        <f t="shared" si="0"/>
        <v>957.96</v>
      </c>
    </row>
    <row r="57" spans="2:9" x14ac:dyDescent="0.25">
      <c r="B57" s="62" t="s">
        <v>290</v>
      </c>
      <c r="C57" s="22" t="str">
        <f>VLOOKUP(B57,[1]!Table3[[Part Number]:[Make and Model]],2,0)</f>
        <v xml:space="preserve">CAT D5 (3CR) CAT D5 (3CR) (2) CAT 561 (85H) CAT 561 (92J) CAT 561 (92J) (2) CAT 561M (1KW) CAT 561N (CPH) CAT 561N (CPH) (2) CAT 561N (CPH) (3) CAT 561N (CPH) (4) CAT 561N (CPH) (5)                        </v>
      </c>
      <c r="D57" s="22" t="str">
        <f>VLOOKUP(B57,[1]!Table3[[Part Number]:[Part Description]],3,0)</f>
        <v>TRACK NUT</v>
      </c>
      <c r="E57" s="23">
        <f>VLOOKUP(B57,[1]!Table3[[Part Number]:[Annual]],11,0)</f>
        <v>2634</v>
      </c>
      <c r="F57" s="24">
        <f>VLOOKUP(B57,[1]!Table3[[Part Number]:[OEM CAD $]],4,0)</f>
        <v>2.0699999999999998</v>
      </c>
      <c r="G57" s="24">
        <f t="shared" si="1"/>
        <v>5452.3799999999992</v>
      </c>
      <c r="H57" s="25">
        <f>VLOOKUP(B57,[1]!Table3[[Part Number]:[GQP CAD $]],5,0)</f>
        <v>1.04</v>
      </c>
      <c r="I57" s="26">
        <f t="shared" si="0"/>
        <v>2739.36</v>
      </c>
    </row>
    <row r="58" spans="2:9" x14ac:dyDescent="0.25">
      <c r="B58" s="62" t="s">
        <v>291</v>
      </c>
      <c r="C58" s="22" t="str">
        <f>VLOOKUP(B58,[1]!Table3[[Part Number]:[Make and Model]],2,0)</f>
        <v xml:space="preserve">CAT D4 (66J)                                            </v>
      </c>
      <c r="D58" s="22" t="str">
        <f>VLOOKUP(B58,[1]!Table3[[Part Number]:[Part Description]],3,0)</f>
        <v xml:space="preserve">TRACK IDLER </v>
      </c>
      <c r="E58" s="23">
        <f>VLOOKUP(B58,[1]!Table3[[Part Number]:[Annual]],11,0)</f>
        <v>2</v>
      </c>
      <c r="F58" s="24">
        <f>VLOOKUP(B58,[1]!Table3[[Part Number]:[OEM CAD $]],4,0)</f>
        <v>2233.12</v>
      </c>
      <c r="G58" s="24">
        <f t="shared" si="1"/>
        <v>4466.24</v>
      </c>
      <c r="H58" s="25">
        <f>VLOOKUP(B58,[1]!Table3[[Part Number]:[GQP CAD $]],5,0)</f>
        <v>1116.56</v>
      </c>
      <c r="I58" s="26">
        <f t="shared" si="0"/>
        <v>2233.12</v>
      </c>
    </row>
    <row r="59" spans="2:9" x14ac:dyDescent="0.25">
      <c r="B59" s="62" t="s">
        <v>292</v>
      </c>
      <c r="C59" s="22" t="str">
        <f>VLOOKUP(B59,[1]!Table3[[Part Number]:[Make and Model]],2,0)</f>
        <v xml:space="preserve">CAT D4 (66J)                                            </v>
      </c>
      <c r="D59" s="22" t="str">
        <f>VLOOKUP(B59,[1]!Table3[[Part Number]:[Part Description]],3,0)</f>
        <v>TRACK NUT</v>
      </c>
      <c r="E59" s="23">
        <f>VLOOKUP(B59,[1]!Table3[[Part Number]:[Annual]],11,0)</f>
        <v>360</v>
      </c>
      <c r="F59" s="24">
        <f>VLOOKUP(B59,[1]!Table3[[Part Number]:[OEM CAD $]],4,0)</f>
        <v>2.94</v>
      </c>
      <c r="G59" s="24">
        <f t="shared" si="1"/>
        <v>1058.4000000000001</v>
      </c>
      <c r="H59" s="25">
        <f>VLOOKUP(B59,[1]!Table3[[Part Number]:[GQP CAD $]],5,0)</f>
        <v>1.47</v>
      </c>
      <c r="I59" s="26">
        <f t="shared" si="0"/>
        <v>529.20000000000005</v>
      </c>
    </row>
    <row r="60" spans="2:9" x14ac:dyDescent="0.25">
      <c r="B60" s="62" t="s">
        <v>51</v>
      </c>
      <c r="C60" s="22" t="str">
        <f>VLOOKUP(B60,[1]!Table3[[Part Number]:[Make and Model]],2,0)</f>
        <v xml:space="preserve">CAT D6 (RDC) CAT D6N LGP (GHS) CAT D6N LGP (SGG) CAT D6N LGP (SGG) (2) CAT D7G (92V) CAT D7G (3ZD) CAT D7G (3ZD) (2) CAT PL61 (WGS) CAT PL61 (WGS) (2) CAT PL61 (WGS) (3)                          </v>
      </c>
      <c r="D60" s="22" t="str">
        <f>VLOOKUP(B60,[1]!Table3[[Part Number]:[Part Description]],3,0)</f>
        <v>TRACK NUT</v>
      </c>
      <c r="E60" s="23">
        <f>VLOOKUP(B60,[1]!Table3[[Part Number]:[Annual]],11,0)</f>
        <v>3264</v>
      </c>
      <c r="F60" s="24">
        <f>VLOOKUP(B60,[1]!Table3[[Part Number]:[OEM CAD $]],4,0)</f>
        <v>2.94</v>
      </c>
      <c r="G60" s="24">
        <f t="shared" si="1"/>
        <v>9596.16</v>
      </c>
      <c r="H60" s="25">
        <f>VLOOKUP(B60,[1]!Table3[[Part Number]:[GQP CAD $]],5,0)</f>
        <v>1.47</v>
      </c>
      <c r="I60" s="26">
        <f t="shared" si="0"/>
        <v>4798.08</v>
      </c>
    </row>
    <row r="61" spans="2:9" x14ac:dyDescent="0.25">
      <c r="B61" s="62" t="s">
        <v>293</v>
      </c>
      <c r="C61" s="22" t="str">
        <f>VLOOKUP(B61,[1]!Table3[[Part Number]:[Make and Model]],2,0)</f>
        <v xml:space="preserve">CAT D6 (RDC) CAT D6T (MH7)                                          </v>
      </c>
      <c r="D61" s="22" t="str">
        <f>VLOOKUP(B61,[1]!Table3[[Part Number]:[Part Description]],3,0)</f>
        <v>TRACK IDLER</v>
      </c>
      <c r="E61" s="23">
        <f>VLOOKUP(B61,[1]!Table3[[Part Number]:[Annual]],11,0)</f>
        <v>8</v>
      </c>
      <c r="F61" s="24">
        <f>VLOOKUP(B61,[1]!Table3[[Part Number]:[OEM CAD $]],4,0)</f>
        <v>3032.3</v>
      </c>
      <c r="G61" s="24">
        <f t="shared" si="1"/>
        <v>24258.400000000001</v>
      </c>
      <c r="H61" s="25">
        <f>VLOOKUP(B61,[1]!Table3[[Part Number]:[GQP CAD $]],5,0)</f>
        <v>1516.15</v>
      </c>
      <c r="I61" s="26">
        <f t="shared" si="0"/>
        <v>12129.2</v>
      </c>
    </row>
    <row r="62" spans="2:9" x14ac:dyDescent="0.25">
      <c r="B62" s="62" t="s">
        <v>294</v>
      </c>
      <c r="C62" s="22" t="str">
        <f>VLOOKUP(B62,[1]!Table3[[Part Number]:[Make and Model]],2,0)</f>
        <v xml:space="preserve">CAT 336F L (RKB)                                            </v>
      </c>
      <c r="D62" s="22" t="str">
        <f>VLOOKUP(B62,[1]!Table3[[Part Number]:[Part Description]],3,0)</f>
        <v>TRACK LINK ASSEMBLY</v>
      </c>
      <c r="E62" s="23">
        <f>VLOOKUP(B62,[1]!Table3[[Part Number]:[Annual]],11,0)</f>
        <v>2</v>
      </c>
      <c r="F62" s="24">
        <f>VLOOKUP(B62,[1]!Table3[[Part Number]:[OEM CAD $]],4,0)</f>
        <v>12083.08</v>
      </c>
      <c r="G62" s="24">
        <f t="shared" si="1"/>
        <v>24166.16</v>
      </c>
      <c r="H62" s="25">
        <f>VLOOKUP(B62,[1]!Table3[[Part Number]:[GQP CAD $]],5,0)</f>
        <v>6041.54</v>
      </c>
      <c r="I62" s="26">
        <f t="shared" si="0"/>
        <v>12083.08</v>
      </c>
    </row>
    <row r="63" spans="2:9" x14ac:dyDescent="0.25">
      <c r="B63" s="62" t="s">
        <v>295</v>
      </c>
      <c r="C63" s="22" t="str">
        <f>VLOOKUP(B63,[1]!Table3[[Part Number]:[Make and Model]],2,0)</f>
        <v xml:space="preserve">CAT D6 (RDC) CAT D6T (MH7)                                          </v>
      </c>
      <c r="D63" s="22" t="str">
        <f>VLOOKUP(B63,[1]!Table3[[Part Number]:[Part Description]],3,0)</f>
        <v>CARRIER BOLT</v>
      </c>
      <c r="E63" s="23">
        <f>VLOOKUP(B63,[1]!Table3[[Part Number]:[Annual]],11,0)</f>
        <v>8</v>
      </c>
      <c r="F63" s="24">
        <f>VLOOKUP(B63,[1]!Table3[[Part Number]:[OEM CAD $]],4,0)</f>
        <v>22.26</v>
      </c>
      <c r="G63" s="24">
        <f t="shared" si="1"/>
        <v>178.08</v>
      </c>
      <c r="H63" s="25">
        <f>VLOOKUP(B63,[1]!Table3[[Part Number]:[GQP CAD $]],5,0)</f>
        <v>11.13</v>
      </c>
      <c r="I63" s="26">
        <f t="shared" si="0"/>
        <v>89.04</v>
      </c>
    </row>
    <row r="64" spans="2:9" x14ac:dyDescent="0.25">
      <c r="B64" s="62" t="s">
        <v>296</v>
      </c>
      <c r="C64" s="22" t="str">
        <f>VLOOKUP(B64,[1]!Table3[[Part Number]:[Make and Model]],2,0)</f>
        <v xml:space="preserve">CAT D5 (3CR) CAT D5 (3CR) (2)                                          </v>
      </c>
      <c r="D64" s="22" t="str">
        <f>VLOOKUP(B64,[1]!Table3[[Part Number]:[Part Description]],3,0)</f>
        <v>TRACK SHOE SINGLE GROUSER 760MM</v>
      </c>
      <c r="E64" s="23">
        <f>VLOOKUP(B64,[1]!Table3[[Part Number]:[Annual]],11,0)</f>
        <v>176</v>
      </c>
      <c r="F64" s="24">
        <f>VLOOKUP(B64,[1]!Table3[[Part Number]:[OEM CAD $]],4,0)</f>
        <v>126.01</v>
      </c>
      <c r="G64" s="24">
        <f t="shared" si="1"/>
        <v>22177.760000000002</v>
      </c>
      <c r="H64" s="25">
        <f>VLOOKUP(B64,[1]!Table3[[Part Number]:[GQP CAD $]],5,0)</f>
        <v>63.01</v>
      </c>
      <c r="I64" s="26">
        <f t="shared" si="0"/>
        <v>11089.76</v>
      </c>
    </row>
    <row r="65" spans="2:9" x14ac:dyDescent="0.25">
      <c r="B65" s="62" t="s">
        <v>297</v>
      </c>
      <c r="C65" s="22" t="str">
        <f>VLOOKUP(B65,[1]!Table3[[Part Number]:[Make and Model]],2,0)</f>
        <v xml:space="preserve">CAT 320E L (WBK) CAT 320E L (WBK) (2) CAT 320F L (YBM) CAT 320 (HEX) CAT 320 (MYK) CAT 320 (MYK) (2)                                  </v>
      </c>
      <c r="D65" s="22" t="str">
        <f>VLOOKUP(B65,[1]!Table3[[Part Number]:[Part Description]],3,0)</f>
        <v>SPROCKET BOLT</v>
      </c>
      <c r="E65" s="23">
        <f>VLOOKUP(B65,[1]!Table3[[Part Number]:[Annual]],11,0)</f>
        <v>192</v>
      </c>
      <c r="F65" s="24">
        <f>VLOOKUP(B65,[1]!Table3[[Part Number]:[OEM CAD $]],4,0)</f>
        <v>8.76</v>
      </c>
      <c r="G65" s="24">
        <f t="shared" si="1"/>
        <v>1681.92</v>
      </c>
      <c r="H65" s="25">
        <f>VLOOKUP(B65,[1]!Table3[[Part Number]:[GQP CAD $]],5,0)</f>
        <v>4.38</v>
      </c>
      <c r="I65" s="26">
        <f t="shared" si="0"/>
        <v>840.96</v>
      </c>
    </row>
    <row r="66" spans="2:9" x14ac:dyDescent="0.25">
      <c r="B66" s="62" t="s">
        <v>298</v>
      </c>
      <c r="C66" s="22" t="str">
        <f>VLOOKUP(B66,[1]!Table3[[Part Number]:[Make and Model]],2,0)</f>
        <v xml:space="preserve">CAT D6N LGP (GHS)                                            </v>
      </c>
      <c r="D66" s="22" t="str">
        <f>VLOOKUP(B66,[1]!Table3[[Part Number]:[Part Description]],3,0)</f>
        <v>TRACK SHOE SINGLE GROUSER 860MM</v>
      </c>
      <c r="E66" s="23">
        <f>VLOOKUP(B66,[1]!Table3[[Part Number]:[Annual]],11,0)</f>
        <v>90</v>
      </c>
      <c r="F66" s="24">
        <f>VLOOKUP(B66,[1]!Table3[[Part Number]:[OEM CAD $]],4,0)</f>
        <v>206.6</v>
      </c>
      <c r="G66" s="24">
        <f t="shared" si="1"/>
        <v>18594</v>
      </c>
      <c r="H66" s="25">
        <f>VLOOKUP(B66,[1]!Table3[[Part Number]:[GQP CAD $]],5,0)</f>
        <v>103.3</v>
      </c>
      <c r="I66" s="26">
        <f t="shared" si="0"/>
        <v>9297</v>
      </c>
    </row>
    <row r="67" spans="2:9" x14ac:dyDescent="0.25">
      <c r="B67" s="62" t="s">
        <v>299</v>
      </c>
      <c r="C67" s="22" t="str">
        <f>VLOOKUP(B67,[1]!Table3[[Part Number]:[Make and Model]],2,0)</f>
        <v xml:space="preserve">CAT D6N LGP (GHS)                                            </v>
      </c>
      <c r="D67" s="22" t="str">
        <f>VLOOKUP(B67,[1]!Table3[[Part Number]:[Part Description]],3,0)</f>
        <v>TRACK SHOE MASTER</v>
      </c>
      <c r="E67" s="23">
        <f>VLOOKUP(B67,[1]!Table3[[Part Number]:[Annual]],11,0)</f>
        <v>2</v>
      </c>
      <c r="F67" s="24">
        <f>VLOOKUP(B67,[1]!Table3[[Part Number]:[OEM CAD $]],4,0)</f>
        <v>226.51</v>
      </c>
      <c r="G67" s="24">
        <f t="shared" si="1"/>
        <v>453.02</v>
      </c>
      <c r="H67" s="25">
        <f>VLOOKUP(B67,[1]!Table3[[Part Number]:[GQP CAD $]],5,0)</f>
        <v>113.26</v>
      </c>
      <c r="I67" s="26">
        <f t="shared" si="0"/>
        <v>226.52</v>
      </c>
    </row>
    <row r="68" spans="2:9" x14ac:dyDescent="0.25">
      <c r="B68" s="62" t="s">
        <v>300</v>
      </c>
      <c r="C68" s="22" t="str">
        <f>VLOOKUP(B68,[1]!Table3[[Part Number]:[Make and Model]],2,0)</f>
        <v xml:space="preserve">CAT D7G (92V) CAT D7G (3ZD) CAT D7G (3ZD) (2)                                        </v>
      </c>
      <c r="D68" s="22" t="str">
        <f>VLOOKUP(B68,[1]!Table3[[Part Number]:[Part Description]],3,0)</f>
        <v>SPROCKET HUB</v>
      </c>
      <c r="E68" s="23">
        <f>VLOOKUP(B68,[1]!Table3[[Part Number]:[Annual]],11,0)</f>
        <v>6</v>
      </c>
      <c r="F68" s="24">
        <f>VLOOKUP(B68,[1]!Table3[[Part Number]:[OEM CAD $]],4,0)</f>
        <v>3635.61</v>
      </c>
      <c r="G68" s="24">
        <f t="shared" si="1"/>
        <v>21813.66</v>
      </c>
      <c r="H68" s="25">
        <f>VLOOKUP(B68,[1]!Table3[[Part Number]:[GQP CAD $]],5,0)</f>
        <v>1817.81</v>
      </c>
      <c r="I68" s="26">
        <f t="shared" si="0"/>
        <v>10906.86</v>
      </c>
    </row>
    <row r="69" spans="2:9" x14ac:dyDescent="0.25">
      <c r="B69" s="62" t="s">
        <v>301</v>
      </c>
      <c r="C69" s="22" t="str">
        <f>VLOOKUP(B69,[1]!Table3[[Part Number]:[Make and Model]],2,0)</f>
        <v xml:space="preserve">CAT D6N LGP (GHS) CAT D6N LGP (PBA) CAT D6N LGP (PBA) (2) CAT D6N LGP (SGG) CAT D6N LGP (SGG) (2)                                    </v>
      </c>
      <c r="D69" s="22" t="str">
        <f>VLOOKUP(B69,[1]!Table3[[Part Number]:[Part Description]],3,0)</f>
        <v>CARRIER ROLLER</v>
      </c>
      <c r="E69" s="23">
        <f>VLOOKUP(B69,[1]!Table3[[Part Number]:[Annual]],11,0)</f>
        <v>10</v>
      </c>
      <c r="F69" s="24">
        <f>VLOOKUP(B69,[1]!Table3[[Part Number]:[OEM CAD $]],4,0)</f>
        <v>496.33</v>
      </c>
      <c r="G69" s="24">
        <f t="shared" si="1"/>
        <v>4963.3</v>
      </c>
      <c r="H69" s="25">
        <f>VLOOKUP(B69,[1]!Table3[[Part Number]:[GQP CAD $]],5,0)</f>
        <v>248.17</v>
      </c>
      <c r="I69" s="26">
        <f t="shared" si="0"/>
        <v>2481.6999999999998</v>
      </c>
    </row>
    <row r="70" spans="2:9" x14ac:dyDescent="0.25">
      <c r="B70" s="62" t="s">
        <v>302</v>
      </c>
      <c r="C70" s="22" t="str">
        <f>VLOOKUP(B70,[1]!Table3[[Part Number]:[Make and Model]],2,0)</f>
        <v xml:space="preserve">CAT D6 (RDC) CAT D6T (MH7)                                          </v>
      </c>
      <c r="D70" s="22" t="str">
        <f>VLOOKUP(B70,[1]!Table3[[Part Number]:[Part Description]],3,0)</f>
        <v>CARRIER ROLLER</v>
      </c>
      <c r="E70" s="23">
        <f>VLOOKUP(B70,[1]!Table3[[Part Number]:[Annual]],11,0)</f>
        <v>4</v>
      </c>
      <c r="F70" s="24">
        <f>VLOOKUP(B70,[1]!Table3[[Part Number]:[OEM CAD $]],4,0)</f>
        <v>594.54</v>
      </c>
      <c r="G70" s="24">
        <f t="shared" si="1"/>
        <v>2378.16</v>
      </c>
      <c r="H70" s="25">
        <f>VLOOKUP(B70,[1]!Table3[[Part Number]:[GQP CAD $]],5,0)</f>
        <v>297.27</v>
      </c>
      <c r="I70" s="26">
        <f t="shared" si="0"/>
        <v>1189.08</v>
      </c>
    </row>
    <row r="71" spans="2:9" x14ac:dyDescent="0.25">
      <c r="B71" s="62" t="s">
        <v>303</v>
      </c>
      <c r="C71" s="22" t="str">
        <f>VLOOKUP(B71,[1]!Table3[[Part Number]:[Make and Model]],2,0)</f>
        <v xml:space="preserve">CAT D6N LGP (PBA) CAT D6N LGP (PBA) (2)                                          </v>
      </c>
      <c r="D71" s="22" t="str">
        <f>VLOOKUP(B71,[1]!Table3[[Part Number]:[Part Description]],3,0)</f>
        <v>SINGLE FLANGE TRACK ROLLER</v>
      </c>
      <c r="E71" s="23">
        <f>VLOOKUP(B71,[1]!Table3[[Part Number]:[Annual]],11,0)</f>
        <v>32</v>
      </c>
      <c r="F71" s="24">
        <f>VLOOKUP(B71,[1]!Table3[[Part Number]:[OEM CAD $]],4,0)</f>
        <v>866.99</v>
      </c>
      <c r="G71" s="24">
        <f t="shared" si="1"/>
        <v>27743.68</v>
      </c>
      <c r="H71" s="25">
        <f>VLOOKUP(B71,[1]!Table3[[Part Number]:[GQP CAD $]],5,0)</f>
        <v>433.5</v>
      </c>
      <c r="I71" s="26">
        <f t="shared" si="0"/>
        <v>13872</v>
      </c>
    </row>
    <row r="72" spans="2:9" x14ac:dyDescent="0.25">
      <c r="B72" s="62" t="s">
        <v>304</v>
      </c>
      <c r="C72" s="22" t="str">
        <f>VLOOKUP(B72,[1]!Table3[[Part Number]:[Make and Model]],2,0)</f>
        <v xml:space="preserve">CAT 320E L (WBK) CAT 320E L (WBK) (2) CAT 320F L (YBM) CAT 320 (HEX) CAT 320 (MYK) CAT 320 (MYK) (2)                                  </v>
      </c>
      <c r="D72" s="22" t="str">
        <f>VLOOKUP(B72,[1]!Table3[[Part Number]:[Part Description]],3,0)</f>
        <v>TRACK IDLER</v>
      </c>
      <c r="E72" s="23">
        <f>VLOOKUP(B72,[1]!Table3[[Part Number]:[Annual]],11,0)</f>
        <v>16</v>
      </c>
      <c r="F72" s="24">
        <f>VLOOKUP(B72,[1]!Table3[[Part Number]:[OEM CAD $]],4,0)</f>
        <v>2633.14</v>
      </c>
      <c r="G72" s="24">
        <f t="shared" si="1"/>
        <v>42130.239999999998</v>
      </c>
      <c r="H72" s="25">
        <f>VLOOKUP(B72,[1]!Table3[[Part Number]:[GQP CAD $]],5,0)</f>
        <v>1316.57</v>
      </c>
      <c r="I72" s="26">
        <f t="shared" si="0"/>
        <v>21065.119999999999</v>
      </c>
    </row>
    <row r="73" spans="2:9" x14ac:dyDescent="0.25">
      <c r="B73" s="62" t="s">
        <v>305</v>
      </c>
      <c r="C73" s="22" t="str">
        <f>VLOOKUP(B73,[1]!Table3[[Part Number]:[Make and Model]],2,0)</f>
        <v xml:space="preserve">CAT D6N LGP (GHS) CAT D6N LGP (SGG) CAT D6N LGP (SGG) (2)                                        </v>
      </c>
      <c r="D73" s="22" t="str">
        <f>VLOOKUP(B73,[1]!Table3[[Part Number]:[Part Description]],3,0)</f>
        <v>IDLER SCRAPER</v>
      </c>
      <c r="E73" s="23">
        <f>VLOOKUP(B73,[1]!Table3[[Part Number]:[Annual]],11,0)</f>
        <v>6</v>
      </c>
      <c r="F73" s="24">
        <f>VLOOKUP(B73,[1]!Table3[[Part Number]:[OEM CAD $]],4,0)</f>
        <v>113.29</v>
      </c>
      <c r="G73" s="24">
        <f t="shared" si="1"/>
        <v>679.74</v>
      </c>
      <c r="H73" s="25">
        <f>VLOOKUP(B73,[1]!Table3[[Part Number]:[GQP CAD $]],5,0)</f>
        <v>56.65</v>
      </c>
      <c r="I73" s="26">
        <f t="shared" si="0"/>
        <v>339.9</v>
      </c>
    </row>
    <row r="74" spans="2:9" x14ac:dyDescent="0.25">
      <c r="B74" s="62" t="s">
        <v>306</v>
      </c>
      <c r="C74" s="22" t="str">
        <f>VLOOKUP(B74,[1]!Table3[[Part Number]:[Make and Model]],2,0)</f>
        <v xml:space="preserve">CAT D6N LGP (PBA) CAT D6N LGP (PBA) (2)                                          </v>
      </c>
      <c r="D74" s="22" t="str">
        <f>VLOOKUP(B74,[1]!Table3[[Part Number]:[Part Description]],3,0)</f>
        <v>TRACK BOLT MASTER</v>
      </c>
      <c r="E74" s="23">
        <f>VLOOKUP(B74,[1]!Table3[[Part Number]:[Annual]],11,0)</f>
        <v>16</v>
      </c>
      <c r="F74" s="24">
        <f>VLOOKUP(B74,[1]!Table3[[Part Number]:[OEM CAD $]],4,0)</f>
        <v>10.72</v>
      </c>
      <c r="G74" s="24">
        <f t="shared" si="1"/>
        <v>171.52</v>
      </c>
      <c r="H74" s="25">
        <f>VLOOKUP(B74,[1]!Table3[[Part Number]:[GQP CAD $]],5,0)</f>
        <v>5.36</v>
      </c>
      <c r="I74" s="26">
        <f t="shared" si="0"/>
        <v>85.76</v>
      </c>
    </row>
    <row r="75" spans="2:9" x14ac:dyDescent="0.25">
      <c r="B75" s="62" t="s">
        <v>52</v>
      </c>
      <c r="C75" s="22" t="str">
        <f>VLOOKUP(B75,[1]!Table3[[Part Number]:[Make and Model]],2,0)</f>
        <v xml:space="preserve">CAT PL61 (WGS) CAT PL61 (WGS) (2) CAT PL61 (WGS) (3)                                        </v>
      </c>
      <c r="D75" s="22" t="str">
        <f>VLOOKUP(B75,[1]!Table3[[Part Number]:[Part Description]],3,0)</f>
        <v>SPROCKET</v>
      </c>
      <c r="E75" s="23">
        <f>VLOOKUP(B75,[1]!Table3[[Part Number]:[Annual]],11,0)</f>
        <v>6</v>
      </c>
      <c r="F75" s="24">
        <f>VLOOKUP(B75,[1]!Table3[[Part Number]:[OEM CAD $]],4,0)</f>
        <v>1650.99</v>
      </c>
      <c r="G75" s="24">
        <f t="shared" si="1"/>
        <v>9905.94</v>
      </c>
      <c r="H75" s="25">
        <f>VLOOKUP(B75,[1]!Table3[[Part Number]:[GQP CAD $]],5,0)</f>
        <v>825.5</v>
      </c>
      <c r="I75" s="26">
        <f t="shared" si="0"/>
        <v>4953</v>
      </c>
    </row>
    <row r="76" spans="2:9" x14ac:dyDescent="0.25">
      <c r="B76" s="62" t="s">
        <v>307</v>
      </c>
      <c r="C76" s="22" t="str">
        <f>VLOOKUP(B76,[1]!Table3[[Part Number]:[Make and Model]],2,0)</f>
        <v xml:space="preserve">CAT D6N LGP (GHS) CAT D6N LGP (SGG) CAT D6N LGP (SGG) (2)                                        </v>
      </c>
      <c r="D76" s="22" t="str">
        <f>VLOOKUP(B76,[1]!Table3[[Part Number]:[Part Description]],3,0)</f>
        <v>HEX HEAD BOLT</v>
      </c>
      <c r="E76" s="23">
        <f>VLOOKUP(B76,[1]!Table3[[Part Number]:[Annual]],11,0)</f>
        <v>12</v>
      </c>
      <c r="F76" s="24">
        <f>VLOOKUP(B76,[1]!Table3[[Part Number]:[OEM CAD $]],4,0)</f>
        <v>4.12</v>
      </c>
      <c r="G76" s="24">
        <f t="shared" si="1"/>
        <v>49.44</v>
      </c>
      <c r="H76" s="25">
        <f>VLOOKUP(B76,[1]!Table3[[Part Number]:[GQP CAD $]],5,0)</f>
        <v>2.06</v>
      </c>
      <c r="I76" s="26">
        <f t="shared" si="0"/>
        <v>24.72</v>
      </c>
    </row>
    <row r="77" spans="2:9" x14ac:dyDescent="0.25">
      <c r="B77" s="62" t="s">
        <v>308</v>
      </c>
      <c r="C77" s="22" t="str">
        <f>VLOOKUP(B77,[1]!Table3[[Part Number]:[Make and Model]],2,0)</f>
        <v xml:space="preserve">CAT 303.5E                                            </v>
      </c>
      <c r="D77" s="22" t="str">
        <f>VLOOKUP(B77,[1]!Table3[[Part Number]:[Part Description]],3,0)</f>
        <v>IDLER-BEARING ASSY LH</v>
      </c>
      <c r="E77" s="23">
        <f>VLOOKUP(B77,[1]!Table3[[Part Number]:[Annual]],11,0)</f>
        <v>2</v>
      </c>
      <c r="F77" s="24">
        <f>VLOOKUP(B77,[1]!Table3[[Part Number]:[OEM CAD $]],4,0)</f>
        <v>854.8</v>
      </c>
      <c r="G77" s="24">
        <f t="shared" si="1"/>
        <v>1709.6</v>
      </c>
      <c r="H77" s="25">
        <f>VLOOKUP(B77,[1]!Table3[[Part Number]:[GQP CAD $]],5,0)</f>
        <v>427.4</v>
      </c>
      <c r="I77" s="26">
        <f t="shared" si="0"/>
        <v>854.8</v>
      </c>
    </row>
    <row r="78" spans="2:9" x14ac:dyDescent="0.25">
      <c r="B78" s="62" t="s">
        <v>309</v>
      </c>
      <c r="C78" s="22" t="str">
        <f>VLOOKUP(B78,[1]!Table3[[Part Number]:[Make and Model]],2,0)</f>
        <v xml:space="preserve">CAT D6N LGP (PBA) CAT D6N LGP (PBA) (2)                                          </v>
      </c>
      <c r="D78" s="22" t="str">
        <f>VLOOKUP(B78,[1]!Table3[[Part Number]:[Part Description]],3,0)</f>
        <v>TRACK SHOE 860MM</v>
      </c>
      <c r="E78" s="23">
        <f>VLOOKUP(B78,[1]!Table3[[Part Number]:[Annual]],11,0)</f>
        <v>180</v>
      </c>
      <c r="F78" s="24">
        <f>VLOOKUP(B78,[1]!Table3[[Part Number]:[OEM CAD $]],4,0)</f>
        <v>211.37</v>
      </c>
      <c r="G78" s="24">
        <f t="shared" si="1"/>
        <v>38046.6</v>
      </c>
      <c r="H78" s="25">
        <f>VLOOKUP(B78,[1]!Table3[[Part Number]:[GQP CAD $]],5,0)</f>
        <v>105.69</v>
      </c>
      <c r="I78" s="26">
        <f t="shared" si="0"/>
        <v>19024.2</v>
      </c>
    </row>
    <row r="79" spans="2:9" x14ac:dyDescent="0.25">
      <c r="B79" s="62" t="s">
        <v>310</v>
      </c>
      <c r="C79" s="22" t="str">
        <f>VLOOKUP(B79,[1]!Table3[[Part Number]:[Make and Model]],2,0)</f>
        <v xml:space="preserve">CAT 561N (CPH) CAT 561N (CPH) (2) CAT 561N (CPH) (3) CAT 561N (CPH) (4) CAT 561N (CPH) (5) CAT PL61 (WGS) CAT PL61 (WGS) (2) CAT PL61 (WGS) (3)                              </v>
      </c>
      <c r="D79" s="22" t="str">
        <f>VLOOKUP(B79,[1]!Table3[[Part Number]:[Part Description]],3,0)</f>
        <v>CYLINDER HEAD</v>
      </c>
      <c r="E79" s="23">
        <f>VLOOKUP(B79,[1]!Table3[[Part Number]:[Annual]],11,0)</f>
        <v>8</v>
      </c>
      <c r="F79" s="24">
        <f>VLOOKUP(B79,[1]!Table3[[Part Number]:[OEM CAD $]],4,0)</f>
        <v>12450.3</v>
      </c>
      <c r="G79" s="24">
        <f t="shared" si="1"/>
        <v>99602.4</v>
      </c>
      <c r="H79" s="25">
        <f>VLOOKUP(B79,[1]!Table3[[Part Number]:[GQP CAD $]],5,0)</f>
        <v>6225.15</v>
      </c>
      <c r="I79" s="26">
        <f t="shared" si="0"/>
        <v>49801.2</v>
      </c>
    </row>
    <row r="80" spans="2:9" x14ac:dyDescent="0.25">
      <c r="B80" s="62" t="s">
        <v>311</v>
      </c>
      <c r="C80" s="22" t="str">
        <f>VLOOKUP(B80,[1]!Table3[[Part Number]:[Make and Model]],2,0)</f>
        <v xml:space="preserve">CAT D7G (92V) CAT D7G (3ZD) CAT D7G (3ZD) (2)                                        </v>
      </c>
      <c r="D80" s="22" t="str">
        <f>VLOOKUP(B80,[1]!Table3[[Part Number]:[Part Description]],3,0)</f>
        <v>SPROCKET BOLT</v>
      </c>
      <c r="E80" s="23">
        <f>VLOOKUP(B80,[1]!Table3[[Part Number]:[Annual]],11,0)</f>
        <v>120</v>
      </c>
      <c r="F80" s="24">
        <f>VLOOKUP(B80,[1]!Table3[[Part Number]:[OEM CAD $]],4,0)</f>
        <v>4.75</v>
      </c>
      <c r="G80" s="24">
        <f t="shared" ref="G80:G143" si="2">E80*F80</f>
        <v>570</v>
      </c>
      <c r="H80" s="25">
        <f>VLOOKUP(B80,[1]!Table3[[Part Number]:[GQP CAD $]],5,0)</f>
        <v>2.38</v>
      </c>
      <c r="I80" s="26">
        <f t="shared" si="0"/>
        <v>285.60000000000002</v>
      </c>
    </row>
    <row r="81" spans="2:9" x14ac:dyDescent="0.25">
      <c r="B81" s="62" t="s">
        <v>312</v>
      </c>
      <c r="C81" s="22" t="str">
        <f>VLOOKUP(B81,[1]!Table3[[Part Number]:[Make and Model]],2,0)</f>
        <v xml:space="preserve">CAT D6T (MH7)                                            </v>
      </c>
      <c r="D81" s="22" t="str">
        <f>VLOOKUP(B81,[1]!Table3[[Part Number]:[Part Description]],3,0)</f>
        <v>SINGLE FLANGE TRACK ROLLER</v>
      </c>
      <c r="E81" s="23">
        <f>VLOOKUP(B81,[1]!Table3[[Part Number]:[Annual]],11,0)</f>
        <v>4</v>
      </c>
      <c r="F81" s="24">
        <f>VLOOKUP(B81,[1]!Table3[[Part Number]:[OEM CAD $]],4,0)</f>
        <v>936.48</v>
      </c>
      <c r="G81" s="24">
        <f t="shared" si="2"/>
        <v>3745.92</v>
      </c>
      <c r="H81" s="25">
        <f>VLOOKUP(B81,[1]!Table3[[Part Number]:[GQP CAD $]],5,0)</f>
        <v>468.24</v>
      </c>
      <c r="I81" s="26">
        <f t="shared" si="0"/>
        <v>1872.96</v>
      </c>
    </row>
    <row r="82" spans="2:9" x14ac:dyDescent="0.25">
      <c r="B82" s="62" t="s">
        <v>313</v>
      </c>
      <c r="C82" s="22" t="str">
        <f>VLOOKUP(B82,[1]!Table3[[Part Number]:[Make and Model]],2,0)</f>
        <v xml:space="preserve">CAT D6T (MH7)                                            </v>
      </c>
      <c r="D82" s="22" t="str">
        <f>VLOOKUP(B82,[1]!Table3[[Part Number]:[Part Description]],3,0)</f>
        <v>DOUBLE FLANGE TRACK ROLLER</v>
      </c>
      <c r="E82" s="23">
        <f>VLOOKUP(B82,[1]!Table3[[Part Number]:[Annual]],11,0)</f>
        <v>12</v>
      </c>
      <c r="F82" s="24">
        <f>VLOOKUP(B82,[1]!Table3[[Part Number]:[OEM CAD $]],4,0)</f>
        <v>1023.54</v>
      </c>
      <c r="G82" s="24">
        <f t="shared" si="2"/>
        <v>12282.48</v>
      </c>
      <c r="H82" s="25">
        <f>VLOOKUP(B82,[1]!Table3[[Part Number]:[GQP CAD $]],5,0)</f>
        <v>511.77</v>
      </c>
      <c r="I82" s="26">
        <f t="shared" si="0"/>
        <v>6141.24</v>
      </c>
    </row>
    <row r="83" spans="2:9" x14ac:dyDescent="0.25">
      <c r="B83" s="62" t="s">
        <v>314</v>
      </c>
      <c r="C83" s="22" t="str">
        <f>VLOOKUP(B83,[1]!Table3[[Part Number]:[Make and Model]],2,0)</f>
        <v xml:space="preserve">CAT 303.5E                                            </v>
      </c>
      <c r="D83" s="22" t="str">
        <f>VLOOKUP(B83,[1]!Table3[[Part Number]:[Part Description]],3,0)</f>
        <v>FINAL DRIVE</v>
      </c>
      <c r="E83" s="23">
        <f>VLOOKUP(B83,[1]!Table3[[Part Number]:[Annual]],11,0)</f>
        <v>2</v>
      </c>
      <c r="F83" s="24">
        <f>VLOOKUP(B83,[1]!Table3[[Part Number]:[OEM CAD $]],4,0)</f>
        <v>10089.31</v>
      </c>
      <c r="G83" s="24">
        <f t="shared" si="2"/>
        <v>20178.62</v>
      </c>
      <c r="H83" s="25">
        <f>VLOOKUP(B83,[1]!Table3[[Part Number]:[GQP CAD $]],5,0)</f>
        <v>5044.66</v>
      </c>
      <c r="I83" s="26">
        <f t="shared" si="0"/>
        <v>10089.32</v>
      </c>
    </row>
    <row r="84" spans="2:9" x14ac:dyDescent="0.25">
      <c r="B84" s="62" t="s">
        <v>315</v>
      </c>
      <c r="C84" s="22" t="str">
        <f>VLOOKUP(B84,[1]!Table3[[Part Number]:[Make and Model]],2,0)</f>
        <v xml:space="preserve">CAT D6N LGP (PBA) CAT D6N LGP (PBA) (2)                                          </v>
      </c>
      <c r="D84" s="22" t="str">
        <f>VLOOKUP(B84,[1]!Table3[[Part Number]:[Part Description]],3,0)</f>
        <v>TRACK SHOE MASTER</v>
      </c>
      <c r="E84" s="23">
        <f>VLOOKUP(B84,[1]!Table3[[Part Number]:[Annual]],11,0)</f>
        <v>4</v>
      </c>
      <c r="F84" s="24">
        <f>VLOOKUP(B84,[1]!Table3[[Part Number]:[OEM CAD $]],4,0)</f>
        <v>241.71</v>
      </c>
      <c r="G84" s="24">
        <f t="shared" si="2"/>
        <v>966.84</v>
      </c>
      <c r="H84" s="25">
        <f>VLOOKUP(B84,[1]!Table3[[Part Number]:[GQP CAD $]],5,0)</f>
        <v>120.86</v>
      </c>
      <c r="I84" s="26">
        <f t="shared" si="0"/>
        <v>483.44</v>
      </c>
    </row>
    <row r="85" spans="2:9" x14ac:dyDescent="0.25">
      <c r="B85" s="62" t="s">
        <v>185</v>
      </c>
      <c r="C85" s="22" t="str">
        <f>VLOOKUP(B85,[1]!Table3[[Part Number]:[Make and Model]],2,0)</f>
        <v xml:space="preserve">CAT D6N LGP (GHS) CAT D6N LGP (PBA) CAT D6N LGP (PBA) (2) CAT D6N LGP (SGG) CAT D6N LGP (SGG) (2) CAT D6T (MH7)                                  </v>
      </c>
      <c r="D85" s="22" t="str">
        <f>VLOOKUP(B85,[1]!Table3[[Part Number]:[Part Description]],3,0)</f>
        <v>FLAT WASHER</v>
      </c>
      <c r="E85" s="23">
        <f>VLOOKUP(B85,[1]!Table3[[Part Number]:[Annual]],11,0)</f>
        <v>300</v>
      </c>
      <c r="F85" s="24">
        <f>VLOOKUP(B85,[1]!Table3[[Part Number]:[OEM CAD $]],4,0)</f>
        <v>2.0499999999999998</v>
      </c>
      <c r="G85" s="24">
        <f t="shared" si="2"/>
        <v>615</v>
      </c>
      <c r="H85" s="25">
        <f>VLOOKUP(B85,[1]!Table3[[Part Number]:[GQP CAD $]],5,0)</f>
        <v>1.03</v>
      </c>
      <c r="I85" s="26">
        <f t="shared" si="0"/>
        <v>309</v>
      </c>
    </row>
    <row r="86" spans="2:9" x14ac:dyDescent="0.25">
      <c r="B86" s="62" t="s">
        <v>316</v>
      </c>
      <c r="C86" s="22" t="str">
        <f>VLOOKUP(B86,[1]!Table3[[Part Number]:[Make and Model]],2,0)</f>
        <v xml:space="preserve">CAT 329E L (ZCD) CAT 329F L (ERL) CAT 329F L (ERL) (2) CAT 330F L (MBX) CAT 330F L (HCK) CAT 330F L (HCK) (2) CAT 330 (LHW) CAT 330 (LHW) (2) CAT 330 (LHW) (3) CAT 330 (LHW) (4) CAT 330 (WCH) CAT 330 (WCH) (2) CAT 330 (WCH) (3) CAT 330 (WCH) (4) CAT 330 (WCH) (5) CAT 330 (WCH) (6) CAT 336F L (RKB)            </v>
      </c>
      <c r="D86" s="22" t="str">
        <f>VLOOKUP(B86,[1]!Table3[[Part Number]:[Part Description]],3,0)</f>
        <v>CARRIER ROLLER</v>
      </c>
      <c r="E86" s="23">
        <f>VLOOKUP(B86,[1]!Table3[[Part Number]:[Annual]],11,0)</f>
        <v>68</v>
      </c>
      <c r="F86" s="24">
        <f>VLOOKUP(B86,[1]!Table3[[Part Number]:[OEM CAD $]],4,0)</f>
        <v>635.41999999999996</v>
      </c>
      <c r="G86" s="24">
        <f t="shared" si="2"/>
        <v>43208.56</v>
      </c>
      <c r="H86" s="25">
        <f>VLOOKUP(B86,[1]!Table3[[Part Number]:[GQP CAD $]],5,0)</f>
        <v>317.70999999999998</v>
      </c>
      <c r="I86" s="26">
        <f t="shared" si="0"/>
        <v>21604.28</v>
      </c>
    </row>
    <row r="87" spans="2:9" x14ac:dyDescent="0.25">
      <c r="B87" s="62" t="s">
        <v>317</v>
      </c>
      <c r="C87" s="22" t="str">
        <f>VLOOKUP(B87,[1]!Table3[[Part Number]:[Make and Model]],2,0)</f>
        <v xml:space="preserve">CAT 299D (DX2)                                            </v>
      </c>
      <c r="D87" s="22" t="str">
        <f>VLOOKUP(B87,[1]!Table3[[Part Number]:[Part Description]],3,0)</f>
        <v>SPROCKET</v>
      </c>
      <c r="E87" s="23">
        <f>VLOOKUP(B87,[1]!Table3[[Part Number]:[Annual]],11,0)</f>
        <v>2</v>
      </c>
      <c r="F87" s="24">
        <f>VLOOKUP(B87,[1]!Table3[[Part Number]:[OEM CAD $]],4,0)</f>
        <v>605.28</v>
      </c>
      <c r="G87" s="24">
        <f t="shared" si="2"/>
        <v>1210.56</v>
      </c>
      <c r="H87" s="25">
        <f>VLOOKUP(B87,[1]!Table3[[Part Number]:[GQP CAD $]],5,0)</f>
        <v>302.64</v>
      </c>
      <c r="I87" s="26">
        <f t="shared" si="0"/>
        <v>605.28</v>
      </c>
    </row>
    <row r="88" spans="2:9" x14ac:dyDescent="0.25">
      <c r="B88" s="62" t="s">
        <v>318</v>
      </c>
      <c r="C88" s="22" t="str">
        <f>VLOOKUP(B88,[1]!Table3[[Part Number]:[Make and Model]],2,0)</f>
        <v xml:space="preserve">CAT 329E L (ZCD) CAT 329F L (ERL) CAT 329F L (ERL) (2) CAT 330F L (MBX) CAT 330F L (HCK) CAT 330F L (HCK) (2)                                  </v>
      </c>
      <c r="D88" s="22" t="str">
        <f>VLOOKUP(B88,[1]!Table3[[Part Number]:[Part Description]],3,0)</f>
        <v>TRACK BOLT 68MM</v>
      </c>
      <c r="E88" s="23">
        <f>VLOOKUP(B88,[1]!Table3[[Part Number]:[Annual]],11,0)</f>
        <v>2400</v>
      </c>
      <c r="F88" s="24">
        <f>VLOOKUP(B88,[1]!Table3[[Part Number]:[OEM CAD $]],4,0)</f>
        <v>6.78</v>
      </c>
      <c r="G88" s="24">
        <f t="shared" si="2"/>
        <v>16272</v>
      </c>
      <c r="H88" s="25">
        <f>VLOOKUP(B88,[1]!Table3[[Part Number]:[GQP CAD $]],5,0)</f>
        <v>3.39</v>
      </c>
      <c r="I88" s="26">
        <f t="shared" si="0"/>
        <v>8136</v>
      </c>
    </row>
    <row r="89" spans="2:9" x14ac:dyDescent="0.25">
      <c r="B89" s="62" t="s">
        <v>319</v>
      </c>
      <c r="C89" s="22" t="str">
        <f>VLOOKUP(B89,[1]!Table3[[Part Number]:[Make and Model]],2,0)</f>
        <v xml:space="preserve">CAT D6N LGP (GHS) CAT D6N LGP (SGG) CAT D6N LGP (SGG) (2)                                        </v>
      </c>
      <c r="D89" s="22" t="str">
        <f>VLOOKUP(B89,[1]!Table3[[Part Number]:[Part Description]],3,0)</f>
        <v>SINGLE FLANGE TRACK ROLLER</v>
      </c>
      <c r="E89" s="23">
        <f>VLOOKUP(B89,[1]!Table3[[Part Number]:[Annual]],11,0)</f>
        <v>20</v>
      </c>
      <c r="F89" s="24">
        <f>VLOOKUP(B89,[1]!Table3[[Part Number]:[OEM CAD $]],4,0)</f>
        <v>857.8</v>
      </c>
      <c r="G89" s="24">
        <f t="shared" si="2"/>
        <v>17156</v>
      </c>
      <c r="H89" s="25">
        <f>VLOOKUP(B89,[1]!Table3[[Part Number]:[GQP CAD $]],5,0)</f>
        <v>428.9</v>
      </c>
      <c r="I89" s="26">
        <f t="shared" si="0"/>
        <v>8578</v>
      </c>
    </row>
    <row r="90" spans="2:9" x14ac:dyDescent="0.25">
      <c r="B90" s="62" t="s">
        <v>320</v>
      </c>
      <c r="C90" s="22" t="str">
        <f>VLOOKUP(B90,[1]!Table3[[Part Number]:[Make and Model]],2,0)</f>
        <v xml:space="preserve">CAT D6N LGP (SGG) CAT D6N LGP (SGG) (2)                                          </v>
      </c>
      <c r="D90" s="22" t="str">
        <f>VLOOKUP(B90,[1]!Table3[[Part Number]:[Part Description]],3,0)</f>
        <v>DOUBLE FLANGE TRACK ROLLER</v>
      </c>
      <c r="E90" s="23">
        <f>VLOOKUP(B90,[1]!Table3[[Part Number]:[Annual]],11,0)</f>
        <v>16</v>
      </c>
      <c r="F90" s="24">
        <f>VLOOKUP(B90,[1]!Table3[[Part Number]:[OEM CAD $]],4,0)</f>
        <v>900.53</v>
      </c>
      <c r="G90" s="24">
        <f t="shared" si="2"/>
        <v>14408.48</v>
      </c>
      <c r="H90" s="25">
        <f>VLOOKUP(B90,[1]!Table3[[Part Number]:[GQP CAD $]],5,0)</f>
        <v>450.27</v>
      </c>
      <c r="I90" s="26">
        <f t="shared" si="0"/>
        <v>7204.32</v>
      </c>
    </row>
    <row r="91" spans="2:9" x14ac:dyDescent="0.25">
      <c r="B91" s="62" t="s">
        <v>321</v>
      </c>
      <c r="C91" s="22" t="str">
        <f>VLOOKUP(B91,[1]!Table3[[Part Number]:[Make and Model]],2,0)</f>
        <v xml:space="preserve">CAT D6N LGP (GHS)                                            </v>
      </c>
      <c r="D91" s="22" t="str">
        <f>VLOOKUP(B91,[1]!Table3[[Part Number]:[Part Description]],3,0)</f>
        <v>DOUBLE FLANGE TRACK ROLLER (GUIDE AR)*</v>
      </c>
      <c r="E91" s="23">
        <f>VLOOKUP(B91,[1]!Table3[[Part Number]:[Annual]],11,0)</f>
        <v>12</v>
      </c>
      <c r="F91" s="24">
        <f>VLOOKUP(B91,[1]!Table3[[Part Number]:[OEM CAD $]],4,0)</f>
        <v>1006.57</v>
      </c>
      <c r="G91" s="24">
        <f t="shared" si="2"/>
        <v>12078.84</v>
      </c>
      <c r="H91" s="25">
        <f>VLOOKUP(B91,[1]!Table3[[Part Number]:[GQP CAD $]],5,0)</f>
        <v>503.29</v>
      </c>
      <c r="I91" s="26">
        <f t="shared" si="0"/>
        <v>6039.48</v>
      </c>
    </row>
    <row r="92" spans="2:9" x14ac:dyDescent="0.25">
      <c r="B92" s="62" t="s">
        <v>322</v>
      </c>
      <c r="C92" s="22" t="str">
        <f>VLOOKUP(B92,[1]!Table3[[Part Number]:[Make and Model]],2,0)</f>
        <v xml:space="preserve">CAT 330 (LHW) CAT 330 (LHW) (2) CAT 330 (LHW) (3) CAT 330 (LHW) (4) CAT 330 (WCH) CAT 330 (WCH) (2) CAT 330 (WCH) (3) CAT 330 (WCH) (4) CAT 330 (WCH) (5) CAT 330 (WCH) (6) CAT 336F L (RKB)                        </v>
      </c>
      <c r="D92" s="22" t="str">
        <f>VLOOKUP(B92,[1]!Table3[[Part Number]:[Part Description]],3,0)</f>
        <v>TRACK NUT</v>
      </c>
      <c r="E92" s="23">
        <f>VLOOKUP(B92,[1]!Table3[[Part Number]:[Annual]],11,0)</f>
        <v>4396</v>
      </c>
      <c r="F92" s="24">
        <f>VLOOKUP(B92,[1]!Table3[[Part Number]:[OEM CAD $]],4,0)</f>
        <v>3.94</v>
      </c>
      <c r="G92" s="24">
        <f t="shared" si="2"/>
        <v>17320.239999999998</v>
      </c>
      <c r="H92" s="25">
        <f>VLOOKUP(B92,[1]!Table3[[Part Number]:[GQP CAD $]],5,0)</f>
        <v>1.97</v>
      </c>
      <c r="I92" s="26">
        <f t="shared" si="0"/>
        <v>8660.1200000000008</v>
      </c>
    </row>
    <row r="93" spans="2:9" x14ac:dyDescent="0.25">
      <c r="B93" s="62" t="s">
        <v>326</v>
      </c>
      <c r="C93" s="22" t="str">
        <f>VLOOKUP(B93,[1]!Table3[[Part Number]:[Make and Model]],2,0)</f>
        <v xml:space="preserve">CAT D6N LGP (PBA) CAT D6N LGP (PBA) (2)                                          </v>
      </c>
      <c r="D93" s="22" t="str">
        <f>VLOOKUP(B93,[1]!Table3[[Part Number]:[Part Description]],3,0)</f>
        <v>TRACK LINK MASTER</v>
      </c>
      <c r="E93" s="23">
        <f>VLOOKUP(B93,[1]!Table3[[Part Number]:[Annual]],11,0)</f>
        <v>8</v>
      </c>
      <c r="F93" s="24">
        <f>VLOOKUP(B93,[1]!Table3[[Part Number]:[OEM CAD $]],4,0)</f>
        <v>392.82</v>
      </c>
      <c r="G93" s="24">
        <f t="shared" si="2"/>
        <v>3142.56</v>
      </c>
      <c r="H93" s="25">
        <f>VLOOKUP(B93,[1]!Table3[[Part Number]:[GQP CAD $]],5,0)</f>
        <v>196.41</v>
      </c>
      <c r="I93" s="26">
        <f t="shared" si="0"/>
        <v>1571.28</v>
      </c>
    </row>
    <row r="94" spans="2:9" x14ac:dyDescent="0.25">
      <c r="B94" s="62" t="s">
        <v>327</v>
      </c>
      <c r="C94" s="22" t="str">
        <f>VLOOKUP(B94,[1]!Table3[[Part Number]:[Make and Model]],2,0)</f>
        <v xml:space="preserve">CAT 336F L (RKB)                                            </v>
      </c>
      <c r="D94" s="22" t="str">
        <f>VLOOKUP(B94,[1]!Table3[[Part Number]:[Part Description]],3,0)</f>
        <v>TRACK BOLT</v>
      </c>
      <c r="E94" s="23">
        <f>VLOOKUP(B94,[1]!Table3[[Part Number]:[Annual]],11,0)</f>
        <v>396</v>
      </c>
      <c r="F94" s="24">
        <f>VLOOKUP(B94,[1]!Table3[[Part Number]:[OEM CAD $]],4,0)</f>
        <v>9.11</v>
      </c>
      <c r="G94" s="24">
        <f t="shared" si="2"/>
        <v>3607.56</v>
      </c>
      <c r="H94" s="25">
        <f>VLOOKUP(B94,[1]!Table3[[Part Number]:[GQP CAD $]],5,0)</f>
        <v>4.5599999999999996</v>
      </c>
      <c r="I94" s="26">
        <f t="shared" si="0"/>
        <v>1805.76</v>
      </c>
    </row>
    <row r="95" spans="2:9" x14ac:dyDescent="0.25">
      <c r="B95" s="62" t="s">
        <v>328</v>
      </c>
      <c r="C95" s="22" t="str">
        <f>VLOOKUP(B95,[1]!Table3[[Part Number]:[Make and Model]],2,0)</f>
        <v xml:space="preserve">CAT D6N LGP (PBA) CAT D6N LGP (PBA) (2)                                          </v>
      </c>
      <c r="D95" s="22" t="str">
        <f>VLOOKUP(B95,[1]!Table3[[Part Number]:[Part Description]],3,0)</f>
        <v>TRACK IDLER</v>
      </c>
      <c r="E95" s="23">
        <f>VLOOKUP(B95,[1]!Table3[[Part Number]:[Annual]],11,0)</f>
        <v>8</v>
      </c>
      <c r="F95" s="24">
        <f>VLOOKUP(B95,[1]!Table3[[Part Number]:[OEM CAD $]],4,0)</f>
        <v>4087.57</v>
      </c>
      <c r="G95" s="24">
        <f t="shared" si="2"/>
        <v>32700.560000000001</v>
      </c>
      <c r="H95" s="25">
        <f>VLOOKUP(B95,[1]!Table3[[Part Number]:[GQP CAD $]],5,0)</f>
        <v>2043.79</v>
      </c>
      <c r="I95" s="26">
        <f t="shared" si="0"/>
        <v>16350.32</v>
      </c>
    </row>
    <row r="96" spans="2:9" x14ac:dyDescent="0.25">
      <c r="B96" s="62" t="s">
        <v>329</v>
      </c>
      <c r="C96" s="22" t="str">
        <f>VLOOKUP(B96,[1]!Table3[[Part Number]:[Make and Model]],2,0)</f>
        <v xml:space="preserve">CAT 320E L (WBK) CAT 320E L (WBK) (2) CAT 320F L (YBM) CAT 320 (HEX) CAT 320 (MYK) CAT 320 (MYK) (2)                                  </v>
      </c>
      <c r="D96" s="22" t="str">
        <f>VLOOKUP(B96,[1]!Table3[[Part Number]:[Part Description]],3,0)</f>
        <v>TRACK SHOE 790MM</v>
      </c>
      <c r="E96" s="23">
        <f>VLOOKUP(B96,[1]!Table3[[Part Number]:[Annual]],11,0)</f>
        <v>588</v>
      </c>
      <c r="F96" s="24">
        <f>VLOOKUP(B96,[1]!Table3[[Part Number]:[OEM CAD $]],4,0)</f>
        <v>179.13</v>
      </c>
      <c r="G96" s="24">
        <f t="shared" si="2"/>
        <v>105328.44</v>
      </c>
      <c r="H96" s="25">
        <f>VLOOKUP(B96,[1]!Table3[[Part Number]:[GQP CAD $]],5,0)</f>
        <v>89.57</v>
      </c>
      <c r="I96" s="26">
        <f t="shared" si="0"/>
        <v>52667.16</v>
      </c>
    </row>
    <row r="97" spans="2:9" x14ac:dyDescent="0.25">
      <c r="B97" s="62" t="s">
        <v>330</v>
      </c>
      <c r="C97" s="22" t="str">
        <f>VLOOKUP(B97,[1]!Table3[[Part Number]:[Make and Model]],2,0)</f>
        <v xml:space="preserve">CAT 329E L (ZCD) CAT 329F L (ERL) CAT 329F L (ERL) (2) CAT 330F L (MBX) CAT 330F L (HCK) CAT 330F L (HCK) (2)                                  </v>
      </c>
      <c r="D97" s="22" t="str">
        <f>VLOOKUP(B97,[1]!Table3[[Part Number]:[Part Description]],3,0)</f>
        <v>TRACK LINK ASSEMBLY</v>
      </c>
      <c r="E97" s="23">
        <f>VLOOKUP(B97,[1]!Table3[[Part Number]:[Annual]],11,0)</f>
        <v>12</v>
      </c>
      <c r="F97" s="24">
        <f>VLOOKUP(B97,[1]!Table3[[Part Number]:[OEM CAD $]],4,0)</f>
        <v>10788.51</v>
      </c>
      <c r="G97" s="24">
        <f t="shared" si="2"/>
        <v>129462.12</v>
      </c>
      <c r="H97" s="25">
        <f>VLOOKUP(B97,[1]!Table3[[Part Number]:[GQP CAD $]],5,0)</f>
        <v>5394.26</v>
      </c>
      <c r="I97" s="26">
        <f t="shared" si="0"/>
        <v>64731.12</v>
      </c>
    </row>
    <row r="98" spans="2:9" x14ac:dyDescent="0.25">
      <c r="B98" s="62" t="s">
        <v>331</v>
      </c>
      <c r="C98" s="22" t="str">
        <f>VLOOKUP(B98,[1]!Table3[[Part Number]:[Make and Model]],2,0)</f>
        <v xml:space="preserve">CAT 320F L (YBM) CAT 320 (HEX) CAT 320 (MYK) CAT 320 (MYK) (2)                                      </v>
      </c>
      <c r="D98" s="22" t="str">
        <f>VLOOKUP(B98,[1]!Table3[[Part Number]:[Part Description]],3,0)</f>
        <v>BUCKET CYLINDER</v>
      </c>
      <c r="E98" s="23">
        <f>VLOOKUP(B98,[1]!Table3[[Part Number]:[Annual]],11,0)</f>
        <v>4</v>
      </c>
      <c r="F98" s="24">
        <f>VLOOKUP(B98,[1]!Table3[[Part Number]:[OEM CAD $]],4,0)</f>
        <v>22869.96</v>
      </c>
      <c r="G98" s="24">
        <f t="shared" si="2"/>
        <v>91479.84</v>
      </c>
      <c r="H98" s="25">
        <f>VLOOKUP(B98,[1]!Table3[[Part Number]:[GQP CAD $]],5,0)</f>
        <v>8690.58</v>
      </c>
      <c r="I98" s="26">
        <f t="shared" si="0"/>
        <v>34762.32</v>
      </c>
    </row>
    <row r="99" spans="2:9" x14ac:dyDescent="0.25">
      <c r="B99" s="62" t="s">
        <v>186</v>
      </c>
      <c r="C99" s="22" t="str">
        <f>VLOOKUP(B99,[1]!Table3[[Part Number]:[Make and Model]],2,0)</f>
        <v xml:space="preserve">CAT D6N LGP (PBA) CAT D6N LGP (PBA) (2)                                          </v>
      </c>
      <c r="D99" s="22" t="str">
        <f>VLOOKUP(B99,[1]!Table3[[Part Number]:[Part Description]],3,0)</f>
        <v>FRONT WEAR PLATE</v>
      </c>
      <c r="E99" s="23">
        <f>VLOOKUP(B99,[1]!Table3[[Part Number]:[Annual]],11,0)</f>
        <v>8</v>
      </c>
      <c r="F99" s="24">
        <f>VLOOKUP(B99,[1]!Table3[[Part Number]:[OEM CAD $]],4,0)</f>
        <v>317.01</v>
      </c>
      <c r="G99" s="24">
        <f t="shared" si="2"/>
        <v>2536.08</v>
      </c>
      <c r="H99" s="25">
        <f>VLOOKUP(B99,[1]!Table3[[Part Number]:[GQP CAD $]],5,0)</f>
        <v>158.51</v>
      </c>
      <c r="I99" s="26">
        <f t="shared" si="0"/>
        <v>1268.08</v>
      </c>
    </row>
    <row r="100" spans="2:9" x14ac:dyDescent="0.25">
      <c r="B100" s="62" t="s">
        <v>187</v>
      </c>
      <c r="C100" s="22" t="str">
        <f>VLOOKUP(B100,[1]!Table3[[Part Number]:[Make and Model]],2,0)</f>
        <v xml:space="preserve">CAT D6N LGP (PBA) CAT D6N LGP (PBA) (2)                                          </v>
      </c>
      <c r="D100" s="22" t="str">
        <f>VLOOKUP(B100,[1]!Table3[[Part Number]:[Part Description]],3,0)</f>
        <v>REAR WEAR PLATE</v>
      </c>
      <c r="E100" s="23">
        <f>VLOOKUP(B100,[1]!Table3[[Part Number]:[Annual]],11,0)</f>
        <v>8</v>
      </c>
      <c r="F100" s="24">
        <f>VLOOKUP(B100,[1]!Table3[[Part Number]:[OEM CAD $]],4,0)</f>
        <v>369.71</v>
      </c>
      <c r="G100" s="24">
        <f t="shared" si="2"/>
        <v>2957.68</v>
      </c>
      <c r="H100" s="25">
        <f>VLOOKUP(B100,[1]!Table3[[Part Number]:[GQP CAD $]],5,0)</f>
        <v>184.86</v>
      </c>
      <c r="I100" s="26">
        <f t="shared" si="0"/>
        <v>1478.88</v>
      </c>
    </row>
    <row r="101" spans="2:9" x14ac:dyDescent="0.25">
      <c r="B101" s="62" t="s">
        <v>332</v>
      </c>
      <c r="C101" s="22" t="str">
        <f>VLOOKUP(B101,[1]!Table3[[Part Number]:[Make and Model]],2,0)</f>
        <v xml:space="preserve">CAT D6N LGP (SGG) CAT D6N LGP (SGG) (2)                                          </v>
      </c>
      <c r="D101" s="22" t="str">
        <f>VLOOKUP(B101,[1]!Table3[[Part Number]:[Part Description]],3,0)</f>
        <v>TRACK SHOE 835MM</v>
      </c>
      <c r="E101" s="23">
        <f>VLOOKUP(B101,[1]!Table3[[Part Number]:[Annual]],11,0)</f>
        <v>180</v>
      </c>
      <c r="F101" s="24">
        <f>VLOOKUP(B101,[1]!Table3[[Part Number]:[OEM CAD $]],4,0)</f>
        <v>197.96</v>
      </c>
      <c r="G101" s="24">
        <f t="shared" si="2"/>
        <v>35632.800000000003</v>
      </c>
      <c r="H101" s="25">
        <f>VLOOKUP(B101,[1]!Table3[[Part Number]:[GQP CAD $]],5,0)</f>
        <v>98.98</v>
      </c>
      <c r="I101" s="26">
        <f t="shared" si="0"/>
        <v>17816.400000000001</v>
      </c>
    </row>
    <row r="102" spans="2:9" x14ac:dyDescent="0.25">
      <c r="B102" s="62" t="s">
        <v>333</v>
      </c>
      <c r="C102" s="22" t="str">
        <f>VLOOKUP(B102,[1]!Table3[[Part Number]:[Make and Model]],2,0)</f>
        <v xml:space="preserve">CAT D6N LGP (SGG) CAT D6N LGP (SGG) (2)                                          </v>
      </c>
      <c r="D102" s="22" t="str">
        <f>VLOOKUP(B102,[1]!Table3[[Part Number]:[Part Description]],3,0)</f>
        <v>TRACK SHOE MASTER</v>
      </c>
      <c r="E102" s="23">
        <f>VLOOKUP(B102,[1]!Table3[[Part Number]:[Annual]],11,0)</f>
        <v>4</v>
      </c>
      <c r="F102" s="24">
        <f>VLOOKUP(B102,[1]!Table3[[Part Number]:[OEM CAD $]],4,0)</f>
        <v>209.96</v>
      </c>
      <c r="G102" s="24">
        <f t="shared" si="2"/>
        <v>839.84</v>
      </c>
      <c r="H102" s="25">
        <f>VLOOKUP(B102,[1]!Table3[[Part Number]:[GQP CAD $]],5,0)</f>
        <v>104.98</v>
      </c>
      <c r="I102" s="26">
        <f t="shared" si="0"/>
        <v>419.92</v>
      </c>
    </row>
    <row r="103" spans="2:9" x14ac:dyDescent="0.25">
      <c r="B103" s="62" t="s">
        <v>334</v>
      </c>
      <c r="C103" s="22" t="str">
        <f>VLOOKUP(B103,[1]!Table3[[Part Number]:[Make and Model]],2,0)</f>
        <v xml:space="preserve">CAT 561M (1KW) CAT 561N (CPH) CAT 561N (CPH) CAT 561N (CPH) (2) CAT 561N (CPH) (2) CAT 561N (CPH) (3) CAT 561N (CPH) (3) CAT 561N (CPH) (4) CAT 561N (CPH) (4) CAT 561N (CPH) (5) CAT 561N (CPH) (5)                        </v>
      </c>
      <c r="D103" s="22" t="str">
        <f>VLOOKUP(B103,[1]!Table3[[Part Number]:[Part Description]],3,0)</f>
        <v>BOLT ROLLER</v>
      </c>
      <c r="E103" s="23">
        <f>VLOOKUP(B103,[1]!Table3[[Part Number]:[Annual]],11,0)</f>
        <v>356</v>
      </c>
      <c r="F103" s="24">
        <f>VLOOKUP(B103,[1]!Table3[[Part Number]:[OEM CAD $]],4,0)</f>
        <v>8.76</v>
      </c>
      <c r="G103" s="24">
        <f t="shared" si="2"/>
        <v>3118.56</v>
      </c>
      <c r="H103" s="25">
        <f>VLOOKUP(B103,[1]!Table3[[Part Number]:[GQP CAD $]],5,0)</f>
        <v>4.38</v>
      </c>
      <c r="I103" s="26">
        <f t="shared" si="0"/>
        <v>1559.28</v>
      </c>
    </row>
    <row r="104" spans="2:9" x14ac:dyDescent="0.25">
      <c r="B104" s="62" t="s">
        <v>335</v>
      </c>
      <c r="C104" s="22" t="str">
        <f>VLOOKUP(B104,[1]!Table3[[Part Number]:[Make and Model]],2,0)</f>
        <v xml:space="preserve">CAT PL61 (WGS) CAT PL61 (WGS) (2) CAT PL61 (WGS) (3)                                        </v>
      </c>
      <c r="D104" s="22" t="str">
        <f>VLOOKUP(B104,[1]!Table3[[Part Number]:[Part Description]],3,0)</f>
        <v>TRACK IDLER</v>
      </c>
      <c r="E104" s="23">
        <f>VLOOKUP(B104,[1]!Table3[[Part Number]:[Annual]],11,0)</f>
        <v>6</v>
      </c>
      <c r="F104" s="24">
        <f>VLOOKUP(B104,[1]!Table3[[Part Number]:[OEM CAD $]],4,0)</f>
        <v>3032.3</v>
      </c>
      <c r="G104" s="24">
        <f t="shared" si="2"/>
        <v>18193.800000000003</v>
      </c>
      <c r="H104" s="25">
        <f>VLOOKUP(B104,[1]!Table3[[Part Number]:[GQP CAD $]],5,0)</f>
        <v>1516.15</v>
      </c>
      <c r="I104" s="26">
        <f t="shared" si="0"/>
        <v>9096.9</v>
      </c>
    </row>
    <row r="105" spans="2:9" x14ac:dyDescent="0.25">
      <c r="B105" s="62" t="s">
        <v>53</v>
      </c>
      <c r="C105" s="22" t="str">
        <f>VLOOKUP(B105,[1]!Table3[[Part Number]:[Make and Model]],2,0)</f>
        <v xml:space="preserve">CAT PL61 (WGS) CAT PL61 (WGS) (2) CAT PL61 (WGS) (3)                                        </v>
      </c>
      <c r="D105" s="22" t="str">
        <f>VLOOKUP(B105,[1]!Table3[[Part Number]:[Part Description]],3,0)</f>
        <v>DUAL FLANGE ROLLER</v>
      </c>
      <c r="E105" s="23">
        <f>VLOOKUP(B105,[1]!Table3[[Part Number]:[Annual]],11,0)</f>
        <v>48</v>
      </c>
      <c r="F105" s="24">
        <f>VLOOKUP(B105,[1]!Table3[[Part Number]:[OEM CAD $]],4,0)</f>
        <v>564.07000000000005</v>
      </c>
      <c r="G105" s="24">
        <f t="shared" si="2"/>
        <v>27075.360000000001</v>
      </c>
      <c r="H105" s="25">
        <f>VLOOKUP(B105,[1]!Table3[[Part Number]:[GQP CAD $]],5,0)</f>
        <v>282.04000000000002</v>
      </c>
      <c r="I105" s="26">
        <f t="shared" si="0"/>
        <v>13537.92</v>
      </c>
    </row>
    <row r="106" spans="2:9" x14ac:dyDescent="0.25">
      <c r="B106" s="62" t="s">
        <v>54</v>
      </c>
      <c r="C106" s="22" t="str">
        <f>VLOOKUP(B106,[1]!Table3[[Part Number]:[Make and Model]],2,0)</f>
        <v xml:space="preserve">CAT PL61 (WGS) CAT PL61 (WGS) (2) CAT PL61 (WGS) (3)                                        </v>
      </c>
      <c r="D106" s="22" t="str">
        <f>VLOOKUP(B106,[1]!Table3[[Part Number]:[Part Description]],3,0)</f>
        <v>SINGLE FLANGE ROLLER</v>
      </c>
      <c r="E106" s="23">
        <f>VLOOKUP(B106,[1]!Table3[[Part Number]:[Annual]],11,0)</f>
        <v>48</v>
      </c>
      <c r="F106" s="24">
        <f>VLOOKUP(B106,[1]!Table3[[Part Number]:[OEM CAD $]],4,0)</f>
        <v>537.23</v>
      </c>
      <c r="G106" s="24">
        <f t="shared" si="2"/>
        <v>25787.040000000001</v>
      </c>
      <c r="H106" s="25">
        <f>VLOOKUP(B106,[1]!Table3[[Part Number]:[GQP CAD $]],5,0)</f>
        <v>268.62</v>
      </c>
      <c r="I106" s="26">
        <f t="shared" si="0"/>
        <v>12893.76</v>
      </c>
    </row>
    <row r="107" spans="2:9" x14ac:dyDescent="0.25">
      <c r="B107" s="62" t="s">
        <v>336</v>
      </c>
      <c r="C107" s="22" t="str">
        <f>VLOOKUP(B107,[1]!Table3[[Part Number]:[Make and Model]],2,0)</f>
        <v xml:space="preserve">CAT PL61 (WGS) CAT PL61 (WGS) (2) CAT PL61 (WGS) (3) CAT 299D (DX2)                                      </v>
      </c>
      <c r="D107" s="22" t="str">
        <f>VLOOKUP(B107,[1]!Table3[[Part Number]:[Part Description]],3,0)</f>
        <v>CARRIER ROLLER</v>
      </c>
      <c r="E107" s="23">
        <f>VLOOKUP(B107,[1]!Table3[[Part Number]:[Annual]],11,0)</f>
        <v>10</v>
      </c>
      <c r="F107" s="24">
        <f>VLOOKUP(B107,[1]!Table3[[Part Number]:[OEM CAD $]],4,0)</f>
        <v>558.77</v>
      </c>
      <c r="G107" s="24">
        <f t="shared" si="2"/>
        <v>5587.7</v>
      </c>
      <c r="H107" s="25">
        <f>VLOOKUP(B107,[1]!Table3[[Part Number]:[GQP CAD $]],5,0)</f>
        <v>279.39</v>
      </c>
      <c r="I107" s="26">
        <f t="shared" si="0"/>
        <v>2793.9</v>
      </c>
    </row>
    <row r="108" spans="2:9" x14ac:dyDescent="0.25">
      <c r="B108" s="62" t="s">
        <v>337</v>
      </c>
      <c r="C108" s="22" t="str">
        <f>VLOOKUP(B108,[1]!Table3[[Part Number]:[Make and Model]],2,0)</f>
        <v xml:space="preserve">CAT D7G (92V) CAT D7G (3ZD) CAT D7G (3ZD) (2)                                        </v>
      </c>
      <c r="D108" s="22" t="str">
        <f>VLOOKUP(B108,[1]!Table3[[Part Number]:[Part Description]],3,0)</f>
        <v>TRACK SHOE</v>
      </c>
      <c r="E108" s="23">
        <f>VLOOKUP(B108,[1]!Table3[[Part Number]:[Annual]],11,0)</f>
        <v>222</v>
      </c>
      <c r="F108" s="24">
        <f>VLOOKUP(B108,[1]!Table3[[Part Number]:[OEM CAD $]],4,0)</f>
        <v>250.75</v>
      </c>
      <c r="G108" s="24">
        <f t="shared" si="2"/>
        <v>55666.5</v>
      </c>
      <c r="H108" s="25">
        <f>VLOOKUP(B108,[1]!Table3[[Part Number]:[GQP CAD $]],5,0)</f>
        <v>125.38</v>
      </c>
      <c r="I108" s="26">
        <f t="shared" si="0"/>
        <v>27834.36</v>
      </c>
    </row>
    <row r="109" spans="2:9" x14ac:dyDescent="0.25">
      <c r="B109" s="62" t="s">
        <v>188</v>
      </c>
      <c r="C109" s="22" t="str">
        <f>VLOOKUP(B109,[1]!Table3[[Part Number]:[Make and Model]],2,0)</f>
        <v xml:space="preserve">CAT D7G (92V) CAT D7G (3ZD) CAT D7G (3ZD) (2)                                        </v>
      </c>
      <c r="D109" s="22" t="str">
        <f>VLOOKUP(B109,[1]!Table3[[Part Number]:[Part Description]],3,0)</f>
        <v>MASTER SHOE</v>
      </c>
      <c r="E109" s="23">
        <f>VLOOKUP(B109,[1]!Table3[[Part Number]:[Annual]],11,0)</f>
        <v>6</v>
      </c>
      <c r="F109" s="24">
        <f>VLOOKUP(B109,[1]!Table3[[Part Number]:[OEM CAD $]],4,0)</f>
        <v>199.65</v>
      </c>
      <c r="G109" s="24">
        <f t="shared" si="2"/>
        <v>1197.9000000000001</v>
      </c>
      <c r="H109" s="25">
        <f>VLOOKUP(B109,[1]!Table3[[Part Number]:[GQP CAD $]],5,0)</f>
        <v>99.83</v>
      </c>
      <c r="I109" s="26">
        <f t="shared" si="0"/>
        <v>598.98</v>
      </c>
    </row>
    <row r="110" spans="2:9" x14ac:dyDescent="0.25">
      <c r="B110" s="62" t="s">
        <v>338</v>
      </c>
      <c r="C110" s="22" t="str">
        <f>VLOOKUP(B110,[1]!Table3[[Part Number]:[Make and Model]],2,0)</f>
        <v xml:space="preserve">CAT D7G (92V) CAT D7G (3ZD) CAT D7G (3ZD) (2)                                        </v>
      </c>
      <c r="D110" s="22" t="str">
        <f>VLOOKUP(B110,[1]!Table3[[Part Number]:[Part Description]],3,0)</f>
        <v>TRACK IDLER</v>
      </c>
      <c r="E110" s="23">
        <f>VLOOKUP(B110,[1]!Table3[[Part Number]:[Annual]],11,0)</f>
        <v>6</v>
      </c>
      <c r="F110" s="24">
        <f>VLOOKUP(B110,[1]!Table3[[Part Number]:[OEM CAD $]],4,0)</f>
        <v>3497.04</v>
      </c>
      <c r="G110" s="24">
        <f t="shared" si="2"/>
        <v>20982.239999999998</v>
      </c>
      <c r="H110" s="25">
        <f>VLOOKUP(B110,[1]!Table3[[Part Number]:[GQP CAD $]],5,0)</f>
        <v>1748.52</v>
      </c>
      <c r="I110" s="26">
        <f t="shared" si="0"/>
        <v>10491.12</v>
      </c>
    </row>
    <row r="111" spans="2:9" x14ac:dyDescent="0.25">
      <c r="B111" s="62" t="s">
        <v>339</v>
      </c>
      <c r="C111" s="22" t="str">
        <f>VLOOKUP(B111,[1]!Table3[[Part Number]:[Make and Model]],2,0)</f>
        <v xml:space="preserve">CAT PL61 (WGS) CAT PL61 (WGS) (2) CAT PL61 (WGS) (3)                                        </v>
      </c>
      <c r="D111" s="22" t="str">
        <f>VLOOKUP(B111,[1]!Table3[[Part Number]:[Part Description]],3,0)</f>
        <v>TRACK SHOE</v>
      </c>
      <c r="E111" s="23">
        <f>VLOOKUP(B111,[1]!Table3[[Part Number]:[Annual]],11,0)</f>
        <v>234</v>
      </c>
      <c r="F111" s="24">
        <f>VLOOKUP(B111,[1]!Table3[[Part Number]:[OEM CAD $]],4,0)</f>
        <v>131.6</v>
      </c>
      <c r="G111" s="24">
        <f t="shared" si="2"/>
        <v>30794.399999999998</v>
      </c>
      <c r="H111" s="25">
        <f>VLOOKUP(B111,[1]!Table3[[Part Number]:[GQP CAD $]],5,0)</f>
        <v>65.8</v>
      </c>
      <c r="I111" s="26">
        <f t="shared" si="0"/>
        <v>15397.2</v>
      </c>
    </row>
    <row r="112" spans="2:9" x14ac:dyDescent="0.25">
      <c r="B112" s="62" t="s">
        <v>189</v>
      </c>
      <c r="C112" s="22" t="str">
        <f>VLOOKUP(B112,[1]!Table3[[Part Number]:[Make and Model]],2,0)</f>
        <v xml:space="preserve">CAT PL61 (WGS) CAT PL61 (WGS) (2) CAT PL61 (WGS) (3)                                        </v>
      </c>
      <c r="D112" s="22" t="str">
        <f>VLOOKUP(B112,[1]!Table3[[Part Number]:[Part Description]],3,0)</f>
        <v>MASTER SHOE</v>
      </c>
      <c r="E112" s="23">
        <f>VLOOKUP(B112,[1]!Table3[[Part Number]:[Annual]],11,0)</f>
        <v>6</v>
      </c>
      <c r="F112" s="24">
        <f>VLOOKUP(B112,[1]!Table3[[Part Number]:[OEM CAD $]],4,0)</f>
        <v>143.16999999999999</v>
      </c>
      <c r="G112" s="24">
        <f t="shared" si="2"/>
        <v>859.02</v>
      </c>
      <c r="H112" s="25">
        <f>VLOOKUP(B112,[1]!Table3[[Part Number]:[GQP CAD $]],5,0)</f>
        <v>71.59</v>
      </c>
      <c r="I112" s="26">
        <f t="shared" si="0"/>
        <v>429.54</v>
      </c>
    </row>
    <row r="113" spans="2:9" x14ac:dyDescent="0.25">
      <c r="B113" s="62" t="s">
        <v>343</v>
      </c>
      <c r="C113" s="22" t="str">
        <f>VLOOKUP(B113,[1]!Table3[[Part Number]:[Make and Model]],2,0)</f>
        <v xml:space="preserve">CAT 299D (DX2)                                            </v>
      </c>
      <c r="D113" s="22" t="str">
        <f>VLOOKUP(B113,[1]!Table3[[Part Number]:[Part Description]],3,0)</f>
        <v>TRACK IDLER - Triple Flange</v>
      </c>
      <c r="E113" s="23">
        <f>VLOOKUP(B113,[1]!Table3[[Part Number]:[Annual]],11,0)</f>
        <v>2</v>
      </c>
      <c r="F113" s="24">
        <f>VLOOKUP(B113,[1]!Table3[[Part Number]:[OEM CAD $]],4,0)</f>
        <v>630.58000000000004</v>
      </c>
      <c r="G113" s="24">
        <f t="shared" si="2"/>
        <v>1261.1600000000001</v>
      </c>
      <c r="H113" s="25">
        <f>VLOOKUP(B113,[1]!Table3[[Part Number]:[GQP CAD $]],5,0)</f>
        <v>315.29000000000002</v>
      </c>
      <c r="I113" s="26">
        <f t="shared" si="0"/>
        <v>630.58000000000004</v>
      </c>
    </row>
    <row r="114" spans="2:9" x14ac:dyDescent="0.25">
      <c r="B114" s="62" t="s">
        <v>191</v>
      </c>
      <c r="C114" s="22" t="str">
        <f>VLOOKUP(B114,[1]!Table3[[Part Number]:[Make and Model]],2,0)</f>
        <v xml:space="preserve">CAT D4 (66J)                                            </v>
      </c>
      <c r="D114" s="22" t="str">
        <f>VLOOKUP(B114,[1]!Table3[[Part Number]:[Part Description]],3,0)</f>
        <v>FLAT WASHER</v>
      </c>
      <c r="E114" s="23">
        <f>VLOOKUP(B114,[1]!Table3[[Part Number]:[Annual]],11,0)</f>
        <v>12</v>
      </c>
      <c r="F114" s="24">
        <f>VLOOKUP(B114,[1]!Table3[[Part Number]:[OEM CAD $]],4,0)</f>
        <v>0.33</v>
      </c>
      <c r="G114" s="24">
        <f t="shared" si="2"/>
        <v>3.96</v>
      </c>
      <c r="H114" s="25">
        <f>VLOOKUP(B114,[1]!Table3[[Part Number]:[GQP CAD $]],5,0)</f>
        <v>0.17</v>
      </c>
      <c r="I114" s="26">
        <f t="shared" si="0"/>
        <v>2.04</v>
      </c>
    </row>
    <row r="115" spans="2:9" x14ac:dyDescent="0.25">
      <c r="B115" s="62" t="s">
        <v>344</v>
      </c>
      <c r="C115" s="22" t="str">
        <f>VLOOKUP(B115,[1]!Table3[[Part Number]:[Make and Model]],2,0)</f>
        <v xml:space="preserve">CAT 561 (85H) CAT 561 (92J) CAT 561 (92J) (2)                                        </v>
      </c>
      <c r="D115" s="22" t="str">
        <f>VLOOKUP(B115,[1]!Table3[[Part Number]:[Part Description]],3,0)</f>
        <v>WASHER ROLLER</v>
      </c>
      <c r="E115" s="23">
        <f>VLOOKUP(B115,[1]!Table3[[Part Number]:[Annual]],11,0)</f>
        <v>144</v>
      </c>
      <c r="F115" s="24">
        <f>VLOOKUP(B115,[1]!Table3[[Part Number]:[OEM CAD $]],4,0)</f>
        <v>0.78</v>
      </c>
      <c r="G115" s="24">
        <f t="shared" si="2"/>
        <v>112.32000000000001</v>
      </c>
      <c r="H115" s="25">
        <f>VLOOKUP(B115,[1]!Table3[[Part Number]:[GQP CAD $]],5,0)</f>
        <v>0.39</v>
      </c>
      <c r="I115" s="26">
        <f t="shared" si="0"/>
        <v>56.16</v>
      </c>
    </row>
    <row r="116" spans="2:9" x14ac:dyDescent="0.25">
      <c r="B116" s="62" t="s">
        <v>345</v>
      </c>
      <c r="C116" s="22" t="str">
        <f>VLOOKUP(B116,[1]!Table3[[Part Number]:[Make and Model]],2,0)</f>
        <v xml:space="preserve">CAT 299D (DX2)                                            </v>
      </c>
      <c r="D116" s="22" t="str">
        <f>VLOOKUP(B116,[1]!Table3[[Part Number]:[Part Description]],3,0)</f>
        <v>SPROCKET WASHER</v>
      </c>
      <c r="E116" s="23">
        <f>VLOOKUP(B116,[1]!Table3[[Part Number]:[Annual]],11,0)</f>
        <v>24</v>
      </c>
      <c r="F116" s="24">
        <f>VLOOKUP(B116,[1]!Table3[[Part Number]:[OEM CAD $]],4,0)</f>
        <v>3.71</v>
      </c>
      <c r="G116" s="24">
        <f t="shared" si="2"/>
        <v>89.039999999999992</v>
      </c>
      <c r="H116" s="25">
        <f>VLOOKUP(B116,[1]!Table3[[Part Number]:[GQP CAD $]],5,0)</f>
        <v>1.86</v>
      </c>
      <c r="I116" s="26">
        <f t="shared" si="0"/>
        <v>44.64</v>
      </c>
    </row>
    <row r="117" spans="2:9" x14ac:dyDescent="0.25">
      <c r="B117" s="62" t="s">
        <v>347</v>
      </c>
      <c r="C117" s="22" t="str">
        <f>VLOOKUP(B117,[1]!Table3[[Part Number]:[Make and Model]],2,0)</f>
        <v xml:space="preserve">CAT D7G (92V) CAT D7G (3ZD) CAT D7G (3ZD) (2)                                        </v>
      </c>
      <c r="D117" s="22" t="str">
        <f>VLOOKUP(B117,[1]!Table3[[Part Number]:[Part Description]],3,0)</f>
        <v>BLADE ASSEMBLY</v>
      </c>
      <c r="E117" s="23">
        <f>VLOOKUP(B117,[1]!Table3[[Part Number]:[Annual]],11,0)</f>
        <v>3</v>
      </c>
      <c r="F117" s="24">
        <f>VLOOKUP(B117,[1]!Table3[[Part Number]:[OEM CAD $]],4,0)</f>
        <v>27033.599999999999</v>
      </c>
      <c r="G117" s="24">
        <f t="shared" si="2"/>
        <v>81100.799999999988</v>
      </c>
      <c r="H117" s="25">
        <f>VLOOKUP(B117,[1]!Table3[[Part Number]:[GQP CAD $]],5,0)</f>
        <v>10272.77</v>
      </c>
      <c r="I117" s="26">
        <f t="shared" si="0"/>
        <v>30818.31</v>
      </c>
    </row>
    <row r="118" spans="2:9" x14ac:dyDescent="0.25">
      <c r="B118" s="62" t="s">
        <v>55</v>
      </c>
      <c r="C118" s="22" t="str">
        <f>VLOOKUP(B118,[1]!Table3[[Part Number]:[Make and Model]],2,0)</f>
        <v xml:space="preserve">CAT D5 (3CR) CAT D5 (3CR) (2) CAT 561 (85H) CAT 561 (92J) CAT 561 (92J) (2) CAT 561M (1KW) CAT 561N (CPH) CAT 561N (CPH) (2) CAT 561N (CPH) (3) CAT 561N (CPH) (4) CAT 561N (CPH) (5) CAT PL61 (WGS) CAT PL61 (WGS) (2) CAT PL61 (WGS) (3)                  </v>
      </c>
      <c r="D118" s="22" t="str">
        <f>VLOOKUP(B118,[1]!Table3[[Part Number]:[Part Description]],3,0)</f>
        <v>SPROCKET BOLT</v>
      </c>
      <c r="E118" s="23">
        <f>VLOOKUP(B118,[1]!Table3[[Part Number]:[Annual]],11,0)</f>
        <v>644</v>
      </c>
      <c r="F118" s="24">
        <f>VLOOKUP(B118,[1]!Table3[[Part Number]:[OEM CAD $]],4,0)</f>
        <v>2.94</v>
      </c>
      <c r="G118" s="24">
        <f t="shared" si="2"/>
        <v>1893.36</v>
      </c>
      <c r="H118" s="25">
        <f>VLOOKUP(B118,[1]!Table3[[Part Number]:[GQP CAD $]],5,0)</f>
        <v>1.47</v>
      </c>
      <c r="I118" s="26">
        <f t="shared" si="0"/>
        <v>946.68</v>
      </c>
    </row>
    <row r="119" spans="2:9" x14ac:dyDescent="0.25">
      <c r="B119" s="62" t="s">
        <v>348</v>
      </c>
      <c r="C119" s="22" t="str">
        <f>VLOOKUP(B119,[1]!Table3[[Part Number]:[Make and Model]],2,0)</f>
        <v xml:space="preserve">CAT D5 (3CR) CAT D5 (3CR) (2) CAT 561N (CPH) CAT 561N (CPH) (2) CAT 561N (CPH) (3) CAT 561N (CPH) (4) CAT 561N (CPH) (5)                                </v>
      </c>
      <c r="D119" s="22" t="str">
        <f>VLOOKUP(B119,[1]!Table3[[Part Number]:[Part Description]],3,0)</f>
        <v>TRACK BOLT</v>
      </c>
      <c r="E119" s="23">
        <f>VLOOKUP(B119,[1]!Table3[[Part Number]:[Annual]],11,0)</f>
        <v>606</v>
      </c>
      <c r="F119" s="24">
        <f>VLOOKUP(B119,[1]!Table3[[Part Number]:[OEM CAD $]],4,0)</f>
        <v>5.51</v>
      </c>
      <c r="G119" s="24">
        <f t="shared" si="2"/>
        <v>3339.06</v>
      </c>
      <c r="H119" s="25">
        <f>VLOOKUP(B119,[1]!Table3[[Part Number]:[GQP CAD $]],5,0)</f>
        <v>2.76</v>
      </c>
      <c r="I119" s="26">
        <f t="shared" si="0"/>
        <v>1672.56</v>
      </c>
    </row>
    <row r="120" spans="2:9" x14ac:dyDescent="0.25">
      <c r="B120" s="62" t="s">
        <v>349</v>
      </c>
      <c r="C120" s="22" t="str">
        <f>VLOOKUP(B120,[1]!Table3[[Part Number]:[Make and Model]],2,0)</f>
        <v xml:space="preserve">CAT D5 (3CR) CAT D5 (3CR) (2) CAT 561N (CPH) CAT 561N (CPH) (2) CAT 561N (CPH) (3) CAT 561N (CPH) (4) CAT 561N (CPH) (5)                                </v>
      </c>
      <c r="D120" s="22" t="str">
        <f>VLOOKUP(B120,[1]!Table3[[Part Number]:[Part Description]],3,0)</f>
        <v>TRACK BOLT MASTER</v>
      </c>
      <c r="E120" s="23">
        <f>VLOOKUP(B120,[1]!Table3[[Part Number]:[Annual]],11,0)</f>
        <v>14</v>
      </c>
      <c r="F120" s="24">
        <f>VLOOKUP(B120,[1]!Table3[[Part Number]:[OEM CAD $]],4,0)</f>
        <v>6.45</v>
      </c>
      <c r="G120" s="24">
        <f t="shared" si="2"/>
        <v>90.3</v>
      </c>
      <c r="H120" s="25">
        <f>VLOOKUP(B120,[1]!Table3[[Part Number]:[GQP CAD $]],5,0)</f>
        <v>3.23</v>
      </c>
      <c r="I120" s="26">
        <f t="shared" si="0"/>
        <v>45.22</v>
      </c>
    </row>
    <row r="121" spans="2:9" x14ac:dyDescent="0.25">
      <c r="B121" s="62" t="s">
        <v>350</v>
      </c>
      <c r="C121" s="22" t="str">
        <f>VLOOKUP(B121,[1]!Table3[[Part Number]:[Make and Model]],2,0)</f>
        <v xml:space="preserve">CAT 561M (1KW)                                            </v>
      </c>
      <c r="D121" s="22" t="str">
        <f>VLOOKUP(B121,[1]!Table3[[Part Number]:[Part Description]],3,0)</f>
        <v>BOLT MASTER LINK</v>
      </c>
      <c r="E121" s="23">
        <f>VLOOKUP(B121,[1]!Table3[[Part Number]:[Annual]],11,0)</f>
        <v>4</v>
      </c>
      <c r="F121" s="24">
        <f>VLOOKUP(B121,[1]!Table3[[Part Number]:[OEM CAD $]],4,0)</f>
        <v>3.98</v>
      </c>
      <c r="G121" s="24">
        <f t="shared" si="2"/>
        <v>15.92</v>
      </c>
      <c r="H121" s="25">
        <f>VLOOKUP(B121,[1]!Table3[[Part Number]:[GQP CAD $]],5,0)</f>
        <v>1.99</v>
      </c>
      <c r="I121" s="26">
        <f t="shared" si="0"/>
        <v>7.96</v>
      </c>
    </row>
    <row r="122" spans="2:9" x14ac:dyDescent="0.25">
      <c r="B122" s="62" t="s">
        <v>351</v>
      </c>
      <c r="C122" s="22" t="str">
        <f>VLOOKUP(B122,[1]!Table3[[Part Number]:[Make and Model]],2,0)</f>
        <v xml:space="preserve">CAT 303.5E                                            </v>
      </c>
      <c r="D122" s="22" t="str">
        <f>VLOOKUP(B122,[1]!Table3[[Part Number]:[Part Description]],3,0)</f>
        <v>CARRIER ROLLER</v>
      </c>
      <c r="E122" s="23">
        <f>VLOOKUP(B122,[1]!Table3[[Part Number]:[Annual]],11,0)</f>
        <v>2</v>
      </c>
      <c r="F122" s="24">
        <f>VLOOKUP(B122,[1]!Table3[[Part Number]:[OEM CAD $]],4,0)</f>
        <v>403.56</v>
      </c>
      <c r="G122" s="24">
        <f t="shared" si="2"/>
        <v>807.12</v>
      </c>
      <c r="H122" s="25">
        <f>VLOOKUP(B122,[1]!Table3[[Part Number]:[GQP CAD $]],5,0)</f>
        <v>201.78</v>
      </c>
      <c r="I122" s="26">
        <f t="shared" si="0"/>
        <v>403.56</v>
      </c>
    </row>
    <row r="123" spans="2:9" x14ac:dyDescent="0.25">
      <c r="B123" s="62" t="s">
        <v>56</v>
      </c>
      <c r="C123" s="22" t="str">
        <f>VLOOKUP(B123,[1]!Table3[[Part Number]:[Make and Model]],2,0)</f>
        <v xml:space="preserve">CAT D7G (92V) CAT D7G (3ZD) CAT D7G (3ZD) (2)                                        </v>
      </c>
      <c r="D123" s="22" t="str">
        <f>VLOOKUP(B123,[1]!Table3[[Part Number]:[Part Description]],3,0)</f>
        <v>CARRIER ROLLER</v>
      </c>
      <c r="E123" s="23">
        <f>VLOOKUP(B123,[1]!Table3[[Part Number]:[Annual]],11,0)</f>
        <v>6</v>
      </c>
      <c r="F123" s="24">
        <f>VLOOKUP(B123,[1]!Table3[[Part Number]:[OEM CAD $]],4,0)</f>
        <v>722.36</v>
      </c>
      <c r="G123" s="24">
        <f t="shared" si="2"/>
        <v>4334.16</v>
      </c>
      <c r="H123" s="25">
        <f>VLOOKUP(B123,[1]!Table3[[Part Number]:[GQP CAD $]],5,0)</f>
        <v>361.18</v>
      </c>
      <c r="I123" s="26">
        <f t="shared" si="0"/>
        <v>2167.08</v>
      </c>
    </row>
    <row r="124" spans="2:9" x14ac:dyDescent="0.25">
      <c r="B124" s="62" t="s">
        <v>352</v>
      </c>
      <c r="C124" s="22" t="str">
        <f>VLOOKUP(B124,[1]!Table3[[Part Number]:[Make and Model]],2,0)</f>
        <v xml:space="preserve">CAT 320E L (WBK) CAT 320E L (WBK) (2) CAT 320F L (YBM) CAT 320 (HEX) CAT 320 (MYK) CAT 320 (MYK) (2)                                  </v>
      </c>
      <c r="D124" s="22" t="str">
        <f>VLOOKUP(B124,[1]!Table3[[Part Number]:[Part Description]],3,0)</f>
        <v>IDLER BOLT</v>
      </c>
      <c r="E124" s="23">
        <f>VLOOKUP(B124,[1]!Table3[[Part Number]:[Annual]],11,0)</f>
        <v>48</v>
      </c>
      <c r="F124" s="24">
        <f>VLOOKUP(B124,[1]!Table3[[Part Number]:[OEM CAD $]],4,0)</f>
        <v>7.85</v>
      </c>
      <c r="G124" s="24">
        <f t="shared" si="2"/>
        <v>376.79999999999995</v>
      </c>
      <c r="H124" s="25">
        <f>VLOOKUP(B124,[1]!Table3[[Part Number]:[GQP CAD $]],5,0)</f>
        <v>3.93</v>
      </c>
      <c r="I124" s="26">
        <f t="shared" si="0"/>
        <v>188.64</v>
      </c>
    </row>
    <row r="125" spans="2:9" x14ac:dyDescent="0.25">
      <c r="B125" s="62" t="s">
        <v>353</v>
      </c>
      <c r="C125" s="22" t="str">
        <f>VLOOKUP(B125,[1]!Table3[[Part Number]:[Make and Model]],2,0)</f>
        <v xml:space="preserve">CAT 329E L (ZCD) CAT 329F L (ERL) CAT 329F L (ERL) (2) CAT 330F L (MBX) CAT 330F L (HCK) CAT 330F L (HCK) (2)                                  </v>
      </c>
      <c r="D125" s="22" t="str">
        <f>VLOOKUP(B125,[1]!Table3[[Part Number]:[Part Description]],3,0)</f>
        <v>IDLER BOLT</v>
      </c>
      <c r="E125" s="23">
        <f>VLOOKUP(B125,[1]!Table3[[Part Number]:[Annual]],11,0)</f>
        <v>48</v>
      </c>
      <c r="F125" s="24">
        <f>VLOOKUP(B125,[1]!Table3[[Part Number]:[OEM CAD $]],4,0)</f>
        <v>10.24</v>
      </c>
      <c r="G125" s="24">
        <f t="shared" si="2"/>
        <v>491.52</v>
      </c>
      <c r="H125" s="25">
        <f>VLOOKUP(B125,[1]!Table3[[Part Number]:[GQP CAD $]],5,0)</f>
        <v>5.12</v>
      </c>
      <c r="I125" s="26">
        <f t="shared" si="0"/>
        <v>245.76</v>
      </c>
    </row>
    <row r="126" spans="2:9" x14ac:dyDescent="0.25">
      <c r="B126" s="62" t="s">
        <v>354</v>
      </c>
      <c r="C126" s="22" t="str">
        <f>VLOOKUP(B126,[1]!Table3[[Part Number]:[Make and Model]],2,0)</f>
        <v xml:space="preserve">CAT 330 (LHW) CAT 330 (LHW) (2) CAT 330 (LHW) (3) CAT 330 (LHW) (4) CAT 330 (WCH) CAT 330 (WCH) (2) CAT 330 (WCH) (3) CAT 330 (WCH) (4) CAT 330 (WCH) (5) CAT 330 (WCH) (6)                          </v>
      </c>
      <c r="D126" s="22" t="str">
        <f>VLOOKUP(B126,[1]!Table3[[Part Number]:[Part Description]],3,0)</f>
        <v>IDLER BOLT</v>
      </c>
      <c r="E126" s="23">
        <f>VLOOKUP(B126,[1]!Table3[[Part Number]:[Annual]],11,0)</f>
        <v>80</v>
      </c>
      <c r="F126" s="24">
        <f>VLOOKUP(B126,[1]!Table3[[Part Number]:[OEM CAD $]],4,0)</f>
        <v>14.28</v>
      </c>
      <c r="G126" s="24">
        <f t="shared" si="2"/>
        <v>1142.3999999999999</v>
      </c>
      <c r="H126" s="25">
        <f>VLOOKUP(B126,[1]!Table3[[Part Number]:[GQP CAD $]],5,0)</f>
        <v>7.14</v>
      </c>
      <c r="I126" s="26">
        <f t="shared" si="0"/>
        <v>571.20000000000005</v>
      </c>
    </row>
    <row r="127" spans="2:9" x14ac:dyDescent="0.25">
      <c r="B127" s="62" t="s">
        <v>355</v>
      </c>
      <c r="C127" s="22" t="str">
        <f>VLOOKUP(B127,[1]!Table3[[Part Number]:[Make and Model]],2,0)</f>
        <v xml:space="preserve">CAT 336F L (RKB)                                            </v>
      </c>
      <c r="D127" s="22" t="str">
        <f>VLOOKUP(B127,[1]!Table3[[Part Number]:[Part Description]],3,0)</f>
        <v>ROLLER BOLT</v>
      </c>
      <c r="E127" s="23">
        <f>VLOOKUP(B127,[1]!Table3[[Part Number]:[Annual]],11,0)</f>
        <v>72</v>
      </c>
      <c r="F127" s="24">
        <f>VLOOKUP(B127,[1]!Table3[[Part Number]:[OEM CAD $]],4,0)</f>
        <v>31.86</v>
      </c>
      <c r="G127" s="24">
        <f t="shared" si="2"/>
        <v>2293.92</v>
      </c>
      <c r="H127" s="25">
        <f>VLOOKUP(B127,[1]!Table3[[Part Number]:[GQP CAD $]],5,0)</f>
        <v>15.93</v>
      </c>
      <c r="I127" s="26">
        <f t="shared" si="0"/>
        <v>1146.96</v>
      </c>
    </row>
    <row r="128" spans="2:9" x14ac:dyDescent="0.25">
      <c r="B128" s="62" t="s">
        <v>356</v>
      </c>
      <c r="C128" s="22" t="str">
        <f>VLOOKUP(B128,[1]!Table3[[Part Number]:[Make and Model]],2,0)</f>
        <v xml:space="preserve">CAT 320E L (WBK) CAT 320E L (WBK) (2) CAT 320F L (YBM) CAT 320 (HEX) CAT 320 (MYK) CAT 320 (MYK) (2) CAT 329F L (ERL) CAT 329F L (ERL) (2) CAT 330F L (MBX) CAT 330F L (HCK) CAT 330F L (HCK) (2) CAT 330 (LHW) CAT 330 (LHW) (2) CAT 330 (LHW) (3) CAT 330 (LHW) (4) CAT 330 (WCH) CAT 330 (WCH) (2) CAT 330 (WCH) (3) CAT 330 (WCH) (4) CAT 330 (WCH) (5) CAT 330 (WCH) (6)    </v>
      </c>
      <c r="D128" s="22" t="str">
        <f>VLOOKUP(B128,[1]!Table3[[Part Number]:[Part Description]],3,0)</f>
        <v>HEX HEAD BOLT</v>
      </c>
      <c r="E128" s="23">
        <f>VLOOKUP(B128,[1]!Table3[[Part Number]:[Annual]],11,0)</f>
        <v>84</v>
      </c>
      <c r="F128" s="24">
        <f>VLOOKUP(B128,[1]!Table3[[Part Number]:[OEM CAD $]],4,0)</f>
        <v>23.18</v>
      </c>
      <c r="G128" s="24">
        <f t="shared" si="2"/>
        <v>1947.12</v>
      </c>
      <c r="H128" s="25">
        <f>VLOOKUP(B128,[1]!Table3[[Part Number]:[GQP CAD $]],5,0)</f>
        <v>11.59</v>
      </c>
      <c r="I128" s="26">
        <f t="shared" si="0"/>
        <v>973.56</v>
      </c>
    </row>
    <row r="129" spans="2:9" x14ac:dyDescent="0.25">
      <c r="B129" s="62" t="s">
        <v>357</v>
      </c>
      <c r="C129" s="22" t="str">
        <f>VLOOKUP(B129,[1]!Table3[[Part Number]:[Make and Model]],2,0)</f>
        <v xml:space="preserve">CAT 320E L (WBK) CAT 320E L (WBK) (2) CAT 320F L (YBM) CAT 320 (HEX) CAT 320 (MYK) CAT 320 (MYK) (2) CAT 329E L (ZCD) CAT 329F L (ERL) CAT 329F L (ERL) (2) CAT 330F L (MBX) CAT 330F L (HCK) CAT 330F L (HCK) (2) CAT 330 (LHW) CAT 330 (LHW) (2) CAT 330 (LHW) (3) CAT 330 (LHW) (4) CAT 330 (WCH) CAT 330 (WCH) (2) CAT 330 (WCH) (3) CAT 330 (WCH) (4) CAT 330 (WCH) (5) CAT 330 (WCH) (6)  </v>
      </c>
      <c r="D129" s="22" t="str">
        <f>VLOOKUP(B129,[1]!Table3[[Part Number]:[Part Description]],3,0)</f>
        <v>HEX HEAD BOLT</v>
      </c>
      <c r="E129" s="23">
        <f>VLOOKUP(B129,[1]!Table3[[Part Number]:[Annual]],11,0)</f>
        <v>1536</v>
      </c>
      <c r="F129" s="24">
        <f>VLOOKUP(B129,[1]!Table3[[Part Number]:[OEM CAD $]],4,0)</f>
        <v>20.079999999999998</v>
      </c>
      <c r="G129" s="24">
        <f t="shared" si="2"/>
        <v>30842.879999999997</v>
      </c>
      <c r="H129" s="25">
        <f>VLOOKUP(B129,[1]!Table3[[Part Number]:[GQP CAD $]],5,0)</f>
        <v>10.039999999999999</v>
      </c>
      <c r="I129" s="26">
        <f t="shared" si="0"/>
        <v>15421.44</v>
      </c>
    </row>
    <row r="130" spans="2:9" x14ac:dyDescent="0.25">
      <c r="B130" s="62" t="s">
        <v>197</v>
      </c>
      <c r="C130" s="22" t="str">
        <f>VLOOKUP(B130,[1]!Table3[[Part Number]:[Make and Model]],2,0)</f>
        <v xml:space="preserve">CAT 320E L (WBK) CAT 320E L (WBK) (2) CAT 320F L (YBM) CAT 320 (HEX) CAT 320 (MYK) CAT 320 (MYK) (2) CAT 329E L (ZCD) CAT 329F L (ERL) CAT 329F L (ERL) (2) CAT 330F L (MBX) CAT 330F L (HCK) CAT 330F L (HCK) (2) CAT 330 (LHW) CAT 330 (LHW) (2) CAT 330 (LHW) (3) CAT 330 (LHW) (4) CAT 330 (WCH) CAT 330 (WCH) (2) CAT 330 (WCH) (3) CAT 330 (WCH) (4) CAT 330 (WCH) (5) CAT 330 (WCH) (6)  </v>
      </c>
      <c r="D130" s="22" t="str">
        <f>VLOOKUP(B130,[1]!Table3[[Part Number]:[Part Description]],3,0)</f>
        <v>FLAT WASHER</v>
      </c>
      <c r="E130" s="23">
        <f>VLOOKUP(B130,[1]!Table3[[Part Number]:[Annual]],11,0)</f>
        <v>1536</v>
      </c>
      <c r="F130" s="24">
        <f>VLOOKUP(B130,[1]!Table3[[Part Number]:[OEM CAD $]],4,0)</f>
        <v>2.99</v>
      </c>
      <c r="G130" s="24">
        <f t="shared" si="2"/>
        <v>4592.6400000000003</v>
      </c>
      <c r="H130" s="25">
        <f>VLOOKUP(B130,[1]!Table3[[Part Number]:[GQP CAD $]],5,0)</f>
        <v>1.5</v>
      </c>
      <c r="I130" s="26">
        <f t="shared" si="0"/>
        <v>2304</v>
      </c>
    </row>
    <row r="131" spans="2:9" x14ac:dyDescent="0.25">
      <c r="B131" s="62" t="s">
        <v>198</v>
      </c>
      <c r="C131" s="22" t="str">
        <f>VLOOKUP(B131,[1]!Table3[[Part Number]:[Make and Model]],2,0)</f>
        <v xml:space="preserve">CAT 336F L (RKB)                                            </v>
      </c>
      <c r="D131" s="22" t="str">
        <f>VLOOKUP(B131,[1]!Table3[[Part Number]:[Part Description]],3,0)</f>
        <v>FLAT WASHER</v>
      </c>
      <c r="E131" s="23">
        <f>VLOOKUP(B131,[1]!Table3[[Part Number]:[Annual]],11,0)</f>
        <v>72</v>
      </c>
      <c r="F131" s="24">
        <f>VLOOKUP(B131,[1]!Table3[[Part Number]:[OEM CAD $]],4,0)</f>
        <v>4.9800000000000004</v>
      </c>
      <c r="G131" s="24">
        <f t="shared" si="2"/>
        <v>358.56000000000006</v>
      </c>
      <c r="H131" s="25">
        <f>VLOOKUP(B131,[1]!Table3[[Part Number]:[GQP CAD $]],5,0)</f>
        <v>2.4900000000000002</v>
      </c>
      <c r="I131" s="26">
        <f t="shared" si="0"/>
        <v>179.28</v>
      </c>
    </row>
    <row r="132" spans="2:9" x14ac:dyDescent="0.25">
      <c r="B132" s="62" t="s">
        <v>358</v>
      </c>
      <c r="C132" s="22" t="str">
        <f>VLOOKUP(B132,[1]!Table3[[Part Number]:[Make and Model]],2,0)</f>
        <v xml:space="preserve">CAT 336F L (RKB)                                            </v>
      </c>
      <c r="D132" s="22" t="str">
        <f>VLOOKUP(B132,[1]!Table3[[Part Number]:[Part Description]],3,0)</f>
        <v>CARRIER BOLT</v>
      </c>
      <c r="E132" s="23">
        <f>VLOOKUP(B132,[1]!Table3[[Part Number]:[Annual]],11,0)</f>
        <v>4</v>
      </c>
      <c r="F132" s="24">
        <f>VLOOKUP(B132,[1]!Table3[[Part Number]:[OEM CAD $]],4,0)</f>
        <v>26.18</v>
      </c>
      <c r="G132" s="24">
        <f t="shared" si="2"/>
        <v>104.72</v>
      </c>
      <c r="H132" s="25">
        <f>VLOOKUP(B132,[1]!Table3[[Part Number]:[GQP CAD $]],5,0)</f>
        <v>13.09</v>
      </c>
      <c r="I132" s="26">
        <f t="shared" si="0"/>
        <v>52.36</v>
      </c>
    </row>
    <row r="133" spans="2:9" x14ac:dyDescent="0.25">
      <c r="B133" s="62" t="s">
        <v>359</v>
      </c>
      <c r="C133" s="22" t="str">
        <f>VLOOKUP(B133,[1]!Table3[[Part Number]:[Make and Model]],2,0)</f>
        <v xml:space="preserve">CAT D7G (92V) CAT D7G (3ZD) CAT D7G (3ZD) (2)                                        </v>
      </c>
      <c r="D133" s="22" t="str">
        <f>VLOOKUP(B133,[1]!Table3[[Part Number]:[Part Description]],3,0)</f>
        <v>TRACK LINK 38 JOINT</v>
      </c>
      <c r="E133" s="23">
        <f>VLOOKUP(B133,[1]!Table3[[Part Number]:[Annual]],11,0)</f>
        <v>6</v>
      </c>
      <c r="F133" s="24">
        <f>VLOOKUP(B133,[1]!Table3[[Part Number]:[OEM CAD $]],4,0)</f>
        <v>8201.7900000000009</v>
      </c>
      <c r="G133" s="24">
        <f t="shared" si="2"/>
        <v>49210.740000000005</v>
      </c>
      <c r="H133" s="25">
        <f>VLOOKUP(B133,[1]!Table3[[Part Number]:[GQP CAD $]],5,0)</f>
        <v>4100.8999999999996</v>
      </c>
      <c r="I133" s="26">
        <f t="shared" si="0"/>
        <v>24605.4</v>
      </c>
    </row>
    <row r="134" spans="2:9" x14ac:dyDescent="0.25">
      <c r="B134" s="62" t="s">
        <v>360</v>
      </c>
      <c r="C134" s="22" t="str">
        <f>VLOOKUP(B134,[1]!Table3[[Part Number]:[Make and Model]],2,0)</f>
        <v xml:space="preserve">CAT 303.5E                                            </v>
      </c>
      <c r="D134" s="22" t="str">
        <f>VLOOKUP(B134,[1]!Table3[[Part Number]:[Part Description]],3,0)</f>
        <v>CENTRE FLANGE ROLLER</v>
      </c>
      <c r="E134" s="23">
        <f>VLOOKUP(B134,[1]!Table3[[Part Number]:[Annual]],11,0)</f>
        <v>4</v>
      </c>
      <c r="F134" s="24">
        <f>VLOOKUP(B134,[1]!Table3[[Part Number]:[OEM CAD $]],4,0)</f>
        <v>498.61</v>
      </c>
      <c r="G134" s="24">
        <f t="shared" si="2"/>
        <v>1994.44</v>
      </c>
      <c r="H134" s="25">
        <f>VLOOKUP(B134,[1]!Table3[[Part Number]:[GQP CAD $]],5,0)</f>
        <v>249.31</v>
      </c>
      <c r="I134" s="26">
        <f t="shared" si="0"/>
        <v>997.24</v>
      </c>
    </row>
    <row r="135" spans="2:9" x14ac:dyDescent="0.25">
      <c r="B135" s="62" t="s">
        <v>361</v>
      </c>
      <c r="C135" s="22" t="str">
        <f>VLOOKUP(B135,[1]!Table3[[Part Number]:[Make and Model]],2,0)</f>
        <v xml:space="preserve">CAT 336F L (RKB)                                            </v>
      </c>
      <c r="D135" s="22" t="str">
        <f>VLOOKUP(B135,[1]!Table3[[Part Number]:[Part Description]],3,0)</f>
        <v>SINGLE FLANGE TRACK ROLLER</v>
      </c>
      <c r="E135" s="23">
        <f>VLOOKUP(B135,[1]!Table3[[Part Number]:[Annual]],11,0)</f>
        <v>18</v>
      </c>
      <c r="F135" s="24">
        <f>VLOOKUP(B135,[1]!Table3[[Part Number]:[OEM CAD $]],4,0)</f>
        <v>987.95</v>
      </c>
      <c r="G135" s="24">
        <f t="shared" si="2"/>
        <v>17783.100000000002</v>
      </c>
      <c r="H135" s="25">
        <f>VLOOKUP(B135,[1]!Table3[[Part Number]:[GQP CAD $]],5,0)</f>
        <v>493.98</v>
      </c>
      <c r="I135" s="26">
        <f t="shared" si="0"/>
        <v>8891.64</v>
      </c>
    </row>
    <row r="136" spans="2:9" x14ac:dyDescent="0.25">
      <c r="B136" s="62" t="s">
        <v>363</v>
      </c>
      <c r="C136" s="22" t="str">
        <f>VLOOKUP(B136,[1]!Table3[[Part Number]:[Make and Model]],2,0)</f>
        <v xml:space="preserve">CAT D6N LGP (GHS)                                            </v>
      </c>
      <c r="D136" s="22" t="str">
        <f>VLOOKUP(B136,[1]!Table3[[Part Number]:[Part Description]],3,0)</f>
        <v>SEAT ASSEMBLY</v>
      </c>
      <c r="E136" s="23">
        <f>VLOOKUP(B136,[1]!Table3[[Part Number]:[Annual]],11,0)</f>
        <v>1</v>
      </c>
      <c r="F136" s="24">
        <f>VLOOKUP(B136,[1]!Table3[[Part Number]:[OEM CAD $]],4,0)</f>
        <v>3921.14</v>
      </c>
      <c r="G136" s="24">
        <f t="shared" si="2"/>
        <v>3921.14</v>
      </c>
      <c r="H136" s="25">
        <f>VLOOKUP(B136,[1]!Table3[[Part Number]:[GQP CAD $]],5,0)</f>
        <v>1960.57</v>
      </c>
      <c r="I136" s="26">
        <f t="shared" si="0"/>
        <v>1960.57</v>
      </c>
    </row>
    <row r="137" spans="2:9" x14ac:dyDescent="0.25">
      <c r="B137" s="62" t="s">
        <v>364</v>
      </c>
      <c r="C137" s="22" t="str">
        <f>VLOOKUP(B137,[1]!Table3[[Part Number]:[Make and Model]],2,0)</f>
        <v xml:space="preserve">CAT D6 (RDC)                                            </v>
      </c>
      <c r="D137" s="22" t="str">
        <f>VLOOKUP(B137,[1]!Table3[[Part Number]:[Part Description]],3,0)</f>
        <v>SPROCKET SEGMENT</v>
      </c>
      <c r="E137" s="23">
        <f>VLOOKUP(B137,[1]!Table3[[Part Number]:[Annual]],11,0)</f>
        <v>10</v>
      </c>
      <c r="F137" s="24">
        <f>VLOOKUP(B137,[1]!Table3[[Part Number]:[OEM CAD $]],4,0)</f>
        <v>293.17</v>
      </c>
      <c r="G137" s="24">
        <f t="shared" si="2"/>
        <v>2931.7000000000003</v>
      </c>
      <c r="H137" s="25">
        <f>VLOOKUP(B137,[1]!Table3[[Part Number]:[GQP CAD $]],5,0)</f>
        <v>146.59</v>
      </c>
      <c r="I137" s="26">
        <f t="shared" si="0"/>
        <v>1465.9</v>
      </c>
    </row>
    <row r="138" spans="2:9" x14ac:dyDescent="0.25">
      <c r="B138" s="62" t="s">
        <v>365</v>
      </c>
      <c r="C138" s="22" t="str">
        <f>VLOOKUP(B138,[1]!Table3[[Part Number]:[Make and Model]],2,0)</f>
        <v xml:space="preserve">CAT D6 (RDC)                                            </v>
      </c>
      <c r="D138" s="22" t="str">
        <f>VLOOKUP(B138,[1]!Table3[[Part Number]:[Part Description]],3,0)</f>
        <v>SPROCKET BOLT</v>
      </c>
      <c r="E138" s="23">
        <f>VLOOKUP(B138,[1]!Table3[[Part Number]:[Annual]],11,0)</f>
        <v>50</v>
      </c>
      <c r="F138" s="24">
        <f>VLOOKUP(B138,[1]!Table3[[Part Number]:[OEM CAD $]],4,0)</f>
        <v>9.4700000000000006</v>
      </c>
      <c r="G138" s="24">
        <f t="shared" si="2"/>
        <v>473.50000000000006</v>
      </c>
      <c r="H138" s="25">
        <f>VLOOKUP(B138,[1]!Table3[[Part Number]:[GQP CAD $]],5,0)</f>
        <v>4.74</v>
      </c>
      <c r="I138" s="26">
        <f t="shared" si="0"/>
        <v>237</v>
      </c>
    </row>
    <row r="139" spans="2:9" x14ac:dyDescent="0.25">
      <c r="B139" s="62" t="s">
        <v>367</v>
      </c>
      <c r="C139" s="22" t="str">
        <f>VLOOKUP(B139,[1]!Table3[[Part Number]:[Make and Model]],2,0)</f>
        <v xml:space="preserve">CAT D3 (1PJ)                                            </v>
      </c>
      <c r="D139" s="22" t="str">
        <f>VLOOKUP(B139,[1]!Table3[[Part Number]:[Part Description]],3,0)</f>
        <v>SINGLE FLANGE TRACK ROLLER</v>
      </c>
      <c r="E139" s="23">
        <f>VLOOKUP(B139,[1]!Table3[[Part Number]:[Annual]],11,0)</f>
        <v>12</v>
      </c>
      <c r="F139" s="24">
        <f>VLOOKUP(B139,[1]!Table3[[Part Number]:[OEM CAD $]],4,0)</f>
        <v>579.6</v>
      </c>
      <c r="G139" s="24">
        <f t="shared" si="2"/>
        <v>6955.2000000000007</v>
      </c>
      <c r="H139" s="25">
        <f>VLOOKUP(B139,[1]!Table3[[Part Number]:[GQP CAD $]],5,0)</f>
        <v>289.8</v>
      </c>
      <c r="I139" s="26">
        <f t="shared" si="0"/>
        <v>3477.6</v>
      </c>
    </row>
    <row r="140" spans="2:9" x14ac:dyDescent="0.25">
      <c r="B140" s="62" t="s">
        <v>368</v>
      </c>
      <c r="C140" s="22" t="str">
        <f>VLOOKUP(B140,[1]!Table3[[Part Number]:[Make and Model]],2,0)</f>
        <v xml:space="preserve">CAT D3 (1PJ)                                            </v>
      </c>
      <c r="D140" s="22" t="str">
        <f>VLOOKUP(B140,[1]!Table3[[Part Number]:[Part Description]],3,0)</f>
        <v>DOUBLE FLANGE TRACK ROLLER (GUIDE AR)*</v>
      </c>
      <c r="E140" s="23">
        <f>VLOOKUP(B140,[1]!Table3[[Part Number]:[Annual]],11,0)</f>
        <v>8</v>
      </c>
      <c r="F140" s="24">
        <f>VLOOKUP(B140,[1]!Table3[[Part Number]:[OEM CAD $]],4,0)</f>
        <v>623.29</v>
      </c>
      <c r="G140" s="24">
        <f t="shared" si="2"/>
        <v>4986.32</v>
      </c>
      <c r="H140" s="25">
        <f>VLOOKUP(B140,[1]!Table3[[Part Number]:[GQP CAD $]],5,0)</f>
        <v>311.64999999999998</v>
      </c>
      <c r="I140" s="26">
        <f t="shared" si="0"/>
        <v>2493.1999999999998</v>
      </c>
    </row>
    <row r="141" spans="2:9" x14ac:dyDescent="0.25">
      <c r="B141" s="62" t="s">
        <v>370</v>
      </c>
      <c r="C141" s="22" t="str">
        <f>VLOOKUP(B141,[1]!Table3[[Part Number]:[Make and Model]],2,0)</f>
        <v xml:space="preserve">CAT D4 (66J)                                            </v>
      </c>
      <c r="D141" s="22" t="str">
        <f>VLOOKUP(B141,[1]!Table3[[Part Number]:[Part Description]],3,0)</f>
        <v>SPROCKET BOLT</v>
      </c>
      <c r="E141" s="23">
        <f>VLOOKUP(B141,[1]!Table3[[Part Number]:[Annual]],11,0)</f>
        <v>12</v>
      </c>
      <c r="F141" s="24">
        <f>VLOOKUP(B141,[1]!Table3[[Part Number]:[OEM CAD $]],4,0)</f>
        <v>5.71</v>
      </c>
      <c r="G141" s="24">
        <f t="shared" si="2"/>
        <v>68.52</v>
      </c>
      <c r="H141" s="25">
        <f>VLOOKUP(B141,[1]!Table3[[Part Number]:[GQP CAD $]],5,0)</f>
        <v>2.86</v>
      </c>
      <c r="I141" s="26">
        <f t="shared" si="0"/>
        <v>34.32</v>
      </c>
    </row>
    <row r="142" spans="2:9" x14ac:dyDescent="0.25">
      <c r="B142" s="62" t="s">
        <v>371</v>
      </c>
      <c r="C142" s="22" t="str">
        <f>VLOOKUP(B142,[1]!Table3[[Part Number]:[Make and Model]],2,0)</f>
        <v xml:space="preserve">CAT D7G (92V) CAT D7G (3ZD) CAT D7G (3ZD) (2)                                        </v>
      </c>
      <c r="D142" s="22" t="str">
        <f>VLOOKUP(B142,[1]!Table3[[Part Number]:[Part Description]],3,0)</f>
        <v>SINGLE FLANGE ROLLER</v>
      </c>
      <c r="E142" s="23">
        <f>VLOOKUP(B142,[1]!Table3[[Part Number]:[Annual]],11,0)</f>
        <v>36</v>
      </c>
      <c r="F142" s="24">
        <f>VLOOKUP(B142,[1]!Table3[[Part Number]:[OEM CAD $]],4,0)</f>
        <v>1122.06</v>
      </c>
      <c r="G142" s="24">
        <f t="shared" si="2"/>
        <v>40394.159999999996</v>
      </c>
      <c r="H142" s="25">
        <f>VLOOKUP(B142,[1]!Table3[[Part Number]:[GQP CAD $]],5,0)</f>
        <v>561.03</v>
      </c>
      <c r="I142" s="26">
        <f t="shared" si="0"/>
        <v>20197.080000000002</v>
      </c>
    </row>
    <row r="143" spans="2:9" x14ac:dyDescent="0.25">
      <c r="B143" s="62" t="s">
        <v>372</v>
      </c>
      <c r="C143" s="22" t="str">
        <f>VLOOKUP(B143,[1]!Table3[[Part Number]:[Make and Model]],2,0)</f>
        <v xml:space="preserve">CAT D4 (66J)                                            </v>
      </c>
      <c r="D143" s="22" t="str">
        <f>VLOOKUP(B143,[1]!Table3[[Part Number]:[Part Description]],3,0)</f>
        <v>SPROCKET SEGMENT</v>
      </c>
      <c r="E143" s="23">
        <f>VLOOKUP(B143,[1]!Table3[[Part Number]:[Annual]],11,0)</f>
        <v>2</v>
      </c>
      <c r="F143" s="24">
        <f>VLOOKUP(B143,[1]!Table3[[Part Number]:[OEM CAD $]],4,0)</f>
        <v>1870.5</v>
      </c>
      <c r="G143" s="24">
        <f t="shared" si="2"/>
        <v>3741</v>
      </c>
      <c r="H143" s="25">
        <f>VLOOKUP(B143,[1]!Table3[[Part Number]:[GQP CAD $]],5,0)</f>
        <v>935.25</v>
      </c>
      <c r="I143" s="26">
        <f t="shared" si="0"/>
        <v>1870.5</v>
      </c>
    </row>
    <row r="144" spans="2:9" x14ac:dyDescent="0.25">
      <c r="B144" s="62" t="s">
        <v>373</v>
      </c>
      <c r="C144" s="22" t="str">
        <f>VLOOKUP(B144,[1]!Table3[[Part Number]:[Make and Model]],2,0)</f>
        <v xml:space="preserve">CAT 329E L (ZCD) CAT 329F L (ERL) CAT 329F L (ERL) (2) CAT 330F L (MBX) CAT 330F L (HCK) CAT 330F L (HCK) (2) CAT 330 (LHW) CAT 330 (LHW) (2) CAT 330 (LHW) (3) CAT 330 (LHW) (4) CAT 330 (WCH) CAT 330 (WCH) (2) CAT 330 (WCH) (3) CAT 330 (WCH) (4) CAT 330 (WCH) (5) CAT 330 (WCH) (6)              </v>
      </c>
      <c r="D144" s="22" t="str">
        <f>VLOOKUP(B144,[1]!Table3[[Part Number]:[Part Description]],3,0)</f>
        <v>SINGLE FLANGE TRACK ROLLER</v>
      </c>
      <c r="E144" s="23">
        <f>VLOOKUP(B144,[1]!Table3[[Part Number]:[Annual]],11,0)</f>
        <v>288</v>
      </c>
      <c r="F144" s="24">
        <f>VLOOKUP(B144,[1]!Table3[[Part Number]:[OEM CAD $]],4,0)</f>
        <v>862.15</v>
      </c>
      <c r="G144" s="24">
        <f t="shared" ref="G144:G207" si="3">E144*F144</f>
        <v>248299.19999999998</v>
      </c>
      <c r="H144" s="25">
        <f>VLOOKUP(B144,[1]!Table3[[Part Number]:[GQP CAD $]],5,0)</f>
        <v>431.08</v>
      </c>
      <c r="I144" s="26">
        <f t="shared" si="0"/>
        <v>124151.03999999999</v>
      </c>
    </row>
    <row r="145" spans="2:9" x14ac:dyDescent="0.25">
      <c r="B145" s="62" t="s">
        <v>374</v>
      </c>
      <c r="C145" s="22" t="str">
        <f>VLOOKUP(B145,[1]!Table3[[Part Number]:[Make and Model]],2,0)</f>
        <v xml:space="preserve">CAT D6 (RDC)                                            </v>
      </c>
      <c r="D145" s="22" t="str">
        <f>VLOOKUP(B145,[1]!Table3[[Part Number]:[Part Description]],3,0)</f>
        <v>HEX NUT</v>
      </c>
      <c r="E145" s="23">
        <f>VLOOKUP(B145,[1]!Table3[[Part Number]:[Annual]],11,0)</f>
        <v>50</v>
      </c>
      <c r="F145" s="24">
        <f>VLOOKUP(B145,[1]!Table3[[Part Number]:[OEM CAD $]],4,0)</f>
        <v>10.44</v>
      </c>
      <c r="G145" s="24">
        <f t="shared" si="3"/>
        <v>522</v>
      </c>
      <c r="H145" s="25">
        <f>VLOOKUP(B145,[1]!Table3[[Part Number]:[GQP CAD $]],5,0)</f>
        <v>5.22</v>
      </c>
      <c r="I145" s="26">
        <f t="shared" si="0"/>
        <v>261</v>
      </c>
    </row>
    <row r="146" spans="2:9" x14ac:dyDescent="0.25">
      <c r="B146" s="62" t="s">
        <v>375</v>
      </c>
      <c r="C146" s="22" t="str">
        <f>VLOOKUP(B146,[1]!Table3[[Part Number]:[Make and Model]],2,0)</f>
        <v xml:space="preserve">CAT 330 (LHW) CAT 330 (LHW) (2) CAT 330 (LHW) (3) CAT 330 (LHW) (4) CAT 330 (WCH) CAT 330 (WCH) (2) CAT 330 (WCH) (3) CAT 330 (WCH) (4) CAT 330 (WCH) (5) CAT 330 (WCH) (6)                          </v>
      </c>
      <c r="D146" s="22" t="str">
        <f>VLOOKUP(B146,[1]!Table3[[Part Number]:[Part Description]],3,0)</f>
        <v>TRACK SHOE 800MM</v>
      </c>
      <c r="E146" s="23">
        <f>VLOOKUP(B146,[1]!Table3[[Part Number]:[Annual]],11,0)</f>
        <v>1000</v>
      </c>
      <c r="F146" s="24">
        <f>VLOOKUP(B146,[1]!Table3[[Part Number]:[OEM CAD $]],4,0)</f>
        <v>230.91</v>
      </c>
      <c r="G146" s="24">
        <f t="shared" si="3"/>
        <v>230910</v>
      </c>
      <c r="H146" s="25">
        <f>VLOOKUP(B146,[1]!Table3[[Part Number]:[GQP CAD $]],5,0)</f>
        <v>115.46</v>
      </c>
      <c r="I146" s="26">
        <f t="shared" si="0"/>
        <v>115460</v>
      </c>
    </row>
    <row r="147" spans="2:9" x14ac:dyDescent="0.25">
      <c r="B147" s="62" t="s">
        <v>376</v>
      </c>
      <c r="C147" s="22" t="str">
        <f>VLOOKUP(B147,[1]!Table3[[Part Number]:[Make and Model]],2,0)</f>
        <v xml:space="preserve">CAT 336F L (RKB)                                            </v>
      </c>
      <c r="D147" s="22" t="str">
        <f>VLOOKUP(B147,[1]!Table3[[Part Number]:[Part Description]],3,0)</f>
        <v>SPROCKET BOLT</v>
      </c>
      <c r="E147" s="23">
        <f>VLOOKUP(B147,[1]!Table3[[Part Number]:[Annual]],11,0)</f>
        <v>32</v>
      </c>
      <c r="F147" s="24">
        <f>VLOOKUP(B147,[1]!Table3[[Part Number]:[OEM CAD $]],4,0)</f>
        <v>22.52</v>
      </c>
      <c r="G147" s="24">
        <f t="shared" si="3"/>
        <v>720.64</v>
      </c>
      <c r="H147" s="25">
        <f>VLOOKUP(B147,[1]!Table3[[Part Number]:[GQP CAD $]],5,0)</f>
        <v>11.26</v>
      </c>
      <c r="I147" s="26">
        <f t="shared" si="0"/>
        <v>360.32</v>
      </c>
    </row>
    <row r="148" spans="2:9" x14ac:dyDescent="0.25">
      <c r="B148" s="62" t="s">
        <v>377</v>
      </c>
      <c r="C148" s="22" t="str">
        <f>VLOOKUP(B148,[1]!Table3[[Part Number]:[Make and Model]],2,0)</f>
        <v xml:space="preserve">CAT D3 (1PJ)                                            </v>
      </c>
      <c r="D148" s="22" t="str">
        <f>VLOOKUP(B148,[1]!Table3[[Part Number]:[Part Description]],3,0)</f>
        <v>TRACK IDLER AND BEARING ASSY</v>
      </c>
      <c r="E148" s="23">
        <f>VLOOKUP(B148,[1]!Table3[[Part Number]:[Annual]],11,0)</f>
        <v>2</v>
      </c>
      <c r="F148" s="24">
        <f>VLOOKUP(B148,[1]!Table3[[Part Number]:[OEM CAD $]],4,0)</f>
        <v>1859.1</v>
      </c>
      <c r="G148" s="24">
        <f t="shared" si="3"/>
        <v>3718.2</v>
      </c>
      <c r="H148" s="25">
        <f>VLOOKUP(B148,[1]!Table3[[Part Number]:[GQP CAD $]],5,0)</f>
        <v>929.55</v>
      </c>
      <c r="I148" s="26">
        <f t="shared" si="0"/>
        <v>1859.1</v>
      </c>
    </row>
    <row r="149" spans="2:9" x14ac:dyDescent="0.25">
      <c r="B149" s="62" t="s">
        <v>378</v>
      </c>
      <c r="C149" s="22" t="str">
        <f>VLOOKUP(B149,[1]!Table3[[Part Number]:[Make and Model]],2,0)</f>
        <v xml:space="preserve">CAT 299D (DX2)                                            </v>
      </c>
      <c r="D149" s="22" t="str">
        <f>VLOOKUP(B149,[1]!Table3[[Part Number]:[Part Description]],3,0)</f>
        <v>Triple FLANGE ROLLER</v>
      </c>
      <c r="E149" s="23">
        <f>VLOOKUP(B149,[1]!Table3[[Part Number]:[Annual]],11,0)</f>
        <v>10</v>
      </c>
      <c r="F149" s="24">
        <f>VLOOKUP(B149,[1]!Table3[[Part Number]:[OEM CAD $]],4,0)</f>
        <v>630.58000000000004</v>
      </c>
      <c r="G149" s="24">
        <f t="shared" si="3"/>
        <v>6305.8</v>
      </c>
      <c r="H149" s="25">
        <f>VLOOKUP(B149,[1]!Table3[[Part Number]:[GQP CAD $]],5,0)</f>
        <v>315.29000000000002</v>
      </c>
      <c r="I149" s="26">
        <f t="shared" si="0"/>
        <v>3152.9</v>
      </c>
    </row>
    <row r="150" spans="2:9" x14ac:dyDescent="0.25">
      <c r="B150" s="62" t="s">
        <v>379</v>
      </c>
      <c r="C150" s="22" t="str">
        <f>VLOOKUP(B150,[1]!Table3[[Part Number]:[Make and Model]],2,0)</f>
        <v xml:space="preserve">CAT D6T (MH7)                                            </v>
      </c>
      <c r="D150" s="22" t="str">
        <f>VLOOKUP(B150,[1]!Table3[[Part Number]:[Part Description]],3,0)</f>
        <v>TRACK SHOE RH - 790MM - OFFSET</v>
      </c>
      <c r="E150" s="23">
        <f>VLOOKUP(B150,[1]!Table3[[Part Number]:[Annual]],11,0)</f>
        <v>44</v>
      </c>
      <c r="F150" s="24">
        <f>VLOOKUP(B150,[1]!Table3[[Part Number]:[OEM CAD $]],4,0)</f>
        <v>223.22</v>
      </c>
      <c r="G150" s="24">
        <f t="shared" si="3"/>
        <v>9821.68</v>
      </c>
      <c r="H150" s="25">
        <f>VLOOKUP(B150,[1]!Table3[[Part Number]:[GQP CAD $]],5,0)</f>
        <v>111.61</v>
      </c>
      <c r="I150" s="26">
        <f t="shared" si="0"/>
        <v>4910.84</v>
      </c>
    </row>
    <row r="151" spans="2:9" x14ac:dyDescent="0.25">
      <c r="B151" s="62" t="s">
        <v>380</v>
      </c>
      <c r="C151" s="22" t="str">
        <f>VLOOKUP(B151,[1]!Table3[[Part Number]:[Make and Model]],2,0)</f>
        <v xml:space="preserve">CAT D6T (MH7)                                            </v>
      </c>
      <c r="D151" s="22" t="str">
        <f>VLOOKUP(B151,[1]!Table3[[Part Number]:[Part Description]],3,0)</f>
        <v>TRACK SHOE MASTER RH</v>
      </c>
      <c r="E151" s="23">
        <f>VLOOKUP(B151,[1]!Table3[[Part Number]:[Annual]],11,0)</f>
        <v>1</v>
      </c>
      <c r="F151" s="24">
        <f>VLOOKUP(B151,[1]!Table3[[Part Number]:[OEM CAD $]],4,0)</f>
        <v>242.72</v>
      </c>
      <c r="G151" s="24">
        <f t="shared" si="3"/>
        <v>242.72</v>
      </c>
      <c r="H151" s="25">
        <f>VLOOKUP(B151,[1]!Table3[[Part Number]:[GQP CAD $]],5,0)</f>
        <v>121.36</v>
      </c>
      <c r="I151" s="26">
        <f t="shared" si="0"/>
        <v>121.36</v>
      </c>
    </row>
    <row r="152" spans="2:9" x14ac:dyDescent="0.25">
      <c r="B152" s="62" t="s">
        <v>381</v>
      </c>
      <c r="C152" s="22" t="str">
        <f>VLOOKUP(B152,[1]!Table3[[Part Number]:[Make and Model]],2,0)</f>
        <v xml:space="preserve">CAT D6T (MH7)                                            </v>
      </c>
      <c r="D152" s="22" t="str">
        <f>VLOOKUP(B152,[1]!Table3[[Part Number]:[Part Description]],3,0)</f>
        <v>TRACK SHOE LH - 790MM - OFFSET</v>
      </c>
      <c r="E152" s="23">
        <f>VLOOKUP(B152,[1]!Table3[[Part Number]:[Annual]],11,0)</f>
        <v>44</v>
      </c>
      <c r="F152" s="24">
        <f>VLOOKUP(B152,[1]!Table3[[Part Number]:[OEM CAD $]],4,0)</f>
        <v>223.22</v>
      </c>
      <c r="G152" s="24">
        <f t="shared" si="3"/>
        <v>9821.68</v>
      </c>
      <c r="H152" s="25">
        <f>VLOOKUP(B152,[1]!Table3[[Part Number]:[GQP CAD $]],5,0)</f>
        <v>111.61</v>
      </c>
      <c r="I152" s="26">
        <f t="shared" si="0"/>
        <v>4910.84</v>
      </c>
    </row>
    <row r="153" spans="2:9" x14ac:dyDescent="0.25">
      <c r="B153" s="62" t="s">
        <v>382</v>
      </c>
      <c r="C153" s="22" t="str">
        <f>VLOOKUP(B153,[1]!Table3[[Part Number]:[Make and Model]],2,0)</f>
        <v xml:space="preserve">CAT D6T (MH7)                                            </v>
      </c>
      <c r="D153" s="22" t="str">
        <f>VLOOKUP(B153,[1]!Table3[[Part Number]:[Part Description]],3,0)</f>
        <v>TRACK SHOE MASTER LH</v>
      </c>
      <c r="E153" s="23">
        <f>VLOOKUP(B153,[1]!Table3[[Part Number]:[Annual]],11,0)</f>
        <v>1</v>
      </c>
      <c r="F153" s="24">
        <f>VLOOKUP(B153,[1]!Table3[[Part Number]:[OEM CAD $]],4,0)</f>
        <v>235.62</v>
      </c>
      <c r="G153" s="24">
        <f t="shared" si="3"/>
        <v>235.62</v>
      </c>
      <c r="H153" s="25">
        <f>VLOOKUP(B153,[1]!Table3[[Part Number]:[GQP CAD $]],5,0)</f>
        <v>117.81</v>
      </c>
      <c r="I153" s="26">
        <f t="shared" si="0"/>
        <v>117.81</v>
      </c>
    </row>
    <row r="154" spans="2:9" x14ac:dyDescent="0.25">
      <c r="B154" s="62" t="s">
        <v>383</v>
      </c>
      <c r="C154" s="22" t="str">
        <f>VLOOKUP(B154,[1]!Table3[[Part Number]:[Make and Model]],2,0)</f>
        <v xml:space="preserve">CAT D4 (66J) CAT D6N LGP (GHS) CAT D6N LGP (SGG) CAT D6N LGP (SGG) (2)                                      </v>
      </c>
      <c r="D154" s="22" t="str">
        <f>VLOOKUP(B154,[1]!Table3[[Part Number]:[Part Description]],3,0)</f>
        <v>TRACK LINK ASSEMBLY</v>
      </c>
      <c r="E154" s="23">
        <f>VLOOKUP(B154,[1]!Table3[[Part Number]:[Annual]],11,0)</f>
        <v>8</v>
      </c>
      <c r="F154" s="24">
        <f>VLOOKUP(B154,[1]!Table3[[Part Number]:[OEM CAD $]],4,0)</f>
        <v>13503.77</v>
      </c>
      <c r="G154" s="24">
        <f t="shared" si="3"/>
        <v>108030.16</v>
      </c>
      <c r="H154" s="25">
        <f>VLOOKUP(B154,[1]!Table3[[Part Number]:[GQP CAD $]],5,0)</f>
        <v>6751.89</v>
      </c>
      <c r="I154" s="26">
        <f t="shared" si="0"/>
        <v>54015.12</v>
      </c>
    </row>
    <row r="155" spans="2:9" x14ac:dyDescent="0.25">
      <c r="B155" s="62" t="s">
        <v>58</v>
      </c>
      <c r="C155" s="22" t="str">
        <f>VLOOKUP(B155,[1]!Table3[[Part Number]:[Make and Model]],2,0)</f>
        <v xml:space="preserve">CAT D7G (92V) CAT D7G (3ZD) CAT D7G (3ZD) (2)                                        </v>
      </c>
      <c r="D155" s="22" t="str">
        <f>VLOOKUP(B155,[1]!Table3[[Part Number]:[Part Description]],3,0)</f>
        <v>DUAL FLANGE ROLLER</v>
      </c>
      <c r="E155" s="23">
        <f>VLOOKUP(B155,[1]!Table3[[Part Number]:[Annual]],11,0)</f>
        <v>36</v>
      </c>
      <c r="F155" s="24">
        <f>VLOOKUP(B155,[1]!Table3[[Part Number]:[OEM CAD $]],4,0)</f>
        <v>1169.26</v>
      </c>
      <c r="G155" s="24">
        <f t="shared" si="3"/>
        <v>42093.36</v>
      </c>
      <c r="H155" s="25">
        <f>VLOOKUP(B155,[1]!Table3[[Part Number]:[GQP CAD $]],5,0)</f>
        <v>584.63</v>
      </c>
      <c r="I155" s="26">
        <f t="shared" si="0"/>
        <v>21046.68</v>
      </c>
    </row>
    <row r="156" spans="2:9" x14ac:dyDescent="0.25">
      <c r="B156" s="62" t="s">
        <v>384</v>
      </c>
      <c r="C156" s="22" t="str">
        <f>VLOOKUP(B156,[1]!Table3[[Part Number]:[Make and Model]],2,0)</f>
        <v xml:space="preserve">CAT D6N LGP (PBA) CAT D6N LGP (PBA) (2)                                          </v>
      </c>
      <c r="D156" s="22" t="str">
        <f>VLOOKUP(B156,[1]!Table3[[Part Number]:[Part Description]],3,0)</f>
        <v xml:space="preserve">TRACK LINK ASSEMBLY </v>
      </c>
      <c r="E156" s="23">
        <f>VLOOKUP(B156,[1]!Table3[[Part Number]:[Annual]],11,0)</f>
        <v>4</v>
      </c>
      <c r="F156" s="24">
        <f>VLOOKUP(B156,[1]!Table3[[Part Number]:[OEM CAD $]],4,0)</f>
        <v>17735.5</v>
      </c>
      <c r="G156" s="24">
        <f t="shared" si="3"/>
        <v>70942</v>
      </c>
      <c r="H156" s="25">
        <f>VLOOKUP(B156,[1]!Table3[[Part Number]:[GQP CAD $]],5,0)</f>
        <v>8867.75</v>
      </c>
      <c r="I156" s="26">
        <f t="shared" si="0"/>
        <v>35471</v>
      </c>
    </row>
    <row r="157" spans="2:9" x14ac:dyDescent="0.25">
      <c r="B157" s="62" t="s">
        <v>385</v>
      </c>
      <c r="C157" s="22" t="str">
        <f>VLOOKUP(B157,[1]!Table3[[Part Number]:[Make and Model]],2,0)</f>
        <v xml:space="preserve">CAT D6T (MH7)                                            </v>
      </c>
      <c r="D157" s="22" t="str">
        <f>VLOOKUP(B157,[1]!Table3[[Part Number]:[Part Description]],3,0)</f>
        <v>TRACK LINK ASSEMBLY</v>
      </c>
      <c r="E157" s="23">
        <f>VLOOKUP(B157,[1]!Table3[[Part Number]:[Annual]],11,0)</f>
        <v>2</v>
      </c>
      <c r="F157" s="24">
        <f>VLOOKUP(B157,[1]!Table3[[Part Number]:[OEM CAD $]],4,0)</f>
        <v>15772.81</v>
      </c>
      <c r="G157" s="24">
        <f t="shared" si="3"/>
        <v>31545.62</v>
      </c>
      <c r="H157" s="25">
        <f>VLOOKUP(B157,[1]!Table3[[Part Number]:[GQP CAD $]],5,0)</f>
        <v>7886.41</v>
      </c>
      <c r="I157" s="26">
        <f t="shared" si="0"/>
        <v>15772.82</v>
      </c>
    </row>
    <row r="158" spans="2:9" x14ac:dyDescent="0.25">
      <c r="B158" s="62" t="s">
        <v>386</v>
      </c>
      <c r="C158" s="22" t="str">
        <f>VLOOKUP(B158,[1]!Table3[[Part Number]:[Make and Model]],2,0)</f>
        <v xml:space="preserve">CAT 303.5E                                            </v>
      </c>
      <c r="D158" s="22" t="str">
        <f>VLOOKUP(B158,[1]!Table3[[Part Number]:[Part Description]],3,0)</f>
        <v>RUBBER TRACKS</v>
      </c>
      <c r="E158" s="23">
        <f>VLOOKUP(B158,[1]!Table3[[Part Number]:[Annual]],11,0)</f>
        <v>2</v>
      </c>
      <c r="F158" s="24">
        <f>VLOOKUP(B158,[1]!Table3[[Part Number]:[OEM CAD $]],4,0)</f>
        <v>2467.27</v>
      </c>
      <c r="G158" s="24">
        <f t="shared" si="3"/>
        <v>4934.54</v>
      </c>
      <c r="H158" s="25">
        <f>VLOOKUP(B158,[1]!Table3[[Part Number]:[GQP CAD $]],5,0)</f>
        <v>1233.6400000000001</v>
      </c>
      <c r="I158" s="26">
        <f t="shared" si="0"/>
        <v>2467.2800000000002</v>
      </c>
    </row>
    <row r="159" spans="2:9" x14ac:dyDescent="0.25">
      <c r="B159" s="62" t="s">
        <v>387</v>
      </c>
      <c r="C159" s="22" t="str">
        <f>VLOOKUP(B159,[1]!Table3[[Part Number]:[Make and Model]],2,0)</f>
        <v xml:space="preserve">CAT 299D (DX2)                                            </v>
      </c>
      <c r="D159" s="22" t="str">
        <f>VLOOKUP(B159,[1]!Table3[[Part Number]:[Part Description]],3,0)</f>
        <v>Rubber Track - 400MM</v>
      </c>
      <c r="E159" s="23">
        <f>VLOOKUP(B159,[1]!Table3[[Part Number]:[Annual]],11,0)</f>
        <v>2</v>
      </c>
      <c r="F159" s="24">
        <f>VLOOKUP(B159,[1]!Table3[[Part Number]:[OEM CAD $]],4,0)</f>
        <v>3322.14</v>
      </c>
      <c r="G159" s="24">
        <f t="shared" si="3"/>
        <v>6644.28</v>
      </c>
      <c r="H159" s="25">
        <f>VLOOKUP(B159,[1]!Table3[[Part Number]:[GQP CAD $]],5,0)</f>
        <v>1661.07</v>
      </c>
      <c r="I159" s="26">
        <f t="shared" si="0"/>
        <v>3322.14</v>
      </c>
    </row>
    <row r="160" spans="2:9" x14ac:dyDescent="0.25">
      <c r="B160" s="62" t="s">
        <v>388</v>
      </c>
      <c r="C160" s="22" t="str">
        <f>VLOOKUP(B160,[1]!Table3[[Part Number]:[Make and Model]],2,0)</f>
        <v xml:space="preserve">CAT D6 (RDC)                                            </v>
      </c>
      <c r="D160" s="22" t="str">
        <f>VLOOKUP(B160,[1]!Table3[[Part Number]:[Part Description]],3,0)</f>
        <v>TRACK LINK 46 JOINT</v>
      </c>
      <c r="E160" s="23">
        <f>VLOOKUP(B160,[1]!Table3[[Part Number]:[Annual]],11,0)</f>
        <v>2</v>
      </c>
      <c r="F160" s="24">
        <f>VLOOKUP(B160,[1]!Table3[[Part Number]:[OEM CAD $]],4,0)</f>
        <v>10339.93</v>
      </c>
      <c r="G160" s="24">
        <f t="shared" si="3"/>
        <v>20679.86</v>
      </c>
      <c r="H160" s="25">
        <f>VLOOKUP(B160,[1]!Table3[[Part Number]:[GQP CAD $]],5,0)</f>
        <v>5169.97</v>
      </c>
      <c r="I160" s="26">
        <f t="shared" si="0"/>
        <v>10339.94</v>
      </c>
    </row>
    <row r="161" spans="2:9" x14ac:dyDescent="0.25">
      <c r="B161" s="62" t="s">
        <v>389</v>
      </c>
      <c r="C161" s="22" t="str">
        <f>VLOOKUP(B161,[1]!Table3[[Part Number]:[Make and Model]],2,0)</f>
        <v xml:space="preserve">CAT 320E L (WBK) CAT 320E L (WBK) (2) CAT 320F L (YBM) CAT 320 (HEX) CAT 320 (MYK) CAT 320 (MYK) (2)                                  </v>
      </c>
      <c r="D161" s="22" t="str">
        <f>VLOOKUP(B161,[1]!Table3[[Part Number]:[Part Description]],3,0)</f>
        <v xml:space="preserve">TRACK LINK ASSEMBLY </v>
      </c>
      <c r="E161" s="23">
        <f>VLOOKUP(B161,[1]!Table3[[Part Number]:[Annual]],11,0)</f>
        <v>12</v>
      </c>
      <c r="F161" s="24">
        <f>VLOOKUP(B161,[1]!Table3[[Part Number]:[OEM CAD $]],4,0)</f>
        <v>8238.4699999999993</v>
      </c>
      <c r="G161" s="24">
        <f t="shared" si="3"/>
        <v>98861.639999999985</v>
      </c>
      <c r="H161" s="25">
        <f>VLOOKUP(B161,[1]!Table3[[Part Number]:[GQP CAD $]],5,0)</f>
        <v>4119.24</v>
      </c>
      <c r="I161" s="26">
        <f t="shared" si="0"/>
        <v>49430.879999999997</v>
      </c>
    </row>
    <row r="162" spans="2:9" x14ac:dyDescent="0.25">
      <c r="B162" s="62" t="s">
        <v>390</v>
      </c>
      <c r="C162" s="22" t="str">
        <f>VLOOKUP(B162,[1]!Table3[[Part Number]:[Make and Model]],2,0)</f>
        <v xml:space="preserve">CAT D3 (1PJ)                                            </v>
      </c>
      <c r="D162" s="22" t="str">
        <f>VLOOKUP(B162,[1]!Table3[[Part Number]:[Part Description]],3,0)</f>
        <v>TRACK BOLT</v>
      </c>
      <c r="E162" s="23">
        <f>VLOOKUP(B162,[1]!Table3[[Part Number]:[Annual]],11,0)</f>
        <v>344</v>
      </c>
      <c r="F162" s="24">
        <f>VLOOKUP(B162,[1]!Table3[[Part Number]:[OEM CAD $]],4,0)</f>
        <v>3.73</v>
      </c>
      <c r="G162" s="24">
        <f t="shared" si="3"/>
        <v>1283.1199999999999</v>
      </c>
      <c r="H162" s="25">
        <f>VLOOKUP(B162,[1]!Table3[[Part Number]:[GQP CAD $]],5,0)</f>
        <v>1.87</v>
      </c>
      <c r="I162" s="26">
        <f t="shared" si="0"/>
        <v>643.28</v>
      </c>
    </row>
    <row r="163" spans="2:9" x14ac:dyDescent="0.25">
      <c r="B163" s="62" t="s">
        <v>206</v>
      </c>
      <c r="C163" s="22" t="str">
        <f>VLOOKUP(B163,[1]!Table3[[Part Number]:[Make and Model]],2,0)</f>
        <v xml:space="preserve">CAT D3 (1PJ)                                            </v>
      </c>
      <c r="D163" s="22" t="str">
        <f>VLOOKUP(B163,[1]!Table3[[Part Number]:[Part Description]],3,0)</f>
        <v>FLAT WASHER</v>
      </c>
      <c r="E163" s="23">
        <f>VLOOKUP(B163,[1]!Table3[[Part Number]:[Annual]],11,0)</f>
        <v>50</v>
      </c>
      <c r="F163" s="24">
        <f>VLOOKUP(B163,[1]!Table3[[Part Number]:[OEM CAD $]],4,0)</f>
        <v>1.86</v>
      </c>
      <c r="G163" s="24">
        <f t="shared" si="3"/>
        <v>93</v>
      </c>
      <c r="H163" s="25">
        <f>VLOOKUP(B163,[1]!Table3[[Part Number]:[GQP CAD $]],5,0)</f>
        <v>0.93</v>
      </c>
      <c r="I163" s="26">
        <f t="shared" si="0"/>
        <v>46.5</v>
      </c>
    </row>
    <row r="164" spans="2:9" x14ac:dyDescent="0.25">
      <c r="B164" s="62" t="s">
        <v>392</v>
      </c>
      <c r="C164" s="22" t="str">
        <f>VLOOKUP(B164,[1]!Table3[[Part Number]:[Make and Model]],2,0)</f>
        <v xml:space="preserve">CAT 561 (85H) CAT 561 (92J) CAT 561 (92J) (2)                                        </v>
      </c>
      <c r="D164" s="22" t="str">
        <f>VLOOKUP(B164,[1]!Table3[[Part Number]:[Part Description]],3,0)</f>
        <v>SPROCKET</v>
      </c>
      <c r="E164" s="23">
        <f>VLOOKUP(B164,[1]!Table3[[Part Number]:[Annual]],11,0)</f>
        <v>54</v>
      </c>
      <c r="F164" s="24">
        <f>VLOOKUP(B164,[1]!Table3[[Part Number]:[OEM CAD $]],4,0)</f>
        <v>566.69000000000005</v>
      </c>
      <c r="G164" s="24">
        <f t="shared" si="3"/>
        <v>30601.260000000002</v>
      </c>
      <c r="H164" s="25">
        <f>VLOOKUP(B164,[1]!Table3[[Part Number]:[GQP CAD $]],5,0)</f>
        <v>283.35000000000002</v>
      </c>
      <c r="I164" s="26">
        <f t="shared" si="0"/>
        <v>15300.9</v>
      </c>
    </row>
    <row r="165" spans="2:9" x14ac:dyDescent="0.25">
      <c r="B165" s="62" t="s">
        <v>393</v>
      </c>
      <c r="C165" s="22" t="str">
        <f>VLOOKUP(B165,[1]!Table3[[Part Number]:[Make and Model]],2,0)</f>
        <v xml:space="preserve">CAT 561 (85H) CAT 561 (92J) CAT 561 (92J) (2)                                        </v>
      </c>
      <c r="D165" s="22" t="str">
        <f>VLOOKUP(B165,[1]!Table3[[Part Number]:[Part Description]],3,0)</f>
        <v>TRACK SHOE</v>
      </c>
      <c r="E165" s="23">
        <f>VLOOKUP(B165,[1]!Table3[[Part Number]:[Annual]],11,0)</f>
        <v>234</v>
      </c>
      <c r="F165" s="24">
        <f>VLOOKUP(B165,[1]!Table3[[Part Number]:[OEM CAD $]],4,0)</f>
        <v>89.68</v>
      </c>
      <c r="G165" s="24">
        <f t="shared" si="3"/>
        <v>20985.120000000003</v>
      </c>
      <c r="H165" s="25">
        <f>VLOOKUP(B165,[1]!Table3[[Part Number]:[GQP CAD $]],5,0)</f>
        <v>44.84</v>
      </c>
      <c r="I165" s="26">
        <f t="shared" si="0"/>
        <v>10492.56</v>
      </c>
    </row>
    <row r="166" spans="2:9" x14ac:dyDescent="0.25">
      <c r="B166" s="62" t="s">
        <v>394</v>
      </c>
      <c r="C166" s="22" t="str">
        <f>VLOOKUP(B166,[1]!Table3[[Part Number]:[Make and Model]],2,0)</f>
        <v xml:space="preserve">CAT 320E L (WBK) CAT 320E L (WBK) (2) CAT 320F L (YBM) CAT 320 (HEX) CAT 320 (MYK) CAT 320 (MYK) (2)                                  </v>
      </c>
      <c r="D166" s="22" t="str">
        <f>VLOOKUP(B166,[1]!Table3[[Part Number]:[Part Description]],3,0)</f>
        <v>SINGLE FLANGE TRACK ROLLER</v>
      </c>
      <c r="E166" s="23">
        <f>VLOOKUP(B166,[1]!Table3[[Part Number]:[Annual]],11,0)</f>
        <v>96</v>
      </c>
      <c r="F166" s="24">
        <f>VLOOKUP(B166,[1]!Table3[[Part Number]:[OEM CAD $]],4,0)</f>
        <v>748.26</v>
      </c>
      <c r="G166" s="24">
        <f t="shared" si="3"/>
        <v>71832.959999999992</v>
      </c>
      <c r="H166" s="25">
        <f>VLOOKUP(B166,[1]!Table3[[Part Number]:[GQP CAD $]],5,0)</f>
        <v>374.13</v>
      </c>
      <c r="I166" s="26">
        <f t="shared" si="0"/>
        <v>35916.480000000003</v>
      </c>
    </row>
    <row r="167" spans="2:9" x14ac:dyDescent="0.25">
      <c r="B167" s="62" t="s">
        <v>395</v>
      </c>
      <c r="C167" s="22" t="str">
        <f>VLOOKUP(B167,[1]!Table3[[Part Number]:[Make and Model]],2,0)</f>
        <v xml:space="preserve">CAT 329E L (ZCD) CAT 329F L (ERL) CAT 329F L (ERL) (2) CAT 330F L (MBX) CAT 330F L (HCK) CAT 330F L (HCK) (2) CAT 330 (LHW) CAT 330 (LHW) (2) CAT 330 (LHW) (3) CAT 330 (LHW) (4) CAT 330 (WCH) CAT 330 (WCH) (2) CAT 330 (WCH) (3) CAT 330 (WCH) (4) CAT 330 (WCH) (5) CAT 330 (WCH) (6)              </v>
      </c>
      <c r="D167" s="22" t="str">
        <f>VLOOKUP(B167,[1]!Table3[[Part Number]:[Part Description]],3,0)</f>
        <v>SPROCKET BOLT</v>
      </c>
      <c r="E167" s="23">
        <f>VLOOKUP(B167,[1]!Table3[[Part Number]:[Annual]],11,0)</f>
        <v>576</v>
      </c>
      <c r="F167" s="24">
        <f>VLOOKUP(B167,[1]!Table3[[Part Number]:[OEM CAD $]],4,0)</f>
        <v>10.72</v>
      </c>
      <c r="G167" s="24">
        <f t="shared" si="3"/>
        <v>6174.72</v>
      </c>
      <c r="H167" s="25">
        <f>VLOOKUP(B167,[1]!Table3[[Part Number]:[GQP CAD $]],5,0)</f>
        <v>5.36</v>
      </c>
      <c r="I167" s="26">
        <f t="shared" si="0"/>
        <v>3087.36</v>
      </c>
    </row>
    <row r="168" spans="2:9" x14ac:dyDescent="0.25">
      <c r="B168" s="62" t="s">
        <v>396</v>
      </c>
      <c r="C168" s="22" t="str">
        <f>VLOOKUP(B168,[1]!Table3[[Part Number]:[Make and Model]],2,0)</f>
        <v xml:space="preserve">CAT 330 (LHW) CAT 330 (LHW) (2) CAT 330 (LHW) (3) CAT 330 (LHW) (4) CAT 330 (WCH) CAT 330 (WCH) (2) CAT 330 (WCH) (3) CAT 330 (WCH) (4) CAT 330 (WCH) (5) CAT 330 (WCH) (6)                          </v>
      </c>
      <c r="D168" s="22" t="str">
        <f>VLOOKUP(B168,[1]!Table3[[Part Number]:[Part Description]],3,0)</f>
        <v>TRACK LINK ASSEMBLY</v>
      </c>
      <c r="E168" s="23">
        <f>VLOOKUP(B168,[1]!Table3[[Part Number]:[Annual]],11,0)</f>
        <v>20</v>
      </c>
      <c r="F168" s="24">
        <f>VLOOKUP(B168,[1]!Table3[[Part Number]:[OEM CAD $]],4,0)</f>
        <v>10788.51</v>
      </c>
      <c r="G168" s="24">
        <f t="shared" si="3"/>
        <v>215770.2</v>
      </c>
      <c r="H168" s="25">
        <f>VLOOKUP(B168,[1]!Table3[[Part Number]:[GQP CAD $]],5,0)</f>
        <v>5394.26</v>
      </c>
      <c r="I168" s="26">
        <f t="shared" si="0"/>
        <v>107885.2</v>
      </c>
    </row>
    <row r="169" spans="2:9" x14ac:dyDescent="0.25">
      <c r="B169" s="62" t="s">
        <v>397</v>
      </c>
      <c r="C169" s="22" t="str">
        <f>VLOOKUP(B169,[1]!Table3[[Part Number]:[Make and Model]],2,0)</f>
        <v xml:space="preserve">CAT 329F L (ERL) CAT 329F L (ERL) (2) CAT 330F L (MBX) CAT 330F L (HCK) CAT 330F L (HCK) (2) CAT 330 (LHW) CAT 330 (LHW) (2) CAT 330 (LHW) (3) CAT 330 (LHW) (4) CAT 330 (WCH) CAT 330 (WCH) (2) CAT 330 (WCH) (3) CAT 330 (WCH) (4) CAT 330 (WCH) (5) CAT 330 (WCH) (6)                </v>
      </c>
      <c r="D169" s="22" t="str">
        <f>VLOOKUP(B169,[1]!Table3[[Part Number]:[Part Description]],3,0)</f>
        <v>SECONDARY TUBROCHARGER ASSEMBLY</v>
      </c>
      <c r="E169" s="23">
        <f>VLOOKUP(B169,[1]!Table3[[Part Number]:[Annual]],11,0)</f>
        <v>15</v>
      </c>
      <c r="F169" s="24">
        <f>VLOOKUP(B169,[1]!Table3[[Part Number]:[OEM CAD $]],4,0)</f>
        <v>3634.22</v>
      </c>
      <c r="G169" s="24">
        <f t="shared" si="3"/>
        <v>54513.299999999996</v>
      </c>
      <c r="H169" s="25">
        <f>VLOOKUP(B169,[1]!Table3[[Part Number]:[GQP CAD $]],5,0)</f>
        <v>1817.11</v>
      </c>
      <c r="I169" s="26">
        <f t="shared" ref="I169:I232" si="4">ROUND(E169*H169,2)</f>
        <v>27256.65</v>
      </c>
    </row>
    <row r="170" spans="2:9" x14ac:dyDescent="0.25">
      <c r="B170" s="62" t="s">
        <v>398</v>
      </c>
      <c r="C170" s="22" t="str">
        <f>VLOOKUP(B170,[1]!Table3[[Part Number]:[Make and Model]],2,0)</f>
        <v xml:space="preserve">CAT D3 (1PJ)                                            </v>
      </c>
      <c r="D170" s="22" t="str">
        <f>VLOOKUP(B170,[1]!Table3[[Part Number]:[Part Description]],3,0)</f>
        <v>CYLINDER HEAD</v>
      </c>
      <c r="E170" s="23">
        <f>VLOOKUP(B170,[1]!Table3[[Part Number]:[Annual]],11,0)</f>
        <v>1</v>
      </c>
      <c r="F170" s="24">
        <f>VLOOKUP(B170,[1]!Table3[[Part Number]:[OEM CAD $]],4,0)</f>
        <v>6130.36</v>
      </c>
      <c r="G170" s="24">
        <f t="shared" si="3"/>
        <v>6130.36</v>
      </c>
      <c r="H170" s="25">
        <f>VLOOKUP(B170,[1]!Table3[[Part Number]:[GQP CAD $]],5,0)</f>
        <v>3065.18</v>
      </c>
      <c r="I170" s="26">
        <f t="shared" si="4"/>
        <v>3065.18</v>
      </c>
    </row>
    <row r="171" spans="2:9" x14ac:dyDescent="0.25">
      <c r="B171" s="62" t="s">
        <v>399</v>
      </c>
      <c r="C171" s="22" t="str">
        <f>VLOOKUP(B171,[1]!Table3[[Part Number]:[Make and Model]],2,0)</f>
        <v xml:space="preserve">CAT D6N LGP (GHS) CAT D6N LGP (PBA) CAT D6N LGP (PBA) (2) CAT D6N LGP (SGG) CAT D6N LGP (SGG) (2)                                    </v>
      </c>
      <c r="D171" s="22" t="str">
        <f>VLOOKUP(B171,[1]!Table3[[Part Number]:[Part Description]],3,0)</f>
        <v>SPROCKET SEGMENT</v>
      </c>
      <c r="E171" s="23">
        <f>VLOOKUP(B171,[1]!Table3[[Part Number]:[Annual]],11,0)</f>
        <v>50</v>
      </c>
      <c r="F171" s="24">
        <f>VLOOKUP(B171,[1]!Table3[[Part Number]:[OEM CAD $]],4,0)</f>
        <v>204.05</v>
      </c>
      <c r="G171" s="24">
        <f t="shared" si="3"/>
        <v>10202.5</v>
      </c>
      <c r="H171" s="25">
        <f>VLOOKUP(B171,[1]!Table3[[Part Number]:[GQP CAD $]],5,0)</f>
        <v>102.03</v>
      </c>
      <c r="I171" s="26">
        <f t="shared" si="4"/>
        <v>5101.5</v>
      </c>
    </row>
    <row r="172" spans="2:9" x14ac:dyDescent="0.25">
      <c r="B172" s="62" t="s">
        <v>400</v>
      </c>
      <c r="C172" s="22" t="str">
        <f>VLOOKUP(B172,[1]!Table3[[Part Number]:[Make and Model]],2,0)</f>
        <v xml:space="preserve">CAT D4 (66J) CAT D5 (3CR) CAT D5 (3CR) (2) CAT 561M (1KW) CAT 561N (CPH) CAT 561N (CPH) (2) CAT 561N (CPH) (3) CAT 561N (CPH) (4) CAT 561N (CPH) (5)                            </v>
      </c>
      <c r="D172" s="22" t="str">
        <f>VLOOKUP(B172,[1]!Table3[[Part Number]:[Part Description]],3,0)</f>
        <v>CARRIER ROLLER</v>
      </c>
      <c r="E172" s="23">
        <f>VLOOKUP(B172,[1]!Table3[[Part Number]:[Annual]],11,0)</f>
        <v>18</v>
      </c>
      <c r="F172" s="24">
        <f>VLOOKUP(B172,[1]!Table3[[Part Number]:[OEM CAD $]],4,0)</f>
        <v>520.11</v>
      </c>
      <c r="G172" s="24">
        <f t="shared" si="3"/>
        <v>9361.98</v>
      </c>
      <c r="H172" s="25">
        <f>VLOOKUP(B172,[1]!Table3[[Part Number]:[GQP CAD $]],5,0)</f>
        <v>260.06</v>
      </c>
      <c r="I172" s="26">
        <f t="shared" si="4"/>
        <v>4681.08</v>
      </c>
    </row>
    <row r="173" spans="2:9" x14ac:dyDescent="0.25">
      <c r="B173" s="62" t="s">
        <v>401</v>
      </c>
      <c r="C173" s="22" t="str">
        <f>VLOOKUP(B173,[1]!Table3[[Part Number]:[Make and Model]],2,0)</f>
        <v xml:space="preserve">CAT D3 (1PJ)                                            </v>
      </c>
      <c r="D173" s="22" t="str">
        <f>VLOOKUP(B173,[1]!Table3[[Part Number]:[Part Description]],3,0)</f>
        <v>CARRIER ROLLER</v>
      </c>
      <c r="E173" s="23">
        <f>VLOOKUP(B173,[1]!Table3[[Part Number]:[Annual]],11,0)</f>
        <v>2</v>
      </c>
      <c r="F173" s="24">
        <f>VLOOKUP(B173,[1]!Table3[[Part Number]:[OEM CAD $]],4,0)</f>
        <v>493.88</v>
      </c>
      <c r="G173" s="24">
        <f t="shared" si="3"/>
        <v>987.76</v>
      </c>
      <c r="H173" s="25">
        <f>VLOOKUP(B173,[1]!Table3[[Part Number]:[GQP CAD $]],5,0)</f>
        <v>246.94</v>
      </c>
      <c r="I173" s="26">
        <f t="shared" si="4"/>
        <v>493.88</v>
      </c>
    </row>
    <row r="174" spans="2:9" x14ac:dyDescent="0.25">
      <c r="B174" s="62" t="s">
        <v>402</v>
      </c>
      <c r="C174" s="22" t="str">
        <f>VLOOKUP(B174,[1]!Table3[[Part Number]:[Make and Model]],2,0)</f>
        <v xml:space="preserve">CAT 561N (CPH) CAT 561N (CPH) (2) CAT 561N (CPH) (3) CAT 561N (CPH) (4) CAT 561N (CPH) (5)                                    </v>
      </c>
      <c r="D174" s="22" t="str">
        <f>VLOOKUP(B174,[1]!Table3[[Part Number]:[Part Description]],3,0)</f>
        <v>TRACK SHOE</v>
      </c>
      <c r="E174" s="23">
        <f>VLOOKUP(B174,[1]!Table3[[Part Number]:[Annual]],11,0)</f>
        <v>440</v>
      </c>
      <c r="F174" s="24">
        <f>VLOOKUP(B174,[1]!Table3[[Part Number]:[OEM CAD $]],4,0)</f>
        <v>655.30999999999995</v>
      </c>
      <c r="G174" s="24">
        <f t="shared" si="3"/>
        <v>288336.39999999997</v>
      </c>
      <c r="H174" s="25">
        <f>VLOOKUP(B174,[1]!Table3[[Part Number]:[GQP CAD $]],5,0)</f>
        <v>327.66000000000003</v>
      </c>
      <c r="I174" s="26">
        <f t="shared" si="4"/>
        <v>144170.4</v>
      </c>
    </row>
    <row r="175" spans="2:9" x14ac:dyDescent="0.25">
      <c r="B175" s="62" t="s">
        <v>403</v>
      </c>
      <c r="C175" s="22" t="str">
        <f>VLOOKUP(B175,[1]!Table3[[Part Number]:[Make and Model]],2,0)</f>
        <v xml:space="preserve">CAT D3 (1PJ)                                            </v>
      </c>
      <c r="D175" s="22" t="str">
        <f>VLOOKUP(B175,[1]!Table3[[Part Number]:[Part Description]],3,0)</f>
        <v>TRACK SHOE MASTER</v>
      </c>
      <c r="E175" s="23">
        <f>VLOOKUP(B175,[1]!Table3[[Part Number]:[Annual]],11,0)</f>
        <v>2</v>
      </c>
      <c r="F175" s="24">
        <f>VLOOKUP(B175,[1]!Table3[[Part Number]:[OEM CAD $]],4,0)</f>
        <v>729.52</v>
      </c>
      <c r="G175" s="24">
        <f t="shared" si="3"/>
        <v>1459.04</v>
      </c>
      <c r="H175" s="25">
        <f>VLOOKUP(B175,[1]!Table3[[Part Number]:[GQP CAD $]],5,0)</f>
        <v>364.76</v>
      </c>
      <c r="I175" s="26">
        <f t="shared" si="4"/>
        <v>729.52</v>
      </c>
    </row>
    <row r="176" spans="2:9" x14ac:dyDescent="0.25">
      <c r="B176" s="62" t="s">
        <v>404</v>
      </c>
      <c r="C176" s="22" t="str">
        <f>VLOOKUP(B176,[1]!Table3[[Part Number]:[Make and Model]],2,0)</f>
        <v xml:space="preserve">CAT D3 (1PJ)                                            </v>
      </c>
      <c r="D176" s="22" t="str">
        <f>VLOOKUP(B176,[1]!Table3[[Part Number]:[Part Description]],3,0)</f>
        <v>TRACK SHOE SINGLE GROUSER 860MM</v>
      </c>
      <c r="E176" s="23">
        <f>VLOOKUP(B176,[1]!Table3[[Part Number]:[Annual]],11,0)</f>
        <v>86</v>
      </c>
      <c r="F176" s="24">
        <f>VLOOKUP(B176,[1]!Table3[[Part Number]:[OEM CAD $]],4,0)</f>
        <v>693.26</v>
      </c>
      <c r="G176" s="24">
        <f t="shared" si="3"/>
        <v>59620.36</v>
      </c>
      <c r="H176" s="25">
        <f>VLOOKUP(B176,[1]!Table3[[Part Number]:[GQP CAD $]],5,0)</f>
        <v>346.63</v>
      </c>
      <c r="I176" s="26">
        <f t="shared" si="4"/>
        <v>29810.18</v>
      </c>
    </row>
    <row r="177" spans="2:9" x14ac:dyDescent="0.25">
      <c r="B177" s="62" t="s">
        <v>405</v>
      </c>
      <c r="C177" s="22" t="str">
        <f>VLOOKUP(B177,[1]!Table3[[Part Number]:[Make and Model]],2,0)</f>
        <v xml:space="preserve">CAT D6N LGP (GHS) CAT D6N LGP (PBA) CAT D6N LGP (PBA) (2) CAT D6N LGP (SGG) CAT D6N LGP (SGG) (2) CAT D6T (MH7)                                  </v>
      </c>
      <c r="D177" s="22" t="str">
        <f>VLOOKUP(B177,[1]!Table3[[Part Number]:[Part Description]],3,0)</f>
        <v>SPROCKET BOLT</v>
      </c>
      <c r="E177" s="23">
        <f>VLOOKUP(B177,[1]!Table3[[Part Number]:[Annual]],11,0)</f>
        <v>300</v>
      </c>
      <c r="F177" s="24">
        <f>VLOOKUP(B177,[1]!Table3[[Part Number]:[OEM CAD $]],4,0)</f>
        <v>3.14</v>
      </c>
      <c r="G177" s="24">
        <f t="shared" si="3"/>
        <v>942</v>
      </c>
      <c r="H177" s="25">
        <f>VLOOKUP(B177,[1]!Table3[[Part Number]:[GQP CAD $]],5,0)</f>
        <v>1.57</v>
      </c>
      <c r="I177" s="26">
        <f t="shared" si="4"/>
        <v>471</v>
      </c>
    </row>
    <row r="178" spans="2:9" x14ac:dyDescent="0.25">
      <c r="B178" s="62" t="s">
        <v>60</v>
      </c>
      <c r="C178" s="22" t="str">
        <f>VLOOKUP(B178,[1]!Table3[[Part Number]:[Make and Model]],2,0)</f>
        <v xml:space="preserve">CAT D4 (66J) CAT D6 (RDC) CAT D6N LGP (GHS) CAT D6N LGP (SGG) CAT D6N LGP (SGG) (2) CAT D6T (MH7) CAT PL61 (WGS) CAT PL61 (WGS) (2) CAT PL61 (WGS) (3)                            </v>
      </c>
      <c r="D178" s="22" t="str">
        <f>VLOOKUP(B178,[1]!Table3[[Part Number]:[Part Description]],3,0)</f>
        <v>TRACK BOLT</v>
      </c>
      <c r="E178" s="23">
        <f>VLOOKUP(B178,[1]!Table3[[Part Number]:[Annual]],11,0)</f>
        <v>3088</v>
      </c>
      <c r="F178" s="24">
        <f>VLOOKUP(B178,[1]!Table3[[Part Number]:[OEM CAD $]],4,0)</f>
        <v>5.38</v>
      </c>
      <c r="G178" s="24">
        <f t="shared" si="3"/>
        <v>16613.439999999999</v>
      </c>
      <c r="H178" s="25">
        <f>VLOOKUP(B178,[1]!Table3[[Part Number]:[GQP CAD $]],5,0)</f>
        <v>2.69</v>
      </c>
      <c r="I178" s="26">
        <f t="shared" si="4"/>
        <v>8306.7199999999993</v>
      </c>
    </row>
    <row r="179" spans="2:9" x14ac:dyDescent="0.25">
      <c r="B179" s="62" t="s">
        <v>406</v>
      </c>
      <c r="C179" s="22" t="str">
        <f>VLOOKUP(B179,[1]!Table3[[Part Number]:[Make and Model]],2,0)</f>
        <v xml:space="preserve">CAT D6T (MH7)                                            </v>
      </c>
      <c r="D179" s="22" t="str">
        <f>VLOOKUP(B179,[1]!Table3[[Part Number]:[Part Description]],3,0)</f>
        <v>ROLLER BOLT</v>
      </c>
      <c r="E179" s="23">
        <f>VLOOKUP(B179,[1]!Table3[[Part Number]:[Annual]],11,0)</f>
        <v>64</v>
      </c>
      <c r="F179" s="24">
        <f>VLOOKUP(B179,[1]!Table3[[Part Number]:[OEM CAD $]],4,0)</f>
        <v>13.48</v>
      </c>
      <c r="G179" s="24">
        <f t="shared" si="3"/>
        <v>862.72</v>
      </c>
      <c r="H179" s="25">
        <f>VLOOKUP(B179,[1]!Table3[[Part Number]:[GQP CAD $]],5,0)</f>
        <v>6.74</v>
      </c>
      <c r="I179" s="26">
        <f t="shared" si="4"/>
        <v>431.36</v>
      </c>
    </row>
    <row r="180" spans="2:9" x14ac:dyDescent="0.25">
      <c r="B180" s="62" t="s">
        <v>61</v>
      </c>
      <c r="C180" s="22" t="str">
        <f>VLOOKUP(B180,[1]!Table3[[Part Number]:[Make and Model]],2,0)</f>
        <v xml:space="preserve">CAT D5 (3CR) CAT D5 (3CR) (2) CAT 561M (1KW) CAT 561N (CPH) CAT 561N (CPH) (2) CAT 561N (CPH) (3) CAT 561N (CPH) (4) CAT 561N (CPH) (5)                              </v>
      </c>
      <c r="D180" s="22" t="str">
        <f>VLOOKUP(B180,[1]!Table3[[Part Number]:[Part Description]],3,0)</f>
        <v>FLAT WASHER</v>
      </c>
      <c r="E180" s="23">
        <f>VLOOKUP(B180,[1]!Table3[[Part Number]:[Annual]],11,0)</f>
        <v>320</v>
      </c>
      <c r="F180" s="24">
        <f>VLOOKUP(B180,[1]!Table3[[Part Number]:[OEM CAD $]],4,0)</f>
        <v>3.41</v>
      </c>
      <c r="G180" s="24">
        <f t="shared" si="3"/>
        <v>1091.2</v>
      </c>
      <c r="H180" s="25">
        <f>VLOOKUP(B180,[1]!Table3[[Part Number]:[GQP CAD $]],5,0)</f>
        <v>1.71</v>
      </c>
      <c r="I180" s="26">
        <f t="shared" si="4"/>
        <v>547.20000000000005</v>
      </c>
    </row>
    <row r="181" spans="2:9" x14ac:dyDescent="0.25">
      <c r="B181" s="62" t="s">
        <v>407</v>
      </c>
      <c r="C181" s="22" t="str">
        <f>VLOOKUP(B181,[1]!Table3[[Part Number]:[Make and Model]],2,0)</f>
        <v xml:space="preserve">CAT D6T (MH7)                                            </v>
      </c>
      <c r="D181" s="22" t="str">
        <f>VLOOKUP(B181,[1]!Table3[[Part Number]:[Part Description]],3,0)</f>
        <v>IDLER CAP BOLT</v>
      </c>
      <c r="E181" s="23">
        <f>VLOOKUP(B181,[1]!Table3[[Part Number]:[Annual]],11,0)</f>
        <v>16</v>
      </c>
      <c r="F181" s="24">
        <f>VLOOKUP(B181,[1]!Table3[[Part Number]:[OEM CAD $]],4,0)</f>
        <v>27.02</v>
      </c>
      <c r="G181" s="24">
        <f t="shared" si="3"/>
        <v>432.32</v>
      </c>
      <c r="H181" s="25">
        <f>VLOOKUP(B181,[1]!Table3[[Part Number]:[GQP CAD $]],5,0)</f>
        <v>13.51</v>
      </c>
      <c r="I181" s="26">
        <f t="shared" si="4"/>
        <v>216.16</v>
      </c>
    </row>
    <row r="182" spans="2:9" x14ac:dyDescent="0.25">
      <c r="B182" s="62" t="s">
        <v>408</v>
      </c>
      <c r="C182" s="22" t="str">
        <f>VLOOKUP(B182,[1]!Table3[[Part Number]:[Make and Model]],2,0)</f>
        <v xml:space="preserve">CAT D6N LGP (PBA) CAT D6N LGP (PBA) (2)                                          </v>
      </c>
      <c r="D182" s="22" t="str">
        <f>VLOOKUP(B182,[1]!Table3[[Part Number]:[Part Description]],3,0)</f>
        <v>TRACK BOLT</v>
      </c>
      <c r="E182" s="23">
        <f>VLOOKUP(B182,[1]!Table3[[Part Number]:[Annual]],11,0)</f>
        <v>720</v>
      </c>
      <c r="F182" s="24">
        <f>VLOOKUP(B182,[1]!Table3[[Part Number]:[OEM CAD $]],4,0)</f>
        <v>6.32</v>
      </c>
      <c r="G182" s="24">
        <f t="shared" si="3"/>
        <v>4550.4000000000005</v>
      </c>
      <c r="H182" s="25">
        <f>VLOOKUP(B182,[1]!Table3[[Part Number]:[GQP CAD $]],5,0)</f>
        <v>3.16</v>
      </c>
      <c r="I182" s="26">
        <f t="shared" si="4"/>
        <v>2275.1999999999998</v>
      </c>
    </row>
    <row r="183" spans="2:9" x14ac:dyDescent="0.25">
      <c r="B183" s="62" t="s">
        <v>409</v>
      </c>
      <c r="C183" s="22" t="str">
        <f>VLOOKUP(B183,[1]!Table3[[Part Number]:[Make and Model]],2,0)</f>
        <v xml:space="preserve">CAT 329E L (ZCD) CAT 329F L (ERL) CAT 329F L (ERL) (2) CAT 330F L (MBX) CAT 330F L (HCK) CAT 330F L (HCK) (2)                                  </v>
      </c>
      <c r="D183" s="22" t="str">
        <f>VLOOKUP(B183,[1]!Table3[[Part Number]:[Part Description]],3,0)</f>
        <v>TRACK SHOE 800MM</v>
      </c>
      <c r="E183" s="23">
        <f>VLOOKUP(B183,[1]!Table3[[Part Number]:[Annual]],11,0)</f>
        <v>600</v>
      </c>
      <c r="F183" s="24">
        <f>VLOOKUP(B183,[1]!Table3[[Part Number]:[OEM CAD $]],4,0)</f>
        <v>230.39</v>
      </c>
      <c r="G183" s="24">
        <f t="shared" si="3"/>
        <v>138234</v>
      </c>
      <c r="H183" s="25">
        <f>VLOOKUP(B183,[1]!Table3[[Part Number]:[GQP CAD $]],5,0)</f>
        <v>115.2</v>
      </c>
      <c r="I183" s="26">
        <f t="shared" si="4"/>
        <v>69120</v>
      </c>
    </row>
    <row r="184" spans="2:9" x14ac:dyDescent="0.25">
      <c r="B184" s="62" t="s">
        <v>410</v>
      </c>
      <c r="C184" s="22" t="str">
        <f>VLOOKUP(B184,[1]!Table3[[Part Number]:[Make and Model]],2,0)</f>
        <v xml:space="preserve">CAT 329E L (ZCD) CAT 329F L (ERL) CAT 329F L (ERL) (2) CAT 330F L (MBX) CAT 330F L (HCK) CAT 330F L (HCK) (2) CAT 330 (LHW) CAT 330 (LHW) (2) CAT 330 (LHW) (3) CAT 330 (LHW) (4) CAT 330 (WCH) CAT 330 (WCH) (2) CAT 330 (WCH) (3) CAT 330 (WCH) (4) CAT 330 (WCH) (5) CAT 330 (WCH) (6)              </v>
      </c>
      <c r="D184" s="22" t="str">
        <f>VLOOKUP(B184,[1]!Table3[[Part Number]:[Part Description]],3,0)</f>
        <v>TRACK SPROCKET</v>
      </c>
      <c r="E184" s="23">
        <f>VLOOKUP(B184,[1]!Table3[[Part Number]:[Annual]],11,0)</f>
        <v>32</v>
      </c>
      <c r="F184" s="24">
        <f>VLOOKUP(B184,[1]!Table3[[Part Number]:[OEM CAD $]],4,0)</f>
        <v>1259.02</v>
      </c>
      <c r="G184" s="24">
        <f t="shared" si="3"/>
        <v>40288.639999999999</v>
      </c>
      <c r="H184" s="25">
        <f>VLOOKUP(B184,[1]!Table3[[Part Number]:[GQP CAD $]],5,0)</f>
        <v>629.51</v>
      </c>
      <c r="I184" s="26">
        <f t="shared" si="4"/>
        <v>20144.32</v>
      </c>
    </row>
    <row r="185" spans="2:9" x14ac:dyDescent="0.25">
      <c r="B185" s="62" t="s">
        <v>411</v>
      </c>
      <c r="C185" s="22" t="str">
        <f>VLOOKUP(B185,[1]!Table3[[Part Number]:[Make and Model]],2,0)</f>
        <v xml:space="preserve">CAT 336F L (RKB)                                            </v>
      </c>
      <c r="D185" s="22" t="str">
        <f>VLOOKUP(B185,[1]!Table3[[Part Number]:[Part Description]],3,0)</f>
        <v>TRACK SPROCKET</v>
      </c>
      <c r="E185" s="23">
        <f>VLOOKUP(B185,[1]!Table3[[Part Number]:[Annual]],11,0)</f>
        <v>2</v>
      </c>
      <c r="F185" s="24">
        <f>VLOOKUP(B185,[1]!Table3[[Part Number]:[OEM CAD $]],4,0)</f>
        <v>1567.41</v>
      </c>
      <c r="G185" s="24">
        <f t="shared" si="3"/>
        <v>3134.82</v>
      </c>
      <c r="H185" s="25">
        <f>VLOOKUP(B185,[1]!Table3[[Part Number]:[GQP CAD $]],5,0)</f>
        <v>783.71</v>
      </c>
      <c r="I185" s="26">
        <f t="shared" si="4"/>
        <v>1567.42</v>
      </c>
    </row>
    <row r="186" spans="2:9" x14ac:dyDescent="0.25">
      <c r="B186" s="62" t="s">
        <v>212</v>
      </c>
      <c r="C186" s="22" t="str">
        <f>VLOOKUP(B186,[1]!Table3[[Part Number]:[Make and Model]],2,0)</f>
        <v xml:space="preserve">CAT D6 (RDC)                                            </v>
      </c>
      <c r="D186" s="22" t="str">
        <f>VLOOKUP(B186,[1]!Table3[[Part Number]:[Part Description]],3,0)</f>
        <v>MASTER SHOE</v>
      </c>
      <c r="E186" s="23">
        <f>VLOOKUP(B186,[1]!Table3[[Part Number]:[Annual]],11,0)</f>
        <v>2</v>
      </c>
      <c r="F186" s="24">
        <f>VLOOKUP(B186,[1]!Table3[[Part Number]:[OEM CAD $]],4,0)</f>
        <v>240.45</v>
      </c>
      <c r="G186" s="24">
        <f t="shared" si="3"/>
        <v>480.9</v>
      </c>
      <c r="H186" s="25">
        <f>VLOOKUP(B186,[1]!Table3[[Part Number]:[GQP CAD $]],5,0)</f>
        <v>120.23</v>
      </c>
      <c r="I186" s="26">
        <f t="shared" si="4"/>
        <v>240.46</v>
      </c>
    </row>
    <row r="187" spans="2:9" x14ac:dyDescent="0.25">
      <c r="B187" s="62" t="s">
        <v>412</v>
      </c>
      <c r="C187" s="22" t="str">
        <f>VLOOKUP(B187,[1]!Table3[[Part Number]:[Make and Model]],2,0)</f>
        <v xml:space="preserve">CAT 336F L (RKB)                                            </v>
      </c>
      <c r="D187" s="22" t="str">
        <f>VLOOKUP(B187,[1]!Table3[[Part Number]:[Part Description]],3,0)</f>
        <v>TRACK SHOE 850MM</v>
      </c>
      <c r="E187" s="23">
        <f>VLOOKUP(B187,[1]!Table3[[Part Number]:[Annual]],11,0)</f>
        <v>98</v>
      </c>
      <c r="F187" s="24">
        <f>VLOOKUP(B187,[1]!Table3[[Part Number]:[OEM CAD $]],4,0)</f>
        <v>260.58</v>
      </c>
      <c r="G187" s="24">
        <f t="shared" si="3"/>
        <v>25536.84</v>
      </c>
      <c r="H187" s="25">
        <f>VLOOKUP(B187,[1]!Table3[[Part Number]:[GQP CAD $]],5,0)</f>
        <v>130.29</v>
      </c>
      <c r="I187" s="26">
        <f t="shared" si="4"/>
        <v>12768.42</v>
      </c>
    </row>
    <row r="188" spans="2:9" x14ac:dyDescent="0.25">
      <c r="B188" s="62" t="s">
        <v>413</v>
      </c>
      <c r="C188" s="22" t="str">
        <f>VLOOKUP(B188,[1]!Table3[[Part Number]:[Make and Model]],2,0)</f>
        <v xml:space="preserve">CAT D6 (RDC)                                            </v>
      </c>
      <c r="D188" s="22" t="str">
        <f>VLOOKUP(B188,[1]!Table3[[Part Number]:[Part Description]],3,0)</f>
        <v>TRACK SHOE</v>
      </c>
      <c r="E188" s="23">
        <f>VLOOKUP(B188,[1]!Table3[[Part Number]:[Annual]],11,0)</f>
        <v>90</v>
      </c>
      <c r="F188" s="24">
        <f>VLOOKUP(B188,[1]!Table3[[Part Number]:[OEM CAD $]],4,0)</f>
        <v>185.5</v>
      </c>
      <c r="G188" s="24">
        <f t="shared" si="3"/>
        <v>16695</v>
      </c>
      <c r="H188" s="25">
        <f>VLOOKUP(B188,[1]!Table3[[Part Number]:[GQP CAD $]],5,0)</f>
        <v>92.75</v>
      </c>
      <c r="I188" s="26">
        <f t="shared" si="4"/>
        <v>8347.5</v>
      </c>
    </row>
    <row r="189" spans="2:9" x14ac:dyDescent="0.25">
      <c r="B189" s="62" t="s">
        <v>414</v>
      </c>
      <c r="C189" s="22" t="str">
        <f>VLOOKUP(B189,[1]!Table3[[Part Number]:[Make and Model]],2,0)</f>
        <v xml:space="preserve">CAT 330 (LHW) CAT 330 (LHW) (2) CAT 330 (LHW) (3) CAT 330 (LHW) (4) CAT 330 (WCH) CAT 330 (WCH) (2) CAT 330 (WCH) (3) CAT 330 (WCH) (4) CAT 330 (WCH) (5) CAT 330 (WCH) (6)                          </v>
      </c>
      <c r="D189" s="22" t="str">
        <f>VLOOKUP(B189,[1]!Table3[[Part Number]:[Part Description]],3,0)</f>
        <v>TRACK BOLT</v>
      </c>
      <c r="E189" s="23">
        <f>VLOOKUP(B189,[1]!Table3[[Part Number]:[Annual]],11,0)</f>
        <v>4000</v>
      </c>
      <c r="F189" s="24">
        <f>VLOOKUP(B189,[1]!Table3[[Part Number]:[OEM CAD $]],4,0)</f>
        <v>8.3699999999999992</v>
      </c>
      <c r="G189" s="24">
        <f t="shared" si="3"/>
        <v>33480</v>
      </c>
      <c r="H189" s="25">
        <f>VLOOKUP(B189,[1]!Table3[[Part Number]:[GQP CAD $]],5,0)</f>
        <v>4.1900000000000004</v>
      </c>
      <c r="I189" s="26">
        <f t="shared" si="4"/>
        <v>16760</v>
      </c>
    </row>
    <row r="190" spans="2:9" x14ac:dyDescent="0.25">
      <c r="B190" s="62" t="s">
        <v>415</v>
      </c>
      <c r="C190" s="22" t="str">
        <f>VLOOKUP(B190,[1]!Table3[[Part Number]:[Make and Model]],2,0)</f>
        <v xml:space="preserve">CAT 561 (85H) CAT 561 (92J) CAT 561 (92J) (2)                                        </v>
      </c>
      <c r="D190" s="22" t="str">
        <f>VLOOKUP(B190,[1]!Table3[[Part Number]:[Part Description]],3,0)</f>
        <v>BOLT TRACK SHOE</v>
      </c>
      <c r="E190" s="23">
        <f>VLOOKUP(B190,[1]!Table3[[Part Number]:[Annual]],11,0)</f>
        <v>1086</v>
      </c>
      <c r="F190" s="24">
        <f>VLOOKUP(B190,[1]!Table3[[Part Number]:[OEM CAD $]],4,0)</f>
        <v>2.84</v>
      </c>
      <c r="G190" s="24">
        <f t="shared" si="3"/>
        <v>3084.24</v>
      </c>
      <c r="H190" s="25">
        <f>VLOOKUP(B190,[1]!Table3[[Part Number]:[GQP CAD $]],5,0)</f>
        <v>1.42</v>
      </c>
      <c r="I190" s="26">
        <f t="shared" si="4"/>
        <v>1542.12</v>
      </c>
    </row>
    <row r="191" spans="2:9" x14ac:dyDescent="0.25">
      <c r="B191" s="62" t="s">
        <v>416</v>
      </c>
      <c r="C191" s="22" t="str">
        <f>VLOOKUP(B191,[1]!Table3[[Part Number]:[Make and Model]],2,0)</f>
        <v xml:space="preserve">CAT D7G (92V) CAT D7G (3ZD) CAT D7G (3ZD) (2)                                        </v>
      </c>
      <c r="D191" s="22" t="str">
        <f>VLOOKUP(B191,[1]!Table3[[Part Number]:[Part Description]],3,0)</f>
        <v>TRACK BOLT</v>
      </c>
      <c r="E191" s="23">
        <f>VLOOKUP(B191,[1]!Table3[[Part Number]:[Annual]],11,0)</f>
        <v>888</v>
      </c>
      <c r="F191" s="24">
        <f>VLOOKUP(B191,[1]!Table3[[Part Number]:[OEM CAD $]],4,0)</f>
        <v>4.01</v>
      </c>
      <c r="G191" s="24">
        <f t="shared" si="3"/>
        <v>3560.8799999999997</v>
      </c>
      <c r="H191" s="25">
        <f>VLOOKUP(B191,[1]!Table3[[Part Number]:[GQP CAD $]],5,0)</f>
        <v>2.0099999999999998</v>
      </c>
      <c r="I191" s="26">
        <f t="shared" si="4"/>
        <v>1784.88</v>
      </c>
    </row>
    <row r="192" spans="2:9" x14ac:dyDescent="0.25">
      <c r="B192" s="62" t="s">
        <v>62</v>
      </c>
      <c r="C192" s="22" t="str">
        <f>VLOOKUP(B192,[1]!Table3[[Part Number]:[Make and Model]],2,0)</f>
        <v>CAT D5 (3CR) CAT D5 (3CR) (2) CAT D6N LGP (GHS) CAT D6N LGP (PBA) CAT D6N LGP (PBA) (2) CAT D6N LGP (SGG) CAT D6N LGP (SGG) (2) CAT D6T (MH7) CAT D7G (92V) CAT D7G (3ZD) CAT D7G (3ZD) (2) CAT 561 (85H) CAT 561 (92J) CAT 561 (92J) (2) CAT 561M (1KW) CAT 561N (CPH) CAT 561N (CPH) (2) CAT 561N (CPH) (3) CAT 561N (CPH) (4) CAT 561N (CPH) (5) CAT PL61 (WGS) CAT PL61 (WGS) (2) CAT PL61 (WGS) (3)</v>
      </c>
      <c r="D192" s="22" t="str">
        <f>VLOOKUP(B192,[1]!Table3[[Part Number]:[Part Description]],3,0)</f>
        <v>SPROCKET NUT</v>
      </c>
      <c r="E192" s="23">
        <f>VLOOKUP(B192,[1]!Table3[[Part Number]:[Annual]],11,0)</f>
        <v>1064</v>
      </c>
      <c r="F192" s="24">
        <f>VLOOKUP(B192,[1]!Table3[[Part Number]:[OEM CAD $]],4,0)</f>
        <v>3.41</v>
      </c>
      <c r="G192" s="24">
        <f t="shared" si="3"/>
        <v>3628.2400000000002</v>
      </c>
      <c r="H192" s="25">
        <f>VLOOKUP(B192,[1]!Table3[[Part Number]:[GQP CAD $]],5,0)</f>
        <v>1.71</v>
      </c>
      <c r="I192" s="26">
        <f t="shared" si="4"/>
        <v>1819.44</v>
      </c>
    </row>
    <row r="193" spans="2:9" x14ac:dyDescent="0.25">
      <c r="B193" s="62" t="s">
        <v>417</v>
      </c>
      <c r="C193" s="22" t="str">
        <f>VLOOKUP(B193,[1]!Table3[[Part Number]:[Make and Model]],2,0)</f>
        <v xml:space="preserve">CAT D3 (1PJ)                                            </v>
      </c>
      <c r="D193" s="22" t="str">
        <f>VLOOKUP(B193,[1]!Table3[[Part Number]:[Part Description]],3,0)</f>
        <v>TRACK NUT</v>
      </c>
      <c r="E193" s="23">
        <f>VLOOKUP(B193,[1]!Table3[[Part Number]:[Annual]],11,0)</f>
        <v>344</v>
      </c>
      <c r="F193" s="24">
        <f>VLOOKUP(B193,[1]!Table3[[Part Number]:[OEM CAD $]],4,0)</f>
        <v>1.47</v>
      </c>
      <c r="G193" s="24">
        <f t="shared" si="3"/>
        <v>505.68</v>
      </c>
      <c r="H193" s="25">
        <f>VLOOKUP(B193,[1]!Table3[[Part Number]:[GQP CAD $]],5,0)</f>
        <v>0.74</v>
      </c>
      <c r="I193" s="26">
        <f t="shared" si="4"/>
        <v>254.56</v>
      </c>
    </row>
    <row r="194" spans="2:9" x14ac:dyDescent="0.25">
      <c r="B194" s="62" t="s">
        <v>418</v>
      </c>
      <c r="C194" s="22" t="str">
        <f>VLOOKUP(B194,[1]!Table3[[Part Number]:[Make and Model]],2,0)</f>
        <v xml:space="preserve">CAT 561 (85H) CAT 561 (92J) CAT 561 (92J) (2)                                        </v>
      </c>
      <c r="D194" s="22" t="str">
        <f>VLOOKUP(B194,[1]!Table3[[Part Number]:[Part Description]],3,0)</f>
        <v>IDLER AS</v>
      </c>
      <c r="E194" s="23">
        <f>VLOOKUP(B194,[1]!Table3[[Part Number]:[Annual]],11,0)</f>
        <v>12</v>
      </c>
      <c r="F194" s="24">
        <f>VLOOKUP(B194,[1]!Table3[[Part Number]:[OEM CAD $]],4,0)</f>
        <v>2106.39</v>
      </c>
      <c r="G194" s="24">
        <f t="shared" si="3"/>
        <v>25276.68</v>
      </c>
      <c r="H194" s="25">
        <f>VLOOKUP(B194,[1]!Table3[[Part Number]:[GQP CAD $]],5,0)</f>
        <v>1053.2</v>
      </c>
      <c r="I194" s="26">
        <f t="shared" si="4"/>
        <v>12638.4</v>
      </c>
    </row>
    <row r="195" spans="2:9" x14ac:dyDescent="0.25">
      <c r="B195" s="62" t="s">
        <v>419</v>
      </c>
      <c r="C195" s="22" t="str">
        <f>VLOOKUP(B195,[1]!Table3[[Part Number]:[Make and Model]],2,0)</f>
        <v xml:space="preserve">CAT 303.5E                                            </v>
      </c>
      <c r="D195" s="22" t="str">
        <f>VLOOKUP(B195,[1]!Table3[[Part Number]:[Part Description]],3,0)</f>
        <v>TRACK WASHER</v>
      </c>
      <c r="E195" s="23">
        <f>VLOOKUP(B195,[1]!Table3[[Part Number]:[Annual]],11,0)</f>
        <v>20</v>
      </c>
      <c r="F195" s="24">
        <f>VLOOKUP(B195,[1]!Table3[[Part Number]:[OEM CAD $]],4,0)</f>
        <v>5.59</v>
      </c>
      <c r="G195" s="24">
        <f t="shared" si="3"/>
        <v>111.8</v>
      </c>
      <c r="H195" s="25">
        <f>VLOOKUP(B195,[1]!Table3[[Part Number]:[GQP CAD $]],5,0)</f>
        <v>2.8</v>
      </c>
      <c r="I195" s="26">
        <f t="shared" si="4"/>
        <v>56</v>
      </c>
    </row>
    <row r="196" spans="2:9" x14ac:dyDescent="0.25">
      <c r="B196" s="62" t="s">
        <v>420</v>
      </c>
      <c r="C196" s="22" t="str">
        <f>VLOOKUP(B196,[1]!Table3[[Part Number]:[Make and Model]],2,0)</f>
        <v xml:space="preserve">CAT D6N LGP (PBA) CAT D6N LGP (PBA) (2) CAT D6N LGP (SGG) CAT D6N LGP (SGG) (2)                                      </v>
      </c>
      <c r="D196" s="22" t="str">
        <f>VLOOKUP(B196,[1]!Table3[[Part Number]:[Part Description]],3,0)</f>
        <v>CARRIER BOLT</v>
      </c>
      <c r="E196" s="23">
        <f>VLOOKUP(B196,[1]!Table3[[Part Number]:[Annual]],11,0)</f>
        <v>16</v>
      </c>
      <c r="F196" s="24">
        <f>VLOOKUP(B196,[1]!Table3[[Part Number]:[OEM CAD $]],4,0)</f>
        <v>31.3</v>
      </c>
      <c r="G196" s="24">
        <f t="shared" si="3"/>
        <v>500.8</v>
      </c>
      <c r="H196" s="25">
        <f>VLOOKUP(B196,[1]!Table3[[Part Number]:[GQP CAD $]],5,0)</f>
        <v>15.65</v>
      </c>
      <c r="I196" s="26">
        <f t="shared" si="4"/>
        <v>250.4</v>
      </c>
    </row>
    <row r="197" spans="2:9" x14ac:dyDescent="0.25">
      <c r="B197" s="62" t="s">
        <v>421</v>
      </c>
      <c r="C197" s="22" t="str">
        <f>VLOOKUP(B197,[1]!Table3[[Part Number]:[Make and Model]],2,0)</f>
        <v xml:space="preserve">CAT 320E L (WBK) CAT 320E L (WBK) (2) CAT 320F L (YBM) CAT 320 (HEX) CAT 320 (MYK) CAT 320 (MYK) (2)                                  </v>
      </c>
      <c r="D197" s="22" t="str">
        <f>VLOOKUP(B197,[1]!Table3[[Part Number]:[Part Description]],3,0)</f>
        <v>CARRIER ROLLER</v>
      </c>
      <c r="E197" s="23">
        <f>VLOOKUP(B197,[1]!Table3[[Part Number]:[Annual]],11,0)</f>
        <v>24</v>
      </c>
      <c r="F197" s="24">
        <f>VLOOKUP(B197,[1]!Table3[[Part Number]:[OEM CAD $]],4,0)</f>
        <v>537.45000000000005</v>
      </c>
      <c r="G197" s="24">
        <f t="shared" si="3"/>
        <v>12898.800000000001</v>
      </c>
      <c r="H197" s="25">
        <f>VLOOKUP(B197,[1]!Table3[[Part Number]:[GQP CAD $]],5,0)</f>
        <v>268.73</v>
      </c>
      <c r="I197" s="26">
        <f t="shared" si="4"/>
        <v>6449.52</v>
      </c>
    </row>
    <row r="198" spans="2:9" x14ac:dyDescent="0.25">
      <c r="B198" s="62" t="s">
        <v>422</v>
      </c>
      <c r="C198" s="22" t="str">
        <f>VLOOKUP(B198,[1]!Table3[[Part Number]:[Make and Model]],2,0)</f>
        <v xml:space="preserve">CAT 320E L (WBK) CAT 320E L (WBK) (2) CAT 320F L (YBM) CAT 320 (HEX) CAT 320 (MYK) CAT 320 (MYK) (2)                                  </v>
      </c>
      <c r="D198" s="22" t="str">
        <f>VLOOKUP(B198,[1]!Table3[[Part Number]:[Part Description]],3,0)</f>
        <v>TRACK SPROCKET</v>
      </c>
      <c r="E198" s="23">
        <f>VLOOKUP(B198,[1]!Table3[[Part Number]:[Annual]],11,0)</f>
        <v>12</v>
      </c>
      <c r="F198" s="24">
        <f>VLOOKUP(B198,[1]!Table3[[Part Number]:[OEM CAD $]],4,0)</f>
        <v>1064.58</v>
      </c>
      <c r="G198" s="24">
        <f t="shared" si="3"/>
        <v>12774.96</v>
      </c>
      <c r="H198" s="25">
        <f>VLOOKUP(B198,[1]!Table3[[Part Number]:[GQP CAD $]],5,0)</f>
        <v>532.29</v>
      </c>
      <c r="I198" s="26">
        <f t="shared" si="4"/>
        <v>6387.48</v>
      </c>
    </row>
    <row r="199" spans="2:9" x14ac:dyDescent="0.25">
      <c r="B199" s="62" t="s">
        <v>423</v>
      </c>
      <c r="C199" s="22" t="str">
        <f>VLOOKUP(B199,[1]!Table3[[Part Number]:[Make and Model]],2,0)</f>
        <v xml:space="preserve">CAT 561M (1KW)                                            </v>
      </c>
      <c r="D199" s="22" t="str">
        <f>VLOOKUP(B199,[1]!Table3[[Part Number]:[Part Description]],3,0)</f>
        <v>TRACK SHOE</v>
      </c>
      <c r="E199" s="23">
        <f>VLOOKUP(B199,[1]!Table3[[Part Number]:[Annual]],11,0)</f>
        <v>88</v>
      </c>
      <c r="F199" s="24">
        <f>VLOOKUP(B199,[1]!Table3[[Part Number]:[OEM CAD $]],4,0)</f>
        <v>89.36</v>
      </c>
      <c r="G199" s="24">
        <f t="shared" si="3"/>
        <v>7863.68</v>
      </c>
      <c r="H199" s="25">
        <f>VLOOKUP(B199,[1]!Table3[[Part Number]:[GQP CAD $]],5,0)</f>
        <v>44.68</v>
      </c>
      <c r="I199" s="26">
        <f t="shared" si="4"/>
        <v>3931.84</v>
      </c>
    </row>
    <row r="200" spans="2:9" x14ac:dyDescent="0.25">
      <c r="B200" s="62" t="s">
        <v>424</v>
      </c>
      <c r="C200" s="22" t="str">
        <f>VLOOKUP(B200,[1]!Table3[[Part Number]:[Make and Model]],2,0)</f>
        <v xml:space="preserve">CAT D3 (1PJ)                                            </v>
      </c>
      <c r="D200" s="22" t="str">
        <f>VLOOKUP(B200,[1]!Table3[[Part Number]:[Part Description]],3,0)</f>
        <v>SPROCKET NUT</v>
      </c>
      <c r="E200" s="23">
        <f>VLOOKUP(B200,[1]!Table3[[Part Number]:[Annual]],11,0)</f>
        <v>50</v>
      </c>
      <c r="F200" s="24">
        <f>VLOOKUP(B200,[1]!Table3[[Part Number]:[OEM CAD $]],4,0)</f>
        <v>0.67</v>
      </c>
      <c r="G200" s="24">
        <f t="shared" si="3"/>
        <v>33.5</v>
      </c>
      <c r="H200" s="25">
        <f>VLOOKUP(B200,[1]!Table3[[Part Number]:[GQP CAD $]],5,0)</f>
        <v>0.34</v>
      </c>
      <c r="I200" s="26">
        <f t="shared" si="4"/>
        <v>17</v>
      </c>
    </row>
    <row r="201" spans="2:9" x14ac:dyDescent="0.25">
      <c r="B201" s="62" t="s">
        <v>425</v>
      </c>
      <c r="C201" s="22" t="str">
        <f>VLOOKUP(B201,[1]!Table3[[Part Number]:[Make and Model]],2,0)</f>
        <v xml:space="preserve">CAT D7G (92V) CAT D7G (3ZD) CAT D7G (3ZD) (2)                                        </v>
      </c>
      <c r="D201" s="22" t="str">
        <f>VLOOKUP(B201,[1]!Table3[[Part Number]:[Part Description]],3,0)</f>
        <v>CYLINDER HEAD</v>
      </c>
      <c r="E201" s="23">
        <f>VLOOKUP(B201,[1]!Table3[[Part Number]:[Annual]],11,0)</f>
        <v>3</v>
      </c>
      <c r="F201" s="24">
        <f>VLOOKUP(B201,[1]!Table3[[Part Number]:[OEM CAD $]],4,0)</f>
        <v>7409.03</v>
      </c>
      <c r="G201" s="24">
        <f t="shared" si="3"/>
        <v>22227.09</v>
      </c>
      <c r="H201" s="25">
        <f>VLOOKUP(B201,[1]!Table3[[Part Number]:[GQP CAD $]],5,0)</f>
        <v>3704.52</v>
      </c>
      <c r="I201" s="26">
        <f t="shared" si="4"/>
        <v>11113.56</v>
      </c>
    </row>
    <row r="202" spans="2:9" x14ac:dyDescent="0.25">
      <c r="B202" s="62" t="s">
        <v>426</v>
      </c>
      <c r="C202" s="22" t="str">
        <f>VLOOKUP(B202,[1]!Table3[[Part Number]:[Make and Model]],2,0)</f>
        <v xml:space="preserve">CAT D7G (92V) CAT D7G (3ZD) CAT D7G (3ZD) (2)                                        </v>
      </c>
      <c r="D202" s="22" t="str">
        <f>VLOOKUP(B202,[1]!Table3[[Part Number]:[Part Description]],3,0)</f>
        <v>SPROCKET SEGMENT</v>
      </c>
      <c r="E202" s="23">
        <f>VLOOKUP(B202,[1]!Table3[[Part Number]:[Annual]],11,0)</f>
        <v>30</v>
      </c>
      <c r="F202" s="24">
        <f>VLOOKUP(B202,[1]!Table3[[Part Number]:[OEM CAD $]],4,0)</f>
        <v>111.66</v>
      </c>
      <c r="G202" s="24">
        <f t="shared" si="3"/>
        <v>3349.7999999999997</v>
      </c>
      <c r="H202" s="25">
        <f>VLOOKUP(B202,[1]!Table3[[Part Number]:[GQP CAD $]],5,0)</f>
        <v>55.83</v>
      </c>
      <c r="I202" s="26">
        <f t="shared" si="4"/>
        <v>1674.9</v>
      </c>
    </row>
    <row r="203" spans="2:9" x14ac:dyDescent="0.25">
      <c r="B203" s="62" t="s">
        <v>427</v>
      </c>
      <c r="C203" s="22" t="str">
        <f>VLOOKUP(B203,[1]!Table3[[Part Number]:[Make and Model]],2,0)</f>
        <v xml:space="preserve">CAT D6N LGP (PBA) CAT D6N LGP (PBA) (2) CAT D6N LGP (SGG) CAT D6N LGP (SGG) (2)                                      </v>
      </c>
      <c r="D203" s="22" t="str">
        <f>VLOOKUP(B203,[1]!Table3[[Part Number]:[Part Description]],3,0)</f>
        <v>ROLLER BOLT</v>
      </c>
      <c r="E203" s="23">
        <f>VLOOKUP(B203,[1]!Table3[[Part Number]:[Annual]],11,0)</f>
        <v>256</v>
      </c>
      <c r="F203" s="24">
        <f>VLOOKUP(B203,[1]!Table3[[Part Number]:[OEM CAD $]],4,0)</f>
        <v>8.73</v>
      </c>
      <c r="G203" s="24">
        <f t="shared" si="3"/>
        <v>2234.88</v>
      </c>
      <c r="H203" s="25">
        <f>VLOOKUP(B203,[1]!Table3[[Part Number]:[GQP CAD $]],5,0)</f>
        <v>4.37</v>
      </c>
      <c r="I203" s="26">
        <f t="shared" si="4"/>
        <v>1118.72</v>
      </c>
    </row>
    <row r="204" spans="2:9" x14ac:dyDescent="0.25">
      <c r="B204" s="62" t="s">
        <v>428</v>
      </c>
      <c r="C204" s="22" t="str">
        <f>VLOOKUP(B204,[1]!Table3[[Part Number]:[Make and Model]],2,0)</f>
        <v xml:space="preserve">CAT D6N LGP (SGG) CAT D6N LGP (SGG) (2) CAT 561M (1KW)                                        </v>
      </c>
      <c r="D204" s="22" t="str">
        <f>VLOOKUP(B204,[1]!Table3[[Part Number]:[Part Description]],3,0)</f>
        <v>IDLER CAP BOLT - REAR</v>
      </c>
      <c r="E204" s="23">
        <f>VLOOKUP(B204,[1]!Table3[[Part Number]:[Annual]],11,0)</f>
        <v>32</v>
      </c>
      <c r="F204" s="24">
        <f>VLOOKUP(B204,[1]!Table3[[Part Number]:[OEM CAD $]],4,0)</f>
        <v>12.9</v>
      </c>
      <c r="G204" s="24">
        <f t="shared" si="3"/>
        <v>412.8</v>
      </c>
      <c r="H204" s="25">
        <f>VLOOKUP(B204,[1]!Table3[[Part Number]:[GQP CAD $]],5,0)</f>
        <v>6.45</v>
      </c>
      <c r="I204" s="26">
        <f t="shared" si="4"/>
        <v>206.4</v>
      </c>
    </row>
    <row r="205" spans="2:9" x14ac:dyDescent="0.25">
      <c r="B205" s="62" t="s">
        <v>429</v>
      </c>
      <c r="C205" s="22" t="str">
        <f>VLOOKUP(B205,[1]!Table3[[Part Number]:[Make and Model]],2,0)</f>
        <v xml:space="preserve">CAT D6N LGP (SGG) CAT D6N LGP (SGG) (2)                                          </v>
      </c>
      <c r="D205" s="22" t="str">
        <f>VLOOKUP(B205,[1]!Table3[[Part Number]:[Part Description]],3,0)</f>
        <v xml:space="preserve">IDLER CAP BOLT - FRONT </v>
      </c>
      <c r="E205" s="23">
        <f>VLOOKUP(B205,[1]!Table3[[Part Number]:[Annual]],11,0)</f>
        <v>16</v>
      </c>
      <c r="F205" s="24">
        <f>VLOOKUP(B205,[1]!Table3[[Part Number]:[OEM CAD $]],4,0)</f>
        <v>14.24</v>
      </c>
      <c r="G205" s="24">
        <f t="shared" si="3"/>
        <v>227.84</v>
      </c>
      <c r="H205" s="25">
        <f>VLOOKUP(B205,[1]!Table3[[Part Number]:[GQP CAD $]],5,0)</f>
        <v>7.12</v>
      </c>
      <c r="I205" s="26">
        <f t="shared" si="4"/>
        <v>113.92</v>
      </c>
    </row>
    <row r="206" spans="2:9" x14ac:dyDescent="0.25">
      <c r="B206" s="62" t="s">
        <v>430</v>
      </c>
      <c r="C206" s="22" t="str">
        <f>VLOOKUP(B206,[1]!Table3[[Part Number]:[Make and Model]],2,0)</f>
        <v xml:space="preserve">CAT D6 (RDC)                                            </v>
      </c>
      <c r="D206" s="22" t="str">
        <f>VLOOKUP(B206,[1]!Table3[[Part Number]:[Part Description]],3,0)</f>
        <v>IDLER BOLT</v>
      </c>
      <c r="E206" s="23">
        <f>VLOOKUP(B206,[1]!Table3[[Part Number]:[Annual]],11,0)</f>
        <v>16</v>
      </c>
      <c r="F206" s="24">
        <f>VLOOKUP(B206,[1]!Table3[[Part Number]:[OEM CAD $]],4,0)</f>
        <v>25.19</v>
      </c>
      <c r="G206" s="24">
        <f t="shared" si="3"/>
        <v>403.04</v>
      </c>
      <c r="H206" s="25">
        <f>VLOOKUP(B206,[1]!Table3[[Part Number]:[GQP CAD $]],5,0)</f>
        <v>12.6</v>
      </c>
      <c r="I206" s="26">
        <f t="shared" si="4"/>
        <v>201.6</v>
      </c>
    </row>
    <row r="207" spans="2:9" x14ac:dyDescent="0.25">
      <c r="B207" s="62" t="s">
        <v>217</v>
      </c>
      <c r="C207" s="22" t="str">
        <f>VLOOKUP(B207,[1]!Table3[[Part Number]:[Make and Model]],2,0)</f>
        <v xml:space="preserve">CAT 329E L (ZCD) CAT 329F L (ERL) CAT 329F L (ERL) (2) CAT 330F L (MBX) CAT 330F L (HCK) CAT 330F L (HCK) (2) CAT 330 (LHW) CAT 330 (LHW) (2) CAT 330 (LHW) (3) CAT 330 (LHW) (4) CAT 330 (WCH) CAT 330 (WCH) (2) CAT 330 (WCH) (3) CAT 330 (WCH) (4) CAT 330 (WCH) (5) CAT 330 (WCH) (6) CAT D6T (MH7) CAT D6T (MH7)          </v>
      </c>
      <c r="D207" s="22" t="str">
        <f>VLOOKUP(B207,[1]!Table3[[Part Number]:[Part Description]],3,0)</f>
        <v>FLAT WASHER</v>
      </c>
      <c r="E207" s="23">
        <f>VLOOKUP(B207,[1]!Table3[[Part Number]:[Annual]],11,0)</f>
        <v>656</v>
      </c>
      <c r="F207" s="24">
        <f>VLOOKUP(B207,[1]!Table3[[Part Number]:[OEM CAD $]],4,0)</f>
        <v>2.83</v>
      </c>
      <c r="G207" s="24">
        <f t="shared" si="3"/>
        <v>1856.48</v>
      </c>
      <c r="H207" s="25">
        <f>VLOOKUP(B207,[1]!Table3[[Part Number]:[GQP CAD $]],5,0)</f>
        <v>1.42</v>
      </c>
      <c r="I207" s="26">
        <f t="shared" si="4"/>
        <v>931.52</v>
      </c>
    </row>
    <row r="208" spans="2:9" x14ac:dyDescent="0.25">
      <c r="B208" s="62" t="s">
        <v>218</v>
      </c>
      <c r="C208" s="22" t="str">
        <f>VLOOKUP(B208,[1]!Table3[[Part Number]:[Make and Model]],2,0)</f>
        <v xml:space="preserve">CAT D6 (RDC) CAT D6N LGP (PBA) CAT D6N LGP (PBA) (2) CAT D6N LGP (SGG) CAT D6N LGP (SGG) (2) CAT D6T (MH7)                                  </v>
      </c>
      <c r="D208" s="22" t="str">
        <f>VLOOKUP(B208,[1]!Table3[[Part Number]:[Part Description]],3,0)</f>
        <v>FLAT WASHER</v>
      </c>
      <c r="E208" s="23">
        <f>VLOOKUP(B208,[1]!Table3[[Part Number]:[Annual]],11,0)</f>
        <v>40</v>
      </c>
      <c r="F208" s="24">
        <f>VLOOKUP(B208,[1]!Table3[[Part Number]:[OEM CAD $]],4,0)</f>
        <v>3.56</v>
      </c>
      <c r="G208" s="24">
        <f t="shared" ref="G208:G233" si="5">E208*F208</f>
        <v>142.4</v>
      </c>
      <c r="H208" s="25">
        <f>VLOOKUP(B208,[1]!Table3[[Part Number]:[GQP CAD $]],5,0)</f>
        <v>1.78</v>
      </c>
      <c r="I208" s="26">
        <f t="shared" si="4"/>
        <v>71.2</v>
      </c>
    </row>
    <row r="209" spans="2:9" x14ac:dyDescent="0.25">
      <c r="B209" s="62" t="s">
        <v>431</v>
      </c>
      <c r="C209" s="22" t="str">
        <f>VLOOKUP(B209,[1]!Table3[[Part Number]:[Make and Model]],2,0)</f>
        <v xml:space="preserve">CAT D6N LGP (PBA) CAT D6N LGP (PBA) (2) CAT D6N LGP (SGG) CAT D6N LGP (SGG) (2)                                      </v>
      </c>
      <c r="D209" s="22" t="str">
        <f>VLOOKUP(B209,[1]!Table3[[Part Number]:[Part Description]],3,0)</f>
        <v>HEX NUT</v>
      </c>
      <c r="E209" s="23">
        <f>VLOOKUP(B209,[1]!Table3[[Part Number]:[Annual]],11,0)</f>
        <v>16</v>
      </c>
      <c r="F209" s="24">
        <f>VLOOKUP(B209,[1]!Table3[[Part Number]:[OEM CAD $]],4,0)</f>
        <v>6.85</v>
      </c>
      <c r="G209" s="24">
        <f t="shared" si="5"/>
        <v>109.6</v>
      </c>
      <c r="H209" s="25">
        <f>VLOOKUP(B209,[1]!Table3[[Part Number]:[GQP CAD $]],5,0)</f>
        <v>3.43</v>
      </c>
      <c r="I209" s="26">
        <f t="shared" si="4"/>
        <v>54.88</v>
      </c>
    </row>
    <row r="210" spans="2:9" x14ac:dyDescent="0.25">
      <c r="B210" s="62" t="s">
        <v>432</v>
      </c>
      <c r="C210" s="22" t="str">
        <f>VLOOKUP(B210,[1]!Table3[[Part Number]:[Make and Model]],2,0)</f>
        <v xml:space="preserve">CAT 303.5E                                            </v>
      </c>
      <c r="D210" s="22" t="str">
        <f>VLOOKUP(B210,[1]!Table3[[Part Number]:[Part Description]],3,0)</f>
        <v>CARIER NUT</v>
      </c>
      <c r="E210" s="23">
        <f>VLOOKUP(B210,[1]!Table3[[Part Number]:[Annual]],11,0)</f>
        <v>4</v>
      </c>
      <c r="F210" s="24">
        <f>VLOOKUP(B210,[1]!Table3[[Part Number]:[OEM CAD $]],4,0)</f>
        <v>3.77</v>
      </c>
      <c r="G210" s="24">
        <f t="shared" si="5"/>
        <v>15.08</v>
      </c>
      <c r="H210" s="25">
        <f>VLOOKUP(B210,[1]!Table3[[Part Number]:[GQP CAD $]],5,0)</f>
        <v>1.89</v>
      </c>
      <c r="I210" s="26">
        <f t="shared" si="4"/>
        <v>7.56</v>
      </c>
    </row>
    <row r="211" spans="2:9" x14ac:dyDescent="0.25">
      <c r="B211" s="62" t="s">
        <v>433</v>
      </c>
      <c r="C211" s="22" t="str">
        <f>VLOOKUP(B211,[1]!Table3[[Part Number]:[Make and Model]],2,0)</f>
        <v xml:space="preserve">CAT D6N LGP (GHS) CAT D6N LGP (PBA) CAT D6N LGP (PBA) (2) CAT D6N LGP (SGG) CAT D6N LGP (SGG) (2)                                    </v>
      </c>
      <c r="D211" s="22" t="str">
        <f>VLOOKUP(B211,[1]!Table3[[Part Number]:[Part Description]],3,0)</f>
        <v>HEX HEAD BOLT</v>
      </c>
      <c r="E211" s="23">
        <f>VLOOKUP(B211,[1]!Table3[[Part Number]:[Annual]],11,0)</f>
        <v>120</v>
      </c>
      <c r="F211" s="24">
        <f>VLOOKUP(B211,[1]!Table3[[Part Number]:[OEM CAD $]],4,0)</f>
        <v>2.42</v>
      </c>
      <c r="G211" s="24">
        <f t="shared" si="5"/>
        <v>290.39999999999998</v>
      </c>
      <c r="H211" s="25">
        <f>VLOOKUP(B211,[1]!Table3[[Part Number]:[GQP CAD $]],5,0)</f>
        <v>1.21</v>
      </c>
      <c r="I211" s="26">
        <f t="shared" si="4"/>
        <v>145.19999999999999</v>
      </c>
    </row>
    <row r="212" spans="2:9" x14ac:dyDescent="0.25">
      <c r="B212" s="62" t="s">
        <v>219</v>
      </c>
      <c r="C212" s="22" t="str">
        <f>VLOOKUP(B212,[1]!Table3[[Part Number]:[Make and Model]],2,0)</f>
        <v xml:space="preserve">CAT D6N LGP (GHS) CAT D6N LGP (PBA) CAT D6N LGP (PBA) (2) CAT D6N LGP (SGG) CAT D6N LGP (SGG) (2)                                    </v>
      </c>
      <c r="D212" s="22" t="str">
        <f>VLOOKUP(B212,[1]!Table3[[Part Number]:[Part Description]],3,0)</f>
        <v>FLAT WASHER</v>
      </c>
      <c r="E212" s="23">
        <f>VLOOKUP(B212,[1]!Table3[[Part Number]:[Annual]],11,0)</f>
        <v>132</v>
      </c>
      <c r="F212" s="24">
        <f>VLOOKUP(B212,[1]!Table3[[Part Number]:[OEM CAD $]],4,0)</f>
        <v>2.15</v>
      </c>
      <c r="G212" s="24">
        <f t="shared" si="5"/>
        <v>283.8</v>
      </c>
      <c r="H212" s="25">
        <f>VLOOKUP(B212,[1]!Table3[[Part Number]:[GQP CAD $]],5,0)</f>
        <v>1.08</v>
      </c>
      <c r="I212" s="26">
        <f t="shared" si="4"/>
        <v>142.56</v>
      </c>
    </row>
    <row r="213" spans="2:9" x14ac:dyDescent="0.25">
      <c r="B213" s="62" t="s">
        <v>435</v>
      </c>
      <c r="C213" s="22" t="str">
        <f>VLOOKUP(B213,[1]!Table3[[Part Number]:[Make and Model]],2,0)</f>
        <v xml:space="preserve">CAT 336F L (RKB)                                            </v>
      </c>
      <c r="D213" s="22" t="str">
        <f>VLOOKUP(B213,[1]!Table3[[Part Number]:[Part Description]],3,0)</f>
        <v>IDLER BOLT</v>
      </c>
      <c r="E213" s="23">
        <f>VLOOKUP(B213,[1]!Table3[[Part Number]:[Annual]],11,0)</f>
        <v>8</v>
      </c>
      <c r="F213" s="24">
        <f>VLOOKUP(B213,[1]!Table3[[Part Number]:[OEM CAD $]],4,0)</f>
        <v>12.21</v>
      </c>
      <c r="G213" s="24">
        <f t="shared" si="5"/>
        <v>97.68</v>
      </c>
      <c r="H213" s="25">
        <f>VLOOKUP(B213,[1]!Table3[[Part Number]:[GQP CAD $]],5,0)</f>
        <v>6.11</v>
      </c>
      <c r="I213" s="26">
        <f t="shared" si="4"/>
        <v>48.88</v>
      </c>
    </row>
    <row r="214" spans="2:9" x14ac:dyDescent="0.25">
      <c r="B214" s="62" t="s">
        <v>436</v>
      </c>
      <c r="C214" s="22" t="str">
        <f>VLOOKUP(B214,[1]!Table3[[Part Number]:[Make and Model]],2,0)</f>
        <v xml:space="preserve">CAT 303.5E CAT 303.5E CAT 299D (DX2)                                        </v>
      </c>
      <c r="D214" s="22" t="str">
        <f>VLOOKUP(B214,[1]!Table3[[Part Number]:[Part Description]],3,0)</f>
        <v>CARRIER BOLT</v>
      </c>
      <c r="E214" s="23">
        <f>VLOOKUP(B214,[1]!Table3[[Part Number]:[Annual]],11,0)</f>
        <v>42</v>
      </c>
      <c r="F214" s="24">
        <f>VLOOKUP(B214,[1]!Table3[[Part Number]:[OEM CAD $]],4,0)</f>
        <v>7.14</v>
      </c>
      <c r="G214" s="24">
        <f t="shared" si="5"/>
        <v>299.88</v>
      </c>
      <c r="H214" s="25">
        <f>VLOOKUP(B214,[1]!Table3[[Part Number]:[GQP CAD $]],5,0)</f>
        <v>3.57</v>
      </c>
      <c r="I214" s="26">
        <f t="shared" si="4"/>
        <v>149.94</v>
      </c>
    </row>
    <row r="215" spans="2:9" x14ac:dyDescent="0.25">
      <c r="B215" s="62" t="s">
        <v>437</v>
      </c>
      <c r="C215" s="22" t="str">
        <f>VLOOKUP(B215,[1]!Table3[[Part Number]:[Make and Model]],2,0)</f>
        <v xml:space="preserve">CAT D5 (3CR) CAT D5 (3CR) (2)                                          </v>
      </c>
      <c r="D215" s="22" t="str">
        <f>VLOOKUP(B215,[1]!Table3[[Part Number]:[Part Description]],3,0)</f>
        <v>SEAT/SUSPENSION ASSEMBLY</v>
      </c>
      <c r="E215" s="23">
        <f>VLOOKUP(B215,[1]!Table3[[Part Number]:[Annual]],11,0)</f>
        <v>2</v>
      </c>
      <c r="F215" s="24">
        <f>VLOOKUP(B215,[1]!Table3[[Part Number]:[OEM CAD $]],4,0)</f>
        <v>9424.19</v>
      </c>
      <c r="G215" s="24">
        <f t="shared" si="5"/>
        <v>18848.38</v>
      </c>
      <c r="H215" s="25">
        <f>VLOOKUP(B215,[1]!Table3[[Part Number]:[GQP CAD $]],5,0)</f>
        <v>4712.1000000000004</v>
      </c>
      <c r="I215" s="26">
        <f t="shared" si="4"/>
        <v>9424.2000000000007</v>
      </c>
    </row>
    <row r="216" spans="2:9" x14ac:dyDescent="0.25">
      <c r="B216" s="62" t="s">
        <v>438</v>
      </c>
      <c r="C216" s="22" t="str">
        <f>VLOOKUP(B216,[1]!Table3[[Part Number]:[Make and Model]],2,0)</f>
        <v xml:space="preserve">CAT D3 (1PJ)                                            </v>
      </c>
      <c r="D216" s="22" t="str">
        <f>VLOOKUP(B216,[1]!Table3[[Part Number]:[Part Description]],3,0)</f>
        <v>SEAT ASSEMBLY</v>
      </c>
      <c r="E216" s="23">
        <f>VLOOKUP(B216,[1]!Table3[[Part Number]:[Annual]],11,0)</f>
        <v>1</v>
      </c>
      <c r="F216" s="24">
        <f>VLOOKUP(B216,[1]!Table3[[Part Number]:[OEM CAD $]],4,0)</f>
        <v>5796.13</v>
      </c>
      <c r="G216" s="24">
        <f t="shared" si="5"/>
        <v>5796.13</v>
      </c>
      <c r="H216" s="25">
        <f>VLOOKUP(B216,[1]!Table3[[Part Number]:[GQP CAD $]],5,0)</f>
        <v>2898.07</v>
      </c>
      <c r="I216" s="26">
        <f t="shared" si="4"/>
        <v>2898.07</v>
      </c>
    </row>
    <row r="217" spans="2:9" x14ac:dyDescent="0.25">
      <c r="B217" s="62" t="s">
        <v>439</v>
      </c>
      <c r="C217" s="22" t="str">
        <f>VLOOKUP(B217,[1]!Table3[[Part Number]:[Make and Model]],2,0)</f>
        <v xml:space="preserve">CAT D5 (3CR) CAT D5 (3CR) (2) CAT 561M (1KW) CAT 561N (CPH) CAT 561N (CPH) (2) CAT 561N (CPH) (3) CAT 561N (CPH) (4) CAT 561N (CPH) (5)                              </v>
      </c>
      <c r="D217" s="22" t="str">
        <f>VLOOKUP(B217,[1]!Table3[[Part Number]:[Part Description]],3,0)</f>
        <v>TRACK BOLT</v>
      </c>
      <c r="E217" s="23">
        <f>VLOOKUP(B217,[1]!Table3[[Part Number]:[Annual]],11,0)</f>
        <v>950</v>
      </c>
      <c r="F217" s="24">
        <f>VLOOKUP(B217,[1]!Table3[[Part Number]:[OEM CAD $]],4,0)</f>
        <v>3.12</v>
      </c>
      <c r="G217" s="24">
        <f t="shared" si="5"/>
        <v>2964</v>
      </c>
      <c r="H217" s="25">
        <f>VLOOKUP(B217,[1]!Table3[[Part Number]:[GQP CAD $]],5,0)</f>
        <v>1.56</v>
      </c>
      <c r="I217" s="26">
        <f t="shared" si="4"/>
        <v>1482</v>
      </c>
    </row>
    <row r="218" spans="2:9" x14ac:dyDescent="0.25">
      <c r="B218" s="62" t="s">
        <v>440</v>
      </c>
      <c r="C218" s="22" t="str">
        <f>VLOOKUP(B218,[1]!Table3[[Part Number]:[Make and Model]],2,0)</f>
        <v xml:space="preserve">CAT D5 (3CR) CAT D5 (3CR) (2) CAT 561M (1KW) CAT 561N (CPH) CAT 561N (CPH) (2) CAT 561N (CPH) (3) CAT 561N (CPH) (4) CAT 561N (CPH) (5)                              </v>
      </c>
      <c r="D218" s="22" t="str">
        <f>VLOOKUP(B218,[1]!Table3[[Part Number]:[Part Description]],3,0)</f>
        <v>TRACK BOLT MASTER</v>
      </c>
      <c r="E218" s="23">
        <f>VLOOKUP(B218,[1]!Table3[[Part Number]:[Annual]],11,0)</f>
        <v>18</v>
      </c>
      <c r="F218" s="24">
        <f>VLOOKUP(B218,[1]!Table3[[Part Number]:[OEM CAD $]],4,0)</f>
        <v>5.25</v>
      </c>
      <c r="G218" s="24">
        <f t="shared" si="5"/>
        <v>94.5</v>
      </c>
      <c r="H218" s="25">
        <f>VLOOKUP(B218,[1]!Table3[[Part Number]:[GQP CAD $]],5,0)</f>
        <v>2.63</v>
      </c>
      <c r="I218" s="26">
        <f t="shared" si="4"/>
        <v>47.34</v>
      </c>
    </row>
    <row r="219" spans="2:9" x14ac:dyDescent="0.25">
      <c r="B219" s="62" t="s">
        <v>441</v>
      </c>
      <c r="C219" s="22" t="str">
        <f>VLOOKUP(B219,[1]!Table3[[Part Number]:[Make and Model]],2,0)</f>
        <v xml:space="preserve">CAT D6 (RDC) CAT D6T (MH7)                                          </v>
      </c>
      <c r="D219" s="22" t="str">
        <f>VLOOKUP(B219,[1]!Table3[[Part Number]:[Part Description]],3,0)</f>
        <v>MASTER TRACK BOLT</v>
      </c>
      <c r="E219" s="23">
        <f>VLOOKUP(B219,[1]!Table3[[Part Number]:[Annual]],11,0)</f>
        <v>16</v>
      </c>
      <c r="F219" s="24">
        <f>VLOOKUP(B219,[1]!Table3[[Part Number]:[OEM CAD $]],4,0)</f>
        <v>9.9600000000000009</v>
      </c>
      <c r="G219" s="24">
        <f t="shared" si="5"/>
        <v>159.36000000000001</v>
      </c>
      <c r="H219" s="25">
        <f>VLOOKUP(B219,[1]!Table3[[Part Number]:[GQP CAD $]],5,0)</f>
        <v>4.9800000000000004</v>
      </c>
      <c r="I219" s="26">
        <f t="shared" si="4"/>
        <v>79.680000000000007</v>
      </c>
    </row>
    <row r="220" spans="2:9" x14ac:dyDescent="0.25">
      <c r="B220" s="62" t="s">
        <v>442</v>
      </c>
      <c r="C220" s="22" t="str">
        <f>VLOOKUP(B220,[1]!Table3[[Part Number]:[Make and Model]],2,0)</f>
        <v xml:space="preserve">CAT 320E L (WBK) CAT 320E L (WBK) (2) CAT 320F L (YBM) CAT 320 (HEX) CAT 320 (MYK) CAT 320 (MYK) (2) CAT 329E L (ZCD) CAT 329F L (ERL) CAT 329F L (ERL) (2) CAT 330F L (MBX) CAT 330F L (HCK) CAT 330F L (HCK) (2) CAT D6N LGP (PBA) CAT D6N LGP (PBA) (2)                  </v>
      </c>
      <c r="D220" s="22" t="str">
        <f>VLOOKUP(B220,[1]!Table3[[Part Number]:[Part Description]],3,0)</f>
        <v xml:space="preserve">TRACK NUT </v>
      </c>
      <c r="E220" s="23">
        <f>VLOOKUP(B220,[1]!Table3[[Part Number]:[Annual]],11,0)</f>
        <v>5472</v>
      </c>
      <c r="F220" s="24">
        <f>VLOOKUP(B220,[1]!Table3[[Part Number]:[OEM CAD $]],4,0)</f>
        <v>3.14</v>
      </c>
      <c r="G220" s="24">
        <f t="shared" si="5"/>
        <v>17182.080000000002</v>
      </c>
      <c r="H220" s="25">
        <f>VLOOKUP(B220,[1]!Table3[[Part Number]:[GQP CAD $]],5,0)</f>
        <v>1.57</v>
      </c>
      <c r="I220" s="26">
        <f t="shared" si="4"/>
        <v>8591.0400000000009</v>
      </c>
    </row>
    <row r="221" spans="2:9" x14ac:dyDescent="0.25">
      <c r="B221" s="62" t="s">
        <v>443</v>
      </c>
      <c r="C221" s="22" t="str">
        <f>VLOOKUP(B221,[1]!Table3[[Part Number]:[Make and Model]],2,0)</f>
        <v xml:space="preserve">CAT 320E L (WBK) CAT 320E L (WBK) (2) CAT 320F L (YBM) CAT 320 (HEX) CAT 320 (MYK) CAT 320 (MYK) (2)                                  </v>
      </c>
      <c r="D221" s="22" t="str">
        <f>VLOOKUP(B221,[1]!Table3[[Part Number]:[Part Description]],3,0)</f>
        <v xml:space="preserve">TRACK BOLT </v>
      </c>
      <c r="E221" s="23">
        <f>VLOOKUP(B221,[1]!Table3[[Part Number]:[Annual]],11,0)</f>
        <v>2352</v>
      </c>
      <c r="F221" s="24">
        <f>VLOOKUP(B221,[1]!Table3[[Part Number]:[OEM CAD $]],4,0)</f>
        <v>4.25</v>
      </c>
      <c r="G221" s="24">
        <f t="shared" si="5"/>
        <v>9996</v>
      </c>
      <c r="H221" s="25">
        <f>VLOOKUP(B221,[1]!Table3[[Part Number]:[GQP CAD $]],5,0)</f>
        <v>2.13</v>
      </c>
      <c r="I221" s="26">
        <f t="shared" si="4"/>
        <v>5009.76</v>
      </c>
    </row>
    <row r="222" spans="2:9" x14ac:dyDescent="0.25">
      <c r="B222" s="62" t="s">
        <v>444</v>
      </c>
      <c r="C222" s="22" t="str">
        <f>VLOOKUP(B222,[1]!Table3[[Part Number]:[Make and Model]],2,0)</f>
        <v xml:space="preserve">CAT D7G (92V) CAT D7G (3ZD) CAT D7G (3ZD) (2)                                        </v>
      </c>
      <c r="D222" s="22" t="str">
        <f>VLOOKUP(B222,[1]!Table3[[Part Number]:[Part Description]],3,0)</f>
        <v>MASTER TRACK BOLT</v>
      </c>
      <c r="E222" s="23">
        <f>VLOOKUP(B222,[1]!Table3[[Part Number]:[Annual]],11,0)</f>
        <v>12</v>
      </c>
      <c r="F222" s="24">
        <f>VLOOKUP(B222,[1]!Table3[[Part Number]:[OEM CAD $]],4,0)</f>
        <v>15.58</v>
      </c>
      <c r="G222" s="24">
        <f t="shared" si="5"/>
        <v>186.96</v>
      </c>
      <c r="H222" s="25">
        <f>VLOOKUP(B222,[1]!Table3[[Part Number]:[GQP CAD $]],5,0)</f>
        <v>7.79</v>
      </c>
      <c r="I222" s="26">
        <f t="shared" si="4"/>
        <v>93.48</v>
      </c>
    </row>
    <row r="223" spans="2:9" x14ac:dyDescent="0.25">
      <c r="B223" s="62" t="s">
        <v>445</v>
      </c>
      <c r="C223" s="22" t="str">
        <f>VLOOKUP(B223,[1]!Table3[[Part Number]:[Make and Model]],2,0)</f>
        <v xml:space="preserve">CAT D3 (1PJ)                                            </v>
      </c>
      <c r="D223" s="22" t="str">
        <f>VLOOKUP(B223,[1]!Table3[[Part Number]:[Part Description]],3,0)</f>
        <v>SPROCKET BOLT</v>
      </c>
      <c r="E223" s="23">
        <f>VLOOKUP(B223,[1]!Table3[[Part Number]:[Annual]],11,0)</f>
        <v>50</v>
      </c>
      <c r="F223" s="24">
        <f>VLOOKUP(B223,[1]!Table3[[Part Number]:[OEM CAD $]],4,0)</f>
        <v>1.46</v>
      </c>
      <c r="G223" s="24">
        <f t="shared" si="5"/>
        <v>73</v>
      </c>
      <c r="H223" s="25">
        <f>VLOOKUP(B223,[1]!Table3[[Part Number]:[GQP CAD $]],5,0)</f>
        <v>0.73</v>
      </c>
      <c r="I223" s="26">
        <f t="shared" si="4"/>
        <v>36.5</v>
      </c>
    </row>
    <row r="224" spans="2:9" x14ac:dyDescent="0.25">
      <c r="B224" s="62" t="s">
        <v>65</v>
      </c>
      <c r="C224" s="22" t="str">
        <f>VLOOKUP(B224,[1]!Table3[[Part Number]:[Make and Model]],2,0)</f>
        <v xml:space="preserve">CAT D6N LGP (PBA) CAT D6N LGP (PBA) (2) CAT D6N LGP (SGG) CAT D6N LGP (SGG) (2)                                      </v>
      </c>
      <c r="D224" s="22" t="str">
        <f>VLOOKUP(B224,[1]!Table3[[Part Number]:[Part Description]],3,0)</f>
        <v>FLAT WASHER</v>
      </c>
      <c r="E224" s="23">
        <f>VLOOKUP(B224,[1]!Table3[[Part Number]:[Annual]],11,0)</f>
        <v>256</v>
      </c>
      <c r="F224" s="24">
        <f>VLOOKUP(B224,[1]!Table3[[Part Number]:[OEM CAD $]],4,0)</f>
        <v>2.4700000000000002</v>
      </c>
      <c r="G224" s="24">
        <f t="shared" si="5"/>
        <v>632.32000000000005</v>
      </c>
      <c r="H224" s="25">
        <f>VLOOKUP(B224,[1]!Table3[[Part Number]:[GQP CAD $]],5,0)</f>
        <v>1.24</v>
      </c>
      <c r="I224" s="26">
        <f t="shared" si="4"/>
        <v>317.44</v>
      </c>
    </row>
    <row r="225" spans="2:9" x14ac:dyDescent="0.25">
      <c r="B225" s="62" t="s">
        <v>446</v>
      </c>
      <c r="C225" s="22" t="str">
        <f>VLOOKUP(B225,[1]!Table3[[Part Number]:[Make and Model]],2,0)</f>
        <v xml:space="preserve">CAT 561N (CPH) CAT 561N (CPH) (2) CAT 561N (CPH) (3) CAT 561N (CPH) (4) CAT 561N (CPH) (5)                                    </v>
      </c>
      <c r="D225" s="22" t="str">
        <f>VLOOKUP(B225,[1]!Table3[[Part Number]:[Part Description]],3,0)</f>
        <v>30" GQP TRACK GROUP</v>
      </c>
      <c r="E225" s="23">
        <f>VLOOKUP(B225,[1]!Table3[[Part Number]:[Annual]],11,0)</f>
        <v>10</v>
      </c>
      <c r="F225" s="24">
        <f>VLOOKUP(B225,[1]!Table3[[Part Number]:[OEM CAD $]],4,0)</f>
        <v>12613.63</v>
      </c>
      <c r="G225" s="24">
        <f t="shared" si="5"/>
        <v>126136.29999999999</v>
      </c>
      <c r="H225" s="25">
        <f>VLOOKUP(B225,[1]!Table3[[Part Number]:[GQP CAD $]],5,0)</f>
        <v>6306.82</v>
      </c>
      <c r="I225" s="26">
        <f t="shared" si="4"/>
        <v>63068.2</v>
      </c>
    </row>
    <row r="226" spans="2:9" x14ac:dyDescent="0.25">
      <c r="B226" s="62" t="s">
        <v>447</v>
      </c>
      <c r="C226" s="22" t="str">
        <f>VLOOKUP(B226,[1]!Table3[[Part Number]:[Make and Model]],2,0)</f>
        <v xml:space="preserve">CAT D4 (66J)                                            </v>
      </c>
      <c r="D226" s="22" t="str">
        <f>VLOOKUP(B226,[1]!Table3[[Part Number]:[Part Description]],3,0)</f>
        <v>SEAT SUSPENSION ASSEMBLY</v>
      </c>
      <c r="E226" s="23">
        <f>VLOOKUP(B226,[1]!Table3[[Part Number]:[Annual]],11,0)</f>
        <v>1</v>
      </c>
      <c r="F226" s="24">
        <f>VLOOKUP(B226,[1]!Table3[[Part Number]:[OEM CAD $]],4,0)</f>
        <v>1021.54</v>
      </c>
      <c r="G226" s="24">
        <f t="shared" si="5"/>
        <v>1021.54</v>
      </c>
      <c r="H226" s="25">
        <f>VLOOKUP(B226,[1]!Table3[[Part Number]:[GQP CAD $]],5,0)</f>
        <v>510.77</v>
      </c>
      <c r="I226" s="26">
        <f t="shared" si="4"/>
        <v>510.77</v>
      </c>
    </row>
    <row r="227" spans="2:9" x14ac:dyDescent="0.25">
      <c r="B227" s="62" t="s">
        <v>448</v>
      </c>
      <c r="C227" s="22" t="str">
        <f>VLOOKUP(B227,[1]!Table3[[Part Number]:[Make and Model]],2,0)</f>
        <v xml:space="preserve">CAT D5 (3CR) CAT D5 (3CR) (2)                                          </v>
      </c>
      <c r="D227" s="22" t="str">
        <f>VLOOKUP(B227,[1]!Table3[[Part Number]:[Part Description]],3,0)</f>
        <v>TRACK GROUP</v>
      </c>
      <c r="E227" s="23">
        <f>VLOOKUP(B227,[1]!Table3[[Part Number]:[Annual]],11,0)</f>
        <v>4</v>
      </c>
      <c r="F227" s="24">
        <f>VLOOKUP(B227,[1]!Table3[[Part Number]:[OEM CAD $]],4,0)</f>
        <v>0</v>
      </c>
      <c r="G227" s="24">
        <f t="shared" si="5"/>
        <v>0</v>
      </c>
      <c r="H227" s="25">
        <f>VLOOKUP(B227,[1]!Table3[[Part Number]:[GQP CAD $]],5,0)</f>
        <v>0</v>
      </c>
      <c r="I227" s="26">
        <f t="shared" si="4"/>
        <v>0</v>
      </c>
    </row>
    <row r="228" spans="2:9" x14ac:dyDescent="0.25">
      <c r="B228" s="62" t="s">
        <v>449</v>
      </c>
      <c r="C228" s="22" t="str">
        <f>VLOOKUP(B228,[1]!Table3[[Part Number]:[Make and Model]],2,0)</f>
        <v xml:space="preserve">CAT D6 (RDC)                                            </v>
      </c>
      <c r="D228" s="22" t="str">
        <f>VLOOKUP(B228,[1]!Table3[[Part Number]:[Part Description]],3,0)</f>
        <v>30" GQP TRACK GROUP</v>
      </c>
      <c r="E228" s="23">
        <f>VLOOKUP(B228,[1]!Table3[[Part Number]:[Annual]],11,0)</f>
        <v>2</v>
      </c>
      <c r="F228" s="24">
        <f>VLOOKUP(B228,[1]!Table3[[Part Number]:[OEM CAD $]],4,0)</f>
        <v>10784.168</v>
      </c>
      <c r="G228" s="24">
        <f t="shared" si="5"/>
        <v>21568.335999999999</v>
      </c>
      <c r="H228" s="25">
        <f>VLOOKUP(B228,[1]!Table3[[Part Number]:[GQP CAD $]],5,0)</f>
        <v>5392.08</v>
      </c>
      <c r="I228" s="26">
        <f t="shared" si="4"/>
        <v>10784.16</v>
      </c>
    </row>
    <row r="229" spans="2:9" x14ac:dyDescent="0.25">
      <c r="B229" s="62" t="s">
        <v>450</v>
      </c>
      <c r="C229" s="22" t="str">
        <f>VLOOKUP(B229,[1]!Table3[[Part Number]:[Make and Model]],2,0)</f>
        <v xml:space="preserve">CAT D7G (92V) CAT D7G (3ZD) CAT D7G (3ZD) (2)                                        </v>
      </c>
      <c r="D229" s="22" t="str">
        <f>VLOOKUP(B229,[1]!Table3[[Part Number]:[Part Description]],3,0)</f>
        <v>30" GQP TRACK GROUP</v>
      </c>
      <c r="E229" s="23">
        <f>VLOOKUP(B229,[1]!Table3[[Part Number]:[Annual]],11,0)</f>
        <v>6</v>
      </c>
      <c r="F229" s="24">
        <f>VLOOKUP(B229,[1]!Table3[[Part Number]:[OEM CAD $]],4,0)</f>
        <v>8674.7200000000012</v>
      </c>
      <c r="G229" s="24">
        <f t="shared" si="5"/>
        <v>52048.320000000007</v>
      </c>
      <c r="H229" s="25">
        <f>VLOOKUP(B229,[1]!Table3[[Part Number]:[GQP CAD $]],5,0)</f>
        <v>4337.3599999999997</v>
      </c>
      <c r="I229" s="26">
        <f t="shared" si="4"/>
        <v>26024.16</v>
      </c>
    </row>
    <row r="230" spans="2:9" x14ac:dyDescent="0.25">
      <c r="B230" s="62" t="s">
        <v>451</v>
      </c>
      <c r="C230" s="22" t="str">
        <f>VLOOKUP(B230,[1]!Table3[[Part Number]:[Make and Model]],2,0)</f>
        <v xml:space="preserve">CAT PL61 (WGS) CAT PL61 (WGS) (2) CAT PL61 (WGS) (3)                                        </v>
      </c>
      <c r="D230" s="22" t="str">
        <f>VLOOKUP(B230,[1]!Table3[[Part Number]:[Part Description]],3,0)</f>
        <v>30" GQP TRACK GROUP</v>
      </c>
      <c r="E230" s="23">
        <f>VLOOKUP(B230,[1]!Table3[[Part Number]:[Annual]],11,0)</f>
        <v>6</v>
      </c>
      <c r="F230" s="24">
        <f>VLOOKUP(B230,[1]!Table3[[Part Number]:[OEM CAD $]],4,0)</f>
        <v>8945.7099999999991</v>
      </c>
      <c r="G230" s="24">
        <f t="shared" si="5"/>
        <v>53674.259999999995</v>
      </c>
      <c r="H230" s="25">
        <f>VLOOKUP(B230,[1]!Table3[[Part Number]:[GQP CAD $]],5,0)</f>
        <v>4472.8599999999997</v>
      </c>
      <c r="I230" s="26">
        <f t="shared" si="4"/>
        <v>26837.16</v>
      </c>
    </row>
    <row r="231" spans="2:9" x14ac:dyDescent="0.25">
      <c r="B231" s="62"/>
      <c r="C231" s="22"/>
      <c r="D231" s="22"/>
      <c r="E231" s="23"/>
      <c r="F231" s="24"/>
      <c r="G231" s="24">
        <f t="shared" si="5"/>
        <v>0</v>
      </c>
      <c r="H231" s="25"/>
      <c r="I231" s="26">
        <f t="shared" si="4"/>
        <v>0</v>
      </c>
    </row>
    <row r="232" spans="2:9" x14ac:dyDescent="0.25">
      <c r="B232" s="62"/>
      <c r="C232" s="22"/>
      <c r="D232" s="22"/>
      <c r="E232" s="23"/>
      <c r="F232" s="24"/>
      <c r="G232" s="24">
        <f t="shared" si="5"/>
        <v>0</v>
      </c>
      <c r="H232" s="25"/>
      <c r="I232" s="26">
        <f t="shared" si="4"/>
        <v>0</v>
      </c>
    </row>
    <row r="233" spans="2:9" x14ac:dyDescent="0.25">
      <c r="B233" s="62"/>
      <c r="C233" s="22"/>
      <c r="D233" s="22"/>
      <c r="E233" s="23"/>
      <c r="F233" s="24"/>
      <c r="G233" s="24">
        <f t="shared" si="5"/>
        <v>0</v>
      </c>
      <c r="H233" s="25"/>
      <c r="I233" s="26">
        <f t="shared" ref="I233" si="6">ROUND(E233*H233,2)</f>
        <v>0</v>
      </c>
    </row>
    <row r="234" spans="2:9" hidden="1" x14ac:dyDescent="0.25">
      <c r="B234" s="22" t="s">
        <v>62</v>
      </c>
      <c r="C234" s="22"/>
      <c r="D234" s="22"/>
      <c r="E234" s="23"/>
      <c r="F234" s="24"/>
      <c r="G234" s="24"/>
      <c r="H234" s="25"/>
      <c r="I234" s="26">
        <f t="shared" si="0"/>
        <v>0</v>
      </c>
    </row>
    <row r="235" spans="2:9" hidden="1" x14ac:dyDescent="0.25">
      <c r="B235" s="22" t="s">
        <v>417</v>
      </c>
      <c r="C235" s="22"/>
      <c r="D235" s="22"/>
      <c r="E235" s="23"/>
      <c r="F235" s="24"/>
      <c r="G235" s="24"/>
      <c r="H235" s="25"/>
      <c r="I235" s="26">
        <f t="shared" si="0"/>
        <v>0</v>
      </c>
    </row>
    <row r="236" spans="2:9" hidden="1" x14ac:dyDescent="0.25">
      <c r="B236" s="22" t="s">
        <v>418</v>
      </c>
      <c r="C236" s="22"/>
      <c r="D236" s="22"/>
      <c r="E236" s="23"/>
      <c r="F236" s="24"/>
      <c r="G236" s="24"/>
      <c r="H236" s="25"/>
      <c r="I236" s="26">
        <f t="shared" si="0"/>
        <v>0</v>
      </c>
    </row>
    <row r="237" spans="2:9" hidden="1" x14ac:dyDescent="0.25">
      <c r="B237" s="22" t="s">
        <v>419</v>
      </c>
      <c r="C237" s="22"/>
      <c r="D237" s="22"/>
      <c r="E237" s="23"/>
      <c r="F237" s="24"/>
      <c r="G237" s="24"/>
      <c r="H237" s="25"/>
      <c r="I237" s="26">
        <f t="shared" si="0"/>
        <v>0</v>
      </c>
    </row>
    <row r="238" spans="2:9" hidden="1" x14ac:dyDescent="0.25">
      <c r="B238" s="22" t="s">
        <v>420</v>
      </c>
      <c r="C238" s="22"/>
      <c r="D238" s="22"/>
      <c r="E238" s="23"/>
      <c r="F238" s="24"/>
      <c r="G238" s="24"/>
      <c r="H238" s="25"/>
      <c r="I238" s="26">
        <f t="shared" si="0"/>
        <v>0</v>
      </c>
    </row>
    <row r="239" spans="2:9" hidden="1" x14ac:dyDescent="0.25">
      <c r="B239" s="22" t="s">
        <v>421</v>
      </c>
      <c r="C239" s="22"/>
      <c r="D239" s="22"/>
      <c r="E239" s="23"/>
      <c r="F239" s="24"/>
      <c r="G239" s="24"/>
      <c r="H239" s="25"/>
      <c r="I239" s="26">
        <f t="shared" si="0"/>
        <v>0</v>
      </c>
    </row>
    <row r="240" spans="2:9" hidden="1" x14ac:dyDescent="0.25">
      <c r="B240" s="22" t="s">
        <v>422</v>
      </c>
      <c r="C240" s="22"/>
      <c r="D240" s="22"/>
      <c r="E240" s="23"/>
      <c r="F240" s="24"/>
      <c r="G240" s="24"/>
      <c r="H240" s="25"/>
      <c r="I240" s="26">
        <f t="shared" si="0"/>
        <v>0</v>
      </c>
    </row>
    <row r="241" spans="2:9" hidden="1" x14ac:dyDescent="0.25">
      <c r="B241" s="22" t="s">
        <v>423</v>
      </c>
      <c r="C241" s="22"/>
      <c r="D241" s="22"/>
      <c r="E241" s="23"/>
      <c r="F241" s="24"/>
      <c r="G241" s="24"/>
      <c r="H241" s="25"/>
      <c r="I241" s="26">
        <f t="shared" si="0"/>
        <v>0</v>
      </c>
    </row>
    <row r="242" spans="2:9" hidden="1" x14ac:dyDescent="0.25">
      <c r="B242" s="22" t="s">
        <v>424</v>
      </c>
      <c r="C242" s="22"/>
      <c r="D242" s="22"/>
      <c r="E242" s="23"/>
      <c r="F242" s="24"/>
      <c r="G242" s="24"/>
      <c r="H242" s="25"/>
      <c r="I242" s="26">
        <f t="shared" si="0"/>
        <v>0</v>
      </c>
    </row>
    <row r="243" spans="2:9" hidden="1" x14ac:dyDescent="0.25">
      <c r="B243" s="22" t="s">
        <v>425</v>
      </c>
      <c r="C243" s="22"/>
      <c r="D243" s="22"/>
      <c r="E243" s="23"/>
      <c r="F243" s="24"/>
      <c r="G243" s="24"/>
      <c r="H243" s="25"/>
      <c r="I243" s="26">
        <f t="shared" si="0"/>
        <v>0</v>
      </c>
    </row>
    <row r="244" spans="2:9" hidden="1" x14ac:dyDescent="0.25">
      <c r="B244" s="22" t="s">
        <v>426</v>
      </c>
      <c r="C244" s="22"/>
      <c r="D244" s="22"/>
      <c r="E244" s="23"/>
      <c r="F244" s="24"/>
      <c r="G244" s="24"/>
      <c r="H244" s="25"/>
      <c r="I244" s="26">
        <f t="shared" si="0"/>
        <v>0</v>
      </c>
    </row>
    <row r="245" spans="2:9" hidden="1" x14ac:dyDescent="0.25">
      <c r="B245" s="22" t="s">
        <v>427</v>
      </c>
      <c r="C245" s="22"/>
      <c r="D245" s="22"/>
      <c r="E245" s="23"/>
      <c r="F245" s="24"/>
      <c r="G245" s="24"/>
      <c r="H245" s="25"/>
      <c r="I245" s="26">
        <f t="shared" si="0"/>
        <v>0</v>
      </c>
    </row>
    <row r="246" spans="2:9" hidden="1" x14ac:dyDescent="0.25">
      <c r="B246" s="22" t="s">
        <v>428</v>
      </c>
      <c r="C246" s="22"/>
      <c r="D246" s="22"/>
      <c r="E246" s="23"/>
      <c r="F246" s="24"/>
      <c r="G246" s="24"/>
      <c r="H246" s="25"/>
      <c r="I246" s="26">
        <f t="shared" si="0"/>
        <v>0</v>
      </c>
    </row>
    <row r="247" spans="2:9" hidden="1" x14ac:dyDescent="0.25">
      <c r="B247" s="22" t="s">
        <v>429</v>
      </c>
      <c r="C247" s="22"/>
      <c r="D247" s="22"/>
      <c r="E247" s="23"/>
      <c r="F247" s="24"/>
      <c r="G247" s="24"/>
      <c r="H247" s="25"/>
      <c r="I247" s="26">
        <f t="shared" si="0"/>
        <v>0</v>
      </c>
    </row>
    <row r="248" spans="2:9" hidden="1" x14ac:dyDescent="0.25">
      <c r="B248" s="22" t="s">
        <v>430</v>
      </c>
      <c r="C248" s="22"/>
      <c r="D248" s="22"/>
      <c r="E248" s="23"/>
      <c r="F248" s="24"/>
      <c r="G248" s="24"/>
      <c r="H248" s="25"/>
      <c r="I248" s="26">
        <f t="shared" si="0"/>
        <v>0</v>
      </c>
    </row>
    <row r="249" spans="2:9" hidden="1" x14ac:dyDescent="0.25">
      <c r="B249" s="22" t="s">
        <v>431</v>
      </c>
      <c r="C249" s="22"/>
      <c r="D249" s="22"/>
      <c r="E249" s="23"/>
      <c r="F249" s="24"/>
      <c r="G249" s="24"/>
      <c r="H249" s="25"/>
      <c r="I249" s="26">
        <f t="shared" si="0"/>
        <v>0</v>
      </c>
    </row>
    <row r="250" spans="2:9" hidden="1" x14ac:dyDescent="0.25">
      <c r="B250" s="22" t="s">
        <v>432</v>
      </c>
      <c r="C250" s="22"/>
      <c r="D250" s="22"/>
      <c r="E250" s="23"/>
      <c r="F250" s="24"/>
      <c r="G250" s="24"/>
      <c r="H250" s="25"/>
      <c r="I250" s="26">
        <f t="shared" si="0"/>
        <v>0</v>
      </c>
    </row>
    <row r="251" spans="2:9" hidden="1" x14ac:dyDescent="0.25">
      <c r="B251" s="22" t="s">
        <v>433</v>
      </c>
      <c r="C251" s="22"/>
      <c r="D251" s="22"/>
      <c r="E251" s="23"/>
      <c r="F251" s="24"/>
      <c r="G251" s="24"/>
      <c r="H251" s="25"/>
      <c r="I251" s="26">
        <f t="shared" si="0"/>
        <v>0</v>
      </c>
    </row>
    <row r="252" spans="2:9" hidden="1" x14ac:dyDescent="0.25">
      <c r="B252" s="22" t="s">
        <v>434</v>
      </c>
      <c r="C252" s="22"/>
      <c r="D252" s="22"/>
      <c r="E252" s="23"/>
      <c r="F252" s="24"/>
      <c r="G252" s="24"/>
      <c r="H252" s="25"/>
      <c r="I252" s="26">
        <f t="shared" si="0"/>
        <v>0</v>
      </c>
    </row>
    <row r="253" spans="2:9" hidden="1" x14ac:dyDescent="0.25">
      <c r="B253" s="22" t="s">
        <v>435</v>
      </c>
      <c r="C253" s="22"/>
      <c r="D253" s="22"/>
      <c r="E253" s="23"/>
      <c r="F253" s="24"/>
      <c r="G253" s="24"/>
      <c r="H253" s="25"/>
      <c r="I253" s="26">
        <f t="shared" si="0"/>
        <v>0</v>
      </c>
    </row>
    <row r="254" spans="2:9" hidden="1" x14ac:dyDescent="0.25">
      <c r="B254" s="22" t="s">
        <v>436</v>
      </c>
      <c r="C254" s="22"/>
      <c r="D254" s="22"/>
      <c r="E254" s="23"/>
      <c r="F254" s="24"/>
      <c r="G254" s="24"/>
      <c r="H254" s="25"/>
      <c r="I254" s="26">
        <f t="shared" si="0"/>
        <v>0</v>
      </c>
    </row>
    <row r="255" spans="2:9" hidden="1" x14ac:dyDescent="0.25">
      <c r="B255" s="22" t="s">
        <v>437</v>
      </c>
      <c r="C255" s="22"/>
      <c r="D255" s="22"/>
      <c r="E255" s="23"/>
      <c r="F255" s="24"/>
      <c r="G255" s="24"/>
      <c r="H255" s="25"/>
      <c r="I255" s="26">
        <f t="shared" si="0"/>
        <v>0</v>
      </c>
    </row>
    <row r="256" spans="2:9" hidden="1" x14ac:dyDescent="0.25">
      <c r="B256" s="22" t="s">
        <v>438</v>
      </c>
      <c r="C256" s="22"/>
      <c r="D256" s="22"/>
      <c r="E256" s="23"/>
      <c r="F256" s="24"/>
      <c r="G256" s="24"/>
      <c r="H256" s="25"/>
      <c r="I256" s="26">
        <f t="shared" si="0"/>
        <v>0</v>
      </c>
    </row>
    <row r="257" spans="2:9" hidden="1" x14ac:dyDescent="0.25">
      <c r="B257" s="22" t="s">
        <v>439</v>
      </c>
      <c r="C257" s="22"/>
      <c r="D257" s="22"/>
      <c r="E257" s="23"/>
      <c r="F257" s="24"/>
      <c r="G257" s="24"/>
      <c r="H257" s="25"/>
      <c r="I257" s="26">
        <f t="shared" si="0"/>
        <v>0</v>
      </c>
    </row>
    <row r="258" spans="2:9" hidden="1" x14ac:dyDescent="0.25">
      <c r="B258" s="22" t="s">
        <v>440</v>
      </c>
      <c r="C258" s="22"/>
      <c r="D258" s="22"/>
      <c r="E258" s="23"/>
      <c r="F258" s="24"/>
      <c r="G258" s="24"/>
      <c r="H258" s="25"/>
      <c r="I258" s="26">
        <f t="shared" si="0"/>
        <v>0</v>
      </c>
    </row>
    <row r="259" spans="2:9" hidden="1" x14ac:dyDescent="0.25">
      <c r="B259" s="22" t="s">
        <v>441</v>
      </c>
      <c r="C259" s="22"/>
      <c r="D259" s="22"/>
      <c r="E259" s="23"/>
      <c r="F259" s="24"/>
      <c r="G259" s="24"/>
      <c r="H259" s="25"/>
      <c r="I259" s="26">
        <f t="shared" si="0"/>
        <v>0</v>
      </c>
    </row>
    <row r="260" spans="2:9" hidden="1" x14ac:dyDescent="0.25">
      <c r="B260" s="22" t="s">
        <v>442</v>
      </c>
      <c r="C260" s="22"/>
      <c r="D260" s="22"/>
      <c r="E260" s="23"/>
      <c r="F260" s="24"/>
      <c r="G260" s="24"/>
      <c r="H260" s="25"/>
      <c r="I260" s="26">
        <f t="shared" si="0"/>
        <v>0</v>
      </c>
    </row>
    <row r="261" spans="2:9" hidden="1" x14ac:dyDescent="0.25">
      <c r="B261" s="22" t="s">
        <v>443</v>
      </c>
      <c r="C261" s="22"/>
      <c r="D261" s="22"/>
      <c r="E261" s="23"/>
      <c r="F261" s="24"/>
      <c r="G261" s="24"/>
      <c r="H261" s="25"/>
      <c r="I261" s="26">
        <f t="shared" si="0"/>
        <v>0</v>
      </c>
    </row>
    <row r="262" spans="2:9" hidden="1" x14ac:dyDescent="0.25">
      <c r="B262" s="22" t="s">
        <v>444</v>
      </c>
      <c r="C262" s="22"/>
      <c r="D262" s="22"/>
      <c r="E262" s="23"/>
      <c r="F262" s="24"/>
      <c r="G262" s="24"/>
      <c r="H262" s="25"/>
      <c r="I262" s="26">
        <f t="shared" si="0"/>
        <v>0</v>
      </c>
    </row>
    <row r="263" spans="2:9" hidden="1" x14ac:dyDescent="0.25">
      <c r="B263" s="22" t="s">
        <v>445</v>
      </c>
      <c r="C263" s="22"/>
      <c r="D263" s="22"/>
      <c r="E263" s="23"/>
      <c r="F263" s="24"/>
      <c r="G263" s="24"/>
      <c r="H263" s="25"/>
      <c r="I263" s="26">
        <f t="shared" si="0"/>
        <v>0</v>
      </c>
    </row>
    <row r="264" spans="2:9" hidden="1" x14ac:dyDescent="0.25">
      <c r="B264" s="22" t="s">
        <v>446</v>
      </c>
      <c r="C264" s="22"/>
      <c r="D264" s="22"/>
      <c r="E264" s="23"/>
      <c r="F264" s="24"/>
      <c r="G264" s="24"/>
      <c r="H264" s="25"/>
      <c r="I264" s="26">
        <f t="shared" si="0"/>
        <v>0</v>
      </c>
    </row>
    <row r="265" spans="2:9" hidden="1" x14ac:dyDescent="0.25">
      <c r="B265" s="22" t="s">
        <v>447</v>
      </c>
      <c r="C265" s="22"/>
      <c r="D265" s="22"/>
      <c r="E265" s="23"/>
      <c r="F265" s="24"/>
      <c r="G265" s="24"/>
      <c r="H265" s="25"/>
      <c r="I265" s="26">
        <f t="shared" si="0"/>
        <v>0</v>
      </c>
    </row>
    <row r="266" spans="2:9" hidden="1" x14ac:dyDescent="0.25">
      <c r="B266" s="22" t="s">
        <v>448</v>
      </c>
      <c r="C266" s="22"/>
      <c r="D266" s="22"/>
      <c r="E266" s="23"/>
      <c r="F266" s="24"/>
      <c r="G266" s="24"/>
      <c r="H266" s="25"/>
      <c r="I266" s="26">
        <f t="shared" si="0"/>
        <v>0</v>
      </c>
    </row>
    <row r="267" spans="2:9" hidden="1" x14ac:dyDescent="0.25">
      <c r="B267" s="22" t="s">
        <v>449</v>
      </c>
      <c r="C267" s="22"/>
      <c r="D267" s="22"/>
      <c r="E267" s="23"/>
      <c r="F267" s="24"/>
      <c r="G267" s="24"/>
      <c r="H267" s="25"/>
      <c r="I267" s="26">
        <f t="shared" si="0"/>
        <v>0</v>
      </c>
    </row>
    <row r="268" spans="2:9" hidden="1" x14ac:dyDescent="0.25">
      <c r="B268" s="22" t="s">
        <v>450</v>
      </c>
      <c r="C268" s="22"/>
      <c r="D268" s="22"/>
      <c r="E268" s="23"/>
      <c r="F268" s="24"/>
      <c r="G268" s="24"/>
      <c r="H268" s="25"/>
      <c r="I268" s="26">
        <f t="shared" si="0"/>
        <v>0</v>
      </c>
    </row>
    <row r="269" spans="2:9" hidden="1" x14ac:dyDescent="0.25">
      <c r="B269" s="22" t="s">
        <v>451</v>
      </c>
      <c r="C269" s="22"/>
      <c r="D269" s="22"/>
      <c r="E269" s="23"/>
      <c r="F269" s="24"/>
      <c r="G269" s="24"/>
      <c r="H269" s="25"/>
      <c r="I269" s="26">
        <f t="shared" si="0"/>
        <v>0</v>
      </c>
    </row>
    <row r="270" spans="2:9" x14ac:dyDescent="0.25">
      <c r="B270" s="84"/>
      <c r="C270" s="85"/>
      <c r="D270" s="85"/>
      <c r="E270" s="85"/>
      <c r="F270" s="86"/>
      <c r="G270" s="27"/>
      <c r="H270" s="28" t="s">
        <v>17</v>
      </c>
      <c r="I270" s="29">
        <f>SUM(I15:I269)</f>
        <v>2258674.7100000004</v>
      </c>
    </row>
    <row r="271" spans="2:9" x14ac:dyDescent="0.25">
      <c r="B271" s="30"/>
      <c r="C271" s="31"/>
      <c r="D271" s="32" t="s">
        <v>18</v>
      </c>
      <c r="E271" s="87">
        <f>SUM(G15:G269)</f>
        <v>4558557.7060000012</v>
      </c>
      <c r="F271" s="88"/>
      <c r="G271" s="33"/>
      <c r="H271" s="28" t="s">
        <v>19</v>
      </c>
      <c r="I271" s="34">
        <v>0</v>
      </c>
    </row>
    <row r="272" spans="2:9" x14ac:dyDescent="0.25">
      <c r="B272" s="30"/>
      <c r="C272" s="31"/>
      <c r="D272" s="32" t="s">
        <v>20</v>
      </c>
      <c r="E272" s="87">
        <f>SUM(I15:I269)</f>
        <v>2258674.7100000004</v>
      </c>
      <c r="F272" s="88"/>
      <c r="G272" s="33"/>
      <c r="H272" s="35" t="s">
        <v>21</v>
      </c>
      <c r="I272" s="34">
        <v>0</v>
      </c>
    </row>
    <row r="273" spans="2:9" x14ac:dyDescent="0.25">
      <c r="B273" s="30"/>
      <c r="C273" s="31"/>
      <c r="D273" s="32" t="s">
        <v>22</v>
      </c>
      <c r="E273" s="97">
        <f>E271-E272</f>
        <v>2299882.9960000007</v>
      </c>
      <c r="F273" s="98"/>
      <c r="G273" s="36"/>
      <c r="H273" s="28" t="s">
        <v>23</v>
      </c>
      <c r="I273" s="37">
        <f>SUM(I270:I272)</f>
        <v>2258674.7100000004</v>
      </c>
    </row>
    <row r="274" spans="2:9" x14ac:dyDescent="0.25">
      <c r="B274" s="30"/>
      <c r="C274" s="31"/>
      <c r="D274" s="32"/>
      <c r="E274" s="99"/>
      <c r="F274" s="100"/>
      <c r="G274" s="38"/>
      <c r="H274" s="28" t="s">
        <v>24</v>
      </c>
      <c r="I274" s="37">
        <f>I273*0.05</f>
        <v>112933.73550000002</v>
      </c>
    </row>
    <row r="275" spans="2:9" x14ac:dyDescent="0.25">
      <c r="B275" s="30"/>
      <c r="C275" s="31"/>
      <c r="D275" s="39"/>
      <c r="E275" s="39"/>
      <c r="F275" s="40"/>
      <c r="G275" s="40"/>
      <c r="H275" s="28" t="s">
        <v>25</v>
      </c>
      <c r="I275" s="34"/>
    </row>
    <row r="276" spans="2:9" ht="15.75" x14ac:dyDescent="0.25">
      <c r="B276" s="94" t="s">
        <v>26</v>
      </c>
      <c r="C276" s="95"/>
      <c r="D276" s="95"/>
      <c r="E276" s="95"/>
      <c r="F276" s="96"/>
      <c r="G276" s="41"/>
      <c r="H276" s="42" t="s">
        <v>27</v>
      </c>
      <c r="I276" s="43">
        <f>SUM(I273:I275)</f>
        <v>2371608.4455000004</v>
      </c>
    </row>
  </sheetData>
  <autoFilter ref="B14:I276" xr:uid="{B7555399-1473-420D-A9BF-5D9EDEAB72D5}">
    <filterColumn colId="6">
      <customFilters>
        <customFilter operator="notEqual" val=" "/>
      </customFilters>
    </filterColumn>
  </autoFilter>
  <mergeCells count="25">
    <mergeCell ref="E1:F5"/>
    <mergeCell ref="H1:I5"/>
    <mergeCell ref="C7:D7"/>
    <mergeCell ref="C8:D8"/>
    <mergeCell ref="E8:F8"/>
    <mergeCell ref="H8:I8"/>
    <mergeCell ref="C9:D9"/>
    <mergeCell ref="E9:F9"/>
    <mergeCell ref="H9:I9"/>
    <mergeCell ref="C10:D10"/>
    <mergeCell ref="E10:F10"/>
    <mergeCell ref="H10:I10"/>
    <mergeCell ref="C11:D11"/>
    <mergeCell ref="E11:F11"/>
    <mergeCell ref="H11:I11"/>
    <mergeCell ref="C12:D12"/>
    <mergeCell ref="E12:F12"/>
    <mergeCell ref="H12:I12"/>
    <mergeCell ref="B276:F276"/>
    <mergeCell ref="F13:I13"/>
    <mergeCell ref="B270:F270"/>
    <mergeCell ref="E271:F271"/>
    <mergeCell ref="E272:F272"/>
    <mergeCell ref="E273:F273"/>
    <mergeCell ref="E274:F2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99A5F-9A85-49B2-A032-166145993CC7}">
  <dimension ref="B1:N499"/>
  <sheetViews>
    <sheetView tabSelected="1" topLeftCell="B1" workbookViewId="0">
      <selection activeCell="C17" sqref="C17"/>
    </sheetView>
  </sheetViews>
  <sheetFormatPr defaultRowHeight="15" x14ac:dyDescent="0.25"/>
  <cols>
    <col min="1" max="1" width="2.7109375" customWidth="1"/>
    <col min="2" max="2" width="15.42578125" customWidth="1"/>
    <col min="3" max="3" width="44.42578125" bestFit="1" customWidth="1"/>
    <col min="4" max="4" width="36" customWidth="1"/>
    <col min="5" max="5" width="7.28515625" customWidth="1"/>
    <col min="6" max="6" width="14.7109375" customWidth="1"/>
    <col min="7" max="7" width="14.7109375" hidden="1" customWidth="1"/>
    <col min="8" max="8" width="14.7109375" customWidth="1"/>
    <col min="9" max="9" width="20.42578125" bestFit="1" customWidth="1"/>
    <col min="11" max="11" width="12.5703125" bestFit="1" customWidth="1"/>
    <col min="13" max="14" width="13.28515625" style="55" bestFit="1" customWidth="1"/>
  </cols>
  <sheetData>
    <row r="1" spans="2:9" ht="15" customHeight="1" x14ac:dyDescent="0.25">
      <c r="B1" s="2"/>
      <c r="C1" s="3"/>
      <c r="D1" s="3"/>
      <c r="E1" s="77" t="s">
        <v>28</v>
      </c>
      <c r="F1" s="77"/>
      <c r="G1" s="44"/>
      <c r="H1" s="77" t="s">
        <v>31</v>
      </c>
      <c r="I1" s="78"/>
    </row>
    <row r="2" spans="2:9" ht="15" customHeight="1" x14ac:dyDescent="0.25">
      <c r="B2" s="4"/>
      <c r="E2" s="79"/>
      <c r="F2" s="79"/>
      <c r="G2" s="45"/>
      <c r="H2" s="79"/>
      <c r="I2" s="80"/>
    </row>
    <row r="3" spans="2:9" ht="15" customHeight="1" x14ac:dyDescent="0.25">
      <c r="B3" s="4"/>
      <c r="E3" s="79"/>
      <c r="F3" s="79"/>
      <c r="G3" s="45"/>
      <c r="H3" s="79"/>
      <c r="I3" s="80"/>
    </row>
    <row r="4" spans="2:9" ht="15" customHeight="1" x14ac:dyDescent="0.25">
      <c r="B4" s="4"/>
      <c r="E4" s="79"/>
      <c r="F4" s="79"/>
      <c r="G4" s="45"/>
      <c r="H4" s="79"/>
      <c r="I4" s="80"/>
    </row>
    <row r="5" spans="2:9" ht="15" customHeight="1" x14ac:dyDescent="0.25">
      <c r="B5" s="5"/>
      <c r="C5" s="1"/>
      <c r="D5" s="1"/>
      <c r="E5" s="81"/>
      <c r="F5" s="81"/>
      <c r="G5" s="46"/>
      <c r="H5" s="81"/>
      <c r="I5" s="82"/>
    </row>
    <row r="6" spans="2:9" ht="36" x14ac:dyDescent="0.55000000000000004">
      <c r="B6" s="6"/>
      <c r="C6" s="7"/>
      <c r="D6" s="7"/>
      <c r="E6" s="8"/>
      <c r="F6" s="8"/>
      <c r="G6" s="8"/>
      <c r="H6" s="8"/>
      <c r="I6" s="8"/>
    </row>
    <row r="7" spans="2:9" x14ac:dyDescent="0.25">
      <c r="B7" s="49" t="s">
        <v>7</v>
      </c>
      <c r="C7" s="103" t="s">
        <v>70</v>
      </c>
      <c r="D7" s="104"/>
      <c r="E7" s="9" t="s">
        <v>8</v>
      </c>
      <c r="F7" s="10">
        <v>45870</v>
      </c>
      <c r="G7" s="10"/>
      <c r="H7" s="11" t="s">
        <v>9</v>
      </c>
      <c r="I7" s="12" t="s">
        <v>66</v>
      </c>
    </row>
    <row r="8" spans="2:9" x14ac:dyDescent="0.25">
      <c r="B8" s="50" t="s">
        <v>10</v>
      </c>
      <c r="C8" s="101">
        <v>0</v>
      </c>
      <c r="D8" s="101"/>
      <c r="E8" s="89" t="s">
        <v>11</v>
      </c>
      <c r="F8" s="89"/>
      <c r="G8" s="13"/>
      <c r="H8" s="93" t="s">
        <v>66</v>
      </c>
      <c r="I8" s="93"/>
    </row>
    <row r="9" spans="2:9" x14ac:dyDescent="0.25">
      <c r="B9" s="50" t="s">
        <v>12</v>
      </c>
      <c r="C9" s="101">
        <v>0</v>
      </c>
      <c r="D9" s="101"/>
      <c r="E9" s="89" t="s">
        <v>13</v>
      </c>
      <c r="F9" s="89"/>
      <c r="G9" s="13"/>
      <c r="H9" s="92" t="s">
        <v>66</v>
      </c>
      <c r="I9" s="92"/>
    </row>
    <row r="10" spans="2:9" x14ac:dyDescent="0.25">
      <c r="B10" s="50"/>
      <c r="C10" s="101">
        <v>0</v>
      </c>
      <c r="D10" s="101"/>
      <c r="E10" s="89" t="s">
        <v>14</v>
      </c>
      <c r="F10" s="89"/>
      <c r="G10" s="13"/>
      <c r="H10" s="90" t="s">
        <v>66</v>
      </c>
      <c r="I10" s="90"/>
    </row>
    <row r="11" spans="2:9" x14ac:dyDescent="0.25">
      <c r="B11" s="50"/>
      <c r="C11" s="101">
        <v>0</v>
      </c>
      <c r="D11" s="101"/>
      <c r="E11" s="89"/>
      <c r="F11" s="89"/>
      <c r="G11" s="13"/>
      <c r="H11" s="90" t="s">
        <v>66</v>
      </c>
      <c r="I11" s="90"/>
    </row>
    <row r="12" spans="2:9" x14ac:dyDescent="0.25">
      <c r="B12" s="51"/>
      <c r="C12" s="101">
        <v>0</v>
      </c>
      <c r="D12" s="101"/>
      <c r="E12" s="102"/>
      <c r="F12" s="102"/>
      <c r="G12" s="14"/>
      <c r="H12" s="91" t="s">
        <v>66</v>
      </c>
      <c r="I12" s="91"/>
    </row>
    <row r="13" spans="2:9" x14ac:dyDescent="0.25">
      <c r="B13" s="57"/>
      <c r="C13" s="75"/>
      <c r="D13" s="75"/>
      <c r="E13" s="75"/>
      <c r="F13" s="83" t="s">
        <v>3</v>
      </c>
      <c r="G13" s="83"/>
      <c r="H13" s="83"/>
      <c r="I13" s="83"/>
    </row>
    <row r="14" spans="2:9" x14ac:dyDescent="0.25">
      <c r="B14" s="76" t="s">
        <v>0</v>
      </c>
      <c r="C14" s="76" t="s">
        <v>15</v>
      </c>
      <c r="D14" s="76" t="s">
        <v>1</v>
      </c>
      <c r="E14" s="76" t="s">
        <v>2</v>
      </c>
      <c r="F14" s="76" t="s">
        <v>4</v>
      </c>
      <c r="G14" s="76"/>
      <c r="H14" s="76" t="s">
        <v>5</v>
      </c>
      <c r="I14" s="76" t="s">
        <v>16</v>
      </c>
    </row>
    <row r="15" spans="2:9" x14ac:dyDescent="0.25">
      <c r="B15" s="71">
        <v>7312553</v>
      </c>
      <c r="C15" s="67" t="str">
        <f>VLOOKUP(B15,[1]!Table3[[Part Number]:[Make and Model]],2,0)</f>
        <v xml:space="preserve">BOBCAT T750 (ANK) BOBCAT T750 (ATF) BOBCAT S650 (A3N) BOBCAT T770 (AT6) BOBCAT T770 (AT6) (2)                                    </v>
      </c>
      <c r="D15" s="67" t="str">
        <f>VLOOKUP(B15,[1]!Table3[[Part Number]:[Part Description]],3,0)</f>
        <v>Battery GP</v>
      </c>
      <c r="E15" s="68">
        <f>VLOOKUP(B15,[1]!Table3[[Part Number]:[Annual]],11,0)</f>
        <v>5</v>
      </c>
      <c r="F15" s="69">
        <f>VLOOKUP(B15,[1]!Table3[[Part Number]:[OEM CAD $]],4,0)</f>
        <v>415.79</v>
      </c>
      <c r="G15" s="70">
        <f>E15*F15</f>
        <v>2078.9500000000003</v>
      </c>
      <c r="H15" s="70">
        <f>VLOOKUP(B15,[1]!Table3[[Part Number]:[GQP CAD $]],5,0)</f>
        <v>207.9</v>
      </c>
      <c r="I15" s="74">
        <f t="shared" ref="I15:I78" si="0">ROUND(E15*H15,2)</f>
        <v>1039.5</v>
      </c>
    </row>
    <row r="16" spans="2:9" x14ac:dyDescent="0.25">
      <c r="B16" s="71" t="s">
        <v>67</v>
      </c>
      <c r="C16" s="67" t="str">
        <f>VLOOKUP(B16,[1]!Table3[[Part Number]:[Make and Model]],2,0)</f>
        <v xml:space="preserve">CAT 320E L (WBK) CAT 320E L (WBK) (2) CAT 320 (HEX) CAT 320 (MYK) CAT 320 (MYK) (2) CAT 329E L (ZCD) CAT 329F L (ERL) CAT 329F L (ERL) (2) CAT 330F L (MBX) CAT 330F L (HCK) CAT 330F L (HCK) (2) CAT 299D (DX2)                      </v>
      </c>
      <c r="D16" s="67" t="str">
        <f>VLOOKUP(B16,[1]!Table3[[Part Number]:[Part Description]],3,0)</f>
        <v>12V BATTERY 1000CCA</v>
      </c>
      <c r="E16" s="68">
        <f>VLOOKUP(B16,[1]!Table3[[Part Number]:[Annual]],11,0)</f>
        <v>27</v>
      </c>
      <c r="F16" s="69">
        <f>VLOOKUP(B16,[1]!Table3[[Part Number]:[OEM CAD $]],4,0)</f>
        <v>523.07000000000005</v>
      </c>
      <c r="G16" s="70">
        <f t="shared" ref="G16" si="1">E16*F16</f>
        <v>14122.890000000001</v>
      </c>
      <c r="H16" s="70">
        <f>VLOOKUP(B16,[1]!Table3[[Part Number]:[GQP CAD $]],5,0)</f>
        <v>132.13</v>
      </c>
      <c r="I16" s="74">
        <f t="shared" si="0"/>
        <v>3567.51</v>
      </c>
    </row>
    <row r="17" spans="2:9" x14ac:dyDescent="0.25">
      <c r="B17" s="71" t="s">
        <v>68</v>
      </c>
      <c r="C17" s="67" t="str">
        <f>VLOOKUP(B17,[1]!Table3[[Part Number]:[Make and Model]],2,0)</f>
        <v xml:space="preserve">CAT 303.5E                                            </v>
      </c>
      <c r="D17" s="67" t="str">
        <f>VLOOKUP(B17,[1]!Table3[[Part Number]:[Part Description]],3,0)</f>
        <v>12V BATTERY - 650CCA</v>
      </c>
      <c r="E17" s="68">
        <f>VLOOKUP(B17,[1]!Table3[[Part Number]:[Annual]],11,0)</f>
        <v>1</v>
      </c>
      <c r="F17" s="69">
        <f>VLOOKUP(B17,[1]!Table3[[Part Number]:[OEM CAD $]],4,0)</f>
        <v>356.29</v>
      </c>
      <c r="G17" s="70">
        <f t="shared" ref="G17:G80" si="2">E17*F17</f>
        <v>356.29</v>
      </c>
      <c r="H17" s="70">
        <f>VLOOKUP(B17,[1]!Table3[[Part Number]:[GQP CAD $]],5,0)</f>
        <v>160.66999999999999</v>
      </c>
      <c r="I17" s="74">
        <f t="shared" si="0"/>
        <v>160.66999999999999</v>
      </c>
    </row>
    <row r="18" spans="2:9" x14ac:dyDescent="0.25">
      <c r="B18" s="71" t="s">
        <v>69</v>
      </c>
      <c r="C18" s="67" t="str">
        <f>VLOOKUP(B18,[1]!Table3[[Part Number]:[Make and Model]],2,0)</f>
        <v xml:space="preserve">CAT D3 (1PJ) CAT D7G (92V) CAT D7G (3ZD) CAT D7G (3ZD) (2) CAT 561 (85H) CAT 561 (92J) CAT 561 (92J) (2)                                </v>
      </c>
      <c r="D18" s="67" t="str">
        <f>VLOOKUP(B18,[1]!Table3[[Part Number]:[Part Description]],3,0)</f>
        <v>12V BATTERY - 1125CCA</v>
      </c>
      <c r="E18" s="68">
        <f>VLOOKUP(B18,[1]!Table3[[Part Number]:[Annual]],11,0)</f>
        <v>10</v>
      </c>
      <c r="F18" s="69">
        <f>VLOOKUP(B18,[1]!Table3[[Part Number]:[OEM CAD $]],4,0)</f>
        <v>726.37</v>
      </c>
      <c r="G18" s="70">
        <f t="shared" si="2"/>
        <v>7263.7</v>
      </c>
      <c r="H18" s="70">
        <f>VLOOKUP(B18,[1]!Table3[[Part Number]:[GQP CAD $]],5,0)</f>
        <v>292.44</v>
      </c>
      <c r="I18" s="74">
        <f t="shared" si="0"/>
        <v>2924.4</v>
      </c>
    </row>
    <row r="19" spans="2:9" x14ac:dyDescent="0.25">
      <c r="B19" s="71" t="s">
        <v>44</v>
      </c>
      <c r="C19" s="67" t="str">
        <f>VLOOKUP(B19,[1]!Table3[[Part Number]:[Make and Model]],2,0)</f>
        <v xml:space="preserve">CAT 320F L (YBM) CAT 330 (LHW) CAT 330 (LHW) (2) CAT 330 (LHW) (3) CAT 330 (LHW) (4) CAT 330 (WCH) CAT 330 (WCH) (2) CAT 330 (WCH) (3) CAT 330 (WCH) (4) CAT 330 (WCH) (5) CAT 330 (WCH) (6) CAT 561M (1KW) CAT 561N (CPH) CAT 561N (CPH) (2) CAT 561N (CPH) (3) CAT 561N (CPH) (4) CAT 561N (CPH) (5)            </v>
      </c>
      <c r="D19" s="67" t="str">
        <f>VLOOKUP(B19,[1]!Table3[[Part Number]:[Part Description]],3,0)</f>
        <v>12V BATTERY - 900CCA</v>
      </c>
      <c r="E19" s="68">
        <f>VLOOKUP(B19,[1]!Table3[[Part Number]:[Annual]],11,0)</f>
        <v>54</v>
      </c>
      <c r="F19" s="69">
        <f>VLOOKUP(B19,[1]!Table3[[Part Number]:[OEM CAD $]],4,0)</f>
        <v>503.86</v>
      </c>
      <c r="G19" s="70">
        <f t="shared" si="2"/>
        <v>27208.440000000002</v>
      </c>
      <c r="H19" s="70">
        <f>VLOOKUP(B19,[1]!Table3[[Part Number]:[GQP CAD $]],5,0)</f>
        <v>120.88</v>
      </c>
      <c r="I19" s="74">
        <f t="shared" si="0"/>
        <v>6527.52</v>
      </c>
    </row>
    <row r="20" spans="2:9" x14ac:dyDescent="0.25">
      <c r="B20" s="71">
        <v>6689756</v>
      </c>
      <c r="C20" s="67" t="str">
        <f>VLOOKUP(B20,[1]!Table3[[Part Number]:[Make and Model]],2,0)</f>
        <v xml:space="preserve">BOBCAT T750 (ANK)                                            </v>
      </c>
      <c r="D20" s="67" t="str">
        <f>VLOOKUP(B20,[1]!Table3[[Part Number]:[Part Description]],3,0)</f>
        <v>Upper Gasket Kit</v>
      </c>
      <c r="E20" s="68">
        <f>VLOOKUP(B20,[1]!Table3[[Part Number]:[Annual]],11,0)</f>
        <v>1</v>
      </c>
      <c r="F20" s="69">
        <f>VLOOKUP(B20,[1]!Table3[[Part Number]:[OEM CAD $]],4,0)</f>
        <v>361.99</v>
      </c>
      <c r="G20" s="70">
        <f t="shared" si="2"/>
        <v>361.99</v>
      </c>
      <c r="H20" s="70">
        <f>VLOOKUP(B20,[1]!Table3[[Part Number]:[GQP CAD $]],5,0)</f>
        <v>181</v>
      </c>
      <c r="I20" s="74">
        <f t="shared" si="0"/>
        <v>181</v>
      </c>
    </row>
    <row r="21" spans="2:9" x14ac:dyDescent="0.25">
      <c r="B21" s="71">
        <v>6698579</v>
      </c>
      <c r="C21" s="67" t="str">
        <f>VLOOKUP(B21,[1]!Table3[[Part Number]:[Make and Model]],2,0)</f>
        <v xml:space="preserve">BOBCAT T750 (ANK)                                            </v>
      </c>
      <c r="D21" s="67" t="str">
        <f>VLOOKUP(B21,[1]!Table3[[Part Number]:[Part Description]],3,0)</f>
        <v>Lower Gasket Kit</v>
      </c>
      <c r="E21" s="68">
        <f>VLOOKUP(B21,[1]!Table3[[Part Number]:[Annual]],11,0)</f>
        <v>1</v>
      </c>
      <c r="F21" s="69">
        <f>VLOOKUP(B21,[1]!Table3[[Part Number]:[OEM CAD $]],4,0)</f>
        <v>417.49</v>
      </c>
      <c r="G21" s="70">
        <f t="shared" si="2"/>
        <v>417.49</v>
      </c>
      <c r="H21" s="70">
        <f>VLOOKUP(B21,[1]!Table3[[Part Number]:[GQP CAD $]],5,0)</f>
        <v>208.75</v>
      </c>
      <c r="I21" s="74">
        <f t="shared" si="0"/>
        <v>208.75</v>
      </c>
    </row>
    <row r="22" spans="2:9" x14ac:dyDescent="0.25">
      <c r="B22" s="71">
        <v>7008510</v>
      </c>
      <c r="C22" s="67" t="str">
        <f>VLOOKUP(B22,[1]!Table3[[Part Number]:[Make and Model]],2,0)</f>
        <v xml:space="preserve">BOBCAT S650 (A3N)                                            </v>
      </c>
      <c r="D22" s="67" t="str">
        <f>VLOOKUP(B22,[1]!Table3[[Part Number]:[Part Description]],3,0)</f>
        <v>Upper Gasket Kit</v>
      </c>
      <c r="E22" s="68">
        <f>VLOOKUP(B22,[1]!Table3[[Part Number]:[Annual]],11,0)</f>
        <v>1</v>
      </c>
      <c r="F22" s="69">
        <f>VLOOKUP(B22,[1]!Table3[[Part Number]:[OEM CAD $]],4,0)</f>
        <v>470.49</v>
      </c>
      <c r="G22" s="70">
        <f t="shared" si="2"/>
        <v>470.49</v>
      </c>
      <c r="H22" s="70">
        <f>VLOOKUP(B22,[1]!Table3[[Part Number]:[GQP CAD $]],5,0)</f>
        <v>235.25</v>
      </c>
      <c r="I22" s="74">
        <f t="shared" si="0"/>
        <v>235.25</v>
      </c>
    </row>
    <row r="23" spans="2:9" x14ac:dyDescent="0.25">
      <c r="B23" s="71">
        <v>7008511</v>
      </c>
      <c r="C23" s="67" t="str">
        <f>VLOOKUP(B23,[1]!Table3[[Part Number]:[Make and Model]],2,0)</f>
        <v xml:space="preserve">BOBCAT S650 (A3N)                                            </v>
      </c>
      <c r="D23" s="67" t="str">
        <f>VLOOKUP(B23,[1]!Table3[[Part Number]:[Part Description]],3,0)</f>
        <v>Lower Gasket Kit</v>
      </c>
      <c r="E23" s="68">
        <f>VLOOKUP(B23,[1]!Table3[[Part Number]:[Annual]],11,0)</f>
        <v>1</v>
      </c>
      <c r="F23" s="69">
        <f>VLOOKUP(B23,[1]!Table3[[Part Number]:[OEM CAD $]],4,0)</f>
        <v>482.99</v>
      </c>
      <c r="G23" s="70">
        <f t="shared" si="2"/>
        <v>482.99</v>
      </c>
      <c r="H23" s="70">
        <f>VLOOKUP(B23,[1]!Table3[[Part Number]:[GQP CAD $]],5,0)</f>
        <v>241.5</v>
      </c>
      <c r="I23" s="74">
        <f t="shared" si="0"/>
        <v>241.5</v>
      </c>
    </row>
    <row r="24" spans="2:9" x14ac:dyDescent="0.25">
      <c r="B24" s="71">
        <v>7020950</v>
      </c>
      <c r="C24" s="67" t="str">
        <f>VLOOKUP(B24,[1]!Table3[[Part Number]:[Make and Model]],2,0)</f>
        <v xml:space="preserve">BOBCAT T750 (ANK)                                            </v>
      </c>
      <c r="D24" s="67" t="str">
        <f>VLOOKUP(B24,[1]!Table3[[Part Number]:[Part Description]],3,0)</f>
        <v>CYLINDER HEAD</v>
      </c>
      <c r="E24" s="68">
        <f>VLOOKUP(B24,[1]!Table3[[Part Number]:[Annual]],11,0)</f>
        <v>1</v>
      </c>
      <c r="F24" s="69">
        <f>VLOOKUP(B24,[1]!Table3[[Part Number]:[OEM CAD $]],4,0)</f>
        <v>4359.99</v>
      </c>
      <c r="G24" s="70">
        <f t="shared" si="2"/>
        <v>4359.99</v>
      </c>
      <c r="H24" s="70">
        <f>VLOOKUP(B24,[1]!Table3[[Part Number]:[GQP CAD $]],5,0)</f>
        <v>2180</v>
      </c>
      <c r="I24" s="74">
        <f t="shared" si="0"/>
        <v>2180</v>
      </c>
    </row>
    <row r="25" spans="2:9" x14ac:dyDescent="0.25">
      <c r="B25" s="71">
        <v>7024264</v>
      </c>
      <c r="C25" s="67" t="str">
        <f>VLOOKUP(B25,[1]!Table3[[Part Number]:[Make and Model]],2,0)</f>
        <v xml:space="preserve">BOBCAT T750 (ATF)                                            </v>
      </c>
      <c r="D25" s="67" t="str">
        <f>VLOOKUP(B25,[1]!Table3[[Part Number]:[Part Description]],3,0)</f>
        <v xml:space="preserve">CRANKSHAFT </v>
      </c>
      <c r="E25" s="68">
        <f>VLOOKUP(B25,[1]!Table3[[Part Number]:[Annual]],11,0)</f>
        <v>1</v>
      </c>
      <c r="F25" s="69">
        <f>VLOOKUP(B25,[1]!Table3[[Part Number]:[OEM CAD $]],4,0)</f>
        <v>6916.49</v>
      </c>
      <c r="G25" s="70">
        <f t="shared" si="2"/>
        <v>6916.49</v>
      </c>
      <c r="H25" s="70">
        <f>VLOOKUP(B25,[1]!Table3[[Part Number]:[GQP CAD $]],5,0)</f>
        <v>3458.25</v>
      </c>
      <c r="I25" s="74">
        <f t="shared" si="0"/>
        <v>3458.25</v>
      </c>
    </row>
    <row r="26" spans="2:9" x14ac:dyDescent="0.25">
      <c r="B26" s="71">
        <v>7024384</v>
      </c>
      <c r="C26" s="67" t="str">
        <f>VLOOKUP(B26,[1]!Table3[[Part Number]:[Make and Model]],2,0)</f>
        <v xml:space="preserve">BOBCAT T750 (ATF)                                            </v>
      </c>
      <c r="D26" s="67" t="str">
        <f>VLOOKUP(B26,[1]!Table3[[Part Number]:[Part Description]],3,0)</f>
        <v>CYLINDER HEAD</v>
      </c>
      <c r="E26" s="68">
        <f>VLOOKUP(B26,[1]!Table3[[Part Number]:[Annual]],11,0)</f>
        <v>1</v>
      </c>
      <c r="F26" s="69">
        <f>VLOOKUP(B26,[1]!Table3[[Part Number]:[OEM CAD $]],4,0)</f>
        <v>2400.4899999999998</v>
      </c>
      <c r="G26" s="70">
        <f t="shared" si="2"/>
        <v>2400.4899999999998</v>
      </c>
      <c r="H26" s="70">
        <f>VLOOKUP(B26,[1]!Table3[[Part Number]:[GQP CAD $]],5,0)</f>
        <v>1200.25</v>
      </c>
      <c r="I26" s="74">
        <f t="shared" si="0"/>
        <v>1200.25</v>
      </c>
    </row>
    <row r="27" spans="2:9" x14ac:dyDescent="0.25">
      <c r="B27" s="71">
        <v>7024930</v>
      </c>
      <c r="C27" s="67" t="str">
        <f>VLOOKUP(B27,[1]!Table3[[Part Number]:[Make and Model]],2,0)</f>
        <v xml:space="preserve">BOBCAT T750 (ATF)                                            </v>
      </c>
      <c r="D27" s="67" t="str">
        <f>VLOOKUP(B27,[1]!Table3[[Part Number]:[Part Description]],3,0)</f>
        <v>Upper Gasket Kit</v>
      </c>
      <c r="E27" s="68">
        <f>VLOOKUP(B27,[1]!Table3[[Part Number]:[Annual]],11,0)</f>
        <v>1</v>
      </c>
      <c r="F27" s="69">
        <f>VLOOKUP(B27,[1]!Table3[[Part Number]:[OEM CAD $]],4,0)</f>
        <v>587.99</v>
      </c>
      <c r="G27" s="70">
        <f t="shared" si="2"/>
        <v>587.99</v>
      </c>
      <c r="H27" s="70">
        <f>VLOOKUP(B27,[1]!Table3[[Part Number]:[GQP CAD $]],5,0)</f>
        <v>294</v>
      </c>
      <c r="I27" s="74">
        <f t="shared" si="0"/>
        <v>294</v>
      </c>
    </row>
    <row r="28" spans="2:9" x14ac:dyDescent="0.25">
      <c r="B28" s="71">
        <v>7024931</v>
      </c>
      <c r="C28" s="67" t="str">
        <f>VLOOKUP(B28,[1]!Table3[[Part Number]:[Make and Model]],2,0)</f>
        <v xml:space="preserve">BOBCAT T750 (ATF)                                            </v>
      </c>
      <c r="D28" s="67" t="str">
        <f>VLOOKUP(B28,[1]!Table3[[Part Number]:[Part Description]],3,0)</f>
        <v>Lower Gasket Kit</v>
      </c>
      <c r="E28" s="68">
        <f>VLOOKUP(B28,[1]!Table3[[Part Number]:[Annual]],11,0)</f>
        <v>1</v>
      </c>
      <c r="F28" s="69">
        <f>VLOOKUP(B28,[1]!Table3[[Part Number]:[OEM CAD $]],4,0)</f>
        <v>445.99</v>
      </c>
      <c r="G28" s="70">
        <f t="shared" si="2"/>
        <v>445.99</v>
      </c>
      <c r="H28" s="70">
        <f>VLOOKUP(B28,[1]!Table3[[Part Number]:[GQP CAD $]],5,0)</f>
        <v>223</v>
      </c>
      <c r="I28" s="74">
        <f t="shared" si="0"/>
        <v>223</v>
      </c>
    </row>
    <row r="29" spans="2:9" x14ac:dyDescent="0.25">
      <c r="B29" s="71">
        <v>7256752</v>
      </c>
      <c r="C29" s="67" t="str">
        <f>VLOOKUP(B29,[1]!Table3[[Part Number]:[Make and Model]],2,0)</f>
        <v xml:space="preserve">BOBCAT T770 (AT6) BOBCAT T770 (AT6) (2)                                          </v>
      </c>
      <c r="D29" s="67" t="str">
        <f>VLOOKUP(B29,[1]!Table3[[Part Number]:[Part Description]],3,0)</f>
        <v>CRANKSHAFT / Gear</v>
      </c>
      <c r="E29" s="68">
        <f>VLOOKUP(B29,[1]!Table3[[Part Number]:[Annual]],11,0)</f>
        <v>2</v>
      </c>
      <c r="F29" s="69">
        <f>VLOOKUP(B29,[1]!Table3[[Part Number]:[OEM CAD $]],4,0)</f>
        <v>2799.99</v>
      </c>
      <c r="G29" s="70">
        <f t="shared" si="2"/>
        <v>5599.98</v>
      </c>
      <c r="H29" s="70">
        <f>VLOOKUP(B29,[1]!Table3[[Part Number]:[GQP CAD $]],5,0)</f>
        <v>1400</v>
      </c>
      <c r="I29" s="74">
        <f t="shared" si="0"/>
        <v>2800</v>
      </c>
    </row>
    <row r="30" spans="2:9" x14ac:dyDescent="0.25">
      <c r="B30" s="71">
        <v>7298788</v>
      </c>
      <c r="C30" s="67" t="str">
        <f>VLOOKUP(B30,[1]!Table3[[Part Number]:[Make and Model]],2,0)</f>
        <v xml:space="preserve">BOBCAT T770 (AT6) BOBCAT T770 (AT6) (2)                                          </v>
      </c>
      <c r="D30" s="67" t="str">
        <f>VLOOKUP(B30,[1]!Table3[[Part Number]:[Part Description]],3,0)</f>
        <v>CYLINDER HEAD</v>
      </c>
      <c r="E30" s="68">
        <f>VLOOKUP(B30,[1]!Table3[[Part Number]:[Annual]],11,0)</f>
        <v>2</v>
      </c>
      <c r="F30" s="69">
        <f>VLOOKUP(B30,[1]!Table3[[Part Number]:[OEM CAD $]],4,0)</f>
        <v>4052.99</v>
      </c>
      <c r="G30" s="70">
        <f t="shared" si="2"/>
        <v>8105.98</v>
      </c>
      <c r="H30" s="70">
        <f>VLOOKUP(B30,[1]!Table3[[Part Number]:[GQP CAD $]],5,0)</f>
        <v>2026.5</v>
      </c>
      <c r="I30" s="74">
        <f t="shared" si="0"/>
        <v>4053</v>
      </c>
    </row>
    <row r="31" spans="2:9" x14ac:dyDescent="0.25">
      <c r="B31" s="71" t="s">
        <v>71</v>
      </c>
      <c r="C31" s="67" t="str">
        <f>VLOOKUP(B31,[1]!Table3[[Part Number]:[Make and Model]],2,0)</f>
        <v xml:space="preserve">CAT D5 (3CR) CAT D5 (3CR) (2) CAT 561M (1KW)                                        </v>
      </c>
      <c r="D31" s="67" t="str">
        <f>VLOOKUP(B31,[1]!Table3[[Part Number]:[Part Description]],3,0)</f>
        <v>CAMSHAFT</v>
      </c>
      <c r="E31" s="68">
        <f>VLOOKUP(B31,[1]!Table3[[Part Number]:[Annual]],11,0)</f>
        <v>3</v>
      </c>
      <c r="F31" s="69">
        <f>VLOOKUP(B31,[1]!Table3[[Part Number]:[OEM CAD $]],4,0)</f>
        <v>4368</v>
      </c>
      <c r="G31" s="70">
        <f t="shared" si="2"/>
        <v>13104</v>
      </c>
      <c r="H31" s="70">
        <f>VLOOKUP(B31,[1]!Table3[[Part Number]:[GQP CAD $]],5,0)</f>
        <v>2184</v>
      </c>
      <c r="I31" s="74">
        <f t="shared" si="0"/>
        <v>6552</v>
      </c>
    </row>
    <row r="32" spans="2:9" x14ac:dyDescent="0.25">
      <c r="B32" s="71" t="s">
        <v>72</v>
      </c>
      <c r="C32" s="67" t="str">
        <f>VLOOKUP(B32,[1]!Table3[[Part Number]:[Make and Model]],2,0)</f>
        <v xml:space="preserve">CAT 561N (CPH) CAT 561N (CPH) (2) CAT 561N (CPH) (3) CAT 561N (CPH) (4) CAT 561N (CPH) (5) CAT PL61 (WGS) CAT PL61 (WGS) (2) CAT PL61 (WGS) (3)                              </v>
      </c>
      <c r="D32" s="67" t="str">
        <f>VLOOKUP(B32,[1]!Table3[[Part Number]:[Part Description]],3,0)</f>
        <v>CAMSHAFT</v>
      </c>
      <c r="E32" s="68">
        <f>VLOOKUP(B32,[1]!Table3[[Part Number]:[Annual]],11,0)</f>
        <v>8</v>
      </c>
      <c r="F32" s="69">
        <f>VLOOKUP(B32,[1]!Table3[[Part Number]:[OEM CAD $]],4,0)</f>
        <v>4686.51</v>
      </c>
      <c r="G32" s="70">
        <f t="shared" si="2"/>
        <v>37492.080000000002</v>
      </c>
      <c r="H32" s="70">
        <f>VLOOKUP(B32,[1]!Table3[[Part Number]:[GQP CAD $]],5,0)</f>
        <v>2343.2600000000002</v>
      </c>
      <c r="I32" s="74">
        <f t="shared" si="0"/>
        <v>18746.080000000002</v>
      </c>
    </row>
    <row r="33" spans="2:9" x14ac:dyDescent="0.25">
      <c r="B33" s="71" t="s">
        <v>73</v>
      </c>
      <c r="C33" s="67" t="str">
        <f>VLOOKUP(B33,[1]!Table3[[Part Number]:[Make and Model]],2,0)</f>
        <v xml:space="preserve">CAT D7G (92V) CAT D7G (3ZD) CAT D7G (3ZD) (2)                                        </v>
      </c>
      <c r="D33" s="67" t="str">
        <f>VLOOKUP(B33,[1]!Table3[[Part Number]:[Part Description]],3,0)</f>
        <v>CRANKSHAFT ASSY</v>
      </c>
      <c r="E33" s="68">
        <f>VLOOKUP(B33,[1]!Table3[[Part Number]:[Annual]],11,0)</f>
        <v>3</v>
      </c>
      <c r="F33" s="69">
        <f>VLOOKUP(B33,[1]!Table3[[Part Number]:[OEM CAD $]],4,0)</f>
        <v>17640.77</v>
      </c>
      <c r="G33" s="70">
        <f t="shared" si="2"/>
        <v>52922.31</v>
      </c>
      <c r="H33" s="70">
        <f>VLOOKUP(B33,[1]!Table3[[Part Number]:[GQP CAD $]],5,0)</f>
        <v>8820.39</v>
      </c>
      <c r="I33" s="74">
        <f t="shared" si="0"/>
        <v>26461.17</v>
      </c>
    </row>
    <row r="34" spans="2:9" x14ac:dyDescent="0.25">
      <c r="B34" s="71" t="s">
        <v>74</v>
      </c>
      <c r="C34" s="67" t="str">
        <f>VLOOKUP(B34,[1]!Table3[[Part Number]:[Make and Model]],2,0)</f>
        <v xml:space="preserve">CAT 303.5E                                            </v>
      </c>
      <c r="D34" s="67" t="str">
        <f>VLOOKUP(B34,[1]!Table3[[Part Number]:[Part Description]],3,0)</f>
        <v>OIL PUMP ENGINE</v>
      </c>
      <c r="E34" s="68">
        <f>VLOOKUP(B34,[1]!Table3[[Part Number]:[Annual]],11,0)</f>
        <v>1</v>
      </c>
      <c r="F34" s="69">
        <f>VLOOKUP(B34,[1]!Table3[[Part Number]:[OEM CAD $]],4,0)</f>
        <v>831.44</v>
      </c>
      <c r="G34" s="70">
        <f t="shared" si="2"/>
        <v>831.44</v>
      </c>
      <c r="H34" s="70">
        <f>VLOOKUP(B34,[1]!Table3[[Part Number]:[GQP CAD $]],5,0)</f>
        <v>415.72</v>
      </c>
      <c r="I34" s="74">
        <f t="shared" si="0"/>
        <v>415.72</v>
      </c>
    </row>
    <row r="35" spans="2:9" x14ac:dyDescent="0.25">
      <c r="B35" s="71" t="s">
        <v>190</v>
      </c>
      <c r="C35" s="67" t="str">
        <f>VLOOKUP(B35,[1]!Table3[[Part Number]:[Make and Model]],2,0)</f>
        <v xml:space="preserve">CAT 303.5E                                            </v>
      </c>
      <c r="D35" s="67" t="str">
        <f>VLOOKUP(B35,[1]!Table3[[Part Number]:[Part Description]],3,0)</f>
        <v>WATER PUMP</v>
      </c>
      <c r="E35" s="68">
        <f>VLOOKUP(B35,[1]!Table3[[Part Number]:[Annual]],11,0)</f>
        <v>1</v>
      </c>
      <c r="F35" s="69">
        <f>VLOOKUP(B35,[1]!Table3[[Part Number]:[OEM CAD $]],4,0)</f>
        <v>512.79</v>
      </c>
      <c r="G35" s="70">
        <f t="shared" si="2"/>
        <v>512.79</v>
      </c>
      <c r="H35" s="70">
        <f>VLOOKUP(B35,[1]!Table3[[Part Number]:[GQP CAD $]],5,0)</f>
        <v>256.39999999999998</v>
      </c>
      <c r="I35" s="74">
        <f t="shared" si="0"/>
        <v>256.39999999999998</v>
      </c>
    </row>
    <row r="36" spans="2:9" x14ac:dyDescent="0.25">
      <c r="B36" s="71" t="s">
        <v>341</v>
      </c>
      <c r="C36" s="67" t="str">
        <f>VLOOKUP(B36,[1]!Table3[[Part Number]:[Make and Model]],2,0)</f>
        <v xml:space="preserve">CAT 303.5E                                            </v>
      </c>
      <c r="D36" s="67" t="str">
        <f>VLOOKUP(B36,[1]!Table3[[Part Number]:[Part Description]],3,0)</f>
        <v>CYLINDER HEAD</v>
      </c>
      <c r="E36" s="68">
        <f>VLOOKUP(B36,[1]!Table3[[Part Number]:[Annual]],11,0)</f>
        <v>1</v>
      </c>
      <c r="F36" s="69">
        <f>VLOOKUP(B36,[1]!Table3[[Part Number]:[OEM CAD $]],4,0)</f>
        <v>3744.05</v>
      </c>
      <c r="G36" s="70">
        <f t="shared" si="2"/>
        <v>3744.05</v>
      </c>
      <c r="H36" s="70">
        <f>VLOOKUP(B36,[1]!Table3[[Part Number]:[GQP CAD $]],5,0)</f>
        <v>1872.03</v>
      </c>
      <c r="I36" s="74">
        <f t="shared" si="0"/>
        <v>1872.03</v>
      </c>
    </row>
    <row r="37" spans="2:9" x14ac:dyDescent="0.25">
      <c r="B37" s="71" t="s">
        <v>75</v>
      </c>
      <c r="C37" s="67" t="str">
        <f>VLOOKUP(B37,[1]!Table3[[Part Number]:[Make and Model]],2,0)</f>
        <v xml:space="preserve">CAT 303.5E                                            </v>
      </c>
      <c r="D37" s="67" t="str">
        <f>VLOOKUP(B37,[1]!Table3[[Part Number]:[Part Description]],3,0)</f>
        <v>CAMSHAFT AS</v>
      </c>
      <c r="E37" s="68">
        <f>VLOOKUP(B37,[1]!Table3[[Part Number]:[Annual]],11,0)</f>
        <v>1</v>
      </c>
      <c r="F37" s="69">
        <f>VLOOKUP(B37,[1]!Table3[[Part Number]:[OEM CAD $]],4,0)</f>
        <v>515.16999999999996</v>
      </c>
      <c r="G37" s="70">
        <f t="shared" si="2"/>
        <v>515.16999999999996</v>
      </c>
      <c r="H37" s="70">
        <f>VLOOKUP(B37,[1]!Table3[[Part Number]:[GQP CAD $]],5,0)</f>
        <v>257.58999999999997</v>
      </c>
      <c r="I37" s="74">
        <f t="shared" si="0"/>
        <v>257.58999999999997</v>
      </c>
    </row>
    <row r="38" spans="2:9" x14ac:dyDescent="0.25">
      <c r="B38" s="71" t="s">
        <v>76</v>
      </c>
      <c r="C38" s="67" t="str">
        <f>VLOOKUP(B38,[1]!Table3[[Part Number]:[Make and Model]],2,0)</f>
        <v xml:space="preserve">CAT 303.5E                                            </v>
      </c>
      <c r="D38" s="67" t="str">
        <f>VLOOKUP(B38,[1]!Table3[[Part Number]:[Part Description]],3,0)</f>
        <v>CRANKSHAFT ASSY</v>
      </c>
      <c r="E38" s="68">
        <f>VLOOKUP(B38,[1]!Table3[[Part Number]:[Annual]],11,0)</f>
        <v>1</v>
      </c>
      <c r="F38" s="69">
        <f>VLOOKUP(B38,[1]!Table3[[Part Number]:[OEM CAD $]],4,0)</f>
        <v>4035.36</v>
      </c>
      <c r="G38" s="70">
        <f t="shared" si="2"/>
        <v>4035.36</v>
      </c>
      <c r="H38" s="70">
        <f>VLOOKUP(B38,[1]!Table3[[Part Number]:[GQP CAD $]],5,0)</f>
        <v>2017.68</v>
      </c>
      <c r="I38" s="74">
        <f t="shared" si="0"/>
        <v>2017.68</v>
      </c>
    </row>
    <row r="39" spans="2:9" x14ac:dyDescent="0.25">
      <c r="B39" s="71" t="s">
        <v>342</v>
      </c>
      <c r="C39" s="67" t="str">
        <f>VLOOKUP(B39,[1]!Table3[[Part Number]:[Make and Model]],2,0)</f>
        <v xml:space="preserve">CAT 299D (DX2)                                            </v>
      </c>
      <c r="D39" s="67" t="str">
        <f>VLOOKUP(B39,[1]!Table3[[Part Number]:[Part Description]],3,0)</f>
        <v>CYLINDER HEAD</v>
      </c>
      <c r="E39" s="68">
        <f>VLOOKUP(B39,[1]!Table3[[Part Number]:[Annual]],11,0)</f>
        <v>1</v>
      </c>
      <c r="F39" s="69">
        <f>VLOOKUP(B39,[1]!Table3[[Part Number]:[OEM CAD $]],4,0)</f>
        <v>9634.25</v>
      </c>
      <c r="G39" s="70">
        <f t="shared" si="2"/>
        <v>9634.25</v>
      </c>
      <c r="H39" s="70">
        <f>VLOOKUP(B39,[1]!Table3[[Part Number]:[GQP CAD $]],5,0)</f>
        <v>4817.13</v>
      </c>
      <c r="I39" s="74">
        <f t="shared" si="0"/>
        <v>4817.13</v>
      </c>
    </row>
    <row r="40" spans="2:9" x14ac:dyDescent="0.25">
      <c r="B40" s="71" t="s">
        <v>77</v>
      </c>
      <c r="C40" s="67" t="str">
        <f>VLOOKUP(B40,[1]!Table3[[Part Number]:[Make and Model]],2,0)</f>
        <v xml:space="preserve">CAT 299D (DX2)                                            </v>
      </c>
      <c r="D40" s="67" t="str">
        <f>VLOOKUP(B40,[1]!Table3[[Part Number]:[Part Description]],3,0)</f>
        <v>CRANKSHAFT</v>
      </c>
      <c r="E40" s="68">
        <f>VLOOKUP(B40,[1]!Table3[[Part Number]:[Annual]],11,0)</f>
        <v>1</v>
      </c>
      <c r="F40" s="69">
        <f>VLOOKUP(B40,[1]!Table3[[Part Number]:[OEM CAD $]],4,0)</f>
        <v>4526.6400000000003</v>
      </c>
      <c r="G40" s="70">
        <f t="shared" si="2"/>
        <v>4526.6400000000003</v>
      </c>
      <c r="H40" s="70">
        <f>VLOOKUP(B40,[1]!Table3[[Part Number]:[GQP CAD $]],5,0)</f>
        <v>2263.3200000000002</v>
      </c>
      <c r="I40" s="74">
        <f t="shared" si="0"/>
        <v>2263.3200000000002</v>
      </c>
    </row>
    <row r="41" spans="2:9" x14ac:dyDescent="0.25">
      <c r="B41" s="71" t="s">
        <v>78</v>
      </c>
      <c r="C41" s="67" t="str">
        <f>VLOOKUP(B41,[1]!Table3[[Part Number]:[Make and Model]],2,0)</f>
        <v xml:space="preserve">CAT 299D (DX2)                                            </v>
      </c>
      <c r="D41" s="67" t="str">
        <f>VLOOKUP(B41,[1]!Table3[[Part Number]:[Part Description]],3,0)</f>
        <v>CAMSHAFT</v>
      </c>
      <c r="E41" s="68">
        <f>VLOOKUP(B41,[1]!Table3[[Part Number]:[Annual]],11,0)</f>
        <v>1</v>
      </c>
      <c r="F41" s="69">
        <f>VLOOKUP(B41,[1]!Table3[[Part Number]:[OEM CAD $]],4,0)</f>
        <v>1117.5899999999999</v>
      </c>
      <c r="G41" s="70">
        <f t="shared" si="2"/>
        <v>1117.5899999999999</v>
      </c>
      <c r="H41" s="70">
        <f>VLOOKUP(B41,[1]!Table3[[Part Number]:[GQP CAD $]],5,0)</f>
        <v>558.79999999999995</v>
      </c>
      <c r="I41" s="74">
        <f t="shared" si="0"/>
        <v>558.79999999999995</v>
      </c>
    </row>
    <row r="42" spans="2:9" x14ac:dyDescent="0.25">
      <c r="B42" s="71" t="s">
        <v>79</v>
      </c>
      <c r="C42" s="67" t="str">
        <f>VLOOKUP(B42,[1]!Table3[[Part Number]:[Make and Model]],2,0)</f>
        <v xml:space="preserve">CAT D5 (3CR) CAT D5 (3CR) (2) CAT 561M (1KW) CAT 561N (CPH) CAT 561N (CPH) (2) CAT 561N (CPH) (3) CAT 561N (CPH) (4) CAT 561N (CPH) (5) CAT PL61 (WGS) CAT PL61 (WGS) (2) CAT PL61 (WGS) (3)                        </v>
      </c>
      <c r="D42" s="67" t="str">
        <f>VLOOKUP(B42,[1]!Table3[[Part Number]:[Part Description]],3,0)</f>
        <v>CRANKSHAFT</v>
      </c>
      <c r="E42" s="68">
        <f>VLOOKUP(B42,[1]!Table3[[Part Number]:[Annual]],11,0)</f>
        <v>11</v>
      </c>
      <c r="F42" s="69">
        <f>VLOOKUP(B42,[1]!Table3[[Part Number]:[OEM CAD $]],4,0)</f>
        <v>14944.09</v>
      </c>
      <c r="G42" s="70">
        <f t="shared" si="2"/>
        <v>164384.99</v>
      </c>
      <c r="H42" s="70">
        <f>VLOOKUP(B42,[1]!Table3[[Part Number]:[GQP CAD $]],5,0)</f>
        <v>7472.05</v>
      </c>
      <c r="I42" s="74">
        <f t="shared" si="0"/>
        <v>82192.55</v>
      </c>
    </row>
    <row r="43" spans="2:9" x14ac:dyDescent="0.25">
      <c r="B43" s="71" t="s">
        <v>80</v>
      </c>
      <c r="C43" s="67" t="str">
        <f>VLOOKUP(B43,[1]!Table3[[Part Number]:[Make and Model]],2,0)</f>
        <v xml:space="preserve">CAT 561 (85H) CAT 561 (92J) CAT 561 (92J) (2)                                        </v>
      </c>
      <c r="D43" s="67" t="str">
        <f>VLOOKUP(B43,[1]!Table3[[Part Number]:[Part Description]],3,0)</f>
        <v>CRANKSHAFT</v>
      </c>
      <c r="E43" s="68">
        <f>VLOOKUP(B43,[1]!Table3[[Part Number]:[Annual]],11,0)</f>
        <v>3</v>
      </c>
      <c r="F43" s="69">
        <f>VLOOKUP(B43,[1]!Table3[[Part Number]:[OEM CAD $]],4,0)</f>
        <v>17553.38</v>
      </c>
      <c r="G43" s="70">
        <f t="shared" si="2"/>
        <v>52660.14</v>
      </c>
      <c r="H43" s="70">
        <f>VLOOKUP(B43,[1]!Table3[[Part Number]:[GQP CAD $]],5,0)</f>
        <v>8776.69</v>
      </c>
      <c r="I43" s="74">
        <f t="shared" si="0"/>
        <v>26330.07</v>
      </c>
    </row>
    <row r="44" spans="2:9" x14ac:dyDescent="0.25">
      <c r="B44" s="71" t="s">
        <v>81</v>
      </c>
      <c r="C44" s="67" t="str">
        <f>VLOOKUP(B44,[1]!Table3[[Part Number]:[Make and Model]],2,0)</f>
        <v xml:space="preserve">CAT 561 (85H) CAT 561 (92J) CAT 561 (92J) (2)                                        </v>
      </c>
      <c r="D44" s="67" t="str">
        <f>VLOOKUP(B44,[1]!Table3[[Part Number]:[Part Description]],3,0)</f>
        <v>CAMSHAFT</v>
      </c>
      <c r="E44" s="68">
        <f>VLOOKUP(B44,[1]!Table3[[Part Number]:[Annual]],11,0)</f>
        <v>3</v>
      </c>
      <c r="F44" s="69">
        <f>VLOOKUP(B44,[1]!Table3[[Part Number]:[OEM CAD $]],4,0)</f>
        <v>4894.33</v>
      </c>
      <c r="G44" s="70">
        <f t="shared" si="2"/>
        <v>14682.99</v>
      </c>
      <c r="H44" s="70">
        <f>VLOOKUP(B44,[1]!Table3[[Part Number]:[GQP CAD $]],5,0)</f>
        <v>2447.17</v>
      </c>
      <c r="I44" s="74">
        <f t="shared" si="0"/>
        <v>7341.51</v>
      </c>
    </row>
    <row r="45" spans="2:9" x14ac:dyDescent="0.25">
      <c r="B45" s="71" t="s">
        <v>82</v>
      </c>
      <c r="C45" s="67" t="str">
        <f>VLOOKUP(B45,[1]!Table3[[Part Number]:[Make and Model]],2,0)</f>
        <v xml:space="preserve">CAT 329E L (ZCD)                                            </v>
      </c>
      <c r="D45" s="67" t="str">
        <f>VLOOKUP(B45,[1]!Table3[[Part Number]:[Part Description]],3,0)</f>
        <v>ENGINE OVERHAUL KIT</v>
      </c>
      <c r="E45" s="68">
        <f>VLOOKUP(B45,[1]!Table3[[Part Number]:[Annual]],11,0)</f>
        <v>1</v>
      </c>
      <c r="F45" s="69">
        <f>VLOOKUP(B45,[1]!Table3[[Part Number]:[OEM CAD $]],4,0)</f>
        <v>13595.74</v>
      </c>
      <c r="G45" s="70">
        <f t="shared" si="2"/>
        <v>13595.74</v>
      </c>
      <c r="H45" s="70">
        <f>VLOOKUP(B45,[1]!Table3[[Part Number]:[GQP CAD $]],5,0)</f>
        <v>6797.87</v>
      </c>
      <c r="I45" s="74">
        <f t="shared" si="0"/>
        <v>6797.87</v>
      </c>
    </row>
    <row r="46" spans="2:9" x14ac:dyDescent="0.25">
      <c r="B46" s="71" t="s">
        <v>83</v>
      </c>
      <c r="C46" s="67" t="str">
        <f>VLOOKUP(B46,[1]!Table3[[Part Number]:[Make and Model]],2,0)</f>
        <v xml:space="preserve">CAT 329F L (ERL) CAT 329F L (ERL) (2) CAT 330F L (MBX) CAT 330F L (HCK) CAT 330F L (HCK) (2)                                    </v>
      </c>
      <c r="D46" s="67" t="str">
        <f>VLOOKUP(B46,[1]!Table3[[Part Number]:[Part Description]],3,0)</f>
        <v>ENGINE OVERHAUL KIT</v>
      </c>
      <c r="E46" s="68">
        <f>VLOOKUP(B46,[1]!Table3[[Part Number]:[Annual]],11,0)</f>
        <v>5</v>
      </c>
      <c r="F46" s="69">
        <f>VLOOKUP(B46,[1]!Table3[[Part Number]:[OEM CAD $]],4,0)</f>
        <v>13595.74</v>
      </c>
      <c r="G46" s="70">
        <f t="shared" si="2"/>
        <v>67978.7</v>
      </c>
      <c r="H46" s="70">
        <f>VLOOKUP(B46,[1]!Table3[[Part Number]:[GQP CAD $]],5,0)</f>
        <v>6797.87</v>
      </c>
      <c r="I46" s="74">
        <f t="shared" si="0"/>
        <v>33989.35</v>
      </c>
    </row>
    <row r="47" spans="2:9" x14ac:dyDescent="0.25">
      <c r="B47" s="71" t="s">
        <v>84</v>
      </c>
      <c r="C47" s="67" t="str">
        <f>VLOOKUP(B47,[1]!Table3[[Part Number]:[Make and Model]],2,0)</f>
        <v xml:space="preserve">BOBCAT T750 (ANK)                                            </v>
      </c>
      <c r="D47" s="67" t="str">
        <f>VLOOKUP(B47,[1]!Table3[[Part Number]:[Part Description]],3,0)</f>
        <v>CRANKSHAFT / Gear</v>
      </c>
      <c r="E47" s="68">
        <f>VLOOKUP(B47,[1]!Table3[[Part Number]:[Annual]],11,0)</f>
        <v>1</v>
      </c>
      <c r="F47" s="69">
        <f>VLOOKUP(B47,[1]!Table3[[Part Number]:[OEM CAD $]],4,0)</f>
        <v>6260.48</v>
      </c>
      <c r="G47" s="70">
        <f t="shared" si="2"/>
        <v>6260.48</v>
      </c>
      <c r="H47" s="70">
        <f>VLOOKUP(B47,[1]!Table3[[Part Number]:[GQP CAD $]],5,0)</f>
        <v>3130.24</v>
      </c>
      <c r="I47" s="74">
        <f t="shared" si="0"/>
        <v>3130.24</v>
      </c>
    </row>
    <row r="48" spans="2:9" x14ac:dyDescent="0.25">
      <c r="B48" s="71" t="s">
        <v>85</v>
      </c>
      <c r="C48" s="67" t="str">
        <f>VLOOKUP(B48,[1]!Table3[[Part Number]:[Make and Model]],2,0)</f>
        <v xml:space="preserve">CAT D7G (92V) CAT D7G (3ZD) CAT D7G (3ZD) (2)                                        </v>
      </c>
      <c r="D48" s="67" t="str">
        <f>VLOOKUP(B48,[1]!Table3[[Part Number]:[Part Description]],3,0)</f>
        <v>CAMSHAFT ASSY</v>
      </c>
      <c r="E48" s="68">
        <f>VLOOKUP(B48,[1]!Table3[[Part Number]:[Annual]],11,0)</f>
        <v>3</v>
      </c>
      <c r="F48" s="69">
        <f>VLOOKUP(B48,[1]!Table3[[Part Number]:[OEM CAD $]],4,0)</f>
        <v>3141.67</v>
      </c>
      <c r="G48" s="70">
        <f t="shared" si="2"/>
        <v>9425.01</v>
      </c>
      <c r="H48" s="70">
        <f>VLOOKUP(B48,[1]!Table3[[Part Number]:[GQP CAD $]],5,0)</f>
        <v>1570.84</v>
      </c>
      <c r="I48" s="74">
        <f t="shared" si="0"/>
        <v>4712.5200000000004</v>
      </c>
    </row>
    <row r="49" spans="2:9" x14ac:dyDescent="0.25">
      <c r="B49" s="71" t="s">
        <v>86</v>
      </c>
      <c r="C49" s="67" t="str">
        <f>VLOOKUP(B49,[1]!Table3[[Part Number]:[Make and Model]],2,0)</f>
        <v xml:space="preserve">CAT 561N (CPH) CAT 561N (CPH) (2) CAT 561N (CPH) (3) CAT 561N (CPH) (4) CAT 561N (CPH) (5)                                    </v>
      </c>
      <c r="D49" s="67" t="str">
        <f>VLOOKUP(B49,[1]!Table3[[Part Number]:[Part Description]],3,0)</f>
        <v>GQP ENGINE OVERHAUL KIT</v>
      </c>
      <c r="E49" s="68">
        <f>VLOOKUP(B49,[1]!Table3[[Part Number]:[Annual]],11,0)</f>
        <v>5</v>
      </c>
      <c r="F49" s="69">
        <f>VLOOKUP(B49,[1]!Table3[[Part Number]:[OEM CAD $]],4,0)</f>
        <v>6826.34</v>
      </c>
      <c r="G49" s="70">
        <f t="shared" si="2"/>
        <v>34131.699999999997</v>
      </c>
      <c r="H49" s="70">
        <f>VLOOKUP(B49,[1]!Table3[[Part Number]:[GQP CAD $]],5,0)</f>
        <v>3413.17</v>
      </c>
      <c r="I49" s="74">
        <f t="shared" si="0"/>
        <v>17065.849999999999</v>
      </c>
    </row>
    <row r="50" spans="2:9" x14ac:dyDescent="0.25">
      <c r="B50" s="71" t="s">
        <v>87</v>
      </c>
      <c r="C50" s="67" t="str">
        <f>VLOOKUP(B50,[1]!Table3[[Part Number]:[Make and Model]],2,0)</f>
        <v xml:space="preserve">CAT PL61 (WGS) CAT PL61 (WGS) (2) CAT PL61 (WGS) (3)                                        </v>
      </c>
      <c r="D50" s="67" t="str">
        <f>VLOOKUP(B50,[1]!Table3[[Part Number]:[Part Description]],3,0)</f>
        <v>GQP ENGINE OVERHAUL KIT</v>
      </c>
      <c r="E50" s="68">
        <f>VLOOKUP(B50,[1]!Table3[[Part Number]:[Annual]],11,0)</f>
        <v>3</v>
      </c>
      <c r="F50" s="69">
        <f>VLOOKUP(B50,[1]!Table3[[Part Number]:[OEM CAD $]],4,0)</f>
        <v>6826.34</v>
      </c>
      <c r="G50" s="70">
        <f t="shared" si="2"/>
        <v>20479.02</v>
      </c>
      <c r="H50" s="70">
        <f>VLOOKUP(B50,[1]!Table3[[Part Number]:[GQP CAD $]],5,0)</f>
        <v>3413.17</v>
      </c>
      <c r="I50" s="74">
        <f t="shared" si="0"/>
        <v>10239.51</v>
      </c>
    </row>
    <row r="51" spans="2:9" x14ac:dyDescent="0.25">
      <c r="B51" s="71" t="s">
        <v>88</v>
      </c>
      <c r="C51" s="67" t="str">
        <f>VLOOKUP(B51,[1]!Table3[[Part Number]:[Make and Model]],2,0)</f>
        <v xml:space="preserve">CAT 303.5E                                            </v>
      </c>
      <c r="D51" s="67" t="str">
        <f>VLOOKUP(B51,[1]!Table3[[Part Number]:[Part Description]],3,0)</f>
        <v>GQP ENGINE OVERHAUL KIT</v>
      </c>
      <c r="E51" s="68">
        <f>VLOOKUP(B51,[1]!Table3[[Part Number]:[Annual]],11,0)</f>
        <v>1</v>
      </c>
      <c r="F51" s="69">
        <f>VLOOKUP(B51,[1]!Table3[[Part Number]:[OEM CAD $]],4,0)</f>
        <v>3156.78</v>
      </c>
      <c r="G51" s="70">
        <f t="shared" si="2"/>
        <v>3156.78</v>
      </c>
      <c r="H51" s="70">
        <f>VLOOKUP(B51,[1]!Table3[[Part Number]:[GQP CAD $]],5,0)</f>
        <v>1578.39</v>
      </c>
      <c r="I51" s="74">
        <f t="shared" si="0"/>
        <v>1578.39</v>
      </c>
    </row>
    <row r="52" spans="2:9" x14ac:dyDescent="0.25">
      <c r="B52" s="71" t="s">
        <v>89</v>
      </c>
      <c r="C52" s="67" t="str">
        <f>VLOOKUP(B52,[1]!Table3[[Part Number]:[Make and Model]],2,0)</f>
        <v xml:space="preserve">CAT 320E L (WBK) CAT 320E L (WBK) (2)                                          </v>
      </c>
      <c r="D52" s="67" t="str">
        <f>VLOOKUP(B52,[1]!Table3[[Part Number]:[Part Description]],3,0)</f>
        <v>ENGINE OVERHAUL KIT</v>
      </c>
      <c r="E52" s="68">
        <f>VLOOKUP(B52,[1]!Table3[[Part Number]:[Annual]],11,0)</f>
        <v>2</v>
      </c>
      <c r="F52" s="69">
        <f>VLOOKUP(B52,[1]!Table3[[Part Number]:[OEM CAD $]],4,0)</f>
        <v>3792.79</v>
      </c>
      <c r="G52" s="70">
        <f t="shared" si="2"/>
        <v>7585.58</v>
      </c>
      <c r="H52" s="70">
        <f>VLOOKUP(B52,[1]!Table3[[Part Number]:[GQP CAD $]],5,0)</f>
        <v>1896.4</v>
      </c>
      <c r="I52" s="74">
        <f t="shared" si="0"/>
        <v>3792.8</v>
      </c>
    </row>
    <row r="53" spans="2:9" x14ac:dyDescent="0.25">
      <c r="B53" s="71" t="s">
        <v>90</v>
      </c>
      <c r="C53" s="67" t="str">
        <f>VLOOKUP(B53,[1]!Table3[[Part Number]:[Make and Model]],2,0)</f>
        <v xml:space="preserve">CAT 320 (MYK) CAT 320 (MYK) (2)                                          </v>
      </c>
      <c r="D53" s="67" t="str">
        <f>VLOOKUP(B53,[1]!Table3[[Part Number]:[Part Description]],3,0)</f>
        <v>ENGINE REBUILD KIT</v>
      </c>
      <c r="E53" s="68">
        <f>VLOOKUP(B53,[1]!Table3[[Part Number]:[Annual]],11,0)</f>
        <v>2</v>
      </c>
      <c r="F53" s="69">
        <f>VLOOKUP(B53,[1]!Table3[[Part Number]:[OEM CAD $]],4,0)</f>
        <v>2889.4</v>
      </c>
      <c r="G53" s="70">
        <f t="shared" si="2"/>
        <v>5778.8</v>
      </c>
      <c r="H53" s="70">
        <f>VLOOKUP(B53,[1]!Table3[[Part Number]:[GQP CAD $]],5,0)</f>
        <v>1444.7</v>
      </c>
      <c r="I53" s="74">
        <f t="shared" si="0"/>
        <v>2889.4</v>
      </c>
    </row>
    <row r="54" spans="2:9" x14ac:dyDescent="0.25">
      <c r="B54" s="71" t="s">
        <v>91</v>
      </c>
      <c r="C54" s="67" t="str">
        <f>VLOOKUP(B54,[1]!Table3[[Part Number]:[Make and Model]],2,0)</f>
        <v xml:space="preserve">CAT 320F L (YBM) CAT 320 (HEX)                                          </v>
      </c>
      <c r="D54" s="67" t="str">
        <f>VLOOKUP(B54,[1]!Table3[[Part Number]:[Part Description]],3,0)</f>
        <v>C4.4B REBUILD KIT</v>
      </c>
      <c r="E54" s="68">
        <f>VLOOKUP(B54,[1]!Table3[[Part Number]:[Annual]],11,0)</f>
        <v>2</v>
      </c>
      <c r="F54" s="69">
        <f>VLOOKUP(B54,[1]!Table3[[Part Number]:[OEM CAD $]],4,0)</f>
        <v>2512.7199999999998</v>
      </c>
      <c r="G54" s="70">
        <f t="shared" si="2"/>
        <v>5025.4399999999996</v>
      </c>
      <c r="H54" s="70">
        <f>VLOOKUP(B54,[1]!Table3[[Part Number]:[GQP CAD $]],5,0)</f>
        <v>1256.3599999999999</v>
      </c>
      <c r="I54" s="74">
        <f t="shared" si="0"/>
        <v>2512.7199999999998</v>
      </c>
    </row>
    <row r="55" spans="2:9" x14ac:dyDescent="0.25">
      <c r="B55" s="71" t="s">
        <v>92</v>
      </c>
      <c r="C55" s="67" t="str">
        <f>VLOOKUP(B55,[1]!Table3[[Part Number]:[Make and Model]],2,0)</f>
        <v xml:space="preserve">CAT D3 (1PJ)                                            </v>
      </c>
      <c r="D55" s="67" t="str">
        <f>VLOOKUP(B55,[1]!Table3[[Part Number]:[Part Description]],3,0)</f>
        <v>GQP OVERHAUL KIT</v>
      </c>
      <c r="E55" s="68">
        <f>VLOOKUP(B55,[1]!Table3[[Part Number]:[Annual]],11,0)</f>
        <v>1</v>
      </c>
      <c r="F55" s="69">
        <f>VLOOKUP(B55,[1]!Table3[[Part Number]:[OEM CAD $]],4,0)</f>
        <v>4182.34</v>
      </c>
      <c r="G55" s="70">
        <f t="shared" si="2"/>
        <v>4182.34</v>
      </c>
      <c r="H55" s="70">
        <f>VLOOKUP(B55,[1]!Table3[[Part Number]:[GQP CAD $]],5,0)</f>
        <v>2091.17</v>
      </c>
      <c r="I55" s="74">
        <f t="shared" si="0"/>
        <v>2091.17</v>
      </c>
    </row>
    <row r="56" spans="2:9" x14ac:dyDescent="0.25">
      <c r="B56" s="71" t="s">
        <v>93</v>
      </c>
      <c r="C56" s="67" t="str">
        <f>VLOOKUP(B56,[1]!Table3[[Part Number]:[Make and Model]],2,0)</f>
        <v xml:space="preserve">CAT D5 (3CR) CAT D5 (3CR) (2)                                          </v>
      </c>
      <c r="D56" s="67" t="str">
        <f>VLOOKUP(B56,[1]!Table3[[Part Number]:[Part Description]],3,0)</f>
        <v xml:space="preserve">GQP ENGINE OVERHAUL KIT </v>
      </c>
      <c r="E56" s="68">
        <f>VLOOKUP(B56,[1]!Table3[[Part Number]:[Annual]],11,0)</f>
        <v>2</v>
      </c>
      <c r="F56" s="69">
        <f>VLOOKUP(B56,[1]!Table3[[Part Number]:[OEM CAD $]],4,0)</f>
        <v>5134.55</v>
      </c>
      <c r="G56" s="70">
        <f t="shared" si="2"/>
        <v>10269.1</v>
      </c>
      <c r="H56" s="70">
        <f>VLOOKUP(B56,[1]!Table3[[Part Number]:[GQP CAD $]],5,0)</f>
        <v>2567.2800000000002</v>
      </c>
      <c r="I56" s="74">
        <f t="shared" si="0"/>
        <v>5134.5600000000004</v>
      </c>
    </row>
    <row r="57" spans="2:9" x14ac:dyDescent="0.25">
      <c r="B57" s="71" t="s">
        <v>94</v>
      </c>
      <c r="C57" s="67" t="str">
        <f>VLOOKUP(B57,[1]!Table3[[Part Number]:[Make and Model]],2,0)</f>
        <v xml:space="preserve">CAT D7G (92V) CAT D7G (3ZD) CAT D7G (3ZD) (2)                                        </v>
      </c>
      <c r="D57" s="67" t="str">
        <f>VLOOKUP(B57,[1]!Table3[[Part Number]:[Part Description]],3,0)</f>
        <v>SILVER ENGINE OVERHAUL KIT</v>
      </c>
      <c r="E57" s="68">
        <f>VLOOKUP(B57,[1]!Table3[[Part Number]:[Annual]],11,0)</f>
        <v>3</v>
      </c>
      <c r="F57" s="69">
        <f>VLOOKUP(B57,[1]!Table3[[Part Number]:[OEM CAD $]],4,0)</f>
        <v>6725.5</v>
      </c>
      <c r="G57" s="70">
        <f t="shared" si="2"/>
        <v>20176.5</v>
      </c>
      <c r="H57" s="70">
        <f>VLOOKUP(B57,[1]!Table3[[Part Number]:[GQP CAD $]],5,0)</f>
        <v>3362.75</v>
      </c>
      <c r="I57" s="74">
        <f t="shared" si="0"/>
        <v>10088.25</v>
      </c>
    </row>
    <row r="58" spans="2:9" x14ac:dyDescent="0.25">
      <c r="B58" s="71">
        <v>7008043</v>
      </c>
      <c r="C58" s="67" t="str">
        <f>VLOOKUP(B58,[1]!Table3[[Part Number]:[Make and Model]],2,0)</f>
        <v xml:space="preserve">BOBCAT S650 (A3N)                                            </v>
      </c>
      <c r="D58" s="67" t="str">
        <f>VLOOKUP(B58,[1]!Table3[[Part Number]:[Part Description]],3,0)</f>
        <v>PRIMARY AIR FILTER ELEMENT (OUTER)</v>
      </c>
      <c r="E58" s="68">
        <f>VLOOKUP(B58,[1]!Table3[[Part Number]:[Annual]],11,0)</f>
        <v>2</v>
      </c>
      <c r="F58" s="69">
        <f>VLOOKUP(B58,[1]!Table3[[Part Number]:[OEM CAD $]],4,0)</f>
        <v>62.49</v>
      </c>
      <c r="G58" s="70">
        <f t="shared" si="2"/>
        <v>124.98</v>
      </c>
      <c r="H58" s="70">
        <f>VLOOKUP(B58,[1]!Table3[[Part Number]:[GQP CAD $]],5,0)</f>
        <v>23.75</v>
      </c>
      <c r="I58" s="74">
        <f t="shared" si="0"/>
        <v>47.5</v>
      </c>
    </row>
    <row r="59" spans="2:9" x14ac:dyDescent="0.25">
      <c r="B59" s="71">
        <v>7008044</v>
      </c>
      <c r="C59" s="67" t="str">
        <f>VLOOKUP(B59,[1]!Table3[[Part Number]:[Make and Model]],2,0)</f>
        <v xml:space="preserve">BOBCAT S650 (A3N)                                            </v>
      </c>
      <c r="D59" s="67" t="str">
        <f>VLOOKUP(B59,[1]!Table3[[Part Number]:[Part Description]],3,0)</f>
        <v>SECONDARY AIR FILTER ELEMENT</v>
      </c>
      <c r="E59" s="68">
        <f>VLOOKUP(B59,[1]!Table3[[Part Number]:[Annual]],11,0)</f>
        <v>2</v>
      </c>
      <c r="F59" s="69">
        <f>VLOOKUP(B59,[1]!Table3[[Part Number]:[OEM CAD $]],4,0)</f>
        <v>39.99</v>
      </c>
      <c r="G59" s="70">
        <f t="shared" si="2"/>
        <v>79.98</v>
      </c>
      <c r="H59" s="70">
        <f>VLOOKUP(B59,[1]!Table3[[Part Number]:[GQP CAD $]],5,0)</f>
        <v>15.2</v>
      </c>
      <c r="I59" s="74">
        <f t="shared" si="0"/>
        <v>30.4</v>
      </c>
    </row>
    <row r="60" spans="2:9" x14ac:dyDescent="0.25">
      <c r="B60" s="71">
        <v>7010031</v>
      </c>
      <c r="C60" s="67" t="str">
        <f>VLOOKUP(B60,[1]!Table3[[Part Number]:[Make and Model]],2,0)</f>
        <v xml:space="preserve">BOBCAT T750 (ANK) BOBCAT T750 (ATF) BOBCAT T770 (AT6) BOBCAT T770 (AT6) (2)                                      </v>
      </c>
      <c r="D60" s="67" t="str">
        <f>VLOOKUP(B60,[1]!Table3[[Part Number]:[Part Description]],3,0)</f>
        <v>SECONDARY AIR FILTER ELEMENT</v>
      </c>
      <c r="E60" s="68">
        <f>VLOOKUP(B60,[1]!Table3[[Part Number]:[Annual]],11,0)</f>
        <v>8</v>
      </c>
      <c r="F60" s="69">
        <f>VLOOKUP(B60,[1]!Table3[[Part Number]:[OEM CAD $]],4,0)</f>
        <v>103.99</v>
      </c>
      <c r="G60" s="70">
        <f t="shared" si="2"/>
        <v>831.92</v>
      </c>
      <c r="H60" s="70">
        <f>VLOOKUP(B60,[1]!Table3[[Part Number]:[GQP CAD $]],5,0)</f>
        <v>39.520000000000003</v>
      </c>
      <c r="I60" s="74">
        <f t="shared" si="0"/>
        <v>316.16000000000003</v>
      </c>
    </row>
    <row r="61" spans="2:9" x14ac:dyDescent="0.25">
      <c r="B61" s="71">
        <v>7286652</v>
      </c>
      <c r="C61" s="67" t="str">
        <f>VLOOKUP(B61,[1]!Table3[[Part Number]:[Make and Model]],2,0)</f>
        <v xml:space="preserve">BOBCAT T750 (ANK) BOBCAT T750 (ATF) BOBCAT T770 (AT6) BOBCAT T770 (AT6) (2)                                      </v>
      </c>
      <c r="D61" s="67" t="str">
        <f>VLOOKUP(B61,[1]!Table3[[Part Number]:[Part Description]],3,0)</f>
        <v>PRIMARY AIR FILTER ELEMENT (OUTER)</v>
      </c>
      <c r="E61" s="68">
        <f>VLOOKUP(B61,[1]!Table3[[Part Number]:[Annual]],11,0)</f>
        <v>8</v>
      </c>
      <c r="F61" s="69">
        <f>VLOOKUP(B61,[1]!Table3[[Part Number]:[OEM CAD $]],4,0)</f>
        <v>140.99</v>
      </c>
      <c r="G61" s="70">
        <f t="shared" si="2"/>
        <v>1127.92</v>
      </c>
      <c r="H61" s="70">
        <f>VLOOKUP(B61,[1]!Table3[[Part Number]:[GQP CAD $]],5,0)</f>
        <v>53.58</v>
      </c>
      <c r="I61" s="74">
        <f t="shared" si="0"/>
        <v>428.64</v>
      </c>
    </row>
    <row r="62" spans="2:9" x14ac:dyDescent="0.25">
      <c r="B62" s="71" t="s">
        <v>95</v>
      </c>
      <c r="C62" s="67" t="str">
        <f>VLOOKUP(B62,[1]!Table3[[Part Number]:[Make and Model]],2,0)</f>
        <v xml:space="preserve">CAT 299D (DX2)                                            </v>
      </c>
      <c r="D62" s="67" t="str">
        <f>VLOOKUP(B62,[1]!Table3[[Part Number]:[Part Description]],3,0)</f>
        <v>PRIMARY AIR FILTER ELEMENT</v>
      </c>
      <c r="E62" s="68">
        <f>VLOOKUP(B62,[1]!Table3[[Part Number]:[Annual]],11,0)</f>
        <v>2</v>
      </c>
      <c r="F62" s="69">
        <f>VLOOKUP(B62,[1]!Table3[[Part Number]:[OEM CAD $]],4,0)</f>
        <v>76.02</v>
      </c>
      <c r="G62" s="70">
        <f t="shared" si="2"/>
        <v>152.04</v>
      </c>
      <c r="H62" s="70">
        <f>VLOOKUP(B62,[1]!Table3[[Part Number]:[GQP CAD $]],5,0)</f>
        <v>28.89</v>
      </c>
      <c r="I62" s="74">
        <f t="shared" si="0"/>
        <v>57.78</v>
      </c>
    </row>
    <row r="63" spans="2:9" x14ac:dyDescent="0.25">
      <c r="B63" s="71" t="s">
        <v>96</v>
      </c>
      <c r="C63" s="67" t="str">
        <f>VLOOKUP(B63,[1]!Table3[[Part Number]:[Make and Model]],2,0)</f>
        <v xml:space="preserve">CAT 299D (DX2)                                            </v>
      </c>
      <c r="D63" s="67" t="str">
        <f>VLOOKUP(B63,[1]!Table3[[Part Number]:[Part Description]],3,0)</f>
        <v>SECONDARY AIR FILTER ELEMENT</v>
      </c>
      <c r="E63" s="68">
        <f>VLOOKUP(B63,[1]!Table3[[Part Number]:[Annual]],11,0)</f>
        <v>2</v>
      </c>
      <c r="F63" s="69">
        <f>VLOOKUP(B63,[1]!Table3[[Part Number]:[OEM CAD $]],4,0)</f>
        <v>54.17</v>
      </c>
      <c r="G63" s="70">
        <f t="shared" si="2"/>
        <v>108.34</v>
      </c>
      <c r="H63" s="70">
        <f>VLOOKUP(B63,[1]!Table3[[Part Number]:[GQP CAD $]],5,0)</f>
        <v>20.58</v>
      </c>
      <c r="I63" s="74">
        <f t="shared" si="0"/>
        <v>41.16</v>
      </c>
    </row>
    <row r="64" spans="2:9" x14ac:dyDescent="0.25">
      <c r="B64" s="71" t="s">
        <v>97</v>
      </c>
      <c r="C64" s="67" t="str">
        <f>VLOOKUP(B64,[1]!Table3[[Part Number]:[Make and Model]],2,0)</f>
        <v xml:space="preserve">CAT D6T (MH7)                                            </v>
      </c>
      <c r="D64" s="67" t="str">
        <f>VLOOKUP(B64,[1]!Table3[[Part Number]:[Part Description]],3,0)</f>
        <v>CABIN AIR FILTER ELEMENT</v>
      </c>
      <c r="E64" s="68">
        <f>VLOOKUP(B64,[1]!Table3[[Part Number]:[Annual]],11,0)</f>
        <v>2</v>
      </c>
      <c r="F64" s="69">
        <f>VLOOKUP(B64,[1]!Table3[[Part Number]:[OEM CAD $]],4,0)</f>
        <v>43.37</v>
      </c>
      <c r="G64" s="70">
        <f t="shared" si="2"/>
        <v>86.74</v>
      </c>
      <c r="H64" s="70">
        <f>VLOOKUP(B64,[1]!Table3[[Part Number]:[GQP CAD $]],5,0)</f>
        <v>16.48</v>
      </c>
      <c r="I64" s="74">
        <f t="shared" si="0"/>
        <v>32.96</v>
      </c>
    </row>
    <row r="65" spans="2:9" x14ac:dyDescent="0.25">
      <c r="B65" s="71" t="s">
        <v>98</v>
      </c>
      <c r="C65" s="67" t="str">
        <f>VLOOKUP(B65,[1]!Table3[[Part Number]:[Make and Model]],2,0)</f>
        <v xml:space="preserve">CAT 320E L (WBK) CAT 320E L (WBK) (2) CAT 320F L (YBM)                                        </v>
      </c>
      <c r="D65" s="67" t="str">
        <f>VLOOKUP(B65,[1]!Table3[[Part Number]:[Part Description]],3,0)</f>
        <v>SECONDARY AIR FILTER ELEMENT</v>
      </c>
      <c r="E65" s="68">
        <f>VLOOKUP(B65,[1]!Table3[[Part Number]:[Annual]],11,0)</f>
        <v>6</v>
      </c>
      <c r="F65" s="69">
        <f>VLOOKUP(B65,[1]!Table3[[Part Number]:[OEM CAD $]],4,0)</f>
        <v>97.91</v>
      </c>
      <c r="G65" s="70">
        <f t="shared" si="2"/>
        <v>587.46</v>
      </c>
      <c r="H65" s="70">
        <f>VLOOKUP(B65,[1]!Table3[[Part Number]:[GQP CAD $]],5,0)</f>
        <v>37.21</v>
      </c>
      <c r="I65" s="74">
        <f t="shared" si="0"/>
        <v>223.26</v>
      </c>
    </row>
    <row r="66" spans="2:9" x14ac:dyDescent="0.25">
      <c r="B66" s="71" t="s">
        <v>99</v>
      </c>
      <c r="C66" s="67" t="str">
        <f>VLOOKUP(B66,[1]!Table3[[Part Number]:[Make and Model]],2,0)</f>
        <v xml:space="preserve">CAT 320E L (WBK) CAT 320E L (WBK) (2) CAT 320F L (YBM)                                        </v>
      </c>
      <c r="D66" s="67" t="str">
        <f>VLOOKUP(B66,[1]!Table3[[Part Number]:[Part Description]],3,0)</f>
        <v>PRIMARY AIR FILTER ELEMENT</v>
      </c>
      <c r="E66" s="68">
        <f>VLOOKUP(B66,[1]!Table3[[Part Number]:[Annual]],11,0)</f>
        <v>6</v>
      </c>
      <c r="F66" s="69">
        <f>VLOOKUP(B66,[1]!Table3[[Part Number]:[OEM CAD $]],4,0)</f>
        <v>120.35</v>
      </c>
      <c r="G66" s="70">
        <f t="shared" si="2"/>
        <v>722.09999999999991</v>
      </c>
      <c r="H66" s="70">
        <f>VLOOKUP(B66,[1]!Table3[[Part Number]:[GQP CAD $]],5,0)</f>
        <v>45.73</v>
      </c>
      <c r="I66" s="74">
        <f t="shared" si="0"/>
        <v>274.38</v>
      </c>
    </row>
    <row r="67" spans="2:9" x14ac:dyDescent="0.25">
      <c r="B67" s="71" t="s">
        <v>100</v>
      </c>
      <c r="C67" s="67" t="str">
        <f>VLOOKUP(B67,[1]!Table3[[Part Number]:[Make and Model]],2,0)</f>
        <v xml:space="preserve">CAT 303.5E                                            </v>
      </c>
      <c r="D67" s="67" t="str">
        <f>VLOOKUP(B67,[1]!Table3[[Part Number]:[Part Description]],3,0)</f>
        <v>PRIMARY AIR FILTER ELEMENT</v>
      </c>
      <c r="E67" s="68">
        <f>VLOOKUP(B67,[1]!Table3[[Part Number]:[Annual]],11,0)</f>
        <v>2</v>
      </c>
      <c r="F67" s="69">
        <f>VLOOKUP(B67,[1]!Table3[[Part Number]:[OEM CAD $]],4,0)</f>
        <v>67.33</v>
      </c>
      <c r="G67" s="70">
        <f t="shared" si="2"/>
        <v>134.66</v>
      </c>
      <c r="H67" s="70">
        <f>VLOOKUP(B67,[1]!Table3[[Part Number]:[GQP CAD $]],5,0)</f>
        <v>25.59</v>
      </c>
      <c r="I67" s="74">
        <f t="shared" si="0"/>
        <v>51.18</v>
      </c>
    </row>
    <row r="68" spans="2:9" x14ac:dyDescent="0.25">
      <c r="B68" s="71" t="s">
        <v>101</v>
      </c>
      <c r="C68" s="67" t="str">
        <f>VLOOKUP(B68,[1]!Table3[[Part Number]:[Make and Model]],2,0)</f>
        <v xml:space="preserve">CAT 303.5E                                            </v>
      </c>
      <c r="D68" s="67" t="str">
        <f>VLOOKUP(B68,[1]!Table3[[Part Number]:[Part Description]],3,0)</f>
        <v>SECONDARY AIR FILTER ELEMENT</v>
      </c>
      <c r="E68" s="68">
        <f>VLOOKUP(B68,[1]!Table3[[Part Number]:[Annual]],11,0)</f>
        <v>2</v>
      </c>
      <c r="F68" s="69">
        <f>VLOOKUP(B68,[1]!Table3[[Part Number]:[OEM CAD $]],4,0)</f>
        <v>61.69</v>
      </c>
      <c r="G68" s="70">
        <f t="shared" si="2"/>
        <v>123.38</v>
      </c>
      <c r="H68" s="70">
        <f>VLOOKUP(B68,[1]!Table3[[Part Number]:[GQP CAD $]],5,0)</f>
        <v>23.44</v>
      </c>
      <c r="I68" s="74">
        <f t="shared" si="0"/>
        <v>46.88</v>
      </c>
    </row>
    <row r="69" spans="2:9" x14ac:dyDescent="0.25">
      <c r="B69" s="71" t="s">
        <v>102</v>
      </c>
      <c r="C69" s="67" t="str">
        <f>VLOOKUP(B69,[1]!Table3[[Part Number]:[Make and Model]],2,0)</f>
        <v xml:space="preserve">CAT 336F L (RKB)                                            </v>
      </c>
      <c r="D69" s="67" t="str">
        <f>VLOOKUP(B69,[1]!Table3[[Part Number]:[Part Description]],3,0)</f>
        <v>PRIMARY AIR FILTER ELEMENT</v>
      </c>
      <c r="E69" s="68">
        <f>VLOOKUP(B69,[1]!Table3[[Part Number]:[Annual]],11,0)</f>
        <v>2</v>
      </c>
      <c r="F69" s="69">
        <f>VLOOKUP(B69,[1]!Table3[[Part Number]:[OEM CAD $]],4,0)</f>
        <v>201.81</v>
      </c>
      <c r="G69" s="70">
        <f t="shared" si="2"/>
        <v>403.62</v>
      </c>
      <c r="H69" s="70">
        <f>VLOOKUP(B69,[1]!Table3[[Part Number]:[GQP CAD $]],5,0)</f>
        <v>76.69</v>
      </c>
      <c r="I69" s="74">
        <f t="shared" si="0"/>
        <v>153.38</v>
      </c>
    </row>
    <row r="70" spans="2:9" x14ac:dyDescent="0.25">
      <c r="B70" s="71" t="s">
        <v>103</v>
      </c>
      <c r="C70" s="67" t="str">
        <f>VLOOKUP(B70,[1]!Table3[[Part Number]:[Make and Model]],2,0)</f>
        <v xml:space="preserve">CAT 336F L (RKB)                                            </v>
      </c>
      <c r="D70" s="67" t="str">
        <f>VLOOKUP(B70,[1]!Table3[[Part Number]:[Part Description]],3,0)</f>
        <v>SECONDARY AIR FILTER ELEMENT</v>
      </c>
      <c r="E70" s="68">
        <f>VLOOKUP(B70,[1]!Table3[[Part Number]:[Annual]],11,0)</f>
        <v>2</v>
      </c>
      <c r="F70" s="69">
        <f>VLOOKUP(B70,[1]!Table3[[Part Number]:[OEM CAD $]],4,0)</f>
        <v>119.45</v>
      </c>
      <c r="G70" s="70">
        <f t="shared" si="2"/>
        <v>238.9</v>
      </c>
      <c r="H70" s="70">
        <f>VLOOKUP(B70,[1]!Table3[[Part Number]:[GQP CAD $]],5,0)</f>
        <v>45.39</v>
      </c>
      <c r="I70" s="74">
        <f t="shared" si="0"/>
        <v>90.78</v>
      </c>
    </row>
    <row r="71" spans="2:9" x14ac:dyDescent="0.25">
      <c r="B71" s="71" t="s">
        <v>104</v>
      </c>
      <c r="C71" s="67" t="str">
        <f>VLOOKUP(B71,[1]!Table3[[Part Number]:[Make and Model]],2,0)</f>
        <v xml:space="preserve">CAT D6N LGP (PBA) CAT D6N LGP (PBA) (2)                                          </v>
      </c>
      <c r="D71" s="67" t="str">
        <f>VLOOKUP(B71,[1]!Table3[[Part Number]:[Part Description]],3,0)</f>
        <v>PRIMARY CABIN AIR FILTER ELEMENT</v>
      </c>
      <c r="E71" s="68">
        <f>VLOOKUP(B71,[1]!Table3[[Part Number]:[Annual]],11,0)</f>
        <v>4</v>
      </c>
      <c r="F71" s="69">
        <f>VLOOKUP(B71,[1]!Table3[[Part Number]:[OEM CAD $]],4,0)</f>
        <v>112.48</v>
      </c>
      <c r="G71" s="70">
        <f t="shared" si="2"/>
        <v>449.92</v>
      </c>
      <c r="H71" s="70">
        <f>VLOOKUP(B71,[1]!Table3[[Part Number]:[GQP CAD $]],5,0)</f>
        <v>42.74</v>
      </c>
      <c r="I71" s="74">
        <f t="shared" si="0"/>
        <v>170.96</v>
      </c>
    </row>
    <row r="72" spans="2:9" x14ac:dyDescent="0.25">
      <c r="B72" s="71" t="s">
        <v>41</v>
      </c>
      <c r="C72" s="67" t="str">
        <f>VLOOKUP(B72,[1]!Table3[[Part Number]:[Make and Model]],2,0)</f>
        <v xml:space="preserve">CAT PL61 (WGS) CAT PL61 (WGS) (2) CAT PL61 (WGS) (3)                                        </v>
      </c>
      <c r="D72" s="67" t="str">
        <f>VLOOKUP(B72,[1]!Table3[[Part Number]:[Part Description]],3,0)</f>
        <v>CABIN AIR FILTER ELEMENT</v>
      </c>
      <c r="E72" s="68">
        <f>VLOOKUP(B72,[1]!Table3[[Part Number]:[Annual]],11,0)</f>
        <v>6</v>
      </c>
      <c r="F72" s="69">
        <f>VLOOKUP(B72,[1]!Table3[[Part Number]:[OEM CAD $]],4,0)</f>
        <v>85.17</v>
      </c>
      <c r="G72" s="70">
        <f t="shared" si="2"/>
        <v>511.02</v>
      </c>
      <c r="H72" s="70">
        <f>VLOOKUP(B72,[1]!Table3[[Part Number]:[GQP CAD $]],5,0)</f>
        <v>32.36</v>
      </c>
      <c r="I72" s="74">
        <f t="shared" si="0"/>
        <v>194.16</v>
      </c>
    </row>
    <row r="73" spans="2:9" x14ac:dyDescent="0.25">
      <c r="B73" s="71" t="s">
        <v>45</v>
      </c>
      <c r="C73" s="67" t="str">
        <f>VLOOKUP(B73,[1]!Table3[[Part Number]:[Make and Model]],2,0)</f>
        <v xml:space="preserve">CAT D6N LGP (GHS) CAT PL61 (WGS) CAT PL61 (WGS) (2) CAT PL61 (WGS) (3)                                      </v>
      </c>
      <c r="D73" s="67" t="str">
        <f>VLOOKUP(B73,[1]!Table3[[Part Number]:[Part Description]],3,0)</f>
        <v>PRIMARY AIR FILTER ELEMENT</v>
      </c>
      <c r="E73" s="68">
        <f>VLOOKUP(B73,[1]!Table3[[Part Number]:[Annual]],11,0)</f>
        <v>8</v>
      </c>
      <c r="F73" s="69">
        <f>VLOOKUP(B73,[1]!Table3[[Part Number]:[OEM CAD $]],4,0)</f>
        <v>221.03</v>
      </c>
      <c r="G73" s="70">
        <f t="shared" si="2"/>
        <v>1768.24</v>
      </c>
      <c r="H73" s="70">
        <f>VLOOKUP(B73,[1]!Table3[[Part Number]:[GQP CAD $]],5,0)</f>
        <v>83.99</v>
      </c>
      <c r="I73" s="74">
        <f t="shared" si="0"/>
        <v>671.92</v>
      </c>
    </row>
    <row r="74" spans="2:9" x14ac:dyDescent="0.25">
      <c r="B74" s="71" t="s">
        <v>46</v>
      </c>
      <c r="C74" s="67" t="str">
        <f>VLOOKUP(B74,[1]!Table3[[Part Number]:[Make and Model]],2,0)</f>
        <v xml:space="preserve">CAT D6N LGP (GHS) CAT PL61 (WGS) CAT PL61 (WGS) (2) CAT PL61 (WGS) (3)                                      </v>
      </c>
      <c r="D74" s="67" t="str">
        <f>VLOOKUP(B74,[1]!Table3[[Part Number]:[Part Description]],3,0)</f>
        <v>SECONDARY AIR FILTER ELEMENT</v>
      </c>
      <c r="E74" s="68">
        <f>VLOOKUP(B74,[1]!Table3[[Part Number]:[Annual]],11,0)</f>
        <v>8</v>
      </c>
      <c r="F74" s="69">
        <f>VLOOKUP(B74,[1]!Table3[[Part Number]:[OEM CAD $]],4,0)</f>
        <v>152.66999999999999</v>
      </c>
      <c r="G74" s="70">
        <f t="shared" si="2"/>
        <v>1221.3599999999999</v>
      </c>
      <c r="H74" s="70">
        <f>VLOOKUP(B74,[1]!Table3[[Part Number]:[GQP CAD $]],5,0)</f>
        <v>58.01</v>
      </c>
      <c r="I74" s="74">
        <f t="shared" si="0"/>
        <v>464.08</v>
      </c>
    </row>
    <row r="75" spans="2:9" x14ac:dyDescent="0.25">
      <c r="B75" s="71" t="s">
        <v>105</v>
      </c>
      <c r="C75" s="67" t="str">
        <f>VLOOKUP(B75,[1]!Table3[[Part Number]:[Make and Model]],2,0)</f>
        <v xml:space="preserve">CAT 299D (DX2)                                            </v>
      </c>
      <c r="D75" s="67" t="str">
        <f>VLOOKUP(B75,[1]!Table3[[Part Number]:[Part Description]],3,0)</f>
        <v>CABIN AIR FILTER ELEMENT</v>
      </c>
      <c r="E75" s="68">
        <f>VLOOKUP(B75,[1]!Table3[[Part Number]:[Annual]],11,0)</f>
        <v>2</v>
      </c>
      <c r="F75" s="69">
        <f>VLOOKUP(B75,[1]!Table3[[Part Number]:[OEM CAD $]],4,0)</f>
        <v>37.51</v>
      </c>
      <c r="G75" s="70">
        <f t="shared" si="2"/>
        <v>75.02</v>
      </c>
      <c r="H75" s="70">
        <f>VLOOKUP(B75,[1]!Table3[[Part Number]:[GQP CAD $]],5,0)</f>
        <v>14.25</v>
      </c>
      <c r="I75" s="74">
        <f t="shared" si="0"/>
        <v>28.5</v>
      </c>
    </row>
    <row r="76" spans="2:9" x14ac:dyDescent="0.25">
      <c r="B76" s="71" t="s">
        <v>106</v>
      </c>
      <c r="C76" s="67" t="str">
        <f>VLOOKUP(B76,[1]!Table3[[Part Number]:[Make and Model]],2,0)</f>
        <v xml:space="preserve">CAT 303.5E                                            </v>
      </c>
      <c r="D76" s="67" t="str">
        <f>VLOOKUP(B76,[1]!Table3[[Part Number]:[Part Description]],3,0)</f>
        <v>CABIN AIR FILTER ELEMENT</v>
      </c>
      <c r="E76" s="68">
        <f>VLOOKUP(B76,[1]!Table3[[Part Number]:[Annual]],11,0)</f>
        <v>2</v>
      </c>
      <c r="F76" s="69">
        <f>VLOOKUP(B76,[1]!Table3[[Part Number]:[OEM CAD $]],4,0)</f>
        <v>98.39</v>
      </c>
      <c r="G76" s="70">
        <f t="shared" si="2"/>
        <v>196.78</v>
      </c>
      <c r="H76" s="70">
        <f>VLOOKUP(B76,[1]!Table3[[Part Number]:[GQP CAD $]],5,0)</f>
        <v>37.39</v>
      </c>
      <c r="I76" s="74">
        <f t="shared" si="0"/>
        <v>74.78</v>
      </c>
    </row>
    <row r="77" spans="2:9" x14ac:dyDescent="0.25">
      <c r="B77" s="71" t="s">
        <v>107</v>
      </c>
      <c r="C77" s="67" t="str">
        <f>VLOOKUP(B77,[1]!Table3[[Part Number]:[Make and Model]],2,0)</f>
        <v xml:space="preserve">CAT D4 (66J)                                            </v>
      </c>
      <c r="D77" s="67" t="str">
        <f>VLOOKUP(B77,[1]!Table3[[Part Number]:[Part Description]],3,0)</f>
        <v>SECONDARY AIR FILTER ELEMENT</v>
      </c>
      <c r="E77" s="68">
        <f>VLOOKUP(B77,[1]!Table3[[Part Number]:[Annual]],11,0)</f>
        <v>2</v>
      </c>
      <c r="F77" s="69">
        <f>VLOOKUP(B77,[1]!Table3[[Part Number]:[OEM CAD $]],4,0)</f>
        <v>111.66</v>
      </c>
      <c r="G77" s="70">
        <f t="shared" si="2"/>
        <v>223.32</v>
      </c>
      <c r="H77" s="70">
        <f>VLOOKUP(B77,[1]!Table3[[Part Number]:[GQP CAD $]],5,0)</f>
        <v>42.43</v>
      </c>
      <c r="I77" s="74">
        <f t="shared" si="0"/>
        <v>84.86</v>
      </c>
    </row>
    <row r="78" spans="2:9" x14ac:dyDescent="0.25">
      <c r="B78" s="71" t="s">
        <v>108</v>
      </c>
      <c r="C78" s="67" t="str">
        <f>VLOOKUP(B78,[1]!Table3[[Part Number]:[Make and Model]],2,0)</f>
        <v xml:space="preserve">CAT 561 (85H) CAT 561 (92J) CAT 561 (92J) (2)                                        </v>
      </c>
      <c r="D78" s="67" t="str">
        <f>VLOOKUP(B78,[1]!Table3[[Part Number]:[Part Description]],3,0)</f>
        <v>SECONDARY AIR FILTER</v>
      </c>
      <c r="E78" s="68">
        <f>VLOOKUP(B78,[1]!Table3[[Part Number]:[Annual]],11,0)</f>
        <v>6</v>
      </c>
      <c r="F78" s="69">
        <f>VLOOKUP(B78,[1]!Table3[[Part Number]:[OEM CAD $]],4,0)</f>
        <v>160.44</v>
      </c>
      <c r="G78" s="70">
        <f t="shared" si="2"/>
        <v>962.64</v>
      </c>
      <c r="H78" s="70">
        <f>VLOOKUP(B78,[1]!Table3[[Part Number]:[GQP CAD $]],5,0)</f>
        <v>60.97</v>
      </c>
      <c r="I78" s="74">
        <f t="shared" si="0"/>
        <v>365.82</v>
      </c>
    </row>
    <row r="79" spans="2:9" x14ac:dyDescent="0.25">
      <c r="B79" s="71" t="s">
        <v>109</v>
      </c>
      <c r="C79" s="67" t="str">
        <f>VLOOKUP(B79,[1]!Table3[[Part Number]:[Make and Model]],2,0)</f>
        <v xml:space="preserve">CAT D6N LGP (PBA) CAT D6N LGP (PBA) (2) CAT D6N LGP (SGG) CAT D6N LGP (SGG) (2)                                      </v>
      </c>
      <c r="D79" s="67" t="str">
        <f>VLOOKUP(B79,[1]!Table3[[Part Number]:[Part Description]],3,0)</f>
        <v>SECONDARY CABIN AIR FILTER ELEMENT</v>
      </c>
      <c r="E79" s="68">
        <f>VLOOKUP(B79,[1]!Table3[[Part Number]:[Annual]],11,0)</f>
        <v>12</v>
      </c>
      <c r="F79" s="69">
        <f>VLOOKUP(B79,[1]!Table3[[Part Number]:[OEM CAD $]],4,0)</f>
        <v>79.09</v>
      </c>
      <c r="G79" s="70">
        <f t="shared" si="2"/>
        <v>949.08</v>
      </c>
      <c r="H79" s="70">
        <f>VLOOKUP(B79,[1]!Table3[[Part Number]:[GQP CAD $]],5,0)</f>
        <v>30.05</v>
      </c>
      <c r="I79" s="74">
        <f t="shared" ref="I79:I142" si="3">ROUND(E79*H79,2)</f>
        <v>360.6</v>
      </c>
    </row>
    <row r="80" spans="2:9" x14ac:dyDescent="0.25">
      <c r="B80" s="71" t="s">
        <v>110</v>
      </c>
      <c r="C80" s="67" t="str">
        <f>VLOOKUP(B80,[1]!Table3[[Part Number]:[Make and Model]],2,0)</f>
        <v xml:space="preserve">CAT D6 (RDC) CAT D6T (MH7) CAT 561N (CPH) CAT 561N (CPH) (2) CAT 561N (CPH) (3) CAT 561N (CPH) (4) CAT 561N (CPH) (5)                                </v>
      </c>
      <c r="D80" s="67" t="str">
        <f>VLOOKUP(B80,[1]!Table3[[Part Number]:[Part Description]],3,0)</f>
        <v>SECONDARY AIR FILTER ELEMENT</v>
      </c>
      <c r="E80" s="68">
        <f>VLOOKUP(B80,[1]!Table3[[Part Number]:[Annual]],11,0)</f>
        <v>14</v>
      </c>
      <c r="F80" s="69">
        <f>VLOOKUP(B80,[1]!Table3[[Part Number]:[OEM CAD $]],4,0)</f>
        <v>109.02</v>
      </c>
      <c r="G80" s="70">
        <f t="shared" si="2"/>
        <v>1526.28</v>
      </c>
      <c r="H80" s="70">
        <f>VLOOKUP(B80,[1]!Table3[[Part Number]:[GQP CAD $]],5,0)</f>
        <v>41.43</v>
      </c>
      <c r="I80" s="74">
        <f t="shared" si="3"/>
        <v>580.02</v>
      </c>
    </row>
    <row r="81" spans="2:9" x14ac:dyDescent="0.25">
      <c r="B81" s="71" t="s">
        <v>111</v>
      </c>
      <c r="C81" s="67" t="str">
        <f>VLOOKUP(B81,[1]!Table3[[Part Number]:[Make and Model]],2,0)</f>
        <v xml:space="preserve">CAT D6N LGP (PBA) CAT D6N LGP (PBA) (2)                                          </v>
      </c>
      <c r="D81" s="67" t="str">
        <f>VLOOKUP(B81,[1]!Table3[[Part Number]:[Part Description]],3,0)</f>
        <v>SECONDARY AIR FILTER ELEMENT</v>
      </c>
      <c r="E81" s="68">
        <f>VLOOKUP(B81,[1]!Table3[[Part Number]:[Annual]],11,0)</f>
        <v>4</v>
      </c>
      <c r="F81" s="69">
        <f>VLOOKUP(B81,[1]!Table3[[Part Number]:[OEM CAD $]],4,0)</f>
        <v>137.53</v>
      </c>
      <c r="G81" s="70">
        <f t="shared" ref="G81:G144" si="4">E81*F81</f>
        <v>550.12</v>
      </c>
      <c r="H81" s="70">
        <f>VLOOKUP(B81,[1]!Table3[[Part Number]:[GQP CAD $]],5,0)</f>
        <v>52.26</v>
      </c>
      <c r="I81" s="74">
        <f t="shared" si="3"/>
        <v>209.04</v>
      </c>
    </row>
    <row r="82" spans="2:9" x14ac:dyDescent="0.25">
      <c r="B82" s="71" t="s">
        <v>112</v>
      </c>
      <c r="C82" s="67" t="str">
        <f>VLOOKUP(B82,[1]!Table3[[Part Number]:[Make and Model]],2,0)</f>
        <v xml:space="preserve">CAT 329E L (ZCD) CAT 329F L (ERL) CAT 329F L (ERL) (2) CAT 330F L (MBX) CAT 330F L (HCK) CAT 330F L (HCK) (2)                                  </v>
      </c>
      <c r="D82" s="67" t="str">
        <f>VLOOKUP(B82,[1]!Table3[[Part Number]:[Part Description]],3,0)</f>
        <v>CABIN AIR FILTER ELEMENT</v>
      </c>
      <c r="E82" s="68">
        <f>VLOOKUP(B82,[1]!Table3[[Part Number]:[Annual]],11,0)</f>
        <v>12</v>
      </c>
      <c r="F82" s="69">
        <f>VLOOKUP(B82,[1]!Table3[[Part Number]:[OEM CAD $]],4,0)</f>
        <v>94.42</v>
      </c>
      <c r="G82" s="70">
        <f t="shared" si="4"/>
        <v>1133.04</v>
      </c>
      <c r="H82" s="70">
        <f>VLOOKUP(B82,[1]!Table3[[Part Number]:[GQP CAD $]],5,0)</f>
        <v>35.880000000000003</v>
      </c>
      <c r="I82" s="74">
        <f t="shared" si="3"/>
        <v>430.56</v>
      </c>
    </row>
    <row r="83" spans="2:9" x14ac:dyDescent="0.25">
      <c r="B83" s="71" t="s">
        <v>113</v>
      </c>
      <c r="C83" s="67" t="str">
        <f>VLOOKUP(B83,[1]!Table3[[Part Number]:[Make and Model]],2,0)</f>
        <v xml:space="preserve">CAT 561N (CPH) CAT 561N (CPH) (2) CAT 561N (CPH) (3) CAT 561N (CPH) (4) CAT 561N (CPH) (5)                                    </v>
      </c>
      <c r="D83" s="67" t="str">
        <f>VLOOKUP(B83,[1]!Table3[[Part Number]:[Part Description]],3,0)</f>
        <v>CABIN AIR FILTER ELEMENT</v>
      </c>
      <c r="E83" s="68">
        <f>VLOOKUP(B83,[1]!Table3[[Part Number]:[Annual]],11,0)</f>
        <v>10</v>
      </c>
      <c r="F83" s="69">
        <f>VLOOKUP(B83,[1]!Table3[[Part Number]:[OEM CAD $]],4,0)</f>
        <v>1076.32</v>
      </c>
      <c r="G83" s="70">
        <f t="shared" si="4"/>
        <v>10763.199999999999</v>
      </c>
      <c r="H83" s="70">
        <f>VLOOKUP(B83,[1]!Table3[[Part Number]:[GQP CAD $]],5,0)</f>
        <v>409</v>
      </c>
      <c r="I83" s="74">
        <f t="shared" si="3"/>
        <v>4090</v>
      </c>
    </row>
    <row r="84" spans="2:9" x14ac:dyDescent="0.25">
      <c r="B84" s="71" t="s">
        <v>114</v>
      </c>
      <c r="C84" s="67" t="str">
        <f>VLOOKUP(B84,[1]!Table3[[Part Number]:[Make and Model]],2,0)</f>
        <v xml:space="preserve">CAT 320 (HEX) CAT 320 (MYK) CAT 320 (MYK) (2)                                        </v>
      </c>
      <c r="D84" s="67" t="str">
        <f>VLOOKUP(B84,[1]!Table3[[Part Number]:[Part Description]],3,0)</f>
        <v>PRIMARY AIR FILTER ELEMENT</v>
      </c>
      <c r="E84" s="68">
        <f>VLOOKUP(B84,[1]!Table3[[Part Number]:[Annual]],11,0)</f>
        <v>6</v>
      </c>
      <c r="F84" s="69">
        <f>VLOOKUP(B84,[1]!Table3[[Part Number]:[OEM CAD $]],4,0)</f>
        <v>244.2</v>
      </c>
      <c r="G84" s="70">
        <f t="shared" si="4"/>
        <v>1465.1999999999998</v>
      </c>
      <c r="H84" s="70">
        <f>VLOOKUP(B84,[1]!Table3[[Part Number]:[GQP CAD $]],5,0)</f>
        <v>92.8</v>
      </c>
      <c r="I84" s="74">
        <f t="shared" si="3"/>
        <v>556.79999999999995</v>
      </c>
    </row>
    <row r="85" spans="2:9" x14ac:dyDescent="0.25">
      <c r="B85" s="71" t="s">
        <v>115</v>
      </c>
      <c r="C85" s="67" t="str">
        <f>VLOOKUP(B85,[1]!Table3[[Part Number]:[Make and Model]],2,0)</f>
        <v xml:space="preserve">CAT 320 (HEX) CAT 320 (MYK) CAT 320 (MYK) (2)                                        </v>
      </c>
      <c r="D85" s="67" t="str">
        <f>VLOOKUP(B85,[1]!Table3[[Part Number]:[Part Description]],3,0)</f>
        <v>SECONDARY AIR FILTER ELEMENT</v>
      </c>
      <c r="E85" s="68">
        <f>VLOOKUP(B85,[1]!Table3[[Part Number]:[Annual]],11,0)</f>
        <v>6</v>
      </c>
      <c r="F85" s="69">
        <f>VLOOKUP(B85,[1]!Table3[[Part Number]:[OEM CAD $]],4,0)</f>
        <v>133.28</v>
      </c>
      <c r="G85" s="70">
        <f t="shared" si="4"/>
        <v>799.68000000000006</v>
      </c>
      <c r="H85" s="70">
        <f>VLOOKUP(B85,[1]!Table3[[Part Number]:[GQP CAD $]],5,0)</f>
        <v>50.65</v>
      </c>
      <c r="I85" s="74">
        <f t="shared" si="3"/>
        <v>303.89999999999998</v>
      </c>
    </row>
    <row r="86" spans="2:9" x14ac:dyDescent="0.25">
      <c r="B86" s="71" t="s">
        <v>116</v>
      </c>
      <c r="C86" s="67" t="str">
        <f>VLOOKUP(B86,[1]!Table3[[Part Number]:[Make and Model]],2,0)</f>
        <v xml:space="preserve">CAT 330 (LHW) CAT 330 (LHW) (2) CAT 330 (LHW) (3) CAT 330 (LHW) (4) CAT 330 (WCH) CAT 330 (WCH) (2) CAT 330 (WCH) (3) CAT 330 (WCH) (4) CAT 330 (WCH) (5) CAT 330 (WCH) (6)                          </v>
      </c>
      <c r="D86" s="67" t="str">
        <f>VLOOKUP(B86,[1]!Table3[[Part Number]:[Part Description]],3,0)</f>
        <v>PRIMARY AIR FILTER ELEMENT</v>
      </c>
      <c r="E86" s="68">
        <f>VLOOKUP(B86,[1]!Table3[[Part Number]:[Annual]],11,0)</f>
        <v>20</v>
      </c>
      <c r="F86" s="69">
        <f>VLOOKUP(B86,[1]!Table3[[Part Number]:[OEM CAD $]],4,0)</f>
        <v>307.85000000000002</v>
      </c>
      <c r="G86" s="70">
        <f t="shared" si="4"/>
        <v>6157</v>
      </c>
      <c r="H86" s="70">
        <f>VLOOKUP(B86,[1]!Table3[[Part Number]:[GQP CAD $]],5,0)</f>
        <v>116.98</v>
      </c>
      <c r="I86" s="74">
        <f t="shared" si="3"/>
        <v>2339.6</v>
      </c>
    </row>
    <row r="87" spans="2:9" x14ac:dyDescent="0.25">
      <c r="B87" s="71" t="s">
        <v>117</v>
      </c>
      <c r="C87" s="67" t="str">
        <f>VLOOKUP(B87,[1]!Table3[[Part Number]:[Make and Model]],2,0)</f>
        <v xml:space="preserve">CAT 330 (LHW) CAT 330 (LHW) (2) CAT 330 (LHW) (3) CAT 330 (LHW) (4) CAT 330 (WCH) CAT 330 (WCH) (2) CAT 330 (WCH) (3) CAT 330 (WCH) (4) CAT 330 (WCH) (5) CAT 330 (WCH) (6)                          </v>
      </c>
      <c r="D87" s="67" t="str">
        <f>VLOOKUP(B87,[1]!Table3[[Part Number]:[Part Description]],3,0)</f>
        <v>SECONDAY AIR FILTER ELEMENT</v>
      </c>
      <c r="E87" s="68">
        <f>VLOOKUP(B87,[1]!Table3[[Part Number]:[Annual]],11,0)</f>
        <v>20</v>
      </c>
      <c r="F87" s="69">
        <f>VLOOKUP(B87,[1]!Table3[[Part Number]:[OEM CAD $]],4,0)</f>
        <v>137.38</v>
      </c>
      <c r="G87" s="70">
        <f t="shared" si="4"/>
        <v>2747.6</v>
      </c>
      <c r="H87" s="70">
        <f>VLOOKUP(B87,[1]!Table3[[Part Number]:[GQP CAD $]],5,0)</f>
        <v>52.2</v>
      </c>
      <c r="I87" s="74">
        <f t="shared" si="3"/>
        <v>1044</v>
      </c>
    </row>
    <row r="88" spans="2:9" x14ac:dyDescent="0.25">
      <c r="B88" s="71" t="s">
        <v>118</v>
      </c>
      <c r="C88" s="67" t="str">
        <f>VLOOKUP(B88,[1]!Table3[[Part Number]:[Make and Model]],2,0)</f>
        <v xml:space="preserve">CAT D3 (1PJ)                                            </v>
      </c>
      <c r="D88" s="67" t="str">
        <f>VLOOKUP(B88,[1]!Table3[[Part Number]:[Part Description]],3,0)</f>
        <v>SECONDARY AIR FILTER ELEMENT</v>
      </c>
      <c r="E88" s="68">
        <f>VLOOKUP(B88,[1]!Table3[[Part Number]:[Annual]],11,0)</f>
        <v>2</v>
      </c>
      <c r="F88" s="69">
        <f>VLOOKUP(B88,[1]!Table3[[Part Number]:[OEM CAD $]],4,0)</f>
        <v>77.260000000000005</v>
      </c>
      <c r="G88" s="70">
        <f t="shared" si="4"/>
        <v>154.52000000000001</v>
      </c>
      <c r="H88" s="70">
        <f>VLOOKUP(B88,[1]!Table3[[Part Number]:[GQP CAD $]],5,0)</f>
        <v>29.36</v>
      </c>
      <c r="I88" s="74">
        <f t="shared" si="3"/>
        <v>58.72</v>
      </c>
    </row>
    <row r="89" spans="2:9" x14ac:dyDescent="0.25">
      <c r="B89" s="71" t="s">
        <v>119</v>
      </c>
      <c r="C89" s="67" t="str">
        <f>VLOOKUP(B89,[1]!Table3[[Part Number]:[Make and Model]],2,0)</f>
        <v xml:space="preserve">CAT D3 (1PJ)                                            </v>
      </c>
      <c r="D89" s="67" t="str">
        <f>VLOOKUP(B89,[1]!Table3[[Part Number]:[Part Description]],3,0)</f>
        <v>PRIMARY AIR FILTER ELEMENT</v>
      </c>
      <c r="E89" s="68">
        <f>VLOOKUP(B89,[1]!Table3[[Part Number]:[Annual]],11,0)</f>
        <v>2</v>
      </c>
      <c r="F89" s="69">
        <f>VLOOKUP(B89,[1]!Table3[[Part Number]:[OEM CAD $]],4,0)</f>
        <v>91.61</v>
      </c>
      <c r="G89" s="70">
        <f t="shared" si="4"/>
        <v>183.22</v>
      </c>
      <c r="H89" s="70">
        <f>VLOOKUP(B89,[1]!Table3[[Part Number]:[GQP CAD $]],5,0)</f>
        <v>34.81</v>
      </c>
      <c r="I89" s="74">
        <f t="shared" si="3"/>
        <v>69.62</v>
      </c>
    </row>
    <row r="90" spans="2:9" x14ac:dyDescent="0.25">
      <c r="B90" s="71" t="s">
        <v>120</v>
      </c>
      <c r="C90" s="67" t="str">
        <f>VLOOKUP(B90,[1]!Table3[[Part Number]:[Make and Model]],2,0)</f>
        <v xml:space="preserve">CAT 320 (HEX) CAT 320 (MYK) CAT 320 (MYK) (2) CAT 330 (LHW) CAT 330 (LHW) (2) CAT 330 (LHW) (3) CAT 330 (LHW) (4) CAT 330 (WCH) CAT 330 (WCH) (2) CAT 330 (WCH) (3) CAT 330 (WCH) (4) CAT 330 (WCH) (5) CAT 330 (WCH) (6)                    </v>
      </c>
      <c r="D90" s="67" t="str">
        <f>VLOOKUP(B90,[1]!Table3[[Part Number]:[Part Description]],3,0)</f>
        <v xml:space="preserve">CABIN AIR FILTER ELEMENT </v>
      </c>
      <c r="E90" s="68">
        <f>VLOOKUP(B90,[1]!Table3[[Part Number]:[Annual]],11,0)</f>
        <v>26</v>
      </c>
      <c r="F90" s="69">
        <f>VLOOKUP(B90,[1]!Table3[[Part Number]:[OEM CAD $]],4,0)</f>
        <v>87.85</v>
      </c>
      <c r="G90" s="70">
        <f t="shared" si="4"/>
        <v>2284.1</v>
      </c>
      <c r="H90" s="70">
        <f>VLOOKUP(B90,[1]!Table3[[Part Number]:[GQP CAD $]],5,0)</f>
        <v>33.380000000000003</v>
      </c>
      <c r="I90" s="74">
        <f t="shared" si="3"/>
        <v>867.88</v>
      </c>
    </row>
    <row r="91" spans="2:9" x14ac:dyDescent="0.25">
      <c r="B91" s="71" t="s">
        <v>121</v>
      </c>
      <c r="C91" s="67" t="str">
        <f>VLOOKUP(B91,[1]!Table3[[Part Number]:[Make and Model]],2,0)</f>
        <v xml:space="preserve">CAT D6N LGP (SGG) CAT D6N LGP (SGG) (2)                                          </v>
      </c>
      <c r="D91" s="67" t="str">
        <f>VLOOKUP(B91,[1]!Table3[[Part Number]:[Part Description]],3,0)</f>
        <v>PRIMARY AIR FILTER ELEMENT</v>
      </c>
      <c r="E91" s="68">
        <f>VLOOKUP(B91,[1]!Table3[[Part Number]:[Annual]],11,0)</f>
        <v>4</v>
      </c>
      <c r="F91" s="69">
        <f>VLOOKUP(B91,[1]!Table3[[Part Number]:[OEM CAD $]],4,0)</f>
        <v>136.4</v>
      </c>
      <c r="G91" s="70">
        <f t="shared" si="4"/>
        <v>545.6</v>
      </c>
      <c r="H91" s="70">
        <f>VLOOKUP(B91,[1]!Table3[[Part Number]:[GQP CAD $]],5,0)</f>
        <v>51.83</v>
      </c>
      <c r="I91" s="74">
        <f t="shared" si="3"/>
        <v>207.32</v>
      </c>
    </row>
    <row r="92" spans="2:9" x14ac:dyDescent="0.25">
      <c r="B92" s="71" t="s">
        <v>122</v>
      </c>
      <c r="C92" s="67" t="str">
        <f>VLOOKUP(B92,[1]!Table3[[Part Number]:[Make and Model]],2,0)</f>
        <v xml:space="preserve">CAT D6N LGP (SGG) CAT D6N LGP (SGG) (2)                                          </v>
      </c>
      <c r="D92" s="67" t="str">
        <f>VLOOKUP(B92,[1]!Table3[[Part Number]:[Part Description]],3,0)</f>
        <v>SECONDARY AIR FILTER ELEMENT</v>
      </c>
      <c r="E92" s="68">
        <f>VLOOKUP(B92,[1]!Table3[[Part Number]:[Annual]],11,0)</f>
        <v>4</v>
      </c>
      <c r="F92" s="69">
        <f>VLOOKUP(B92,[1]!Table3[[Part Number]:[OEM CAD $]],4,0)</f>
        <v>103.4</v>
      </c>
      <c r="G92" s="70">
        <f t="shared" si="4"/>
        <v>413.6</v>
      </c>
      <c r="H92" s="70">
        <f>VLOOKUP(B92,[1]!Table3[[Part Number]:[GQP CAD $]],5,0)</f>
        <v>39.29</v>
      </c>
      <c r="I92" s="74">
        <f t="shared" si="3"/>
        <v>157.16</v>
      </c>
    </row>
    <row r="93" spans="2:9" x14ac:dyDescent="0.25">
      <c r="B93" s="71" t="s">
        <v>123</v>
      </c>
      <c r="C93" s="67" t="str">
        <f>VLOOKUP(B93,[1]!Table3[[Part Number]:[Make and Model]],2,0)</f>
        <v xml:space="preserve">CAT D6N LGP (PBA) CAT D6N LGP (PBA) (2)                                          </v>
      </c>
      <c r="D93" s="67" t="str">
        <f>VLOOKUP(B93,[1]!Table3[[Part Number]:[Part Description]],3,0)</f>
        <v>PRIMARY AIR FILTER ELEMENT</v>
      </c>
      <c r="E93" s="68">
        <f>VLOOKUP(B93,[1]!Table3[[Part Number]:[Annual]],11,0)</f>
        <v>4</v>
      </c>
      <c r="F93" s="69">
        <f>VLOOKUP(B93,[1]!Table3[[Part Number]:[OEM CAD $]],4,0)</f>
        <v>225.94</v>
      </c>
      <c r="G93" s="70">
        <f t="shared" si="4"/>
        <v>903.76</v>
      </c>
      <c r="H93" s="70">
        <f>VLOOKUP(B93,[1]!Table3[[Part Number]:[GQP CAD $]],5,0)</f>
        <v>85.86</v>
      </c>
      <c r="I93" s="74">
        <f t="shared" si="3"/>
        <v>343.44</v>
      </c>
    </row>
    <row r="94" spans="2:9" x14ac:dyDescent="0.25">
      <c r="B94" s="71" t="s">
        <v>124</v>
      </c>
      <c r="C94" s="67" t="str">
        <f>VLOOKUP(B94,[1]!Table3[[Part Number]:[Make and Model]],2,0)</f>
        <v xml:space="preserve">CAT D6 (RDC)                                            </v>
      </c>
      <c r="D94" s="67" t="str">
        <f>VLOOKUP(B94,[1]!Table3[[Part Number]:[Part Description]],3,0)</f>
        <v>CABIN AIR FILTER ELEMENT</v>
      </c>
      <c r="E94" s="68">
        <f>VLOOKUP(B94,[1]!Table3[[Part Number]:[Annual]],11,0)</f>
        <v>2</v>
      </c>
      <c r="F94" s="69">
        <f>VLOOKUP(B94,[1]!Table3[[Part Number]:[OEM CAD $]],4,0)</f>
        <v>143.80000000000001</v>
      </c>
      <c r="G94" s="70">
        <f t="shared" si="4"/>
        <v>287.60000000000002</v>
      </c>
      <c r="H94" s="70">
        <f>VLOOKUP(B94,[1]!Table3[[Part Number]:[GQP CAD $]],5,0)</f>
        <v>54.64</v>
      </c>
      <c r="I94" s="74">
        <f t="shared" si="3"/>
        <v>109.28</v>
      </c>
    </row>
    <row r="95" spans="2:9" x14ac:dyDescent="0.25">
      <c r="B95" s="71" t="s">
        <v>125</v>
      </c>
      <c r="C95" s="67" t="str">
        <f>VLOOKUP(B95,[1]!Table3[[Part Number]:[Make and Model]],2,0)</f>
        <v xml:space="preserve">CAT D6 (RDC) CAT D6T (MH7) CAT 561N (CPH) CAT 561N (CPH) (2) CAT 561N (CPH) (3) CAT 561N (CPH) (4) CAT 561N (CPH) (5)                                </v>
      </c>
      <c r="D95" s="67" t="str">
        <f>VLOOKUP(B95,[1]!Table3[[Part Number]:[Part Description]],3,0)</f>
        <v>PRIMARY AIR FILTER ELEMENT</v>
      </c>
      <c r="E95" s="68">
        <f>VLOOKUP(B95,[1]!Table3[[Part Number]:[Annual]],11,0)</f>
        <v>14</v>
      </c>
      <c r="F95" s="69">
        <f>VLOOKUP(B95,[1]!Table3[[Part Number]:[OEM CAD $]],4,0)</f>
        <v>259.82</v>
      </c>
      <c r="G95" s="70">
        <f t="shared" si="4"/>
        <v>3637.48</v>
      </c>
      <c r="H95" s="70">
        <f>VLOOKUP(B95,[1]!Table3[[Part Number]:[GQP CAD $]],5,0)</f>
        <v>98.73</v>
      </c>
      <c r="I95" s="74">
        <f t="shared" si="3"/>
        <v>1382.22</v>
      </c>
    </row>
    <row r="96" spans="2:9" x14ac:dyDescent="0.25">
      <c r="B96" s="71" t="s">
        <v>126</v>
      </c>
      <c r="C96" s="67" t="str">
        <f>VLOOKUP(B96,[1]!Table3[[Part Number]:[Make and Model]],2,0)</f>
        <v xml:space="preserve">CAT D5 (3CR) CAT D5 (3CR) (2) CAT 561M (1KW)                                        </v>
      </c>
      <c r="D96" s="67" t="str">
        <f>VLOOKUP(B96,[1]!Table3[[Part Number]:[Part Description]],3,0)</f>
        <v>PRIMARY AIR FILTER ELEMENT</v>
      </c>
      <c r="E96" s="68">
        <f>VLOOKUP(B96,[1]!Table3[[Part Number]:[Annual]],11,0)</f>
        <v>6</v>
      </c>
      <c r="F96" s="69">
        <f>VLOOKUP(B96,[1]!Table3[[Part Number]:[OEM CAD $]],4,0)</f>
        <v>110.04</v>
      </c>
      <c r="G96" s="70">
        <f t="shared" si="4"/>
        <v>660.24</v>
      </c>
      <c r="H96" s="70">
        <f>VLOOKUP(B96,[1]!Table3[[Part Number]:[GQP CAD $]],5,0)</f>
        <v>41.82</v>
      </c>
      <c r="I96" s="74">
        <f t="shared" si="3"/>
        <v>250.92</v>
      </c>
    </row>
    <row r="97" spans="2:9" x14ac:dyDescent="0.25">
      <c r="B97" s="71" t="s">
        <v>127</v>
      </c>
      <c r="C97" s="67" t="str">
        <f>VLOOKUP(B97,[1]!Table3[[Part Number]:[Make and Model]],2,0)</f>
        <v xml:space="preserve">CAT D5 (3CR) CAT D5 (3CR) (2) CAT 561M (1KW)                                        </v>
      </c>
      <c r="D97" s="67" t="str">
        <f>VLOOKUP(B97,[1]!Table3[[Part Number]:[Part Description]],3,0)</f>
        <v>SECONDARY AIR FILTER ELEMENT</v>
      </c>
      <c r="E97" s="68">
        <f>VLOOKUP(B97,[1]!Table3[[Part Number]:[Annual]],11,0)</f>
        <v>6</v>
      </c>
      <c r="F97" s="69">
        <f>VLOOKUP(B97,[1]!Table3[[Part Number]:[OEM CAD $]],4,0)</f>
        <v>81.73</v>
      </c>
      <c r="G97" s="70">
        <f t="shared" si="4"/>
        <v>490.38</v>
      </c>
      <c r="H97" s="70">
        <f>VLOOKUP(B97,[1]!Table3[[Part Number]:[GQP CAD $]],5,0)</f>
        <v>31.06</v>
      </c>
      <c r="I97" s="74">
        <f t="shared" si="3"/>
        <v>186.36</v>
      </c>
    </row>
    <row r="98" spans="2:9" x14ac:dyDescent="0.25">
      <c r="B98" s="71" t="s">
        <v>128</v>
      </c>
      <c r="C98" s="67" t="str">
        <f>VLOOKUP(B98,[1]!Table3[[Part Number]:[Make and Model]],2,0)</f>
        <v xml:space="preserve">CAT 329E L (ZCD) CAT 329F L (ERL) CAT 329F L (ERL) (2) CAT 330F L (MBX) CAT 330F L (HCK) CAT 330F L (HCK) (2)                                  </v>
      </c>
      <c r="D98" s="67" t="str">
        <f>VLOOKUP(B98,[1]!Table3[[Part Number]:[Part Description]],3,0)</f>
        <v>PRIMARY AIR FILTER ELEMENT</v>
      </c>
      <c r="E98" s="68">
        <f>VLOOKUP(B98,[1]!Table3[[Part Number]:[Annual]],11,0)</f>
        <v>12</v>
      </c>
      <c r="F98" s="69">
        <f>VLOOKUP(B98,[1]!Table3[[Part Number]:[OEM CAD $]],4,0)</f>
        <v>165.83</v>
      </c>
      <c r="G98" s="70">
        <f t="shared" si="4"/>
        <v>1989.96</v>
      </c>
      <c r="H98" s="70">
        <f>VLOOKUP(B98,[1]!Table3[[Part Number]:[GQP CAD $]],5,0)</f>
        <v>63.02</v>
      </c>
      <c r="I98" s="74">
        <f t="shared" si="3"/>
        <v>756.24</v>
      </c>
    </row>
    <row r="99" spans="2:9" x14ac:dyDescent="0.25">
      <c r="B99" s="71" t="s">
        <v>129</v>
      </c>
      <c r="C99" s="67" t="str">
        <f>VLOOKUP(B99,[1]!Table3[[Part Number]:[Make and Model]],2,0)</f>
        <v xml:space="preserve">CAT 329E L (ZCD) CAT 329F L (ERL) CAT 329F L (ERL) (2) CAT 330F L (MBX) CAT 330F L (HCK) CAT 330F L (HCK) (2)                                  </v>
      </c>
      <c r="D99" s="67" t="str">
        <f>VLOOKUP(B99,[1]!Table3[[Part Number]:[Part Description]],3,0)</f>
        <v>SECONDARY AIR FILTER ELEMENT</v>
      </c>
      <c r="E99" s="68">
        <f>VLOOKUP(B99,[1]!Table3[[Part Number]:[Annual]],11,0)</f>
        <v>12</v>
      </c>
      <c r="F99" s="69">
        <f>VLOOKUP(B99,[1]!Table3[[Part Number]:[OEM CAD $]],4,0)</f>
        <v>117.3</v>
      </c>
      <c r="G99" s="70">
        <f t="shared" si="4"/>
        <v>1407.6</v>
      </c>
      <c r="H99" s="70">
        <f>VLOOKUP(B99,[1]!Table3[[Part Number]:[GQP CAD $]],5,0)</f>
        <v>44.57</v>
      </c>
      <c r="I99" s="74">
        <f t="shared" si="3"/>
        <v>534.84</v>
      </c>
    </row>
    <row r="100" spans="2:9" x14ac:dyDescent="0.25">
      <c r="B100" s="71" t="s">
        <v>130</v>
      </c>
      <c r="C100" s="67" t="str">
        <f>VLOOKUP(B100,[1]!Table3[[Part Number]:[Make and Model]],2,0)</f>
        <v xml:space="preserve">CAT D7G (92V) CAT D7G (3ZD) CAT D7G (3ZD) (2)                                        </v>
      </c>
      <c r="D100" s="67" t="str">
        <f>VLOOKUP(B100,[1]!Table3[[Part Number]:[Part Description]],3,0)</f>
        <v>CABIN AIR FILTER ELEMENT</v>
      </c>
      <c r="E100" s="68">
        <f>VLOOKUP(B100,[1]!Table3[[Part Number]:[Annual]],11,0)</f>
        <v>6</v>
      </c>
      <c r="F100" s="69">
        <f>VLOOKUP(B100,[1]!Table3[[Part Number]:[OEM CAD $]],4,0)</f>
        <v>121.67</v>
      </c>
      <c r="G100" s="70">
        <f t="shared" si="4"/>
        <v>730.02</v>
      </c>
      <c r="H100" s="70">
        <f>VLOOKUP(B100,[1]!Table3[[Part Number]:[GQP CAD $]],5,0)</f>
        <v>46.23</v>
      </c>
      <c r="I100" s="74">
        <f t="shared" si="3"/>
        <v>277.38</v>
      </c>
    </row>
    <row r="101" spans="2:9" x14ac:dyDescent="0.25">
      <c r="B101" s="71" t="s">
        <v>131</v>
      </c>
      <c r="C101" s="67" t="str">
        <f>VLOOKUP(B101,[1]!Table3[[Part Number]:[Make and Model]],2,0)</f>
        <v xml:space="preserve">CAT D7G (92V) CAT D7G (3ZD) CAT D7G (3ZD) (2) CAT 561 (85H) CAT 561 (92J) CAT 561 (92J) (2)                                  </v>
      </c>
      <c r="D101" s="67" t="str">
        <f>VLOOKUP(B101,[1]!Table3[[Part Number]:[Part Description]],3,0)</f>
        <v>PRIMARY AIR FILTER ELEMENT</v>
      </c>
      <c r="E101" s="68">
        <f>VLOOKUP(B101,[1]!Table3[[Part Number]:[Annual]],11,0)</f>
        <v>12</v>
      </c>
      <c r="F101" s="69">
        <f>VLOOKUP(B101,[1]!Table3[[Part Number]:[OEM CAD $]],4,0)</f>
        <v>143.6</v>
      </c>
      <c r="G101" s="70">
        <f t="shared" si="4"/>
        <v>1723.1999999999998</v>
      </c>
      <c r="H101" s="70">
        <f>VLOOKUP(B101,[1]!Table3[[Part Number]:[GQP CAD $]],5,0)</f>
        <v>54.57</v>
      </c>
      <c r="I101" s="74">
        <f t="shared" si="3"/>
        <v>654.84</v>
      </c>
    </row>
    <row r="102" spans="2:9" x14ac:dyDescent="0.25">
      <c r="B102" s="71" t="s">
        <v>132</v>
      </c>
      <c r="C102" s="67" t="str">
        <f>VLOOKUP(B102,[1]!Table3[[Part Number]:[Make and Model]],2,0)</f>
        <v xml:space="preserve">CAT D4 (66J)                                            </v>
      </c>
      <c r="D102" s="67" t="str">
        <f>VLOOKUP(B102,[1]!Table3[[Part Number]:[Part Description]],3,0)</f>
        <v>PRIMARY AIR FILTER ELEMENT</v>
      </c>
      <c r="E102" s="68">
        <f>VLOOKUP(B102,[1]!Table3[[Part Number]:[Annual]],11,0)</f>
        <v>2</v>
      </c>
      <c r="F102" s="69">
        <f>VLOOKUP(B102,[1]!Table3[[Part Number]:[OEM CAD $]],4,0)</f>
        <v>125.6</v>
      </c>
      <c r="G102" s="70">
        <f t="shared" si="4"/>
        <v>251.2</v>
      </c>
      <c r="H102" s="70">
        <f>VLOOKUP(B102,[1]!Table3[[Part Number]:[GQP CAD $]],5,0)</f>
        <v>47.73</v>
      </c>
      <c r="I102" s="74">
        <f t="shared" si="3"/>
        <v>95.46</v>
      </c>
    </row>
    <row r="103" spans="2:9" x14ac:dyDescent="0.25">
      <c r="B103" s="71" t="s">
        <v>133</v>
      </c>
      <c r="C103" s="67" t="str">
        <f>VLOOKUP(B103,[1]!Table3[[Part Number]:[Make and Model]],2,0)</f>
        <v xml:space="preserve">CAT D7G (92V) CAT D7G (3ZD) CAT D7G (3ZD) (2)                                        </v>
      </c>
      <c r="D103" s="67" t="str">
        <f>VLOOKUP(B103,[1]!Table3[[Part Number]:[Part Description]],3,0)</f>
        <v>SECONDARY AIR FILTER ELEMENT</v>
      </c>
      <c r="E103" s="68">
        <f>VLOOKUP(B103,[1]!Table3[[Part Number]:[Annual]],11,0)</f>
        <v>6</v>
      </c>
      <c r="F103" s="69">
        <f>VLOOKUP(B103,[1]!Table3[[Part Number]:[OEM CAD $]],4,0)</f>
        <v>115.44</v>
      </c>
      <c r="G103" s="70">
        <f t="shared" si="4"/>
        <v>692.64</v>
      </c>
      <c r="H103" s="70">
        <f>VLOOKUP(B103,[1]!Table3[[Part Number]:[GQP CAD $]],5,0)</f>
        <v>43.87</v>
      </c>
      <c r="I103" s="74">
        <f t="shared" si="3"/>
        <v>263.22000000000003</v>
      </c>
    </row>
    <row r="104" spans="2:9" x14ac:dyDescent="0.25">
      <c r="B104" s="71">
        <v>6692337</v>
      </c>
      <c r="C104" s="67" t="str">
        <f>VLOOKUP(B104,[1]!Table3[[Part Number]:[Make and Model]],2,0)</f>
        <v xml:space="preserve">BOBCAT T750 (ATF) BOBCAT S650 (A3N)                                          </v>
      </c>
      <c r="D104" s="67" t="str">
        <f>VLOOKUP(B104,[1]!Table3[[Part Number]:[Part Description]],3,0)</f>
        <v>HYDRAULIC OIL FILTER ELEMENT</v>
      </c>
      <c r="E104" s="68">
        <f>VLOOKUP(B104,[1]!Table3[[Part Number]:[Annual]],11,0)</f>
        <v>6</v>
      </c>
      <c r="F104" s="69">
        <f>VLOOKUP(B104,[1]!Table3[[Part Number]:[OEM CAD $]],4,0)</f>
        <v>93.99</v>
      </c>
      <c r="G104" s="70">
        <f t="shared" si="4"/>
        <v>563.93999999999994</v>
      </c>
      <c r="H104" s="70">
        <f>VLOOKUP(B104,[1]!Table3[[Part Number]:[GQP CAD $]],5,0)</f>
        <v>35.72</v>
      </c>
      <c r="I104" s="74">
        <f t="shared" si="3"/>
        <v>214.32</v>
      </c>
    </row>
    <row r="105" spans="2:9" x14ac:dyDescent="0.25">
      <c r="B105" s="71">
        <v>7012314</v>
      </c>
      <c r="C105" s="67" t="str">
        <f>VLOOKUP(B105,[1]!Table3[[Part Number]:[Make and Model]],2,0)</f>
        <v xml:space="preserve">BOBCAT T750 (ANK)                                            </v>
      </c>
      <c r="D105" s="67" t="str">
        <f>VLOOKUP(B105,[1]!Table3[[Part Number]:[Part Description]],3,0)</f>
        <v>HYDRAULIC OIL FILTER ELEMENT</v>
      </c>
      <c r="E105" s="68">
        <f>VLOOKUP(B105,[1]!Table3[[Part Number]:[Annual]],11,0)</f>
        <v>3</v>
      </c>
      <c r="F105" s="69">
        <f>VLOOKUP(B105,[1]!Table3[[Part Number]:[OEM CAD $]],4,0)</f>
        <v>138.99</v>
      </c>
      <c r="G105" s="70">
        <f t="shared" si="4"/>
        <v>416.97</v>
      </c>
      <c r="H105" s="70">
        <f>VLOOKUP(B105,[1]!Table3[[Part Number]:[GQP CAD $]],5,0)</f>
        <v>52.82</v>
      </c>
      <c r="I105" s="74">
        <f t="shared" si="3"/>
        <v>158.46</v>
      </c>
    </row>
    <row r="106" spans="2:9" x14ac:dyDescent="0.25">
      <c r="B106" s="71">
        <v>7414582</v>
      </c>
      <c r="C106" s="67" t="str">
        <f>VLOOKUP(B106,[1]!Table3[[Part Number]:[Make and Model]],2,0)</f>
        <v xml:space="preserve">BOBCAT T770 (AT6) BOBCAT T770 (AT6) (2)                                          </v>
      </c>
      <c r="D106" s="67" t="str">
        <f>VLOOKUP(B106,[1]!Table3[[Part Number]:[Part Description]],3,0)</f>
        <v>HYDRAULIC OIL FILTER ELEMENT</v>
      </c>
      <c r="E106" s="68">
        <f>VLOOKUP(B106,[1]!Table3[[Part Number]:[Annual]],11,0)</f>
        <v>6</v>
      </c>
      <c r="F106" s="69">
        <f>VLOOKUP(B106,[1]!Table3[[Part Number]:[OEM CAD $]],4,0)</f>
        <v>117.99</v>
      </c>
      <c r="G106" s="70">
        <f t="shared" si="4"/>
        <v>707.93999999999994</v>
      </c>
      <c r="H106" s="70">
        <f>VLOOKUP(B106,[1]!Table3[[Part Number]:[GQP CAD $]],5,0)</f>
        <v>44.84</v>
      </c>
      <c r="I106" s="74">
        <f t="shared" si="3"/>
        <v>269.04000000000002</v>
      </c>
    </row>
    <row r="107" spans="2:9" x14ac:dyDescent="0.25">
      <c r="B107" s="71" t="s">
        <v>134</v>
      </c>
      <c r="C107" s="67" t="str">
        <f>VLOOKUP(B107,[1]!Table3[[Part Number]:[Make and Model]],2,0)</f>
        <v xml:space="preserve">CAT 320F L (YBM) CAT 336F L (RKB)                                          </v>
      </c>
      <c r="D107" s="67" t="str">
        <f>VLOOKUP(B107,[1]!Table3[[Part Number]:[Part Description]],3,0)</f>
        <v>HYDRAULIC OIL FILTER</v>
      </c>
      <c r="E107" s="68">
        <f>VLOOKUP(B107,[1]!Table3[[Part Number]:[Annual]],11,0)</f>
        <v>6</v>
      </c>
      <c r="F107" s="69">
        <f>VLOOKUP(B107,[1]!Table3[[Part Number]:[OEM CAD $]],4,0)</f>
        <v>102.09</v>
      </c>
      <c r="G107" s="70">
        <f t="shared" si="4"/>
        <v>612.54</v>
      </c>
      <c r="H107" s="70">
        <f>VLOOKUP(B107,[1]!Table3[[Part Number]:[GQP CAD $]],5,0)</f>
        <v>38.79</v>
      </c>
      <c r="I107" s="74">
        <f t="shared" si="3"/>
        <v>232.74</v>
      </c>
    </row>
    <row r="108" spans="2:9" x14ac:dyDescent="0.25">
      <c r="B108" s="71" t="s">
        <v>135</v>
      </c>
      <c r="C108" s="67" t="str">
        <f>VLOOKUP(B108,[1]!Table3[[Part Number]:[Make and Model]],2,0)</f>
        <v xml:space="preserve">CAT D4 (66J)                                            </v>
      </c>
      <c r="D108" s="67" t="str">
        <f>VLOOKUP(B108,[1]!Table3[[Part Number]:[Part Description]],3,0)</f>
        <v>HYDRAULIC OIL FILTER</v>
      </c>
      <c r="E108" s="68">
        <f>VLOOKUP(B108,[1]!Table3[[Part Number]:[Annual]],11,0)</f>
        <v>3</v>
      </c>
      <c r="F108" s="69">
        <f>VLOOKUP(B108,[1]!Table3[[Part Number]:[OEM CAD $]],4,0)</f>
        <v>703.78</v>
      </c>
      <c r="G108" s="70">
        <f t="shared" si="4"/>
        <v>2111.34</v>
      </c>
      <c r="H108" s="70">
        <f>VLOOKUP(B108,[1]!Table3[[Part Number]:[GQP CAD $]],5,0)</f>
        <v>267.44</v>
      </c>
      <c r="I108" s="74">
        <f t="shared" si="3"/>
        <v>802.32</v>
      </c>
    </row>
    <row r="109" spans="2:9" x14ac:dyDescent="0.25">
      <c r="B109" s="71" t="s">
        <v>136</v>
      </c>
      <c r="C109" s="67" t="str">
        <f>VLOOKUP(B109,[1]!Table3[[Part Number]:[Make and Model]],2,0)</f>
        <v xml:space="preserve">CAT 320E L (WBK) CAT 320E L (WBK) (2) CAT 320F L (YBM) CAT 329E L (ZCD) CAT 329F L (ERL) CAT 329F L (ERL) (2) CAT 330F L (MBX) CAT 330F L (HCK) CAT 330F L (HCK) (2) CAT 336F L (RKB)                          </v>
      </c>
      <c r="D109" s="67" t="str">
        <f>VLOOKUP(B109,[1]!Table3[[Part Number]:[Part Description]],3,0)</f>
        <v xml:space="preserve">HYDRAULIC OIL FILTER ELEMENT </v>
      </c>
      <c r="E109" s="68">
        <f>VLOOKUP(B109,[1]!Table3[[Part Number]:[Annual]],11,0)</f>
        <v>36</v>
      </c>
      <c r="F109" s="69">
        <f>VLOOKUP(B109,[1]!Table3[[Part Number]:[OEM CAD $]],4,0)</f>
        <v>229</v>
      </c>
      <c r="G109" s="70">
        <f t="shared" si="4"/>
        <v>8244</v>
      </c>
      <c r="H109" s="70">
        <f>VLOOKUP(B109,[1]!Table3[[Part Number]:[GQP CAD $]],5,0)</f>
        <v>87.02</v>
      </c>
      <c r="I109" s="74">
        <f t="shared" si="3"/>
        <v>3132.72</v>
      </c>
    </row>
    <row r="110" spans="2:9" x14ac:dyDescent="0.25">
      <c r="B110" s="71" t="s">
        <v>38</v>
      </c>
      <c r="C110" s="67" t="str">
        <f>VLOOKUP(B110,[1]!Table3[[Part Number]:[Make and Model]],2,0)</f>
        <v xml:space="preserve">CAT PL61 (WGS) CAT PL61 (WGS) (2) CAT PL61 (WGS) (3)                                        </v>
      </c>
      <c r="D110" s="67" t="str">
        <f>VLOOKUP(B110,[1]!Table3[[Part Number]:[Part Description]],3,0)</f>
        <v>HYDRAULIC OIL FILTER ELEMENT</v>
      </c>
      <c r="E110" s="68">
        <f>VLOOKUP(B110,[1]!Table3[[Part Number]:[Annual]],11,0)</f>
        <v>9</v>
      </c>
      <c r="F110" s="69">
        <f>VLOOKUP(B110,[1]!Table3[[Part Number]:[OEM CAD $]],4,0)</f>
        <v>150.47</v>
      </c>
      <c r="G110" s="70">
        <f t="shared" si="4"/>
        <v>1354.23</v>
      </c>
      <c r="H110" s="70">
        <f>VLOOKUP(B110,[1]!Table3[[Part Number]:[GQP CAD $]],5,0)</f>
        <v>57.18</v>
      </c>
      <c r="I110" s="74">
        <f t="shared" si="3"/>
        <v>514.62</v>
      </c>
    </row>
    <row r="111" spans="2:9" x14ac:dyDescent="0.25">
      <c r="B111" s="71" t="s">
        <v>137</v>
      </c>
      <c r="C111" s="67" t="str">
        <f>VLOOKUP(B111,[1]!Table3[[Part Number]:[Make and Model]],2,0)</f>
        <v xml:space="preserve">CAT D3 (1PJ) CAT D5 (3CR) CAT D5 (3CR) (2)                                        </v>
      </c>
      <c r="D111" s="67" t="str">
        <f>VLOOKUP(B111,[1]!Table3[[Part Number]:[Part Description]],3,0)</f>
        <v>HYDRAULIC OIL FILTER</v>
      </c>
      <c r="E111" s="68">
        <f>VLOOKUP(B111,[1]!Table3[[Part Number]:[Annual]],11,0)</f>
        <v>9</v>
      </c>
      <c r="F111" s="69">
        <f>VLOOKUP(B111,[1]!Table3[[Part Number]:[OEM CAD $]],4,0)</f>
        <v>38.32</v>
      </c>
      <c r="G111" s="70">
        <f t="shared" si="4"/>
        <v>344.88</v>
      </c>
      <c r="H111" s="70">
        <f>VLOOKUP(B111,[1]!Table3[[Part Number]:[GQP CAD $]],5,0)</f>
        <v>14.56</v>
      </c>
      <c r="I111" s="74">
        <f t="shared" si="3"/>
        <v>131.04</v>
      </c>
    </row>
    <row r="112" spans="2:9" x14ac:dyDescent="0.25">
      <c r="B112" s="71" t="s">
        <v>138</v>
      </c>
      <c r="C112" s="67" t="str">
        <f>VLOOKUP(B112,[1]!Table3[[Part Number]:[Make and Model]],2,0)</f>
        <v xml:space="preserve">CAT D3 (1PJ)                                            </v>
      </c>
      <c r="D112" s="67" t="str">
        <f>VLOOKUP(B112,[1]!Table3[[Part Number]:[Part Description]],3,0)</f>
        <v xml:space="preserve">HYDRAULIC/TRANSMISSION OIL FILTER </v>
      </c>
      <c r="E112" s="68">
        <f>VLOOKUP(B112,[1]!Table3[[Part Number]:[Annual]],11,0)</f>
        <v>3</v>
      </c>
      <c r="F112" s="69">
        <f>VLOOKUP(B112,[1]!Table3[[Part Number]:[OEM CAD $]],4,0)</f>
        <v>47.44</v>
      </c>
      <c r="G112" s="70">
        <f t="shared" si="4"/>
        <v>142.32</v>
      </c>
      <c r="H112" s="70">
        <f>VLOOKUP(B112,[1]!Table3[[Part Number]:[GQP CAD $]],5,0)</f>
        <v>18.03</v>
      </c>
      <c r="I112" s="74">
        <f t="shared" si="3"/>
        <v>54.09</v>
      </c>
    </row>
    <row r="113" spans="2:9" x14ac:dyDescent="0.25">
      <c r="B113" s="71" t="s">
        <v>139</v>
      </c>
      <c r="C113" s="67" t="str">
        <f>VLOOKUP(B113,[1]!Table3[[Part Number]:[Make and Model]],2,0)</f>
        <v xml:space="preserve">CAT D4 (66J)                                            </v>
      </c>
      <c r="D113" s="67" t="str">
        <f>VLOOKUP(B113,[1]!Table3[[Part Number]:[Part Description]],3,0)</f>
        <v xml:space="preserve">HYDRAULIC OIL FILTER ELEMENT </v>
      </c>
      <c r="E113" s="68">
        <f>VLOOKUP(B113,[1]!Table3[[Part Number]:[Annual]],11,0)</f>
        <v>3</v>
      </c>
      <c r="F113" s="69">
        <f>VLOOKUP(B113,[1]!Table3[[Part Number]:[OEM CAD $]],4,0)</f>
        <v>93.49</v>
      </c>
      <c r="G113" s="70">
        <f t="shared" si="4"/>
        <v>280.46999999999997</v>
      </c>
      <c r="H113" s="70">
        <f>VLOOKUP(B113,[1]!Table3[[Part Number]:[GQP CAD $]],5,0)</f>
        <v>35.53</v>
      </c>
      <c r="I113" s="74">
        <f t="shared" si="3"/>
        <v>106.59</v>
      </c>
    </row>
    <row r="114" spans="2:9" x14ac:dyDescent="0.25">
      <c r="B114" s="71" t="s">
        <v>140</v>
      </c>
      <c r="C114" s="67" t="str">
        <f>VLOOKUP(B114,[1]!Table3[[Part Number]:[Make and Model]],2,0)</f>
        <v xml:space="preserve">CAT 303.5E                                            </v>
      </c>
      <c r="D114" s="67" t="str">
        <f>VLOOKUP(B114,[1]!Table3[[Part Number]:[Part Description]],3,0)</f>
        <v>HYDRAULIC OIL FILTER</v>
      </c>
      <c r="E114" s="68">
        <f>VLOOKUP(B114,[1]!Table3[[Part Number]:[Annual]],11,0)</f>
        <v>3</v>
      </c>
      <c r="F114" s="69">
        <f>VLOOKUP(B114,[1]!Table3[[Part Number]:[OEM CAD $]],4,0)</f>
        <v>130.47</v>
      </c>
      <c r="G114" s="70">
        <f t="shared" si="4"/>
        <v>391.40999999999997</v>
      </c>
      <c r="H114" s="70">
        <f>VLOOKUP(B114,[1]!Table3[[Part Number]:[GQP CAD $]],5,0)</f>
        <v>49.58</v>
      </c>
      <c r="I114" s="74">
        <f t="shared" si="3"/>
        <v>148.74</v>
      </c>
    </row>
    <row r="115" spans="2:9" x14ac:dyDescent="0.25">
      <c r="B115" s="71" t="s">
        <v>40</v>
      </c>
      <c r="C115" s="67" t="str">
        <f>VLOOKUP(B115,[1]!Table3[[Part Number]:[Make and Model]],2,0)</f>
        <v xml:space="preserve">CAT D6N LGP (GHS)                                            </v>
      </c>
      <c r="D115" s="67" t="str">
        <f>VLOOKUP(B115,[1]!Table3[[Part Number]:[Part Description]],3,0)</f>
        <v xml:space="preserve">HYDRAULIC OIL FILTER ELEMENT </v>
      </c>
      <c r="E115" s="68">
        <f>VLOOKUP(B115,[1]!Table3[[Part Number]:[Annual]],11,0)</f>
        <v>3</v>
      </c>
      <c r="F115" s="69">
        <f>VLOOKUP(B115,[1]!Table3[[Part Number]:[OEM CAD $]],4,0)</f>
        <v>204.36</v>
      </c>
      <c r="G115" s="70">
        <f t="shared" si="4"/>
        <v>613.08000000000004</v>
      </c>
      <c r="H115" s="70">
        <f>VLOOKUP(B115,[1]!Table3[[Part Number]:[GQP CAD $]],5,0)</f>
        <v>77.66</v>
      </c>
      <c r="I115" s="74">
        <f t="shared" si="3"/>
        <v>232.98</v>
      </c>
    </row>
    <row r="116" spans="2:9" x14ac:dyDescent="0.25">
      <c r="B116" s="71" t="s">
        <v>141</v>
      </c>
      <c r="C116" s="67" t="str">
        <f>VLOOKUP(B116,[1]!Table3[[Part Number]:[Make and Model]],2,0)</f>
        <v xml:space="preserve">CAT 303.5E                                            </v>
      </c>
      <c r="D116" s="67" t="str">
        <f>VLOOKUP(B116,[1]!Table3[[Part Number]:[Part Description]],3,0)</f>
        <v>HYDRAULIC PUMP</v>
      </c>
      <c r="E116" s="68">
        <f>VLOOKUP(B116,[1]!Table3[[Part Number]:[Annual]],11,0)</f>
        <v>3</v>
      </c>
      <c r="F116" s="69">
        <f>VLOOKUP(B116,[1]!Table3[[Part Number]:[OEM CAD $]],4,0)</f>
        <v>7622.73</v>
      </c>
      <c r="G116" s="70">
        <f t="shared" si="4"/>
        <v>22868.19</v>
      </c>
      <c r="H116" s="70">
        <f>VLOOKUP(B116,[1]!Table3[[Part Number]:[GQP CAD $]],5,0)</f>
        <v>3811.37</v>
      </c>
      <c r="I116" s="74">
        <f t="shared" si="3"/>
        <v>11434.11</v>
      </c>
    </row>
    <row r="117" spans="2:9" x14ac:dyDescent="0.25">
      <c r="B117" s="71" t="s">
        <v>142</v>
      </c>
      <c r="C117" s="67" t="str">
        <f>VLOOKUP(B117,[1]!Table3[[Part Number]:[Make and Model]],2,0)</f>
        <v xml:space="preserve">CAT 299D (DX2)                                            </v>
      </c>
      <c r="D117" s="67" t="str">
        <f>VLOOKUP(B117,[1]!Table3[[Part Number]:[Part Description]],3,0)</f>
        <v>HYDRAULIC OIL FILTER ELEMENT</v>
      </c>
      <c r="E117" s="68">
        <f>VLOOKUP(B117,[1]!Table3[[Part Number]:[Annual]],11,0)</f>
        <v>3</v>
      </c>
      <c r="F117" s="69">
        <f>VLOOKUP(B117,[1]!Table3[[Part Number]:[OEM CAD $]],4,0)</f>
        <v>72.069999999999993</v>
      </c>
      <c r="G117" s="70">
        <f t="shared" si="4"/>
        <v>216.20999999999998</v>
      </c>
      <c r="H117" s="70">
        <f>VLOOKUP(B117,[1]!Table3[[Part Number]:[GQP CAD $]],5,0)</f>
        <v>27.39</v>
      </c>
      <c r="I117" s="74">
        <f t="shared" si="3"/>
        <v>82.17</v>
      </c>
    </row>
    <row r="118" spans="2:9" x14ac:dyDescent="0.25">
      <c r="B118" s="71" t="s">
        <v>143</v>
      </c>
      <c r="C118" s="67" t="str">
        <f>VLOOKUP(B118,[1]!Table3[[Part Number]:[Make and Model]],2,0)</f>
        <v xml:space="preserve">CAT 330 (LHW) CAT 330 (LHW) (2) CAT 330 (LHW) (3) CAT 330 (LHW) (4)                                      </v>
      </c>
      <c r="D118" s="67" t="str">
        <f>VLOOKUP(B118,[1]!Table3[[Part Number]:[Part Description]],3,0)</f>
        <v>HYDRAULIC OIL FILTER</v>
      </c>
      <c r="E118" s="68">
        <f>VLOOKUP(B118,[1]!Table3[[Part Number]:[Annual]],11,0)</f>
        <v>12</v>
      </c>
      <c r="F118" s="69">
        <f>VLOOKUP(B118,[1]!Table3[[Part Number]:[OEM CAD $]],4,0)</f>
        <v>159.19999999999999</v>
      </c>
      <c r="G118" s="70">
        <f t="shared" si="4"/>
        <v>1910.3999999999999</v>
      </c>
      <c r="H118" s="70">
        <f>VLOOKUP(B118,[1]!Table3[[Part Number]:[GQP CAD $]],5,0)</f>
        <v>60.5</v>
      </c>
      <c r="I118" s="74">
        <f t="shared" si="3"/>
        <v>726</v>
      </c>
    </row>
    <row r="119" spans="2:9" x14ac:dyDescent="0.25">
      <c r="B119" s="71" t="s">
        <v>144</v>
      </c>
      <c r="C119" s="67" t="str">
        <f>VLOOKUP(B119,[1]!Table3[[Part Number]:[Make and Model]],2,0)</f>
        <v xml:space="preserve">CAT D7G (92V) CAT D7G (3ZD) CAT D7G (3ZD) (2)                                        </v>
      </c>
      <c r="D119" s="67" t="str">
        <f>VLOOKUP(B119,[1]!Table3[[Part Number]:[Part Description]],3,0)</f>
        <v>HYDRAULIC OIL FILTER ELEMENT</v>
      </c>
      <c r="E119" s="68">
        <f>VLOOKUP(B119,[1]!Table3[[Part Number]:[Annual]],11,0)</f>
        <v>9</v>
      </c>
      <c r="F119" s="69">
        <f>VLOOKUP(B119,[1]!Table3[[Part Number]:[OEM CAD $]],4,0)</f>
        <v>131.11000000000001</v>
      </c>
      <c r="G119" s="70">
        <f t="shared" si="4"/>
        <v>1179.9900000000002</v>
      </c>
      <c r="H119" s="70">
        <f>VLOOKUP(B119,[1]!Table3[[Part Number]:[GQP CAD $]],5,0)</f>
        <v>49.82</v>
      </c>
      <c r="I119" s="74">
        <f t="shared" si="3"/>
        <v>448.38</v>
      </c>
    </row>
    <row r="120" spans="2:9" x14ac:dyDescent="0.25">
      <c r="B120" s="71" t="s">
        <v>145</v>
      </c>
      <c r="C120" s="67" t="str">
        <f>VLOOKUP(B120,[1]!Table3[[Part Number]:[Make and Model]],2,0)</f>
        <v xml:space="preserve">CAT D6 (RDC) CAT D6N LGP (PBA) CAT D6N LGP (PBA) (2) CAT D6N LGP (SGG) CAT D6N LGP (SGG) (2) CAT D6T (MH7) CAT 561N (CPH) CAT 561N (CPH) (2) CAT 561N (CPH) (3) CAT 561N (CPH) (4) CAT 561N (CPH) (5)                        </v>
      </c>
      <c r="D120" s="67" t="str">
        <f>VLOOKUP(B120,[1]!Table3[[Part Number]:[Part Description]],3,0)</f>
        <v>HYDRAULIC OIL FILTER ELEMENT</v>
      </c>
      <c r="E120" s="68">
        <f>VLOOKUP(B120,[1]!Table3[[Part Number]:[Annual]],11,0)</f>
        <v>33</v>
      </c>
      <c r="F120" s="69">
        <f>VLOOKUP(B120,[1]!Table3[[Part Number]:[OEM CAD $]],4,0)</f>
        <v>171.55</v>
      </c>
      <c r="G120" s="70">
        <f t="shared" si="4"/>
        <v>5661.1500000000005</v>
      </c>
      <c r="H120" s="70">
        <f>VLOOKUP(B120,[1]!Table3[[Part Number]:[GQP CAD $]],5,0)</f>
        <v>65.19</v>
      </c>
      <c r="I120" s="74">
        <f t="shared" si="3"/>
        <v>2151.27</v>
      </c>
    </row>
    <row r="121" spans="2:9" x14ac:dyDescent="0.25">
      <c r="B121" s="71" t="s">
        <v>146</v>
      </c>
      <c r="C121" s="67" t="str">
        <f>VLOOKUP(B121,[1]!Table3[[Part Number]:[Make and Model]],2,0)</f>
        <v xml:space="preserve">CAT 320 (HEX) CAT 320 (MYK) CAT 320 (MYK) (2) CAT 330 (LHW) CAT 330 (LHW) (2) CAT 330 (LHW) (3) CAT 330 (LHW) (4) CAT 330 (WCH) CAT 330 (WCH) (2) CAT 330 (WCH) (3) CAT 330 (WCH) (4) CAT 330 (WCH) (5) CAT 330 (WCH) (6)                    </v>
      </c>
      <c r="D121" s="67" t="str">
        <f>VLOOKUP(B121,[1]!Table3[[Part Number]:[Part Description]],3,0)</f>
        <v>HYDRAULIC OIL FILTER ELEMENT</v>
      </c>
      <c r="E121" s="68">
        <f>VLOOKUP(B121,[1]!Table3[[Part Number]:[Annual]],11,0)</f>
        <v>39</v>
      </c>
      <c r="F121" s="69">
        <f>VLOOKUP(B121,[1]!Table3[[Part Number]:[OEM CAD $]],4,0)</f>
        <v>283.86</v>
      </c>
      <c r="G121" s="70">
        <f t="shared" si="4"/>
        <v>11070.54</v>
      </c>
      <c r="H121" s="70">
        <f>VLOOKUP(B121,[1]!Table3[[Part Number]:[GQP CAD $]],5,0)</f>
        <v>107.87</v>
      </c>
      <c r="I121" s="74">
        <f t="shared" si="3"/>
        <v>4206.93</v>
      </c>
    </row>
    <row r="122" spans="2:9" x14ac:dyDescent="0.25">
      <c r="B122" s="71" t="s">
        <v>147</v>
      </c>
      <c r="C122" s="67" t="str">
        <f>VLOOKUP(B122,[1]!Table3[[Part Number]:[Make and Model]],2,0)</f>
        <v xml:space="preserve">CAT 320F L (YBM) CAT 329E L (ZCD)                                          </v>
      </c>
      <c r="D122" s="67" t="str">
        <f>VLOOKUP(B122,[1]!Table3[[Part Number]:[Part Description]],3,0)</f>
        <v>HYDRAULIC OIL FILTER</v>
      </c>
      <c r="E122" s="68">
        <f>VLOOKUP(B122,[1]!Table3[[Part Number]:[Annual]],11,0)</f>
        <v>6</v>
      </c>
      <c r="F122" s="69">
        <f>VLOOKUP(B122,[1]!Table3[[Part Number]:[OEM CAD $]],4,0)</f>
        <v>106.56</v>
      </c>
      <c r="G122" s="70">
        <f t="shared" si="4"/>
        <v>639.36</v>
      </c>
      <c r="H122" s="70">
        <f>VLOOKUP(B122,[1]!Table3[[Part Number]:[GQP CAD $]],5,0)</f>
        <v>40.49</v>
      </c>
      <c r="I122" s="74">
        <f t="shared" si="3"/>
        <v>242.94</v>
      </c>
    </row>
    <row r="123" spans="2:9" x14ac:dyDescent="0.25">
      <c r="B123" s="71" t="s">
        <v>148</v>
      </c>
      <c r="C123" s="67" t="str">
        <f>VLOOKUP(B123,[1]!Table3[[Part Number]:[Make and Model]],2,0)</f>
        <v xml:space="preserve">CAT D6N LGP (GHS) CAT D6N LGP (PBA) CAT D6N LGP (PBA) (2) CAT D6N LGP (SGG) CAT D6N LGP (SGG) (2)                                    </v>
      </c>
      <c r="D123" s="67" t="str">
        <f>VLOOKUP(B123,[1]!Table3[[Part Number]:[Part Description]],3,0)</f>
        <v>HYDRAULIC OIL FILTER</v>
      </c>
      <c r="E123" s="68">
        <f>VLOOKUP(B123,[1]!Table3[[Part Number]:[Annual]],11,0)</f>
        <v>15</v>
      </c>
      <c r="F123" s="69">
        <f>VLOOKUP(B123,[1]!Table3[[Part Number]:[OEM CAD $]],4,0)</f>
        <v>123.35</v>
      </c>
      <c r="G123" s="70">
        <f t="shared" si="4"/>
        <v>1850.25</v>
      </c>
      <c r="H123" s="70">
        <f>VLOOKUP(B123,[1]!Table3[[Part Number]:[GQP CAD $]],5,0)</f>
        <v>46.87</v>
      </c>
      <c r="I123" s="74">
        <f t="shared" si="3"/>
        <v>703.05</v>
      </c>
    </row>
    <row r="124" spans="2:9" x14ac:dyDescent="0.25">
      <c r="B124" s="71">
        <v>6667352</v>
      </c>
      <c r="C124" s="67" t="str">
        <f>VLOOKUP(B124,[1]!Table3[[Part Number]:[Make and Model]],2,0)</f>
        <v xml:space="preserve">BOBCAT T750 (ANK) BOBCAT S650 (A3N)                                          </v>
      </c>
      <c r="D124" s="67" t="str">
        <f>VLOOKUP(B124,[1]!Table3[[Part Number]:[Part Description]],3,0)</f>
        <v>FUEL WATER SEPARATOR FILTER</v>
      </c>
      <c r="E124" s="68">
        <f>VLOOKUP(B124,[1]!Table3[[Part Number]:[Annual]],11,0)</f>
        <v>10</v>
      </c>
      <c r="F124" s="69">
        <f>VLOOKUP(B124,[1]!Table3[[Part Number]:[OEM CAD $]],4,0)</f>
        <v>34.04</v>
      </c>
      <c r="G124" s="70">
        <f t="shared" si="4"/>
        <v>340.4</v>
      </c>
      <c r="H124" s="70">
        <f>VLOOKUP(B124,[1]!Table3[[Part Number]:[GQP CAD $]],5,0)</f>
        <v>12.94</v>
      </c>
      <c r="I124" s="74">
        <f t="shared" si="3"/>
        <v>129.4</v>
      </c>
    </row>
    <row r="125" spans="2:9" x14ac:dyDescent="0.25">
      <c r="B125" s="71">
        <v>6678233</v>
      </c>
      <c r="C125" s="67" t="str">
        <f>VLOOKUP(B125,[1]!Table3[[Part Number]:[Make and Model]],2,0)</f>
        <v xml:space="preserve">BOBCAT T750 (ANK) BOBCAT T750 (ATF) BOBCAT S650 (A3N) BOBCAT T770 (AT6) BOBCAT T770 (AT6) (2)                                    </v>
      </c>
      <c r="D125" s="67" t="str">
        <f>VLOOKUP(B125,[1]!Table3[[Part Number]:[Part Description]],3,0)</f>
        <v>ENGINE OIL FILTER</v>
      </c>
      <c r="E125" s="68">
        <f>VLOOKUP(B125,[1]!Table3[[Part Number]:[Annual]],11,0)</f>
        <v>25</v>
      </c>
      <c r="F125" s="69">
        <f>VLOOKUP(B125,[1]!Table3[[Part Number]:[OEM CAD $]],4,0)</f>
        <v>20.14</v>
      </c>
      <c r="G125" s="70">
        <f t="shared" si="4"/>
        <v>503.5</v>
      </c>
      <c r="H125" s="70">
        <f>VLOOKUP(B125,[1]!Table3[[Part Number]:[GQP CAD $]],5,0)</f>
        <v>7.65</v>
      </c>
      <c r="I125" s="74">
        <f t="shared" si="3"/>
        <v>191.25</v>
      </c>
    </row>
    <row r="126" spans="2:9" x14ac:dyDescent="0.25">
      <c r="B126" s="71">
        <v>7400454</v>
      </c>
      <c r="C126" s="67" t="str">
        <f>VLOOKUP(B126,[1]!Table3[[Part Number]:[Make and Model]],2,0)</f>
        <v xml:space="preserve">BOBCAT T750 (ATF)                                            </v>
      </c>
      <c r="D126" s="67" t="str">
        <f>VLOOKUP(B126,[1]!Table3[[Part Number]:[Part Description]],3,0)</f>
        <v>FUEL WATER SEPARATOR FILTER</v>
      </c>
      <c r="E126" s="68">
        <f>VLOOKUP(B126,[1]!Table3[[Part Number]:[Annual]],11,0)</f>
        <v>5</v>
      </c>
      <c r="F126" s="69">
        <f>VLOOKUP(B126,[1]!Table3[[Part Number]:[OEM CAD $]],4,0)</f>
        <v>135.49</v>
      </c>
      <c r="G126" s="70">
        <f t="shared" si="4"/>
        <v>677.45</v>
      </c>
      <c r="H126" s="70">
        <f>VLOOKUP(B126,[1]!Table3[[Part Number]:[GQP CAD $]],5,0)</f>
        <v>51.49</v>
      </c>
      <c r="I126" s="74">
        <f t="shared" si="3"/>
        <v>257.45</v>
      </c>
    </row>
    <row r="127" spans="2:9" x14ac:dyDescent="0.25">
      <c r="B127" s="71">
        <v>46825328</v>
      </c>
      <c r="C127" s="67" t="str">
        <f>VLOOKUP(B127,[1]!Table3[[Part Number]:[Make and Model]],2,0)</f>
        <v xml:space="preserve">BOBCAT T770 (AT6) BOBCAT T770 (AT6) (2)                                          </v>
      </c>
      <c r="D127" s="67" t="str">
        <f>VLOOKUP(B127,[1]!Table3[[Part Number]:[Part Description]],3,0)</f>
        <v>FUEL WATER SEPARATOR FILTER</v>
      </c>
      <c r="E127" s="68">
        <f>VLOOKUP(B127,[1]!Table3[[Part Number]:[Annual]],11,0)</f>
        <v>10</v>
      </c>
      <c r="F127" s="69">
        <f>VLOOKUP(B127,[1]!Table3[[Part Number]:[OEM CAD $]],4,0)</f>
        <v>150.49</v>
      </c>
      <c r="G127" s="70">
        <f t="shared" si="4"/>
        <v>1504.9</v>
      </c>
      <c r="H127" s="70">
        <f>VLOOKUP(B127,[1]!Table3[[Part Number]:[GQP CAD $]],5,0)</f>
        <v>57.19</v>
      </c>
      <c r="I127" s="74">
        <f t="shared" si="3"/>
        <v>571.9</v>
      </c>
    </row>
    <row r="128" spans="2:9" x14ac:dyDescent="0.25">
      <c r="B128" s="71" t="s">
        <v>149</v>
      </c>
      <c r="C128" s="67" t="str">
        <f>VLOOKUP(B128,[1]!Table3[[Part Number]:[Make and Model]],2,0)</f>
        <v xml:space="preserve">CAT D5 (3CR) CAT D5 (3CR) (2) CAT 561M (1KW)                                        </v>
      </c>
      <c r="D128" s="67" t="str">
        <f>VLOOKUP(B128,[1]!Table3[[Part Number]:[Part Description]],3,0)</f>
        <v>FUEL WATER SEPARATOR</v>
      </c>
      <c r="E128" s="68">
        <f>VLOOKUP(B128,[1]!Table3[[Part Number]:[Annual]],11,0)</f>
        <v>15</v>
      </c>
      <c r="F128" s="69">
        <f>VLOOKUP(B128,[1]!Table3[[Part Number]:[OEM CAD $]],4,0)</f>
        <v>52.82</v>
      </c>
      <c r="G128" s="70">
        <f t="shared" si="4"/>
        <v>792.3</v>
      </c>
      <c r="H128" s="70">
        <f>VLOOKUP(B128,[1]!Table3[[Part Number]:[GQP CAD $]],5,0)</f>
        <v>20.07</v>
      </c>
      <c r="I128" s="74">
        <f t="shared" si="3"/>
        <v>301.05</v>
      </c>
    </row>
    <row r="129" spans="2:9" x14ac:dyDescent="0.25">
      <c r="B129" s="71" t="s">
        <v>177</v>
      </c>
      <c r="C129" s="67" t="str">
        <f>VLOOKUP(B129,[1]!Table3[[Part Number]:[Make and Model]],2,0)</f>
        <v xml:space="preserve">CAT 561M (1KW)                                            </v>
      </c>
      <c r="D129" s="67" t="str">
        <f>VLOOKUP(B129,[1]!Table3[[Part Number]:[Part Description]],3,0)</f>
        <v>TRANSMISSION FILTER</v>
      </c>
      <c r="E129" s="68">
        <f>VLOOKUP(B129,[1]!Table3[[Part Number]:[Annual]],11,0)</f>
        <v>5</v>
      </c>
      <c r="F129" s="69">
        <f>VLOOKUP(B129,[1]!Table3[[Part Number]:[OEM CAD $]],4,0)</f>
        <v>113.9</v>
      </c>
      <c r="G129" s="70">
        <f t="shared" si="4"/>
        <v>569.5</v>
      </c>
      <c r="H129" s="70">
        <f>VLOOKUP(B129,[1]!Table3[[Part Number]:[GQP CAD $]],5,0)</f>
        <v>43.28</v>
      </c>
      <c r="I129" s="74">
        <f t="shared" si="3"/>
        <v>216.4</v>
      </c>
    </row>
    <row r="130" spans="2:9" x14ac:dyDescent="0.25">
      <c r="B130" s="71" t="s">
        <v>150</v>
      </c>
      <c r="C130" s="67" t="str">
        <f>VLOOKUP(B130,[1]!Table3[[Part Number]:[Make and Model]],2,0)</f>
        <v xml:space="preserve">CAT 561N (CPH) CAT 561N (CPH) (2) CAT 561N (CPH) (3) CAT 561N (CPH) (4) CAT 561N (CPH) (5)                                    </v>
      </c>
      <c r="D130" s="67" t="str">
        <f>VLOOKUP(B130,[1]!Table3[[Part Number]:[Part Description]],3,0)</f>
        <v>FUEL WATER SEPARATOR FILTER</v>
      </c>
      <c r="E130" s="68">
        <f>VLOOKUP(B130,[1]!Table3[[Part Number]:[Annual]],11,0)</f>
        <v>25</v>
      </c>
      <c r="F130" s="69">
        <f>VLOOKUP(B130,[1]!Table3[[Part Number]:[OEM CAD $]],4,0)</f>
        <v>60.23</v>
      </c>
      <c r="G130" s="70">
        <f t="shared" si="4"/>
        <v>1505.75</v>
      </c>
      <c r="H130" s="70">
        <f>VLOOKUP(B130,[1]!Table3[[Part Number]:[GQP CAD $]],5,0)</f>
        <v>22.89</v>
      </c>
      <c r="I130" s="74">
        <f t="shared" si="3"/>
        <v>572.25</v>
      </c>
    </row>
    <row r="131" spans="2:9" x14ac:dyDescent="0.25">
      <c r="B131" s="71" t="s">
        <v>151</v>
      </c>
      <c r="C131" s="67" t="str">
        <f>VLOOKUP(B131,[1]!Table3[[Part Number]:[Make and Model]],2,0)</f>
        <v xml:space="preserve">CAT 303.5E                                            </v>
      </c>
      <c r="D131" s="67" t="str">
        <f>VLOOKUP(B131,[1]!Table3[[Part Number]:[Part Description]],3,0)</f>
        <v xml:space="preserve">FUEL WATER SEPARATOR </v>
      </c>
      <c r="E131" s="68">
        <f>VLOOKUP(B131,[1]!Table3[[Part Number]:[Annual]],11,0)</f>
        <v>5</v>
      </c>
      <c r="F131" s="69">
        <f>VLOOKUP(B131,[1]!Table3[[Part Number]:[OEM CAD $]],4,0)</f>
        <v>57.5</v>
      </c>
      <c r="G131" s="70">
        <f t="shared" si="4"/>
        <v>287.5</v>
      </c>
      <c r="H131" s="70">
        <f>VLOOKUP(B131,[1]!Table3[[Part Number]:[GQP CAD $]],5,0)</f>
        <v>21.85</v>
      </c>
      <c r="I131" s="74">
        <f t="shared" si="3"/>
        <v>109.25</v>
      </c>
    </row>
    <row r="132" spans="2:9" x14ac:dyDescent="0.25">
      <c r="B132" s="71" t="s">
        <v>152</v>
      </c>
      <c r="C132" s="67" t="str">
        <f>VLOOKUP(B132,[1]!Table3[[Part Number]:[Make and Model]],2,0)</f>
        <v xml:space="preserve">CAT D3 (1PJ)                                            </v>
      </c>
      <c r="D132" s="67" t="str">
        <f>VLOOKUP(B132,[1]!Table3[[Part Number]:[Part Description]],3,0)</f>
        <v>ENGINE OIL FILTER</v>
      </c>
      <c r="E132" s="68">
        <f>VLOOKUP(B132,[1]!Table3[[Part Number]:[Annual]],11,0)</f>
        <v>5</v>
      </c>
      <c r="F132" s="69">
        <f>VLOOKUP(B132,[1]!Table3[[Part Number]:[OEM CAD $]],4,0)</f>
        <v>27.68</v>
      </c>
      <c r="G132" s="70">
        <f t="shared" si="4"/>
        <v>138.4</v>
      </c>
      <c r="H132" s="70">
        <f>VLOOKUP(B132,[1]!Table3[[Part Number]:[GQP CAD $]],5,0)</f>
        <v>10.52</v>
      </c>
      <c r="I132" s="74">
        <f t="shared" si="3"/>
        <v>52.6</v>
      </c>
    </row>
    <row r="133" spans="2:9" x14ac:dyDescent="0.25">
      <c r="B133" s="71" t="s">
        <v>153</v>
      </c>
      <c r="C133" s="67" t="str">
        <f>VLOOKUP(B133,[1]!Table3[[Part Number]:[Make and Model]],2,0)</f>
        <v xml:space="preserve">CAT 561N (CPH) CAT 561N (CPH) (2) CAT 561N (CPH) (3) CAT 561N (CPH) (4) CAT 561N (CPH) (5)                                    </v>
      </c>
      <c r="D133" s="67" t="str">
        <f>VLOOKUP(B133,[1]!Table3[[Part Number]:[Part Description]],3,0)</f>
        <v>FUEL FILTER</v>
      </c>
      <c r="E133" s="68">
        <f>VLOOKUP(B133,[1]!Table3[[Part Number]:[Annual]],11,0)</f>
        <v>50</v>
      </c>
      <c r="F133" s="69">
        <f>VLOOKUP(B133,[1]!Table3[[Part Number]:[OEM CAD $]],4,0)</f>
        <v>51.52</v>
      </c>
      <c r="G133" s="70">
        <f t="shared" si="4"/>
        <v>2576</v>
      </c>
      <c r="H133" s="70">
        <f>VLOOKUP(B133,[1]!Table3[[Part Number]:[GQP CAD $]],5,0)</f>
        <v>19.579999999999998</v>
      </c>
      <c r="I133" s="74">
        <f t="shared" si="3"/>
        <v>979</v>
      </c>
    </row>
    <row r="134" spans="2:9" x14ac:dyDescent="0.25">
      <c r="B134" s="71" t="s">
        <v>36</v>
      </c>
      <c r="C134" s="67" t="str">
        <f>VLOOKUP(B134,[1]!Table3[[Part Number]:[Make and Model]],2,0)</f>
        <v xml:space="preserve">CAT 336F L (RKB) CAT D6 (RDC) CAT D6T (MH7)                                        </v>
      </c>
      <c r="D134" s="67" t="str">
        <f>VLOOKUP(B134,[1]!Table3[[Part Number]:[Part Description]],3,0)</f>
        <v xml:space="preserve">FUEL FILTER </v>
      </c>
      <c r="E134" s="68">
        <f>VLOOKUP(B134,[1]!Table3[[Part Number]:[Annual]],11,0)</f>
        <v>30</v>
      </c>
      <c r="F134" s="69">
        <f>VLOOKUP(B134,[1]!Table3[[Part Number]:[OEM CAD $]],4,0)</f>
        <v>51.52</v>
      </c>
      <c r="G134" s="70">
        <f t="shared" si="4"/>
        <v>1545.6000000000001</v>
      </c>
      <c r="H134" s="70">
        <f>VLOOKUP(B134,[1]!Table3[[Part Number]:[GQP CAD $]],5,0)</f>
        <v>19.579999999999998</v>
      </c>
      <c r="I134" s="74">
        <f t="shared" si="3"/>
        <v>587.4</v>
      </c>
    </row>
    <row r="135" spans="2:9" x14ac:dyDescent="0.25">
      <c r="B135" s="71" t="s">
        <v>154</v>
      </c>
      <c r="C135" s="67" t="str">
        <f>VLOOKUP(B135,[1]!Table3[[Part Number]:[Make and Model]],2,0)</f>
        <v xml:space="preserve">CAT D4 (66J)                                            </v>
      </c>
      <c r="D135" s="67" t="str">
        <f>VLOOKUP(B135,[1]!Table3[[Part Number]:[Part Description]],3,0)</f>
        <v>SECONDARY FUEL FILTER</v>
      </c>
      <c r="E135" s="68">
        <f>VLOOKUP(B135,[1]!Table3[[Part Number]:[Annual]],11,0)</f>
        <v>5</v>
      </c>
      <c r="F135" s="69">
        <f>VLOOKUP(B135,[1]!Table3[[Part Number]:[OEM CAD $]],4,0)</f>
        <v>42.69</v>
      </c>
      <c r="G135" s="70">
        <f t="shared" si="4"/>
        <v>213.45</v>
      </c>
      <c r="H135" s="70">
        <f>VLOOKUP(B135,[1]!Table3[[Part Number]:[GQP CAD $]],5,0)</f>
        <v>16.22</v>
      </c>
      <c r="I135" s="74">
        <f t="shared" si="3"/>
        <v>81.099999999999994</v>
      </c>
    </row>
    <row r="136" spans="2:9" x14ac:dyDescent="0.25">
      <c r="B136" s="71" t="s">
        <v>39</v>
      </c>
      <c r="C136" s="67" t="str">
        <f>VLOOKUP(B136,[1]!Table3[[Part Number]:[Make and Model]],2,0)</f>
        <v xml:space="preserve">CAT D3 (1PJ) CAT D7G (92V) CAT D7G (3ZD) CAT D7G (3ZD) (2) CAT 561 (85H) CAT 561 (92J) CAT 561 (92J) (2)                                </v>
      </c>
      <c r="D136" s="67" t="str">
        <f>VLOOKUP(B136,[1]!Table3[[Part Number]:[Part Description]],3,0)</f>
        <v>FUEL FILTER</v>
      </c>
      <c r="E136" s="68">
        <f>VLOOKUP(B136,[1]!Table3[[Part Number]:[Annual]],11,0)</f>
        <v>35</v>
      </c>
      <c r="F136" s="69">
        <f>VLOOKUP(B136,[1]!Table3[[Part Number]:[OEM CAD $]],4,0)</f>
        <v>42.69</v>
      </c>
      <c r="G136" s="70">
        <f t="shared" si="4"/>
        <v>1494.1499999999999</v>
      </c>
      <c r="H136" s="70">
        <f>VLOOKUP(B136,[1]!Table3[[Part Number]:[GQP CAD $]],5,0)</f>
        <v>16.22</v>
      </c>
      <c r="I136" s="74">
        <f t="shared" si="3"/>
        <v>567.70000000000005</v>
      </c>
    </row>
    <row r="137" spans="2:9" x14ac:dyDescent="0.25">
      <c r="B137" s="71" t="s">
        <v>155</v>
      </c>
      <c r="C137" s="67" t="str">
        <f>VLOOKUP(B137,[1]!Table3[[Part Number]:[Make and Model]],2,0)</f>
        <v xml:space="preserve">CAT D5 (3CR) CAT D5 (3CR) (2) CAT D6N LGP (GHS) CAT 561M (1KW) CAT PL61 (WGS) CAT PL61 (WGS) (2) CAT PL61 (WGS) (3)                                </v>
      </c>
      <c r="D137" s="67" t="str">
        <f>VLOOKUP(B137,[1]!Table3[[Part Number]:[Part Description]],3,0)</f>
        <v>PRIMARY FUEL FILTER</v>
      </c>
      <c r="E137" s="68">
        <f>VLOOKUP(B137,[1]!Table3[[Part Number]:[Annual]],11,0)</f>
        <v>40</v>
      </c>
      <c r="F137" s="69">
        <f>VLOOKUP(B137,[1]!Table3[[Part Number]:[OEM CAD $]],4,0)</f>
        <v>47.05</v>
      </c>
      <c r="G137" s="70">
        <f t="shared" si="4"/>
        <v>1882</v>
      </c>
      <c r="H137" s="70">
        <f>VLOOKUP(B137,[1]!Table3[[Part Number]:[GQP CAD $]],5,0)</f>
        <v>17.88</v>
      </c>
      <c r="I137" s="74">
        <f t="shared" si="3"/>
        <v>715.2</v>
      </c>
    </row>
    <row r="138" spans="2:9" x14ac:dyDescent="0.25">
      <c r="B138" s="71" t="s">
        <v>156</v>
      </c>
      <c r="C138" s="67" t="str">
        <f>VLOOKUP(B138,[1]!Table3[[Part Number]:[Make and Model]],2,0)</f>
        <v xml:space="preserve">CAT D5 (3CR) CAT D5 (3CR) (2)                                          </v>
      </c>
      <c r="D138" s="67" t="str">
        <f>VLOOKUP(B138,[1]!Table3[[Part Number]:[Part Description]],3,0)</f>
        <v>SECONDARY FUEL FILTER</v>
      </c>
      <c r="E138" s="68">
        <f>VLOOKUP(B138,[1]!Table3[[Part Number]:[Annual]],11,0)</f>
        <v>10</v>
      </c>
      <c r="F138" s="69">
        <f>VLOOKUP(B138,[1]!Table3[[Part Number]:[OEM CAD $]],4,0)</f>
        <v>67.900000000000006</v>
      </c>
      <c r="G138" s="70">
        <f t="shared" si="4"/>
        <v>679</v>
      </c>
      <c r="H138" s="70">
        <f>VLOOKUP(B138,[1]!Table3[[Part Number]:[GQP CAD $]],5,0)</f>
        <v>25.8</v>
      </c>
      <c r="I138" s="74">
        <f t="shared" si="3"/>
        <v>258</v>
      </c>
    </row>
    <row r="139" spans="2:9" x14ac:dyDescent="0.25">
      <c r="B139" s="71" t="s">
        <v>157</v>
      </c>
      <c r="C139" s="67" t="str">
        <f>VLOOKUP(B139,[1]!Table3[[Part Number]:[Make and Model]],2,0)</f>
        <v xml:space="preserve">CAT D4 (66J) CAT D5 (3CR) CAT D5 (3CR) (2) CAT 561 (85H) CAT 561 (92J) CAT 561 (92J) (2) CAT 561M (1KW)                                </v>
      </c>
      <c r="D139" s="67" t="str">
        <f>VLOOKUP(B139,[1]!Table3[[Part Number]:[Part Description]],3,0)</f>
        <v>ENGINE OIL FILTER</v>
      </c>
      <c r="E139" s="68">
        <f>VLOOKUP(B139,[1]!Table3[[Part Number]:[Annual]],11,0)</f>
        <v>35</v>
      </c>
      <c r="F139" s="69">
        <f>VLOOKUP(B139,[1]!Table3[[Part Number]:[OEM CAD $]],4,0)</f>
        <v>44.09</v>
      </c>
      <c r="G139" s="70">
        <f t="shared" si="4"/>
        <v>1543.15</v>
      </c>
      <c r="H139" s="70">
        <f>VLOOKUP(B139,[1]!Table3[[Part Number]:[GQP CAD $]],5,0)</f>
        <v>16.75</v>
      </c>
      <c r="I139" s="74">
        <f t="shared" si="3"/>
        <v>586.25</v>
      </c>
    </row>
    <row r="140" spans="2:9" x14ac:dyDescent="0.25">
      <c r="B140" s="71" t="s">
        <v>158</v>
      </c>
      <c r="C140" s="67" t="str">
        <f>VLOOKUP(B140,[1]!Table3[[Part Number]:[Make and Model]],2,0)</f>
        <v xml:space="preserve">CAT 336F L (RKB) CAT D6 (RDC) CAT D6T (MH7)                                        </v>
      </c>
      <c r="D140" s="67" t="str">
        <f>VLOOKUP(B140,[1]!Table3[[Part Number]:[Part Description]],3,0)</f>
        <v>ENGINE OIL FILTER</v>
      </c>
      <c r="E140" s="68">
        <f>VLOOKUP(B140,[1]!Table3[[Part Number]:[Annual]],11,0)</f>
        <v>15</v>
      </c>
      <c r="F140" s="69">
        <f>VLOOKUP(B140,[1]!Table3[[Part Number]:[OEM CAD $]],4,0)</f>
        <v>82.08</v>
      </c>
      <c r="G140" s="70">
        <f t="shared" si="4"/>
        <v>1231.2</v>
      </c>
      <c r="H140" s="70">
        <f>VLOOKUP(B140,[1]!Table3[[Part Number]:[GQP CAD $]],5,0)</f>
        <v>31.19</v>
      </c>
      <c r="I140" s="74">
        <f t="shared" si="3"/>
        <v>467.85</v>
      </c>
    </row>
    <row r="141" spans="2:9" x14ac:dyDescent="0.25">
      <c r="B141" s="71" t="s">
        <v>159</v>
      </c>
      <c r="C141" s="67" t="str">
        <f>VLOOKUP(B141,[1]!Table3[[Part Number]:[Make and Model]],2,0)</f>
        <v xml:space="preserve">CAT D7G (92V) CAT D7G (3ZD) CAT D7G (3ZD) (2)                                        </v>
      </c>
      <c r="D141" s="67" t="str">
        <f>VLOOKUP(B141,[1]!Table3[[Part Number]:[Part Description]],3,0)</f>
        <v>ENGINE OIL FILTER</v>
      </c>
      <c r="E141" s="68">
        <f>VLOOKUP(B141,[1]!Table3[[Part Number]:[Annual]],11,0)</f>
        <v>15</v>
      </c>
      <c r="F141" s="69">
        <f>VLOOKUP(B141,[1]!Table3[[Part Number]:[OEM CAD $]],4,0)</f>
        <v>17.309999999999999</v>
      </c>
      <c r="G141" s="70">
        <f t="shared" si="4"/>
        <v>259.64999999999998</v>
      </c>
      <c r="H141" s="70">
        <f>VLOOKUP(B141,[1]!Table3[[Part Number]:[GQP CAD $]],5,0)</f>
        <v>6.58</v>
      </c>
      <c r="I141" s="74">
        <f t="shared" si="3"/>
        <v>98.7</v>
      </c>
    </row>
    <row r="142" spans="2:9" x14ac:dyDescent="0.25">
      <c r="B142" s="71" t="s">
        <v>160</v>
      </c>
      <c r="C142" s="67" t="str">
        <f>VLOOKUP(B142,[1]!Table3[[Part Number]:[Make and Model]],2,0)</f>
        <v xml:space="preserve">CAT D6N LGP (GHS) CAT PL61 (WGS) CAT PL61 (WGS) (2) CAT PL61 (WGS) (3)                                      </v>
      </c>
      <c r="D142" s="67" t="str">
        <f>VLOOKUP(B142,[1]!Table3[[Part Number]:[Part Description]],3,0)</f>
        <v>PRIMARY FUEL FILTER</v>
      </c>
      <c r="E142" s="68">
        <f>VLOOKUP(B142,[1]!Table3[[Part Number]:[Annual]],11,0)</f>
        <v>20</v>
      </c>
      <c r="F142" s="69">
        <f>VLOOKUP(B142,[1]!Table3[[Part Number]:[OEM CAD $]],4,0)</f>
        <v>62.25</v>
      </c>
      <c r="G142" s="70">
        <f t="shared" si="4"/>
        <v>1245</v>
      </c>
      <c r="H142" s="70">
        <f>VLOOKUP(B142,[1]!Table3[[Part Number]:[GQP CAD $]],5,0)</f>
        <v>23.66</v>
      </c>
      <c r="I142" s="74">
        <f t="shared" si="3"/>
        <v>473.2</v>
      </c>
    </row>
    <row r="143" spans="2:9" x14ac:dyDescent="0.25">
      <c r="B143" s="71" t="s">
        <v>161</v>
      </c>
      <c r="C143" s="67" t="str">
        <f>VLOOKUP(B143,[1]!Table3[[Part Number]:[Make and Model]],2,0)</f>
        <v xml:space="preserve">CAT 330 (WCH) CAT 330 (WCH) (2) CAT 330 (WCH) (3) CAT 330 (WCH) (4) CAT 330 (WCH) (5) CAT 330 (WCH) (6)                                  </v>
      </c>
      <c r="D143" s="67" t="str">
        <f>VLOOKUP(B143,[1]!Table3[[Part Number]:[Part Description]],3,0)</f>
        <v>ENGINE OIL FILTER ELEMENT</v>
      </c>
      <c r="E143" s="68">
        <f>VLOOKUP(B143,[1]!Table3[[Part Number]:[Annual]],11,0)</f>
        <v>30</v>
      </c>
      <c r="F143" s="69">
        <f>VLOOKUP(B143,[1]!Table3[[Part Number]:[OEM CAD $]],4,0)</f>
        <v>44.15</v>
      </c>
      <c r="G143" s="70">
        <f t="shared" si="4"/>
        <v>1324.5</v>
      </c>
      <c r="H143" s="70">
        <f>VLOOKUP(B143,[1]!Table3[[Part Number]:[GQP CAD $]],5,0)</f>
        <v>16.78</v>
      </c>
      <c r="I143" s="74">
        <f t="shared" ref="I143:I206" si="5">ROUND(E143*H143,2)</f>
        <v>503.4</v>
      </c>
    </row>
    <row r="144" spans="2:9" x14ac:dyDescent="0.25">
      <c r="B144" s="71" t="s">
        <v>162</v>
      </c>
      <c r="C144" s="67" t="str">
        <f>VLOOKUP(B144,[1]!Table3[[Part Number]:[Make and Model]],2,0)</f>
        <v xml:space="preserve">CAT 320E L (WBK) CAT 320E L (WBK) (2) CAT 320F L (YBM) CAT 320 (HEX) CAT 320 (MYK) CAT 320 (MYK) (2) CAT 329E L (ZCD) CAT 329F L (ERL) CAT 329F L (ERL) (2) CAT 330F L (MBX) CAT 330F L (HCK) CAT 330F L (HCK) (2) CAT 330 (LHW) CAT 330 (LHW) (2) CAT 330 (LHW) (3) CAT 330 (LHW) (4)              </v>
      </c>
      <c r="D144" s="67" t="str">
        <f>VLOOKUP(B144,[1]!Table3[[Part Number]:[Part Description]],3,0)</f>
        <v xml:space="preserve">ENGINE OIL FILTER ELEMENT </v>
      </c>
      <c r="E144" s="68">
        <f>VLOOKUP(B144,[1]!Table3[[Part Number]:[Annual]],11,0)</f>
        <v>76</v>
      </c>
      <c r="F144" s="69">
        <f>VLOOKUP(B144,[1]!Table3[[Part Number]:[OEM CAD $]],4,0)</f>
        <v>44.15</v>
      </c>
      <c r="G144" s="70">
        <f t="shared" si="4"/>
        <v>3355.4</v>
      </c>
      <c r="H144" s="70">
        <f>VLOOKUP(B144,[1]!Table3[[Part Number]:[GQP CAD $]],5,0)</f>
        <v>16.78</v>
      </c>
      <c r="I144" s="74">
        <f t="shared" si="5"/>
        <v>1275.28</v>
      </c>
    </row>
    <row r="145" spans="2:9" x14ac:dyDescent="0.25">
      <c r="B145" s="71" t="s">
        <v>163</v>
      </c>
      <c r="C145" s="67" t="str">
        <f>VLOOKUP(B145,[1]!Table3[[Part Number]:[Make and Model]],2,0)</f>
        <v xml:space="preserve">CAT 336F L (RKB) CAT D6 (RDC) CAT D6T (MH7)                                        </v>
      </c>
      <c r="D145" s="67" t="str">
        <f>VLOOKUP(B145,[1]!Table3[[Part Number]:[Part Description]],3,0)</f>
        <v xml:space="preserve">FUEL WATER SEPARATOR </v>
      </c>
      <c r="E145" s="68">
        <f>VLOOKUP(B145,[1]!Table3[[Part Number]:[Annual]],11,0)</f>
        <v>15</v>
      </c>
      <c r="F145" s="69">
        <f>VLOOKUP(B145,[1]!Table3[[Part Number]:[OEM CAD $]],4,0)</f>
        <v>104.86</v>
      </c>
      <c r="G145" s="70">
        <f t="shared" ref="G145:G208" si="6">E145*F145</f>
        <v>1572.9</v>
      </c>
      <c r="H145" s="70">
        <f>VLOOKUP(B145,[1]!Table3[[Part Number]:[GQP CAD $]],5,0)</f>
        <v>39.85</v>
      </c>
      <c r="I145" s="74">
        <f t="shared" si="5"/>
        <v>597.75</v>
      </c>
    </row>
    <row r="146" spans="2:9" x14ac:dyDescent="0.25">
      <c r="B146" s="71" t="s">
        <v>37</v>
      </c>
      <c r="C146" s="67" t="str">
        <f>VLOOKUP(B146,[1]!Table3[[Part Number]:[Make and Model]],2,0)</f>
        <v xml:space="preserve">CAT D6N LGP (GHS)                                            </v>
      </c>
      <c r="D146" s="67" t="str">
        <f>VLOOKUP(B146,[1]!Table3[[Part Number]:[Part Description]],3,0)</f>
        <v>FUEL WATER SEPARATOR **VERIFY**</v>
      </c>
      <c r="E146" s="68">
        <f>VLOOKUP(B146,[1]!Table3[[Part Number]:[Annual]],11,0)</f>
        <v>5</v>
      </c>
      <c r="F146" s="69">
        <f>VLOOKUP(B146,[1]!Table3[[Part Number]:[OEM CAD $]],4,0)</f>
        <v>85.6</v>
      </c>
      <c r="G146" s="70">
        <f t="shared" si="6"/>
        <v>428</v>
      </c>
      <c r="H146" s="70">
        <f>VLOOKUP(B146,[1]!Table3[[Part Number]:[GQP CAD $]],5,0)</f>
        <v>32.53</v>
      </c>
      <c r="I146" s="74">
        <f t="shared" si="5"/>
        <v>162.65</v>
      </c>
    </row>
    <row r="147" spans="2:9" x14ac:dyDescent="0.25">
      <c r="B147" s="71" t="s">
        <v>164</v>
      </c>
      <c r="C147" s="67" t="str">
        <f>VLOOKUP(B147,[1]!Table3[[Part Number]:[Make and Model]],2,0)</f>
        <v xml:space="preserve">CAT 320E L (WBK) CAT 320E L (WBK) (2) CAT 320F L (YBM) CAT 329E L (ZCD) CAT 329F L (ERL) CAT 329F L (ERL) (2) CAT 330F L (MBX) CAT 330F L (HCK) CAT 330F L (HCK) (2) CAT D6N LGP (PBA) CAT D6N LGP (PBA) (2) CAT D6N LGP (SGG) CAT D6N LGP (SGG) (2)                    </v>
      </c>
      <c r="D147" s="67" t="str">
        <f>VLOOKUP(B147,[1]!Table3[[Part Number]:[Part Description]],3,0)</f>
        <v>FUEL FILTER ELEMENT</v>
      </c>
      <c r="E147" s="68">
        <f>VLOOKUP(B147,[1]!Table3[[Part Number]:[Annual]],11,0)</f>
        <v>75</v>
      </c>
      <c r="F147" s="69">
        <f>VLOOKUP(B147,[1]!Table3[[Part Number]:[OEM CAD $]],4,0)</f>
        <v>51.88</v>
      </c>
      <c r="G147" s="70">
        <f t="shared" si="6"/>
        <v>3891</v>
      </c>
      <c r="H147" s="70">
        <f>VLOOKUP(B147,[1]!Table3[[Part Number]:[GQP CAD $]],5,0)</f>
        <v>19.71</v>
      </c>
      <c r="I147" s="74">
        <f t="shared" si="5"/>
        <v>1478.25</v>
      </c>
    </row>
    <row r="148" spans="2:9" x14ac:dyDescent="0.25">
      <c r="B148" s="71" t="s">
        <v>165</v>
      </c>
      <c r="C148" s="67" t="str">
        <f>VLOOKUP(B148,[1]!Table3[[Part Number]:[Make and Model]],2,0)</f>
        <v xml:space="preserve">CAT 299D (DX2)                                            </v>
      </c>
      <c r="D148" s="67" t="str">
        <f>VLOOKUP(B148,[1]!Table3[[Part Number]:[Part Description]],3,0)</f>
        <v>FUEL WATER SEPARATOR FILTER</v>
      </c>
      <c r="E148" s="68">
        <f>VLOOKUP(B148,[1]!Table3[[Part Number]:[Annual]],11,0)</f>
        <v>5</v>
      </c>
      <c r="F148" s="69">
        <f>VLOOKUP(B148,[1]!Table3[[Part Number]:[OEM CAD $]],4,0)</f>
        <v>42.6</v>
      </c>
      <c r="G148" s="70">
        <f t="shared" si="6"/>
        <v>213</v>
      </c>
      <c r="H148" s="70">
        <f>VLOOKUP(B148,[1]!Table3[[Part Number]:[GQP CAD $]],5,0)</f>
        <v>16.190000000000001</v>
      </c>
      <c r="I148" s="74">
        <f t="shared" si="5"/>
        <v>80.95</v>
      </c>
    </row>
    <row r="149" spans="2:9" x14ac:dyDescent="0.25">
      <c r="B149" s="71" t="s">
        <v>166</v>
      </c>
      <c r="C149" s="67" t="str">
        <f>VLOOKUP(B149,[1]!Table3[[Part Number]:[Make and Model]],2,0)</f>
        <v xml:space="preserve">CAT 303.5E CAT 299D (DX2)                                          </v>
      </c>
      <c r="D149" s="67" t="str">
        <f>VLOOKUP(B149,[1]!Table3[[Part Number]:[Part Description]],3,0)</f>
        <v>ENGINE OIL FILTER</v>
      </c>
      <c r="E149" s="68">
        <f>VLOOKUP(B149,[1]!Table3[[Part Number]:[Annual]],11,0)</f>
        <v>10</v>
      </c>
      <c r="F149" s="69">
        <f>VLOOKUP(B149,[1]!Table3[[Part Number]:[OEM CAD $]],4,0)</f>
        <v>40.69</v>
      </c>
      <c r="G149" s="70">
        <f t="shared" si="6"/>
        <v>406.9</v>
      </c>
      <c r="H149" s="70">
        <f>VLOOKUP(B149,[1]!Table3[[Part Number]:[GQP CAD $]],5,0)</f>
        <v>15.46</v>
      </c>
      <c r="I149" s="74">
        <f t="shared" si="5"/>
        <v>154.6</v>
      </c>
    </row>
    <row r="150" spans="2:9" x14ac:dyDescent="0.25">
      <c r="B150" s="71" t="s">
        <v>166</v>
      </c>
      <c r="C150" s="67" t="str">
        <f>VLOOKUP(B150,[1]!Table3[[Part Number]:[Make and Model]],2,0)</f>
        <v xml:space="preserve">CAT 303.5E CAT 299D (DX2)                                          </v>
      </c>
      <c r="D150" s="67" t="str">
        <f>VLOOKUP(B150,[1]!Table3[[Part Number]:[Part Description]],3,0)</f>
        <v>ENGINE OIL FILTER</v>
      </c>
      <c r="E150" s="68">
        <f>VLOOKUP(B150,[1]!Table3[[Part Number]:[Annual]],11,0)</f>
        <v>10</v>
      </c>
      <c r="F150" s="69">
        <f>VLOOKUP(B150,[1]!Table3[[Part Number]:[OEM CAD $]],4,0)</f>
        <v>40.69</v>
      </c>
      <c r="G150" s="70">
        <f t="shared" si="6"/>
        <v>406.9</v>
      </c>
      <c r="H150" s="70">
        <f>VLOOKUP(B150,[1]!Table3[[Part Number]:[GQP CAD $]],5,0)</f>
        <v>15.46</v>
      </c>
      <c r="I150" s="74">
        <f t="shared" si="5"/>
        <v>154.6</v>
      </c>
    </row>
    <row r="151" spans="2:9" x14ac:dyDescent="0.25">
      <c r="B151" s="71" t="s">
        <v>47</v>
      </c>
      <c r="C151" s="67" t="str">
        <f>VLOOKUP(B151,[1]!Table3[[Part Number]:[Make and Model]],2,0)</f>
        <v xml:space="preserve">CAT D6N LGP (GHS) CAT D6N LGP (PBA) CAT D6N LGP (PBA) (2) CAT D6N LGP (SGG) CAT D6N LGP (SGG) (2)                                    </v>
      </c>
      <c r="D151" s="67" t="str">
        <f>VLOOKUP(B151,[1]!Table3[[Part Number]:[Part Description]],3,0)</f>
        <v>ENGINE OIL FILTER</v>
      </c>
      <c r="E151" s="68">
        <f>VLOOKUP(B151,[1]!Table3[[Part Number]:[Annual]],11,0)</f>
        <v>25</v>
      </c>
      <c r="F151" s="69">
        <f>VLOOKUP(B151,[1]!Table3[[Part Number]:[OEM CAD $]],4,0)</f>
        <v>36.51</v>
      </c>
      <c r="G151" s="70">
        <f t="shared" si="6"/>
        <v>912.75</v>
      </c>
      <c r="H151" s="70">
        <f>VLOOKUP(B151,[1]!Table3[[Part Number]:[GQP CAD $]],5,0)</f>
        <v>13.87</v>
      </c>
      <c r="I151" s="74">
        <f t="shared" si="5"/>
        <v>346.75</v>
      </c>
    </row>
    <row r="152" spans="2:9" x14ac:dyDescent="0.25">
      <c r="B152" s="71" t="s">
        <v>167</v>
      </c>
      <c r="C152" s="67" t="str">
        <f>VLOOKUP(B152,[1]!Table3[[Part Number]:[Make and Model]],2,0)</f>
        <v xml:space="preserve">CAT 320E L (WBK) CAT 320E L (WBK) (2) CAT 320F L (YBM) CAT 329E L (ZCD) CAT 329F L (ERL) CAT 329F L (ERL) (2) CAT 330F L (MBX) CAT 330F L (HCK) CAT 330F L (HCK) (2) CAT D6N LGP (PBA) CAT D6N LGP (PBA) (2) CAT D6N LGP (SGG) CAT D6N LGP (SGG) (2)                    </v>
      </c>
      <c r="D152" s="67" t="str">
        <f>VLOOKUP(B152,[1]!Table3[[Part Number]:[Part Description]],3,0)</f>
        <v>FUEL WATER SEPARATOR</v>
      </c>
      <c r="E152" s="68">
        <f>VLOOKUP(B152,[1]!Table3[[Part Number]:[Annual]],11,0)</f>
        <v>70</v>
      </c>
      <c r="F152" s="69">
        <f>VLOOKUP(B152,[1]!Table3[[Part Number]:[OEM CAD $]],4,0)</f>
        <v>78.87</v>
      </c>
      <c r="G152" s="70">
        <f t="shared" si="6"/>
        <v>5520.9000000000005</v>
      </c>
      <c r="H152" s="70">
        <f>VLOOKUP(B152,[1]!Table3[[Part Number]:[GQP CAD $]],5,0)</f>
        <v>29.97</v>
      </c>
      <c r="I152" s="74">
        <f t="shared" si="5"/>
        <v>2097.9</v>
      </c>
    </row>
    <row r="153" spans="2:9" x14ac:dyDescent="0.25">
      <c r="B153" s="71" t="s">
        <v>168</v>
      </c>
      <c r="C153" s="67" t="str">
        <f>VLOOKUP(B153,[1]!Table3[[Part Number]:[Make and Model]],2,0)</f>
        <v xml:space="preserve">CAT 561N (CPH) CAT 561N (CPH) (2) CAT 561N (CPH) (3) CAT 561N (CPH) (4) CAT 561N (CPH) (5) CAT PL61 (WGS) CAT PL61 (WGS) (2) CAT PL61 (WGS) (3)                              </v>
      </c>
      <c r="D153" s="67" t="str">
        <f>VLOOKUP(B153,[1]!Table3[[Part Number]:[Part Description]],3,0)</f>
        <v>ENGINE OIL FILTER</v>
      </c>
      <c r="E153" s="68">
        <f>VLOOKUP(B153,[1]!Table3[[Part Number]:[Annual]],11,0)</f>
        <v>40</v>
      </c>
      <c r="F153" s="69">
        <f>VLOOKUP(B153,[1]!Table3[[Part Number]:[OEM CAD $]],4,0)</f>
        <v>78</v>
      </c>
      <c r="G153" s="70">
        <f t="shared" si="6"/>
        <v>3120</v>
      </c>
      <c r="H153" s="70">
        <f>VLOOKUP(B153,[1]!Table3[[Part Number]:[GQP CAD $]],5,0)</f>
        <v>29.64</v>
      </c>
      <c r="I153" s="74">
        <f t="shared" si="5"/>
        <v>1185.5999999999999</v>
      </c>
    </row>
    <row r="154" spans="2:9" x14ac:dyDescent="0.25">
      <c r="B154" s="71" t="s">
        <v>169</v>
      </c>
      <c r="C154" s="67" t="str">
        <f>VLOOKUP(B154,[1]!Table3[[Part Number]:[Make and Model]],2,0)</f>
        <v xml:space="preserve">CAT 320 (HEX) CAT 320 (MYK) CAT 320 (MYK) (2) CAT 330 (LHW) CAT 330 (LHW) (2) CAT 330 (LHW) (3) CAT 330 (LHW) (4) CAT 330 (WCH) CAT 330 (WCH) (2) CAT 330 (WCH) (3) CAT 330 (WCH) (4) CAT 330 (WCH) (5) CAT 330 (WCH) (6)                    </v>
      </c>
      <c r="D154" s="67" t="str">
        <f>VLOOKUP(B154,[1]!Table3[[Part Number]:[Part Description]],3,0)</f>
        <v>SECONDARY FUEL FILTER ELEMENT</v>
      </c>
      <c r="E154" s="68">
        <f>VLOOKUP(B154,[1]!Table3[[Part Number]:[Annual]],11,0)</f>
        <v>65</v>
      </c>
      <c r="F154" s="69">
        <f>VLOOKUP(B154,[1]!Table3[[Part Number]:[OEM CAD $]],4,0)</f>
        <v>66.94</v>
      </c>
      <c r="G154" s="70">
        <f t="shared" si="6"/>
        <v>4351.0999999999995</v>
      </c>
      <c r="H154" s="70">
        <f>VLOOKUP(B154,[1]!Table3[[Part Number]:[GQP CAD $]],5,0)</f>
        <v>25.44</v>
      </c>
      <c r="I154" s="74">
        <f t="shared" si="5"/>
        <v>1653.6</v>
      </c>
    </row>
    <row r="155" spans="2:9" x14ac:dyDescent="0.25">
      <c r="B155" s="71" t="s">
        <v>170</v>
      </c>
      <c r="C155" s="67" t="str">
        <f>VLOOKUP(B155,[1]!Table3[[Part Number]:[Make and Model]],2,0)</f>
        <v xml:space="preserve">CAT D7G (92V) CAT D7G (3ZD) CAT D7G (3ZD) (2)                                        </v>
      </c>
      <c r="D155" s="67" t="str">
        <f>VLOOKUP(B155,[1]!Table3[[Part Number]:[Part Description]],3,0)</f>
        <v>FUEL WATER SEPARATOR FILTER</v>
      </c>
      <c r="E155" s="68">
        <f>VLOOKUP(B155,[1]!Table3[[Part Number]:[Annual]],11,0)</f>
        <v>15</v>
      </c>
      <c r="F155" s="69">
        <f>VLOOKUP(B155,[1]!Table3[[Part Number]:[OEM CAD $]],4,0)</f>
        <v>104</v>
      </c>
      <c r="G155" s="70">
        <f t="shared" si="6"/>
        <v>1560</v>
      </c>
      <c r="H155" s="70">
        <f>VLOOKUP(B155,[1]!Table3[[Part Number]:[GQP CAD $]],5,0)</f>
        <v>39.520000000000003</v>
      </c>
      <c r="I155" s="74">
        <f t="shared" si="5"/>
        <v>592.79999999999995</v>
      </c>
    </row>
    <row r="156" spans="2:9" x14ac:dyDescent="0.25">
      <c r="B156" s="71" t="s">
        <v>171</v>
      </c>
      <c r="C156" s="67" t="str">
        <f>VLOOKUP(B156,[1]!Table3[[Part Number]:[Make and Model]],2,0)</f>
        <v xml:space="preserve">CAT 320 (HEX) CAT 320 (MYK) CAT 320 (MYK) (2) CAT 330 (LHW) CAT 330 (LHW) (2) CAT 330 (LHW) (3) CAT 330 (LHW) (4) CAT 330 (WCH) CAT 330 (WCH) (2) CAT 330 (WCH) (3) CAT 330 (WCH) (4) CAT 330 (WCH) (5) CAT 330 (WCH) (6)                    </v>
      </c>
      <c r="D156" s="67" t="str">
        <f>VLOOKUP(B156,[1]!Table3[[Part Number]:[Part Description]],3,0)</f>
        <v>FUEL WATER SEPARATOR ELEMENT</v>
      </c>
      <c r="E156" s="68">
        <f>VLOOKUP(B156,[1]!Table3[[Part Number]:[Annual]],11,0)</f>
        <v>65</v>
      </c>
      <c r="F156" s="69">
        <f>VLOOKUP(B156,[1]!Table3[[Part Number]:[OEM CAD $]],4,0)</f>
        <v>95.91</v>
      </c>
      <c r="G156" s="70">
        <f t="shared" si="6"/>
        <v>6234.15</v>
      </c>
      <c r="H156" s="70">
        <f>VLOOKUP(B156,[1]!Table3[[Part Number]:[GQP CAD $]],5,0)</f>
        <v>36.450000000000003</v>
      </c>
      <c r="I156" s="74">
        <f t="shared" si="5"/>
        <v>2369.25</v>
      </c>
    </row>
    <row r="157" spans="2:9" x14ac:dyDescent="0.25">
      <c r="B157" s="71" t="s">
        <v>172</v>
      </c>
      <c r="C157" s="67" t="str">
        <f>VLOOKUP(B157,[1]!Table3[[Part Number]:[Make and Model]],2,0)</f>
        <v xml:space="preserve">CAT D6N LGP (SGG) CAT D6N LGP (SGG) (2)                                          </v>
      </c>
      <c r="D157" s="67" t="str">
        <f>VLOOKUP(B157,[1]!Table3[[Part Number]:[Part Description]],3,0)</f>
        <v>IN-LINE FUEL FILTER</v>
      </c>
      <c r="E157" s="68">
        <f>VLOOKUP(B157,[1]!Table3[[Part Number]:[Annual]],11,0)</f>
        <v>10</v>
      </c>
      <c r="F157" s="69">
        <f>VLOOKUP(B157,[1]!Table3[[Part Number]:[OEM CAD $]],4,0)</f>
        <v>81.27</v>
      </c>
      <c r="G157" s="70">
        <f t="shared" si="6"/>
        <v>812.69999999999993</v>
      </c>
      <c r="H157" s="70">
        <f>VLOOKUP(B157,[1]!Table3[[Part Number]:[GQP CAD $]],5,0)</f>
        <v>30.88</v>
      </c>
      <c r="I157" s="74">
        <f t="shared" si="5"/>
        <v>308.8</v>
      </c>
    </row>
    <row r="158" spans="2:9" x14ac:dyDescent="0.25">
      <c r="B158" s="71" t="s">
        <v>173</v>
      </c>
      <c r="C158" s="67" t="str">
        <f>VLOOKUP(B158,[1]!Table3[[Part Number]:[Make and Model]],2,0)</f>
        <v xml:space="preserve">CAT D7G (92V) CAT D7G (3ZD) CAT D7G (3ZD) (2)                                        </v>
      </c>
      <c r="D158" s="67" t="str">
        <f>VLOOKUP(B158,[1]!Table3[[Part Number]:[Part Description]],3,0)</f>
        <v>FUEL FILTER</v>
      </c>
      <c r="E158" s="68">
        <f>VLOOKUP(B158,[1]!Table3[[Part Number]:[Annual]],11,0)</f>
        <v>15</v>
      </c>
      <c r="F158" s="69">
        <f>VLOOKUP(B158,[1]!Table3[[Part Number]:[OEM CAD $]],4,0)</f>
        <v>43.78</v>
      </c>
      <c r="G158" s="70">
        <f t="shared" si="6"/>
        <v>656.7</v>
      </c>
      <c r="H158" s="70">
        <f>VLOOKUP(B158,[1]!Table3[[Part Number]:[GQP CAD $]],5,0)</f>
        <v>16.64</v>
      </c>
      <c r="I158" s="74">
        <f t="shared" si="5"/>
        <v>249.6</v>
      </c>
    </row>
    <row r="159" spans="2:9" x14ac:dyDescent="0.25">
      <c r="B159" s="71" t="s">
        <v>174</v>
      </c>
      <c r="C159" s="67" t="str">
        <f>VLOOKUP(B159,[1]!Table3[[Part Number]:[Make and Model]],2,0)</f>
        <v xml:space="preserve">CAT D4 (66J)                                            </v>
      </c>
      <c r="D159" s="67" t="str">
        <f>VLOOKUP(B159,[1]!Table3[[Part Number]:[Part Description]],3,0)</f>
        <v>FUEL WATER SEPARATOR</v>
      </c>
      <c r="E159" s="68">
        <f>VLOOKUP(B159,[1]!Table3[[Part Number]:[Annual]],11,0)</f>
        <v>5</v>
      </c>
      <c r="F159" s="69">
        <f>VLOOKUP(B159,[1]!Table3[[Part Number]:[OEM CAD $]],4,0)</f>
        <v>60.68</v>
      </c>
      <c r="G159" s="70">
        <f t="shared" si="6"/>
        <v>303.39999999999998</v>
      </c>
      <c r="H159" s="70">
        <f>VLOOKUP(B159,[1]!Table3[[Part Number]:[GQP CAD $]],5,0)</f>
        <v>23.06</v>
      </c>
      <c r="I159" s="74">
        <f t="shared" si="5"/>
        <v>115.3</v>
      </c>
    </row>
    <row r="160" spans="2:9" x14ac:dyDescent="0.25">
      <c r="B160" s="71" t="s">
        <v>222</v>
      </c>
      <c r="C160" s="67" t="str">
        <f>VLOOKUP(B160,[1]!Table3[[Part Number]:[Make and Model]],2,0)</f>
        <v xml:space="preserve">CAT D3 (1PJ)                                            </v>
      </c>
      <c r="D160" s="67" t="str">
        <f>VLOOKUP(B160,[1]!Table3[[Part Number]:[Part Description]],3,0)</f>
        <v>**FUEL TANK STRAINER**</v>
      </c>
      <c r="E160" s="68">
        <f>VLOOKUP(B160,[1]!Table3[[Part Number]:[Annual]],11,0)</f>
        <v>5</v>
      </c>
      <c r="F160" s="69">
        <f>VLOOKUP(B160,[1]!Table3[[Part Number]:[OEM CAD $]],4,0)</f>
        <v>127.92</v>
      </c>
      <c r="G160" s="70">
        <f t="shared" si="6"/>
        <v>639.6</v>
      </c>
      <c r="H160" s="70">
        <f>VLOOKUP(B160,[1]!Table3[[Part Number]:[GQP CAD $]],5,0)</f>
        <v>48.61</v>
      </c>
      <c r="I160" s="74">
        <f t="shared" si="5"/>
        <v>243.05</v>
      </c>
    </row>
    <row r="161" spans="2:9" x14ac:dyDescent="0.25">
      <c r="B161" s="71">
        <v>7134153</v>
      </c>
      <c r="C161" s="67" t="str">
        <f>VLOOKUP(B161,[1]!Table3[[Part Number]:[Make and Model]],2,0)</f>
        <v xml:space="preserve">BOBCAT S650 (A3N)                                            </v>
      </c>
      <c r="D161" s="67" t="str">
        <f>VLOOKUP(B161,[1]!Table3[[Part Number]:[Part Description]],3,0)</f>
        <v>SPROCKET</v>
      </c>
      <c r="E161" s="68">
        <f>VLOOKUP(B161,[1]!Table3[[Part Number]:[Annual]],11,0)</f>
        <v>4</v>
      </c>
      <c r="F161" s="69">
        <f>VLOOKUP(B161,[1]!Table3[[Part Number]:[OEM CAD $]],4,0)</f>
        <v>873.49</v>
      </c>
      <c r="G161" s="70">
        <f t="shared" si="6"/>
        <v>3493.96</v>
      </c>
      <c r="H161" s="70">
        <f>VLOOKUP(B161,[1]!Table3[[Part Number]:[GQP CAD $]],5,0)</f>
        <v>436.75</v>
      </c>
      <c r="I161" s="74">
        <f t="shared" si="5"/>
        <v>1747</v>
      </c>
    </row>
    <row r="162" spans="2:9" x14ac:dyDescent="0.25">
      <c r="B162" s="71">
        <v>7165107</v>
      </c>
      <c r="C162" s="67" t="str">
        <f>VLOOKUP(B162,[1]!Table3[[Part Number]:[Make and Model]],2,0)</f>
        <v xml:space="preserve">BOBCAT T750 (ANK)                                            </v>
      </c>
      <c r="D162" s="67" t="str">
        <f>VLOOKUP(B162,[1]!Table3[[Part Number]:[Part Description]],3,0)</f>
        <v>SPROCKET</v>
      </c>
      <c r="E162" s="68">
        <f>VLOOKUP(B162,[1]!Table3[[Part Number]:[Annual]],11,0)</f>
        <v>2</v>
      </c>
      <c r="F162" s="69">
        <f>VLOOKUP(B162,[1]!Table3[[Part Number]:[OEM CAD $]],4,0)</f>
        <v>557.49</v>
      </c>
      <c r="G162" s="70">
        <f t="shared" si="6"/>
        <v>1114.98</v>
      </c>
      <c r="H162" s="70">
        <f>VLOOKUP(B162,[1]!Table3[[Part Number]:[GQP CAD $]],5,0)</f>
        <v>278.75</v>
      </c>
      <c r="I162" s="74">
        <f t="shared" si="5"/>
        <v>557.5</v>
      </c>
    </row>
    <row r="163" spans="2:9" x14ac:dyDescent="0.25">
      <c r="B163" s="71">
        <v>7165109</v>
      </c>
      <c r="C163" s="67" t="str">
        <f>VLOOKUP(B163,[1]!Table3[[Part Number]:[Make and Model]],2,0)</f>
        <v xml:space="preserve">BOBCAT T750 (ATF) BOBCAT T770 (AT6) BOBCAT T770 (AT6) (2)                                        </v>
      </c>
      <c r="D163" s="67" t="str">
        <f>VLOOKUP(B163,[1]!Table3[[Part Number]:[Part Description]],3,0)</f>
        <v>SPROCKET</v>
      </c>
      <c r="E163" s="68">
        <f>VLOOKUP(B163,[1]!Table3[[Part Number]:[Annual]],11,0)</f>
        <v>6</v>
      </c>
      <c r="F163" s="69">
        <f>VLOOKUP(B163,[1]!Table3[[Part Number]:[OEM CAD $]],4,0)</f>
        <v>557.49</v>
      </c>
      <c r="G163" s="70">
        <f t="shared" si="6"/>
        <v>3344.94</v>
      </c>
      <c r="H163" s="70">
        <f>VLOOKUP(B163,[1]!Table3[[Part Number]:[GQP CAD $]],5,0)</f>
        <v>278.75</v>
      </c>
      <c r="I163" s="74">
        <f t="shared" si="5"/>
        <v>1672.5</v>
      </c>
    </row>
    <row r="164" spans="2:9" x14ac:dyDescent="0.25">
      <c r="B164" s="71">
        <v>7326129</v>
      </c>
      <c r="C164" s="67" t="str">
        <f>VLOOKUP(B164,[1]!Table3[[Part Number]:[Make and Model]],2,0)</f>
        <v xml:space="preserve">BOBCAT T750 (ANK) BOBCAT T750 (ATF) BOBCAT T770 (AT6) BOBCAT T770 (AT6) (2)                                      </v>
      </c>
      <c r="D164" s="67" t="str">
        <f>VLOOKUP(B164,[1]!Table3[[Part Number]:[Part Description]],3,0)</f>
        <v>80" Bucket - Severe Duty</v>
      </c>
      <c r="E164" s="68">
        <f>VLOOKUP(B164,[1]!Table3[[Part Number]:[Annual]],11,0)</f>
        <v>4</v>
      </c>
      <c r="F164" s="69">
        <f>VLOOKUP(B164,[1]!Table3[[Part Number]:[OEM CAD $]],4,0)</f>
        <v>4132.46</v>
      </c>
      <c r="G164" s="70">
        <f t="shared" si="6"/>
        <v>16529.84</v>
      </c>
      <c r="H164" s="70">
        <f>VLOOKUP(B164,[1]!Table3[[Part Number]:[GQP CAD $]],5,0)</f>
        <v>2066.23</v>
      </c>
      <c r="I164" s="74">
        <f t="shared" si="5"/>
        <v>8264.92</v>
      </c>
    </row>
    <row r="165" spans="2:9" x14ac:dyDescent="0.25">
      <c r="B165" s="71">
        <v>7326130</v>
      </c>
      <c r="C165" s="67" t="str">
        <f>VLOOKUP(B165,[1]!Table3[[Part Number]:[Make and Model]],2,0)</f>
        <v xml:space="preserve">BOBCAT S650 (A3N)                                            </v>
      </c>
      <c r="D165" s="67" t="str">
        <f>VLOOKUP(B165,[1]!Table3[[Part Number]:[Part Description]],3,0)</f>
        <v>74" Bucket</v>
      </c>
      <c r="E165" s="68">
        <f>VLOOKUP(B165,[1]!Table3[[Part Number]:[Annual]],11,0)</f>
        <v>1</v>
      </c>
      <c r="F165" s="69">
        <f>VLOOKUP(B165,[1]!Table3[[Part Number]:[OEM CAD $]],4,0)</f>
        <v>3835</v>
      </c>
      <c r="G165" s="70">
        <f t="shared" si="6"/>
        <v>3835</v>
      </c>
      <c r="H165" s="70">
        <f>VLOOKUP(B165,[1]!Table3[[Part Number]:[GQP CAD $]],5,0)</f>
        <v>1917.5</v>
      </c>
      <c r="I165" s="74">
        <f t="shared" si="5"/>
        <v>1917.5</v>
      </c>
    </row>
    <row r="166" spans="2:9" x14ac:dyDescent="0.25">
      <c r="B166" s="71" t="s">
        <v>175</v>
      </c>
      <c r="C166" s="67" t="str">
        <f>VLOOKUP(B166,[1]!Table3[[Part Number]:[Make and Model]],2,0)</f>
        <v xml:space="preserve">CAT D6N LGP (PBA) CAT D6N LGP (PBA) (2) CAT D6N LGP (SGG) CAT D6N LGP (SGG) (2) CAT D6T (MH7) CAT D7G (92V) CAT D7G (3ZD) CAT D7G (3ZD) (2)                              </v>
      </c>
      <c r="D166" s="67" t="str">
        <f>VLOOKUP(B166,[1]!Table3[[Part Number]:[Part Description]],3,0)</f>
        <v>GROOVED PIN</v>
      </c>
      <c r="E166" s="68">
        <f>VLOOKUP(B166,[1]!Table3[[Part Number]:[Annual]],11,0)</f>
        <v>18</v>
      </c>
      <c r="F166" s="69">
        <f>VLOOKUP(B166,[1]!Table3[[Part Number]:[OEM CAD $]],4,0)</f>
        <v>12.96</v>
      </c>
      <c r="G166" s="70">
        <f t="shared" si="6"/>
        <v>233.28000000000003</v>
      </c>
      <c r="H166" s="70">
        <f>VLOOKUP(B166,[1]!Table3[[Part Number]:[GQP CAD $]],5,0)</f>
        <v>4.92</v>
      </c>
      <c r="I166" s="74">
        <f t="shared" si="5"/>
        <v>88.56</v>
      </c>
    </row>
    <row r="167" spans="2:9" x14ac:dyDescent="0.25">
      <c r="B167" s="71" t="s">
        <v>176</v>
      </c>
      <c r="C167" s="67" t="str">
        <f>VLOOKUP(B167,[1]!Table3[[Part Number]:[Make and Model]],2,0)</f>
        <v xml:space="preserve">CAT D5 (3CR) CAT D5 (3CR) (2) CAT D6N LGP (PBA) CAT D6N LGP (PBA) (2) CAT D6N LGP (SGG) CAT D6N LGP (SGG) (2) CAT D6T (MH7) CAT D7G (92V) CAT D7G (3ZD) CAT D7G (3ZD) (2)                          </v>
      </c>
      <c r="D167" s="67" t="str">
        <f>VLOOKUP(B167,[1]!Table3[[Part Number]:[Part Description]],3,0)</f>
        <v>RETAINER</v>
      </c>
      <c r="E167" s="68">
        <f>VLOOKUP(B167,[1]!Table3[[Part Number]:[Annual]],11,0)</f>
        <v>20</v>
      </c>
      <c r="F167" s="69">
        <f>VLOOKUP(B167,[1]!Table3[[Part Number]:[OEM CAD $]],4,0)</f>
        <v>22.39</v>
      </c>
      <c r="G167" s="70">
        <f t="shared" si="6"/>
        <v>447.8</v>
      </c>
      <c r="H167" s="70">
        <f>VLOOKUP(B167,[1]!Table3[[Part Number]:[GQP CAD $]],5,0)</f>
        <v>8.51</v>
      </c>
      <c r="I167" s="74">
        <f t="shared" si="5"/>
        <v>170.2</v>
      </c>
    </row>
    <row r="168" spans="2:9" x14ac:dyDescent="0.25">
      <c r="B168" s="71" t="s">
        <v>178</v>
      </c>
      <c r="C168" s="67" t="str">
        <f>VLOOKUP(B168,[1]!Table3[[Part Number]:[Make and Model]],2,0)</f>
        <v xml:space="preserve">CAT 299D (DX2)                                            </v>
      </c>
      <c r="D168" s="67" t="str">
        <f>VLOOKUP(B168,[1]!Table3[[Part Number]:[Part Description]],3,0)</f>
        <v>Cutting Edge</v>
      </c>
      <c r="E168" s="68">
        <f>VLOOKUP(B168,[1]!Table3[[Part Number]:[Annual]],11,0)</f>
        <v>1</v>
      </c>
      <c r="F168" s="69">
        <f>VLOOKUP(B168,[1]!Table3[[Part Number]:[OEM CAD $]],4,0)</f>
        <v>284.42</v>
      </c>
      <c r="G168" s="70">
        <f t="shared" si="6"/>
        <v>284.42</v>
      </c>
      <c r="H168" s="70">
        <f>VLOOKUP(B168,[1]!Table3[[Part Number]:[GQP CAD $]],5,0)</f>
        <v>142.21</v>
      </c>
      <c r="I168" s="74">
        <f t="shared" si="5"/>
        <v>142.21</v>
      </c>
    </row>
    <row r="169" spans="2:9" x14ac:dyDescent="0.25">
      <c r="B169" s="71" t="s">
        <v>179</v>
      </c>
      <c r="C169" s="67" t="str">
        <f>VLOOKUP(B169,[1]!Table3[[Part Number]:[Make and Model]],2,0)</f>
        <v xml:space="preserve">CAT D5 (3CR) CAT D5 (3CR) (2)                                          </v>
      </c>
      <c r="D169" s="67" t="str">
        <f>VLOOKUP(B169,[1]!Table3[[Part Number]:[Part Description]],3,0)</f>
        <v>RIPPER PIN</v>
      </c>
      <c r="E169" s="68">
        <f>VLOOKUP(B169,[1]!Table3[[Part Number]:[Annual]],11,0)</f>
        <v>2</v>
      </c>
      <c r="F169" s="69">
        <f>VLOOKUP(B169,[1]!Table3[[Part Number]:[OEM CAD $]],4,0)</f>
        <v>10.35</v>
      </c>
      <c r="G169" s="70">
        <f t="shared" si="6"/>
        <v>20.7</v>
      </c>
      <c r="H169" s="70">
        <f>VLOOKUP(B169,[1]!Table3[[Part Number]:[GQP CAD $]],5,0)</f>
        <v>3.93</v>
      </c>
      <c r="I169" s="74">
        <f t="shared" si="5"/>
        <v>7.86</v>
      </c>
    </row>
    <row r="170" spans="2:9" x14ac:dyDescent="0.25">
      <c r="B170" s="71" t="s">
        <v>280</v>
      </c>
      <c r="C170" s="67" t="str">
        <f>VLOOKUP(B170,[1]!Table3[[Part Number]:[Make and Model]],2,0)</f>
        <v xml:space="preserve">CAT 299D (DX2)                                            </v>
      </c>
      <c r="D170" s="67" t="str">
        <f>VLOOKUP(B170,[1]!Table3[[Part Number]:[Part Description]],3,0)</f>
        <v>Screw - Flat head</v>
      </c>
      <c r="E170" s="68">
        <f>VLOOKUP(B170,[1]!Table3[[Part Number]:[Annual]],11,0)</f>
        <v>11</v>
      </c>
      <c r="F170" s="69">
        <f>VLOOKUP(B170,[1]!Table3[[Part Number]:[OEM CAD $]],4,0)</f>
        <v>4.6500000000000004</v>
      </c>
      <c r="G170" s="70">
        <f t="shared" si="6"/>
        <v>51.150000000000006</v>
      </c>
      <c r="H170" s="70">
        <f>VLOOKUP(B170,[1]!Table3[[Part Number]:[GQP CAD $]],5,0)</f>
        <v>2.33</v>
      </c>
      <c r="I170" s="74">
        <f t="shared" si="5"/>
        <v>25.63</v>
      </c>
    </row>
    <row r="171" spans="2:9" x14ac:dyDescent="0.25">
      <c r="B171" s="71" t="s">
        <v>183</v>
      </c>
      <c r="C171" s="67" t="str">
        <f>VLOOKUP(B171,[1]!Table3[[Part Number]:[Make and Model]],2,0)</f>
        <v xml:space="preserve">CAT D3 (1PJ)                                            </v>
      </c>
      <c r="D171" s="67" t="str">
        <f>VLOOKUP(B171,[1]!Table3[[Part Number]:[Part Description]],3,0)</f>
        <v>TIP SHORT</v>
      </c>
      <c r="E171" s="68">
        <f>VLOOKUP(B171,[1]!Table3[[Part Number]:[Annual]],11,0)</f>
        <v>1</v>
      </c>
      <c r="F171" s="69">
        <f>VLOOKUP(B171,[1]!Table3[[Part Number]:[OEM CAD $]],4,0)</f>
        <v>37.42</v>
      </c>
      <c r="G171" s="70">
        <f t="shared" si="6"/>
        <v>37.42</v>
      </c>
      <c r="H171" s="70">
        <f>VLOOKUP(B171,[1]!Table3[[Part Number]:[GQP CAD $]],5,0)</f>
        <v>14.22</v>
      </c>
      <c r="I171" s="74">
        <f t="shared" si="5"/>
        <v>14.22</v>
      </c>
    </row>
    <row r="172" spans="2:9" x14ac:dyDescent="0.25">
      <c r="B172" s="71" t="s">
        <v>184</v>
      </c>
      <c r="C172" s="67" t="str">
        <f>VLOOKUP(B172,[1]!Table3[[Part Number]:[Make and Model]],2,0)</f>
        <v xml:space="preserve">CAT D6T (MH7)                                            </v>
      </c>
      <c r="D172" s="67" t="str">
        <f>VLOOKUP(B172,[1]!Table3[[Part Number]:[Part Description]],3,0)</f>
        <v>CUTTING EDGE</v>
      </c>
      <c r="E172" s="68">
        <f>VLOOKUP(B172,[1]!Table3[[Part Number]:[Annual]],11,0)</f>
        <v>8</v>
      </c>
      <c r="F172" s="69">
        <f>VLOOKUP(B172,[1]!Table3[[Part Number]:[OEM CAD $]],4,0)</f>
        <v>559.01</v>
      </c>
      <c r="G172" s="70">
        <f t="shared" si="6"/>
        <v>4472.08</v>
      </c>
      <c r="H172" s="70">
        <f>VLOOKUP(B172,[1]!Table3[[Part Number]:[GQP CAD $]],5,0)</f>
        <v>212.42</v>
      </c>
      <c r="I172" s="74">
        <f t="shared" si="5"/>
        <v>1699.36</v>
      </c>
    </row>
    <row r="173" spans="2:9" x14ac:dyDescent="0.25">
      <c r="B173" s="71" t="s">
        <v>42</v>
      </c>
      <c r="C173" s="67" t="str">
        <f>VLOOKUP(B173,[1]!Table3[[Part Number]:[Make and Model]],2,0)</f>
        <v xml:space="preserve">CAT D5 (3CR) CAT D5 (3CR) (2) CAT D6N LGP (GHS) CAT D6N LGP (PBA) CAT D6N LGP (PBA) (2) CAT D6N LGP (SGG) CAT D6N LGP (SGG) (2) CAT D6T (MH7)                              </v>
      </c>
      <c r="D173" s="67" t="str">
        <f>VLOOKUP(B173,[1]!Table3[[Part Number]:[Part Description]],3,0)</f>
        <v xml:space="preserve">HEX NUT </v>
      </c>
      <c r="E173" s="68">
        <f>VLOOKUP(B173,[1]!Table3[[Part Number]:[Annual]],11,0)</f>
        <v>888</v>
      </c>
      <c r="F173" s="69">
        <f>VLOOKUP(B173,[1]!Table3[[Part Number]:[OEM CAD $]],4,0)</f>
        <v>3.65</v>
      </c>
      <c r="G173" s="70">
        <f t="shared" si="6"/>
        <v>3241.2</v>
      </c>
      <c r="H173" s="70">
        <f>VLOOKUP(B173,[1]!Table3[[Part Number]:[GQP CAD $]],5,0)</f>
        <v>1.39</v>
      </c>
      <c r="I173" s="74">
        <f t="shared" si="5"/>
        <v>1234.32</v>
      </c>
    </row>
    <row r="174" spans="2:9" x14ac:dyDescent="0.25">
      <c r="B174" s="71" t="s">
        <v>192</v>
      </c>
      <c r="C174" s="67" t="str">
        <f>VLOOKUP(B174,[1]!Table3[[Part Number]:[Make and Model]],2,0)</f>
        <v xml:space="preserve">CAT D3 (1PJ)                                            </v>
      </c>
      <c r="D174" s="67" t="str">
        <f>VLOOKUP(B174,[1]!Table3[[Part Number]:[Part Description]],3,0)</f>
        <v>COTTER PIN</v>
      </c>
      <c r="E174" s="68">
        <f>VLOOKUP(B174,[1]!Table3[[Part Number]:[Annual]],11,0)</f>
        <v>1</v>
      </c>
      <c r="F174" s="69">
        <f>VLOOKUP(B174,[1]!Table3[[Part Number]:[OEM CAD $]],4,0)</f>
        <v>1.18</v>
      </c>
      <c r="G174" s="70">
        <f t="shared" si="6"/>
        <v>1.18</v>
      </c>
      <c r="H174" s="70">
        <f>VLOOKUP(B174,[1]!Table3[[Part Number]:[GQP CAD $]],5,0)</f>
        <v>0.45</v>
      </c>
      <c r="I174" s="74">
        <f t="shared" si="5"/>
        <v>0.45</v>
      </c>
    </row>
    <row r="175" spans="2:9" x14ac:dyDescent="0.25">
      <c r="B175" s="71" t="s">
        <v>193</v>
      </c>
      <c r="C175" s="67" t="str">
        <f>VLOOKUP(B175,[1]!Table3[[Part Number]:[Make and Model]],2,0)</f>
        <v xml:space="preserve">CAT D6N LGP (PBA) CAT D6N LGP (PBA) (2) CAT D6N LGP (SGG) CAT D6N LGP (SGG) (2) CAT D6T (MH7)                                    </v>
      </c>
      <c r="D175" s="67" t="str">
        <f>VLOOKUP(B175,[1]!Table3[[Part Number]:[Part Description]],3,0)</f>
        <v>COTTER PIN</v>
      </c>
      <c r="E175" s="68">
        <f>VLOOKUP(B175,[1]!Table3[[Part Number]:[Annual]],11,0)</f>
        <v>30</v>
      </c>
      <c r="F175" s="69">
        <f>VLOOKUP(B175,[1]!Table3[[Part Number]:[OEM CAD $]],4,0)</f>
        <v>7.67</v>
      </c>
      <c r="G175" s="70">
        <f t="shared" si="6"/>
        <v>230.1</v>
      </c>
      <c r="H175" s="70">
        <f>VLOOKUP(B175,[1]!Table3[[Part Number]:[GQP CAD $]],5,0)</f>
        <v>2.91</v>
      </c>
      <c r="I175" s="74">
        <f t="shared" si="5"/>
        <v>87.3</v>
      </c>
    </row>
    <row r="176" spans="2:9" x14ac:dyDescent="0.25">
      <c r="B176" s="71" t="s">
        <v>346</v>
      </c>
      <c r="C176" s="67" t="str">
        <f>VLOOKUP(B176,[1]!Table3[[Part Number]:[Make and Model]],2,0)</f>
        <v xml:space="preserve">CAT D3 (1PJ)                                            </v>
      </c>
      <c r="D176" s="67" t="str">
        <f>VLOOKUP(B176,[1]!Table3[[Part Number]:[Part Description]],3,0)</f>
        <v>BOLT</v>
      </c>
      <c r="E176" s="68">
        <f>VLOOKUP(B176,[1]!Table3[[Part Number]:[Annual]],11,0)</f>
        <v>72</v>
      </c>
      <c r="F176" s="69">
        <f>VLOOKUP(B176,[1]!Table3[[Part Number]:[OEM CAD $]],4,0)</f>
        <v>3.22</v>
      </c>
      <c r="G176" s="70">
        <f t="shared" si="6"/>
        <v>231.84</v>
      </c>
      <c r="H176" s="70">
        <f>VLOOKUP(B176,[1]!Table3[[Part Number]:[GQP CAD $]],5,0)</f>
        <v>1.22</v>
      </c>
      <c r="I176" s="74">
        <f t="shared" si="5"/>
        <v>87.84</v>
      </c>
    </row>
    <row r="177" spans="2:9" x14ac:dyDescent="0.25">
      <c r="B177" s="71" t="s">
        <v>194</v>
      </c>
      <c r="C177" s="67" t="str">
        <f>VLOOKUP(B177,[1]!Table3[[Part Number]:[Make and Model]],2,0)</f>
        <v xml:space="preserve">CAT D3 (1PJ)                                            </v>
      </c>
      <c r="D177" s="67" t="str">
        <f>VLOOKUP(B177,[1]!Table3[[Part Number]:[Part Description]],3,0)</f>
        <v>BLADE AS</v>
      </c>
      <c r="E177" s="68">
        <f>VLOOKUP(B177,[1]!Table3[[Part Number]:[Annual]],11,0)</f>
        <v>4</v>
      </c>
      <c r="F177" s="69">
        <f>VLOOKUP(B177,[1]!Table3[[Part Number]:[OEM CAD $]],4,0)</f>
        <v>11144.2</v>
      </c>
      <c r="G177" s="70">
        <f t="shared" si="6"/>
        <v>44576.800000000003</v>
      </c>
      <c r="H177" s="70">
        <f>VLOOKUP(B177,[1]!Table3[[Part Number]:[GQP CAD $]],5,0)</f>
        <v>4234.8</v>
      </c>
      <c r="I177" s="74">
        <f t="shared" si="5"/>
        <v>16939.2</v>
      </c>
    </row>
    <row r="178" spans="2:9" x14ac:dyDescent="0.25">
      <c r="B178" s="71" t="s">
        <v>196</v>
      </c>
      <c r="C178" s="67" t="str">
        <f>VLOOKUP(B178,[1]!Table3[[Part Number]:[Make and Model]],2,0)</f>
        <v xml:space="preserve">CAT 303.5E                                            </v>
      </c>
      <c r="D178" s="67" t="str">
        <f>VLOOKUP(B178,[1]!Table3[[Part Number]:[Part Description]],3,0)</f>
        <v>BLADE - PUSH REPLACMENT WELD ON EDGE</v>
      </c>
      <c r="E178" s="68">
        <f>VLOOKUP(B178,[1]!Table3[[Part Number]:[Annual]],11,0)</f>
        <v>5</v>
      </c>
      <c r="F178" s="69">
        <f>VLOOKUP(B178,[1]!Table3[[Part Number]:[OEM CAD $]],4,0)</f>
        <v>147.55000000000001</v>
      </c>
      <c r="G178" s="70">
        <f t="shared" si="6"/>
        <v>737.75</v>
      </c>
      <c r="H178" s="70">
        <f>VLOOKUP(B178,[1]!Table3[[Part Number]:[GQP CAD $]],5,0)</f>
        <v>56.07</v>
      </c>
      <c r="I178" s="74">
        <f t="shared" si="5"/>
        <v>280.35000000000002</v>
      </c>
    </row>
    <row r="179" spans="2:9" x14ac:dyDescent="0.25">
      <c r="B179" s="71" t="s">
        <v>199</v>
      </c>
      <c r="C179" s="67" t="str">
        <f>VLOOKUP(B179,[1]!Table3[[Part Number]:[Make and Model]],2,0)</f>
        <v xml:space="preserve">CAT D6T (MH7)                                            </v>
      </c>
      <c r="D179" s="67" t="str">
        <f>VLOOKUP(B179,[1]!Table3[[Part Number]:[Part Description]],3,0)</f>
        <v>RIPPER SHANK</v>
      </c>
      <c r="E179" s="68">
        <f>VLOOKUP(B179,[1]!Table3[[Part Number]:[Annual]],11,0)</f>
        <v>3</v>
      </c>
      <c r="F179" s="69">
        <f>VLOOKUP(B179,[1]!Table3[[Part Number]:[OEM CAD $]],4,0)</f>
        <v>2061.73</v>
      </c>
      <c r="G179" s="70">
        <f t="shared" si="6"/>
        <v>6185.1900000000005</v>
      </c>
      <c r="H179" s="70">
        <f>VLOOKUP(B179,[1]!Table3[[Part Number]:[GQP CAD $]],5,0)</f>
        <v>783.46</v>
      </c>
      <c r="I179" s="74">
        <f t="shared" si="5"/>
        <v>2350.38</v>
      </c>
    </row>
    <row r="180" spans="2:9" x14ac:dyDescent="0.25">
      <c r="B180" s="71" t="s">
        <v>369</v>
      </c>
      <c r="C180" s="67" t="str">
        <f>VLOOKUP(B180,[1]!Table3[[Part Number]:[Make and Model]],2,0)</f>
        <v xml:space="preserve">CAT D3 (1PJ)                                            </v>
      </c>
      <c r="D180" s="67" t="str">
        <f>VLOOKUP(B180,[1]!Table3[[Part Number]:[Part Description]],3,0)</f>
        <v>NUT</v>
      </c>
      <c r="E180" s="68">
        <f>VLOOKUP(B180,[1]!Table3[[Part Number]:[Annual]],11,0)</f>
        <v>72</v>
      </c>
      <c r="F180" s="69">
        <f>VLOOKUP(B180,[1]!Table3[[Part Number]:[OEM CAD $]],4,0)</f>
        <v>2.44</v>
      </c>
      <c r="G180" s="70">
        <f t="shared" si="6"/>
        <v>175.68</v>
      </c>
      <c r="H180" s="70">
        <f>VLOOKUP(B180,[1]!Table3[[Part Number]:[GQP CAD $]],5,0)</f>
        <v>0.93</v>
      </c>
      <c r="I180" s="74">
        <f t="shared" si="5"/>
        <v>66.959999999999994</v>
      </c>
    </row>
    <row r="181" spans="2:9" x14ac:dyDescent="0.25">
      <c r="B181" s="71" t="s">
        <v>200</v>
      </c>
      <c r="C181" s="67" t="str">
        <f>VLOOKUP(B181,[1]!Table3[[Part Number]:[Make and Model]],2,0)</f>
        <v xml:space="preserve">CAT D6N LGP (GHS) CAT D6N LGP (PBA) CAT D6N LGP (PBA) (2) CAT D6N LGP (SGG) CAT D6N LGP (SGG) (2)                                    </v>
      </c>
      <c r="D181" s="67" t="str">
        <f>VLOOKUP(B181,[1]!Table3[[Part Number]:[Part Description]],3,0)</f>
        <v>CUTTING EDGE</v>
      </c>
      <c r="E181" s="68">
        <f>VLOOKUP(B181,[1]!Table3[[Part Number]:[Annual]],11,0)</f>
        <v>40</v>
      </c>
      <c r="F181" s="69">
        <f>VLOOKUP(B181,[1]!Table3[[Part Number]:[OEM CAD $]],4,0)</f>
        <v>435.33</v>
      </c>
      <c r="G181" s="70">
        <f t="shared" si="6"/>
        <v>17413.2</v>
      </c>
      <c r="H181" s="70">
        <f>VLOOKUP(B181,[1]!Table3[[Part Number]:[GQP CAD $]],5,0)</f>
        <v>165.43</v>
      </c>
      <c r="I181" s="74">
        <f t="shared" si="5"/>
        <v>6617.2</v>
      </c>
    </row>
    <row r="182" spans="2:9" x14ac:dyDescent="0.25">
      <c r="B182" s="71" t="s">
        <v>201</v>
      </c>
      <c r="C182" s="67" t="str">
        <f>VLOOKUP(B182,[1]!Table3[[Part Number]:[Make and Model]],2,0)</f>
        <v xml:space="preserve">CAT D5 (3CR) CAT D5 (3CR) (2)                                          </v>
      </c>
      <c r="D182" s="67" t="str">
        <f>VLOOKUP(B182,[1]!Table3[[Part Number]:[Part Description]],3,0)</f>
        <v>END BIT RH</v>
      </c>
      <c r="E182" s="68">
        <f>VLOOKUP(B182,[1]!Table3[[Part Number]:[Annual]],11,0)</f>
        <v>8</v>
      </c>
      <c r="F182" s="69">
        <f>VLOOKUP(B182,[1]!Table3[[Part Number]:[OEM CAD $]],4,0)</f>
        <v>273.04000000000002</v>
      </c>
      <c r="G182" s="70">
        <f t="shared" si="6"/>
        <v>2184.3200000000002</v>
      </c>
      <c r="H182" s="70">
        <f>VLOOKUP(B182,[1]!Table3[[Part Number]:[GQP CAD $]],5,0)</f>
        <v>103.76</v>
      </c>
      <c r="I182" s="74">
        <f t="shared" si="5"/>
        <v>830.08</v>
      </c>
    </row>
    <row r="183" spans="2:9" x14ac:dyDescent="0.25">
      <c r="B183" s="71" t="s">
        <v>202</v>
      </c>
      <c r="C183" s="67" t="str">
        <f>VLOOKUP(B183,[1]!Table3[[Part Number]:[Make and Model]],2,0)</f>
        <v xml:space="preserve">CAT D5 (3CR) CAT D5 (3CR) (2)                                          </v>
      </c>
      <c r="D183" s="67" t="str">
        <f>VLOOKUP(B183,[1]!Table3[[Part Number]:[Part Description]],3,0)</f>
        <v>END BIT LH</v>
      </c>
      <c r="E183" s="68">
        <f>VLOOKUP(B183,[1]!Table3[[Part Number]:[Annual]],11,0)</f>
        <v>8</v>
      </c>
      <c r="F183" s="69">
        <f>VLOOKUP(B183,[1]!Table3[[Part Number]:[OEM CAD $]],4,0)</f>
        <v>273.04000000000002</v>
      </c>
      <c r="G183" s="70">
        <f t="shared" si="6"/>
        <v>2184.3200000000002</v>
      </c>
      <c r="H183" s="70">
        <f>VLOOKUP(B183,[1]!Table3[[Part Number]:[GQP CAD $]],5,0)</f>
        <v>103.76</v>
      </c>
      <c r="I183" s="74">
        <f t="shared" si="5"/>
        <v>830.08</v>
      </c>
    </row>
    <row r="184" spans="2:9" x14ac:dyDescent="0.25">
      <c r="B184" s="71" t="s">
        <v>203</v>
      </c>
      <c r="C184" s="67" t="str">
        <f>VLOOKUP(B184,[1]!Table3[[Part Number]:[Make and Model]],2,0)</f>
        <v xml:space="preserve">CAT D3 (1PJ)                                            </v>
      </c>
      <c r="D184" s="67" t="str">
        <f>VLOOKUP(B184,[1]!Table3[[Part Number]:[Part Description]],3,0)</f>
        <v>END BIT</v>
      </c>
      <c r="E184" s="68">
        <f>VLOOKUP(B184,[1]!Table3[[Part Number]:[Annual]],11,0)</f>
        <v>8</v>
      </c>
      <c r="F184" s="69">
        <f>VLOOKUP(B184,[1]!Table3[[Part Number]:[OEM CAD $]],4,0)</f>
        <v>73.28</v>
      </c>
      <c r="G184" s="70">
        <f t="shared" si="6"/>
        <v>586.24</v>
      </c>
      <c r="H184" s="70">
        <f>VLOOKUP(B184,[1]!Table3[[Part Number]:[GQP CAD $]],5,0)</f>
        <v>27.85</v>
      </c>
      <c r="I184" s="74">
        <f t="shared" si="5"/>
        <v>222.8</v>
      </c>
    </row>
    <row r="185" spans="2:9" x14ac:dyDescent="0.25">
      <c r="B185" s="71" t="s">
        <v>204</v>
      </c>
      <c r="C185" s="67" t="str">
        <f>VLOOKUP(B185,[1]!Table3[[Part Number]:[Make and Model]],2,0)</f>
        <v xml:space="preserve">CAT D3 (1PJ)                                            </v>
      </c>
      <c r="D185" s="67" t="str">
        <f>VLOOKUP(B185,[1]!Table3[[Part Number]:[Part Description]],3,0)</f>
        <v>CUTTING EDGE</v>
      </c>
      <c r="E185" s="68">
        <f>VLOOKUP(B185,[1]!Table3[[Part Number]:[Annual]],11,0)</f>
        <v>8</v>
      </c>
      <c r="F185" s="69">
        <f>VLOOKUP(B185,[1]!Table3[[Part Number]:[OEM CAD $]],4,0)</f>
        <v>195.02</v>
      </c>
      <c r="G185" s="70">
        <f t="shared" si="6"/>
        <v>1560.16</v>
      </c>
      <c r="H185" s="70">
        <f>VLOOKUP(B185,[1]!Table3[[Part Number]:[GQP CAD $]],5,0)</f>
        <v>74.11</v>
      </c>
      <c r="I185" s="74">
        <f t="shared" si="5"/>
        <v>592.88</v>
      </c>
    </row>
    <row r="186" spans="2:9" x14ac:dyDescent="0.25">
      <c r="B186" s="71" t="s">
        <v>57</v>
      </c>
      <c r="C186" s="67" t="str">
        <f>VLOOKUP(B186,[1]!Table3[[Part Number]:[Make and Model]],2,0)</f>
        <v xml:space="preserve">CAT D5 (3CR) CAT D5 (3CR) (2)                                          </v>
      </c>
      <c r="D186" s="67" t="str">
        <f>VLOOKUP(B186,[1]!Table3[[Part Number]:[Part Description]],3,0)</f>
        <v>CUTTING EDGE</v>
      </c>
      <c r="E186" s="68">
        <f>VLOOKUP(B186,[1]!Table3[[Part Number]:[Annual]],11,0)</f>
        <v>16</v>
      </c>
      <c r="F186" s="69">
        <f>VLOOKUP(B186,[1]!Table3[[Part Number]:[OEM CAD $]],4,0)</f>
        <v>296.41000000000003</v>
      </c>
      <c r="G186" s="70">
        <f t="shared" si="6"/>
        <v>4742.5600000000004</v>
      </c>
      <c r="H186" s="70">
        <f>VLOOKUP(B186,[1]!Table3[[Part Number]:[GQP CAD $]],5,0)</f>
        <v>112.64</v>
      </c>
      <c r="I186" s="74">
        <f t="shared" si="5"/>
        <v>1802.24</v>
      </c>
    </row>
    <row r="187" spans="2:9" x14ac:dyDescent="0.25">
      <c r="B187" s="71" t="s">
        <v>59</v>
      </c>
      <c r="C187" s="67" t="str">
        <f>VLOOKUP(B187,[1]!Table3[[Part Number]:[Make and Model]],2,0)</f>
        <v xml:space="preserve">CAT D5 (3CR) CAT D5 (3CR) (2) CAT D6N LGP (GHS) CAT D6N LGP (PBA) CAT D6N LGP (PBA) (2) CAT D6N LGP (SGG) CAT D6N LGP (SGG) (2) CAT D6T (MH7)                              </v>
      </c>
      <c r="D187" s="67" t="str">
        <f>VLOOKUP(B187,[1]!Table3[[Part Number]:[Part Description]],3,0)</f>
        <v>PLOW BOLT</v>
      </c>
      <c r="E187" s="68">
        <f>VLOOKUP(B187,[1]!Table3[[Part Number]:[Annual]],11,0)</f>
        <v>888</v>
      </c>
      <c r="F187" s="69">
        <f>VLOOKUP(B187,[1]!Table3[[Part Number]:[OEM CAD $]],4,0)</f>
        <v>4.51</v>
      </c>
      <c r="G187" s="70">
        <f t="shared" si="6"/>
        <v>4004.8799999999997</v>
      </c>
      <c r="H187" s="70">
        <f>VLOOKUP(B187,[1]!Table3[[Part Number]:[GQP CAD $]],5,0)</f>
        <v>1.71</v>
      </c>
      <c r="I187" s="74">
        <f t="shared" si="5"/>
        <v>1518.48</v>
      </c>
    </row>
    <row r="188" spans="2:9" x14ac:dyDescent="0.25">
      <c r="B188" s="71" t="s">
        <v>391</v>
      </c>
      <c r="C188" s="67" t="str">
        <f>VLOOKUP(B188,[1]!Table3[[Part Number]:[Make and Model]],2,0)</f>
        <v xml:space="preserve">CAT D3 (1PJ) CAT D6N LGP (SGG) CAT D6N LGP (SGG) (2) CAT 561M (1KW) CAT 561M (1KW) CAT 561N (CPH) CAT 561N (CPH) CAT 561N (CPH) (2) CAT 561N (CPH) (2) CAT 561N (CPH) (3) CAT 561N (CPH) (3) CAT 561N (CPH) (4) CAT 561N (CPH) (4) CAT 561N (CPH) (5) CAT 561N (CPH) (5)                </v>
      </c>
      <c r="D188" s="67" t="str">
        <f>VLOOKUP(B188,[1]!Table3[[Part Number]:[Part Description]],3,0)</f>
        <v>WASHER</v>
      </c>
      <c r="E188" s="68">
        <f>VLOOKUP(B188,[1]!Table3[[Part Number]:[Annual]],11,0)</f>
        <v>476</v>
      </c>
      <c r="F188" s="69">
        <f>VLOOKUP(B188,[1]!Table3[[Part Number]:[OEM CAD $]],4,0)</f>
        <v>2.83</v>
      </c>
      <c r="G188" s="70">
        <f t="shared" si="6"/>
        <v>1347.08</v>
      </c>
      <c r="H188" s="70">
        <f>VLOOKUP(B188,[1]!Table3[[Part Number]:[GQP CAD $]],5,0)</f>
        <v>1.42</v>
      </c>
      <c r="I188" s="74">
        <f t="shared" si="5"/>
        <v>675.92</v>
      </c>
    </row>
    <row r="189" spans="2:9" x14ac:dyDescent="0.25">
      <c r="B189" s="71" t="s">
        <v>43</v>
      </c>
      <c r="C189" s="67" t="str">
        <f>VLOOKUP(B189,[1]!Table3[[Part Number]:[Make and Model]],2,0)</f>
        <v xml:space="preserve">CAT D5 (3CR) CAT D5 (3CR) (2) CAT D6 (RDC) CAT D6N LGP (GHS) CAT D6N LGP (PBA) CAT D6N LGP (PBA) (2) CAT D6N LGP (SGG) CAT D6N LGP (SGG) (2) CAT D6T (MH7)                            </v>
      </c>
      <c r="D189" s="67" t="str">
        <f>VLOOKUP(B189,[1]!Table3[[Part Number]:[Part Description]],3,0)</f>
        <v>FLAT WASHER</v>
      </c>
      <c r="E189" s="68">
        <f>VLOOKUP(B189,[1]!Table3[[Part Number]:[Annual]],11,0)</f>
        <v>938</v>
      </c>
      <c r="F189" s="69">
        <f>VLOOKUP(B189,[1]!Table3[[Part Number]:[OEM CAD $]],4,0)</f>
        <v>3.56</v>
      </c>
      <c r="G189" s="70">
        <f t="shared" si="6"/>
        <v>3339.28</v>
      </c>
      <c r="H189" s="70">
        <f>VLOOKUP(B189,[1]!Table3[[Part Number]:[GQP CAD $]],5,0)</f>
        <v>1.35</v>
      </c>
      <c r="I189" s="74">
        <f t="shared" si="5"/>
        <v>1266.3</v>
      </c>
    </row>
    <row r="190" spans="2:9" x14ac:dyDescent="0.25">
      <c r="B190" s="71" t="s">
        <v>207</v>
      </c>
      <c r="C190" s="67" t="str">
        <f>VLOOKUP(B190,[1]!Table3[[Part Number]:[Make and Model]],2,0)</f>
        <v xml:space="preserve">CAT D7G (92V) CAT D7G (3ZD) CAT D7G (3ZD) (2)                                        </v>
      </c>
      <c r="D190" s="67" t="str">
        <f>VLOOKUP(B190,[1]!Table3[[Part Number]:[Part Description]],3,0)</f>
        <v>RIPPER SHANK</v>
      </c>
      <c r="E190" s="68">
        <f>VLOOKUP(B190,[1]!Table3[[Part Number]:[Annual]],11,0)</f>
        <v>3</v>
      </c>
      <c r="F190" s="69">
        <f>VLOOKUP(B190,[1]!Table3[[Part Number]:[OEM CAD $]],4,0)</f>
        <v>6515.49</v>
      </c>
      <c r="G190" s="70">
        <f t="shared" si="6"/>
        <v>19546.47</v>
      </c>
      <c r="H190" s="70">
        <f>VLOOKUP(B190,[1]!Table3[[Part Number]:[GQP CAD $]],5,0)</f>
        <v>2475.89</v>
      </c>
      <c r="I190" s="74">
        <f t="shared" si="5"/>
        <v>7427.67</v>
      </c>
    </row>
    <row r="191" spans="2:9" x14ac:dyDescent="0.25">
      <c r="B191" s="71" t="s">
        <v>208</v>
      </c>
      <c r="C191" s="67" t="str">
        <f>VLOOKUP(B191,[1]!Table3[[Part Number]:[Make and Model]],2,0)</f>
        <v xml:space="preserve">CAT D3 (1PJ)                                            </v>
      </c>
      <c r="D191" s="67" t="str">
        <f>VLOOKUP(B191,[1]!Table3[[Part Number]:[Part Description]],3,0)</f>
        <v>DOWEL PIN</v>
      </c>
      <c r="E191" s="68">
        <f>VLOOKUP(B191,[1]!Table3[[Part Number]:[Annual]],11,0)</f>
        <v>1</v>
      </c>
      <c r="F191" s="69">
        <f>VLOOKUP(B191,[1]!Table3[[Part Number]:[OEM CAD $]],4,0)</f>
        <v>67.7</v>
      </c>
      <c r="G191" s="70">
        <f t="shared" si="6"/>
        <v>67.7</v>
      </c>
      <c r="H191" s="70">
        <f>VLOOKUP(B191,[1]!Table3[[Part Number]:[GQP CAD $]],5,0)</f>
        <v>25.73</v>
      </c>
      <c r="I191" s="74">
        <f t="shared" si="5"/>
        <v>25.73</v>
      </c>
    </row>
    <row r="192" spans="2:9" x14ac:dyDescent="0.25">
      <c r="B192" s="71" t="s">
        <v>209</v>
      </c>
      <c r="C192" s="67" t="str">
        <f>VLOOKUP(B192,[1]!Table3[[Part Number]:[Make and Model]],2,0)</f>
        <v xml:space="preserve">CAT D5 (3CR) CAT D5 (3CR) (2)                                          </v>
      </c>
      <c r="D192" s="67" t="str">
        <f>VLOOKUP(B192,[1]!Table3[[Part Number]:[Part Description]],3,0)</f>
        <v>RIPPER</v>
      </c>
      <c r="E192" s="68">
        <f>VLOOKUP(B192,[1]!Table3[[Part Number]:[Annual]],11,0)</f>
        <v>2</v>
      </c>
      <c r="F192" s="69">
        <f>VLOOKUP(B192,[1]!Table3[[Part Number]:[OEM CAD $]],4,0)</f>
        <v>144.57</v>
      </c>
      <c r="G192" s="70">
        <f t="shared" si="6"/>
        <v>289.14</v>
      </c>
      <c r="H192" s="70">
        <f>VLOOKUP(B192,[1]!Table3[[Part Number]:[GQP CAD $]],5,0)</f>
        <v>54.94</v>
      </c>
      <c r="I192" s="74">
        <f t="shared" si="5"/>
        <v>109.88</v>
      </c>
    </row>
    <row r="193" spans="2:9" x14ac:dyDescent="0.25">
      <c r="B193" s="71" t="s">
        <v>210</v>
      </c>
      <c r="C193" s="67" t="str">
        <f>VLOOKUP(B193,[1]!Table3[[Part Number]:[Make and Model]],2,0)</f>
        <v xml:space="preserve">CAT D6N LGP (PBA) CAT D6N LGP (PBA) (2) CAT D6N LGP (SGG) CAT D6N LGP (SGG) (2)                                      </v>
      </c>
      <c r="D193" s="67" t="str">
        <f>VLOOKUP(B193,[1]!Table3[[Part Number]:[Part Description]],3,0)</f>
        <v>RIPPER TIP</v>
      </c>
      <c r="E193" s="68">
        <f>VLOOKUP(B193,[1]!Table3[[Part Number]:[Annual]],11,0)</f>
        <v>12</v>
      </c>
      <c r="F193" s="69">
        <f>VLOOKUP(B193,[1]!Table3[[Part Number]:[OEM CAD $]],4,0)</f>
        <v>224.12</v>
      </c>
      <c r="G193" s="70">
        <f t="shared" si="6"/>
        <v>2689.44</v>
      </c>
      <c r="H193" s="70">
        <f>VLOOKUP(B193,[1]!Table3[[Part Number]:[GQP CAD $]],5,0)</f>
        <v>85.17</v>
      </c>
      <c r="I193" s="74">
        <f t="shared" si="5"/>
        <v>1022.04</v>
      </c>
    </row>
    <row r="194" spans="2:9" x14ac:dyDescent="0.25">
      <c r="B194" s="71" t="s">
        <v>211</v>
      </c>
      <c r="C194" s="67" t="str">
        <f>VLOOKUP(B194,[1]!Table3[[Part Number]:[Make and Model]],2,0)</f>
        <v xml:space="preserve">CAT D6T (MH7) CAT D7G (92V) CAT D7G (3ZD) CAT D7G (3ZD) (2)                                      </v>
      </c>
      <c r="D194" s="67" t="str">
        <f>VLOOKUP(B194,[1]!Table3[[Part Number]:[Part Description]],3,0)</f>
        <v>RIPPER TOOTH</v>
      </c>
      <c r="E194" s="68">
        <f>VLOOKUP(B194,[1]!Table3[[Part Number]:[Annual]],11,0)</f>
        <v>6</v>
      </c>
      <c r="F194" s="69">
        <f>VLOOKUP(B194,[1]!Table3[[Part Number]:[OEM CAD $]],4,0)</f>
        <v>224.15</v>
      </c>
      <c r="G194" s="70">
        <f t="shared" si="6"/>
        <v>1344.9</v>
      </c>
      <c r="H194" s="70">
        <f>VLOOKUP(B194,[1]!Table3[[Part Number]:[GQP CAD $]],5,0)</f>
        <v>85.18</v>
      </c>
      <c r="I194" s="74">
        <f t="shared" si="5"/>
        <v>511.08</v>
      </c>
    </row>
    <row r="195" spans="2:9" x14ac:dyDescent="0.25">
      <c r="B195" s="71" t="s">
        <v>213</v>
      </c>
      <c r="C195" s="67" t="str">
        <f>VLOOKUP(B195,[1]!Table3[[Part Number]:[Make and Model]],2,0)</f>
        <v xml:space="preserve">CAT D3 (1PJ)                                            </v>
      </c>
      <c r="D195" s="67" t="str">
        <f>VLOOKUP(B195,[1]!Table3[[Part Number]:[Part Description]],3,0)</f>
        <v>G.E.T PIN</v>
      </c>
      <c r="E195" s="68">
        <f>VLOOKUP(B195,[1]!Table3[[Part Number]:[Annual]],11,0)</f>
        <v>1</v>
      </c>
      <c r="F195" s="69">
        <f>VLOOKUP(B195,[1]!Table3[[Part Number]:[OEM CAD $]],4,0)</f>
        <v>4.38</v>
      </c>
      <c r="G195" s="70">
        <f t="shared" si="6"/>
        <v>4.38</v>
      </c>
      <c r="H195" s="70">
        <f>VLOOKUP(B195,[1]!Table3[[Part Number]:[GQP CAD $]],5,0)</f>
        <v>1.66</v>
      </c>
      <c r="I195" s="74">
        <f t="shared" si="5"/>
        <v>1.66</v>
      </c>
    </row>
    <row r="196" spans="2:9" x14ac:dyDescent="0.25">
      <c r="B196" s="71" t="s">
        <v>214</v>
      </c>
      <c r="C196" s="67" t="str">
        <f>VLOOKUP(B196,[1]!Table3[[Part Number]:[Make and Model]],2,0)</f>
        <v xml:space="preserve">CAT D3 (1PJ)                                            </v>
      </c>
      <c r="D196" s="67" t="str">
        <f>VLOOKUP(B196,[1]!Table3[[Part Number]:[Part Description]],3,0)</f>
        <v>TIP PIN RETAINER</v>
      </c>
      <c r="E196" s="68">
        <f>VLOOKUP(B196,[1]!Table3[[Part Number]:[Annual]],11,0)</f>
        <v>1</v>
      </c>
      <c r="F196" s="69">
        <f>VLOOKUP(B196,[1]!Table3[[Part Number]:[OEM CAD $]],4,0)</f>
        <v>9.4499999999999993</v>
      </c>
      <c r="G196" s="70">
        <f t="shared" si="6"/>
        <v>9.4499999999999993</v>
      </c>
      <c r="H196" s="70">
        <f>VLOOKUP(B196,[1]!Table3[[Part Number]:[GQP CAD $]],5,0)</f>
        <v>3.59</v>
      </c>
      <c r="I196" s="74">
        <f t="shared" si="5"/>
        <v>3.59</v>
      </c>
    </row>
    <row r="197" spans="2:9" x14ac:dyDescent="0.25">
      <c r="B197" s="71" t="s">
        <v>63</v>
      </c>
      <c r="C197" s="67" t="str">
        <f>VLOOKUP(B197,[1]!Table3[[Part Number]:[Make and Model]],2,0)</f>
        <v xml:space="preserve">CAT D6N LGP (GHS) CAT D6N LGP (PBA) CAT D6N LGP (PBA) (2) CAT D6N LGP (SGG) CAT D6N LGP (SGG) (2)                                    </v>
      </c>
      <c r="D197" s="67" t="str">
        <f>VLOOKUP(B197,[1]!Table3[[Part Number]:[Part Description]],3,0)</f>
        <v>END BIT LH</v>
      </c>
      <c r="E197" s="68">
        <f>VLOOKUP(B197,[1]!Table3[[Part Number]:[Annual]],11,0)</f>
        <v>20</v>
      </c>
      <c r="F197" s="69">
        <f>VLOOKUP(B197,[1]!Table3[[Part Number]:[OEM CAD $]],4,0)</f>
        <v>160.9</v>
      </c>
      <c r="G197" s="70">
        <f t="shared" si="6"/>
        <v>3218</v>
      </c>
      <c r="H197" s="70">
        <f>VLOOKUP(B197,[1]!Table3[[Part Number]:[GQP CAD $]],5,0)</f>
        <v>61.14</v>
      </c>
      <c r="I197" s="74">
        <f t="shared" si="5"/>
        <v>1222.8</v>
      </c>
    </row>
    <row r="198" spans="2:9" x14ac:dyDescent="0.25">
      <c r="B198" s="71" t="s">
        <v>64</v>
      </c>
      <c r="C198" s="67" t="str">
        <f>VLOOKUP(B198,[1]!Table3[[Part Number]:[Make and Model]],2,0)</f>
        <v xml:space="preserve">CAT D6N LGP (GHS) CAT D6N LGP (PBA) CAT D6N LGP (PBA) (2) CAT D6N LGP (SGG) CAT D6N LGP (SGG) (2)                                    </v>
      </c>
      <c r="D198" s="67" t="str">
        <f>VLOOKUP(B198,[1]!Table3[[Part Number]:[Part Description]],3,0)</f>
        <v>END BIT RH</v>
      </c>
      <c r="E198" s="68">
        <f>VLOOKUP(B198,[1]!Table3[[Part Number]:[Annual]],11,0)</f>
        <v>20</v>
      </c>
      <c r="F198" s="69">
        <f>VLOOKUP(B198,[1]!Table3[[Part Number]:[OEM CAD $]],4,0)</f>
        <v>160.9</v>
      </c>
      <c r="G198" s="70">
        <f t="shared" si="6"/>
        <v>3218</v>
      </c>
      <c r="H198" s="70">
        <f>VLOOKUP(B198,[1]!Table3[[Part Number]:[GQP CAD $]],5,0)</f>
        <v>61.14</v>
      </c>
      <c r="I198" s="74">
        <f t="shared" si="5"/>
        <v>1222.8</v>
      </c>
    </row>
    <row r="199" spans="2:9" x14ac:dyDescent="0.25">
      <c r="B199" s="71" t="s">
        <v>215</v>
      </c>
      <c r="C199" s="67" t="str">
        <f>VLOOKUP(B199,[1]!Table3[[Part Number]:[Make and Model]],2,0)</f>
        <v xml:space="preserve">CAT D6N LGP (PBA) CAT D6N LGP (PBA) (2) CAT D6N LGP (SGG) CAT D6N LGP (SGG) (2) CAT D6T (MH7)                                    </v>
      </c>
      <c r="D199" s="67" t="str">
        <f>VLOOKUP(B199,[1]!Table3[[Part Number]:[Part Description]],3,0)</f>
        <v>RIPPER PIN</v>
      </c>
      <c r="E199" s="68">
        <f>VLOOKUP(B199,[1]!Table3[[Part Number]:[Annual]],11,0)</f>
        <v>15</v>
      </c>
      <c r="F199" s="69">
        <f>VLOOKUP(B199,[1]!Table3[[Part Number]:[OEM CAD $]],4,0)</f>
        <v>164.9</v>
      </c>
      <c r="G199" s="70">
        <f t="shared" si="6"/>
        <v>2473.5</v>
      </c>
      <c r="H199" s="70">
        <f>VLOOKUP(B199,[1]!Table3[[Part Number]:[GQP CAD $]],5,0)</f>
        <v>62.66</v>
      </c>
      <c r="I199" s="74">
        <f t="shared" si="5"/>
        <v>939.9</v>
      </c>
    </row>
    <row r="200" spans="2:9" x14ac:dyDescent="0.25">
      <c r="B200" s="71" t="s">
        <v>216</v>
      </c>
      <c r="C200" s="67" t="str">
        <f>VLOOKUP(B200,[1]!Table3[[Part Number]:[Make and Model]],2,0)</f>
        <v xml:space="preserve">CAT D3 (1PJ)                                            </v>
      </c>
      <c r="D200" s="67" t="str">
        <f>VLOOKUP(B200,[1]!Table3[[Part Number]:[Part Description]],3,0)</f>
        <v>RIPPER SHANK</v>
      </c>
      <c r="E200" s="68">
        <f>VLOOKUP(B200,[1]!Table3[[Part Number]:[Annual]],11,0)</f>
        <v>1</v>
      </c>
      <c r="F200" s="69">
        <f>VLOOKUP(B200,[1]!Table3[[Part Number]:[OEM CAD $]],4,0)</f>
        <v>446.79</v>
      </c>
      <c r="G200" s="70">
        <f t="shared" si="6"/>
        <v>446.79</v>
      </c>
      <c r="H200" s="70">
        <f>VLOOKUP(B200,[1]!Table3[[Part Number]:[GQP CAD $]],5,0)</f>
        <v>169.78</v>
      </c>
      <c r="I200" s="74">
        <f t="shared" si="5"/>
        <v>169.78</v>
      </c>
    </row>
    <row r="201" spans="2:9" x14ac:dyDescent="0.25">
      <c r="B201" s="71" t="s">
        <v>434</v>
      </c>
      <c r="C201" s="67" t="str">
        <f>VLOOKUP(B201,[1]!Table3[[Part Number]:[Make and Model]],2,0)</f>
        <v xml:space="preserve">CAT 299D (DX2)                                            </v>
      </c>
      <c r="D201" s="67" t="str">
        <f>VLOOKUP(B201,[1]!Table3[[Part Number]:[Part Description]],3,0)</f>
        <v>Lock Nut</v>
      </c>
      <c r="E201" s="68">
        <f>VLOOKUP(B201,[1]!Table3[[Part Number]:[Annual]],11,0)</f>
        <v>11</v>
      </c>
      <c r="F201" s="69">
        <f>VLOOKUP(B201,[1]!Table3[[Part Number]:[OEM CAD $]],4,0)</f>
        <v>8.8699999999999992</v>
      </c>
      <c r="G201" s="70">
        <f t="shared" si="6"/>
        <v>97.57</v>
      </c>
      <c r="H201" s="70">
        <f>VLOOKUP(B201,[1]!Table3[[Part Number]:[GQP CAD $]],5,0)</f>
        <v>4.4400000000000004</v>
      </c>
      <c r="I201" s="74">
        <f t="shared" si="5"/>
        <v>48.84</v>
      </c>
    </row>
    <row r="202" spans="2:9" x14ac:dyDescent="0.25">
      <c r="B202" s="71" t="s">
        <v>220</v>
      </c>
      <c r="C202" s="67" t="str">
        <f>VLOOKUP(B202,[1]!Table3[[Part Number]:[Make and Model]],2,0)</f>
        <v xml:space="preserve">CAT D5 (3CR) CAT D5 (3CR) (2)                                          </v>
      </c>
      <c r="D202" s="67" t="str">
        <f>VLOOKUP(B202,[1]!Table3[[Part Number]:[Part Description]],3,0)</f>
        <v>RIPPER SHANK</v>
      </c>
      <c r="E202" s="68">
        <f>VLOOKUP(B202,[1]!Table3[[Part Number]:[Annual]],11,0)</f>
        <v>2</v>
      </c>
      <c r="F202" s="69">
        <f>VLOOKUP(B202,[1]!Table3[[Part Number]:[OEM CAD $]],4,0)</f>
        <v>1095.81</v>
      </c>
      <c r="G202" s="70">
        <f t="shared" si="6"/>
        <v>2191.62</v>
      </c>
      <c r="H202" s="70">
        <f>VLOOKUP(B202,[1]!Table3[[Part Number]:[GQP CAD $]],5,0)</f>
        <v>416.41</v>
      </c>
      <c r="I202" s="74">
        <f t="shared" si="5"/>
        <v>832.82</v>
      </c>
    </row>
    <row r="203" spans="2:9" x14ac:dyDescent="0.25">
      <c r="B203" s="71" t="s">
        <v>221</v>
      </c>
      <c r="C203" s="67" t="str">
        <f>VLOOKUP(B203,[1]!Table3[[Part Number]:[Make and Model]],2,0)</f>
        <v xml:space="preserve">CAT D6N LGP (PBA) CAT D6N LGP (PBA) (2) CAT D6N LGP (SGG) CAT D6N LGP (SGG) (2)                                      </v>
      </c>
      <c r="D203" s="67" t="str">
        <f>VLOOKUP(B203,[1]!Table3[[Part Number]:[Part Description]],3,0)</f>
        <v>RIPPER SHANK</v>
      </c>
      <c r="E203" s="68">
        <f>VLOOKUP(B203,[1]!Table3[[Part Number]:[Annual]],11,0)</f>
        <v>12</v>
      </c>
      <c r="F203" s="69">
        <f>VLOOKUP(B203,[1]!Table3[[Part Number]:[OEM CAD $]],4,0)</f>
        <v>2053.06</v>
      </c>
      <c r="G203" s="70">
        <f t="shared" si="6"/>
        <v>24636.720000000001</v>
      </c>
      <c r="H203" s="70">
        <f>VLOOKUP(B203,[1]!Table3[[Part Number]:[GQP CAD $]],5,0)</f>
        <v>780.16</v>
      </c>
      <c r="I203" s="74">
        <f t="shared" si="5"/>
        <v>9361.92</v>
      </c>
    </row>
    <row r="204" spans="2:9" x14ac:dyDescent="0.25">
      <c r="B204" s="71" t="s">
        <v>223</v>
      </c>
      <c r="C204" s="67" t="str">
        <f>VLOOKUP(B204,[1]!Table3[[Part Number]:[Make and Model]],2,0)</f>
        <v xml:space="preserve">CAT D6T (MH7)                                            </v>
      </c>
      <c r="D204" s="67" t="str">
        <f>VLOOKUP(B204,[1]!Table3[[Part Number]:[Part Description]],3,0)</f>
        <v>END BIT RH</v>
      </c>
      <c r="E204" s="68">
        <f>VLOOKUP(B204,[1]!Table3[[Part Number]:[Annual]],11,0)</f>
        <v>4</v>
      </c>
      <c r="F204" s="69">
        <f>VLOOKUP(B204,[1]!Table3[[Part Number]:[OEM CAD $]],4,0)</f>
        <v>219.63</v>
      </c>
      <c r="G204" s="70">
        <f t="shared" si="6"/>
        <v>878.52</v>
      </c>
      <c r="H204" s="70">
        <f>VLOOKUP(B204,[1]!Table3[[Part Number]:[GQP CAD $]],5,0)</f>
        <v>83.46</v>
      </c>
      <c r="I204" s="74">
        <f t="shared" si="5"/>
        <v>333.84</v>
      </c>
    </row>
    <row r="205" spans="2:9" x14ac:dyDescent="0.25">
      <c r="B205" s="71" t="s">
        <v>224</v>
      </c>
      <c r="C205" s="67" t="str">
        <f>VLOOKUP(B205,[1]!Table3[[Part Number]:[Make and Model]],2,0)</f>
        <v xml:space="preserve">CAT D6T (MH7)                                            </v>
      </c>
      <c r="D205" s="67" t="str">
        <f>VLOOKUP(B205,[1]!Table3[[Part Number]:[Part Description]],3,0)</f>
        <v>END BIT LH</v>
      </c>
      <c r="E205" s="68">
        <f>VLOOKUP(B205,[1]!Table3[[Part Number]:[Annual]],11,0)</f>
        <v>4</v>
      </c>
      <c r="F205" s="69">
        <f>VLOOKUP(B205,[1]!Table3[[Part Number]:[OEM CAD $]],4,0)</f>
        <v>219.63</v>
      </c>
      <c r="G205" s="70">
        <f t="shared" si="6"/>
        <v>878.52</v>
      </c>
      <c r="H205" s="70">
        <f>VLOOKUP(B205,[1]!Table3[[Part Number]:[GQP CAD $]],5,0)</f>
        <v>83.46</v>
      </c>
      <c r="I205" s="74">
        <f t="shared" si="5"/>
        <v>333.84</v>
      </c>
    </row>
    <row r="206" spans="2:9" x14ac:dyDescent="0.25">
      <c r="B206" s="71" t="s">
        <v>225</v>
      </c>
      <c r="C206" s="67" t="str">
        <f>VLOOKUP(B206,[1]!Table3[[Part Number]:[Make and Model]],2,0)</f>
        <v xml:space="preserve">CAT D5 (3CR) CAT D5 (3CR) (2)                                          </v>
      </c>
      <c r="D206" s="67" t="str">
        <f>VLOOKUP(B206,[1]!Table3[[Part Number]:[Part Description]],3,0)</f>
        <v>ANGLING BLADE ASSY</v>
      </c>
      <c r="E206" s="68">
        <f>VLOOKUP(B206,[1]!Table3[[Part Number]:[Annual]],11,0)</f>
        <v>8</v>
      </c>
      <c r="F206" s="69">
        <f>VLOOKUP(B206,[1]!Table3[[Part Number]:[OEM CAD $]],4,0)</f>
        <v>16888.900000000001</v>
      </c>
      <c r="G206" s="70">
        <f t="shared" si="6"/>
        <v>135111.20000000001</v>
      </c>
      <c r="H206" s="70">
        <f>VLOOKUP(B206,[1]!Table3[[Part Number]:[GQP CAD $]],5,0)</f>
        <v>6417.78</v>
      </c>
      <c r="I206" s="74">
        <f t="shared" si="5"/>
        <v>51342.239999999998</v>
      </c>
    </row>
    <row r="207" spans="2:9" x14ac:dyDescent="0.25">
      <c r="B207" s="71">
        <v>6698542</v>
      </c>
      <c r="C207" s="67" t="str">
        <f>VLOOKUP(B207,[1]!Table3[[Part Number]:[Make and Model]],2,0)</f>
        <v xml:space="preserve">BOBCAT T750 (ANK)                                            </v>
      </c>
      <c r="D207" s="67" t="str">
        <f>VLOOKUP(B207,[1]!Table3[[Part Number]:[Part Description]],3,0)</f>
        <v>Injector</v>
      </c>
      <c r="E207" s="68">
        <f>VLOOKUP(B207,[1]!Table3[[Part Number]:[Annual]],11,0)</f>
        <v>4</v>
      </c>
      <c r="F207" s="69">
        <f>VLOOKUP(B207,[1]!Table3[[Part Number]:[OEM CAD $]],4,0)</f>
        <v>706.99</v>
      </c>
      <c r="G207" s="70">
        <f t="shared" si="6"/>
        <v>2827.96</v>
      </c>
      <c r="H207" s="70">
        <f>VLOOKUP(B207,[1]!Table3[[Part Number]:[GQP CAD $]],5,0)</f>
        <v>353.5</v>
      </c>
      <c r="I207" s="74">
        <f t="shared" ref="I207:I270" si="7">ROUND(E207*H207,2)</f>
        <v>1414</v>
      </c>
    </row>
    <row r="208" spans="2:9" x14ac:dyDescent="0.25">
      <c r="B208" s="71">
        <v>7008498</v>
      </c>
      <c r="C208" s="67" t="str">
        <f>VLOOKUP(B208,[1]!Table3[[Part Number]:[Make and Model]],2,0)</f>
        <v xml:space="preserve">BOBCAT S650 (A3N)                                            </v>
      </c>
      <c r="D208" s="67" t="str">
        <f>VLOOKUP(B208,[1]!Table3[[Part Number]:[Part Description]],3,0)</f>
        <v>Injector</v>
      </c>
      <c r="E208" s="68">
        <f>VLOOKUP(B208,[1]!Table3[[Part Number]:[Annual]],11,0)</f>
        <v>4</v>
      </c>
      <c r="F208" s="69">
        <f>VLOOKUP(B208,[1]!Table3[[Part Number]:[OEM CAD $]],4,0)</f>
        <v>893.49</v>
      </c>
      <c r="G208" s="70">
        <f t="shared" si="6"/>
        <v>3573.96</v>
      </c>
      <c r="H208" s="70">
        <f>VLOOKUP(B208,[1]!Table3[[Part Number]:[GQP CAD $]],5,0)</f>
        <v>446.75</v>
      </c>
      <c r="I208" s="74">
        <f t="shared" si="7"/>
        <v>1787</v>
      </c>
    </row>
    <row r="209" spans="2:9" x14ac:dyDescent="0.25">
      <c r="B209" s="71">
        <v>7485369</v>
      </c>
      <c r="C209" s="67" t="str">
        <f>VLOOKUP(B209,[1]!Table3[[Part Number]:[Make and Model]],2,0)</f>
        <v xml:space="preserve">BOBCAT T750 (ATF)                                            </v>
      </c>
      <c r="D209" s="67" t="str">
        <f>VLOOKUP(B209,[1]!Table3[[Part Number]:[Part Description]],3,0)</f>
        <v>Injector</v>
      </c>
      <c r="E209" s="68">
        <f>VLOOKUP(B209,[1]!Table3[[Part Number]:[Annual]],11,0)</f>
        <v>4</v>
      </c>
      <c r="F209" s="69">
        <f>VLOOKUP(B209,[1]!Table3[[Part Number]:[OEM CAD $]],4,0)</f>
        <v>1626.49</v>
      </c>
      <c r="G209" s="70">
        <f t="shared" ref="G209:G272" si="8">E209*F209</f>
        <v>6505.96</v>
      </c>
      <c r="H209" s="70">
        <f>VLOOKUP(B209,[1]!Table3[[Part Number]:[GQP CAD $]],5,0)</f>
        <v>813.25</v>
      </c>
      <c r="I209" s="74">
        <f t="shared" si="7"/>
        <v>3253</v>
      </c>
    </row>
    <row r="210" spans="2:9" x14ac:dyDescent="0.25">
      <c r="B210" s="71">
        <v>7516846</v>
      </c>
      <c r="C210" s="67" t="str">
        <f>VLOOKUP(B210,[1]!Table3[[Part Number]:[Make and Model]],2,0)</f>
        <v xml:space="preserve">BOBCAT T770 (AT6) BOBCAT T770 (AT6) (2)                                          </v>
      </c>
      <c r="D210" s="67" t="str">
        <f>VLOOKUP(B210,[1]!Table3[[Part Number]:[Part Description]],3,0)</f>
        <v>Injector</v>
      </c>
      <c r="E210" s="68">
        <f>VLOOKUP(B210,[1]!Table3[[Part Number]:[Annual]],11,0)</f>
        <v>8</v>
      </c>
      <c r="F210" s="69">
        <f>VLOOKUP(B210,[1]!Table3[[Part Number]:[OEM CAD $]],4,0)</f>
        <v>955.49</v>
      </c>
      <c r="G210" s="70">
        <f t="shared" si="8"/>
        <v>7643.92</v>
      </c>
      <c r="H210" s="70">
        <f>VLOOKUP(B210,[1]!Table3[[Part Number]:[GQP CAD $]],5,0)</f>
        <v>477.75</v>
      </c>
      <c r="I210" s="74">
        <f t="shared" si="7"/>
        <v>3822</v>
      </c>
    </row>
    <row r="211" spans="2:9" x14ac:dyDescent="0.25">
      <c r="B211" s="71" t="s">
        <v>226</v>
      </c>
      <c r="C211" s="67" t="str">
        <f>VLOOKUP(B211,[1]!Table3[[Part Number]:[Make and Model]],2,0)</f>
        <v xml:space="preserve">CAT D5 (3CR) CAT D5 (3CR) (2) CAT 561M (1KW)                                        </v>
      </c>
      <c r="D211" s="67" t="str">
        <f>VLOOKUP(B211,[1]!Table3[[Part Number]:[Part Description]],3,0)</f>
        <v>FUEL INJECTOR</v>
      </c>
      <c r="E211" s="68">
        <f>VLOOKUP(B211,[1]!Table3[[Part Number]:[Annual]],11,0)</f>
        <v>18</v>
      </c>
      <c r="F211" s="69">
        <f>VLOOKUP(B211,[1]!Table3[[Part Number]:[OEM CAD $]],4,0)</f>
        <v>914.54</v>
      </c>
      <c r="G211" s="70">
        <f t="shared" si="8"/>
        <v>16461.72</v>
      </c>
      <c r="H211" s="70">
        <f>VLOOKUP(B211,[1]!Table3[[Part Number]:[GQP CAD $]],5,0)</f>
        <v>457.27</v>
      </c>
      <c r="I211" s="74">
        <f t="shared" si="7"/>
        <v>8230.86</v>
      </c>
    </row>
    <row r="212" spans="2:9" x14ac:dyDescent="0.25">
      <c r="B212" s="71" t="s">
        <v>227</v>
      </c>
      <c r="C212" s="67" t="str">
        <f>VLOOKUP(B212,[1]!Table3[[Part Number]:[Make and Model]],2,0)</f>
        <v xml:space="preserve">CAT 561N (CPH) CAT 561N (CPH) (2) CAT 561N (CPH) (3) CAT 561N (CPH) (4) CAT 561N (CPH) (5)                                    </v>
      </c>
      <c r="D212" s="67" t="str">
        <f>VLOOKUP(B212,[1]!Table3[[Part Number]:[Part Description]],3,0)</f>
        <v>INJECTROR</v>
      </c>
      <c r="E212" s="68">
        <f>VLOOKUP(B212,[1]!Table3[[Part Number]:[Annual]],11,0)</f>
        <v>30</v>
      </c>
      <c r="F212" s="69">
        <f>VLOOKUP(B212,[1]!Table3[[Part Number]:[OEM CAD $]],4,0)</f>
        <v>1817.71</v>
      </c>
      <c r="G212" s="70">
        <f t="shared" si="8"/>
        <v>54531.3</v>
      </c>
      <c r="H212" s="70">
        <f>VLOOKUP(B212,[1]!Table3[[Part Number]:[GQP CAD $]],5,0)</f>
        <v>908.86</v>
      </c>
      <c r="I212" s="74">
        <f t="shared" si="7"/>
        <v>27265.8</v>
      </c>
    </row>
    <row r="213" spans="2:9" x14ac:dyDescent="0.25">
      <c r="B213" s="71" t="s">
        <v>228</v>
      </c>
      <c r="C213" s="67" t="str">
        <f>VLOOKUP(B213,[1]!Table3[[Part Number]:[Make and Model]],2,0)</f>
        <v xml:space="preserve">CAT D6N LGP (GHS)                                            </v>
      </c>
      <c r="D213" s="67" t="str">
        <f>VLOOKUP(B213,[1]!Table3[[Part Number]:[Part Description]],3,0)</f>
        <v>FUEL INJECTOR</v>
      </c>
      <c r="E213" s="68">
        <f>VLOOKUP(B213,[1]!Table3[[Part Number]:[Annual]],11,0)</f>
        <v>6</v>
      </c>
      <c r="F213" s="69">
        <f>VLOOKUP(B213,[1]!Table3[[Part Number]:[OEM CAD $]],4,0)</f>
        <v>1132.93</v>
      </c>
      <c r="G213" s="70">
        <f t="shared" si="8"/>
        <v>6797.58</v>
      </c>
      <c r="H213" s="70">
        <f>VLOOKUP(B213,[1]!Table3[[Part Number]:[GQP CAD $]],5,0)</f>
        <v>566.47</v>
      </c>
      <c r="I213" s="74">
        <f t="shared" si="7"/>
        <v>3398.82</v>
      </c>
    </row>
    <row r="214" spans="2:9" x14ac:dyDescent="0.25">
      <c r="B214" s="71" t="s">
        <v>229</v>
      </c>
      <c r="C214" s="67" t="str">
        <f>VLOOKUP(B214,[1]!Table3[[Part Number]:[Make and Model]],2,0)</f>
        <v xml:space="preserve">CAT D4 (66J)                                            </v>
      </c>
      <c r="D214" s="67" t="str">
        <f>VLOOKUP(B214,[1]!Table3[[Part Number]:[Part Description]],3,0)</f>
        <v>FUEL INJECTOR</v>
      </c>
      <c r="E214" s="68">
        <f>VLOOKUP(B214,[1]!Table3[[Part Number]:[Annual]],11,0)</f>
        <v>6</v>
      </c>
      <c r="F214" s="69">
        <f>VLOOKUP(B214,[1]!Table3[[Part Number]:[OEM CAD $]],4,0)</f>
        <v>1138.5999999999999</v>
      </c>
      <c r="G214" s="70">
        <f t="shared" si="8"/>
        <v>6831.5999999999995</v>
      </c>
      <c r="H214" s="70">
        <f>VLOOKUP(B214,[1]!Table3[[Part Number]:[GQP CAD $]],5,0)</f>
        <v>569.29999999999995</v>
      </c>
      <c r="I214" s="74">
        <f t="shared" si="7"/>
        <v>3415.8</v>
      </c>
    </row>
    <row r="215" spans="2:9" x14ac:dyDescent="0.25">
      <c r="B215" s="71" t="s">
        <v>230</v>
      </c>
      <c r="C215" s="67" t="str">
        <f>VLOOKUP(B215,[1]!Table3[[Part Number]:[Make and Model]],2,0)</f>
        <v xml:space="preserve">CAT 320F L (YBM) CAT 320 (HEX) CAT 329E L (ZCD)                                        </v>
      </c>
      <c r="D215" s="67" t="str">
        <f>VLOOKUP(B215,[1]!Table3[[Part Number]:[Part Description]],3,0)</f>
        <v>FUEL INJECTOR</v>
      </c>
      <c r="E215" s="68">
        <f>VLOOKUP(B215,[1]!Table3[[Part Number]:[Annual]],11,0)</f>
        <v>14</v>
      </c>
      <c r="F215" s="69">
        <f>VLOOKUP(B215,[1]!Table3[[Part Number]:[OEM CAD $]],4,0)</f>
        <v>1474.09</v>
      </c>
      <c r="G215" s="70">
        <f t="shared" si="8"/>
        <v>20637.259999999998</v>
      </c>
      <c r="H215" s="70">
        <f>VLOOKUP(B215,[1]!Table3[[Part Number]:[GQP CAD $]],5,0)</f>
        <v>737.05</v>
      </c>
      <c r="I215" s="74">
        <f t="shared" si="7"/>
        <v>10318.700000000001</v>
      </c>
    </row>
    <row r="216" spans="2:9" x14ac:dyDescent="0.25">
      <c r="B216" s="71" t="s">
        <v>231</v>
      </c>
      <c r="C216" s="67" t="str">
        <f>VLOOKUP(B216,[1]!Table3[[Part Number]:[Make and Model]],2,0)</f>
        <v xml:space="preserve">CAT 303.5E                                            </v>
      </c>
      <c r="D216" s="67" t="str">
        <f>VLOOKUP(B216,[1]!Table3[[Part Number]:[Part Description]],3,0)</f>
        <v xml:space="preserve">FUEL INJECTOR NOZZLE </v>
      </c>
      <c r="E216" s="68">
        <f>VLOOKUP(B216,[1]!Table3[[Part Number]:[Annual]],11,0)</f>
        <v>3</v>
      </c>
      <c r="F216" s="69">
        <f>VLOOKUP(B216,[1]!Table3[[Part Number]:[OEM CAD $]],4,0)</f>
        <v>974.18</v>
      </c>
      <c r="G216" s="70">
        <f t="shared" si="8"/>
        <v>2922.54</v>
      </c>
      <c r="H216" s="70">
        <f>VLOOKUP(B216,[1]!Table3[[Part Number]:[GQP CAD $]],5,0)</f>
        <v>487.09</v>
      </c>
      <c r="I216" s="74">
        <f t="shared" si="7"/>
        <v>1461.27</v>
      </c>
    </row>
    <row r="217" spans="2:9" x14ac:dyDescent="0.25">
      <c r="B217" s="71" t="s">
        <v>232</v>
      </c>
      <c r="C217" s="67" t="str">
        <f>VLOOKUP(B217,[1]!Table3[[Part Number]:[Make and Model]],2,0)</f>
        <v xml:space="preserve">CAT 336F L (RKB) CAT D6T (MH7)                                          </v>
      </c>
      <c r="D217" s="67" t="str">
        <f>VLOOKUP(B217,[1]!Table3[[Part Number]:[Part Description]],3,0)</f>
        <v xml:space="preserve">FUEL INJECTOR </v>
      </c>
      <c r="E217" s="68">
        <f>VLOOKUP(B217,[1]!Table3[[Part Number]:[Annual]],11,0)</f>
        <v>12</v>
      </c>
      <c r="F217" s="69">
        <f>VLOOKUP(B217,[1]!Table3[[Part Number]:[OEM CAD $]],4,0)</f>
        <v>1474.09</v>
      </c>
      <c r="G217" s="70">
        <f t="shared" si="8"/>
        <v>17689.079999999998</v>
      </c>
      <c r="H217" s="70">
        <f>VLOOKUP(B217,[1]!Table3[[Part Number]:[GQP CAD $]],5,0)</f>
        <v>737.05</v>
      </c>
      <c r="I217" s="74">
        <f t="shared" si="7"/>
        <v>8844.6</v>
      </c>
    </row>
    <row r="218" spans="2:9" x14ac:dyDescent="0.25">
      <c r="B218" s="71" t="s">
        <v>233</v>
      </c>
      <c r="C218" s="67" t="str">
        <f>VLOOKUP(B218,[1]!Table3[[Part Number]:[Make and Model]],2,0)</f>
        <v xml:space="preserve">CAT 299D (DX2)                                            </v>
      </c>
      <c r="D218" s="67" t="str">
        <f>VLOOKUP(B218,[1]!Table3[[Part Number]:[Part Description]],3,0)</f>
        <v>Injector</v>
      </c>
      <c r="E218" s="68">
        <f>VLOOKUP(B218,[1]!Table3[[Part Number]:[Annual]],11,0)</f>
        <v>4</v>
      </c>
      <c r="F218" s="69">
        <f>VLOOKUP(B218,[1]!Table3[[Part Number]:[OEM CAD $]],4,0)</f>
        <v>1852.34</v>
      </c>
      <c r="G218" s="70">
        <f t="shared" si="8"/>
        <v>7409.36</v>
      </c>
      <c r="H218" s="70">
        <f>VLOOKUP(B218,[1]!Table3[[Part Number]:[GQP CAD $]],5,0)</f>
        <v>926.17</v>
      </c>
      <c r="I218" s="74">
        <f t="shared" si="7"/>
        <v>3704.68</v>
      </c>
    </row>
    <row r="219" spans="2:9" x14ac:dyDescent="0.25">
      <c r="B219" s="71" t="s">
        <v>234</v>
      </c>
      <c r="C219" s="67" t="str">
        <f>VLOOKUP(B219,[1]!Table3[[Part Number]:[Make and Model]],2,0)</f>
        <v xml:space="preserve">CAT D3 (1PJ)                                            </v>
      </c>
      <c r="D219" s="67" t="str">
        <f>VLOOKUP(B219,[1]!Table3[[Part Number]:[Part Description]],3,0)</f>
        <v>FUEL INJECTOR</v>
      </c>
      <c r="E219" s="68">
        <f>VLOOKUP(B219,[1]!Table3[[Part Number]:[Annual]],11,0)</f>
        <v>4</v>
      </c>
      <c r="F219" s="69">
        <f>VLOOKUP(B219,[1]!Table3[[Part Number]:[OEM CAD $]],4,0)</f>
        <v>1132.93</v>
      </c>
      <c r="G219" s="70">
        <f t="shared" si="8"/>
        <v>4531.72</v>
      </c>
      <c r="H219" s="70">
        <f>VLOOKUP(B219,[1]!Table3[[Part Number]:[GQP CAD $]],5,0)</f>
        <v>566.47</v>
      </c>
      <c r="I219" s="74">
        <f t="shared" si="7"/>
        <v>2265.88</v>
      </c>
    </row>
    <row r="220" spans="2:9" x14ac:dyDescent="0.25">
      <c r="B220" s="71" t="s">
        <v>235</v>
      </c>
      <c r="C220" s="67" t="str">
        <f>VLOOKUP(B220,[1]!Table3[[Part Number]:[Make and Model]],2,0)</f>
        <v xml:space="preserve">CAT 320 (MYK) CAT 320 (MYK) (2)                                          </v>
      </c>
      <c r="D220" s="67" t="str">
        <f>VLOOKUP(B220,[1]!Table3[[Part Number]:[Part Description]],3,0)</f>
        <v>FUEL INJECTOR</v>
      </c>
      <c r="E220" s="68">
        <f>VLOOKUP(B220,[1]!Table3[[Part Number]:[Annual]],11,0)</f>
        <v>8</v>
      </c>
      <c r="F220" s="69">
        <f>VLOOKUP(B220,[1]!Table3[[Part Number]:[OEM CAD $]],4,0)</f>
        <v>1132.8800000000001</v>
      </c>
      <c r="G220" s="70">
        <f t="shared" si="8"/>
        <v>9063.0400000000009</v>
      </c>
      <c r="H220" s="70">
        <f>VLOOKUP(B220,[1]!Table3[[Part Number]:[GQP CAD $]],5,0)</f>
        <v>566.44000000000005</v>
      </c>
      <c r="I220" s="74">
        <f t="shared" si="7"/>
        <v>4531.5200000000004</v>
      </c>
    </row>
    <row r="221" spans="2:9" x14ac:dyDescent="0.25">
      <c r="B221" s="71" t="s">
        <v>236</v>
      </c>
      <c r="C221" s="67" t="str">
        <f>VLOOKUP(B221,[1]!Table3[[Part Number]:[Make and Model]],2,0)</f>
        <v xml:space="preserve">CAT 320E L (WBK) CAT 320E L (WBK) (2) CAT 329F L (ERL) CAT 329F L (ERL) (2) CAT 330F L (MBX) CAT 330F L (HCK) CAT 330F L (HCK) (2) CAT 330 (LHW) CAT 330 (LHW) (2) CAT 330 (LHW) (3) CAT 330 (LHW) (4) CAT 330 (WCH) CAT 330 (WCH) (2) CAT 330 (WCH) (3) CAT 330 (WCH) (4) CAT 330 (WCH) (5) CAT 330 (WCH) (6) CAT D6N LGP (PBA) CAT D6N LGP (PBA) (2) CAT D6N LGP (SGG) CAT D6N LGP (SGG) (2)    </v>
      </c>
      <c r="D221" s="67" t="str">
        <f>VLOOKUP(B221,[1]!Table3[[Part Number]:[Part Description]],3,0)</f>
        <v>FUEL INJECTOR</v>
      </c>
      <c r="E221" s="68">
        <f>VLOOKUP(B221,[1]!Table3[[Part Number]:[Annual]],11,0)</f>
        <v>126</v>
      </c>
      <c r="F221" s="69">
        <f>VLOOKUP(B221,[1]!Table3[[Part Number]:[OEM CAD $]],4,0)</f>
        <v>1474.09</v>
      </c>
      <c r="G221" s="70">
        <f t="shared" si="8"/>
        <v>185735.34</v>
      </c>
      <c r="H221" s="70">
        <f>VLOOKUP(B221,[1]!Table3[[Part Number]:[GQP CAD $]],5,0)</f>
        <v>737.05</v>
      </c>
      <c r="I221" s="74">
        <f t="shared" si="7"/>
        <v>92868.3</v>
      </c>
    </row>
    <row r="222" spans="2:9" x14ac:dyDescent="0.25">
      <c r="B222" s="71" t="s">
        <v>237</v>
      </c>
      <c r="C222" s="67" t="str">
        <f>VLOOKUP(B222,[1]!Table3[[Part Number]:[Make and Model]],2,0)</f>
        <v xml:space="preserve">CAT D6 (RDC)                                            </v>
      </c>
      <c r="D222" s="67" t="str">
        <f>VLOOKUP(B222,[1]!Table3[[Part Number]:[Part Description]],3,0)</f>
        <v>INJECTOR</v>
      </c>
      <c r="E222" s="68">
        <f>VLOOKUP(B222,[1]!Table3[[Part Number]:[Annual]],11,0)</f>
        <v>6</v>
      </c>
      <c r="F222" s="69">
        <f>VLOOKUP(B222,[1]!Table3[[Part Number]:[OEM CAD $]],4,0)</f>
        <v>1423.26</v>
      </c>
      <c r="G222" s="70">
        <f t="shared" si="8"/>
        <v>8539.56</v>
      </c>
      <c r="H222" s="70">
        <f>VLOOKUP(B222,[1]!Table3[[Part Number]:[GQP CAD $]],5,0)</f>
        <v>711.63</v>
      </c>
      <c r="I222" s="74">
        <f t="shared" si="7"/>
        <v>4269.78</v>
      </c>
    </row>
    <row r="223" spans="2:9" x14ac:dyDescent="0.25">
      <c r="B223" s="71" t="s">
        <v>238</v>
      </c>
      <c r="C223" s="67" t="str">
        <f>VLOOKUP(B223,[1]!Table3[[Part Number]:[Make and Model]],2,0)</f>
        <v xml:space="preserve">CAT D7G (92V) CAT D7G (3ZD) CAT D7G (3ZD) (2)                                        </v>
      </c>
      <c r="D223" s="67" t="str">
        <f>VLOOKUP(B223,[1]!Table3[[Part Number]:[Part Description]],3,0)</f>
        <v>INJECTORS</v>
      </c>
      <c r="E223" s="68">
        <f>VLOOKUP(B223,[1]!Table3[[Part Number]:[Annual]],11,0)</f>
        <v>18</v>
      </c>
      <c r="F223" s="69">
        <f>VLOOKUP(B223,[1]!Table3[[Part Number]:[OEM CAD $]],4,0)</f>
        <v>500.81</v>
      </c>
      <c r="G223" s="70">
        <f t="shared" si="8"/>
        <v>9014.58</v>
      </c>
      <c r="H223" s="70">
        <f>VLOOKUP(B223,[1]!Table3[[Part Number]:[GQP CAD $]],5,0)</f>
        <v>250.41</v>
      </c>
      <c r="I223" s="74">
        <f t="shared" si="7"/>
        <v>4507.38</v>
      </c>
    </row>
    <row r="224" spans="2:9" x14ac:dyDescent="0.25">
      <c r="B224" s="71" t="s">
        <v>239</v>
      </c>
      <c r="C224" s="67" t="str">
        <f>VLOOKUP(B224,[1]!Table3[[Part Number]:[Make and Model]],2,0)</f>
        <v xml:space="preserve">CAT 561 (85H) CAT 561 (92J) CAT 561 (92J) (2)                                        </v>
      </c>
      <c r="D224" s="67" t="str">
        <f>VLOOKUP(B224,[1]!Table3[[Part Number]:[Part Description]],3,0)</f>
        <v>FUEL INJECTOR</v>
      </c>
      <c r="E224" s="68">
        <f>VLOOKUP(B224,[1]!Table3[[Part Number]:[Annual]],11,0)</f>
        <v>18</v>
      </c>
      <c r="F224" s="69">
        <f>VLOOKUP(B224,[1]!Table3[[Part Number]:[OEM CAD $]],4,0)</f>
        <v>167.77</v>
      </c>
      <c r="G224" s="70">
        <f t="shared" si="8"/>
        <v>3019.86</v>
      </c>
      <c r="H224" s="70">
        <f>VLOOKUP(B224,[1]!Table3[[Part Number]:[GQP CAD $]],5,0)</f>
        <v>83.89</v>
      </c>
      <c r="I224" s="74">
        <f t="shared" si="7"/>
        <v>1510.02</v>
      </c>
    </row>
    <row r="225" spans="2:9" x14ac:dyDescent="0.25">
      <c r="B225" s="71" t="s">
        <v>323</v>
      </c>
      <c r="C225" s="67" t="str">
        <f>VLOOKUP(B225,[1]!Table3[[Part Number]:[Make and Model]],2,0)</f>
        <v xml:space="preserve">CAT 329F L (ERL) CAT 329F L (ERL) (2)                                          </v>
      </c>
      <c r="D225" s="67" t="str">
        <f>VLOOKUP(B225,[1]!Table3[[Part Number]:[Part Description]],3,0)</f>
        <v xml:space="preserve">SEAT ASSEMBLY </v>
      </c>
      <c r="E225" s="68">
        <f>VLOOKUP(B225,[1]!Table3[[Part Number]:[Annual]],11,0)</f>
        <v>2</v>
      </c>
      <c r="F225" s="69">
        <f>VLOOKUP(B225,[1]!Table3[[Part Number]:[OEM CAD $]],4,0)</f>
        <v>3384.84</v>
      </c>
      <c r="G225" s="70">
        <f t="shared" si="8"/>
        <v>6769.68</v>
      </c>
      <c r="H225" s="70">
        <f>VLOOKUP(B225,[1]!Table3[[Part Number]:[GQP CAD $]],5,0)</f>
        <v>1692.42</v>
      </c>
      <c r="I225" s="74">
        <f t="shared" si="7"/>
        <v>3384.84</v>
      </c>
    </row>
    <row r="226" spans="2:9" x14ac:dyDescent="0.25">
      <c r="B226" s="71" t="s">
        <v>324</v>
      </c>
      <c r="C226" s="67" t="str">
        <f>VLOOKUP(B226,[1]!Table3[[Part Number]:[Make and Model]],2,0)</f>
        <v xml:space="preserve">CAT 329F L (ERL) CAT 329F L (ERL) (2)                                          </v>
      </c>
      <c r="D226" s="67" t="str">
        <f>VLOOKUP(B226,[1]!Table3[[Part Number]:[Part Description]],3,0)</f>
        <v>SEAT SUSPENSION ASSEMBLY</v>
      </c>
      <c r="E226" s="68">
        <f>VLOOKUP(B226,[1]!Table3[[Part Number]:[Annual]],11,0)</f>
        <v>2</v>
      </c>
      <c r="F226" s="69">
        <f>VLOOKUP(B226,[1]!Table3[[Part Number]:[OEM CAD $]],4,0)</f>
        <v>3739.65</v>
      </c>
      <c r="G226" s="70">
        <f t="shared" si="8"/>
        <v>7479.3</v>
      </c>
      <c r="H226" s="70">
        <f>VLOOKUP(B226,[1]!Table3[[Part Number]:[GQP CAD $]],5,0)</f>
        <v>1869.83</v>
      </c>
      <c r="I226" s="74">
        <f t="shared" si="7"/>
        <v>3739.66</v>
      </c>
    </row>
    <row r="227" spans="2:9" x14ac:dyDescent="0.25">
      <c r="B227" s="71" t="s">
        <v>325</v>
      </c>
      <c r="C227" s="67" t="str">
        <f>VLOOKUP(B227,[1]!Table3[[Part Number]:[Make and Model]],2,0)</f>
        <v xml:space="preserve">CAT 320F L (YBM) CAT 329E L (ZCD) CAT 330F L (MBX) CAT 330F L (HCK) CAT 330F L (HCK) (2) CAT 336F L (RKB)                                  </v>
      </c>
      <c r="D227" s="67" t="str">
        <f>VLOOKUP(B227,[1]!Table3[[Part Number]:[Part Description]],3,0)</f>
        <v>SEAT SUSPENSION ASSEMBLY</v>
      </c>
      <c r="E227" s="68">
        <f>VLOOKUP(B227,[1]!Table3[[Part Number]:[Annual]],11,0)</f>
        <v>6</v>
      </c>
      <c r="F227" s="69">
        <f>VLOOKUP(B227,[1]!Table3[[Part Number]:[OEM CAD $]],4,0)</f>
        <v>4369.08</v>
      </c>
      <c r="G227" s="70">
        <f t="shared" si="8"/>
        <v>26214.48</v>
      </c>
      <c r="H227" s="70">
        <f>VLOOKUP(B227,[1]!Table3[[Part Number]:[GQP CAD $]],5,0)</f>
        <v>2184.54</v>
      </c>
      <c r="I227" s="74">
        <f t="shared" si="7"/>
        <v>13107.24</v>
      </c>
    </row>
    <row r="228" spans="2:9" x14ac:dyDescent="0.25">
      <c r="B228" s="71" t="s">
        <v>340</v>
      </c>
      <c r="C228" s="67" t="str">
        <f>VLOOKUP(B228,[1]!Table3[[Part Number]:[Make and Model]],2,0)</f>
        <v xml:space="preserve">CAT 303.5E                                            </v>
      </c>
      <c r="D228" s="67" t="str">
        <f>VLOOKUP(B228,[1]!Table3[[Part Number]:[Part Description]],3,0)</f>
        <v xml:space="preserve">SUSPENSION SEAT ASSEMBLY </v>
      </c>
      <c r="E228" s="68">
        <f>VLOOKUP(B228,[1]!Table3[[Part Number]:[Annual]],11,0)</f>
        <v>1</v>
      </c>
      <c r="F228" s="69">
        <f>VLOOKUP(B228,[1]!Table3[[Part Number]:[OEM CAD $]],4,0)</f>
        <v>3786.04</v>
      </c>
      <c r="G228" s="70">
        <f t="shared" si="8"/>
        <v>3786.04</v>
      </c>
      <c r="H228" s="70">
        <f>VLOOKUP(B228,[1]!Table3[[Part Number]:[GQP CAD $]],5,0)</f>
        <v>1893.02</v>
      </c>
      <c r="I228" s="74">
        <f t="shared" si="7"/>
        <v>1893.02</v>
      </c>
    </row>
    <row r="229" spans="2:9" x14ac:dyDescent="0.25">
      <c r="B229" s="71" t="s">
        <v>195</v>
      </c>
      <c r="C229" s="67" t="str">
        <f>VLOOKUP(B229,[1]!Table3[[Part Number]:[Make and Model]],2,0)</f>
        <v xml:space="preserve">CAT 299D (DX2)                                            </v>
      </c>
      <c r="D229" s="67" t="str">
        <f>VLOOKUP(B229,[1]!Table3[[Part Number]:[Part Description]],3,0)</f>
        <v>Suspension GP - Seat</v>
      </c>
      <c r="E229" s="68">
        <f>VLOOKUP(B229,[1]!Table3[[Part Number]:[Annual]],11,0)</f>
        <v>1</v>
      </c>
      <c r="F229" s="69">
        <f>VLOOKUP(B229,[1]!Table3[[Part Number]:[OEM CAD $]],4,0)</f>
        <v>2811.32</v>
      </c>
      <c r="G229" s="70">
        <f t="shared" si="8"/>
        <v>2811.32</v>
      </c>
      <c r="H229" s="70">
        <f>VLOOKUP(B229,[1]!Table3[[Part Number]:[GQP CAD $]],5,0)</f>
        <v>1405.66</v>
      </c>
      <c r="I229" s="74">
        <f t="shared" si="7"/>
        <v>1405.66</v>
      </c>
    </row>
    <row r="230" spans="2:9" x14ac:dyDescent="0.25">
      <c r="B230" s="71" t="s">
        <v>362</v>
      </c>
      <c r="C230" s="67" t="str">
        <f>VLOOKUP(B230,[1]!Table3[[Part Number]:[Make and Model]],2,0)</f>
        <v xml:space="preserve">CAT 320 (HEX) CAT 320 (MYK) CAT 320 (MYK) (2) CAT 330 (LHW) CAT 330 (LHW) (2) CAT 330 (LHW) (3) CAT 330 (LHW) (4) CAT 330 (WCH) CAT 330 (WCH) (2) CAT 330 (WCH) (3) CAT 330 (WCH) (4) CAT 330 (WCH) (5) CAT 330 (WCH) (6)                    </v>
      </c>
      <c r="D230" s="67" t="str">
        <f>VLOOKUP(B230,[1]!Table3[[Part Number]:[Part Description]],3,0)</f>
        <v>SUSPENSION SEAT ASSEMBLY</v>
      </c>
      <c r="E230" s="68">
        <f>VLOOKUP(B230,[1]!Table3[[Part Number]:[Annual]],11,0)</f>
        <v>13</v>
      </c>
      <c r="F230" s="69">
        <f>VLOOKUP(B230,[1]!Table3[[Part Number]:[OEM CAD $]],4,0)</f>
        <v>8493.36</v>
      </c>
      <c r="G230" s="70">
        <f t="shared" si="8"/>
        <v>110413.68000000001</v>
      </c>
      <c r="H230" s="70">
        <f>VLOOKUP(B230,[1]!Table3[[Part Number]:[GQP CAD $]],5,0)</f>
        <v>4246.68</v>
      </c>
      <c r="I230" s="74">
        <f t="shared" si="7"/>
        <v>55206.84</v>
      </c>
    </row>
    <row r="231" spans="2:9" x14ac:dyDescent="0.25">
      <c r="B231" s="71" t="s">
        <v>366</v>
      </c>
      <c r="C231" s="67" t="str">
        <f>VLOOKUP(B231,[1]!Table3[[Part Number]:[Make and Model]],2,0)</f>
        <v xml:space="preserve">CAT 320F L (YBM) CAT 329E L (ZCD) CAT 330F L (MBX) CAT 330F L (HCK) CAT 330F L (HCK) (2) CAT 336F L (RKB)                                  </v>
      </c>
      <c r="D231" s="67" t="str">
        <f>VLOOKUP(B231,[1]!Table3[[Part Number]:[Part Description]],3,0)</f>
        <v xml:space="preserve">OPERATOR SEAT ASSEMBLY </v>
      </c>
      <c r="E231" s="68">
        <f>VLOOKUP(B231,[1]!Table3[[Part Number]:[Annual]],11,0)</f>
        <v>6</v>
      </c>
      <c r="F231" s="69">
        <f>VLOOKUP(B231,[1]!Table3[[Part Number]:[OEM CAD $]],4,0)</f>
        <v>4161.4399999999996</v>
      </c>
      <c r="G231" s="70">
        <f t="shared" si="8"/>
        <v>24968.639999999999</v>
      </c>
      <c r="H231" s="70">
        <f>VLOOKUP(B231,[1]!Table3[[Part Number]:[GQP CAD $]],5,0)</f>
        <v>2080.7199999999998</v>
      </c>
      <c r="I231" s="74">
        <f t="shared" si="7"/>
        <v>12484.32</v>
      </c>
    </row>
    <row r="232" spans="2:9" x14ac:dyDescent="0.25">
      <c r="B232" s="71" t="s">
        <v>205</v>
      </c>
      <c r="C232" s="67" t="str">
        <f>VLOOKUP(B232,[1]!Table3[[Part Number]:[Make and Model]],2,0)</f>
        <v xml:space="preserve">CAT 561N (CPH) CAT 561N (CPH) (2) CAT 561N (CPH) (3) CAT 561N (CPH) (4) CAT 561N (CPH) (5)                                    </v>
      </c>
      <c r="D232" s="67" t="str">
        <f>VLOOKUP(B232,[1]!Table3[[Part Number]:[Part Description]],3,0)</f>
        <v>SEAT ASSY</v>
      </c>
      <c r="E232" s="68">
        <f>VLOOKUP(B232,[1]!Table3[[Part Number]:[Annual]],11,0)</f>
        <v>5</v>
      </c>
      <c r="F232" s="69">
        <f>VLOOKUP(B232,[1]!Table3[[Part Number]:[OEM CAD $]],4,0)</f>
        <v>2482.65</v>
      </c>
      <c r="G232" s="70">
        <f t="shared" si="8"/>
        <v>12413.25</v>
      </c>
      <c r="H232" s="70">
        <f>VLOOKUP(B232,[1]!Table3[[Part Number]:[GQP CAD $]],5,0)</f>
        <v>1241.33</v>
      </c>
      <c r="I232" s="74">
        <f t="shared" si="7"/>
        <v>6206.65</v>
      </c>
    </row>
    <row r="233" spans="2:9" x14ac:dyDescent="0.25">
      <c r="B233" s="71">
        <v>6730108</v>
      </c>
      <c r="C233" s="67" t="str">
        <f>VLOOKUP(B233,[1]!Table3[[Part Number]:[Make and Model]],2,0)</f>
        <v xml:space="preserve">BOBCAT S650 (A3N)                                            </v>
      </c>
      <c r="D233" s="67" t="str">
        <f>VLOOKUP(B233,[1]!Table3[[Part Number]:[Part Description]],3,0)</f>
        <v>Tires - 12x16.5</v>
      </c>
      <c r="E233" s="68">
        <f>VLOOKUP(B233,[1]!Table3[[Part Number]:[Annual]],11,0)</f>
        <v>4</v>
      </c>
      <c r="F233" s="69">
        <f>VLOOKUP(B233,[1]!Table3[[Part Number]:[OEM CAD $]],4,0)</f>
        <v>728.49</v>
      </c>
      <c r="G233" s="70">
        <f t="shared" si="8"/>
        <v>2913.96</v>
      </c>
      <c r="H233" s="70">
        <f>VLOOKUP(B233,[1]!Table3[[Part Number]:[GQP CAD $]],5,0)</f>
        <v>364.25</v>
      </c>
      <c r="I233" s="74">
        <f t="shared" si="7"/>
        <v>1457</v>
      </c>
    </row>
    <row r="234" spans="2:9" x14ac:dyDescent="0.25">
      <c r="B234" s="71">
        <v>7008469</v>
      </c>
      <c r="C234" s="67" t="str">
        <f>VLOOKUP(B234,[1]!Table3[[Part Number]:[Make and Model]],2,0)</f>
        <v xml:space="preserve">BOBCAT S650 (A3N)                                            </v>
      </c>
      <c r="D234" s="67" t="str">
        <f>VLOOKUP(B234,[1]!Table3[[Part Number]:[Part Description]],3,0)</f>
        <v>Turbocharger AS</v>
      </c>
      <c r="E234" s="68">
        <f>VLOOKUP(B234,[1]!Table3[[Part Number]:[Annual]],11,0)</f>
        <v>1</v>
      </c>
      <c r="F234" s="69">
        <f>VLOOKUP(B234,[1]!Table3[[Part Number]:[OEM CAD $]],4,0)</f>
        <v>3921.49</v>
      </c>
      <c r="G234" s="70">
        <f t="shared" si="8"/>
        <v>3921.49</v>
      </c>
      <c r="H234" s="70">
        <f>VLOOKUP(B234,[1]!Table3[[Part Number]:[GQP CAD $]],5,0)</f>
        <v>1960.75</v>
      </c>
      <c r="I234" s="74">
        <f t="shared" si="7"/>
        <v>1960.75</v>
      </c>
    </row>
    <row r="235" spans="2:9" x14ac:dyDescent="0.25">
      <c r="B235" s="71">
        <v>7017202</v>
      </c>
      <c r="C235" s="67" t="str">
        <f>VLOOKUP(B235,[1]!Table3[[Part Number]:[Make and Model]],2,0)</f>
        <v xml:space="preserve">BOBCAT T750 (ANK)                                            </v>
      </c>
      <c r="D235" s="67" t="str">
        <f>VLOOKUP(B235,[1]!Table3[[Part Number]:[Part Description]],3,0)</f>
        <v>Turbocharger AS</v>
      </c>
      <c r="E235" s="68">
        <f>VLOOKUP(B235,[1]!Table3[[Part Number]:[Annual]],11,0)</f>
        <v>1</v>
      </c>
      <c r="F235" s="69">
        <f>VLOOKUP(B235,[1]!Table3[[Part Number]:[OEM CAD $]],4,0)</f>
        <v>4318.99</v>
      </c>
      <c r="G235" s="70">
        <f t="shared" si="8"/>
        <v>4318.99</v>
      </c>
      <c r="H235" s="70">
        <f>VLOOKUP(B235,[1]!Table3[[Part Number]:[GQP CAD $]],5,0)</f>
        <v>2159.5</v>
      </c>
      <c r="I235" s="74">
        <f t="shared" si="7"/>
        <v>2159.5</v>
      </c>
    </row>
    <row r="236" spans="2:9" x14ac:dyDescent="0.25">
      <c r="B236" s="71">
        <v>7024308</v>
      </c>
      <c r="C236" s="67" t="str">
        <f>VLOOKUP(B236,[1]!Table3[[Part Number]:[Make and Model]],2,0)</f>
        <v xml:space="preserve">BOBCAT T750 (ATF)                                            </v>
      </c>
      <c r="D236" s="67" t="str">
        <f>VLOOKUP(B236,[1]!Table3[[Part Number]:[Part Description]],3,0)</f>
        <v>Turbocharger AS</v>
      </c>
      <c r="E236" s="68">
        <f>VLOOKUP(B236,[1]!Table3[[Part Number]:[Annual]],11,0)</f>
        <v>1</v>
      </c>
      <c r="F236" s="69">
        <f>VLOOKUP(B236,[1]!Table3[[Part Number]:[OEM CAD $]],4,0)</f>
        <v>4724.49</v>
      </c>
      <c r="G236" s="70">
        <f t="shared" si="8"/>
        <v>4724.49</v>
      </c>
      <c r="H236" s="70">
        <f>VLOOKUP(B236,[1]!Table3[[Part Number]:[GQP CAD $]],5,0)</f>
        <v>2362.25</v>
      </c>
      <c r="I236" s="74">
        <f t="shared" si="7"/>
        <v>2362.25</v>
      </c>
    </row>
    <row r="237" spans="2:9" x14ac:dyDescent="0.25">
      <c r="B237" s="71">
        <v>7256748</v>
      </c>
      <c r="C237" s="67" t="str">
        <f>VLOOKUP(B237,[1]!Table3[[Part Number]:[Make and Model]],2,0)</f>
        <v xml:space="preserve">BOBCAT T770 (AT6) BOBCAT T770 (AT6) (2)                                          </v>
      </c>
      <c r="D237" s="67" t="str">
        <f>VLOOKUP(B237,[1]!Table3[[Part Number]:[Part Description]],3,0)</f>
        <v>Turbocharger AS</v>
      </c>
      <c r="E237" s="68">
        <f>VLOOKUP(B237,[1]!Table3[[Part Number]:[Annual]],11,0)</f>
        <v>2</v>
      </c>
      <c r="F237" s="69">
        <f>VLOOKUP(B237,[1]!Table3[[Part Number]:[OEM CAD $]],4,0)</f>
        <v>2465.4899999999998</v>
      </c>
      <c r="G237" s="70">
        <f t="shared" si="8"/>
        <v>4930.9799999999996</v>
      </c>
      <c r="H237" s="70">
        <f>VLOOKUP(B237,[1]!Table3[[Part Number]:[GQP CAD $]],5,0)</f>
        <v>1232.75</v>
      </c>
      <c r="I237" s="74">
        <f t="shared" si="7"/>
        <v>2465.5</v>
      </c>
    </row>
    <row r="238" spans="2:9" x14ac:dyDescent="0.25">
      <c r="B238" s="71" t="s">
        <v>240</v>
      </c>
      <c r="C238" s="67" t="str">
        <f>VLOOKUP(B238,[1]!Table3[[Part Number]:[Make and Model]],2,0)</f>
        <v xml:space="preserve">CAT D5 (3CR) CAT D5 (3CR) (2) CAT 561M (1KW)                                        </v>
      </c>
      <c r="D238" s="67" t="str">
        <f>VLOOKUP(B238,[1]!Table3[[Part Number]:[Part Description]],3,0)</f>
        <v>TURBOCHARGER ASSEMBLY</v>
      </c>
      <c r="E238" s="68">
        <f>VLOOKUP(B238,[1]!Table3[[Part Number]:[Annual]],11,0)</f>
        <v>3</v>
      </c>
      <c r="F238" s="69">
        <f>VLOOKUP(B238,[1]!Table3[[Part Number]:[OEM CAD $]],4,0)</f>
        <v>4677.47</v>
      </c>
      <c r="G238" s="70">
        <f t="shared" si="8"/>
        <v>14032.41</v>
      </c>
      <c r="H238" s="70">
        <f>VLOOKUP(B238,[1]!Table3[[Part Number]:[GQP CAD $]],5,0)</f>
        <v>2338.7399999999998</v>
      </c>
      <c r="I238" s="74">
        <f t="shared" si="7"/>
        <v>7016.22</v>
      </c>
    </row>
    <row r="239" spans="2:9" x14ac:dyDescent="0.25">
      <c r="B239" s="71" t="s">
        <v>241</v>
      </c>
      <c r="C239" s="67" t="str">
        <f>VLOOKUP(B239,[1]!Table3[[Part Number]:[Make and Model]],2,0)</f>
        <v xml:space="preserve">CAT 561N (CPH) CAT 561N (CPH) (2) CAT 561N (CPH) (3) CAT 561N (CPH) (4) CAT 561N (CPH) (5)                                    </v>
      </c>
      <c r="D239" s="67" t="str">
        <f>VLOOKUP(B239,[1]!Table3[[Part Number]:[Part Description]],3,0)</f>
        <v>TURBOCHARGER</v>
      </c>
      <c r="E239" s="68">
        <f>VLOOKUP(B239,[1]!Table3[[Part Number]:[Annual]],11,0)</f>
        <v>5</v>
      </c>
      <c r="F239" s="69">
        <f>VLOOKUP(B239,[1]!Table3[[Part Number]:[OEM CAD $]],4,0)</f>
        <v>5839.53</v>
      </c>
      <c r="G239" s="70">
        <f t="shared" si="8"/>
        <v>29197.649999999998</v>
      </c>
      <c r="H239" s="70">
        <f>VLOOKUP(B239,[1]!Table3[[Part Number]:[GQP CAD $]],5,0)</f>
        <v>2919.77</v>
      </c>
      <c r="I239" s="74">
        <f t="shared" si="7"/>
        <v>14598.85</v>
      </c>
    </row>
    <row r="240" spans="2:9" x14ac:dyDescent="0.25">
      <c r="B240" s="71" t="s">
        <v>242</v>
      </c>
      <c r="C240" s="67" t="str">
        <f>VLOOKUP(B240,[1]!Table3[[Part Number]:[Make and Model]],2,0)</f>
        <v xml:space="preserve">CAT D4 (66J)                                            </v>
      </c>
      <c r="D240" s="67" t="str">
        <f>VLOOKUP(B240,[1]!Table3[[Part Number]:[Part Description]],3,0)</f>
        <v>TURBOCHARGER ASSEMBLY</v>
      </c>
      <c r="E240" s="68">
        <f>VLOOKUP(B240,[1]!Table3[[Part Number]:[Annual]],11,0)</f>
        <v>1</v>
      </c>
      <c r="F240" s="69">
        <f>VLOOKUP(B240,[1]!Table3[[Part Number]:[OEM CAD $]],4,0)</f>
        <v>3627.05</v>
      </c>
      <c r="G240" s="70">
        <f t="shared" si="8"/>
        <v>3627.05</v>
      </c>
      <c r="H240" s="70">
        <f>VLOOKUP(B240,[1]!Table3[[Part Number]:[GQP CAD $]],5,0)</f>
        <v>1813.53</v>
      </c>
      <c r="I240" s="74">
        <f t="shared" si="7"/>
        <v>1813.53</v>
      </c>
    </row>
    <row r="241" spans="2:9" x14ac:dyDescent="0.25">
      <c r="B241" s="71" t="s">
        <v>243</v>
      </c>
      <c r="C241" s="67" t="str">
        <f>VLOOKUP(B241,[1]!Table3[[Part Number]:[Make and Model]],2,0)</f>
        <v xml:space="preserve">CAT D3 (1PJ)                                            </v>
      </c>
      <c r="D241" s="67" t="str">
        <f>VLOOKUP(B241,[1]!Table3[[Part Number]:[Part Description]],3,0)</f>
        <v>TURBOCHARGER ASSEMBLY</v>
      </c>
      <c r="E241" s="68">
        <f>VLOOKUP(B241,[1]!Table3[[Part Number]:[Annual]],11,0)</f>
        <v>1</v>
      </c>
      <c r="F241" s="69">
        <f>VLOOKUP(B241,[1]!Table3[[Part Number]:[OEM CAD $]],4,0)</f>
        <v>4384.51</v>
      </c>
      <c r="G241" s="70">
        <f t="shared" si="8"/>
        <v>4384.51</v>
      </c>
      <c r="H241" s="70">
        <f>VLOOKUP(B241,[1]!Table3[[Part Number]:[GQP CAD $]],5,0)</f>
        <v>2192.2600000000002</v>
      </c>
      <c r="I241" s="74">
        <f t="shared" si="7"/>
        <v>2192.2600000000002</v>
      </c>
    </row>
    <row r="242" spans="2:9" x14ac:dyDescent="0.25">
      <c r="B242" s="71" t="s">
        <v>244</v>
      </c>
      <c r="C242" s="67" t="str">
        <f>VLOOKUP(B242,[1]!Table3[[Part Number]:[Make and Model]],2,0)</f>
        <v xml:space="preserve">CAT 329E L (ZCD)                                            </v>
      </c>
      <c r="D242" s="67" t="str">
        <f>VLOOKUP(B242,[1]!Table3[[Part Number]:[Part Description]],3,0)</f>
        <v>SECONDARY TURBOCHARGER ASSEMBLY</v>
      </c>
      <c r="E242" s="68">
        <f>VLOOKUP(B242,[1]!Table3[[Part Number]:[Annual]],11,0)</f>
        <v>1</v>
      </c>
      <c r="F242" s="69">
        <f>VLOOKUP(B242,[1]!Table3[[Part Number]:[OEM CAD $]],4,0)</f>
        <v>4722.29</v>
      </c>
      <c r="G242" s="70">
        <f t="shared" si="8"/>
        <v>4722.29</v>
      </c>
      <c r="H242" s="70">
        <f>VLOOKUP(B242,[1]!Table3[[Part Number]:[GQP CAD $]],5,0)</f>
        <v>2361.15</v>
      </c>
      <c r="I242" s="74">
        <f t="shared" si="7"/>
        <v>2361.15</v>
      </c>
    </row>
    <row r="243" spans="2:9" x14ac:dyDescent="0.25">
      <c r="B243" s="71" t="s">
        <v>245</v>
      </c>
      <c r="C243" s="67" t="str">
        <f>VLOOKUP(B243,[1]!Table3[[Part Number]:[Make and Model]],2,0)</f>
        <v xml:space="preserve">CAT 320F L (YBM) CAT 320 (HEX)                                          </v>
      </c>
      <c r="D243" s="67" t="str">
        <f>VLOOKUP(B243,[1]!Table3[[Part Number]:[Part Description]],3,0)</f>
        <v>PRIMARY TURBOCHARGER ASSEMBLY</v>
      </c>
      <c r="E243" s="68">
        <f>VLOOKUP(B243,[1]!Table3[[Part Number]:[Annual]],11,0)</f>
        <v>2</v>
      </c>
      <c r="F243" s="69">
        <f>VLOOKUP(B243,[1]!Table3[[Part Number]:[OEM CAD $]],4,0)</f>
        <v>3725.79</v>
      </c>
      <c r="G243" s="70">
        <f t="shared" si="8"/>
        <v>7451.58</v>
      </c>
      <c r="H243" s="70">
        <f>VLOOKUP(B243,[1]!Table3[[Part Number]:[GQP CAD $]],5,0)</f>
        <v>1862.9</v>
      </c>
      <c r="I243" s="74">
        <f t="shared" si="7"/>
        <v>3725.8</v>
      </c>
    </row>
    <row r="244" spans="2:9" x14ac:dyDescent="0.25">
      <c r="B244" s="71" t="s">
        <v>246</v>
      </c>
      <c r="C244" s="67" t="str">
        <f>VLOOKUP(B244,[1]!Table3[[Part Number]:[Make and Model]],2,0)</f>
        <v xml:space="preserve">CAT 336F L (RKB)                                            </v>
      </c>
      <c r="D244" s="67" t="str">
        <f>VLOOKUP(B244,[1]!Table3[[Part Number]:[Part Description]],3,0)</f>
        <v>TURBOCHARGER ASSEMBLY</v>
      </c>
      <c r="E244" s="68">
        <f>VLOOKUP(B244,[1]!Table3[[Part Number]:[Annual]],11,0)</f>
        <v>1</v>
      </c>
      <c r="F244" s="69">
        <f>VLOOKUP(B244,[1]!Table3[[Part Number]:[OEM CAD $]],4,0)</f>
        <v>7358.86</v>
      </c>
      <c r="G244" s="70">
        <f t="shared" si="8"/>
        <v>7358.86</v>
      </c>
      <c r="H244" s="70">
        <f>VLOOKUP(B244,[1]!Table3[[Part Number]:[GQP CAD $]],5,0)</f>
        <v>3679.43</v>
      </c>
      <c r="I244" s="74">
        <f t="shared" si="7"/>
        <v>3679.43</v>
      </c>
    </row>
    <row r="245" spans="2:9" x14ac:dyDescent="0.25">
      <c r="B245" s="71" t="s">
        <v>247</v>
      </c>
      <c r="C245" s="67" t="str">
        <f>VLOOKUP(B245,[1]!Table3[[Part Number]:[Make and Model]],2,0)</f>
        <v xml:space="preserve">CAT 329E L (ZCD)                                            </v>
      </c>
      <c r="D245" s="67" t="str">
        <f>VLOOKUP(B245,[1]!Table3[[Part Number]:[Part Description]],3,0)</f>
        <v>PRIMARY TURBOCHARGER ASSEMBLY</v>
      </c>
      <c r="E245" s="68">
        <f>VLOOKUP(B245,[1]!Table3[[Part Number]:[Annual]],11,0)</f>
        <v>1</v>
      </c>
      <c r="F245" s="69">
        <f>VLOOKUP(B245,[1]!Table3[[Part Number]:[OEM CAD $]],4,0)</f>
        <v>3927.73</v>
      </c>
      <c r="G245" s="70">
        <f t="shared" si="8"/>
        <v>3927.73</v>
      </c>
      <c r="H245" s="70">
        <f>VLOOKUP(B245,[1]!Table3[[Part Number]:[GQP CAD $]],5,0)</f>
        <v>1963.87</v>
      </c>
      <c r="I245" s="74">
        <f t="shared" si="7"/>
        <v>1963.87</v>
      </c>
    </row>
    <row r="246" spans="2:9" x14ac:dyDescent="0.25">
      <c r="B246" s="71" t="s">
        <v>248</v>
      </c>
      <c r="C246" s="67" t="str">
        <f>VLOOKUP(B246,[1]!Table3[[Part Number]:[Make and Model]],2,0)</f>
        <v xml:space="preserve">CAT 329F L (ERL) CAT 329F L (ERL) (2) CAT 330F L (MBX) CAT 330F L (HCK) CAT 330F L (HCK) (2) CAT 330 (LHW) CAT 330 (LHW) (2) CAT 330 (LHW) (3) CAT 330 (LHW) (4) CAT 330 (WCH) CAT 330 (WCH) (2) CAT 330 (WCH) (3) CAT 330 (WCH) (4) CAT 330 (WCH) (5) CAT 330 (WCH) (6)                </v>
      </c>
      <c r="D246" s="67" t="str">
        <f>VLOOKUP(B246,[1]!Table3[[Part Number]:[Part Description]],3,0)</f>
        <v>PRIMARY TURBOCHARGER ASSEMBLY</v>
      </c>
      <c r="E246" s="68">
        <f>VLOOKUP(B246,[1]!Table3[[Part Number]:[Annual]],11,0)</f>
        <v>15</v>
      </c>
      <c r="F246" s="69">
        <f>VLOOKUP(B246,[1]!Table3[[Part Number]:[OEM CAD $]],4,0)</f>
        <v>4722.29</v>
      </c>
      <c r="G246" s="70">
        <f t="shared" si="8"/>
        <v>70834.350000000006</v>
      </c>
      <c r="H246" s="70">
        <f>VLOOKUP(B246,[1]!Table3[[Part Number]:[GQP CAD $]],5,0)</f>
        <v>2361.15</v>
      </c>
      <c r="I246" s="74">
        <f t="shared" si="7"/>
        <v>35417.25</v>
      </c>
    </row>
    <row r="247" spans="2:9" x14ac:dyDescent="0.25">
      <c r="B247" s="71" t="s">
        <v>249</v>
      </c>
      <c r="C247" s="67" t="str">
        <f>VLOOKUP(B247,[1]!Table3[[Part Number]:[Make and Model]],2,0)</f>
        <v xml:space="preserve">CAT D6T (MH7)                                            </v>
      </c>
      <c r="D247" s="67" t="str">
        <f>VLOOKUP(B247,[1]!Table3[[Part Number]:[Part Description]],3,0)</f>
        <v>TURBOCHARGER ASSEMBLY</v>
      </c>
      <c r="E247" s="68">
        <f>VLOOKUP(B247,[1]!Table3[[Part Number]:[Annual]],11,0)</f>
        <v>1</v>
      </c>
      <c r="F247" s="69">
        <f>VLOOKUP(B247,[1]!Table3[[Part Number]:[OEM CAD $]],4,0)</f>
        <v>7083.49</v>
      </c>
      <c r="G247" s="70">
        <f t="shared" si="8"/>
        <v>7083.49</v>
      </c>
      <c r="H247" s="70">
        <f>VLOOKUP(B247,[1]!Table3[[Part Number]:[GQP CAD $]],5,0)</f>
        <v>3541.75</v>
      </c>
      <c r="I247" s="74">
        <f t="shared" si="7"/>
        <v>3541.75</v>
      </c>
    </row>
    <row r="248" spans="2:9" x14ac:dyDescent="0.25">
      <c r="B248" s="71" t="s">
        <v>250</v>
      </c>
      <c r="C248" s="67" t="str">
        <f>VLOOKUP(B248,[1]!Table3[[Part Number]:[Make and Model]],2,0)</f>
        <v xml:space="preserve">CAT 299D (DX2)                                            </v>
      </c>
      <c r="D248" s="67" t="str">
        <f>VLOOKUP(B248,[1]!Table3[[Part Number]:[Part Description]],3,0)</f>
        <v>Turbocharger AS</v>
      </c>
      <c r="E248" s="68">
        <f>VLOOKUP(B248,[1]!Table3[[Part Number]:[Annual]],11,0)</f>
        <v>1</v>
      </c>
      <c r="F248" s="69">
        <f>VLOOKUP(B248,[1]!Table3[[Part Number]:[OEM CAD $]],4,0)</f>
        <v>750</v>
      </c>
      <c r="G248" s="70">
        <f t="shared" si="8"/>
        <v>750</v>
      </c>
      <c r="H248" s="70">
        <f>VLOOKUP(B248,[1]!Table3[[Part Number]:[GQP CAD $]],5,0)</f>
        <v>375</v>
      </c>
      <c r="I248" s="74">
        <f t="shared" si="7"/>
        <v>375</v>
      </c>
    </row>
    <row r="249" spans="2:9" x14ac:dyDescent="0.25">
      <c r="B249" s="71" t="s">
        <v>251</v>
      </c>
      <c r="C249" s="67" t="str">
        <f>VLOOKUP(B249,[1]!Table3[[Part Number]:[Make and Model]],2,0)</f>
        <v xml:space="preserve">CAT 320 (MYK) CAT 320 (MYK) (2)                                          </v>
      </c>
      <c r="D249" s="67" t="str">
        <f>VLOOKUP(B249,[1]!Table3[[Part Number]:[Part Description]],3,0)</f>
        <v>SECONDARY TURBOCHARGER ASSEMBLY</v>
      </c>
      <c r="E249" s="68">
        <f>VLOOKUP(B249,[1]!Table3[[Part Number]:[Annual]],11,0)</f>
        <v>2</v>
      </c>
      <c r="F249" s="69">
        <f>VLOOKUP(B249,[1]!Table3[[Part Number]:[OEM CAD $]],4,0)</f>
        <v>3756.87</v>
      </c>
      <c r="G249" s="70">
        <f t="shared" si="8"/>
        <v>7513.74</v>
      </c>
      <c r="H249" s="70">
        <f>VLOOKUP(B249,[1]!Table3[[Part Number]:[GQP CAD $]],5,0)</f>
        <v>1878.44</v>
      </c>
      <c r="I249" s="74">
        <f t="shared" si="7"/>
        <v>3756.88</v>
      </c>
    </row>
    <row r="250" spans="2:9" x14ac:dyDescent="0.25">
      <c r="B250" s="71" t="s">
        <v>252</v>
      </c>
      <c r="C250" s="67" t="str">
        <f>VLOOKUP(B250,[1]!Table3[[Part Number]:[Make and Model]],2,0)</f>
        <v xml:space="preserve">CAT D6N LGP (GHS)                                            </v>
      </c>
      <c r="D250" s="67" t="str">
        <f>VLOOKUP(B250,[1]!Table3[[Part Number]:[Part Description]],3,0)</f>
        <v>TURBOCHARGER ASSEMBLY</v>
      </c>
      <c r="E250" s="68">
        <f>VLOOKUP(B250,[1]!Table3[[Part Number]:[Annual]],11,0)</f>
        <v>1</v>
      </c>
      <c r="F250" s="69">
        <f>VLOOKUP(B250,[1]!Table3[[Part Number]:[OEM CAD $]],4,0)</f>
        <v>6551.41</v>
      </c>
      <c r="G250" s="70">
        <f t="shared" si="8"/>
        <v>6551.41</v>
      </c>
      <c r="H250" s="70">
        <f>VLOOKUP(B250,[1]!Table3[[Part Number]:[GQP CAD $]],5,0)</f>
        <v>3275.71</v>
      </c>
      <c r="I250" s="74">
        <f t="shared" si="7"/>
        <v>3275.71</v>
      </c>
    </row>
    <row r="251" spans="2:9" x14ac:dyDescent="0.25">
      <c r="B251" s="71" t="s">
        <v>253</v>
      </c>
      <c r="C251" s="67" t="str">
        <f>VLOOKUP(B251,[1]!Table3[[Part Number]:[Make and Model]],2,0)</f>
        <v xml:space="preserve">CAT D6 (RDC)                                            </v>
      </c>
      <c r="D251" s="67" t="str">
        <f>VLOOKUP(B251,[1]!Table3[[Part Number]:[Part Description]],3,0)</f>
        <v>TURBO KIT</v>
      </c>
      <c r="E251" s="68">
        <f>VLOOKUP(B251,[1]!Table3[[Part Number]:[Annual]],11,0)</f>
        <v>1</v>
      </c>
      <c r="F251" s="69">
        <f>VLOOKUP(B251,[1]!Table3[[Part Number]:[OEM CAD $]],4,0)</f>
        <v>6921.5</v>
      </c>
      <c r="G251" s="70">
        <f t="shared" si="8"/>
        <v>6921.5</v>
      </c>
      <c r="H251" s="70">
        <f>VLOOKUP(B251,[1]!Table3[[Part Number]:[GQP CAD $]],5,0)</f>
        <v>3460.75</v>
      </c>
      <c r="I251" s="74">
        <f t="shared" si="7"/>
        <v>3460.75</v>
      </c>
    </row>
    <row r="252" spans="2:9" x14ac:dyDescent="0.25">
      <c r="B252" s="71" t="s">
        <v>254</v>
      </c>
      <c r="C252" s="67" t="str">
        <f>VLOOKUP(B252,[1]!Table3[[Part Number]:[Make and Model]],2,0)</f>
        <v xml:space="preserve">CAT 320F L (YBM) CAT 320 (HEX)                                          </v>
      </c>
      <c r="D252" s="67" t="str">
        <f>VLOOKUP(B252,[1]!Table3[[Part Number]:[Part Description]],3,0)</f>
        <v>SECONDARY TURBOCHARGER ASSEMBLY</v>
      </c>
      <c r="E252" s="68">
        <f>VLOOKUP(B252,[1]!Table3[[Part Number]:[Annual]],11,0)</f>
        <v>2</v>
      </c>
      <c r="F252" s="69">
        <f>VLOOKUP(B252,[1]!Table3[[Part Number]:[OEM CAD $]],4,0)</f>
        <v>3188.6</v>
      </c>
      <c r="G252" s="70">
        <f t="shared" si="8"/>
        <v>6377.2</v>
      </c>
      <c r="H252" s="70">
        <f>VLOOKUP(B252,[1]!Table3[[Part Number]:[GQP CAD $]],5,0)</f>
        <v>1594.3</v>
      </c>
      <c r="I252" s="74">
        <f t="shared" si="7"/>
        <v>3188.6</v>
      </c>
    </row>
    <row r="253" spans="2:9" x14ac:dyDescent="0.25">
      <c r="B253" s="71" t="s">
        <v>255</v>
      </c>
      <c r="C253" s="67" t="str">
        <f>VLOOKUP(B253,[1]!Table3[[Part Number]:[Make and Model]],2,0)</f>
        <v xml:space="preserve">CAT 320 (MYK) CAT 320 (MYK) (2)                                          </v>
      </c>
      <c r="D253" s="67" t="str">
        <f>VLOOKUP(B253,[1]!Table3[[Part Number]:[Part Description]],3,0)</f>
        <v>PRIMARY TURBOCHARGER ASSEMBLY</v>
      </c>
      <c r="E253" s="68">
        <f>VLOOKUP(B253,[1]!Table3[[Part Number]:[Annual]],11,0)</f>
        <v>2</v>
      </c>
      <c r="F253" s="69">
        <f>VLOOKUP(B253,[1]!Table3[[Part Number]:[OEM CAD $]],4,0)</f>
        <v>3256.94</v>
      </c>
      <c r="G253" s="70">
        <f t="shared" si="8"/>
        <v>6513.88</v>
      </c>
      <c r="H253" s="70">
        <f>VLOOKUP(B253,[1]!Table3[[Part Number]:[GQP CAD $]],5,0)</f>
        <v>1628.47</v>
      </c>
      <c r="I253" s="74">
        <f t="shared" si="7"/>
        <v>3256.94</v>
      </c>
    </row>
    <row r="254" spans="2:9" x14ac:dyDescent="0.25">
      <c r="B254" s="71" t="s">
        <v>256</v>
      </c>
      <c r="C254" s="67" t="str">
        <f>VLOOKUP(B254,[1]!Table3[[Part Number]:[Make and Model]],2,0)</f>
        <v xml:space="preserve">CAT D6N LGP (PBA) CAT D6N LGP (PBA) (2) CAT D6N LGP (SGG) CAT D6N LGP (SGG) (2)                                      </v>
      </c>
      <c r="D254" s="67" t="str">
        <f>VLOOKUP(B254,[1]!Table3[[Part Number]:[Part Description]],3,0)</f>
        <v>TURBOCHARGER ASSEMBLY</v>
      </c>
      <c r="E254" s="68">
        <f>VLOOKUP(B254,[1]!Table3[[Part Number]:[Annual]],11,0)</f>
        <v>4</v>
      </c>
      <c r="F254" s="69">
        <f>VLOOKUP(B254,[1]!Table3[[Part Number]:[OEM CAD $]],4,0)</f>
        <v>4119.04</v>
      </c>
      <c r="G254" s="70">
        <f t="shared" si="8"/>
        <v>16476.16</v>
      </c>
      <c r="H254" s="70">
        <f>VLOOKUP(B254,[1]!Table3[[Part Number]:[GQP CAD $]],5,0)</f>
        <v>2059.52</v>
      </c>
      <c r="I254" s="74">
        <f t="shared" si="7"/>
        <v>8238.08</v>
      </c>
    </row>
    <row r="255" spans="2:9" x14ac:dyDescent="0.25">
      <c r="B255" s="71" t="s">
        <v>257</v>
      </c>
      <c r="C255" s="67" t="str">
        <f>VLOOKUP(B255,[1]!Table3[[Part Number]:[Make and Model]],2,0)</f>
        <v xml:space="preserve">CAT 320E L (WBK) CAT 320E L (WBK) (2)                                          </v>
      </c>
      <c r="D255" s="67" t="str">
        <f>VLOOKUP(B255,[1]!Table3[[Part Number]:[Part Description]],3,0)</f>
        <v>TURBOCHARGER ASSEMBLY</v>
      </c>
      <c r="E255" s="68">
        <f>VLOOKUP(B255,[1]!Table3[[Part Number]:[Annual]],11,0)</f>
        <v>2</v>
      </c>
      <c r="F255" s="69">
        <f>VLOOKUP(B255,[1]!Table3[[Part Number]:[OEM CAD $]],4,0)</f>
        <v>5964.28</v>
      </c>
      <c r="G255" s="70">
        <f t="shared" si="8"/>
        <v>11928.56</v>
      </c>
      <c r="H255" s="70">
        <f>VLOOKUP(B255,[1]!Table3[[Part Number]:[GQP CAD $]],5,0)</f>
        <v>2982.14</v>
      </c>
      <c r="I255" s="74">
        <f t="shared" si="7"/>
        <v>5964.28</v>
      </c>
    </row>
    <row r="256" spans="2:9" x14ac:dyDescent="0.25">
      <c r="B256" s="71" t="s">
        <v>258</v>
      </c>
      <c r="C256" s="67" t="str">
        <f>VLOOKUP(B256,[1]!Table3[[Part Number]:[Make and Model]],2,0)</f>
        <v xml:space="preserve">CAT D7G (92V) CAT D7G (3ZD) CAT D7G (3ZD) (2)                                        </v>
      </c>
      <c r="D256" s="67" t="str">
        <f>VLOOKUP(B256,[1]!Table3[[Part Number]:[Part Description]],3,0)</f>
        <v>TURBOCHARGER</v>
      </c>
      <c r="E256" s="68">
        <f>VLOOKUP(B256,[1]!Table3[[Part Number]:[Annual]],11,0)</f>
        <v>3</v>
      </c>
      <c r="F256" s="69">
        <f>VLOOKUP(B256,[1]!Table3[[Part Number]:[OEM CAD $]],4,0)</f>
        <v>6518.5</v>
      </c>
      <c r="G256" s="70">
        <f t="shared" si="8"/>
        <v>19555.5</v>
      </c>
      <c r="H256" s="70">
        <f>VLOOKUP(B256,[1]!Table3[[Part Number]:[GQP CAD $]],5,0)</f>
        <v>3259.25</v>
      </c>
      <c r="I256" s="74">
        <f t="shared" si="7"/>
        <v>9777.75</v>
      </c>
    </row>
    <row r="257" spans="2:9" x14ac:dyDescent="0.25">
      <c r="B257" s="71" t="s">
        <v>259</v>
      </c>
      <c r="C257" s="67" t="str">
        <f>VLOOKUP(B257,[1]!Table3[[Part Number]:[Make and Model]],2,0)</f>
        <v xml:space="preserve">CAT 561 (85H) CAT 561 (92J) CAT 561 (92J) (2)                                        </v>
      </c>
      <c r="D257" s="67" t="str">
        <f>VLOOKUP(B257,[1]!Table3[[Part Number]:[Part Description]],3,0)</f>
        <v>TURBOCHARGER</v>
      </c>
      <c r="E257" s="68">
        <f>VLOOKUP(B257,[1]!Table3[[Part Number]:[Annual]],11,0)</f>
        <v>3</v>
      </c>
      <c r="F257" s="69">
        <f>VLOOKUP(B257,[1]!Table3[[Part Number]:[OEM CAD $]],4,0)</f>
        <v>8878.77</v>
      </c>
      <c r="G257" s="70">
        <f t="shared" si="8"/>
        <v>26636.31</v>
      </c>
      <c r="H257" s="70">
        <f>VLOOKUP(B257,[1]!Table3[[Part Number]:[GQP CAD $]],5,0)</f>
        <v>4439.3900000000003</v>
      </c>
      <c r="I257" s="74">
        <f t="shared" si="7"/>
        <v>13318.17</v>
      </c>
    </row>
    <row r="258" spans="2:9" x14ac:dyDescent="0.25">
      <c r="B258" s="71">
        <v>6678748</v>
      </c>
      <c r="C258" s="67" t="str">
        <f>VLOOKUP(B258,[1]!Table3[[Part Number]:[Make and Model]],2,0)</f>
        <v xml:space="preserve">BOBCAT T750 (ANK) BOBCAT T750 (ATF) BOBCAT T770 (AT6) BOBCAT T770 (AT6) (2)                                      </v>
      </c>
      <c r="D258" s="67" t="str">
        <f>VLOOKUP(B258,[1]!Table3[[Part Number]:[Part Description]],3,0)</f>
        <v>Rubber Track - 320x86x55</v>
      </c>
      <c r="E258" s="68">
        <f>VLOOKUP(B258,[1]!Table3[[Part Number]:[Annual]],11,0)</f>
        <v>8</v>
      </c>
      <c r="F258" s="69">
        <f>VLOOKUP(B258,[1]!Table3[[Part Number]:[OEM CAD $]],4,0)</f>
        <v>2953.99</v>
      </c>
      <c r="G258" s="70">
        <f t="shared" si="8"/>
        <v>23631.919999999998</v>
      </c>
      <c r="H258" s="70">
        <f>VLOOKUP(B258,[1]!Table3[[Part Number]:[GQP CAD $]],5,0)</f>
        <v>1477</v>
      </c>
      <c r="I258" s="74">
        <f t="shared" si="7"/>
        <v>11816</v>
      </c>
    </row>
    <row r="259" spans="2:9" x14ac:dyDescent="0.25">
      <c r="B259" s="71">
        <v>6689371</v>
      </c>
      <c r="C259" s="67" t="str">
        <f>VLOOKUP(B259,[1]!Table3[[Part Number]:[Make and Model]],2,0)</f>
        <v xml:space="preserve">BOBCAT T750 (ANK) BOBCAT T750 (ATF)                                          </v>
      </c>
      <c r="D259" s="67" t="str">
        <f>VLOOKUP(B259,[1]!Table3[[Part Number]:[Part Description]],3,0)</f>
        <v>Roller Assembly</v>
      </c>
      <c r="E259" s="68">
        <f>VLOOKUP(B259,[1]!Table3[[Part Number]:[Annual]],11,0)</f>
        <v>20</v>
      </c>
      <c r="F259" s="69">
        <f>VLOOKUP(B259,[1]!Table3[[Part Number]:[OEM CAD $]],4,0)</f>
        <v>554.99</v>
      </c>
      <c r="G259" s="70">
        <f t="shared" si="8"/>
        <v>11099.8</v>
      </c>
      <c r="H259" s="70">
        <f>VLOOKUP(B259,[1]!Table3[[Part Number]:[GQP CAD $]],5,0)</f>
        <v>277.5</v>
      </c>
      <c r="I259" s="74">
        <f t="shared" si="7"/>
        <v>5550</v>
      </c>
    </row>
    <row r="260" spans="2:9" x14ac:dyDescent="0.25">
      <c r="B260" s="71">
        <v>6693237</v>
      </c>
      <c r="C260" s="67" t="str">
        <f>VLOOKUP(B260,[1]!Table3[[Part Number]:[Make and Model]],2,0)</f>
        <v xml:space="preserve">BOBCAT T750 (ANK) BOBCAT T750 (ATF)                                          </v>
      </c>
      <c r="D260" s="67" t="str">
        <f>VLOOKUP(B260,[1]!Table3[[Part Number]:[Part Description]],3,0)</f>
        <v>TRACK IDLER -Front</v>
      </c>
      <c r="E260" s="68">
        <f>VLOOKUP(B260,[1]!Table3[[Part Number]:[Annual]],11,0)</f>
        <v>4</v>
      </c>
      <c r="F260" s="69">
        <f>VLOOKUP(B260,[1]!Table3[[Part Number]:[OEM CAD $]],4,0)</f>
        <v>807.49</v>
      </c>
      <c r="G260" s="70">
        <f t="shared" si="8"/>
        <v>3229.96</v>
      </c>
      <c r="H260" s="70">
        <f>VLOOKUP(B260,[1]!Table3[[Part Number]:[GQP CAD $]],5,0)</f>
        <v>403.75</v>
      </c>
      <c r="I260" s="74">
        <f t="shared" si="7"/>
        <v>1615</v>
      </c>
    </row>
    <row r="261" spans="2:9" x14ac:dyDescent="0.25">
      <c r="B261" s="71">
        <v>6693238</v>
      </c>
      <c r="C261" s="67" t="str">
        <f>VLOOKUP(B261,[1]!Table3[[Part Number]:[Make and Model]],2,0)</f>
        <v xml:space="preserve">BOBCAT T750 (ANK) BOBCAT T750 (ATF)                                          </v>
      </c>
      <c r="D261" s="67" t="str">
        <f>VLOOKUP(B261,[1]!Table3[[Part Number]:[Part Description]],3,0)</f>
        <v>Track Idler - Rear</v>
      </c>
      <c r="E261" s="68">
        <f>VLOOKUP(B261,[1]!Table3[[Part Number]:[Annual]],11,0)</f>
        <v>4</v>
      </c>
      <c r="F261" s="69">
        <f>VLOOKUP(B261,[1]!Table3[[Part Number]:[OEM CAD $]],4,0)</f>
        <v>610.99</v>
      </c>
      <c r="G261" s="70">
        <f t="shared" si="8"/>
        <v>2443.96</v>
      </c>
      <c r="H261" s="70">
        <f>VLOOKUP(B261,[1]!Table3[[Part Number]:[GQP CAD $]],5,0)</f>
        <v>305.5</v>
      </c>
      <c r="I261" s="74">
        <f t="shared" si="7"/>
        <v>1222</v>
      </c>
    </row>
    <row r="262" spans="2:9" x14ac:dyDescent="0.25">
      <c r="B262" s="71">
        <v>7233630</v>
      </c>
      <c r="C262" s="67" t="str">
        <f>VLOOKUP(B262,[1]!Table3[[Part Number]:[Make and Model]],2,0)</f>
        <v xml:space="preserve">BOBCAT T770 (AT6) BOBCAT T770 (AT6) (2)                                          </v>
      </c>
      <c r="D262" s="67" t="str">
        <f>VLOOKUP(B262,[1]!Table3[[Part Number]:[Part Description]],3,0)</f>
        <v>Track Idler - Rear</v>
      </c>
      <c r="E262" s="68">
        <f>VLOOKUP(B262,[1]!Table3[[Part Number]:[Annual]],11,0)</f>
        <v>4</v>
      </c>
      <c r="F262" s="69">
        <f>VLOOKUP(B262,[1]!Table3[[Part Number]:[OEM CAD $]],4,0)</f>
        <v>620.99</v>
      </c>
      <c r="G262" s="70">
        <f t="shared" si="8"/>
        <v>2483.96</v>
      </c>
      <c r="H262" s="70">
        <f>VLOOKUP(B262,[1]!Table3[[Part Number]:[GQP CAD $]],5,0)</f>
        <v>310.5</v>
      </c>
      <c r="I262" s="74">
        <f t="shared" si="7"/>
        <v>1242</v>
      </c>
    </row>
    <row r="263" spans="2:9" x14ac:dyDescent="0.25">
      <c r="B263" s="71">
        <v>7240006</v>
      </c>
      <c r="C263" s="67" t="str">
        <f>VLOOKUP(B263,[1]!Table3[[Part Number]:[Make and Model]],2,0)</f>
        <v xml:space="preserve">BOBCAT T770 (AT6) BOBCAT T770 (AT6) (2)                                          </v>
      </c>
      <c r="D263" s="67" t="str">
        <f>VLOOKUP(B263,[1]!Table3[[Part Number]:[Part Description]],3,0)</f>
        <v>TRACK IDLER -Front</v>
      </c>
      <c r="E263" s="68">
        <f>VLOOKUP(B263,[1]!Table3[[Part Number]:[Annual]],11,0)</f>
        <v>4</v>
      </c>
      <c r="F263" s="69">
        <f>VLOOKUP(B263,[1]!Table3[[Part Number]:[OEM CAD $]],4,0)</f>
        <v>1001.99</v>
      </c>
      <c r="G263" s="70">
        <f t="shared" si="8"/>
        <v>4007.96</v>
      </c>
      <c r="H263" s="70">
        <f>VLOOKUP(B263,[1]!Table3[[Part Number]:[GQP CAD $]],5,0)</f>
        <v>501</v>
      </c>
      <c r="I263" s="74">
        <f t="shared" si="7"/>
        <v>2004</v>
      </c>
    </row>
    <row r="264" spans="2:9" x14ac:dyDescent="0.25">
      <c r="B264" s="71">
        <v>7352427</v>
      </c>
      <c r="C264" s="67" t="str">
        <f>VLOOKUP(B264,[1]!Table3[[Part Number]:[Make and Model]],2,0)</f>
        <v xml:space="preserve">BOBCAT T770 (AT6) BOBCAT T770 (AT6) (2)                                          </v>
      </c>
      <c r="D264" s="67" t="str">
        <f>VLOOKUP(B264,[1]!Table3[[Part Number]:[Part Description]],3,0)</f>
        <v>Roller Assembly</v>
      </c>
      <c r="E264" s="68">
        <f>VLOOKUP(B264,[1]!Table3[[Part Number]:[Annual]],11,0)</f>
        <v>20</v>
      </c>
      <c r="F264" s="69">
        <f>VLOOKUP(B264,[1]!Table3[[Part Number]:[OEM CAD $]],4,0)</f>
        <v>437.99</v>
      </c>
      <c r="G264" s="70">
        <f t="shared" si="8"/>
        <v>8759.7999999999993</v>
      </c>
      <c r="H264" s="70">
        <f>VLOOKUP(B264,[1]!Table3[[Part Number]:[GQP CAD $]],5,0)</f>
        <v>219</v>
      </c>
      <c r="I264" s="74">
        <f t="shared" si="7"/>
        <v>4380</v>
      </c>
    </row>
    <row r="265" spans="2:9" x14ac:dyDescent="0.25">
      <c r="B265" s="71" t="s">
        <v>260</v>
      </c>
      <c r="C265" s="67" t="str">
        <f>VLOOKUP(B265,[1]!Table3[[Part Number]:[Make and Model]],2,0)</f>
        <v xml:space="preserve">CAT D3 (1PJ)                                            </v>
      </c>
      <c r="D265" s="67" t="str">
        <f>VLOOKUP(B265,[1]!Table3[[Part Number]:[Part Description]],3,0)</f>
        <v xml:space="preserve">HEX HEAD BOLT SF </v>
      </c>
      <c r="E265" s="68">
        <f>VLOOKUP(B265,[1]!Table3[[Part Number]:[Annual]],11,0)</f>
        <v>16</v>
      </c>
      <c r="F265" s="69">
        <f>VLOOKUP(B265,[1]!Table3[[Part Number]:[OEM CAD $]],4,0)</f>
        <v>2.78</v>
      </c>
      <c r="G265" s="70">
        <f t="shared" si="8"/>
        <v>44.48</v>
      </c>
      <c r="H265" s="70">
        <f>VLOOKUP(B265,[1]!Table3[[Part Number]:[GQP CAD $]],5,0)</f>
        <v>1.39</v>
      </c>
      <c r="I265" s="74">
        <f t="shared" si="7"/>
        <v>22.24</v>
      </c>
    </row>
    <row r="266" spans="2:9" x14ac:dyDescent="0.25">
      <c r="B266" s="71" t="s">
        <v>261</v>
      </c>
      <c r="C266" s="67" t="str">
        <f>VLOOKUP(B266,[1]!Table3[[Part Number]:[Make and Model]],2,0)</f>
        <v xml:space="preserve">CAT D7G (92V) CAT D7G (3ZD) CAT D7G (3ZD) (2)                                        </v>
      </c>
      <c r="D266" s="67" t="str">
        <f>VLOOKUP(B266,[1]!Table3[[Part Number]:[Part Description]],3,0)</f>
        <v>CARRIER BOLT</v>
      </c>
      <c r="E266" s="68">
        <f>VLOOKUP(B266,[1]!Table3[[Part Number]:[Annual]],11,0)</f>
        <v>18</v>
      </c>
      <c r="F266" s="69">
        <f>VLOOKUP(B266,[1]!Table3[[Part Number]:[OEM CAD $]],4,0)</f>
        <v>1.1599999999999999</v>
      </c>
      <c r="G266" s="70">
        <f t="shared" si="8"/>
        <v>20.88</v>
      </c>
      <c r="H266" s="70">
        <f>VLOOKUP(B266,[1]!Table3[[Part Number]:[GQP CAD $]],5,0)</f>
        <v>0.57999999999999996</v>
      </c>
      <c r="I266" s="74">
        <f t="shared" si="7"/>
        <v>10.44</v>
      </c>
    </row>
    <row r="267" spans="2:9" x14ac:dyDescent="0.25">
      <c r="B267" s="71" t="s">
        <v>262</v>
      </c>
      <c r="C267" s="67" t="str">
        <f>VLOOKUP(B267,[1]!Table3[[Part Number]:[Make and Model]],2,0)</f>
        <v xml:space="preserve">CAT 561 (85H) CAT 561 (92J) CAT 561 (92J) (2)                                        </v>
      </c>
      <c r="D267" s="67" t="str">
        <f>VLOOKUP(B267,[1]!Table3[[Part Number]:[Part Description]],3,0)</f>
        <v>BOLT ROLLER</v>
      </c>
      <c r="E267" s="68">
        <f>VLOOKUP(B267,[1]!Table3[[Part Number]:[Annual]],11,0)</f>
        <v>144</v>
      </c>
      <c r="F267" s="69">
        <f>VLOOKUP(B267,[1]!Table3[[Part Number]:[OEM CAD $]],4,0)</f>
        <v>8.0500000000000007</v>
      </c>
      <c r="G267" s="70">
        <f t="shared" si="8"/>
        <v>1159.2</v>
      </c>
      <c r="H267" s="70">
        <f>VLOOKUP(B267,[1]!Table3[[Part Number]:[GQP CAD $]],5,0)</f>
        <v>4.03</v>
      </c>
      <c r="I267" s="74">
        <f t="shared" si="7"/>
        <v>580.32000000000005</v>
      </c>
    </row>
    <row r="268" spans="2:9" x14ac:dyDescent="0.25">
      <c r="B268" s="71" t="s">
        <v>48</v>
      </c>
      <c r="C268" s="67" t="str">
        <f>VLOOKUP(B268,[1]!Table3[[Part Number]:[Make and Model]],2,0)</f>
        <v xml:space="preserve">CAT D4 (66J) CAT D6N LGP (GHS) CAT D6N LGP (SGG) CAT D6N LGP (SGG) (2) CAT PL61 (WGS) CAT PL61 (WGS) (2) CAT PL61 (WGS) (3)                                </v>
      </c>
      <c r="D268" s="67" t="str">
        <f>VLOOKUP(B268,[1]!Table3[[Part Number]:[Part Description]],3,0)</f>
        <v>TRACK BOLT MASTER</v>
      </c>
      <c r="E268" s="68">
        <f>VLOOKUP(B268,[1]!Table3[[Part Number]:[Annual]],11,0)</f>
        <v>28</v>
      </c>
      <c r="F268" s="69">
        <f>VLOOKUP(B268,[1]!Table3[[Part Number]:[OEM CAD $]],4,0)</f>
        <v>6.66</v>
      </c>
      <c r="G268" s="70">
        <f t="shared" si="8"/>
        <v>186.48000000000002</v>
      </c>
      <c r="H268" s="70">
        <f>VLOOKUP(B268,[1]!Table3[[Part Number]:[GQP CAD $]],5,0)</f>
        <v>3.33</v>
      </c>
      <c r="I268" s="74">
        <f t="shared" si="7"/>
        <v>93.24</v>
      </c>
    </row>
    <row r="269" spans="2:9" x14ac:dyDescent="0.25">
      <c r="B269" s="71" t="s">
        <v>49</v>
      </c>
      <c r="C269" s="67" t="str">
        <f>VLOOKUP(B269,[1]!Table3[[Part Number]:[Make and Model]],2,0)</f>
        <v xml:space="preserve">CAT D4 (66J) CAT D6N LGP (GHS) CAT D6N LGP (SGG) CAT D6N LGP (SGG) (2) CAT PL61 (WGS) CAT PL61 (WGS) (2) CAT PL61 (WGS) (3)                                </v>
      </c>
      <c r="D269" s="67" t="str">
        <f>VLOOKUP(B269,[1]!Table3[[Part Number]:[Part Description]],3,0)</f>
        <v>TRACK BOLT MASTER</v>
      </c>
      <c r="E269" s="68">
        <f>VLOOKUP(B269,[1]!Table3[[Part Number]:[Annual]],11,0)</f>
        <v>28</v>
      </c>
      <c r="F269" s="69">
        <f>VLOOKUP(B269,[1]!Table3[[Part Number]:[OEM CAD $]],4,0)</f>
        <v>9.23</v>
      </c>
      <c r="G269" s="70">
        <f t="shared" si="8"/>
        <v>258.44</v>
      </c>
      <c r="H269" s="70">
        <f>VLOOKUP(B269,[1]!Table3[[Part Number]:[GQP CAD $]],5,0)</f>
        <v>4.62</v>
      </c>
      <c r="I269" s="74">
        <f t="shared" si="7"/>
        <v>129.36000000000001</v>
      </c>
    </row>
    <row r="270" spans="2:9" x14ac:dyDescent="0.25">
      <c r="B270" s="71" t="s">
        <v>263</v>
      </c>
      <c r="C270" s="67" t="str">
        <f>VLOOKUP(B270,[1]!Table3[[Part Number]:[Make and Model]],2,0)</f>
        <v xml:space="preserve">CAT D5 (3CR) CAT D5 (3CR) (2) CAT 561M (1KW) CAT 561N (CPH) CAT 561N (CPH) (2) CAT 561N (CPH) (3) CAT 561N (CPH) (4) CAT 561N (CPH) (5)                              </v>
      </c>
      <c r="D270" s="67" t="str">
        <f>VLOOKUP(B270,[1]!Table3[[Part Number]:[Part Description]],3,0)</f>
        <v>SPROCKET SEGMENT</v>
      </c>
      <c r="E270" s="68">
        <f>VLOOKUP(B270,[1]!Table3[[Part Number]:[Annual]],11,0)</f>
        <v>80</v>
      </c>
      <c r="F270" s="69">
        <f>VLOOKUP(B270,[1]!Table3[[Part Number]:[OEM CAD $]],4,0)</f>
        <v>177.98</v>
      </c>
      <c r="G270" s="70">
        <f t="shared" si="8"/>
        <v>14238.4</v>
      </c>
      <c r="H270" s="70">
        <f>VLOOKUP(B270,[1]!Table3[[Part Number]:[GQP CAD $]],5,0)</f>
        <v>88.99</v>
      </c>
      <c r="I270" s="74">
        <f t="shared" si="7"/>
        <v>7119.2</v>
      </c>
    </row>
    <row r="271" spans="2:9" x14ac:dyDescent="0.25">
      <c r="B271" s="71" t="s">
        <v>264</v>
      </c>
      <c r="C271" s="67" t="str">
        <f>VLOOKUP(B271,[1]!Table3[[Part Number]:[Make and Model]],2,0)</f>
        <v xml:space="preserve">CAT D5 (3CR) CAT D5 (3CR) (2) CAT 561M (1KW) CAT 561N (CPH) CAT 561N (CPH) (2) CAT 561N (CPH) (3) CAT 561N (CPH) (4) CAT 561N (CPH) (5)                              </v>
      </c>
      <c r="D271" s="67" t="str">
        <f>VLOOKUP(B271,[1]!Table3[[Part Number]:[Part Description]],3,0)</f>
        <v>TRACK LINK ASSEMBLY</v>
      </c>
      <c r="E271" s="68">
        <f>VLOOKUP(B271,[1]!Table3[[Part Number]:[Annual]],11,0)</f>
        <v>16</v>
      </c>
      <c r="F271" s="69">
        <f>VLOOKUP(B271,[1]!Table3[[Part Number]:[OEM CAD $]],4,0)</f>
        <v>11935.92</v>
      </c>
      <c r="G271" s="70">
        <f t="shared" si="8"/>
        <v>190974.72</v>
      </c>
      <c r="H271" s="70">
        <f>VLOOKUP(B271,[1]!Table3[[Part Number]:[GQP CAD $]],5,0)</f>
        <v>5967.96</v>
      </c>
      <c r="I271" s="74">
        <f t="shared" ref="I271:I334" si="9">ROUND(E271*H271,2)</f>
        <v>95487.360000000001</v>
      </c>
    </row>
    <row r="272" spans="2:9" x14ac:dyDescent="0.25">
      <c r="B272" s="71" t="s">
        <v>265</v>
      </c>
      <c r="C272" s="67" t="str">
        <f>VLOOKUP(B272,[1]!Table3[[Part Number]:[Make and Model]],2,0)</f>
        <v xml:space="preserve">CAT 561M (1KW)                                            </v>
      </c>
      <c r="D272" s="67" t="str">
        <f>VLOOKUP(B272,[1]!Table3[[Part Number]:[Part Description]],3,0)</f>
        <v>BLOCK IDLER</v>
      </c>
      <c r="E272" s="68">
        <f>VLOOKUP(B272,[1]!Table3[[Part Number]:[Annual]],11,0)</f>
        <v>8</v>
      </c>
      <c r="F272" s="69">
        <f>VLOOKUP(B272,[1]!Table3[[Part Number]:[OEM CAD $]],4,0)</f>
        <v>229.89</v>
      </c>
      <c r="G272" s="70">
        <f t="shared" si="8"/>
        <v>1839.12</v>
      </c>
      <c r="H272" s="70">
        <f>VLOOKUP(B272,[1]!Table3[[Part Number]:[GQP CAD $]],5,0)</f>
        <v>114.95</v>
      </c>
      <c r="I272" s="74">
        <f t="shared" si="9"/>
        <v>919.6</v>
      </c>
    </row>
    <row r="273" spans="2:9" x14ac:dyDescent="0.25">
      <c r="B273" s="71" t="s">
        <v>266</v>
      </c>
      <c r="C273" s="67" t="str">
        <f>VLOOKUP(B273,[1]!Table3[[Part Number]:[Make and Model]],2,0)</f>
        <v xml:space="preserve">CAT 561M (1KW)                                            </v>
      </c>
      <c r="D273" s="67" t="str">
        <f>VLOOKUP(B273,[1]!Table3[[Part Number]:[Part Description]],3,0)</f>
        <v>CAP IDLER</v>
      </c>
      <c r="E273" s="68">
        <f>VLOOKUP(B273,[1]!Table3[[Part Number]:[Annual]],11,0)</f>
        <v>8</v>
      </c>
      <c r="F273" s="69">
        <f>VLOOKUP(B273,[1]!Table3[[Part Number]:[OEM CAD $]],4,0)</f>
        <v>166.52</v>
      </c>
      <c r="G273" s="70">
        <f t="shared" ref="G273:G336" si="10">E273*F273</f>
        <v>1332.16</v>
      </c>
      <c r="H273" s="70">
        <f>VLOOKUP(B273,[1]!Table3[[Part Number]:[GQP CAD $]],5,0)</f>
        <v>83.26</v>
      </c>
      <c r="I273" s="74">
        <f t="shared" si="9"/>
        <v>666.08</v>
      </c>
    </row>
    <row r="274" spans="2:9" x14ac:dyDescent="0.25">
      <c r="B274" s="71" t="s">
        <v>50</v>
      </c>
      <c r="C274" s="67" t="str">
        <f>VLOOKUP(B274,[1]!Table3[[Part Number]:[Make and Model]],2,0)</f>
        <v xml:space="preserve">CAT PL61 (WGS) CAT PL61 (WGS) (2) CAT PL61 (WGS) (3)                                        </v>
      </c>
      <c r="D274" s="67" t="str">
        <f>VLOOKUP(B274,[1]!Table3[[Part Number]:[Part Description]],3,0)</f>
        <v>TRACK LINK 39 JOINT</v>
      </c>
      <c r="E274" s="68">
        <f>VLOOKUP(B274,[1]!Table3[[Part Number]:[Annual]],11,0)</f>
        <v>6</v>
      </c>
      <c r="F274" s="69">
        <f>VLOOKUP(B274,[1]!Table3[[Part Number]:[OEM CAD $]],4,0)</f>
        <v>8654.5499999999993</v>
      </c>
      <c r="G274" s="70">
        <f t="shared" si="10"/>
        <v>51927.299999999996</v>
      </c>
      <c r="H274" s="70">
        <f>VLOOKUP(B274,[1]!Table3[[Part Number]:[GQP CAD $]],5,0)</f>
        <v>4327.28</v>
      </c>
      <c r="I274" s="74">
        <f t="shared" si="9"/>
        <v>25963.68</v>
      </c>
    </row>
    <row r="275" spans="2:9" x14ac:dyDescent="0.25">
      <c r="B275" s="71" t="s">
        <v>267</v>
      </c>
      <c r="C275" s="67" t="str">
        <f>VLOOKUP(B275,[1]!Table3[[Part Number]:[Make and Model]],2,0)</f>
        <v xml:space="preserve">CAT 329E L (ZCD)                                            </v>
      </c>
      <c r="D275" s="67" t="str">
        <f>VLOOKUP(B275,[1]!Table3[[Part Number]:[Part Description]],3,0)</f>
        <v>CARRIER BOLT</v>
      </c>
      <c r="E275" s="68">
        <f>VLOOKUP(B275,[1]!Table3[[Part Number]:[Annual]],11,0)</f>
        <v>4</v>
      </c>
      <c r="F275" s="69">
        <f>VLOOKUP(B275,[1]!Table3[[Part Number]:[OEM CAD $]],4,0)</f>
        <v>31.9</v>
      </c>
      <c r="G275" s="70">
        <f t="shared" si="10"/>
        <v>127.6</v>
      </c>
      <c r="H275" s="70">
        <f>VLOOKUP(B275,[1]!Table3[[Part Number]:[GQP CAD $]],5,0)</f>
        <v>15.95</v>
      </c>
      <c r="I275" s="74">
        <f t="shared" si="9"/>
        <v>63.8</v>
      </c>
    </row>
    <row r="276" spans="2:9" x14ac:dyDescent="0.25">
      <c r="B276" s="71" t="s">
        <v>268</v>
      </c>
      <c r="C276" s="67" t="str">
        <f>VLOOKUP(B276,[1]!Table3[[Part Number]:[Make and Model]],2,0)</f>
        <v xml:space="preserve">CAT 329E L (ZCD) CAT 329F L (ERL) CAT 329F L (ERL) (2) CAT 330F L (MBX) CAT 330F L (HCK) CAT 330F L (HCK) (2) CAT 330 (LHW) CAT 330 (LHW) (2) CAT 330 (LHW) (3) CAT 330 (LHW) (4) CAT 330 (WCH) CAT 330 (WCH) (2) CAT 330 (WCH) (3) CAT 330 (WCH) (4) CAT 330 (WCH) (5) CAT 330 (WCH) (6)              </v>
      </c>
      <c r="D276" s="67" t="str">
        <f>VLOOKUP(B276,[1]!Table3[[Part Number]:[Part Description]],3,0)</f>
        <v>FRONT IDLER</v>
      </c>
      <c r="E276" s="68">
        <f>VLOOKUP(B276,[1]!Table3[[Part Number]:[Annual]],11,0)</f>
        <v>32</v>
      </c>
      <c r="F276" s="69">
        <f>VLOOKUP(B276,[1]!Table3[[Part Number]:[OEM CAD $]],4,0)</f>
        <v>3159.07</v>
      </c>
      <c r="G276" s="70">
        <f t="shared" si="10"/>
        <v>101090.24000000001</v>
      </c>
      <c r="H276" s="70">
        <f>VLOOKUP(B276,[1]!Table3[[Part Number]:[GQP CAD $]],5,0)</f>
        <v>1579.54</v>
      </c>
      <c r="I276" s="74">
        <f t="shared" si="9"/>
        <v>50545.279999999999</v>
      </c>
    </row>
    <row r="277" spans="2:9" x14ac:dyDescent="0.25">
      <c r="B277" s="71" t="s">
        <v>269</v>
      </c>
      <c r="C277" s="67" t="str">
        <f>VLOOKUP(B277,[1]!Table3[[Part Number]:[Make and Model]],2,0)</f>
        <v xml:space="preserve">CAT D4 (66J)                                            </v>
      </c>
      <c r="D277" s="67" t="str">
        <f>VLOOKUP(B277,[1]!Table3[[Part Number]:[Part Description]],3,0)</f>
        <v>SINGLE FLANGE TRACK ROLLER</v>
      </c>
      <c r="E277" s="68">
        <f>VLOOKUP(B277,[1]!Table3[[Part Number]:[Annual]],11,0)</f>
        <v>4</v>
      </c>
      <c r="F277" s="69">
        <f>VLOOKUP(B277,[1]!Table3[[Part Number]:[OEM CAD $]],4,0)</f>
        <v>1023.71</v>
      </c>
      <c r="G277" s="70">
        <f t="shared" si="10"/>
        <v>4094.84</v>
      </c>
      <c r="H277" s="70">
        <f>VLOOKUP(B277,[1]!Table3[[Part Number]:[GQP CAD $]],5,0)</f>
        <v>511.86</v>
      </c>
      <c r="I277" s="74">
        <f t="shared" si="9"/>
        <v>2047.44</v>
      </c>
    </row>
    <row r="278" spans="2:9" x14ac:dyDescent="0.25">
      <c r="B278" s="71" t="s">
        <v>270</v>
      </c>
      <c r="C278" s="67" t="str">
        <f>VLOOKUP(B278,[1]!Table3[[Part Number]:[Make and Model]],2,0)</f>
        <v xml:space="preserve">CAT D4 (66J)                                            </v>
      </c>
      <c r="D278" s="67" t="str">
        <f>VLOOKUP(B278,[1]!Table3[[Part Number]:[Part Description]],3,0)</f>
        <v>DOUBLE FLANGE TRACK ROLLER (GUIDE AR)*</v>
      </c>
      <c r="E278" s="68">
        <f>VLOOKUP(B278,[1]!Table3[[Part Number]:[Annual]],11,0)</f>
        <v>6</v>
      </c>
      <c r="F278" s="69">
        <f>VLOOKUP(B278,[1]!Table3[[Part Number]:[OEM CAD $]],4,0)</f>
        <v>1246.45</v>
      </c>
      <c r="G278" s="70">
        <f t="shared" si="10"/>
        <v>7478.7000000000007</v>
      </c>
      <c r="H278" s="70">
        <f>VLOOKUP(B278,[1]!Table3[[Part Number]:[GQP CAD $]],5,0)</f>
        <v>623.23</v>
      </c>
      <c r="I278" s="74">
        <f t="shared" si="9"/>
        <v>3739.38</v>
      </c>
    </row>
    <row r="279" spans="2:9" x14ac:dyDescent="0.25">
      <c r="B279" s="71" t="s">
        <v>271</v>
      </c>
      <c r="C279" s="67" t="str">
        <f>VLOOKUP(B279,[1]!Table3[[Part Number]:[Make and Model]],2,0)</f>
        <v xml:space="preserve">CAT 561 (85H) CAT 561 (92J) CAT 561 (92J) (2)                                        </v>
      </c>
      <c r="D279" s="67" t="str">
        <f>VLOOKUP(B279,[1]!Table3[[Part Number]:[Part Description]],3,0)</f>
        <v>ROLLER SINGLE FLANGE</v>
      </c>
      <c r="E279" s="68">
        <f>VLOOKUP(B279,[1]!Table3[[Part Number]:[Annual]],11,0)</f>
        <v>18</v>
      </c>
      <c r="F279" s="69">
        <f>VLOOKUP(B279,[1]!Table3[[Part Number]:[OEM CAD $]],4,0)</f>
        <v>545.21</v>
      </c>
      <c r="G279" s="70">
        <f t="shared" si="10"/>
        <v>9813.7800000000007</v>
      </c>
      <c r="H279" s="70">
        <f>VLOOKUP(B279,[1]!Table3[[Part Number]:[GQP CAD $]],5,0)</f>
        <v>272.61</v>
      </c>
      <c r="I279" s="74">
        <f t="shared" si="9"/>
        <v>4906.9799999999996</v>
      </c>
    </row>
    <row r="280" spans="2:9" x14ac:dyDescent="0.25">
      <c r="B280" s="71" t="s">
        <v>272</v>
      </c>
      <c r="C280" s="67" t="str">
        <f>VLOOKUP(B280,[1]!Table3[[Part Number]:[Make and Model]],2,0)</f>
        <v xml:space="preserve">CAT 561 (85H) CAT 561 (92J) CAT 561 (92J) (2)                                        </v>
      </c>
      <c r="D280" s="67" t="str">
        <f>VLOOKUP(B280,[1]!Table3[[Part Number]:[Part Description]],3,0)</f>
        <v>ROLLER DOUBLE FLANGE</v>
      </c>
      <c r="E280" s="68">
        <f>VLOOKUP(B280,[1]!Table3[[Part Number]:[Annual]],11,0)</f>
        <v>18</v>
      </c>
      <c r="F280" s="69">
        <f>VLOOKUP(B280,[1]!Table3[[Part Number]:[OEM CAD $]],4,0)</f>
        <v>561.72</v>
      </c>
      <c r="G280" s="70">
        <f t="shared" si="10"/>
        <v>10110.960000000001</v>
      </c>
      <c r="H280" s="70">
        <f>VLOOKUP(B280,[1]!Table3[[Part Number]:[GQP CAD $]],5,0)</f>
        <v>280.86</v>
      </c>
      <c r="I280" s="74">
        <f t="shared" si="9"/>
        <v>5055.4799999999996</v>
      </c>
    </row>
    <row r="281" spans="2:9" x14ac:dyDescent="0.25">
      <c r="B281" s="71" t="s">
        <v>273</v>
      </c>
      <c r="C281" s="67" t="str">
        <f>VLOOKUP(B281,[1]!Table3[[Part Number]:[Make and Model]],2,0)</f>
        <v xml:space="preserve">CAT D5 (3CR) CAT D5 (3CR) (2) CAT 561N (CPH) CAT 561N (CPH) (2) CAT 561N (CPH) (3) CAT 561N (CPH) (4) CAT 561N (CPH) (5)                                </v>
      </c>
      <c r="D281" s="67" t="str">
        <f>VLOOKUP(B281,[1]!Table3[[Part Number]:[Part Description]],3,0)</f>
        <v>SINGLE FLANGE TRACK ROLLER</v>
      </c>
      <c r="E281" s="68">
        <f>VLOOKUP(B281,[1]!Table3[[Part Number]:[Annual]],11,0)</f>
        <v>102</v>
      </c>
      <c r="F281" s="69">
        <f>VLOOKUP(B281,[1]!Table3[[Part Number]:[OEM CAD $]],4,0)</f>
        <v>785.53</v>
      </c>
      <c r="G281" s="70">
        <f t="shared" si="10"/>
        <v>80124.06</v>
      </c>
      <c r="H281" s="70">
        <f>VLOOKUP(B281,[1]!Table3[[Part Number]:[GQP CAD $]],5,0)</f>
        <v>392.77</v>
      </c>
      <c r="I281" s="74">
        <f t="shared" si="9"/>
        <v>40062.54</v>
      </c>
    </row>
    <row r="282" spans="2:9" x14ac:dyDescent="0.25">
      <c r="B282" s="71" t="s">
        <v>274</v>
      </c>
      <c r="C282" s="67" t="str">
        <f>VLOOKUP(B282,[1]!Table3[[Part Number]:[Make and Model]],2,0)</f>
        <v xml:space="preserve">CAT D5 (3CR) CAT D5 (3CR) (2) CAT 561N (CPH) CAT 561N (CPH) (2) CAT 561N (CPH) (3) CAT 561N (CPH) (4) CAT 561N (CPH) (5)                                </v>
      </c>
      <c r="D282" s="67" t="str">
        <f>VLOOKUP(B282,[1]!Table3[[Part Number]:[Part Description]],3,0)</f>
        <v>DOUBLE FLANGE TRACK ROLLER</v>
      </c>
      <c r="E282" s="68">
        <f>VLOOKUP(B282,[1]!Table3[[Part Number]:[Annual]],11,0)</f>
        <v>42</v>
      </c>
      <c r="F282" s="69">
        <f>VLOOKUP(B282,[1]!Table3[[Part Number]:[OEM CAD $]],4,0)</f>
        <v>651.61</v>
      </c>
      <c r="G282" s="70">
        <f t="shared" si="10"/>
        <v>27367.62</v>
      </c>
      <c r="H282" s="70">
        <f>VLOOKUP(B282,[1]!Table3[[Part Number]:[GQP CAD $]],5,0)</f>
        <v>325.81</v>
      </c>
      <c r="I282" s="74">
        <f t="shared" si="9"/>
        <v>13684.02</v>
      </c>
    </row>
    <row r="283" spans="2:9" x14ac:dyDescent="0.25">
      <c r="B283" s="71" t="s">
        <v>275</v>
      </c>
      <c r="C283" s="67" t="str">
        <f>VLOOKUP(B283,[1]!Table3[[Part Number]:[Make and Model]],2,0)</f>
        <v xml:space="preserve">CAT 561M (1KW)                                            </v>
      </c>
      <c r="D283" s="67" t="str">
        <f>VLOOKUP(B283,[1]!Table3[[Part Number]:[Part Description]],3,0)</f>
        <v>SINGLE FL ROLLER</v>
      </c>
      <c r="E283" s="68">
        <f>VLOOKUP(B283,[1]!Table3[[Part Number]:[Annual]],11,0)</f>
        <v>8</v>
      </c>
      <c r="F283" s="69">
        <f>VLOOKUP(B283,[1]!Table3[[Part Number]:[OEM CAD $]],4,0)</f>
        <v>868.38</v>
      </c>
      <c r="G283" s="70">
        <f t="shared" si="10"/>
        <v>6947.04</v>
      </c>
      <c r="H283" s="70">
        <f>VLOOKUP(B283,[1]!Table3[[Part Number]:[GQP CAD $]],5,0)</f>
        <v>434.19</v>
      </c>
      <c r="I283" s="74">
        <f t="shared" si="9"/>
        <v>3473.52</v>
      </c>
    </row>
    <row r="284" spans="2:9" x14ac:dyDescent="0.25">
      <c r="B284" s="71" t="s">
        <v>276</v>
      </c>
      <c r="C284" s="67" t="str">
        <f>VLOOKUP(B284,[1]!Table3[[Part Number]:[Make and Model]],2,0)</f>
        <v xml:space="preserve">CAT 561M (1KW)                                            </v>
      </c>
      <c r="D284" s="67" t="str">
        <f>VLOOKUP(B284,[1]!Table3[[Part Number]:[Part Description]],3,0)</f>
        <v xml:space="preserve">DOUBLE FL ROLLER </v>
      </c>
      <c r="E284" s="68">
        <f>VLOOKUP(B284,[1]!Table3[[Part Number]:[Annual]],11,0)</f>
        <v>6</v>
      </c>
      <c r="F284" s="69">
        <f>VLOOKUP(B284,[1]!Table3[[Part Number]:[OEM CAD $]],4,0)</f>
        <v>629.14</v>
      </c>
      <c r="G284" s="70">
        <f t="shared" si="10"/>
        <v>3774.84</v>
      </c>
      <c r="H284" s="70">
        <f>VLOOKUP(B284,[1]!Table3[[Part Number]:[GQP CAD $]],5,0)</f>
        <v>314.57</v>
      </c>
      <c r="I284" s="74">
        <f t="shared" si="9"/>
        <v>1887.42</v>
      </c>
    </row>
    <row r="285" spans="2:9" x14ac:dyDescent="0.25">
      <c r="B285" s="71" t="s">
        <v>277</v>
      </c>
      <c r="C285" s="67" t="str">
        <f>VLOOKUP(B285,[1]!Table3[[Part Number]:[Make and Model]],2,0)</f>
        <v xml:space="preserve">CAT 336F L (RKB)                                            </v>
      </c>
      <c r="D285" s="67" t="str">
        <f>VLOOKUP(B285,[1]!Table3[[Part Number]:[Part Description]],3,0)</f>
        <v>FRONT IDLER</v>
      </c>
      <c r="E285" s="68">
        <f>VLOOKUP(B285,[1]!Table3[[Part Number]:[Annual]],11,0)</f>
        <v>2</v>
      </c>
      <c r="F285" s="69">
        <f>VLOOKUP(B285,[1]!Table3[[Part Number]:[OEM CAD $]],4,0)</f>
        <v>4335.3599999999997</v>
      </c>
      <c r="G285" s="70">
        <f t="shared" si="10"/>
        <v>8670.7199999999993</v>
      </c>
      <c r="H285" s="70">
        <f>VLOOKUP(B285,[1]!Table3[[Part Number]:[GQP CAD $]],5,0)</f>
        <v>2167.6799999999998</v>
      </c>
      <c r="I285" s="74">
        <f t="shared" si="9"/>
        <v>4335.3599999999997</v>
      </c>
    </row>
    <row r="286" spans="2:9" x14ac:dyDescent="0.25">
      <c r="B286" s="71" t="s">
        <v>180</v>
      </c>
      <c r="C286" s="67" t="str">
        <f>VLOOKUP(B286,[1]!Table3[[Part Number]:[Make and Model]],2,0)</f>
        <v xml:space="preserve">CAT D6 (RDC)                                            </v>
      </c>
      <c r="D286" s="67" t="str">
        <f>VLOOKUP(B286,[1]!Table3[[Part Number]:[Part Description]],3,0)</f>
        <v>FLAT WASHER</v>
      </c>
      <c r="E286" s="68">
        <f>VLOOKUP(B286,[1]!Table3[[Part Number]:[Annual]],11,0)</f>
        <v>16</v>
      </c>
      <c r="F286" s="69">
        <f>VLOOKUP(B286,[1]!Table3[[Part Number]:[OEM CAD $]],4,0)</f>
        <v>8.75</v>
      </c>
      <c r="G286" s="70">
        <f t="shared" si="10"/>
        <v>140</v>
      </c>
      <c r="H286" s="70">
        <f>VLOOKUP(B286,[1]!Table3[[Part Number]:[GQP CAD $]],5,0)</f>
        <v>4.38</v>
      </c>
      <c r="I286" s="74">
        <f t="shared" si="9"/>
        <v>70.08</v>
      </c>
    </row>
    <row r="287" spans="2:9" x14ac:dyDescent="0.25">
      <c r="B287" s="71" t="s">
        <v>278</v>
      </c>
      <c r="C287" s="67" t="str">
        <f>VLOOKUP(B287,[1]!Table3[[Part Number]:[Make and Model]],2,0)</f>
        <v xml:space="preserve">CAT D3 (1PJ)                                            </v>
      </c>
      <c r="D287" s="67" t="str">
        <f>VLOOKUP(B287,[1]!Table3[[Part Number]:[Part Description]],3,0)</f>
        <v>TRACK LINK ASSEMBLY</v>
      </c>
      <c r="E287" s="68">
        <f>VLOOKUP(B287,[1]!Table3[[Part Number]:[Annual]],11,0)</f>
        <v>2</v>
      </c>
      <c r="F287" s="69">
        <f>VLOOKUP(B287,[1]!Table3[[Part Number]:[OEM CAD $]],4,0)</f>
        <v>3975.66</v>
      </c>
      <c r="G287" s="70">
        <f t="shared" si="10"/>
        <v>7951.32</v>
      </c>
      <c r="H287" s="70">
        <f>VLOOKUP(B287,[1]!Table3[[Part Number]:[GQP CAD $]],5,0)</f>
        <v>1987.83</v>
      </c>
      <c r="I287" s="74">
        <f t="shared" si="9"/>
        <v>3975.66</v>
      </c>
    </row>
    <row r="288" spans="2:9" x14ac:dyDescent="0.25">
      <c r="B288" s="71" t="s">
        <v>279</v>
      </c>
      <c r="C288" s="67" t="str">
        <f>VLOOKUP(B288,[1]!Table3[[Part Number]:[Make and Model]],2,0)</f>
        <v xml:space="preserve">CAT 561 (85H) CAT 561 (92J) CAT 561 (92J) (2)                                        </v>
      </c>
      <c r="D288" s="67" t="str">
        <f>VLOOKUP(B288,[1]!Table3[[Part Number]:[Part Description]],3,0)</f>
        <v>TRACK LINK AS</v>
      </c>
      <c r="E288" s="68">
        <f>VLOOKUP(B288,[1]!Table3[[Part Number]:[Annual]],11,0)</f>
        <v>6</v>
      </c>
      <c r="F288" s="69">
        <f>VLOOKUP(B288,[1]!Table3[[Part Number]:[OEM CAD $]],4,0)</f>
        <v>13482.38</v>
      </c>
      <c r="G288" s="70">
        <f t="shared" si="10"/>
        <v>80894.28</v>
      </c>
      <c r="H288" s="70">
        <f>VLOOKUP(B288,[1]!Table3[[Part Number]:[GQP CAD $]],5,0)</f>
        <v>6741.19</v>
      </c>
      <c r="I288" s="74">
        <f t="shared" si="9"/>
        <v>40447.14</v>
      </c>
    </row>
    <row r="289" spans="2:9" x14ac:dyDescent="0.25">
      <c r="B289" s="71" t="s">
        <v>281</v>
      </c>
      <c r="C289" s="67" t="str">
        <f>VLOOKUP(B289,[1]!Table3[[Part Number]:[Make and Model]],2,0)</f>
        <v xml:space="preserve">CAT D5 (3CR) CAT D5 (3CR) (2)                                          </v>
      </c>
      <c r="D289" s="67" t="str">
        <f>VLOOKUP(B289,[1]!Table3[[Part Number]:[Part Description]],3,0)</f>
        <v>CYLINDER HEAD</v>
      </c>
      <c r="E289" s="68">
        <f>VLOOKUP(B289,[1]!Table3[[Part Number]:[Annual]],11,0)</f>
        <v>2</v>
      </c>
      <c r="F289" s="69">
        <f>VLOOKUP(B289,[1]!Table3[[Part Number]:[OEM CAD $]],4,0)</f>
        <v>9139.2999999999993</v>
      </c>
      <c r="G289" s="70">
        <f t="shared" si="10"/>
        <v>18278.599999999999</v>
      </c>
      <c r="H289" s="70">
        <f>VLOOKUP(B289,[1]!Table3[[Part Number]:[GQP CAD $]],5,0)</f>
        <v>4569.6499999999996</v>
      </c>
      <c r="I289" s="74">
        <f t="shared" si="9"/>
        <v>9139.2999999999993</v>
      </c>
    </row>
    <row r="290" spans="2:9" x14ac:dyDescent="0.25">
      <c r="B290" s="71" t="s">
        <v>282</v>
      </c>
      <c r="C290" s="67" t="str">
        <f>VLOOKUP(B290,[1]!Table3[[Part Number]:[Make and Model]],2,0)</f>
        <v xml:space="preserve">CAT D6T (MH7)                                            </v>
      </c>
      <c r="D290" s="67" t="str">
        <f>VLOOKUP(B290,[1]!Table3[[Part Number]:[Part Description]],3,0)</f>
        <v>SPROCKET SEGMENT</v>
      </c>
      <c r="E290" s="68">
        <f>VLOOKUP(B290,[1]!Table3[[Part Number]:[Annual]],11,0)</f>
        <v>10</v>
      </c>
      <c r="F290" s="69">
        <f>VLOOKUP(B290,[1]!Table3[[Part Number]:[OEM CAD $]],4,0)</f>
        <v>292.60000000000002</v>
      </c>
      <c r="G290" s="70">
        <f t="shared" si="10"/>
        <v>2926</v>
      </c>
      <c r="H290" s="70">
        <f>VLOOKUP(B290,[1]!Table3[[Part Number]:[GQP CAD $]],5,0)</f>
        <v>146.30000000000001</v>
      </c>
      <c r="I290" s="74">
        <f t="shared" si="9"/>
        <v>1463</v>
      </c>
    </row>
    <row r="291" spans="2:9" x14ac:dyDescent="0.25">
      <c r="B291" s="71" t="s">
        <v>283</v>
      </c>
      <c r="C291" s="67" t="str">
        <f>VLOOKUP(B291,[1]!Table3[[Part Number]:[Make and Model]],2,0)</f>
        <v xml:space="preserve">CAT D4 (66J)                                            </v>
      </c>
      <c r="D291" s="67" t="str">
        <f>VLOOKUP(B291,[1]!Table3[[Part Number]:[Part Description]],3,0)</f>
        <v>TRACK SHOE SINGLE GROUSER 860MM</v>
      </c>
      <c r="E291" s="68">
        <f>VLOOKUP(B291,[1]!Table3[[Part Number]:[Annual]],11,0)</f>
        <v>90</v>
      </c>
      <c r="F291" s="69">
        <f>VLOOKUP(B291,[1]!Table3[[Part Number]:[OEM CAD $]],4,0)</f>
        <v>188.07</v>
      </c>
      <c r="G291" s="70">
        <f t="shared" si="10"/>
        <v>16926.3</v>
      </c>
      <c r="H291" s="70">
        <f>VLOOKUP(B291,[1]!Table3[[Part Number]:[GQP CAD $]],5,0)</f>
        <v>94.04</v>
      </c>
      <c r="I291" s="74">
        <f t="shared" si="9"/>
        <v>8463.6</v>
      </c>
    </row>
    <row r="292" spans="2:9" x14ac:dyDescent="0.25">
      <c r="B292" s="71" t="s">
        <v>284</v>
      </c>
      <c r="C292" s="67" t="str">
        <f>VLOOKUP(B292,[1]!Table3[[Part Number]:[Make and Model]],2,0)</f>
        <v xml:space="preserve">CAT D4 (66J)                                            </v>
      </c>
      <c r="D292" s="67" t="str">
        <f>VLOOKUP(B292,[1]!Table3[[Part Number]:[Part Description]],3,0)</f>
        <v>TRACK SHOE MASTER</v>
      </c>
      <c r="E292" s="68">
        <f>VLOOKUP(B292,[1]!Table3[[Part Number]:[Annual]],11,0)</f>
        <v>2</v>
      </c>
      <c r="F292" s="69">
        <f>VLOOKUP(B292,[1]!Table3[[Part Number]:[OEM CAD $]],4,0)</f>
        <v>200.07</v>
      </c>
      <c r="G292" s="70">
        <f t="shared" si="10"/>
        <v>400.14</v>
      </c>
      <c r="H292" s="70">
        <f>VLOOKUP(B292,[1]!Table3[[Part Number]:[GQP CAD $]],5,0)</f>
        <v>100.04</v>
      </c>
      <c r="I292" s="74">
        <f t="shared" si="9"/>
        <v>200.08</v>
      </c>
    </row>
    <row r="293" spans="2:9" x14ac:dyDescent="0.25">
      <c r="B293" s="71" t="s">
        <v>285</v>
      </c>
      <c r="C293" s="67" t="str">
        <f>VLOOKUP(B293,[1]!Table3[[Part Number]:[Make and Model]],2,0)</f>
        <v xml:space="preserve">CAT D6N LGP (GHS) CAT D6N LGP (SGG) CAT D6N LGP (SGG) (2)                                        </v>
      </c>
      <c r="D293" s="67" t="str">
        <f>VLOOKUP(B293,[1]!Table3[[Part Number]:[Part Description]],3,0)</f>
        <v xml:space="preserve">TRACK IDLER </v>
      </c>
      <c r="E293" s="68">
        <f>VLOOKUP(B293,[1]!Table3[[Part Number]:[Annual]],11,0)</f>
        <v>12</v>
      </c>
      <c r="F293" s="69">
        <f>VLOOKUP(B293,[1]!Table3[[Part Number]:[OEM CAD $]],4,0)</f>
        <v>2878.82</v>
      </c>
      <c r="G293" s="70">
        <f t="shared" si="10"/>
        <v>34545.840000000004</v>
      </c>
      <c r="H293" s="70">
        <f>VLOOKUP(B293,[1]!Table3[[Part Number]:[GQP CAD $]],5,0)</f>
        <v>1439.41</v>
      </c>
      <c r="I293" s="74">
        <f t="shared" si="9"/>
        <v>17272.919999999998</v>
      </c>
    </row>
    <row r="294" spans="2:9" x14ac:dyDescent="0.25">
      <c r="B294" s="71" t="s">
        <v>286</v>
      </c>
      <c r="C294" s="67" t="str">
        <f>VLOOKUP(B294,[1]!Table3[[Part Number]:[Make and Model]],2,0)</f>
        <v xml:space="preserve">CAT D5 (3CR) CAT D5 (3CR) (2) CAT 561M (1KW) CAT 561N (CPH) CAT 561N (CPH) (2) CAT 561N (CPH) (3) CAT 561N (CPH) (4) CAT 561N (CPH) (5)                              </v>
      </c>
      <c r="D294" s="67" t="str">
        <f>VLOOKUP(B294,[1]!Table3[[Part Number]:[Part Description]],3,0)</f>
        <v xml:space="preserve">TRACK IDLER </v>
      </c>
      <c r="E294" s="68">
        <f>VLOOKUP(B294,[1]!Table3[[Part Number]:[Annual]],11,0)</f>
        <v>18</v>
      </c>
      <c r="F294" s="69">
        <f>VLOOKUP(B294,[1]!Table3[[Part Number]:[OEM CAD $]],4,0)</f>
        <v>3220.34</v>
      </c>
      <c r="G294" s="70">
        <f t="shared" si="10"/>
        <v>57966.12</v>
      </c>
      <c r="H294" s="70">
        <f>VLOOKUP(B294,[1]!Table3[[Part Number]:[GQP CAD $]],5,0)</f>
        <v>1610.17</v>
      </c>
      <c r="I294" s="74">
        <f t="shared" si="9"/>
        <v>28983.06</v>
      </c>
    </row>
    <row r="295" spans="2:9" x14ac:dyDescent="0.25">
      <c r="B295" s="71" t="s">
        <v>287</v>
      </c>
      <c r="C295" s="67" t="str">
        <f>VLOOKUP(B295,[1]!Table3[[Part Number]:[Make and Model]],2,0)</f>
        <v xml:space="preserve">CAT D3 (1PJ)                                            </v>
      </c>
      <c r="D295" s="67" t="str">
        <f>VLOOKUP(B295,[1]!Table3[[Part Number]:[Part Description]],3,0)</f>
        <v>SPROCKET SEGMENT</v>
      </c>
      <c r="E295" s="68">
        <f>VLOOKUP(B295,[1]!Table3[[Part Number]:[Annual]],11,0)</f>
        <v>10</v>
      </c>
      <c r="F295" s="69">
        <f>VLOOKUP(B295,[1]!Table3[[Part Number]:[OEM CAD $]],4,0)</f>
        <v>134.41999999999999</v>
      </c>
      <c r="G295" s="70">
        <f t="shared" si="10"/>
        <v>1344.1999999999998</v>
      </c>
      <c r="H295" s="70">
        <f>VLOOKUP(B295,[1]!Table3[[Part Number]:[GQP CAD $]],5,0)</f>
        <v>67.209999999999994</v>
      </c>
      <c r="I295" s="74">
        <f t="shared" si="9"/>
        <v>672.1</v>
      </c>
    </row>
    <row r="296" spans="2:9" x14ac:dyDescent="0.25">
      <c r="B296" s="71" t="s">
        <v>288</v>
      </c>
      <c r="C296" s="67" t="str">
        <f>VLOOKUP(B296,[1]!Table3[[Part Number]:[Make and Model]],2,0)</f>
        <v xml:space="preserve">CAT D6N LGP (GHS)                                            </v>
      </c>
      <c r="D296" s="67" t="str">
        <f>VLOOKUP(B296,[1]!Table3[[Part Number]:[Part Description]],3,0)</f>
        <v>SEAT SUSPENSION ASSEMBLY</v>
      </c>
      <c r="E296" s="68">
        <f>VLOOKUP(B296,[1]!Table3[[Part Number]:[Annual]],11,0)</f>
        <v>1</v>
      </c>
      <c r="F296" s="69">
        <f>VLOOKUP(B296,[1]!Table3[[Part Number]:[OEM CAD $]],4,0)</f>
        <v>3100.37</v>
      </c>
      <c r="G296" s="70">
        <f t="shared" si="10"/>
        <v>3100.37</v>
      </c>
      <c r="H296" s="70">
        <f>VLOOKUP(B296,[1]!Table3[[Part Number]:[GQP CAD $]],5,0)</f>
        <v>1550.19</v>
      </c>
      <c r="I296" s="74">
        <f t="shared" si="9"/>
        <v>1550.19</v>
      </c>
    </row>
    <row r="297" spans="2:9" x14ac:dyDescent="0.25">
      <c r="B297" s="71" t="s">
        <v>289</v>
      </c>
      <c r="C297" s="67" t="str">
        <f>VLOOKUP(B297,[1]!Table3[[Part Number]:[Make and Model]],2,0)</f>
        <v xml:space="preserve">CAT PL61 (WGS) CAT PL61 (WGS) (2) CAT PL61 (WGS) (3) CAT 299D (DX2)                                      </v>
      </c>
      <c r="D297" s="67" t="str">
        <f>VLOOKUP(B297,[1]!Table3[[Part Number]:[Part Description]],3,0)</f>
        <v>CARRIER BOLT</v>
      </c>
      <c r="E297" s="68">
        <f>VLOOKUP(B297,[1]!Table3[[Part Number]:[Annual]],11,0)</f>
        <v>20</v>
      </c>
      <c r="F297" s="69">
        <f>VLOOKUP(B297,[1]!Table3[[Part Number]:[OEM CAD $]],4,0)</f>
        <v>1.31</v>
      </c>
      <c r="G297" s="70">
        <f t="shared" si="10"/>
        <v>26.200000000000003</v>
      </c>
      <c r="H297" s="70">
        <f>VLOOKUP(B297,[1]!Table3[[Part Number]:[GQP CAD $]],5,0)</f>
        <v>0.66</v>
      </c>
      <c r="I297" s="74">
        <f t="shared" si="9"/>
        <v>13.2</v>
      </c>
    </row>
    <row r="298" spans="2:9" x14ac:dyDescent="0.25">
      <c r="B298" s="71" t="s">
        <v>181</v>
      </c>
      <c r="C298" s="67" t="str">
        <f>VLOOKUP(B298,[1]!Table3[[Part Number]:[Make and Model]],2,0)</f>
        <v xml:space="preserve">CAT D6N LGP (GHS) CAT D6N LGP (SGG) CAT D6N LGP (SGG) (2)                                        </v>
      </c>
      <c r="D298" s="67" t="str">
        <f>VLOOKUP(B298,[1]!Table3[[Part Number]:[Part Description]],3,0)</f>
        <v>REAR WEAR STRIP 16MM</v>
      </c>
      <c r="E298" s="68">
        <f>VLOOKUP(B298,[1]!Table3[[Part Number]:[Annual]],11,0)</f>
        <v>12</v>
      </c>
      <c r="F298" s="69">
        <f>VLOOKUP(B298,[1]!Table3[[Part Number]:[OEM CAD $]],4,0)</f>
        <v>200.89</v>
      </c>
      <c r="G298" s="70">
        <f t="shared" si="10"/>
        <v>2410.6799999999998</v>
      </c>
      <c r="H298" s="70">
        <f>VLOOKUP(B298,[1]!Table3[[Part Number]:[GQP CAD $]],5,0)</f>
        <v>100.45</v>
      </c>
      <c r="I298" s="74">
        <f t="shared" si="9"/>
        <v>1205.4000000000001</v>
      </c>
    </row>
    <row r="299" spans="2:9" x14ac:dyDescent="0.25">
      <c r="B299" s="71" t="s">
        <v>182</v>
      </c>
      <c r="C299" s="67" t="str">
        <f>VLOOKUP(B299,[1]!Table3[[Part Number]:[Make and Model]],2,0)</f>
        <v xml:space="preserve">CAT D6N LGP (GHS) CAT D6N LGP (SGG) CAT D6N LGP (SGG) (2)                                        </v>
      </c>
      <c r="D299" s="67" t="str">
        <f>VLOOKUP(B299,[1]!Table3[[Part Number]:[Part Description]],3,0)</f>
        <v>FRONT WEAR STRIP 16MM</v>
      </c>
      <c r="E299" s="68">
        <f>VLOOKUP(B299,[1]!Table3[[Part Number]:[Annual]],11,0)</f>
        <v>12</v>
      </c>
      <c r="F299" s="69">
        <f>VLOOKUP(B299,[1]!Table3[[Part Number]:[OEM CAD $]],4,0)</f>
        <v>159.66</v>
      </c>
      <c r="G299" s="70">
        <f t="shared" si="10"/>
        <v>1915.92</v>
      </c>
      <c r="H299" s="70">
        <f>VLOOKUP(B299,[1]!Table3[[Part Number]:[GQP CAD $]],5,0)</f>
        <v>79.83</v>
      </c>
      <c r="I299" s="74">
        <f t="shared" si="9"/>
        <v>957.96</v>
      </c>
    </row>
    <row r="300" spans="2:9" x14ac:dyDescent="0.25">
      <c r="B300" s="71" t="s">
        <v>290</v>
      </c>
      <c r="C300" s="67" t="str">
        <f>VLOOKUP(B300,[1]!Table3[[Part Number]:[Make and Model]],2,0)</f>
        <v xml:space="preserve">CAT D5 (3CR) CAT D5 (3CR) (2) CAT 561 (85H) CAT 561 (92J) CAT 561 (92J) (2) CAT 561M (1KW) CAT 561N (CPH) CAT 561N (CPH) (2) CAT 561N (CPH) (3) CAT 561N (CPH) (4) CAT 561N (CPH) (5)                        </v>
      </c>
      <c r="D300" s="67" t="str">
        <f>VLOOKUP(B300,[1]!Table3[[Part Number]:[Part Description]],3,0)</f>
        <v>TRACK NUT</v>
      </c>
      <c r="E300" s="68">
        <f>VLOOKUP(B300,[1]!Table3[[Part Number]:[Annual]],11,0)</f>
        <v>2634</v>
      </c>
      <c r="F300" s="69">
        <f>VLOOKUP(B300,[1]!Table3[[Part Number]:[OEM CAD $]],4,0)</f>
        <v>2.0699999999999998</v>
      </c>
      <c r="G300" s="70">
        <f t="shared" si="10"/>
        <v>5452.3799999999992</v>
      </c>
      <c r="H300" s="70">
        <f>VLOOKUP(B300,[1]!Table3[[Part Number]:[GQP CAD $]],5,0)</f>
        <v>1.04</v>
      </c>
      <c r="I300" s="74">
        <f t="shared" si="9"/>
        <v>2739.36</v>
      </c>
    </row>
    <row r="301" spans="2:9" x14ac:dyDescent="0.25">
      <c r="B301" s="71" t="s">
        <v>291</v>
      </c>
      <c r="C301" s="67" t="str">
        <f>VLOOKUP(B301,[1]!Table3[[Part Number]:[Make and Model]],2,0)</f>
        <v xml:space="preserve">CAT D4 (66J)                                            </v>
      </c>
      <c r="D301" s="67" t="str">
        <f>VLOOKUP(B301,[1]!Table3[[Part Number]:[Part Description]],3,0)</f>
        <v xml:space="preserve">TRACK IDLER </v>
      </c>
      <c r="E301" s="68">
        <f>VLOOKUP(B301,[1]!Table3[[Part Number]:[Annual]],11,0)</f>
        <v>2</v>
      </c>
      <c r="F301" s="69">
        <f>VLOOKUP(B301,[1]!Table3[[Part Number]:[OEM CAD $]],4,0)</f>
        <v>2233.12</v>
      </c>
      <c r="G301" s="70">
        <f t="shared" si="10"/>
        <v>4466.24</v>
      </c>
      <c r="H301" s="70">
        <f>VLOOKUP(B301,[1]!Table3[[Part Number]:[GQP CAD $]],5,0)</f>
        <v>1116.56</v>
      </c>
      <c r="I301" s="74">
        <f t="shared" si="9"/>
        <v>2233.12</v>
      </c>
    </row>
    <row r="302" spans="2:9" x14ac:dyDescent="0.25">
      <c r="B302" s="71" t="s">
        <v>292</v>
      </c>
      <c r="C302" s="67" t="str">
        <f>VLOOKUP(B302,[1]!Table3[[Part Number]:[Make and Model]],2,0)</f>
        <v xml:space="preserve">CAT D4 (66J)                                            </v>
      </c>
      <c r="D302" s="67" t="str">
        <f>VLOOKUP(B302,[1]!Table3[[Part Number]:[Part Description]],3,0)</f>
        <v>TRACK NUT</v>
      </c>
      <c r="E302" s="68">
        <f>VLOOKUP(B302,[1]!Table3[[Part Number]:[Annual]],11,0)</f>
        <v>360</v>
      </c>
      <c r="F302" s="69">
        <f>VLOOKUP(B302,[1]!Table3[[Part Number]:[OEM CAD $]],4,0)</f>
        <v>2.94</v>
      </c>
      <c r="G302" s="70">
        <f t="shared" si="10"/>
        <v>1058.4000000000001</v>
      </c>
      <c r="H302" s="70">
        <f>VLOOKUP(B302,[1]!Table3[[Part Number]:[GQP CAD $]],5,0)</f>
        <v>1.47</v>
      </c>
      <c r="I302" s="74">
        <f t="shared" si="9"/>
        <v>529.20000000000005</v>
      </c>
    </row>
    <row r="303" spans="2:9" x14ac:dyDescent="0.25">
      <c r="B303" s="71" t="s">
        <v>51</v>
      </c>
      <c r="C303" s="67" t="str">
        <f>VLOOKUP(B303,[1]!Table3[[Part Number]:[Make and Model]],2,0)</f>
        <v xml:space="preserve">CAT D6 (RDC) CAT D6N LGP (GHS) CAT D6N LGP (SGG) CAT D6N LGP (SGG) (2) CAT D7G (92V) CAT D7G (3ZD) CAT D7G (3ZD) (2) CAT PL61 (WGS) CAT PL61 (WGS) (2) CAT PL61 (WGS) (3)                          </v>
      </c>
      <c r="D303" s="67" t="str">
        <f>VLOOKUP(B303,[1]!Table3[[Part Number]:[Part Description]],3,0)</f>
        <v>TRACK NUT</v>
      </c>
      <c r="E303" s="68">
        <f>VLOOKUP(B303,[1]!Table3[[Part Number]:[Annual]],11,0)</f>
        <v>3264</v>
      </c>
      <c r="F303" s="69">
        <f>VLOOKUP(B303,[1]!Table3[[Part Number]:[OEM CAD $]],4,0)</f>
        <v>2.94</v>
      </c>
      <c r="G303" s="70">
        <f t="shared" si="10"/>
        <v>9596.16</v>
      </c>
      <c r="H303" s="70">
        <f>VLOOKUP(B303,[1]!Table3[[Part Number]:[GQP CAD $]],5,0)</f>
        <v>1.47</v>
      </c>
      <c r="I303" s="74">
        <f t="shared" si="9"/>
        <v>4798.08</v>
      </c>
    </row>
    <row r="304" spans="2:9" x14ac:dyDescent="0.25">
      <c r="B304" s="71" t="s">
        <v>293</v>
      </c>
      <c r="C304" s="67" t="str">
        <f>VLOOKUP(B304,[1]!Table3[[Part Number]:[Make and Model]],2,0)</f>
        <v xml:space="preserve">CAT D6 (RDC) CAT D6T (MH7)                                          </v>
      </c>
      <c r="D304" s="67" t="str">
        <f>VLOOKUP(B304,[1]!Table3[[Part Number]:[Part Description]],3,0)</f>
        <v>TRACK IDLER</v>
      </c>
      <c r="E304" s="68">
        <f>VLOOKUP(B304,[1]!Table3[[Part Number]:[Annual]],11,0)</f>
        <v>8</v>
      </c>
      <c r="F304" s="69">
        <f>VLOOKUP(B304,[1]!Table3[[Part Number]:[OEM CAD $]],4,0)</f>
        <v>3032.3</v>
      </c>
      <c r="G304" s="70">
        <f t="shared" si="10"/>
        <v>24258.400000000001</v>
      </c>
      <c r="H304" s="70">
        <f>VLOOKUP(B304,[1]!Table3[[Part Number]:[GQP CAD $]],5,0)</f>
        <v>1516.15</v>
      </c>
      <c r="I304" s="74">
        <f t="shared" si="9"/>
        <v>12129.2</v>
      </c>
    </row>
    <row r="305" spans="2:9" x14ac:dyDescent="0.25">
      <c r="B305" s="71" t="s">
        <v>294</v>
      </c>
      <c r="C305" s="67" t="str">
        <f>VLOOKUP(B305,[1]!Table3[[Part Number]:[Make and Model]],2,0)</f>
        <v xml:space="preserve">CAT 336F L (RKB)                                            </v>
      </c>
      <c r="D305" s="67" t="str">
        <f>VLOOKUP(B305,[1]!Table3[[Part Number]:[Part Description]],3,0)</f>
        <v>TRACK LINK ASSEMBLY</v>
      </c>
      <c r="E305" s="68">
        <f>VLOOKUP(B305,[1]!Table3[[Part Number]:[Annual]],11,0)</f>
        <v>2</v>
      </c>
      <c r="F305" s="69">
        <f>VLOOKUP(B305,[1]!Table3[[Part Number]:[OEM CAD $]],4,0)</f>
        <v>12083.08</v>
      </c>
      <c r="G305" s="70">
        <f t="shared" si="10"/>
        <v>24166.16</v>
      </c>
      <c r="H305" s="70">
        <f>VLOOKUP(B305,[1]!Table3[[Part Number]:[GQP CAD $]],5,0)</f>
        <v>6041.54</v>
      </c>
      <c r="I305" s="74">
        <f t="shared" si="9"/>
        <v>12083.08</v>
      </c>
    </row>
    <row r="306" spans="2:9" x14ac:dyDescent="0.25">
      <c r="B306" s="71" t="s">
        <v>295</v>
      </c>
      <c r="C306" s="67" t="str">
        <f>VLOOKUP(B306,[1]!Table3[[Part Number]:[Make and Model]],2,0)</f>
        <v xml:space="preserve">CAT D6 (RDC) CAT D6T (MH7)                                          </v>
      </c>
      <c r="D306" s="67" t="str">
        <f>VLOOKUP(B306,[1]!Table3[[Part Number]:[Part Description]],3,0)</f>
        <v>CARRIER BOLT</v>
      </c>
      <c r="E306" s="68">
        <f>VLOOKUP(B306,[1]!Table3[[Part Number]:[Annual]],11,0)</f>
        <v>8</v>
      </c>
      <c r="F306" s="69">
        <f>VLOOKUP(B306,[1]!Table3[[Part Number]:[OEM CAD $]],4,0)</f>
        <v>22.26</v>
      </c>
      <c r="G306" s="70">
        <f t="shared" si="10"/>
        <v>178.08</v>
      </c>
      <c r="H306" s="70">
        <f>VLOOKUP(B306,[1]!Table3[[Part Number]:[GQP CAD $]],5,0)</f>
        <v>11.13</v>
      </c>
      <c r="I306" s="74">
        <f t="shared" si="9"/>
        <v>89.04</v>
      </c>
    </row>
    <row r="307" spans="2:9" x14ac:dyDescent="0.25">
      <c r="B307" s="71" t="s">
        <v>296</v>
      </c>
      <c r="C307" s="67" t="str">
        <f>VLOOKUP(B307,[1]!Table3[[Part Number]:[Make and Model]],2,0)</f>
        <v xml:space="preserve">CAT D5 (3CR) CAT D5 (3CR) (2)                                          </v>
      </c>
      <c r="D307" s="67" t="str">
        <f>VLOOKUP(B307,[1]!Table3[[Part Number]:[Part Description]],3,0)</f>
        <v>TRACK SHOE SINGLE GROUSER 760MM</v>
      </c>
      <c r="E307" s="68">
        <f>VLOOKUP(B307,[1]!Table3[[Part Number]:[Annual]],11,0)</f>
        <v>176</v>
      </c>
      <c r="F307" s="69">
        <f>VLOOKUP(B307,[1]!Table3[[Part Number]:[OEM CAD $]],4,0)</f>
        <v>126.01</v>
      </c>
      <c r="G307" s="70">
        <f t="shared" si="10"/>
        <v>22177.760000000002</v>
      </c>
      <c r="H307" s="70">
        <f>VLOOKUP(B307,[1]!Table3[[Part Number]:[GQP CAD $]],5,0)</f>
        <v>63.01</v>
      </c>
      <c r="I307" s="74">
        <f t="shared" si="9"/>
        <v>11089.76</v>
      </c>
    </row>
    <row r="308" spans="2:9" x14ac:dyDescent="0.25">
      <c r="B308" s="71" t="s">
        <v>297</v>
      </c>
      <c r="C308" s="67" t="str">
        <f>VLOOKUP(B308,[1]!Table3[[Part Number]:[Make and Model]],2,0)</f>
        <v xml:space="preserve">CAT 320E L (WBK) CAT 320E L (WBK) (2) CAT 320F L (YBM) CAT 320 (HEX) CAT 320 (MYK) CAT 320 (MYK) (2)                                  </v>
      </c>
      <c r="D308" s="67" t="str">
        <f>VLOOKUP(B308,[1]!Table3[[Part Number]:[Part Description]],3,0)</f>
        <v>SPROCKET BOLT</v>
      </c>
      <c r="E308" s="68">
        <f>VLOOKUP(B308,[1]!Table3[[Part Number]:[Annual]],11,0)</f>
        <v>192</v>
      </c>
      <c r="F308" s="69">
        <f>VLOOKUP(B308,[1]!Table3[[Part Number]:[OEM CAD $]],4,0)</f>
        <v>8.76</v>
      </c>
      <c r="G308" s="70">
        <f t="shared" si="10"/>
        <v>1681.92</v>
      </c>
      <c r="H308" s="70">
        <f>VLOOKUP(B308,[1]!Table3[[Part Number]:[GQP CAD $]],5,0)</f>
        <v>4.38</v>
      </c>
      <c r="I308" s="74">
        <f t="shared" si="9"/>
        <v>840.96</v>
      </c>
    </row>
    <row r="309" spans="2:9" x14ac:dyDescent="0.25">
      <c r="B309" s="71" t="s">
        <v>298</v>
      </c>
      <c r="C309" s="67" t="str">
        <f>VLOOKUP(B309,[1]!Table3[[Part Number]:[Make and Model]],2,0)</f>
        <v xml:space="preserve">CAT D6N LGP (GHS)                                            </v>
      </c>
      <c r="D309" s="67" t="str">
        <f>VLOOKUP(B309,[1]!Table3[[Part Number]:[Part Description]],3,0)</f>
        <v>TRACK SHOE SINGLE GROUSER 860MM</v>
      </c>
      <c r="E309" s="68">
        <f>VLOOKUP(B309,[1]!Table3[[Part Number]:[Annual]],11,0)</f>
        <v>90</v>
      </c>
      <c r="F309" s="69">
        <f>VLOOKUP(B309,[1]!Table3[[Part Number]:[OEM CAD $]],4,0)</f>
        <v>206.6</v>
      </c>
      <c r="G309" s="70">
        <f t="shared" si="10"/>
        <v>18594</v>
      </c>
      <c r="H309" s="70">
        <f>VLOOKUP(B309,[1]!Table3[[Part Number]:[GQP CAD $]],5,0)</f>
        <v>103.3</v>
      </c>
      <c r="I309" s="74">
        <f t="shared" si="9"/>
        <v>9297</v>
      </c>
    </row>
    <row r="310" spans="2:9" x14ac:dyDescent="0.25">
      <c r="B310" s="71" t="s">
        <v>299</v>
      </c>
      <c r="C310" s="67" t="str">
        <f>VLOOKUP(B310,[1]!Table3[[Part Number]:[Make and Model]],2,0)</f>
        <v xml:space="preserve">CAT D6N LGP (GHS)                                            </v>
      </c>
      <c r="D310" s="67" t="str">
        <f>VLOOKUP(B310,[1]!Table3[[Part Number]:[Part Description]],3,0)</f>
        <v>TRACK SHOE MASTER</v>
      </c>
      <c r="E310" s="68">
        <f>VLOOKUP(B310,[1]!Table3[[Part Number]:[Annual]],11,0)</f>
        <v>2</v>
      </c>
      <c r="F310" s="69">
        <f>VLOOKUP(B310,[1]!Table3[[Part Number]:[OEM CAD $]],4,0)</f>
        <v>226.51</v>
      </c>
      <c r="G310" s="70">
        <f t="shared" si="10"/>
        <v>453.02</v>
      </c>
      <c r="H310" s="70">
        <f>VLOOKUP(B310,[1]!Table3[[Part Number]:[GQP CAD $]],5,0)</f>
        <v>113.26</v>
      </c>
      <c r="I310" s="74">
        <f t="shared" si="9"/>
        <v>226.52</v>
      </c>
    </row>
    <row r="311" spans="2:9" x14ac:dyDescent="0.25">
      <c r="B311" s="71" t="s">
        <v>300</v>
      </c>
      <c r="C311" s="67" t="str">
        <f>VLOOKUP(B311,[1]!Table3[[Part Number]:[Make and Model]],2,0)</f>
        <v xml:space="preserve">CAT D7G (92V) CAT D7G (3ZD) CAT D7G (3ZD) (2)                                        </v>
      </c>
      <c r="D311" s="67" t="str">
        <f>VLOOKUP(B311,[1]!Table3[[Part Number]:[Part Description]],3,0)</f>
        <v>SPROCKET HUB</v>
      </c>
      <c r="E311" s="68">
        <f>VLOOKUP(B311,[1]!Table3[[Part Number]:[Annual]],11,0)</f>
        <v>6</v>
      </c>
      <c r="F311" s="69">
        <f>VLOOKUP(B311,[1]!Table3[[Part Number]:[OEM CAD $]],4,0)</f>
        <v>3635.61</v>
      </c>
      <c r="G311" s="70">
        <f t="shared" si="10"/>
        <v>21813.66</v>
      </c>
      <c r="H311" s="70">
        <f>VLOOKUP(B311,[1]!Table3[[Part Number]:[GQP CAD $]],5,0)</f>
        <v>1817.81</v>
      </c>
      <c r="I311" s="74">
        <f t="shared" si="9"/>
        <v>10906.86</v>
      </c>
    </row>
    <row r="312" spans="2:9" x14ac:dyDescent="0.25">
      <c r="B312" s="71" t="s">
        <v>301</v>
      </c>
      <c r="C312" s="67" t="str">
        <f>VLOOKUP(B312,[1]!Table3[[Part Number]:[Make and Model]],2,0)</f>
        <v xml:space="preserve">CAT D6N LGP (GHS) CAT D6N LGP (PBA) CAT D6N LGP (PBA) (2) CAT D6N LGP (SGG) CAT D6N LGP (SGG) (2)                                    </v>
      </c>
      <c r="D312" s="67" t="str">
        <f>VLOOKUP(B312,[1]!Table3[[Part Number]:[Part Description]],3,0)</f>
        <v>CARRIER ROLLER</v>
      </c>
      <c r="E312" s="68">
        <f>VLOOKUP(B312,[1]!Table3[[Part Number]:[Annual]],11,0)</f>
        <v>10</v>
      </c>
      <c r="F312" s="69">
        <f>VLOOKUP(B312,[1]!Table3[[Part Number]:[OEM CAD $]],4,0)</f>
        <v>496.33</v>
      </c>
      <c r="G312" s="70">
        <f t="shared" si="10"/>
        <v>4963.3</v>
      </c>
      <c r="H312" s="70">
        <f>VLOOKUP(B312,[1]!Table3[[Part Number]:[GQP CAD $]],5,0)</f>
        <v>248.17</v>
      </c>
      <c r="I312" s="74">
        <f t="shared" si="9"/>
        <v>2481.6999999999998</v>
      </c>
    </row>
    <row r="313" spans="2:9" x14ac:dyDescent="0.25">
      <c r="B313" s="71" t="s">
        <v>302</v>
      </c>
      <c r="C313" s="67" t="str">
        <f>VLOOKUP(B313,[1]!Table3[[Part Number]:[Make and Model]],2,0)</f>
        <v xml:space="preserve">CAT D6 (RDC) CAT D6T (MH7)                                          </v>
      </c>
      <c r="D313" s="67" t="str">
        <f>VLOOKUP(B313,[1]!Table3[[Part Number]:[Part Description]],3,0)</f>
        <v>CARRIER ROLLER</v>
      </c>
      <c r="E313" s="68">
        <f>VLOOKUP(B313,[1]!Table3[[Part Number]:[Annual]],11,0)</f>
        <v>4</v>
      </c>
      <c r="F313" s="69">
        <f>VLOOKUP(B313,[1]!Table3[[Part Number]:[OEM CAD $]],4,0)</f>
        <v>594.54</v>
      </c>
      <c r="G313" s="70">
        <f t="shared" si="10"/>
        <v>2378.16</v>
      </c>
      <c r="H313" s="70">
        <f>VLOOKUP(B313,[1]!Table3[[Part Number]:[GQP CAD $]],5,0)</f>
        <v>297.27</v>
      </c>
      <c r="I313" s="74">
        <f t="shared" si="9"/>
        <v>1189.08</v>
      </c>
    </row>
    <row r="314" spans="2:9" x14ac:dyDescent="0.25">
      <c r="B314" s="71" t="s">
        <v>303</v>
      </c>
      <c r="C314" s="67" t="str">
        <f>VLOOKUP(B314,[1]!Table3[[Part Number]:[Make and Model]],2,0)</f>
        <v xml:space="preserve">CAT D6N LGP (PBA) CAT D6N LGP (PBA) (2)                                          </v>
      </c>
      <c r="D314" s="67" t="str">
        <f>VLOOKUP(B314,[1]!Table3[[Part Number]:[Part Description]],3,0)</f>
        <v>SINGLE FLANGE TRACK ROLLER</v>
      </c>
      <c r="E314" s="68">
        <f>VLOOKUP(B314,[1]!Table3[[Part Number]:[Annual]],11,0)</f>
        <v>32</v>
      </c>
      <c r="F314" s="69">
        <f>VLOOKUP(B314,[1]!Table3[[Part Number]:[OEM CAD $]],4,0)</f>
        <v>866.99</v>
      </c>
      <c r="G314" s="70">
        <f t="shared" si="10"/>
        <v>27743.68</v>
      </c>
      <c r="H314" s="70">
        <f>VLOOKUP(B314,[1]!Table3[[Part Number]:[GQP CAD $]],5,0)</f>
        <v>433.5</v>
      </c>
      <c r="I314" s="74">
        <f t="shared" si="9"/>
        <v>13872</v>
      </c>
    </row>
    <row r="315" spans="2:9" x14ac:dyDescent="0.25">
      <c r="B315" s="71" t="s">
        <v>304</v>
      </c>
      <c r="C315" s="67" t="str">
        <f>VLOOKUP(B315,[1]!Table3[[Part Number]:[Make and Model]],2,0)</f>
        <v xml:space="preserve">CAT 320E L (WBK) CAT 320E L (WBK) (2) CAT 320F L (YBM) CAT 320 (HEX) CAT 320 (MYK) CAT 320 (MYK) (2)                                  </v>
      </c>
      <c r="D315" s="67" t="str">
        <f>VLOOKUP(B315,[1]!Table3[[Part Number]:[Part Description]],3,0)</f>
        <v>TRACK IDLER</v>
      </c>
      <c r="E315" s="68">
        <f>VLOOKUP(B315,[1]!Table3[[Part Number]:[Annual]],11,0)</f>
        <v>16</v>
      </c>
      <c r="F315" s="69">
        <f>VLOOKUP(B315,[1]!Table3[[Part Number]:[OEM CAD $]],4,0)</f>
        <v>2633.14</v>
      </c>
      <c r="G315" s="70">
        <f t="shared" si="10"/>
        <v>42130.239999999998</v>
      </c>
      <c r="H315" s="70">
        <f>VLOOKUP(B315,[1]!Table3[[Part Number]:[GQP CAD $]],5,0)</f>
        <v>1316.57</v>
      </c>
      <c r="I315" s="74">
        <f t="shared" si="9"/>
        <v>21065.119999999999</v>
      </c>
    </row>
    <row r="316" spans="2:9" x14ac:dyDescent="0.25">
      <c r="B316" s="71" t="s">
        <v>305</v>
      </c>
      <c r="C316" s="67" t="str">
        <f>VLOOKUP(B316,[1]!Table3[[Part Number]:[Make and Model]],2,0)</f>
        <v xml:space="preserve">CAT D6N LGP (GHS) CAT D6N LGP (SGG) CAT D6N LGP (SGG) (2)                                        </v>
      </c>
      <c r="D316" s="67" t="str">
        <f>VLOOKUP(B316,[1]!Table3[[Part Number]:[Part Description]],3,0)</f>
        <v>IDLER SCRAPER</v>
      </c>
      <c r="E316" s="68">
        <f>VLOOKUP(B316,[1]!Table3[[Part Number]:[Annual]],11,0)</f>
        <v>6</v>
      </c>
      <c r="F316" s="69">
        <f>VLOOKUP(B316,[1]!Table3[[Part Number]:[OEM CAD $]],4,0)</f>
        <v>113.29</v>
      </c>
      <c r="G316" s="70">
        <f t="shared" si="10"/>
        <v>679.74</v>
      </c>
      <c r="H316" s="70">
        <f>VLOOKUP(B316,[1]!Table3[[Part Number]:[GQP CAD $]],5,0)</f>
        <v>56.65</v>
      </c>
      <c r="I316" s="74">
        <f t="shared" si="9"/>
        <v>339.9</v>
      </c>
    </row>
    <row r="317" spans="2:9" x14ac:dyDescent="0.25">
      <c r="B317" s="71" t="s">
        <v>306</v>
      </c>
      <c r="C317" s="67" t="str">
        <f>VLOOKUP(B317,[1]!Table3[[Part Number]:[Make and Model]],2,0)</f>
        <v xml:space="preserve">CAT D6N LGP (PBA) CAT D6N LGP (PBA) (2)                                          </v>
      </c>
      <c r="D317" s="67" t="str">
        <f>VLOOKUP(B317,[1]!Table3[[Part Number]:[Part Description]],3,0)</f>
        <v>TRACK BOLT MASTER</v>
      </c>
      <c r="E317" s="68">
        <f>VLOOKUP(B317,[1]!Table3[[Part Number]:[Annual]],11,0)</f>
        <v>16</v>
      </c>
      <c r="F317" s="69">
        <f>VLOOKUP(B317,[1]!Table3[[Part Number]:[OEM CAD $]],4,0)</f>
        <v>10.72</v>
      </c>
      <c r="G317" s="70">
        <f t="shared" si="10"/>
        <v>171.52</v>
      </c>
      <c r="H317" s="70">
        <f>VLOOKUP(B317,[1]!Table3[[Part Number]:[GQP CAD $]],5,0)</f>
        <v>5.36</v>
      </c>
      <c r="I317" s="74">
        <f t="shared" si="9"/>
        <v>85.76</v>
      </c>
    </row>
    <row r="318" spans="2:9" x14ac:dyDescent="0.25">
      <c r="B318" s="71" t="s">
        <v>52</v>
      </c>
      <c r="C318" s="67" t="str">
        <f>VLOOKUP(B318,[1]!Table3[[Part Number]:[Make and Model]],2,0)</f>
        <v xml:space="preserve">CAT PL61 (WGS) CAT PL61 (WGS) (2) CAT PL61 (WGS) (3)                                        </v>
      </c>
      <c r="D318" s="67" t="str">
        <f>VLOOKUP(B318,[1]!Table3[[Part Number]:[Part Description]],3,0)</f>
        <v>SPROCKET</v>
      </c>
      <c r="E318" s="68">
        <f>VLOOKUP(B318,[1]!Table3[[Part Number]:[Annual]],11,0)</f>
        <v>6</v>
      </c>
      <c r="F318" s="69">
        <f>VLOOKUP(B318,[1]!Table3[[Part Number]:[OEM CAD $]],4,0)</f>
        <v>1650.99</v>
      </c>
      <c r="G318" s="70">
        <f t="shared" si="10"/>
        <v>9905.94</v>
      </c>
      <c r="H318" s="70">
        <f>VLOOKUP(B318,[1]!Table3[[Part Number]:[GQP CAD $]],5,0)</f>
        <v>825.5</v>
      </c>
      <c r="I318" s="74">
        <f t="shared" si="9"/>
        <v>4953</v>
      </c>
    </row>
    <row r="319" spans="2:9" x14ac:dyDescent="0.25">
      <c r="B319" s="71" t="s">
        <v>307</v>
      </c>
      <c r="C319" s="67" t="str">
        <f>VLOOKUP(B319,[1]!Table3[[Part Number]:[Make and Model]],2,0)</f>
        <v xml:space="preserve">CAT D6N LGP (GHS) CAT D6N LGP (SGG) CAT D6N LGP (SGG) (2)                                        </v>
      </c>
      <c r="D319" s="67" t="str">
        <f>VLOOKUP(B319,[1]!Table3[[Part Number]:[Part Description]],3,0)</f>
        <v>HEX HEAD BOLT</v>
      </c>
      <c r="E319" s="68">
        <f>VLOOKUP(B319,[1]!Table3[[Part Number]:[Annual]],11,0)</f>
        <v>12</v>
      </c>
      <c r="F319" s="69">
        <f>VLOOKUP(B319,[1]!Table3[[Part Number]:[OEM CAD $]],4,0)</f>
        <v>4.12</v>
      </c>
      <c r="G319" s="70">
        <f t="shared" si="10"/>
        <v>49.44</v>
      </c>
      <c r="H319" s="70">
        <f>VLOOKUP(B319,[1]!Table3[[Part Number]:[GQP CAD $]],5,0)</f>
        <v>2.06</v>
      </c>
      <c r="I319" s="74">
        <f t="shared" si="9"/>
        <v>24.72</v>
      </c>
    </row>
    <row r="320" spans="2:9" x14ac:dyDescent="0.25">
      <c r="B320" s="71" t="s">
        <v>308</v>
      </c>
      <c r="C320" s="67" t="str">
        <f>VLOOKUP(B320,[1]!Table3[[Part Number]:[Make and Model]],2,0)</f>
        <v xml:space="preserve">CAT 303.5E                                            </v>
      </c>
      <c r="D320" s="67" t="str">
        <f>VLOOKUP(B320,[1]!Table3[[Part Number]:[Part Description]],3,0)</f>
        <v>IDLER-BEARING ASSY LH</v>
      </c>
      <c r="E320" s="68">
        <f>VLOOKUP(B320,[1]!Table3[[Part Number]:[Annual]],11,0)</f>
        <v>2</v>
      </c>
      <c r="F320" s="69">
        <f>VLOOKUP(B320,[1]!Table3[[Part Number]:[OEM CAD $]],4,0)</f>
        <v>854.8</v>
      </c>
      <c r="G320" s="70">
        <f t="shared" si="10"/>
        <v>1709.6</v>
      </c>
      <c r="H320" s="70">
        <f>VLOOKUP(B320,[1]!Table3[[Part Number]:[GQP CAD $]],5,0)</f>
        <v>427.4</v>
      </c>
      <c r="I320" s="74">
        <f t="shared" si="9"/>
        <v>854.8</v>
      </c>
    </row>
    <row r="321" spans="2:9" x14ac:dyDescent="0.25">
      <c r="B321" s="71" t="s">
        <v>309</v>
      </c>
      <c r="C321" s="67" t="str">
        <f>VLOOKUP(B321,[1]!Table3[[Part Number]:[Make and Model]],2,0)</f>
        <v xml:space="preserve">CAT D6N LGP (PBA) CAT D6N LGP (PBA) (2)                                          </v>
      </c>
      <c r="D321" s="67" t="str">
        <f>VLOOKUP(B321,[1]!Table3[[Part Number]:[Part Description]],3,0)</f>
        <v>TRACK SHOE 860MM</v>
      </c>
      <c r="E321" s="68">
        <f>VLOOKUP(B321,[1]!Table3[[Part Number]:[Annual]],11,0)</f>
        <v>180</v>
      </c>
      <c r="F321" s="69">
        <f>VLOOKUP(B321,[1]!Table3[[Part Number]:[OEM CAD $]],4,0)</f>
        <v>211.37</v>
      </c>
      <c r="G321" s="70">
        <f t="shared" si="10"/>
        <v>38046.6</v>
      </c>
      <c r="H321" s="70">
        <f>VLOOKUP(B321,[1]!Table3[[Part Number]:[GQP CAD $]],5,0)</f>
        <v>105.69</v>
      </c>
      <c r="I321" s="74">
        <f t="shared" si="9"/>
        <v>19024.2</v>
      </c>
    </row>
    <row r="322" spans="2:9" x14ac:dyDescent="0.25">
      <c r="B322" s="71" t="s">
        <v>310</v>
      </c>
      <c r="C322" s="67" t="str">
        <f>VLOOKUP(B322,[1]!Table3[[Part Number]:[Make and Model]],2,0)</f>
        <v xml:space="preserve">CAT 561N (CPH) CAT 561N (CPH) (2) CAT 561N (CPH) (3) CAT 561N (CPH) (4) CAT 561N (CPH) (5) CAT PL61 (WGS) CAT PL61 (WGS) (2) CAT PL61 (WGS) (3)                              </v>
      </c>
      <c r="D322" s="67" t="str">
        <f>VLOOKUP(B322,[1]!Table3[[Part Number]:[Part Description]],3,0)</f>
        <v>CYLINDER HEAD</v>
      </c>
      <c r="E322" s="68">
        <f>VLOOKUP(B322,[1]!Table3[[Part Number]:[Annual]],11,0)</f>
        <v>8</v>
      </c>
      <c r="F322" s="69">
        <f>VLOOKUP(B322,[1]!Table3[[Part Number]:[OEM CAD $]],4,0)</f>
        <v>12450.3</v>
      </c>
      <c r="G322" s="70">
        <f t="shared" si="10"/>
        <v>99602.4</v>
      </c>
      <c r="H322" s="70">
        <f>VLOOKUP(B322,[1]!Table3[[Part Number]:[GQP CAD $]],5,0)</f>
        <v>6225.15</v>
      </c>
      <c r="I322" s="74">
        <f t="shared" si="9"/>
        <v>49801.2</v>
      </c>
    </row>
    <row r="323" spans="2:9" x14ac:dyDescent="0.25">
      <c r="B323" s="71" t="s">
        <v>311</v>
      </c>
      <c r="C323" s="67" t="str">
        <f>VLOOKUP(B323,[1]!Table3[[Part Number]:[Make and Model]],2,0)</f>
        <v xml:space="preserve">CAT D7G (92V) CAT D7G (3ZD) CAT D7G (3ZD) (2)                                        </v>
      </c>
      <c r="D323" s="67" t="str">
        <f>VLOOKUP(B323,[1]!Table3[[Part Number]:[Part Description]],3,0)</f>
        <v>SPROCKET BOLT</v>
      </c>
      <c r="E323" s="68">
        <f>VLOOKUP(B323,[1]!Table3[[Part Number]:[Annual]],11,0)</f>
        <v>120</v>
      </c>
      <c r="F323" s="69">
        <f>VLOOKUP(B323,[1]!Table3[[Part Number]:[OEM CAD $]],4,0)</f>
        <v>4.75</v>
      </c>
      <c r="G323" s="70">
        <f t="shared" si="10"/>
        <v>570</v>
      </c>
      <c r="H323" s="70">
        <f>VLOOKUP(B323,[1]!Table3[[Part Number]:[GQP CAD $]],5,0)</f>
        <v>2.38</v>
      </c>
      <c r="I323" s="74">
        <f t="shared" si="9"/>
        <v>285.60000000000002</v>
      </c>
    </row>
    <row r="324" spans="2:9" x14ac:dyDescent="0.25">
      <c r="B324" s="71" t="s">
        <v>312</v>
      </c>
      <c r="C324" s="67" t="str">
        <f>VLOOKUP(B324,[1]!Table3[[Part Number]:[Make and Model]],2,0)</f>
        <v xml:space="preserve">CAT D6T (MH7)                                            </v>
      </c>
      <c r="D324" s="67" t="str">
        <f>VLOOKUP(B324,[1]!Table3[[Part Number]:[Part Description]],3,0)</f>
        <v>SINGLE FLANGE TRACK ROLLER</v>
      </c>
      <c r="E324" s="68">
        <f>VLOOKUP(B324,[1]!Table3[[Part Number]:[Annual]],11,0)</f>
        <v>4</v>
      </c>
      <c r="F324" s="69">
        <f>VLOOKUP(B324,[1]!Table3[[Part Number]:[OEM CAD $]],4,0)</f>
        <v>936.48</v>
      </c>
      <c r="G324" s="70">
        <f t="shared" si="10"/>
        <v>3745.92</v>
      </c>
      <c r="H324" s="70">
        <f>VLOOKUP(B324,[1]!Table3[[Part Number]:[GQP CAD $]],5,0)</f>
        <v>468.24</v>
      </c>
      <c r="I324" s="74">
        <f t="shared" si="9"/>
        <v>1872.96</v>
      </c>
    </row>
    <row r="325" spans="2:9" x14ac:dyDescent="0.25">
      <c r="B325" s="71" t="s">
        <v>313</v>
      </c>
      <c r="C325" s="67" t="str">
        <f>VLOOKUP(B325,[1]!Table3[[Part Number]:[Make and Model]],2,0)</f>
        <v xml:space="preserve">CAT D6T (MH7)                                            </v>
      </c>
      <c r="D325" s="67" t="str">
        <f>VLOOKUP(B325,[1]!Table3[[Part Number]:[Part Description]],3,0)</f>
        <v>DOUBLE FLANGE TRACK ROLLER</v>
      </c>
      <c r="E325" s="68">
        <f>VLOOKUP(B325,[1]!Table3[[Part Number]:[Annual]],11,0)</f>
        <v>12</v>
      </c>
      <c r="F325" s="69">
        <f>VLOOKUP(B325,[1]!Table3[[Part Number]:[OEM CAD $]],4,0)</f>
        <v>1023.54</v>
      </c>
      <c r="G325" s="70">
        <f t="shared" si="10"/>
        <v>12282.48</v>
      </c>
      <c r="H325" s="70">
        <f>VLOOKUP(B325,[1]!Table3[[Part Number]:[GQP CAD $]],5,0)</f>
        <v>511.77</v>
      </c>
      <c r="I325" s="74">
        <f t="shared" si="9"/>
        <v>6141.24</v>
      </c>
    </row>
    <row r="326" spans="2:9" x14ac:dyDescent="0.25">
      <c r="B326" s="71" t="s">
        <v>314</v>
      </c>
      <c r="C326" s="67" t="str">
        <f>VLOOKUP(B326,[1]!Table3[[Part Number]:[Make and Model]],2,0)</f>
        <v xml:space="preserve">CAT 303.5E                                            </v>
      </c>
      <c r="D326" s="67" t="str">
        <f>VLOOKUP(B326,[1]!Table3[[Part Number]:[Part Description]],3,0)</f>
        <v>FINAL DRIVE</v>
      </c>
      <c r="E326" s="68">
        <f>VLOOKUP(B326,[1]!Table3[[Part Number]:[Annual]],11,0)</f>
        <v>2</v>
      </c>
      <c r="F326" s="69">
        <f>VLOOKUP(B326,[1]!Table3[[Part Number]:[OEM CAD $]],4,0)</f>
        <v>10089.31</v>
      </c>
      <c r="G326" s="70">
        <f t="shared" si="10"/>
        <v>20178.62</v>
      </c>
      <c r="H326" s="70">
        <f>VLOOKUP(B326,[1]!Table3[[Part Number]:[GQP CAD $]],5,0)</f>
        <v>5044.66</v>
      </c>
      <c r="I326" s="74">
        <f t="shared" si="9"/>
        <v>10089.32</v>
      </c>
    </row>
    <row r="327" spans="2:9" x14ac:dyDescent="0.25">
      <c r="B327" s="71" t="s">
        <v>315</v>
      </c>
      <c r="C327" s="67" t="str">
        <f>VLOOKUP(B327,[1]!Table3[[Part Number]:[Make and Model]],2,0)</f>
        <v xml:space="preserve">CAT D6N LGP (PBA) CAT D6N LGP (PBA) (2)                                          </v>
      </c>
      <c r="D327" s="67" t="str">
        <f>VLOOKUP(B327,[1]!Table3[[Part Number]:[Part Description]],3,0)</f>
        <v>TRACK SHOE MASTER</v>
      </c>
      <c r="E327" s="68">
        <f>VLOOKUP(B327,[1]!Table3[[Part Number]:[Annual]],11,0)</f>
        <v>4</v>
      </c>
      <c r="F327" s="69">
        <f>VLOOKUP(B327,[1]!Table3[[Part Number]:[OEM CAD $]],4,0)</f>
        <v>241.71</v>
      </c>
      <c r="G327" s="70">
        <f t="shared" si="10"/>
        <v>966.84</v>
      </c>
      <c r="H327" s="70">
        <f>VLOOKUP(B327,[1]!Table3[[Part Number]:[GQP CAD $]],5,0)</f>
        <v>120.86</v>
      </c>
      <c r="I327" s="74">
        <f t="shared" si="9"/>
        <v>483.44</v>
      </c>
    </row>
    <row r="328" spans="2:9" x14ac:dyDescent="0.25">
      <c r="B328" s="71" t="s">
        <v>185</v>
      </c>
      <c r="C328" s="67" t="str">
        <f>VLOOKUP(B328,[1]!Table3[[Part Number]:[Make and Model]],2,0)</f>
        <v xml:space="preserve">CAT D6N LGP (GHS) CAT D6N LGP (PBA) CAT D6N LGP (PBA) (2) CAT D6N LGP (SGG) CAT D6N LGP (SGG) (2) CAT D6T (MH7)                                  </v>
      </c>
      <c r="D328" s="67" t="str">
        <f>VLOOKUP(B328,[1]!Table3[[Part Number]:[Part Description]],3,0)</f>
        <v>FLAT WASHER</v>
      </c>
      <c r="E328" s="68">
        <f>VLOOKUP(B328,[1]!Table3[[Part Number]:[Annual]],11,0)</f>
        <v>300</v>
      </c>
      <c r="F328" s="69">
        <f>VLOOKUP(B328,[1]!Table3[[Part Number]:[OEM CAD $]],4,0)</f>
        <v>2.0499999999999998</v>
      </c>
      <c r="G328" s="70">
        <f t="shared" si="10"/>
        <v>615</v>
      </c>
      <c r="H328" s="70">
        <f>VLOOKUP(B328,[1]!Table3[[Part Number]:[GQP CAD $]],5,0)</f>
        <v>1.03</v>
      </c>
      <c r="I328" s="74">
        <f t="shared" si="9"/>
        <v>309</v>
      </c>
    </row>
    <row r="329" spans="2:9" x14ac:dyDescent="0.25">
      <c r="B329" s="71" t="s">
        <v>316</v>
      </c>
      <c r="C329" s="67" t="str">
        <f>VLOOKUP(B329,[1]!Table3[[Part Number]:[Make and Model]],2,0)</f>
        <v xml:space="preserve">CAT 329E L (ZCD) CAT 329F L (ERL) CAT 329F L (ERL) (2) CAT 330F L (MBX) CAT 330F L (HCK) CAT 330F L (HCK) (2) CAT 330 (LHW) CAT 330 (LHW) (2) CAT 330 (LHW) (3) CAT 330 (LHW) (4) CAT 330 (WCH) CAT 330 (WCH) (2) CAT 330 (WCH) (3) CAT 330 (WCH) (4) CAT 330 (WCH) (5) CAT 330 (WCH) (6) CAT 336F L (RKB)            </v>
      </c>
      <c r="D329" s="67" t="str">
        <f>VLOOKUP(B329,[1]!Table3[[Part Number]:[Part Description]],3,0)</f>
        <v>CARRIER ROLLER</v>
      </c>
      <c r="E329" s="68">
        <f>VLOOKUP(B329,[1]!Table3[[Part Number]:[Annual]],11,0)</f>
        <v>68</v>
      </c>
      <c r="F329" s="69">
        <f>VLOOKUP(B329,[1]!Table3[[Part Number]:[OEM CAD $]],4,0)</f>
        <v>635.41999999999996</v>
      </c>
      <c r="G329" s="70">
        <f t="shared" si="10"/>
        <v>43208.56</v>
      </c>
      <c r="H329" s="70">
        <f>VLOOKUP(B329,[1]!Table3[[Part Number]:[GQP CAD $]],5,0)</f>
        <v>317.70999999999998</v>
      </c>
      <c r="I329" s="74">
        <f t="shared" si="9"/>
        <v>21604.28</v>
      </c>
    </row>
    <row r="330" spans="2:9" x14ac:dyDescent="0.25">
      <c r="B330" s="71" t="s">
        <v>317</v>
      </c>
      <c r="C330" s="67" t="str">
        <f>VLOOKUP(B330,[1]!Table3[[Part Number]:[Make and Model]],2,0)</f>
        <v xml:space="preserve">CAT 299D (DX2)                                            </v>
      </c>
      <c r="D330" s="67" t="str">
        <f>VLOOKUP(B330,[1]!Table3[[Part Number]:[Part Description]],3,0)</f>
        <v>SPROCKET</v>
      </c>
      <c r="E330" s="68">
        <f>VLOOKUP(B330,[1]!Table3[[Part Number]:[Annual]],11,0)</f>
        <v>2</v>
      </c>
      <c r="F330" s="69">
        <f>VLOOKUP(B330,[1]!Table3[[Part Number]:[OEM CAD $]],4,0)</f>
        <v>605.28</v>
      </c>
      <c r="G330" s="70">
        <f t="shared" si="10"/>
        <v>1210.56</v>
      </c>
      <c r="H330" s="70">
        <f>VLOOKUP(B330,[1]!Table3[[Part Number]:[GQP CAD $]],5,0)</f>
        <v>302.64</v>
      </c>
      <c r="I330" s="74">
        <f t="shared" si="9"/>
        <v>605.28</v>
      </c>
    </row>
    <row r="331" spans="2:9" x14ac:dyDescent="0.25">
      <c r="B331" s="71" t="s">
        <v>318</v>
      </c>
      <c r="C331" s="67" t="str">
        <f>VLOOKUP(B331,[1]!Table3[[Part Number]:[Make and Model]],2,0)</f>
        <v xml:space="preserve">CAT 329E L (ZCD) CAT 329F L (ERL) CAT 329F L (ERL) (2) CAT 330F L (MBX) CAT 330F L (HCK) CAT 330F L (HCK) (2)                                  </v>
      </c>
      <c r="D331" s="67" t="str">
        <f>VLOOKUP(B331,[1]!Table3[[Part Number]:[Part Description]],3,0)</f>
        <v>TRACK BOLT 68MM</v>
      </c>
      <c r="E331" s="68">
        <f>VLOOKUP(B331,[1]!Table3[[Part Number]:[Annual]],11,0)</f>
        <v>2400</v>
      </c>
      <c r="F331" s="69">
        <f>VLOOKUP(B331,[1]!Table3[[Part Number]:[OEM CAD $]],4,0)</f>
        <v>6.78</v>
      </c>
      <c r="G331" s="70">
        <f t="shared" si="10"/>
        <v>16272</v>
      </c>
      <c r="H331" s="70">
        <f>VLOOKUP(B331,[1]!Table3[[Part Number]:[GQP CAD $]],5,0)</f>
        <v>3.39</v>
      </c>
      <c r="I331" s="74">
        <f t="shared" si="9"/>
        <v>8136</v>
      </c>
    </row>
    <row r="332" spans="2:9" x14ac:dyDescent="0.25">
      <c r="B332" s="71" t="s">
        <v>319</v>
      </c>
      <c r="C332" s="67" t="str">
        <f>VLOOKUP(B332,[1]!Table3[[Part Number]:[Make and Model]],2,0)</f>
        <v xml:space="preserve">CAT D6N LGP (GHS) CAT D6N LGP (SGG) CAT D6N LGP (SGG) (2)                                        </v>
      </c>
      <c r="D332" s="67" t="str">
        <f>VLOOKUP(B332,[1]!Table3[[Part Number]:[Part Description]],3,0)</f>
        <v>SINGLE FLANGE TRACK ROLLER</v>
      </c>
      <c r="E332" s="68">
        <f>VLOOKUP(B332,[1]!Table3[[Part Number]:[Annual]],11,0)</f>
        <v>20</v>
      </c>
      <c r="F332" s="69">
        <f>VLOOKUP(B332,[1]!Table3[[Part Number]:[OEM CAD $]],4,0)</f>
        <v>857.8</v>
      </c>
      <c r="G332" s="70">
        <f t="shared" si="10"/>
        <v>17156</v>
      </c>
      <c r="H332" s="70">
        <f>VLOOKUP(B332,[1]!Table3[[Part Number]:[GQP CAD $]],5,0)</f>
        <v>428.9</v>
      </c>
      <c r="I332" s="74">
        <f t="shared" si="9"/>
        <v>8578</v>
      </c>
    </row>
    <row r="333" spans="2:9" x14ac:dyDescent="0.25">
      <c r="B333" s="71" t="s">
        <v>320</v>
      </c>
      <c r="C333" s="67" t="str">
        <f>VLOOKUP(B333,[1]!Table3[[Part Number]:[Make and Model]],2,0)</f>
        <v xml:space="preserve">CAT D6N LGP (SGG) CAT D6N LGP (SGG) (2)                                          </v>
      </c>
      <c r="D333" s="67" t="str">
        <f>VLOOKUP(B333,[1]!Table3[[Part Number]:[Part Description]],3,0)</f>
        <v>DOUBLE FLANGE TRACK ROLLER</v>
      </c>
      <c r="E333" s="68">
        <f>VLOOKUP(B333,[1]!Table3[[Part Number]:[Annual]],11,0)</f>
        <v>16</v>
      </c>
      <c r="F333" s="69">
        <f>VLOOKUP(B333,[1]!Table3[[Part Number]:[OEM CAD $]],4,0)</f>
        <v>900.53</v>
      </c>
      <c r="G333" s="70">
        <f t="shared" si="10"/>
        <v>14408.48</v>
      </c>
      <c r="H333" s="70">
        <f>VLOOKUP(B333,[1]!Table3[[Part Number]:[GQP CAD $]],5,0)</f>
        <v>450.27</v>
      </c>
      <c r="I333" s="74">
        <f t="shared" si="9"/>
        <v>7204.32</v>
      </c>
    </row>
    <row r="334" spans="2:9" x14ac:dyDescent="0.25">
      <c r="B334" s="71" t="s">
        <v>321</v>
      </c>
      <c r="C334" s="67" t="str">
        <f>VLOOKUP(B334,[1]!Table3[[Part Number]:[Make and Model]],2,0)</f>
        <v xml:space="preserve">CAT D6N LGP (GHS)                                            </v>
      </c>
      <c r="D334" s="67" t="str">
        <f>VLOOKUP(B334,[1]!Table3[[Part Number]:[Part Description]],3,0)</f>
        <v>DOUBLE FLANGE TRACK ROLLER (GUIDE AR)*</v>
      </c>
      <c r="E334" s="68">
        <f>VLOOKUP(B334,[1]!Table3[[Part Number]:[Annual]],11,0)</f>
        <v>12</v>
      </c>
      <c r="F334" s="69">
        <f>VLOOKUP(B334,[1]!Table3[[Part Number]:[OEM CAD $]],4,0)</f>
        <v>1006.57</v>
      </c>
      <c r="G334" s="70">
        <f t="shared" si="10"/>
        <v>12078.84</v>
      </c>
      <c r="H334" s="70">
        <f>VLOOKUP(B334,[1]!Table3[[Part Number]:[GQP CAD $]],5,0)</f>
        <v>503.29</v>
      </c>
      <c r="I334" s="74">
        <f t="shared" si="9"/>
        <v>6039.48</v>
      </c>
    </row>
    <row r="335" spans="2:9" x14ac:dyDescent="0.25">
      <c r="B335" s="71" t="s">
        <v>322</v>
      </c>
      <c r="C335" s="67" t="str">
        <f>VLOOKUP(B335,[1]!Table3[[Part Number]:[Make and Model]],2,0)</f>
        <v xml:space="preserve">CAT 330 (LHW) CAT 330 (LHW) (2) CAT 330 (LHW) (3) CAT 330 (LHW) (4) CAT 330 (WCH) CAT 330 (WCH) (2) CAT 330 (WCH) (3) CAT 330 (WCH) (4) CAT 330 (WCH) (5) CAT 330 (WCH) (6) CAT 336F L (RKB)                        </v>
      </c>
      <c r="D335" s="67" t="str">
        <f>VLOOKUP(B335,[1]!Table3[[Part Number]:[Part Description]],3,0)</f>
        <v>TRACK NUT</v>
      </c>
      <c r="E335" s="68">
        <f>VLOOKUP(B335,[1]!Table3[[Part Number]:[Annual]],11,0)</f>
        <v>4396</v>
      </c>
      <c r="F335" s="69">
        <f>VLOOKUP(B335,[1]!Table3[[Part Number]:[OEM CAD $]],4,0)</f>
        <v>3.94</v>
      </c>
      <c r="G335" s="70">
        <f t="shared" si="10"/>
        <v>17320.239999999998</v>
      </c>
      <c r="H335" s="70">
        <f>VLOOKUP(B335,[1]!Table3[[Part Number]:[GQP CAD $]],5,0)</f>
        <v>1.97</v>
      </c>
      <c r="I335" s="74">
        <f t="shared" ref="I335:I398" si="11">ROUND(E335*H335,2)</f>
        <v>8660.1200000000008</v>
      </c>
    </row>
    <row r="336" spans="2:9" x14ac:dyDescent="0.25">
      <c r="B336" s="71" t="s">
        <v>326</v>
      </c>
      <c r="C336" s="67" t="str">
        <f>VLOOKUP(B336,[1]!Table3[[Part Number]:[Make and Model]],2,0)</f>
        <v xml:space="preserve">CAT D6N LGP (PBA) CAT D6N LGP (PBA) (2)                                          </v>
      </c>
      <c r="D336" s="67" t="str">
        <f>VLOOKUP(B336,[1]!Table3[[Part Number]:[Part Description]],3,0)</f>
        <v>TRACK LINK MASTER</v>
      </c>
      <c r="E336" s="68">
        <f>VLOOKUP(B336,[1]!Table3[[Part Number]:[Annual]],11,0)</f>
        <v>8</v>
      </c>
      <c r="F336" s="69">
        <f>VLOOKUP(B336,[1]!Table3[[Part Number]:[OEM CAD $]],4,0)</f>
        <v>392.82</v>
      </c>
      <c r="G336" s="70">
        <f t="shared" si="10"/>
        <v>3142.56</v>
      </c>
      <c r="H336" s="70">
        <f>VLOOKUP(B336,[1]!Table3[[Part Number]:[GQP CAD $]],5,0)</f>
        <v>196.41</v>
      </c>
      <c r="I336" s="74">
        <f t="shared" si="11"/>
        <v>1571.28</v>
      </c>
    </row>
    <row r="337" spans="2:9" x14ac:dyDescent="0.25">
      <c r="B337" s="71" t="s">
        <v>327</v>
      </c>
      <c r="C337" s="67" t="str">
        <f>VLOOKUP(B337,[1]!Table3[[Part Number]:[Make and Model]],2,0)</f>
        <v xml:space="preserve">CAT 336F L (RKB)                                            </v>
      </c>
      <c r="D337" s="67" t="str">
        <f>VLOOKUP(B337,[1]!Table3[[Part Number]:[Part Description]],3,0)</f>
        <v>TRACK BOLT</v>
      </c>
      <c r="E337" s="68">
        <f>VLOOKUP(B337,[1]!Table3[[Part Number]:[Annual]],11,0)</f>
        <v>396</v>
      </c>
      <c r="F337" s="69">
        <f>VLOOKUP(B337,[1]!Table3[[Part Number]:[OEM CAD $]],4,0)</f>
        <v>9.11</v>
      </c>
      <c r="G337" s="70">
        <f t="shared" ref="G337:G400" si="12">E337*F337</f>
        <v>3607.56</v>
      </c>
      <c r="H337" s="70">
        <f>VLOOKUP(B337,[1]!Table3[[Part Number]:[GQP CAD $]],5,0)</f>
        <v>4.5599999999999996</v>
      </c>
      <c r="I337" s="74">
        <f t="shared" si="11"/>
        <v>1805.76</v>
      </c>
    </row>
    <row r="338" spans="2:9" x14ac:dyDescent="0.25">
      <c r="B338" s="71" t="s">
        <v>328</v>
      </c>
      <c r="C338" s="67" t="str">
        <f>VLOOKUP(B338,[1]!Table3[[Part Number]:[Make and Model]],2,0)</f>
        <v xml:space="preserve">CAT D6N LGP (PBA) CAT D6N LGP (PBA) (2)                                          </v>
      </c>
      <c r="D338" s="67" t="str">
        <f>VLOOKUP(B338,[1]!Table3[[Part Number]:[Part Description]],3,0)</f>
        <v>TRACK IDLER</v>
      </c>
      <c r="E338" s="68">
        <f>VLOOKUP(B338,[1]!Table3[[Part Number]:[Annual]],11,0)</f>
        <v>8</v>
      </c>
      <c r="F338" s="69">
        <f>VLOOKUP(B338,[1]!Table3[[Part Number]:[OEM CAD $]],4,0)</f>
        <v>4087.57</v>
      </c>
      <c r="G338" s="70">
        <f t="shared" si="12"/>
        <v>32700.560000000001</v>
      </c>
      <c r="H338" s="70">
        <f>VLOOKUP(B338,[1]!Table3[[Part Number]:[GQP CAD $]],5,0)</f>
        <v>2043.79</v>
      </c>
      <c r="I338" s="74">
        <f t="shared" si="11"/>
        <v>16350.32</v>
      </c>
    </row>
    <row r="339" spans="2:9" x14ac:dyDescent="0.25">
      <c r="B339" s="71" t="s">
        <v>329</v>
      </c>
      <c r="C339" s="67" t="str">
        <f>VLOOKUP(B339,[1]!Table3[[Part Number]:[Make and Model]],2,0)</f>
        <v xml:space="preserve">CAT 320E L (WBK) CAT 320E L (WBK) (2) CAT 320F L (YBM) CAT 320 (HEX) CAT 320 (MYK) CAT 320 (MYK) (2)                                  </v>
      </c>
      <c r="D339" s="67" t="str">
        <f>VLOOKUP(B339,[1]!Table3[[Part Number]:[Part Description]],3,0)</f>
        <v>TRACK SHOE 790MM</v>
      </c>
      <c r="E339" s="68">
        <f>VLOOKUP(B339,[1]!Table3[[Part Number]:[Annual]],11,0)</f>
        <v>588</v>
      </c>
      <c r="F339" s="69">
        <f>VLOOKUP(B339,[1]!Table3[[Part Number]:[OEM CAD $]],4,0)</f>
        <v>179.13</v>
      </c>
      <c r="G339" s="70">
        <f t="shared" si="12"/>
        <v>105328.44</v>
      </c>
      <c r="H339" s="70">
        <f>VLOOKUP(B339,[1]!Table3[[Part Number]:[GQP CAD $]],5,0)</f>
        <v>89.57</v>
      </c>
      <c r="I339" s="74">
        <f t="shared" si="11"/>
        <v>52667.16</v>
      </c>
    </row>
    <row r="340" spans="2:9" x14ac:dyDescent="0.25">
      <c r="B340" s="71" t="s">
        <v>330</v>
      </c>
      <c r="C340" s="67" t="str">
        <f>VLOOKUP(B340,[1]!Table3[[Part Number]:[Make and Model]],2,0)</f>
        <v xml:space="preserve">CAT 329E L (ZCD) CAT 329F L (ERL) CAT 329F L (ERL) (2) CAT 330F L (MBX) CAT 330F L (HCK) CAT 330F L (HCK) (2)                                  </v>
      </c>
      <c r="D340" s="67" t="str">
        <f>VLOOKUP(B340,[1]!Table3[[Part Number]:[Part Description]],3,0)</f>
        <v>TRACK LINK ASSEMBLY</v>
      </c>
      <c r="E340" s="68">
        <f>VLOOKUP(B340,[1]!Table3[[Part Number]:[Annual]],11,0)</f>
        <v>12</v>
      </c>
      <c r="F340" s="69">
        <f>VLOOKUP(B340,[1]!Table3[[Part Number]:[OEM CAD $]],4,0)</f>
        <v>10788.51</v>
      </c>
      <c r="G340" s="70">
        <f t="shared" si="12"/>
        <v>129462.12</v>
      </c>
      <c r="H340" s="70">
        <f>VLOOKUP(B340,[1]!Table3[[Part Number]:[GQP CAD $]],5,0)</f>
        <v>5394.26</v>
      </c>
      <c r="I340" s="74">
        <f t="shared" si="11"/>
        <v>64731.12</v>
      </c>
    </row>
    <row r="341" spans="2:9" x14ac:dyDescent="0.25">
      <c r="B341" s="71" t="s">
        <v>331</v>
      </c>
      <c r="C341" s="67" t="str">
        <f>VLOOKUP(B341,[1]!Table3[[Part Number]:[Make and Model]],2,0)</f>
        <v xml:space="preserve">CAT 320F L (YBM) CAT 320 (HEX) CAT 320 (MYK) CAT 320 (MYK) (2)                                      </v>
      </c>
      <c r="D341" s="67" t="str">
        <f>VLOOKUP(B341,[1]!Table3[[Part Number]:[Part Description]],3,0)</f>
        <v>BUCKET CYLINDER</v>
      </c>
      <c r="E341" s="68">
        <f>VLOOKUP(B341,[1]!Table3[[Part Number]:[Annual]],11,0)</f>
        <v>4</v>
      </c>
      <c r="F341" s="69">
        <f>VLOOKUP(B341,[1]!Table3[[Part Number]:[OEM CAD $]],4,0)</f>
        <v>22869.96</v>
      </c>
      <c r="G341" s="70">
        <f t="shared" si="12"/>
        <v>91479.84</v>
      </c>
      <c r="H341" s="70">
        <f>VLOOKUP(B341,[1]!Table3[[Part Number]:[GQP CAD $]],5,0)</f>
        <v>8690.58</v>
      </c>
      <c r="I341" s="74">
        <f t="shared" si="11"/>
        <v>34762.32</v>
      </c>
    </row>
    <row r="342" spans="2:9" x14ac:dyDescent="0.25">
      <c r="B342" s="71" t="s">
        <v>186</v>
      </c>
      <c r="C342" s="67" t="str">
        <f>VLOOKUP(B342,[1]!Table3[[Part Number]:[Make and Model]],2,0)</f>
        <v xml:space="preserve">CAT D6N LGP (PBA) CAT D6N LGP (PBA) (2)                                          </v>
      </c>
      <c r="D342" s="67" t="str">
        <f>VLOOKUP(B342,[1]!Table3[[Part Number]:[Part Description]],3,0)</f>
        <v>FRONT WEAR PLATE</v>
      </c>
      <c r="E342" s="68">
        <f>VLOOKUP(B342,[1]!Table3[[Part Number]:[Annual]],11,0)</f>
        <v>8</v>
      </c>
      <c r="F342" s="69">
        <f>VLOOKUP(B342,[1]!Table3[[Part Number]:[OEM CAD $]],4,0)</f>
        <v>317.01</v>
      </c>
      <c r="G342" s="70">
        <f t="shared" si="12"/>
        <v>2536.08</v>
      </c>
      <c r="H342" s="70">
        <f>VLOOKUP(B342,[1]!Table3[[Part Number]:[GQP CAD $]],5,0)</f>
        <v>158.51</v>
      </c>
      <c r="I342" s="74">
        <f t="shared" si="11"/>
        <v>1268.08</v>
      </c>
    </row>
    <row r="343" spans="2:9" x14ac:dyDescent="0.25">
      <c r="B343" s="71" t="s">
        <v>187</v>
      </c>
      <c r="C343" s="67" t="str">
        <f>VLOOKUP(B343,[1]!Table3[[Part Number]:[Make and Model]],2,0)</f>
        <v xml:space="preserve">CAT D6N LGP (PBA) CAT D6N LGP (PBA) (2)                                          </v>
      </c>
      <c r="D343" s="67" t="str">
        <f>VLOOKUP(B343,[1]!Table3[[Part Number]:[Part Description]],3,0)</f>
        <v>REAR WEAR PLATE</v>
      </c>
      <c r="E343" s="68">
        <f>VLOOKUP(B343,[1]!Table3[[Part Number]:[Annual]],11,0)</f>
        <v>8</v>
      </c>
      <c r="F343" s="69">
        <f>VLOOKUP(B343,[1]!Table3[[Part Number]:[OEM CAD $]],4,0)</f>
        <v>369.71</v>
      </c>
      <c r="G343" s="70">
        <f t="shared" si="12"/>
        <v>2957.68</v>
      </c>
      <c r="H343" s="70">
        <f>VLOOKUP(B343,[1]!Table3[[Part Number]:[GQP CAD $]],5,0)</f>
        <v>184.86</v>
      </c>
      <c r="I343" s="74">
        <f t="shared" si="11"/>
        <v>1478.88</v>
      </c>
    </row>
    <row r="344" spans="2:9" x14ac:dyDescent="0.25">
      <c r="B344" s="71" t="s">
        <v>332</v>
      </c>
      <c r="C344" s="67" t="str">
        <f>VLOOKUP(B344,[1]!Table3[[Part Number]:[Make and Model]],2,0)</f>
        <v xml:space="preserve">CAT D6N LGP (SGG) CAT D6N LGP (SGG) (2)                                          </v>
      </c>
      <c r="D344" s="67" t="str">
        <f>VLOOKUP(B344,[1]!Table3[[Part Number]:[Part Description]],3,0)</f>
        <v>TRACK SHOE 835MM</v>
      </c>
      <c r="E344" s="68">
        <f>VLOOKUP(B344,[1]!Table3[[Part Number]:[Annual]],11,0)</f>
        <v>180</v>
      </c>
      <c r="F344" s="69">
        <f>VLOOKUP(B344,[1]!Table3[[Part Number]:[OEM CAD $]],4,0)</f>
        <v>197.96</v>
      </c>
      <c r="G344" s="70">
        <f t="shared" si="12"/>
        <v>35632.800000000003</v>
      </c>
      <c r="H344" s="70">
        <f>VLOOKUP(B344,[1]!Table3[[Part Number]:[GQP CAD $]],5,0)</f>
        <v>98.98</v>
      </c>
      <c r="I344" s="74">
        <f t="shared" si="11"/>
        <v>17816.400000000001</v>
      </c>
    </row>
    <row r="345" spans="2:9" x14ac:dyDescent="0.25">
      <c r="B345" s="71" t="s">
        <v>333</v>
      </c>
      <c r="C345" s="67" t="str">
        <f>VLOOKUP(B345,[1]!Table3[[Part Number]:[Make and Model]],2,0)</f>
        <v xml:space="preserve">CAT D6N LGP (SGG) CAT D6N LGP (SGG) (2)                                          </v>
      </c>
      <c r="D345" s="67" t="str">
        <f>VLOOKUP(B345,[1]!Table3[[Part Number]:[Part Description]],3,0)</f>
        <v>TRACK SHOE MASTER</v>
      </c>
      <c r="E345" s="68">
        <f>VLOOKUP(B345,[1]!Table3[[Part Number]:[Annual]],11,0)</f>
        <v>4</v>
      </c>
      <c r="F345" s="69">
        <f>VLOOKUP(B345,[1]!Table3[[Part Number]:[OEM CAD $]],4,0)</f>
        <v>209.96</v>
      </c>
      <c r="G345" s="70">
        <f t="shared" si="12"/>
        <v>839.84</v>
      </c>
      <c r="H345" s="70">
        <f>VLOOKUP(B345,[1]!Table3[[Part Number]:[GQP CAD $]],5,0)</f>
        <v>104.98</v>
      </c>
      <c r="I345" s="74">
        <f t="shared" si="11"/>
        <v>419.92</v>
      </c>
    </row>
    <row r="346" spans="2:9" x14ac:dyDescent="0.25">
      <c r="B346" s="71" t="s">
        <v>334</v>
      </c>
      <c r="C346" s="67" t="str">
        <f>VLOOKUP(B346,[1]!Table3[[Part Number]:[Make and Model]],2,0)</f>
        <v xml:space="preserve">CAT 561M (1KW) CAT 561N (CPH) CAT 561N (CPH) CAT 561N (CPH) (2) CAT 561N (CPH) (2) CAT 561N (CPH) (3) CAT 561N (CPH) (3) CAT 561N (CPH) (4) CAT 561N (CPH) (4) CAT 561N (CPH) (5) CAT 561N (CPH) (5)                        </v>
      </c>
      <c r="D346" s="67" t="str">
        <f>VLOOKUP(B346,[1]!Table3[[Part Number]:[Part Description]],3,0)</f>
        <v>BOLT ROLLER</v>
      </c>
      <c r="E346" s="68">
        <f>VLOOKUP(B346,[1]!Table3[[Part Number]:[Annual]],11,0)</f>
        <v>356</v>
      </c>
      <c r="F346" s="69">
        <f>VLOOKUP(B346,[1]!Table3[[Part Number]:[OEM CAD $]],4,0)</f>
        <v>8.76</v>
      </c>
      <c r="G346" s="70">
        <f t="shared" si="12"/>
        <v>3118.56</v>
      </c>
      <c r="H346" s="70">
        <f>VLOOKUP(B346,[1]!Table3[[Part Number]:[GQP CAD $]],5,0)</f>
        <v>4.38</v>
      </c>
      <c r="I346" s="74">
        <f t="shared" si="11"/>
        <v>1559.28</v>
      </c>
    </row>
    <row r="347" spans="2:9" x14ac:dyDescent="0.25">
      <c r="B347" s="71" t="s">
        <v>335</v>
      </c>
      <c r="C347" s="67" t="str">
        <f>VLOOKUP(B347,[1]!Table3[[Part Number]:[Make and Model]],2,0)</f>
        <v xml:space="preserve">CAT PL61 (WGS) CAT PL61 (WGS) (2) CAT PL61 (WGS) (3)                                        </v>
      </c>
      <c r="D347" s="67" t="str">
        <f>VLOOKUP(B347,[1]!Table3[[Part Number]:[Part Description]],3,0)</f>
        <v>TRACK IDLER</v>
      </c>
      <c r="E347" s="68">
        <f>VLOOKUP(B347,[1]!Table3[[Part Number]:[Annual]],11,0)</f>
        <v>6</v>
      </c>
      <c r="F347" s="69">
        <f>VLOOKUP(B347,[1]!Table3[[Part Number]:[OEM CAD $]],4,0)</f>
        <v>3032.3</v>
      </c>
      <c r="G347" s="70">
        <f t="shared" si="12"/>
        <v>18193.800000000003</v>
      </c>
      <c r="H347" s="70">
        <f>VLOOKUP(B347,[1]!Table3[[Part Number]:[GQP CAD $]],5,0)</f>
        <v>1516.15</v>
      </c>
      <c r="I347" s="74">
        <f t="shared" si="11"/>
        <v>9096.9</v>
      </c>
    </row>
    <row r="348" spans="2:9" x14ac:dyDescent="0.25">
      <c r="B348" s="71" t="s">
        <v>53</v>
      </c>
      <c r="C348" s="67" t="str">
        <f>VLOOKUP(B348,[1]!Table3[[Part Number]:[Make and Model]],2,0)</f>
        <v xml:space="preserve">CAT PL61 (WGS) CAT PL61 (WGS) (2) CAT PL61 (WGS) (3)                                        </v>
      </c>
      <c r="D348" s="67" t="str">
        <f>VLOOKUP(B348,[1]!Table3[[Part Number]:[Part Description]],3,0)</f>
        <v>DUAL FLANGE ROLLER</v>
      </c>
      <c r="E348" s="68">
        <f>VLOOKUP(B348,[1]!Table3[[Part Number]:[Annual]],11,0)</f>
        <v>48</v>
      </c>
      <c r="F348" s="69">
        <f>VLOOKUP(B348,[1]!Table3[[Part Number]:[OEM CAD $]],4,0)</f>
        <v>564.07000000000005</v>
      </c>
      <c r="G348" s="70">
        <f t="shared" si="12"/>
        <v>27075.360000000001</v>
      </c>
      <c r="H348" s="70">
        <f>VLOOKUP(B348,[1]!Table3[[Part Number]:[GQP CAD $]],5,0)</f>
        <v>282.04000000000002</v>
      </c>
      <c r="I348" s="74">
        <f t="shared" si="11"/>
        <v>13537.92</v>
      </c>
    </row>
    <row r="349" spans="2:9" x14ac:dyDescent="0.25">
      <c r="B349" s="71" t="s">
        <v>54</v>
      </c>
      <c r="C349" s="67" t="str">
        <f>VLOOKUP(B349,[1]!Table3[[Part Number]:[Make and Model]],2,0)</f>
        <v xml:space="preserve">CAT PL61 (WGS) CAT PL61 (WGS) (2) CAT PL61 (WGS) (3)                                        </v>
      </c>
      <c r="D349" s="67" t="str">
        <f>VLOOKUP(B349,[1]!Table3[[Part Number]:[Part Description]],3,0)</f>
        <v>SINGLE FLANGE ROLLER</v>
      </c>
      <c r="E349" s="68">
        <f>VLOOKUP(B349,[1]!Table3[[Part Number]:[Annual]],11,0)</f>
        <v>48</v>
      </c>
      <c r="F349" s="69">
        <f>VLOOKUP(B349,[1]!Table3[[Part Number]:[OEM CAD $]],4,0)</f>
        <v>537.23</v>
      </c>
      <c r="G349" s="70">
        <f t="shared" si="12"/>
        <v>25787.040000000001</v>
      </c>
      <c r="H349" s="70">
        <f>VLOOKUP(B349,[1]!Table3[[Part Number]:[GQP CAD $]],5,0)</f>
        <v>268.62</v>
      </c>
      <c r="I349" s="74">
        <f t="shared" si="11"/>
        <v>12893.76</v>
      </c>
    </row>
    <row r="350" spans="2:9" x14ac:dyDescent="0.25">
      <c r="B350" s="71" t="s">
        <v>336</v>
      </c>
      <c r="C350" s="67" t="str">
        <f>VLOOKUP(B350,[1]!Table3[[Part Number]:[Make and Model]],2,0)</f>
        <v xml:space="preserve">CAT PL61 (WGS) CAT PL61 (WGS) (2) CAT PL61 (WGS) (3) CAT 299D (DX2)                                      </v>
      </c>
      <c r="D350" s="67" t="str">
        <f>VLOOKUP(B350,[1]!Table3[[Part Number]:[Part Description]],3,0)</f>
        <v>CARRIER ROLLER</v>
      </c>
      <c r="E350" s="68">
        <f>VLOOKUP(B350,[1]!Table3[[Part Number]:[Annual]],11,0)</f>
        <v>10</v>
      </c>
      <c r="F350" s="69">
        <f>VLOOKUP(B350,[1]!Table3[[Part Number]:[OEM CAD $]],4,0)</f>
        <v>558.77</v>
      </c>
      <c r="G350" s="70">
        <f t="shared" si="12"/>
        <v>5587.7</v>
      </c>
      <c r="H350" s="70">
        <f>VLOOKUP(B350,[1]!Table3[[Part Number]:[GQP CAD $]],5,0)</f>
        <v>279.39</v>
      </c>
      <c r="I350" s="74">
        <f t="shared" si="11"/>
        <v>2793.9</v>
      </c>
    </row>
    <row r="351" spans="2:9" x14ac:dyDescent="0.25">
      <c r="B351" s="71" t="s">
        <v>337</v>
      </c>
      <c r="C351" s="67" t="str">
        <f>VLOOKUP(B351,[1]!Table3[[Part Number]:[Make and Model]],2,0)</f>
        <v xml:space="preserve">CAT D7G (92V) CAT D7G (3ZD) CAT D7G (3ZD) (2)                                        </v>
      </c>
      <c r="D351" s="67" t="str">
        <f>VLOOKUP(B351,[1]!Table3[[Part Number]:[Part Description]],3,0)</f>
        <v>TRACK SHOE</v>
      </c>
      <c r="E351" s="68">
        <f>VLOOKUP(B351,[1]!Table3[[Part Number]:[Annual]],11,0)</f>
        <v>222</v>
      </c>
      <c r="F351" s="69">
        <f>VLOOKUP(B351,[1]!Table3[[Part Number]:[OEM CAD $]],4,0)</f>
        <v>250.75</v>
      </c>
      <c r="G351" s="70">
        <f t="shared" si="12"/>
        <v>55666.5</v>
      </c>
      <c r="H351" s="70">
        <f>VLOOKUP(B351,[1]!Table3[[Part Number]:[GQP CAD $]],5,0)</f>
        <v>125.38</v>
      </c>
      <c r="I351" s="74">
        <f t="shared" si="11"/>
        <v>27834.36</v>
      </c>
    </row>
    <row r="352" spans="2:9" x14ac:dyDescent="0.25">
      <c r="B352" s="71" t="s">
        <v>188</v>
      </c>
      <c r="C352" s="67" t="str">
        <f>VLOOKUP(B352,[1]!Table3[[Part Number]:[Make and Model]],2,0)</f>
        <v xml:space="preserve">CAT D7G (92V) CAT D7G (3ZD) CAT D7G (3ZD) (2)                                        </v>
      </c>
      <c r="D352" s="67" t="str">
        <f>VLOOKUP(B352,[1]!Table3[[Part Number]:[Part Description]],3,0)</f>
        <v>MASTER SHOE</v>
      </c>
      <c r="E352" s="68">
        <f>VLOOKUP(B352,[1]!Table3[[Part Number]:[Annual]],11,0)</f>
        <v>6</v>
      </c>
      <c r="F352" s="69">
        <f>VLOOKUP(B352,[1]!Table3[[Part Number]:[OEM CAD $]],4,0)</f>
        <v>199.65</v>
      </c>
      <c r="G352" s="70">
        <f t="shared" si="12"/>
        <v>1197.9000000000001</v>
      </c>
      <c r="H352" s="70">
        <f>VLOOKUP(B352,[1]!Table3[[Part Number]:[GQP CAD $]],5,0)</f>
        <v>99.83</v>
      </c>
      <c r="I352" s="74">
        <f t="shared" si="11"/>
        <v>598.98</v>
      </c>
    </row>
    <row r="353" spans="2:9" x14ac:dyDescent="0.25">
      <c r="B353" s="71" t="s">
        <v>338</v>
      </c>
      <c r="C353" s="67" t="str">
        <f>VLOOKUP(B353,[1]!Table3[[Part Number]:[Make and Model]],2,0)</f>
        <v xml:space="preserve">CAT D7G (92V) CAT D7G (3ZD) CAT D7G (3ZD) (2)                                        </v>
      </c>
      <c r="D353" s="67" t="str">
        <f>VLOOKUP(B353,[1]!Table3[[Part Number]:[Part Description]],3,0)</f>
        <v>TRACK IDLER</v>
      </c>
      <c r="E353" s="68">
        <f>VLOOKUP(B353,[1]!Table3[[Part Number]:[Annual]],11,0)</f>
        <v>6</v>
      </c>
      <c r="F353" s="69">
        <f>VLOOKUP(B353,[1]!Table3[[Part Number]:[OEM CAD $]],4,0)</f>
        <v>3497.04</v>
      </c>
      <c r="G353" s="70">
        <f t="shared" si="12"/>
        <v>20982.239999999998</v>
      </c>
      <c r="H353" s="70">
        <f>VLOOKUP(B353,[1]!Table3[[Part Number]:[GQP CAD $]],5,0)</f>
        <v>1748.52</v>
      </c>
      <c r="I353" s="74">
        <f t="shared" si="11"/>
        <v>10491.12</v>
      </c>
    </row>
    <row r="354" spans="2:9" x14ac:dyDescent="0.25">
      <c r="B354" s="71" t="s">
        <v>339</v>
      </c>
      <c r="C354" s="67" t="str">
        <f>VLOOKUP(B354,[1]!Table3[[Part Number]:[Make and Model]],2,0)</f>
        <v xml:space="preserve">CAT PL61 (WGS) CAT PL61 (WGS) (2) CAT PL61 (WGS) (3)                                        </v>
      </c>
      <c r="D354" s="67" t="str">
        <f>VLOOKUP(B354,[1]!Table3[[Part Number]:[Part Description]],3,0)</f>
        <v>TRACK SHOE</v>
      </c>
      <c r="E354" s="68">
        <f>VLOOKUP(B354,[1]!Table3[[Part Number]:[Annual]],11,0)</f>
        <v>234</v>
      </c>
      <c r="F354" s="69">
        <f>VLOOKUP(B354,[1]!Table3[[Part Number]:[OEM CAD $]],4,0)</f>
        <v>131.6</v>
      </c>
      <c r="G354" s="70">
        <f t="shared" si="12"/>
        <v>30794.399999999998</v>
      </c>
      <c r="H354" s="70">
        <f>VLOOKUP(B354,[1]!Table3[[Part Number]:[GQP CAD $]],5,0)</f>
        <v>65.8</v>
      </c>
      <c r="I354" s="74">
        <f t="shared" si="11"/>
        <v>15397.2</v>
      </c>
    </row>
    <row r="355" spans="2:9" x14ac:dyDescent="0.25">
      <c r="B355" s="71" t="s">
        <v>189</v>
      </c>
      <c r="C355" s="67" t="str">
        <f>VLOOKUP(B355,[1]!Table3[[Part Number]:[Make and Model]],2,0)</f>
        <v xml:space="preserve">CAT PL61 (WGS) CAT PL61 (WGS) (2) CAT PL61 (WGS) (3)                                        </v>
      </c>
      <c r="D355" s="67" t="str">
        <f>VLOOKUP(B355,[1]!Table3[[Part Number]:[Part Description]],3,0)</f>
        <v>MASTER SHOE</v>
      </c>
      <c r="E355" s="68">
        <f>VLOOKUP(B355,[1]!Table3[[Part Number]:[Annual]],11,0)</f>
        <v>6</v>
      </c>
      <c r="F355" s="69">
        <f>VLOOKUP(B355,[1]!Table3[[Part Number]:[OEM CAD $]],4,0)</f>
        <v>143.16999999999999</v>
      </c>
      <c r="G355" s="70">
        <f t="shared" si="12"/>
        <v>859.02</v>
      </c>
      <c r="H355" s="70">
        <f>VLOOKUP(B355,[1]!Table3[[Part Number]:[GQP CAD $]],5,0)</f>
        <v>71.59</v>
      </c>
      <c r="I355" s="74">
        <f t="shared" si="11"/>
        <v>429.54</v>
      </c>
    </row>
    <row r="356" spans="2:9" x14ac:dyDescent="0.25">
      <c r="B356" s="71" t="s">
        <v>343</v>
      </c>
      <c r="C356" s="67" t="str">
        <f>VLOOKUP(B356,[1]!Table3[[Part Number]:[Make and Model]],2,0)</f>
        <v xml:space="preserve">CAT 299D (DX2)                                            </v>
      </c>
      <c r="D356" s="67" t="str">
        <f>VLOOKUP(B356,[1]!Table3[[Part Number]:[Part Description]],3,0)</f>
        <v>TRACK IDLER - Triple Flange</v>
      </c>
      <c r="E356" s="68">
        <f>VLOOKUP(B356,[1]!Table3[[Part Number]:[Annual]],11,0)</f>
        <v>2</v>
      </c>
      <c r="F356" s="69">
        <f>VLOOKUP(B356,[1]!Table3[[Part Number]:[OEM CAD $]],4,0)</f>
        <v>630.58000000000004</v>
      </c>
      <c r="G356" s="70">
        <f t="shared" si="12"/>
        <v>1261.1600000000001</v>
      </c>
      <c r="H356" s="70">
        <f>VLOOKUP(B356,[1]!Table3[[Part Number]:[GQP CAD $]],5,0)</f>
        <v>315.29000000000002</v>
      </c>
      <c r="I356" s="74">
        <f t="shared" si="11"/>
        <v>630.58000000000004</v>
      </c>
    </row>
    <row r="357" spans="2:9" x14ac:dyDescent="0.25">
      <c r="B357" s="71" t="s">
        <v>191</v>
      </c>
      <c r="C357" s="67" t="str">
        <f>VLOOKUP(B357,[1]!Table3[[Part Number]:[Make and Model]],2,0)</f>
        <v xml:space="preserve">CAT D4 (66J)                                            </v>
      </c>
      <c r="D357" s="67" t="str">
        <f>VLOOKUP(B357,[1]!Table3[[Part Number]:[Part Description]],3,0)</f>
        <v>FLAT WASHER</v>
      </c>
      <c r="E357" s="68">
        <f>VLOOKUP(B357,[1]!Table3[[Part Number]:[Annual]],11,0)</f>
        <v>12</v>
      </c>
      <c r="F357" s="69">
        <f>VLOOKUP(B357,[1]!Table3[[Part Number]:[OEM CAD $]],4,0)</f>
        <v>0.33</v>
      </c>
      <c r="G357" s="70">
        <f t="shared" si="12"/>
        <v>3.96</v>
      </c>
      <c r="H357" s="70">
        <f>VLOOKUP(B357,[1]!Table3[[Part Number]:[GQP CAD $]],5,0)</f>
        <v>0.17</v>
      </c>
      <c r="I357" s="74">
        <f t="shared" si="11"/>
        <v>2.04</v>
      </c>
    </row>
    <row r="358" spans="2:9" x14ac:dyDescent="0.25">
      <c r="B358" s="71" t="s">
        <v>344</v>
      </c>
      <c r="C358" s="67" t="str">
        <f>VLOOKUP(B358,[1]!Table3[[Part Number]:[Make and Model]],2,0)</f>
        <v xml:space="preserve">CAT 561 (85H) CAT 561 (92J) CAT 561 (92J) (2)                                        </v>
      </c>
      <c r="D358" s="67" t="str">
        <f>VLOOKUP(B358,[1]!Table3[[Part Number]:[Part Description]],3,0)</f>
        <v>WASHER ROLLER</v>
      </c>
      <c r="E358" s="68">
        <f>VLOOKUP(B358,[1]!Table3[[Part Number]:[Annual]],11,0)</f>
        <v>144</v>
      </c>
      <c r="F358" s="69">
        <f>VLOOKUP(B358,[1]!Table3[[Part Number]:[OEM CAD $]],4,0)</f>
        <v>0.78</v>
      </c>
      <c r="G358" s="70">
        <f t="shared" si="12"/>
        <v>112.32000000000001</v>
      </c>
      <c r="H358" s="70">
        <f>VLOOKUP(B358,[1]!Table3[[Part Number]:[GQP CAD $]],5,0)</f>
        <v>0.39</v>
      </c>
      <c r="I358" s="74">
        <f t="shared" si="11"/>
        <v>56.16</v>
      </c>
    </row>
    <row r="359" spans="2:9" x14ac:dyDescent="0.25">
      <c r="B359" s="71" t="s">
        <v>345</v>
      </c>
      <c r="C359" s="67" t="str">
        <f>VLOOKUP(B359,[1]!Table3[[Part Number]:[Make and Model]],2,0)</f>
        <v xml:space="preserve">CAT 299D (DX2)                                            </v>
      </c>
      <c r="D359" s="67" t="str">
        <f>VLOOKUP(B359,[1]!Table3[[Part Number]:[Part Description]],3,0)</f>
        <v>SPROCKET WASHER</v>
      </c>
      <c r="E359" s="68">
        <f>VLOOKUP(B359,[1]!Table3[[Part Number]:[Annual]],11,0)</f>
        <v>24</v>
      </c>
      <c r="F359" s="69">
        <f>VLOOKUP(B359,[1]!Table3[[Part Number]:[OEM CAD $]],4,0)</f>
        <v>3.71</v>
      </c>
      <c r="G359" s="70">
        <f t="shared" si="12"/>
        <v>89.039999999999992</v>
      </c>
      <c r="H359" s="70">
        <f>VLOOKUP(B359,[1]!Table3[[Part Number]:[GQP CAD $]],5,0)</f>
        <v>1.86</v>
      </c>
      <c r="I359" s="74">
        <f t="shared" si="11"/>
        <v>44.64</v>
      </c>
    </row>
    <row r="360" spans="2:9" x14ac:dyDescent="0.25">
      <c r="B360" s="71" t="s">
        <v>347</v>
      </c>
      <c r="C360" s="67" t="str">
        <f>VLOOKUP(B360,[1]!Table3[[Part Number]:[Make and Model]],2,0)</f>
        <v xml:space="preserve">CAT D7G (92V) CAT D7G (3ZD) CAT D7G (3ZD) (2)                                        </v>
      </c>
      <c r="D360" s="67" t="str">
        <f>VLOOKUP(B360,[1]!Table3[[Part Number]:[Part Description]],3,0)</f>
        <v>BLADE ASSEMBLY</v>
      </c>
      <c r="E360" s="68">
        <f>VLOOKUP(B360,[1]!Table3[[Part Number]:[Annual]],11,0)</f>
        <v>3</v>
      </c>
      <c r="F360" s="69">
        <f>VLOOKUP(B360,[1]!Table3[[Part Number]:[OEM CAD $]],4,0)</f>
        <v>27033.599999999999</v>
      </c>
      <c r="G360" s="70">
        <f t="shared" si="12"/>
        <v>81100.799999999988</v>
      </c>
      <c r="H360" s="70">
        <f>VLOOKUP(B360,[1]!Table3[[Part Number]:[GQP CAD $]],5,0)</f>
        <v>10272.77</v>
      </c>
      <c r="I360" s="74">
        <f t="shared" si="11"/>
        <v>30818.31</v>
      </c>
    </row>
    <row r="361" spans="2:9" x14ac:dyDescent="0.25">
      <c r="B361" s="71" t="s">
        <v>55</v>
      </c>
      <c r="C361" s="67" t="str">
        <f>VLOOKUP(B361,[1]!Table3[[Part Number]:[Make and Model]],2,0)</f>
        <v xml:space="preserve">CAT D5 (3CR) CAT D5 (3CR) (2) CAT 561 (85H) CAT 561 (92J) CAT 561 (92J) (2) CAT 561M (1KW) CAT 561N (CPH) CAT 561N (CPH) (2) CAT 561N (CPH) (3) CAT 561N (CPH) (4) CAT 561N (CPH) (5) CAT PL61 (WGS) CAT PL61 (WGS) (2) CAT PL61 (WGS) (3)                  </v>
      </c>
      <c r="D361" s="67" t="str">
        <f>VLOOKUP(B361,[1]!Table3[[Part Number]:[Part Description]],3,0)</f>
        <v>SPROCKET BOLT</v>
      </c>
      <c r="E361" s="68">
        <f>VLOOKUP(B361,[1]!Table3[[Part Number]:[Annual]],11,0)</f>
        <v>644</v>
      </c>
      <c r="F361" s="69">
        <f>VLOOKUP(B361,[1]!Table3[[Part Number]:[OEM CAD $]],4,0)</f>
        <v>2.94</v>
      </c>
      <c r="G361" s="70">
        <f t="shared" si="12"/>
        <v>1893.36</v>
      </c>
      <c r="H361" s="70">
        <f>VLOOKUP(B361,[1]!Table3[[Part Number]:[GQP CAD $]],5,0)</f>
        <v>1.47</v>
      </c>
      <c r="I361" s="74">
        <f t="shared" si="11"/>
        <v>946.68</v>
      </c>
    </row>
    <row r="362" spans="2:9" x14ac:dyDescent="0.25">
      <c r="B362" s="71" t="s">
        <v>348</v>
      </c>
      <c r="C362" s="67" t="str">
        <f>VLOOKUP(B362,[1]!Table3[[Part Number]:[Make and Model]],2,0)</f>
        <v xml:space="preserve">CAT D5 (3CR) CAT D5 (3CR) (2) CAT 561N (CPH) CAT 561N (CPH) (2) CAT 561N (CPH) (3) CAT 561N (CPH) (4) CAT 561N (CPH) (5)                                </v>
      </c>
      <c r="D362" s="67" t="str">
        <f>VLOOKUP(B362,[1]!Table3[[Part Number]:[Part Description]],3,0)</f>
        <v>TRACK BOLT</v>
      </c>
      <c r="E362" s="68">
        <f>VLOOKUP(B362,[1]!Table3[[Part Number]:[Annual]],11,0)</f>
        <v>606</v>
      </c>
      <c r="F362" s="69">
        <f>VLOOKUP(B362,[1]!Table3[[Part Number]:[OEM CAD $]],4,0)</f>
        <v>5.51</v>
      </c>
      <c r="G362" s="70">
        <f t="shared" si="12"/>
        <v>3339.06</v>
      </c>
      <c r="H362" s="70">
        <f>VLOOKUP(B362,[1]!Table3[[Part Number]:[GQP CAD $]],5,0)</f>
        <v>2.76</v>
      </c>
      <c r="I362" s="74">
        <f t="shared" si="11"/>
        <v>1672.56</v>
      </c>
    </row>
    <row r="363" spans="2:9" x14ac:dyDescent="0.25">
      <c r="B363" s="71" t="s">
        <v>349</v>
      </c>
      <c r="C363" s="67" t="str">
        <f>VLOOKUP(B363,[1]!Table3[[Part Number]:[Make and Model]],2,0)</f>
        <v xml:space="preserve">CAT D5 (3CR) CAT D5 (3CR) (2) CAT 561N (CPH) CAT 561N (CPH) (2) CAT 561N (CPH) (3) CAT 561N (CPH) (4) CAT 561N (CPH) (5)                                </v>
      </c>
      <c r="D363" s="67" t="str">
        <f>VLOOKUP(B363,[1]!Table3[[Part Number]:[Part Description]],3,0)</f>
        <v>TRACK BOLT MASTER</v>
      </c>
      <c r="E363" s="68">
        <f>VLOOKUP(B363,[1]!Table3[[Part Number]:[Annual]],11,0)</f>
        <v>14</v>
      </c>
      <c r="F363" s="69">
        <f>VLOOKUP(B363,[1]!Table3[[Part Number]:[OEM CAD $]],4,0)</f>
        <v>6.45</v>
      </c>
      <c r="G363" s="70">
        <f t="shared" si="12"/>
        <v>90.3</v>
      </c>
      <c r="H363" s="70">
        <f>VLOOKUP(B363,[1]!Table3[[Part Number]:[GQP CAD $]],5,0)</f>
        <v>3.23</v>
      </c>
      <c r="I363" s="74">
        <f t="shared" si="11"/>
        <v>45.22</v>
      </c>
    </row>
    <row r="364" spans="2:9" x14ac:dyDescent="0.25">
      <c r="B364" s="71" t="s">
        <v>350</v>
      </c>
      <c r="C364" s="67" t="str">
        <f>VLOOKUP(B364,[1]!Table3[[Part Number]:[Make and Model]],2,0)</f>
        <v xml:space="preserve">CAT 561M (1KW)                                            </v>
      </c>
      <c r="D364" s="67" t="str">
        <f>VLOOKUP(B364,[1]!Table3[[Part Number]:[Part Description]],3,0)</f>
        <v>BOLT MASTER LINK</v>
      </c>
      <c r="E364" s="68">
        <f>VLOOKUP(B364,[1]!Table3[[Part Number]:[Annual]],11,0)</f>
        <v>4</v>
      </c>
      <c r="F364" s="69">
        <f>VLOOKUP(B364,[1]!Table3[[Part Number]:[OEM CAD $]],4,0)</f>
        <v>3.98</v>
      </c>
      <c r="G364" s="70">
        <f t="shared" si="12"/>
        <v>15.92</v>
      </c>
      <c r="H364" s="70">
        <f>VLOOKUP(B364,[1]!Table3[[Part Number]:[GQP CAD $]],5,0)</f>
        <v>1.99</v>
      </c>
      <c r="I364" s="74">
        <f t="shared" si="11"/>
        <v>7.96</v>
      </c>
    </row>
    <row r="365" spans="2:9" x14ac:dyDescent="0.25">
      <c r="B365" s="71" t="s">
        <v>351</v>
      </c>
      <c r="C365" s="67" t="str">
        <f>VLOOKUP(B365,[1]!Table3[[Part Number]:[Make and Model]],2,0)</f>
        <v xml:space="preserve">CAT 303.5E                                            </v>
      </c>
      <c r="D365" s="67" t="str">
        <f>VLOOKUP(B365,[1]!Table3[[Part Number]:[Part Description]],3,0)</f>
        <v>CARRIER ROLLER</v>
      </c>
      <c r="E365" s="68">
        <f>VLOOKUP(B365,[1]!Table3[[Part Number]:[Annual]],11,0)</f>
        <v>2</v>
      </c>
      <c r="F365" s="69">
        <f>VLOOKUP(B365,[1]!Table3[[Part Number]:[OEM CAD $]],4,0)</f>
        <v>403.56</v>
      </c>
      <c r="G365" s="70">
        <f t="shared" si="12"/>
        <v>807.12</v>
      </c>
      <c r="H365" s="70">
        <f>VLOOKUP(B365,[1]!Table3[[Part Number]:[GQP CAD $]],5,0)</f>
        <v>201.78</v>
      </c>
      <c r="I365" s="74">
        <f t="shared" si="11"/>
        <v>403.56</v>
      </c>
    </row>
    <row r="366" spans="2:9" x14ac:dyDescent="0.25">
      <c r="B366" s="71" t="s">
        <v>56</v>
      </c>
      <c r="C366" s="67" t="str">
        <f>VLOOKUP(B366,[1]!Table3[[Part Number]:[Make and Model]],2,0)</f>
        <v xml:space="preserve">CAT D7G (92V) CAT D7G (3ZD) CAT D7G (3ZD) (2)                                        </v>
      </c>
      <c r="D366" s="67" t="str">
        <f>VLOOKUP(B366,[1]!Table3[[Part Number]:[Part Description]],3,0)</f>
        <v>CARRIER ROLLER</v>
      </c>
      <c r="E366" s="68">
        <f>VLOOKUP(B366,[1]!Table3[[Part Number]:[Annual]],11,0)</f>
        <v>6</v>
      </c>
      <c r="F366" s="69">
        <f>VLOOKUP(B366,[1]!Table3[[Part Number]:[OEM CAD $]],4,0)</f>
        <v>722.36</v>
      </c>
      <c r="G366" s="70">
        <f t="shared" si="12"/>
        <v>4334.16</v>
      </c>
      <c r="H366" s="70">
        <f>VLOOKUP(B366,[1]!Table3[[Part Number]:[GQP CAD $]],5,0)</f>
        <v>361.18</v>
      </c>
      <c r="I366" s="74">
        <f t="shared" si="11"/>
        <v>2167.08</v>
      </c>
    </row>
    <row r="367" spans="2:9" x14ac:dyDescent="0.25">
      <c r="B367" s="71" t="s">
        <v>352</v>
      </c>
      <c r="C367" s="67" t="str">
        <f>VLOOKUP(B367,[1]!Table3[[Part Number]:[Make and Model]],2,0)</f>
        <v xml:space="preserve">CAT 320E L (WBK) CAT 320E L (WBK) (2) CAT 320F L (YBM) CAT 320 (HEX) CAT 320 (MYK) CAT 320 (MYK) (2)                                  </v>
      </c>
      <c r="D367" s="67" t="str">
        <f>VLOOKUP(B367,[1]!Table3[[Part Number]:[Part Description]],3,0)</f>
        <v>IDLER BOLT</v>
      </c>
      <c r="E367" s="68">
        <f>VLOOKUP(B367,[1]!Table3[[Part Number]:[Annual]],11,0)</f>
        <v>48</v>
      </c>
      <c r="F367" s="69">
        <f>VLOOKUP(B367,[1]!Table3[[Part Number]:[OEM CAD $]],4,0)</f>
        <v>7.85</v>
      </c>
      <c r="G367" s="70">
        <f t="shared" si="12"/>
        <v>376.79999999999995</v>
      </c>
      <c r="H367" s="70">
        <f>VLOOKUP(B367,[1]!Table3[[Part Number]:[GQP CAD $]],5,0)</f>
        <v>3.93</v>
      </c>
      <c r="I367" s="74">
        <f t="shared" si="11"/>
        <v>188.64</v>
      </c>
    </row>
    <row r="368" spans="2:9" x14ac:dyDescent="0.25">
      <c r="B368" s="71" t="s">
        <v>353</v>
      </c>
      <c r="C368" s="67" t="str">
        <f>VLOOKUP(B368,[1]!Table3[[Part Number]:[Make and Model]],2,0)</f>
        <v xml:space="preserve">CAT 329E L (ZCD) CAT 329F L (ERL) CAT 329F L (ERL) (2) CAT 330F L (MBX) CAT 330F L (HCK) CAT 330F L (HCK) (2)                                  </v>
      </c>
      <c r="D368" s="67" t="str">
        <f>VLOOKUP(B368,[1]!Table3[[Part Number]:[Part Description]],3,0)</f>
        <v>IDLER BOLT</v>
      </c>
      <c r="E368" s="68">
        <f>VLOOKUP(B368,[1]!Table3[[Part Number]:[Annual]],11,0)</f>
        <v>48</v>
      </c>
      <c r="F368" s="69">
        <f>VLOOKUP(B368,[1]!Table3[[Part Number]:[OEM CAD $]],4,0)</f>
        <v>10.24</v>
      </c>
      <c r="G368" s="70">
        <f t="shared" si="12"/>
        <v>491.52</v>
      </c>
      <c r="H368" s="70">
        <f>VLOOKUP(B368,[1]!Table3[[Part Number]:[GQP CAD $]],5,0)</f>
        <v>5.12</v>
      </c>
      <c r="I368" s="74">
        <f t="shared" si="11"/>
        <v>245.76</v>
      </c>
    </row>
    <row r="369" spans="2:9" x14ac:dyDescent="0.25">
      <c r="B369" s="71" t="s">
        <v>354</v>
      </c>
      <c r="C369" s="67" t="str">
        <f>VLOOKUP(B369,[1]!Table3[[Part Number]:[Make and Model]],2,0)</f>
        <v xml:space="preserve">CAT 330 (LHW) CAT 330 (LHW) (2) CAT 330 (LHW) (3) CAT 330 (LHW) (4) CAT 330 (WCH) CAT 330 (WCH) (2) CAT 330 (WCH) (3) CAT 330 (WCH) (4) CAT 330 (WCH) (5) CAT 330 (WCH) (6)                          </v>
      </c>
      <c r="D369" s="67" t="str">
        <f>VLOOKUP(B369,[1]!Table3[[Part Number]:[Part Description]],3,0)</f>
        <v>IDLER BOLT</v>
      </c>
      <c r="E369" s="68">
        <f>VLOOKUP(B369,[1]!Table3[[Part Number]:[Annual]],11,0)</f>
        <v>80</v>
      </c>
      <c r="F369" s="69">
        <f>VLOOKUP(B369,[1]!Table3[[Part Number]:[OEM CAD $]],4,0)</f>
        <v>14.28</v>
      </c>
      <c r="G369" s="70">
        <f t="shared" si="12"/>
        <v>1142.3999999999999</v>
      </c>
      <c r="H369" s="70">
        <f>VLOOKUP(B369,[1]!Table3[[Part Number]:[GQP CAD $]],5,0)</f>
        <v>7.14</v>
      </c>
      <c r="I369" s="74">
        <f t="shared" si="11"/>
        <v>571.20000000000005</v>
      </c>
    </row>
    <row r="370" spans="2:9" x14ac:dyDescent="0.25">
      <c r="B370" s="71" t="s">
        <v>355</v>
      </c>
      <c r="C370" s="67" t="str">
        <f>VLOOKUP(B370,[1]!Table3[[Part Number]:[Make and Model]],2,0)</f>
        <v xml:space="preserve">CAT 336F L (RKB)                                            </v>
      </c>
      <c r="D370" s="67" t="str">
        <f>VLOOKUP(B370,[1]!Table3[[Part Number]:[Part Description]],3,0)</f>
        <v>ROLLER BOLT</v>
      </c>
      <c r="E370" s="68">
        <f>VLOOKUP(B370,[1]!Table3[[Part Number]:[Annual]],11,0)</f>
        <v>72</v>
      </c>
      <c r="F370" s="69">
        <f>VLOOKUP(B370,[1]!Table3[[Part Number]:[OEM CAD $]],4,0)</f>
        <v>31.86</v>
      </c>
      <c r="G370" s="70">
        <f t="shared" si="12"/>
        <v>2293.92</v>
      </c>
      <c r="H370" s="70">
        <f>VLOOKUP(B370,[1]!Table3[[Part Number]:[GQP CAD $]],5,0)</f>
        <v>15.93</v>
      </c>
      <c r="I370" s="74">
        <f t="shared" si="11"/>
        <v>1146.96</v>
      </c>
    </row>
    <row r="371" spans="2:9" x14ac:dyDescent="0.25">
      <c r="B371" s="71" t="s">
        <v>356</v>
      </c>
      <c r="C371" s="67" t="str">
        <f>VLOOKUP(B371,[1]!Table3[[Part Number]:[Make and Model]],2,0)</f>
        <v xml:space="preserve">CAT 320E L (WBK) CAT 320E L (WBK) (2) CAT 320F L (YBM) CAT 320 (HEX) CAT 320 (MYK) CAT 320 (MYK) (2) CAT 329F L (ERL) CAT 329F L (ERL) (2) CAT 330F L (MBX) CAT 330F L (HCK) CAT 330F L (HCK) (2) CAT 330 (LHW) CAT 330 (LHW) (2) CAT 330 (LHW) (3) CAT 330 (LHW) (4) CAT 330 (WCH) CAT 330 (WCH) (2) CAT 330 (WCH) (3) CAT 330 (WCH) (4) CAT 330 (WCH) (5) CAT 330 (WCH) (6)    </v>
      </c>
      <c r="D371" s="67" t="str">
        <f>VLOOKUP(B371,[1]!Table3[[Part Number]:[Part Description]],3,0)</f>
        <v>HEX HEAD BOLT</v>
      </c>
      <c r="E371" s="68">
        <f>VLOOKUP(B371,[1]!Table3[[Part Number]:[Annual]],11,0)</f>
        <v>84</v>
      </c>
      <c r="F371" s="69">
        <f>VLOOKUP(B371,[1]!Table3[[Part Number]:[OEM CAD $]],4,0)</f>
        <v>23.18</v>
      </c>
      <c r="G371" s="70">
        <f t="shared" si="12"/>
        <v>1947.12</v>
      </c>
      <c r="H371" s="70">
        <f>VLOOKUP(B371,[1]!Table3[[Part Number]:[GQP CAD $]],5,0)</f>
        <v>11.59</v>
      </c>
      <c r="I371" s="74">
        <f t="shared" si="11"/>
        <v>973.56</v>
      </c>
    </row>
    <row r="372" spans="2:9" x14ac:dyDescent="0.25">
      <c r="B372" s="71" t="s">
        <v>357</v>
      </c>
      <c r="C372" s="67" t="str">
        <f>VLOOKUP(B372,[1]!Table3[[Part Number]:[Make and Model]],2,0)</f>
        <v xml:space="preserve">CAT 320E L (WBK) CAT 320E L (WBK) (2) CAT 320F L (YBM) CAT 320 (HEX) CAT 320 (MYK) CAT 320 (MYK) (2) CAT 329E L (ZCD) CAT 329F L (ERL) CAT 329F L (ERL) (2) CAT 330F L (MBX) CAT 330F L (HCK) CAT 330F L (HCK) (2) CAT 330 (LHW) CAT 330 (LHW) (2) CAT 330 (LHW) (3) CAT 330 (LHW) (4) CAT 330 (WCH) CAT 330 (WCH) (2) CAT 330 (WCH) (3) CAT 330 (WCH) (4) CAT 330 (WCH) (5) CAT 330 (WCH) (6)  </v>
      </c>
      <c r="D372" s="67" t="str">
        <f>VLOOKUP(B372,[1]!Table3[[Part Number]:[Part Description]],3,0)</f>
        <v>HEX HEAD BOLT</v>
      </c>
      <c r="E372" s="68">
        <f>VLOOKUP(B372,[1]!Table3[[Part Number]:[Annual]],11,0)</f>
        <v>1536</v>
      </c>
      <c r="F372" s="69">
        <f>VLOOKUP(B372,[1]!Table3[[Part Number]:[OEM CAD $]],4,0)</f>
        <v>20.079999999999998</v>
      </c>
      <c r="G372" s="70">
        <f t="shared" si="12"/>
        <v>30842.879999999997</v>
      </c>
      <c r="H372" s="70">
        <f>VLOOKUP(B372,[1]!Table3[[Part Number]:[GQP CAD $]],5,0)</f>
        <v>10.039999999999999</v>
      </c>
      <c r="I372" s="74">
        <f t="shared" si="11"/>
        <v>15421.44</v>
      </c>
    </row>
    <row r="373" spans="2:9" x14ac:dyDescent="0.25">
      <c r="B373" s="71" t="s">
        <v>197</v>
      </c>
      <c r="C373" s="67" t="str">
        <f>VLOOKUP(B373,[1]!Table3[[Part Number]:[Make and Model]],2,0)</f>
        <v xml:space="preserve">CAT 320E L (WBK) CAT 320E L (WBK) (2) CAT 320F L (YBM) CAT 320 (HEX) CAT 320 (MYK) CAT 320 (MYK) (2) CAT 329E L (ZCD) CAT 329F L (ERL) CAT 329F L (ERL) (2) CAT 330F L (MBX) CAT 330F L (HCK) CAT 330F L (HCK) (2) CAT 330 (LHW) CAT 330 (LHW) (2) CAT 330 (LHW) (3) CAT 330 (LHW) (4) CAT 330 (WCH) CAT 330 (WCH) (2) CAT 330 (WCH) (3) CAT 330 (WCH) (4) CAT 330 (WCH) (5) CAT 330 (WCH) (6)  </v>
      </c>
      <c r="D373" s="67" t="str">
        <f>VLOOKUP(B373,[1]!Table3[[Part Number]:[Part Description]],3,0)</f>
        <v>FLAT WASHER</v>
      </c>
      <c r="E373" s="68">
        <f>VLOOKUP(B373,[1]!Table3[[Part Number]:[Annual]],11,0)</f>
        <v>1536</v>
      </c>
      <c r="F373" s="69">
        <f>VLOOKUP(B373,[1]!Table3[[Part Number]:[OEM CAD $]],4,0)</f>
        <v>2.99</v>
      </c>
      <c r="G373" s="70">
        <f t="shared" si="12"/>
        <v>4592.6400000000003</v>
      </c>
      <c r="H373" s="70">
        <f>VLOOKUP(B373,[1]!Table3[[Part Number]:[GQP CAD $]],5,0)</f>
        <v>1.5</v>
      </c>
      <c r="I373" s="74">
        <f t="shared" si="11"/>
        <v>2304</v>
      </c>
    </row>
    <row r="374" spans="2:9" x14ac:dyDescent="0.25">
      <c r="B374" s="71" t="s">
        <v>198</v>
      </c>
      <c r="C374" s="67" t="str">
        <f>VLOOKUP(B374,[1]!Table3[[Part Number]:[Make and Model]],2,0)</f>
        <v xml:space="preserve">CAT 336F L (RKB)                                            </v>
      </c>
      <c r="D374" s="67" t="str">
        <f>VLOOKUP(B374,[1]!Table3[[Part Number]:[Part Description]],3,0)</f>
        <v>FLAT WASHER</v>
      </c>
      <c r="E374" s="68">
        <f>VLOOKUP(B374,[1]!Table3[[Part Number]:[Annual]],11,0)</f>
        <v>72</v>
      </c>
      <c r="F374" s="69">
        <f>VLOOKUP(B374,[1]!Table3[[Part Number]:[OEM CAD $]],4,0)</f>
        <v>4.9800000000000004</v>
      </c>
      <c r="G374" s="70">
        <f t="shared" si="12"/>
        <v>358.56000000000006</v>
      </c>
      <c r="H374" s="70">
        <f>VLOOKUP(B374,[1]!Table3[[Part Number]:[GQP CAD $]],5,0)</f>
        <v>2.4900000000000002</v>
      </c>
      <c r="I374" s="74">
        <f t="shared" si="11"/>
        <v>179.28</v>
      </c>
    </row>
    <row r="375" spans="2:9" x14ac:dyDescent="0.25">
      <c r="B375" s="71" t="s">
        <v>358</v>
      </c>
      <c r="C375" s="67" t="str">
        <f>VLOOKUP(B375,[1]!Table3[[Part Number]:[Make and Model]],2,0)</f>
        <v xml:space="preserve">CAT 336F L (RKB)                                            </v>
      </c>
      <c r="D375" s="67" t="str">
        <f>VLOOKUP(B375,[1]!Table3[[Part Number]:[Part Description]],3,0)</f>
        <v>CARRIER BOLT</v>
      </c>
      <c r="E375" s="68">
        <f>VLOOKUP(B375,[1]!Table3[[Part Number]:[Annual]],11,0)</f>
        <v>4</v>
      </c>
      <c r="F375" s="69">
        <f>VLOOKUP(B375,[1]!Table3[[Part Number]:[OEM CAD $]],4,0)</f>
        <v>26.18</v>
      </c>
      <c r="G375" s="70">
        <f t="shared" si="12"/>
        <v>104.72</v>
      </c>
      <c r="H375" s="70">
        <f>VLOOKUP(B375,[1]!Table3[[Part Number]:[GQP CAD $]],5,0)</f>
        <v>13.09</v>
      </c>
      <c r="I375" s="74">
        <f t="shared" si="11"/>
        <v>52.36</v>
      </c>
    </row>
    <row r="376" spans="2:9" x14ac:dyDescent="0.25">
      <c r="B376" s="71" t="s">
        <v>359</v>
      </c>
      <c r="C376" s="67" t="str">
        <f>VLOOKUP(B376,[1]!Table3[[Part Number]:[Make and Model]],2,0)</f>
        <v xml:space="preserve">CAT D7G (92V) CAT D7G (3ZD) CAT D7G (3ZD) (2)                                        </v>
      </c>
      <c r="D376" s="67" t="str">
        <f>VLOOKUP(B376,[1]!Table3[[Part Number]:[Part Description]],3,0)</f>
        <v>TRACK LINK 38 JOINT</v>
      </c>
      <c r="E376" s="68">
        <f>VLOOKUP(B376,[1]!Table3[[Part Number]:[Annual]],11,0)</f>
        <v>6</v>
      </c>
      <c r="F376" s="69">
        <f>VLOOKUP(B376,[1]!Table3[[Part Number]:[OEM CAD $]],4,0)</f>
        <v>8201.7900000000009</v>
      </c>
      <c r="G376" s="70">
        <f t="shared" si="12"/>
        <v>49210.740000000005</v>
      </c>
      <c r="H376" s="70">
        <f>VLOOKUP(B376,[1]!Table3[[Part Number]:[GQP CAD $]],5,0)</f>
        <v>4100.8999999999996</v>
      </c>
      <c r="I376" s="74">
        <f t="shared" si="11"/>
        <v>24605.4</v>
      </c>
    </row>
    <row r="377" spans="2:9" x14ac:dyDescent="0.25">
      <c r="B377" s="71" t="s">
        <v>360</v>
      </c>
      <c r="C377" s="67" t="str">
        <f>VLOOKUP(B377,[1]!Table3[[Part Number]:[Make and Model]],2,0)</f>
        <v xml:space="preserve">CAT 303.5E                                            </v>
      </c>
      <c r="D377" s="67" t="str">
        <f>VLOOKUP(B377,[1]!Table3[[Part Number]:[Part Description]],3,0)</f>
        <v>CENTRE FLANGE ROLLER</v>
      </c>
      <c r="E377" s="68">
        <f>VLOOKUP(B377,[1]!Table3[[Part Number]:[Annual]],11,0)</f>
        <v>4</v>
      </c>
      <c r="F377" s="69">
        <f>VLOOKUP(B377,[1]!Table3[[Part Number]:[OEM CAD $]],4,0)</f>
        <v>498.61</v>
      </c>
      <c r="G377" s="70">
        <f t="shared" si="12"/>
        <v>1994.44</v>
      </c>
      <c r="H377" s="70">
        <f>VLOOKUP(B377,[1]!Table3[[Part Number]:[GQP CAD $]],5,0)</f>
        <v>249.31</v>
      </c>
      <c r="I377" s="74">
        <f t="shared" si="11"/>
        <v>997.24</v>
      </c>
    </row>
    <row r="378" spans="2:9" x14ac:dyDescent="0.25">
      <c r="B378" s="71" t="s">
        <v>361</v>
      </c>
      <c r="C378" s="67" t="str">
        <f>VLOOKUP(B378,[1]!Table3[[Part Number]:[Make and Model]],2,0)</f>
        <v xml:space="preserve">CAT 336F L (RKB)                                            </v>
      </c>
      <c r="D378" s="67" t="str">
        <f>VLOOKUP(B378,[1]!Table3[[Part Number]:[Part Description]],3,0)</f>
        <v>SINGLE FLANGE TRACK ROLLER</v>
      </c>
      <c r="E378" s="68">
        <f>VLOOKUP(B378,[1]!Table3[[Part Number]:[Annual]],11,0)</f>
        <v>18</v>
      </c>
      <c r="F378" s="69">
        <f>VLOOKUP(B378,[1]!Table3[[Part Number]:[OEM CAD $]],4,0)</f>
        <v>987.95</v>
      </c>
      <c r="G378" s="70">
        <f t="shared" si="12"/>
        <v>17783.100000000002</v>
      </c>
      <c r="H378" s="70">
        <f>VLOOKUP(B378,[1]!Table3[[Part Number]:[GQP CAD $]],5,0)</f>
        <v>493.98</v>
      </c>
      <c r="I378" s="74">
        <f t="shared" si="11"/>
        <v>8891.64</v>
      </c>
    </row>
    <row r="379" spans="2:9" x14ac:dyDescent="0.25">
      <c r="B379" s="71" t="s">
        <v>363</v>
      </c>
      <c r="C379" s="67" t="str">
        <f>VLOOKUP(B379,[1]!Table3[[Part Number]:[Make and Model]],2,0)</f>
        <v xml:space="preserve">CAT D6N LGP (GHS)                                            </v>
      </c>
      <c r="D379" s="67" t="str">
        <f>VLOOKUP(B379,[1]!Table3[[Part Number]:[Part Description]],3,0)</f>
        <v>SEAT ASSEMBLY</v>
      </c>
      <c r="E379" s="68">
        <f>VLOOKUP(B379,[1]!Table3[[Part Number]:[Annual]],11,0)</f>
        <v>1</v>
      </c>
      <c r="F379" s="69">
        <f>VLOOKUP(B379,[1]!Table3[[Part Number]:[OEM CAD $]],4,0)</f>
        <v>3921.14</v>
      </c>
      <c r="G379" s="70">
        <f t="shared" si="12"/>
        <v>3921.14</v>
      </c>
      <c r="H379" s="70">
        <f>VLOOKUP(B379,[1]!Table3[[Part Number]:[GQP CAD $]],5,0)</f>
        <v>1960.57</v>
      </c>
      <c r="I379" s="74">
        <f t="shared" si="11"/>
        <v>1960.57</v>
      </c>
    </row>
    <row r="380" spans="2:9" x14ac:dyDescent="0.25">
      <c r="B380" s="71" t="s">
        <v>364</v>
      </c>
      <c r="C380" s="67" t="str">
        <f>VLOOKUP(B380,[1]!Table3[[Part Number]:[Make and Model]],2,0)</f>
        <v xml:space="preserve">CAT D6 (RDC)                                            </v>
      </c>
      <c r="D380" s="67" t="str">
        <f>VLOOKUP(B380,[1]!Table3[[Part Number]:[Part Description]],3,0)</f>
        <v>SPROCKET SEGMENT</v>
      </c>
      <c r="E380" s="68">
        <f>VLOOKUP(B380,[1]!Table3[[Part Number]:[Annual]],11,0)</f>
        <v>10</v>
      </c>
      <c r="F380" s="69">
        <f>VLOOKUP(B380,[1]!Table3[[Part Number]:[OEM CAD $]],4,0)</f>
        <v>293.17</v>
      </c>
      <c r="G380" s="70">
        <f t="shared" si="12"/>
        <v>2931.7000000000003</v>
      </c>
      <c r="H380" s="70">
        <f>VLOOKUP(B380,[1]!Table3[[Part Number]:[GQP CAD $]],5,0)</f>
        <v>146.59</v>
      </c>
      <c r="I380" s="74">
        <f t="shared" si="11"/>
        <v>1465.9</v>
      </c>
    </row>
    <row r="381" spans="2:9" x14ac:dyDescent="0.25">
      <c r="B381" s="71" t="s">
        <v>365</v>
      </c>
      <c r="C381" s="67" t="str">
        <f>VLOOKUP(B381,[1]!Table3[[Part Number]:[Make and Model]],2,0)</f>
        <v xml:space="preserve">CAT D6 (RDC)                                            </v>
      </c>
      <c r="D381" s="67" t="str">
        <f>VLOOKUP(B381,[1]!Table3[[Part Number]:[Part Description]],3,0)</f>
        <v>SPROCKET BOLT</v>
      </c>
      <c r="E381" s="68">
        <f>VLOOKUP(B381,[1]!Table3[[Part Number]:[Annual]],11,0)</f>
        <v>50</v>
      </c>
      <c r="F381" s="69">
        <f>VLOOKUP(B381,[1]!Table3[[Part Number]:[OEM CAD $]],4,0)</f>
        <v>9.4700000000000006</v>
      </c>
      <c r="G381" s="70">
        <f t="shared" si="12"/>
        <v>473.50000000000006</v>
      </c>
      <c r="H381" s="70">
        <f>VLOOKUP(B381,[1]!Table3[[Part Number]:[GQP CAD $]],5,0)</f>
        <v>4.74</v>
      </c>
      <c r="I381" s="74">
        <f t="shared" si="11"/>
        <v>237</v>
      </c>
    </row>
    <row r="382" spans="2:9" x14ac:dyDescent="0.25">
      <c r="B382" s="71" t="s">
        <v>367</v>
      </c>
      <c r="C382" s="67" t="str">
        <f>VLOOKUP(B382,[1]!Table3[[Part Number]:[Make and Model]],2,0)</f>
        <v xml:space="preserve">CAT D3 (1PJ)                                            </v>
      </c>
      <c r="D382" s="67" t="str">
        <f>VLOOKUP(B382,[1]!Table3[[Part Number]:[Part Description]],3,0)</f>
        <v>SINGLE FLANGE TRACK ROLLER</v>
      </c>
      <c r="E382" s="68">
        <f>VLOOKUP(B382,[1]!Table3[[Part Number]:[Annual]],11,0)</f>
        <v>12</v>
      </c>
      <c r="F382" s="69">
        <f>VLOOKUP(B382,[1]!Table3[[Part Number]:[OEM CAD $]],4,0)</f>
        <v>579.6</v>
      </c>
      <c r="G382" s="70">
        <f t="shared" si="12"/>
        <v>6955.2000000000007</v>
      </c>
      <c r="H382" s="70">
        <f>VLOOKUP(B382,[1]!Table3[[Part Number]:[GQP CAD $]],5,0)</f>
        <v>289.8</v>
      </c>
      <c r="I382" s="74">
        <f t="shared" si="11"/>
        <v>3477.6</v>
      </c>
    </row>
    <row r="383" spans="2:9" x14ac:dyDescent="0.25">
      <c r="B383" s="71" t="s">
        <v>368</v>
      </c>
      <c r="C383" s="67" t="str">
        <f>VLOOKUP(B383,[1]!Table3[[Part Number]:[Make and Model]],2,0)</f>
        <v xml:space="preserve">CAT D3 (1PJ)                                            </v>
      </c>
      <c r="D383" s="67" t="str">
        <f>VLOOKUP(B383,[1]!Table3[[Part Number]:[Part Description]],3,0)</f>
        <v>DOUBLE FLANGE TRACK ROLLER (GUIDE AR)*</v>
      </c>
      <c r="E383" s="68">
        <f>VLOOKUP(B383,[1]!Table3[[Part Number]:[Annual]],11,0)</f>
        <v>8</v>
      </c>
      <c r="F383" s="69">
        <f>VLOOKUP(B383,[1]!Table3[[Part Number]:[OEM CAD $]],4,0)</f>
        <v>623.29</v>
      </c>
      <c r="G383" s="70">
        <f t="shared" si="12"/>
        <v>4986.32</v>
      </c>
      <c r="H383" s="70">
        <f>VLOOKUP(B383,[1]!Table3[[Part Number]:[GQP CAD $]],5,0)</f>
        <v>311.64999999999998</v>
      </c>
      <c r="I383" s="74">
        <f t="shared" si="11"/>
        <v>2493.1999999999998</v>
      </c>
    </row>
    <row r="384" spans="2:9" x14ac:dyDescent="0.25">
      <c r="B384" s="71" t="s">
        <v>370</v>
      </c>
      <c r="C384" s="67" t="str">
        <f>VLOOKUP(B384,[1]!Table3[[Part Number]:[Make and Model]],2,0)</f>
        <v xml:space="preserve">CAT D4 (66J)                                            </v>
      </c>
      <c r="D384" s="67" t="str">
        <f>VLOOKUP(B384,[1]!Table3[[Part Number]:[Part Description]],3,0)</f>
        <v>SPROCKET BOLT</v>
      </c>
      <c r="E384" s="68">
        <f>VLOOKUP(B384,[1]!Table3[[Part Number]:[Annual]],11,0)</f>
        <v>12</v>
      </c>
      <c r="F384" s="69">
        <f>VLOOKUP(B384,[1]!Table3[[Part Number]:[OEM CAD $]],4,0)</f>
        <v>5.71</v>
      </c>
      <c r="G384" s="70">
        <f t="shared" si="12"/>
        <v>68.52</v>
      </c>
      <c r="H384" s="70">
        <f>VLOOKUP(B384,[1]!Table3[[Part Number]:[GQP CAD $]],5,0)</f>
        <v>2.86</v>
      </c>
      <c r="I384" s="74">
        <f t="shared" si="11"/>
        <v>34.32</v>
      </c>
    </row>
    <row r="385" spans="2:9" x14ac:dyDescent="0.25">
      <c r="B385" s="71" t="s">
        <v>371</v>
      </c>
      <c r="C385" s="67" t="str">
        <f>VLOOKUP(B385,[1]!Table3[[Part Number]:[Make and Model]],2,0)</f>
        <v xml:space="preserve">CAT D7G (92V) CAT D7G (3ZD) CAT D7G (3ZD) (2)                                        </v>
      </c>
      <c r="D385" s="67" t="str">
        <f>VLOOKUP(B385,[1]!Table3[[Part Number]:[Part Description]],3,0)</f>
        <v>SINGLE FLANGE ROLLER</v>
      </c>
      <c r="E385" s="68">
        <f>VLOOKUP(B385,[1]!Table3[[Part Number]:[Annual]],11,0)</f>
        <v>36</v>
      </c>
      <c r="F385" s="69">
        <f>VLOOKUP(B385,[1]!Table3[[Part Number]:[OEM CAD $]],4,0)</f>
        <v>1122.06</v>
      </c>
      <c r="G385" s="70">
        <f t="shared" si="12"/>
        <v>40394.159999999996</v>
      </c>
      <c r="H385" s="70">
        <f>VLOOKUP(B385,[1]!Table3[[Part Number]:[GQP CAD $]],5,0)</f>
        <v>561.03</v>
      </c>
      <c r="I385" s="74">
        <f t="shared" si="11"/>
        <v>20197.080000000002</v>
      </c>
    </row>
    <row r="386" spans="2:9" x14ac:dyDescent="0.25">
      <c r="B386" s="71" t="s">
        <v>372</v>
      </c>
      <c r="C386" s="67" t="str">
        <f>VLOOKUP(B386,[1]!Table3[[Part Number]:[Make and Model]],2,0)</f>
        <v xml:space="preserve">CAT D4 (66J)                                            </v>
      </c>
      <c r="D386" s="67" t="str">
        <f>VLOOKUP(B386,[1]!Table3[[Part Number]:[Part Description]],3,0)</f>
        <v>SPROCKET SEGMENT</v>
      </c>
      <c r="E386" s="68">
        <f>VLOOKUP(B386,[1]!Table3[[Part Number]:[Annual]],11,0)</f>
        <v>2</v>
      </c>
      <c r="F386" s="69">
        <f>VLOOKUP(B386,[1]!Table3[[Part Number]:[OEM CAD $]],4,0)</f>
        <v>1870.5</v>
      </c>
      <c r="G386" s="70">
        <f t="shared" si="12"/>
        <v>3741</v>
      </c>
      <c r="H386" s="70">
        <f>VLOOKUP(B386,[1]!Table3[[Part Number]:[GQP CAD $]],5,0)</f>
        <v>935.25</v>
      </c>
      <c r="I386" s="74">
        <f t="shared" si="11"/>
        <v>1870.5</v>
      </c>
    </row>
    <row r="387" spans="2:9" x14ac:dyDescent="0.25">
      <c r="B387" s="71" t="s">
        <v>373</v>
      </c>
      <c r="C387" s="67" t="str">
        <f>VLOOKUP(B387,[1]!Table3[[Part Number]:[Make and Model]],2,0)</f>
        <v xml:space="preserve">CAT 329E L (ZCD) CAT 329F L (ERL) CAT 329F L (ERL) (2) CAT 330F L (MBX) CAT 330F L (HCK) CAT 330F L (HCK) (2) CAT 330 (LHW) CAT 330 (LHW) (2) CAT 330 (LHW) (3) CAT 330 (LHW) (4) CAT 330 (WCH) CAT 330 (WCH) (2) CAT 330 (WCH) (3) CAT 330 (WCH) (4) CAT 330 (WCH) (5) CAT 330 (WCH) (6)              </v>
      </c>
      <c r="D387" s="67" t="str">
        <f>VLOOKUP(B387,[1]!Table3[[Part Number]:[Part Description]],3,0)</f>
        <v>SINGLE FLANGE TRACK ROLLER</v>
      </c>
      <c r="E387" s="68">
        <f>VLOOKUP(B387,[1]!Table3[[Part Number]:[Annual]],11,0)</f>
        <v>288</v>
      </c>
      <c r="F387" s="69">
        <f>VLOOKUP(B387,[1]!Table3[[Part Number]:[OEM CAD $]],4,0)</f>
        <v>862.15</v>
      </c>
      <c r="G387" s="70">
        <f t="shared" si="12"/>
        <v>248299.19999999998</v>
      </c>
      <c r="H387" s="70">
        <f>VLOOKUP(B387,[1]!Table3[[Part Number]:[GQP CAD $]],5,0)</f>
        <v>431.08</v>
      </c>
      <c r="I387" s="74">
        <f t="shared" si="11"/>
        <v>124151.03999999999</v>
      </c>
    </row>
    <row r="388" spans="2:9" x14ac:dyDescent="0.25">
      <c r="B388" s="71" t="s">
        <v>374</v>
      </c>
      <c r="C388" s="67" t="str">
        <f>VLOOKUP(B388,[1]!Table3[[Part Number]:[Make and Model]],2,0)</f>
        <v xml:space="preserve">CAT D6 (RDC)                                            </v>
      </c>
      <c r="D388" s="67" t="str">
        <f>VLOOKUP(B388,[1]!Table3[[Part Number]:[Part Description]],3,0)</f>
        <v>HEX NUT</v>
      </c>
      <c r="E388" s="68">
        <f>VLOOKUP(B388,[1]!Table3[[Part Number]:[Annual]],11,0)</f>
        <v>50</v>
      </c>
      <c r="F388" s="69">
        <f>VLOOKUP(B388,[1]!Table3[[Part Number]:[OEM CAD $]],4,0)</f>
        <v>10.44</v>
      </c>
      <c r="G388" s="70">
        <f t="shared" si="12"/>
        <v>522</v>
      </c>
      <c r="H388" s="70">
        <f>VLOOKUP(B388,[1]!Table3[[Part Number]:[GQP CAD $]],5,0)</f>
        <v>5.22</v>
      </c>
      <c r="I388" s="74">
        <f t="shared" si="11"/>
        <v>261</v>
      </c>
    </row>
    <row r="389" spans="2:9" x14ac:dyDescent="0.25">
      <c r="B389" s="71" t="s">
        <v>375</v>
      </c>
      <c r="C389" s="67" t="str">
        <f>VLOOKUP(B389,[1]!Table3[[Part Number]:[Make and Model]],2,0)</f>
        <v xml:space="preserve">CAT 330 (LHW) CAT 330 (LHW) (2) CAT 330 (LHW) (3) CAT 330 (LHW) (4) CAT 330 (WCH) CAT 330 (WCH) (2) CAT 330 (WCH) (3) CAT 330 (WCH) (4) CAT 330 (WCH) (5) CAT 330 (WCH) (6)                          </v>
      </c>
      <c r="D389" s="67" t="str">
        <f>VLOOKUP(B389,[1]!Table3[[Part Number]:[Part Description]],3,0)</f>
        <v>TRACK SHOE 800MM</v>
      </c>
      <c r="E389" s="68">
        <f>VLOOKUP(B389,[1]!Table3[[Part Number]:[Annual]],11,0)</f>
        <v>1000</v>
      </c>
      <c r="F389" s="69">
        <f>VLOOKUP(B389,[1]!Table3[[Part Number]:[OEM CAD $]],4,0)</f>
        <v>230.91</v>
      </c>
      <c r="G389" s="70">
        <f t="shared" si="12"/>
        <v>230910</v>
      </c>
      <c r="H389" s="70">
        <f>VLOOKUP(B389,[1]!Table3[[Part Number]:[GQP CAD $]],5,0)</f>
        <v>115.46</v>
      </c>
      <c r="I389" s="74">
        <f t="shared" si="11"/>
        <v>115460</v>
      </c>
    </row>
    <row r="390" spans="2:9" x14ac:dyDescent="0.25">
      <c r="B390" s="71" t="s">
        <v>376</v>
      </c>
      <c r="C390" s="67" t="str">
        <f>VLOOKUP(B390,[1]!Table3[[Part Number]:[Make and Model]],2,0)</f>
        <v xml:space="preserve">CAT 336F L (RKB)                                            </v>
      </c>
      <c r="D390" s="67" t="str">
        <f>VLOOKUP(B390,[1]!Table3[[Part Number]:[Part Description]],3,0)</f>
        <v>SPROCKET BOLT</v>
      </c>
      <c r="E390" s="68">
        <f>VLOOKUP(B390,[1]!Table3[[Part Number]:[Annual]],11,0)</f>
        <v>32</v>
      </c>
      <c r="F390" s="69">
        <f>VLOOKUP(B390,[1]!Table3[[Part Number]:[OEM CAD $]],4,0)</f>
        <v>22.52</v>
      </c>
      <c r="G390" s="70">
        <f t="shared" si="12"/>
        <v>720.64</v>
      </c>
      <c r="H390" s="70">
        <f>VLOOKUP(B390,[1]!Table3[[Part Number]:[GQP CAD $]],5,0)</f>
        <v>11.26</v>
      </c>
      <c r="I390" s="74">
        <f t="shared" si="11"/>
        <v>360.32</v>
      </c>
    </row>
    <row r="391" spans="2:9" x14ac:dyDescent="0.25">
      <c r="B391" s="71" t="s">
        <v>377</v>
      </c>
      <c r="C391" s="67" t="str">
        <f>VLOOKUP(B391,[1]!Table3[[Part Number]:[Make and Model]],2,0)</f>
        <v xml:space="preserve">CAT D3 (1PJ)                                            </v>
      </c>
      <c r="D391" s="67" t="str">
        <f>VLOOKUP(B391,[1]!Table3[[Part Number]:[Part Description]],3,0)</f>
        <v>TRACK IDLER AND BEARING ASSY</v>
      </c>
      <c r="E391" s="68">
        <f>VLOOKUP(B391,[1]!Table3[[Part Number]:[Annual]],11,0)</f>
        <v>2</v>
      </c>
      <c r="F391" s="69">
        <f>VLOOKUP(B391,[1]!Table3[[Part Number]:[OEM CAD $]],4,0)</f>
        <v>1859.1</v>
      </c>
      <c r="G391" s="70">
        <f t="shared" si="12"/>
        <v>3718.2</v>
      </c>
      <c r="H391" s="70">
        <f>VLOOKUP(B391,[1]!Table3[[Part Number]:[GQP CAD $]],5,0)</f>
        <v>929.55</v>
      </c>
      <c r="I391" s="74">
        <f t="shared" si="11"/>
        <v>1859.1</v>
      </c>
    </row>
    <row r="392" spans="2:9" x14ac:dyDescent="0.25">
      <c r="B392" s="71" t="s">
        <v>378</v>
      </c>
      <c r="C392" s="67" t="str">
        <f>VLOOKUP(B392,[1]!Table3[[Part Number]:[Make and Model]],2,0)</f>
        <v xml:space="preserve">CAT 299D (DX2)                                            </v>
      </c>
      <c r="D392" s="67" t="str">
        <f>VLOOKUP(B392,[1]!Table3[[Part Number]:[Part Description]],3,0)</f>
        <v>Triple FLANGE ROLLER</v>
      </c>
      <c r="E392" s="68">
        <f>VLOOKUP(B392,[1]!Table3[[Part Number]:[Annual]],11,0)</f>
        <v>10</v>
      </c>
      <c r="F392" s="69">
        <f>VLOOKUP(B392,[1]!Table3[[Part Number]:[OEM CAD $]],4,0)</f>
        <v>630.58000000000004</v>
      </c>
      <c r="G392" s="70">
        <f t="shared" si="12"/>
        <v>6305.8</v>
      </c>
      <c r="H392" s="70">
        <f>VLOOKUP(B392,[1]!Table3[[Part Number]:[GQP CAD $]],5,0)</f>
        <v>315.29000000000002</v>
      </c>
      <c r="I392" s="74">
        <f t="shared" si="11"/>
        <v>3152.9</v>
      </c>
    </row>
    <row r="393" spans="2:9" x14ac:dyDescent="0.25">
      <c r="B393" s="71" t="s">
        <v>379</v>
      </c>
      <c r="C393" s="67" t="str">
        <f>VLOOKUP(B393,[1]!Table3[[Part Number]:[Make and Model]],2,0)</f>
        <v xml:space="preserve">CAT D6T (MH7)                                            </v>
      </c>
      <c r="D393" s="67" t="str">
        <f>VLOOKUP(B393,[1]!Table3[[Part Number]:[Part Description]],3,0)</f>
        <v>TRACK SHOE RH - 790MM - OFFSET</v>
      </c>
      <c r="E393" s="68">
        <f>VLOOKUP(B393,[1]!Table3[[Part Number]:[Annual]],11,0)</f>
        <v>44</v>
      </c>
      <c r="F393" s="69">
        <f>VLOOKUP(B393,[1]!Table3[[Part Number]:[OEM CAD $]],4,0)</f>
        <v>223.22</v>
      </c>
      <c r="G393" s="70">
        <f t="shared" si="12"/>
        <v>9821.68</v>
      </c>
      <c r="H393" s="70">
        <f>VLOOKUP(B393,[1]!Table3[[Part Number]:[GQP CAD $]],5,0)</f>
        <v>111.61</v>
      </c>
      <c r="I393" s="74">
        <f t="shared" si="11"/>
        <v>4910.84</v>
      </c>
    </row>
    <row r="394" spans="2:9" x14ac:dyDescent="0.25">
      <c r="B394" s="71" t="s">
        <v>380</v>
      </c>
      <c r="C394" s="67" t="str">
        <f>VLOOKUP(B394,[1]!Table3[[Part Number]:[Make and Model]],2,0)</f>
        <v xml:space="preserve">CAT D6T (MH7)                                            </v>
      </c>
      <c r="D394" s="67" t="str">
        <f>VLOOKUP(B394,[1]!Table3[[Part Number]:[Part Description]],3,0)</f>
        <v>TRACK SHOE MASTER RH</v>
      </c>
      <c r="E394" s="68">
        <f>VLOOKUP(B394,[1]!Table3[[Part Number]:[Annual]],11,0)</f>
        <v>1</v>
      </c>
      <c r="F394" s="69">
        <f>VLOOKUP(B394,[1]!Table3[[Part Number]:[OEM CAD $]],4,0)</f>
        <v>242.72</v>
      </c>
      <c r="G394" s="70">
        <f t="shared" si="12"/>
        <v>242.72</v>
      </c>
      <c r="H394" s="70">
        <f>VLOOKUP(B394,[1]!Table3[[Part Number]:[GQP CAD $]],5,0)</f>
        <v>121.36</v>
      </c>
      <c r="I394" s="74">
        <f t="shared" si="11"/>
        <v>121.36</v>
      </c>
    </row>
    <row r="395" spans="2:9" x14ac:dyDescent="0.25">
      <c r="B395" s="71" t="s">
        <v>381</v>
      </c>
      <c r="C395" s="67" t="str">
        <f>VLOOKUP(B395,[1]!Table3[[Part Number]:[Make and Model]],2,0)</f>
        <v xml:space="preserve">CAT D6T (MH7)                                            </v>
      </c>
      <c r="D395" s="67" t="str">
        <f>VLOOKUP(B395,[1]!Table3[[Part Number]:[Part Description]],3,0)</f>
        <v>TRACK SHOE LH - 790MM - OFFSET</v>
      </c>
      <c r="E395" s="68">
        <f>VLOOKUP(B395,[1]!Table3[[Part Number]:[Annual]],11,0)</f>
        <v>44</v>
      </c>
      <c r="F395" s="69">
        <f>VLOOKUP(B395,[1]!Table3[[Part Number]:[OEM CAD $]],4,0)</f>
        <v>223.22</v>
      </c>
      <c r="G395" s="70">
        <f t="shared" si="12"/>
        <v>9821.68</v>
      </c>
      <c r="H395" s="70">
        <f>VLOOKUP(B395,[1]!Table3[[Part Number]:[GQP CAD $]],5,0)</f>
        <v>111.61</v>
      </c>
      <c r="I395" s="74">
        <f t="shared" si="11"/>
        <v>4910.84</v>
      </c>
    </row>
    <row r="396" spans="2:9" x14ac:dyDescent="0.25">
      <c r="B396" s="71" t="s">
        <v>382</v>
      </c>
      <c r="C396" s="67" t="str">
        <f>VLOOKUP(B396,[1]!Table3[[Part Number]:[Make and Model]],2,0)</f>
        <v xml:space="preserve">CAT D6T (MH7)                                            </v>
      </c>
      <c r="D396" s="67" t="str">
        <f>VLOOKUP(B396,[1]!Table3[[Part Number]:[Part Description]],3,0)</f>
        <v>TRACK SHOE MASTER LH</v>
      </c>
      <c r="E396" s="68">
        <f>VLOOKUP(B396,[1]!Table3[[Part Number]:[Annual]],11,0)</f>
        <v>1</v>
      </c>
      <c r="F396" s="69">
        <f>VLOOKUP(B396,[1]!Table3[[Part Number]:[OEM CAD $]],4,0)</f>
        <v>235.62</v>
      </c>
      <c r="G396" s="70">
        <f t="shared" si="12"/>
        <v>235.62</v>
      </c>
      <c r="H396" s="70">
        <f>VLOOKUP(B396,[1]!Table3[[Part Number]:[GQP CAD $]],5,0)</f>
        <v>117.81</v>
      </c>
      <c r="I396" s="74">
        <f t="shared" si="11"/>
        <v>117.81</v>
      </c>
    </row>
    <row r="397" spans="2:9" x14ac:dyDescent="0.25">
      <c r="B397" s="71" t="s">
        <v>383</v>
      </c>
      <c r="C397" s="67" t="str">
        <f>VLOOKUP(B397,[1]!Table3[[Part Number]:[Make and Model]],2,0)</f>
        <v xml:space="preserve">CAT D4 (66J) CAT D6N LGP (GHS) CAT D6N LGP (SGG) CAT D6N LGP (SGG) (2)                                      </v>
      </c>
      <c r="D397" s="67" t="str">
        <f>VLOOKUP(B397,[1]!Table3[[Part Number]:[Part Description]],3,0)</f>
        <v>TRACK LINK ASSEMBLY</v>
      </c>
      <c r="E397" s="68">
        <f>VLOOKUP(B397,[1]!Table3[[Part Number]:[Annual]],11,0)</f>
        <v>8</v>
      </c>
      <c r="F397" s="69">
        <f>VLOOKUP(B397,[1]!Table3[[Part Number]:[OEM CAD $]],4,0)</f>
        <v>13503.77</v>
      </c>
      <c r="G397" s="70">
        <f t="shared" si="12"/>
        <v>108030.16</v>
      </c>
      <c r="H397" s="70">
        <f>VLOOKUP(B397,[1]!Table3[[Part Number]:[GQP CAD $]],5,0)</f>
        <v>6751.89</v>
      </c>
      <c r="I397" s="74">
        <f t="shared" si="11"/>
        <v>54015.12</v>
      </c>
    </row>
    <row r="398" spans="2:9" x14ac:dyDescent="0.25">
      <c r="B398" s="71" t="s">
        <v>58</v>
      </c>
      <c r="C398" s="67" t="str">
        <f>VLOOKUP(B398,[1]!Table3[[Part Number]:[Make and Model]],2,0)</f>
        <v xml:space="preserve">CAT D7G (92V) CAT D7G (3ZD) CAT D7G (3ZD) (2)                                        </v>
      </c>
      <c r="D398" s="67" t="str">
        <f>VLOOKUP(B398,[1]!Table3[[Part Number]:[Part Description]],3,0)</f>
        <v>DUAL FLANGE ROLLER</v>
      </c>
      <c r="E398" s="68">
        <f>VLOOKUP(B398,[1]!Table3[[Part Number]:[Annual]],11,0)</f>
        <v>36</v>
      </c>
      <c r="F398" s="69">
        <f>VLOOKUP(B398,[1]!Table3[[Part Number]:[OEM CAD $]],4,0)</f>
        <v>1169.26</v>
      </c>
      <c r="G398" s="70">
        <f t="shared" si="12"/>
        <v>42093.36</v>
      </c>
      <c r="H398" s="70">
        <f>VLOOKUP(B398,[1]!Table3[[Part Number]:[GQP CAD $]],5,0)</f>
        <v>584.63</v>
      </c>
      <c r="I398" s="74">
        <f t="shared" si="11"/>
        <v>21046.68</v>
      </c>
    </row>
    <row r="399" spans="2:9" x14ac:dyDescent="0.25">
      <c r="B399" s="72" t="s">
        <v>384</v>
      </c>
      <c r="C399" s="67" t="str">
        <f>VLOOKUP(B399,[1]!Table3[[Part Number]:[Make and Model]],2,0)</f>
        <v xml:space="preserve">CAT D6N LGP (PBA) CAT D6N LGP (PBA) (2)                                          </v>
      </c>
      <c r="D399" s="67" t="str">
        <f>VLOOKUP(B399,[1]!Table3[[Part Number]:[Part Description]],3,0)</f>
        <v xml:space="preserve">TRACK LINK ASSEMBLY </v>
      </c>
      <c r="E399" s="68">
        <f>VLOOKUP(B399,[1]!Table3[[Part Number]:[Annual]],11,0)</f>
        <v>4</v>
      </c>
      <c r="F399" s="69">
        <f>VLOOKUP(B399,[1]!Table3[[Part Number]:[OEM CAD $]],4,0)</f>
        <v>17735.5</v>
      </c>
      <c r="G399" s="70">
        <f t="shared" si="12"/>
        <v>70942</v>
      </c>
      <c r="H399" s="70">
        <f>VLOOKUP(B399,[1]!Table3[[Part Number]:[GQP CAD $]],5,0)</f>
        <v>8867.75</v>
      </c>
      <c r="I399" s="74">
        <f t="shared" ref="I399:I462" si="13">ROUND(E399*H399,2)</f>
        <v>35471</v>
      </c>
    </row>
    <row r="400" spans="2:9" x14ac:dyDescent="0.25">
      <c r="B400" s="72" t="s">
        <v>385</v>
      </c>
      <c r="C400" s="67" t="str">
        <f>VLOOKUP(B400,[1]!Table3[[Part Number]:[Make and Model]],2,0)</f>
        <v xml:space="preserve">CAT D6T (MH7)                                            </v>
      </c>
      <c r="D400" s="67" t="str">
        <f>VLOOKUP(B400,[1]!Table3[[Part Number]:[Part Description]],3,0)</f>
        <v>TRACK LINK ASSEMBLY</v>
      </c>
      <c r="E400" s="68">
        <f>VLOOKUP(B400,[1]!Table3[[Part Number]:[Annual]],11,0)</f>
        <v>2</v>
      </c>
      <c r="F400" s="69">
        <f>VLOOKUP(B400,[1]!Table3[[Part Number]:[OEM CAD $]],4,0)</f>
        <v>15772.81</v>
      </c>
      <c r="G400" s="70">
        <f t="shared" si="12"/>
        <v>31545.62</v>
      </c>
      <c r="H400" s="70">
        <f>VLOOKUP(B400,[1]!Table3[[Part Number]:[GQP CAD $]],5,0)</f>
        <v>7886.41</v>
      </c>
      <c r="I400" s="74">
        <f t="shared" si="13"/>
        <v>15772.82</v>
      </c>
    </row>
    <row r="401" spans="2:11" x14ac:dyDescent="0.25">
      <c r="B401" s="72" t="s">
        <v>386</v>
      </c>
      <c r="C401" s="67" t="str">
        <f>VLOOKUP(B401,[1]!Table3[[Part Number]:[Make and Model]],2,0)</f>
        <v xml:space="preserve">CAT 303.5E                                            </v>
      </c>
      <c r="D401" s="67" t="str">
        <f>VLOOKUP(B401,[1]!Table3[[Part Number]:[Part Description]],3,0)</f>
        <v>RUBBER TRACKS</v>
      </c>
      <c r="E401" s="68">
        <f>VLOOKUP(B401,[1]!Table3[[Part Number]:[Annual]],11,0)</f>
        <v>2</v>
      </c>
      <c r="F401" s="69">
        <f>VLOOKUP(B401,[1]!Table3[[Part Number]:[OEM CAD $]],4,0)</f>
        <v>2467.27</v>
      </c>
      <c r="G401" s="70">
        <f t="shared" ref="G401:G464" si="14">E401*F401</f>
        <v>4934.54</v>
      </c>
      <c r="H401" s="70">
        <f>VLOOKUP(B401,[1]!Table3[[Part Number]:[GQP CAD $]],5,0)</f>
        <v>1233.6400000000001</v>
      </c>
      <c r="I401" s="74">
        <f t="shared" si="13"/>
        <v>2467.2800000000002</v>
      </c>
    </row>
    <row r="402" spans="2:11" x14ac:dyDescent="0.25">
      <c r="B402" s="72" t="s">
        <v>387</v>
      </c>
      <c r="C402" s="67" t="str">
        <f>VLOOKUP(B402,[1]!Table3[[Part Number]:[Make and Model]],2,0)</f>
        <v xml:space="preserve">CAT 299D (DX2)                                            </v>
      </c>
      <c r="D402" s="67" t="str">
        <f>VLOOKUP(B402,[1]!Table3[[Part Number]:[Part Description]],3,0)</f>
        <v>Rubber Track - 400MM</v>
      </c>
      <c r="E402" s="68">
        <f>VLOOKUP(B402,[1]!Table3[[Part Number]:[Annual]],11,0)</f>
        <v>2</v>
      </c>
      <c r="F402" s="69">
        <f>VLOOKUP(B402,[1]!Table3[[Part Number]:[OEM CAD $]],4,0)</f>
        <v>3322.14</v>
      </c>
      <c r="G402" s="70">
        <f t="shared" si="14"/>
        <v>6644.28</v>
      </c>
      <c r="H402" s="70">
        <f>VLOOKUP(B402,[1]!Table3[[Part Number]:[GQP CAD $]],5,0)</f>
        <v>1661.07</v>
      </c>
      <c r="I402" s="74">
        <f t="shared" si="13"/>
        <v>3322.14</v>
      </c>
    </row>
    <row r="403" spans="2:11" x14ac:dyDescent="0.25">
      <c r="B403" s="72" t="s">
        <v>388</v>
      </c>
      <c r="C403" s="67" t="str">
        <f>VLOOKUP(B403,[1]!Table3[[Part Number]:[Make and Model]],2,0)</f>
        <v xml:space="preserve">CAT D6 (RDC)                                            </v>
      </c>
      <c r="D403" s="67" t="str">
        <f>VLOOKUP(B403,[1]!Table3[[Part Number]:[Part Description]],3,0)</f>
        <v>TRACK LINK 46 JOINT</v>
      </c>
      <c r="E403" s="68">
        <f>VLOOKUP(B403,[1]!Table3[[Part Number]:[Annual]],11,0)</f>
        <v>2</v>
      </c>
      <c r="F403" s="69">
        <f>VLOOKUP(B403,[1]!Table3[[Part Number]:[OEM CAD $]],4,0)</f>
        <v>10339.93</v>
      </c>
      <c r="G403" s="70">
        <f t="shared" si="14"/>
        <v>20679.86</v>
      </c>
      <c r="H403" s="70">
        <f>VLOOKUP(B403,[1]!Table3[[Part Number]:[GQP CAD $]],5,0)</f>
        <v>5169.97</v>
      </c>
      <c r="I403" s="74">
        <f t="shared" si="13"/>
        <v>10339.94</v>
      </c>
    </row>
    <row r="404" spans="2:11" x14ac:dyDescent="0.25">
      <c r="B404" s="72" t="s">
        <v>389</v>
      </c>
      <c r="C404" s="67" t="str">
        <f>VLOOKUP(B404,[1]!Table3[[Part Number]:[Make and Model]],2,0)</f>
        <v xml:space="preserve">CAT 320E L (WBK) CAT 320E L (WBK) (2) CAT 320F L (YBM) CAT 320 (HEX) CAT 320 (MYK) CAT 320 (MYK) (2)                                  </v>
      </c>
      <c r="D404" s="67" t="str">
        <f>VLOOKUP(B404,[1]!Table3[[Part Number]:[Part Description]],3,0)</f>
        <v xml:space="preserve">TRACK LINK ASSEMBLY </v>
      </c>
      <c r="E404" s="68">
        <f>VLOOKUP(B404,[1]!Table3[[Part Number]:[Annual]],11,0)</f>
        <v>12</v>
      </c>
      <c r="F404" s="69">
        <f>VLOOKUP(B404,[1]!Table3[[Part Number]:[OEM CAD $]],4,0)</f>
        <v>8238.4699999999993</v>
      </c>
      <c r="G404" s="70">
        <f t="shared" si="14"/>
        <v>98861.639999999985</v>
      </c>
      <c r="H404" s="70">
        <f>VLOOKUP(B404,[1]!Table3[[Part Number]:[GQP CAD $]],5,0)</f>
        <v>4119.24</v>
      </c>
      <c r="I404" s="74">
        <f t="shared" si="13"/>
        <v>49430.879999999997</v>
      </c>
    </row>
    <row r="405" spans="2:11" x14ac:dyDescent="0.25">
      <c r="B405" s="72" t="s">
        <v>390</v>
      </c>
      <c r="C405" s="67" t="str">
        <f>VLOOKUP(B405,[1]!Table3[[Part Number]:[Make and Model]],2,0)</f>
        <v xml:space="preserve">CAT D3 (1PJ)                                            </v>
      </c>
      <c r="D405" s="67" t="str">
        <f>VLOOKUP(B405,[1]!Table3[[Part Number]:[Part Description]],3,0)</f>
        <v>TRACK BOLT</v>
      </c>
      <c r="E405" s="68">
        <f>VLOOKUP(B405,[1]!Table3[[Part Number]:[Annual]],11,0)</f>
        <v>344</v>
      </c>
      <c r="F405" s="69">
        <f>VLOOKUP(B405,[1]!Table3[[Part Number]:[OEM CAD $]],4,0)</f>
        <v>3.73</v>
      </c>
      <c r="G405" s="70">
        <f t="shared" si="14"/>
        <v>1283.1199999999999</v>
      </c>
      <c r="H405" s="70">
        <f>VLOOKUP(B405,[1]!Table3[[Part Number]:[GQP CAD $]],5,0)</f>
        <v>1.87</v>
      </c>
      <c r="I405" s="74">
        <f t="shared" si="13"/>
        <v>643.28</v>
      </c>
      <c r="K405" s="48"/>
    </row>
    <row r="406" spans="2:11" x14ac:dyDescent="0.25">
      <c r="B406" s="72" t="s">
        <v>206</v>
      </c>
      <c r="C406" s="67" t="str">
        <f>VLOOKUP(B406,[1]!Table3[[Part Number]:[Make and Model]],2,0)</f>
        <v xml:space="preserve">CAT D3 (1PJ)                                            </v>
      </c>
      <c r="D406" s="67" t="str">
        <f>VLOOKUP(B406,[1]!Table3[[Part Number]:[Part Description]],3,0)</f>
        <v>FLAT WASHER</v>
      </c>
      <c r="E406" s="68">
        <f>VLOOKUP(B406,[1]!Table3[[Part Number]:[Annual]],11,0)</f>
        <v>50</v>
      </c>
      <c r="F406" s="69">
        <f>VLOOKUP(B406,[1]!Table3[[Part Number]:[OEM CAD $]],4,0)</f>
        <v>1.86</v>
      </c>
      <c r="G406" s="70">
        <f t="shared" si="14"/>
        <v>93</v>
      </c>
      <c r="H406" s="70">
        <f>VLOOKUP(B406,[1]!Table3[[Part Number]:[GQP CAD $]],5,0)</f>
        <v>0.93</v>
      </c>
      <c r="I406" s="74">
        <f t="shared" si="13"/>
        <v>46.5</v>
      </c>
    </row>
    <row r="407" spans="2:11" x14ac:dyDescent="0.25">
      <c r="B407" s="72" t="s">
        <v>392</v>
      </c>
      <c r="C407" s="67" t="str">
        <f>VLOOKUP(B407,[1]!Table3[[Part Number]:[Make and Model]],2,0)</f>
        <v xml:space="preserve">CAT 561 (85H) CAT 561 (92J) CAT 561 (92J) (2)                                        </v>
      </c>
      <c r="D407" s="67" t="str">
        <f>VLOOKUP(B407,[1]!Table3[[Part Number]:[Part Description]],3,0)</f>
        <v>SPROCKET</v>
      </c>
      <c r="E407" s="68">
        <f>VLOOKUP(B407,[1]!Table3[[Part Number]:[Annual]],11,0)</f>
        <v>54</v>
      </c>
      <c r="F407" s="69">
        <f>VLOOKUP(B407,[1]!Table3[[Part Number]:[OEM CAD $]],4,0)</f>
        <v>566.69000000000005</v>
      </c>
      <c r="G407" s="70">
        <f t="shared" si="14"/>
        <v>30601.260000000002</v>
      </c>
      <c r="H407" s="70">
        <f>VLOOKUP(B407,[1]!Table3[[Part Number]:[GQP CAD $]],5,0)</f>
        <v>283.35000000000002</v>
      </c>
      <c r="I407" s="74">
        <f t="shared" si="13"/>
        <v>15300.9</v>
      </c>
    </row>
    <row r="408" spans="2:11" x14ac:dyDescent="0.25">
      <c r="B408" s="72" t="s">
        <v>393</v>
      </c>
      <c r="C408" s="67" t="str">
        <f>VLOOKUP(B408,[1]!Table3[[Part Number]:[Make and Model]],2,0)</f>
        <v xml:space="preserve">CAT 561 (85H) CAT 561 (92J) CAT 561 (92J) (2)                                        </v>
      </c>
      <c r="D408" s="67" t="str">
        <f>VLOOKUP(B408,[1]!Table3[[Part Number]:[Part Description]],3,0)</f>
        <v>TRACK SHOE</v>
      </c>
      <c r="E408" s="68">
        <f>VLOOKUP(B408,[1]!Table3[[Part Number]:[Annual]],11,0)</f>
        <v>234</v>
      </c>
      <c r="F408" s="69">
        <f>VLOOKUP(B408,[1]!Table3[[Part Number]:[OEM CAD $]],4,0)</f>
        <v>89.68</v>
      </c>
      <c r="G408" s="70">
        <f t="shared" si="14"/>
        <v>20985.120000000003</v>
      </c>
      <c r="H408" s="70">
        <f>VLOOKUP(B408,[1]!Table3[[Part Number]:[GQP CAD $]],5,0)</f>
        <v>44.84</v>
      </c>
      <c r="I408" s="74">
        <f t="shared" si="13"/>
        <v>10492.56</v>
      </c>
    </row>
    <row r="409" spans="2:11" x14ac:dyDescent="0.25">
      <c r="B409" s="72" t="s">
        <v>394</v>
      </c>
      <c r="C409" s="67" t="str">
        <f>VLOOKUP(B409,[1]!Table3[[Part Number]:[Make and Model]],2,0)</f>
        <v xml:space="preserve">CAT 320E L (WBK) CAT 320E L (WBK) (2) CAT 320F L (YBM) CAT 320 (HEX) CAT 320 (MYK) CAT 320 (MYK) (2)                                  </v>
      </c>
      <c r="D409" s="67" t="str">
        <f>VLOOKUP(B409,[1]!Table3[[Part Number]:[Part Description]],3,0)</f>
        <v>SINGLE FLANGE TRACK ROLLER</v>
      </c>
      <c r="E409" s="68">
        <f>VLOOKUP(B409,[1]!Table3[[Part Number]:[Annual]],11,0)</f>
        <v>96</v>
      </c>
      <c r="F409" s="69">
        <f>VLOOKUP(B409,[1]!Table3[[Part Number]:[OEM CAD $]],4,0)</f>
        <v>748.26</v>
      </c>
      <c r="G409" s="70">
        <f t="shared" si="14"/>
        <v>71832.959999999992</v>
      </c>
      <c r="H409" s="70">
        <f>VLOOKUP(B409,[1]!Table3[[Part Number]:[GQP CAD $]],5,0)</f>
        <v>374.13</v>
      </c>
      <c r="I409" s="74">
        <f t="shared" si="13"/>
        <v>35916.480000000003</v>
      </c>
    </row>
    <row r="410" spans="2:11" x14ac:dyDescent="0.25">
      <c r="B410" s="72" t="s">
        <v>395</v>
      </c>
      <c r="C410" s="67" t="str">
        <f>VLOOKUP(B410,[1]!Table3[[Part Number]:[Make and Model]],2,0)</f>
        <v xml:space="preserve">CAT 329E L (ZCD) CAT 329F L (ERL) CAT 329F L (ERL) (2) CAT 330F L (MBX) CAT 330F L (HCK) CAT 330F L (HCK) (2) CAT 330 (LHW) CAT 330 (LHW) (2) CAT 330 (LHW) (3) CAT 330 (LHW) (4) CAT 330 (WCH) CAT 330 (WCH) (2) CAT 330 (WCH) (3) CAT 330 (WCH) (4) CAT 330 (WCH) (5) CAT 330 (WCH) (6)              </v>
      </c>
      <c r="D410" s="67" t="str">
        <f>VLOOKUP(B410,[1]!Table3[[Part Number]:[Part Description]],3,0)</f>
        <v>SPROCKET BOLT</v>
      </c>
      <c r="E410" s="68">
        <f>VLOOKUP(B410,[1]!Table3[[Part Number]:[Annual]],11,0)</f>
        <v>576</v>
      </c>
      <c r="F410" s="69">
        <f>VLOOKUP(B410,[1]!Table3[[Part Number]:[OEM CAD $]],4,0)</f>
        <v>10.72</v>
      </c>
      <c r="G410" s="70">
        <f t="shared" si="14"/>
        <v>6174.72</v>
      </c>
      <c r="H410" s="70">
        <f>VLOOKUP(B410,[1]!Table3[[Part Number]:[GQP CAD $]],5,0)</f>
        <v>5.36</v>
      </c>
      <c r="I410" s="74">
        <f t="shared" si="13"/>
        <v>3087.36</v>
      </c>
    </row>
    <row r="411" spans="2:11" x14ac:dyDescent="0.25">
      <c r="B411" s="72" t="s">
        <v>396</v>
      </c>
      <c r="C411" s="67" t="str">
        <f>VLOOKUP(B411,[1]!Table3[[Part Number]:[Make and Model]],2,0)</f>
        <v xml:space="preserve">CAT 330 (LHW) CAT 330 (LHW) (2) CAT 330 (LHW) (3) CAT 330 (LHW) (4) CAT 330 (WCH) CAT 330 (WCH) (2) CAT 330 (WCH) (3) CAT 330 (WCH) (4) CAT 330 (WCH) (5) CAT 330 (WCH) (6)                          </v>
      </c>
      <c r="D411" s="67" t="str">
        <f>VLOOKUP(B411,[1]!Table3[[Part Number]:[Part Description]],3,0)</f>
        <v>TRACK LINK ASSEMBLY</v>
      </c>
      <c r="E411" s="68">
        <f>VLOOKUP(B411,[1]!Table3[[Part Number]:[Annual]],11,0)</f>
        <v>20</v>
      </c>
      <c r="F411" s="69">
        <f>VLOOKUP(B411,[1]!Table3[[Part Number]:[OEM CAD $]],4,0)</f>
        <v>10788.51</v>
      </c>
      <c r="G411" s="70">
        <f t="shared" si="14"/>
        <v>215770.2</v>
      </c>
      <c r="H411" s="70">
        <f>VLOOKUP(B411,[1]!Table3[[Part Number]:[GQP CAD $]],5,0)</f>
        <v>5394.26</v>
      </c>
      <c r="I411" s="74">
        <f t="shared" si="13"/>
        <v>107885.2</v>
      </c>
    </row>
    <row r="412" spans="2:11" x14ac:dyDescent="0.25">
      <c r="B412" s="72" t="s">
        <v>397</v>
      </c>
      <c r="C412" s="67" t="str">
        <f>VLOOKUP(B412,[1]!Table3[[Part Number]:[Make and Model]],2,0)</f>
        <v xml:space="preserve">CAT 329F L (ERL) CAT 329F L (ERL) (2) CAT 330F L (MBX) CAT 330F L (HCK) CAT 330F L (HCK) (2) CAT 330 (LHW) CAT 330 (LHW) (2) CAT 330 (LHW) (3) CAT 330 (LHW) (4) CAT 330 (WCH) CAT 330 (WCH) (2) CAT 330 (WCH) (3) CAT 330 (WCH) (4) CAT 330 (WCH) (5) CAT 330 (WCH) (6)                </v>
      </c>
      <c r="D412" s="67" t="str">
        <f>VLOOKUP(B412,[1]!Table3[[Part Number]:[Part Description]],3,0)</f>
        <v>SECONDARY TUBROCHARGER ASSEMBLY</v>
      </c>
      <c r="E412" s="68">
        <f>VLOOKUP(B412,[1]!Table3[[Part Number]:[Annual]],11,0)</f>
        <v>15</v>
      </c>
      <c r="F412" s="69">
        <f>VLOOKUP(B412,[1]!Table3[[Part Number]:[OEM CAD $]],4,0)</f>
        <v>3634.22</v>
      </c>
      <c r="G412" s="70">
        <f t="shared" si="14"/>
        <v>54513.299999999996</v>
      </c>
      <c r="H412" s="70">
        <f>VLOOKUP(B412,[1]!Table3[[Part Number]:[GQP CAD $]],5,0)</f>
        <v>1817.11</v>
      </c>
      <c r="I412" s="74">
        <f t="shared" si="13"/>
        <v>27256.65</v>
      </c>
    </row>
    <row r="413" spans="2:11" x14ac:dyDescent="0.25">
      <c r="B413" s="72" t="s">
        <v>398</v>
      </c>
      <c r="C413" s="67" t="str">
        <f>VLOOKUP(B413,[1]!Table3[[Part Number]:[Make and Model]],2,0)</f>
        <v xml:space="preserve">CAT D3 (1PJ)                                            </v>
      </c>
      <c r="D413" s="67" t="str">
        <f>VLOOKUP(B413,[1]!Table3[[Part Number]:[Part Description]],3,0)</f>
        <v>CYLINDER HEAD</v>
      </c>
      <c r="E413" s="68">
        <f>VLOOKUP(B413,[1]!Table3[[Part Number]:[Annual]],11,0)</f>
        <v>1</v>
      </c>
      <c r="F413" s="69">
        <f>VLOOKUP(B413,[1]!Table3[[Part Number]:[OEM CAD $]],4,0)</f>
        <v>6130.36</v>
      </c>
      <c r="G413" s="70">
        <f t="shared" si="14"/>
        <v>6130.36</v>
      </c>
      <c r="H413" s="70">
        <f>VLOOKUP(B413,[1]!Table3[[Part Number]:[GQP CAD $]],5,0)</f>
        <v>3065.18</v>
      </c>
      <c r="I413" s="74">
        <f t="shared" si="13"/>
        <v>3065.18</v>
      </c>
    </row>
    <row r="414" spans="2:11" x14ac:dyDescent="0.25">
      <c r="B414" s="72" t="s">
        <v>399</v>
      </c>
      <c r="C414" s="67" t="str">
        <f>VLOOKUP(B414,[1]!Table3[[Part Number]:[Make and Model]],2,0)</f>
        <v xml:space="preserve">CAT D6N LGP (GHS) CAT D6N LGP (PBA) CAT D6N LGP (PBA) (2) CAT D6N LGP (SGG) CAT D6N LGP (SGG) (2)                                    </v>
      </c>
      <c r="D414" s="67" t="str">
        <f>VLOOKUP(B414,[1]!Table3[[Part Number]:[Part Description]],3,0)</f>
        <v>SPROCKET SEGMENT</v>
      </c>
      <c r="E414" s="68">
        <f>VLOOKUP(B414,[1]!Table3[[Part Number]:[Annual]],11,0)</f>
        <v>50</v>
      </c>
      <c r="F414" s="69">
        <f>VLOOKUP(B414,[1]!Table3[[Part Number]:[OEM CAD $]],4,0)</f>
        <v>204.05</v>
      </c>
      <c r="G414" s="70">
        <f t="shared" si="14"/>
        <v>10202.5</v>
      </c>
      <c r="H414" s="70">
        <f>VLOOKUP(B414,[1]!Table3[[Part Number]:[GQP CAD $]],5,0)</f>
        <v>102.03</v>
      </c>
      <c r="I414" s="74">
        <f t="shared" si="13"/>
        <v>5101.5</v>
      </c>
    </row>
    <row r="415" spans="2:11" x14ac:dyDescent="0.25">
      <c r="B415" s="72" t="s">
        <v>400</v>
      </c>
      <c r="C415" s="67" t="str">
        <f>VLOOKUP(B415,[1]!Table3[[Part Number]:[Make and Model]],2,0)</f>
        <v xml:space="preserve">CAT D4 (66J) CAT D5 (3CR) CAT D5 (3CR) (2) CAT 561M (1KW) CAT 561N (CPH) CAT 561N (CPH) (2) CAT 561N (CPH) (3) CAT 561N (CPH) (4) CAT 561N (CPH) (5)                            </v>
      </c>
      <c r="D415" s="67" t="str">
        <f>VLOOKUP(B415,[1]!Table3[[Part Number]:[Part Description]],3,0)</f>
        <v>CARRIER ROLLER</v>
      </c>
      <c r="E415" s="68">
        <f>VLOOKUP(B415,[1]!Table3[[Part Number]:[Annual]],11,0)</f>
        <v>18</v>
      </c>
      <c r="F415" s="69">
        <f>VLOOKUP(B415,[1]!Table3[[Part Number]:[OEM CAD $]],4,0)</f>
        <v>520.11</v>
      </c>
      <c r="G415" s="70">
        <f t="shared" si="14"/>
        <v>9361.98</v>
      </c>
      <c r="H415" s="70">
        <f>VLOOKUP(B415,[1]!Table3[[Part Number]:[GQP CAD $]],5,0)</f>
        <v>260.06</v>
      </c>
      <c r="I415" s="74">
        <f t="shared" si="13"/>
        <v>4681.08</v>
      </c>
    </row>
    <row r="416" spans="2:11" x14ac:dyDescent="0.25">
      <c r="B416" s="72" t="s">
        <v>401</v>
      </c>
      <c r="C416" s="67" t="str">
        <f>VLOOKUP(B416,[1]!Table3[[Part Number]:[Make and Model]],2,0)</f>
        <v xml:space="preserve">CAT D3 (1PJ)                                            </v>
      </c>
      <c r="D416" s="67" t="str">
        <f>VLOOKUP(B416,[1]!Table3[[Part Number]:[Part Description]],3,0)</f>
        <v>CARRIER ROLLER</v>
      </c>
      <c r="E416" s="68">
        <f>VLOOKUP(B416,[1]!Table3[[Part Number]:[Annual]],11,0)</f>
        <v>2</v>
      </c>
      <c r="F416" s="69">
        <f>VLOOKUP(B416,[1]!Table3[[Part Number]:[OEM CAD $]],4,0)</f>
        <v>493.88</v>
      </c>
      <c r="G416" s="70">
        <f t="shared" si="14"/>
        <v>987.76</v>
      </c>
      <c r="H416" s="70">
        <f>VLOOKUP(B416,[1]!Table3[[Part Number]:[GQP CAD $]],5,0)</f>
        <v>246.94</v>
      </c>
      <c r="I416" s="74">
        <f t="shared" si="13"/>
        <v>493.88</v>
      </c>
    </row>
    <row r="417" spans="2:9" x14ac:dyDescent="0.25">
      <c r="B417" s="72" t="s">
        <v>402</v>
      </c>
      <c r="C417" s="67" t="str">
        <f>VLOOKUP(B417,[1]!Table3[[Part Number]:[Make and Model]],2,0)</f>
        <v xml:space="preserve">CAT 561N (CPH) CAT 561N (CPH) (2) CAT 561N (CPH) (3) CAT 561N (CPH) (4) CAT 561N (CPH) (5)                                    </v>
      </c>
      <c r="D417" s="67" t="str">
        <f>VLOOKUP(B417,[1]!Table3[[Part Number]:[Part Description]],3,0)</f>
        <v>TRACK SHOE</v>
      </c>
      <c r="E417" s="68">
        <f>VLOOKUP(B417,[1]!Table3[[Part Number]:[Annual]],11,0)</f>
        <v>440</v>
      </c>
      <c r="F417" s="69">
        <f>VLOOKUP(B417,[1]!Table3[[Part Number]:[OEM CAD $]],4,0)</f>
        <v>655.30999999999995</v>
      </c>
      <c r="G417" s="70">
        <f t="shared" si="14"/>
        <v>288336.39999999997</v>
      </c>
      <c r="H417" s="70">
        <f>VLOOKUP(B417,[1]!Table3[[Part Number]:[GQP CAD $]],5,0)</f>
        <v>327.66000000000003</v>
      </c>
      <c r="I417" s="74">
        <f t="shared" si="13"/>
        <v>144170.4</v>
      </c>
    </row>
    <row r="418" spans="2:9" x14ac:dyDescent="0.25">
      <c r="B418" s="72" t="s">
        <v>403</v>
      </c>
      <c r="C418" s="67" t="str">
        <f>VLOOKUP(B418,[1]!Table3[[Part Number]:[Make and Model]],2,0)</f>
        <v xml:space="preserve">CAT D3 (1PJ)                                            </v>
      </c>
      <c r="D418" s="67" t="str">
        <f>VLOOKUP(B418,[1]!Table3[[Part Number]:[Part Description]],3,0)</f>
        <v>TRACK SHOE MASTER</v>
      </c>
      <c r="E418" s="68">
        <f>VLOOKUP(B418,[1]!Table3[[Part Number]:[Annual]],11,0)</f>
        <v>2</v>
      </c>
      <c r="F418" s="69">
        <f>VLOOKUP(B418,[1]!Table3[[Part Number]:[OEM CAD $]],4,0)</f>
        <v>729.52</v>
      </c>
      <c r="G418" s="70">
        <f t="shared" si="14"/>
        <v>1459.04</v>
      </c>
      <c r="H418" s="70">
        <f>VLOOKUP(B418,[1]!Table3[[Part Number]:[GQP CAD $]],5,0)</f>
        <v>364.76</v>
      </c>
      <c r="I418" s="74">
        <f t="shared" si="13"/>
        <v>729.52</v>
      </c>
    </row>
    <row r="419" spans="2:9" x14ac:dyDescent="0.25">
      <c r="B419" s="72" t="s">
        <v>404</v>
      </c>
      <c r="C419" s="67" t="str">
        <f>VLOOKUP(B419,[1]!Table3[[Part Number]:[Make and Model]],2,0)</f>
        <v xml:space="preserve">CAT D3 (1PJ)                                            </v>
      </c>
      <c r="D419" s="67" t="str">
        <f>VLOOKUP(B419,[1]!Table3[[Part Number]:[Part Description]],3,0)</f>
        <v>TRACK SHOE SINGLE GROUSER 860MM</v>
      </c>
      <c r="E419" s="68">
        <f>VLOOKUP(B419,[1]!Table3[[Part Number]:[Annual]],11,0)</f>
        <v>86</v>
      </c>
      <c r="F419" s="69">
        <f>VLOOKUP(B419,[1]!Table3[[Part Number]:[OEM CAD $]],4,0)</f>
        <v>693.26</v>
      </c>
      <c r="G419" s="70">
        <f t="shared" si="14"/>
        <v>59620.36</v>
      </c>
      <c r="H419" s="70">
        <f>VLOOKUP(B419,[1]!Table3[[Part Number]:[GQP CAD $]],5,0)</f>
        <v>346.63</v>
      </c>
      <c r="I419" s="74">
        <f t="shared" si="13"/>
        <v>29810.18</v>
      </c>
    </row>
    <row r="420" spans="2:9" x14ac:dyDescent="0.25">
      <c r="B420" s="72" t="s">
        <v>405</v>
      </c>
      <c r="C420" s="67" t="str">
        <f>VLOOKUP(B420,[1]!Table3[[Part Number]:[Make and Model]],2,0)</f>
        <v xml:space="preserve">CAT D6N LGP (GHS) CAT D6N LGP (PBA) CAT D6N LGP (PBA) (2) CAT D6N LGP (SGG) CAT D6N LGP (SGG) (2) CAT D6T (MH7)                                  </v>
      </c>
      <c r="D420" s="67" t="str">
        <f>VLOOKUP(B420,[1]!Table3[[Part Number]:[Part Description]],3,0)</f>
        <v>SPROCKET BOLT</v>
      </c>
      <c r="E420" s="68">
        <f>VLOOKUP(B420,[1]!Table3[[Part Number]:[Annual]],11,0)</f>
        <v>300</v>
      </c>
      <c r="F420" s="69">
        <f>VLOOKUP(B420,[1]!Table3[[Part Number]:[OEM CAD $]],4,0)</f>
        <v>3.14</v>
      </c>
      <c r="G420" s="70">
        <f t="shared" si="14"/>
        <v>942</v>
      </c>
      <c r="H420" s="70">
        <f>VLOOKUP(B420,[1]!Table3[[Part Number]:[GQP CAD $]],5,0)</f>
        <v>1.57</v>
      </c>
      <c r="I420" s="74">
        <f t="shared" si="13"/>
        <v>471</v>
      </c>
    </row>
    <row r="421" spans="2:9" x14ac:dyDescent="0.25">
      <c r="B421" s="72" t="s">
        <v>60</v>
      </c>
      <c r="C421" s="67" t="str">
        <f>VLOOKUP(B421,[1]!Table3[[Part Number]:[Make and Model]],2,0)</f>
        <v xml:space="preserve">CAT D4 (66J) CAT D6 (RDC) CAT D6N LGP (GHS) CAT D6N LGP (SGG) CAT D6N LGP (SGG) (2) CAT D6T (MH7) CAT PL61 (WGS) CAT PL61 (WGS) (2) CAT PL61 (WGS) (3)                            </v>
      </c>
      <c r="D421" s="67" t="str">
        <f>VLOOKUP(B421,[1]!Table3[[Part Number]:[Part Description]],3,0)</f>
        <v>TRACK BOLT</v>
      </c>
      <c r="E421" s="68">
        <f>VLOOKUP(B421,[1]!Table3[[Part Number]:[Annual]],11,0)</f>
        <v>3088</v>
      </c>
      <c r="F421" s="69">
        <f>VLOOKUP(B421,[1]!Table3[[Part Number]:[OEM CAD $]],4,0)</f>
        <v>5.38</v>
      </c>
      <c r="G421" s="70">
        <f t="shared" si="14"/>
        <v>16613.439999999999</v>
      </c>
      <c r="H421" s="70">
        <f>VLOOKUP(B421,[1]!Table3[[Part Number]:[GQP CAD $]],5,0)</f>
        <v>2.69</v>
      </c>
      <c r="I421" s="74">
        <f t="shared" si="13"/>
        <v>8306.7199999999993</v>
      </c>
    </row>
    <row r="422" spans="2:9" x14ac:dyDescent="0.25">
      <c r="B422" s="72" t="s">
        <v>406</v>
      </c>
      <c r="C422" s="67" t="str">
        <f>VLOOKUP(B422,[1]!Table3[[Part Number]:[Make and Model]],2,0)</f>
        <v xml:space="preserve">CAT D6T (MH7)                                            </v>
      </c>
      <c r="D422" s="67" t="str">
        <f>VLOOKUP(B422,[1]!Table3[[Part Number]:[Part Description]],3,0)</f>
        <v>ROLLER BOLT</v>
      </c>
      <c r="E422" s="68">
        <f>VLOOKUP(B422,[1]!Table3[[Part Number]:[Annual]],11,0)</f>
        <v>64</v>
      </c>
      <c r="F422" s="69">
        <f>VLOOKUP(B422,[1]!Table3[[Part Number]:[OEM CAD $]],4,0)</f>
        <v>13.48</v>
      </c>
      <c r="G422" s="70">
        <f t="shared" si="14"/>
        <v>862.72</v>
      </c>
      <c r="H422" s="70">
        <f>VLOOKUP(B422,[1]!Table3[[Part Number]:[GQP CAD $]],5,0)</f>
        <v>6.74</v>
      </c>
      <c r="I422" s="74">
        <f t="shared" si="13"/>
        <v>431.36</v>
      </c>
    </row>
    <row r="423" spans="2:9" x14ac:dyDescent="0.25">
      <c r="B423" s="72" t="s">
        <v>61</v>
      </c>
      <c r="C423" s="67" t="str">
        <f>VLOOKUP(B423,[1]!Table3[[Part Number]:[Make and Model]],2,0)</f>
        <v xml:space="preserve">CAT D5 (3CR) CAT D5 (3CR) (2) CAT 561M (1KW) CAT 561N (CPH) CAT 561N (CPH) (2) CAT 561N (CPH) (3) CAT 561N (CPH) (4) CAT 561N (CPH) (5)                              </v>
      </c>
      <c r="D423" s="67" t="str">
        <f>VLOOKUP(B423,[1]!Table3[[Part Number]:[Part Description]],3,0)</f>
        <v>FLAT WASHER</v>
      </c>
      <c r="E423" s="68">
        <f>VLOOKUP(B423,[1]!Table3[[Part Number]:[Annual]],11,0)</f>
        <v>320</v>
      </c>
      <c r="F423" s="69">
        <f>VLOOKUP(B423,[1]!Table3[[Part Number]:[OEM CAD $]],4,0)</f>
        <v>3.41</v>
      </c>
      <c r="G423" s="70">
        <f t="shared" si="14"/>
        <v>1091.2</v>
      </c>
      <c r="H423" s="70">
        <f>VLOOKUP(B423,[1]!Table3[[Part Number]:[GQP CAD $]],5,0)</f>
        <v>1.71</v>
      </c>
      <c r="I423" s="74">
        <f t="shared" si="13"/>
        <v>547.20000000000005</v>
      </c>
    </row>
    <row r="424" spans="2:9" x14ac:dyDescent="0.25">
      <c r="B424" s="72" t="s">
        <v>407</v>
      </c>
      <c r="C424" s="67" t="str">
        <f>VLOOKUP(B424,[1]!Table3[[Part Number]:[Make and Model]],2,0)</f>
        <v xml:space="preserve">CAT D6T (MH7)                                            </v>
      </c>
      <c r="D424" s="67" t="str">
        <f>VLOOKUP(B424,[1]!Table3[[Part Number]:[Part Description]],3,0)</f>
        <v>IDLER CAP BOLT</v>
      </c>
      <c r="E424" s="68">
        <f>VLOOKUP(B424,[1]!Table3[[Part Number]:[Annual]],11,0)</f>
        <v>16</v>
      </c>
      <c r="F424" s="69">
        <f>VLOOKUP(B424,[1]!Table3[[Part Number]:[OEM CAD $]],4,0)</f>
        <v>27.02</v>
      </c>
      <c r="G424" s="70">
        <f t="shared" si="14"/>
        <v>432.32</v>
      </c>
      <c r="H424" s="70">
        <f>VLOOKUP(B424,[1]!Table3[[Part Number]:[GQP CAD $]],5,0)</f>
        <v>13.51</v>
      </c>
      <c r="I424" s="74">
        <f t="shared" si="13"/>
        <v>216.16</v>
      </c>
    </row>
    <row r="425" spans="2:9" x14ac:dyDescent="0.25">
      <c r="B425" s="72" t="s">
        <v>408</v>
      </c>
      <c r="C425" s="67" t="str">
        <f>VLOOKUP(B425,[1]!Table3[[Part Number]:[Make and Model]],2,0)</f>
        <v xml:space="preserve">CAT D6N LGP (PBA) CAT D6N LGP (PBA) (2)                                          </v>
      </c>
      <c r="D425" s="67" t="str">
        <f>VLOOKUP(B425,[1]!Table3[[Part Number]:[Part Description]],3,0)</f>
        <v>TRACK BOLT</v>
      </c>
      <c r="E425" s="68">
        <f>VLOOKUP(B425,[1]!Table3[[Part Number]:[Annual]],11,0)</f>
        <v>720</v>
      </c>
      <c r="F425" s="69">
        <f>VLOOKUP(B425,[1]!Table3[[Part Number]:[OEM CAD $]],4,0)</f>
        <v>6.32</v>
      </c>
      <c r="G425" s="70">
        <f t="shared" si="14"/>
        <v>4550.4000000000005</v>
      </c>
      <c r="H425" s="70">
        <f>VLOOKUP(B425,[1]!Table3[[Part Number]:[GQP CAD $]],5,0)</f>
        <v>3.16</v>
      </c>
      <c r="I425" s="74">
        <f t="shared" si="13"/>
        <v>2275.1999999999998</v>
      </c>
    </row>
    <row r="426" spans="2:9" x14ac:dyDescent="0.25">
      <c r="B426" s="72" t="s">
        <v>409</v>
      </c>
      <c r="C426" s="67" t="str">
        <f>VLOOKUP(B426,[1]!Table3[[Part Number]:[Make and Model]],2,0)</f>
        <v xml:space="preserve">CAT 329E L (ZCD) CAT 329F L (ERL) CAT 329F L (ERL) (2) CAT 330F L (MBX) CAT 330F L (HCK) CAT 330F L (HCK) (2)                                  </v>
      </c>
      <c r="D426" s="67" t="str">
        <f>VLOOKUP(B426,[1]!Table3[[Part Number]:[Part Description]],3,0)</f>
        <v>TRACK SHOE 800MM</v>
      </c>
      <c r="E426" s="68">
        <f>VLOOKUP(B426,[1]!Table3[[Part Number]:[Annual]],11,0)</f>
        <v>600</v>
      </c>
      <c r="F426" s="69">
        <f>VLOOKUP(B426,[1]!Table3[[Part Number]:[OEM CAD $]],4,0)</f>
        <v>230.39</v>
      </c>
      <c r="G426" s="70">
        <f t="shared" si="14"/>
        <v>138234</v>
      </c>
      <c r="H426" s="70">
        <f>VLOOKUP(B426,[1]!Table3[[Part Number]:[GQP CAD $]],5,0)</f>
        <v>115.2</v>
      </c>
      <c r="I426" s="74">
        <f t="shared" si="13"/>
        <v>69120</v>
      </c>
    </row>
    <row r="427" spans="2:9" x14ac:dyDescent="0.25">
      <c r="B427" s="72" t="s">
        <v>410</v>
      </c>
      <c r="C427" s="67" t="str">
        <f>VLOOKUP(B427,[1]!Table3[[Part Number]:[Make and Model]],2,0)</f>
        <v xml:space="preserve">CAT 329E L (ZCD) CAT 329F L (ERL) CAT 329F L (ERL) (2) CAT 330F L (MBX) CAT 330F L (HCK) CAT 330F L (HCK) (2) CAT 330 (LHW) CAT 330 (LHW) (2) CAT 330 (LHW) (3) CAT 330 (LHW) (4) CAT 330 (WCH) CAT 330 (WCH) (2) CAT 330 (WCH) (3) CAT 330 (WCH) (4) CAT 330 (WCH) (5) CAT 330 (WCH) (6)              </v>
      </c>
      <c r="D427" s="67" t="str">
        <f>VLOOKUP(B427,[1]!Table3[[Part Number]:[Part Description]],3,0)</f>
        <v>TRACK SPROCKET</v>
      </c>
      <c r="E427" s="68">
        <f>VLOOKUP(B427,[1]!Table3[[Part Number]:[Annual]],11,0)</f>
        <v>32</v>
      </c>
      <c r="F427" s="69">
        <f>VLOOKUP(B427,[1]!Table3[[Part Number]:[OEM CAD $]],4,0)</f>
        <v>1259.02</v>
      </c>
      <c r="G427" s="70">
        <f t="shared" si="14"/>
        <v>40288.639999999999</v>
      </c>
      <c r="H427" s="70">
        <f>VLOOKUP(B427,[1]!Table3[[Part Number]:[GQP CAD $]],5,0)</f>
        <v>629.51</v>
      </c>
      <c r="I427" s="74">
        <f t="shared" si="13"/>
        <v>20144.32</v>
      </c>
    </row>
    <row r="428" spans="2:9" x14ac:dyDescent="0.25">
      <c r="B428" s="72" t="s">
        <v>411</v>
      </c>
      <c r="C428" s="67" t="str">
        <f>VLOOKUP(B428,[1]!Table3[[Part Number]:[Make and Model]],2,0)</f>
        <v xml:space="preserve">CAT 336F L (RKB)                                            </v>
      </c>
      <c r="D428" s="67" t="str">
        <f>VLOOKUP(B428,[1]!Table3[[Part Number]:[Part Description]],3,0)</f>
        <v>TRACK SPROCKET</v>
      </c>
      <c r="E428" s="68">
        <f>VLOOKUP(B428,[1]!Table3[[Part Number]:[Annual]],11,0)</f>
        <v>2</v>
      </c>
      <c r="F428" s="69">
        <f>VLOOKUP(B428,[1]!Table3[[Part Number]:[OEM CAD $]],4,0)</f>
        <v>1567.41</v>
      </c>
      <c r="G428" s="70">
        <f t="shared" si="14"/>
        <v>3134.82</v>
      </c>
      <c r="H428" s="70">
        <f>VLOOKUP(B428,[1]!Table3[[Part Number]:[GQP CAD $]],5,0)</f>
        <v>783.71</v>
      </c>
      <c r="I428" s="74">
        <f t="shared" si="13"/>
        <v>1567.42</v>
      </c>
    </row>
    <row r="429" spans="2:9" x14ac:dyDescent="0.25">
      <c r="B429" s="72" t="s">
        <v>212</v>
      </c>
      <c r="C429" s="67" t="str">
        <f>VLOOKUP(B429,[1]!Table3[[Part Number]:[Make and Model]],2,0)</f>
        <v xml:space="preserve">CAT D6 (RDC)                                            </v>
      </c>
      <c r="D429" s="67" t="str">
        <f>VLOOKUP(B429,[1]!Table3[[Part Number]:[Part Description]],3,0)</f>
        <v>MASTER SHOE</v>
      </c>
      <c r="E429" s="68">
        <f>VLOOKUP(B429,[1]!Table3[[Part Number]:[Annual]],11,0)</f>
        <v>2</v>
      </c>
      <c r="F429" s="69">
        <f>VLOOKUP(B429,[1]!Table3[[Part Number]:[OEM CAD $]],4,0)</f>
        <v>240.45</v>
      </c>
      <c r="G429" s="70">
        <f t="shared" si="14"/>
        <v>480.9</v>
      </c>
      <c r="H429" s="70">
        <f>VLOOKUP(B429,[1]!Table3[[Part Number]:[GQP CAD $]],5,0)</f>
        <v>120.23</v>
      </c>
      <c r="I429" s="74">
        <f t="shared" si="13"/>
        <v>240.46</v>
      </c>
    </row>
    <row r="430" spans="2:9" x14ac:dyDescent="0.25">
      <c r="B430" s="72" t="s">
        <v>412</v>
      </c>
      <c r="C430" s="67" t="str">
        <f>VLOOKUP(B430,[1]!Table3[[Part Number]:[Make and Model]],2,0)</f>
        <v xml:space="preserve">CAT 336F L (RKB)                                            </v>
      </c>
      <c r="D430" s="67" t="str">
        <f>VLOOKUP(B430,[1]!Table3[[Part Number]:[Part Description]],3,0)</f>
        <v>TRACK SHOE 850MM</v>
      </c>
      <c r="E430" s="68">
        <f>VLOOKUP(B430,[1]!Table3[[Part Number]:[Annual]],11,0)</f>
        <v>98</v>
      </c>
      <c r="F430" s="69">
        <f>VLOOKUP(B430,[1]!Table3[[Part Number]:[OEM CAD $]],4,0)</f>
        <v>260.58</v>
      </c>
      <c r="G430" s="70">
        <f t="shared" si="14"/>
        <v>25536.84</v>
      </c>
      <c r="H430" s="70">
        <f>VLOOKUP(B430,[1]!Table3[[Part Number]:[GQP CAD $]],5,0)</f>
        <v>130.29</v>
      </c>
      <c r="I430" s="74">
        <f t="shared" si="13"/>
        <v>12768.42</v>
      </c>
    </row>
    <row r="431" spans="2:9" x14ac:dyDescent="0.25">
      <c r="B431" s="72" t="s">
        <v>413</v>
      </c>
      <c r="C431" s="67" t="str">
        <f>VLOOKUP(B431,[1]!Table3[[Part Number]:[Make and Model]],2,0)</f>
        <v xml:space="preserve">CAT D6 (RDC)                                            </v>
      </c>
      <c r="D431" s="67" t="str">
        <f>VLOOKUP(B431,[1]!Table3[[Part Number]:[Part Description]],3,0)</f>
        <v>TRACK SHOE</v>
      </c>
      <c r="E431" s="68">
        <f>VLOOKUP(B431,[1]!Table3[[Part Number]:[Annual]],11,0)</f>
        <v>90</v>
      </c>
      <c r="F431" s="69">
        <f>VLOOKUP(B431,[1]!Table3[[Part Number]:[OEM CAD $]],4,0)</f>
        <v>185.5</v>
      </c>
      <c r="G431" s="70">
        <f t="shared" si="14"/>
        <v>16695</v>
      </c>
      <c r="H431" s="70">
        <f>VLOOKUP(B431,[1]!Table3[[Part Number]:[GQP CAD $]],5,0)</f>
        <v>92.75</v>
      </c>
      <c r="I431" s="74">
        <f t="shared" si="13"/>
        <v>8347.5</v>
      </c>
    </row>
    <row r="432" spans="2:9" x14ac:dyDescent="0.25">
      <c r="B432" s="72" t="s">
        <v>414</v>
      </c>
      <c r="C432" s="67" t="str">
        <f>VLOOKUP(B432,[1]!Table3[[Part Number]:[Make and Model]],2,0)</f>
        <v xml:space="preserve">CAT 330 (LHW) CAT 330 (LHW) (2) CAT 330 (LHW) (3) CAT 330 (LHW) (4) CAT 330 (WCH) CAT 330 (WCH) (2) CAT 330 (WCH) (3) CAT 330 (WCH) (4) CAT 330 (WCH) (5) CAT 330 (WCH) (6)                          </v>
      </c>
      <c r="D432" s="67" t="str">
        <f>VLOOKUP(B432,[1]!Table3[[Part Number]:[Part Description]],3,0)</f>
        <v>TRACK BOLT</v>
      </c>
      <c r="E432" s="68">
        <f>VLOOKUP(B432,[1]!Table3[[Part Number]:[Annual]],11,0)</f>
        <v>4000</v>
      </c>
      <c r="F432" s="69">
        <f>VLOOKUP(B432,[1]!Table3[[Part Number]:[OEM CAD $]],4,0)</f>
        <v>8.3699999999999992</v>
      </c>
      <c r="G432" s="70">
        <f t="shared" si="14"/>
        <v>33480</v>
      </c>
      <c r="H432" s="70">
        <f>VLOOKUP(B432,[1]!Table3[[Part Number]:[GQP CAD $]],5,0)</f>
        <v>4.1900000000000004</v>
      </c>
      <c r="I432" s="74">
        <f t="shared" si="13"/>
        <v>16760</v>
      </c>
    </row>
    <row r="433" spans="2:9" x14ac:dyDescent="0.25">
      <c r="B433" s="72" t="s">
        <v>415</v>
      </c>
      <c r="C433" s="67" t="str">
        <f>VLOOKUP(B433,[1]!Table3[[Part Number]:[Make and Model]],2,0)</f>
        <v xml:space="preserve">CAT 561 (85H) CAT 561 (92J) CAT 561 (92J) (2)                                        </v>
      </c>
      <c r="D433" s="67" t="str">
        <f>VLOOKUP(B433,[1]!Table3[[Part Number]:[Part Description]],3,0)</f>
        <v>BOLT TRACK SHOE</v>
      </c>
      <c r="E433" s="68">
        <f>VLOOKUP(B433,[1]!Table3[[Part Number]:[Annual]],11,0)</f>
        <v>1086</v>
      </c>
      <c r="F433" s="69">
        <f>VLOOKUP(B433,[1]!Table3[[Part Number]:[OEM CAD $]],4,0)</f>
        <v>2.84</v>
      </c>
      <c r="G433" s="70">
        <f t="shared" si="14"/>
        <v>3084.24</v>
      </c>
      <c r="H433" s="70">
        <f>VLOOKUP(B433,[1]!Table3[[Part Number]:[GQP CAD $]],5,0)</f>
        <v>1.42</v>
      </c>
      <c r="I433" s="74">
        <f t="shared" si="13"/>
        <v>1542.12</v>
      </c>
    </row>
    <row r="434" spans="2:9" x14ac:dyDescent="0.25">
      <c r="B434" s="72" t="s">
        <v>416</v>
      </c>
      <c r="C434" s="67" t="str">
        <f>VLOOKUP(B434,[1]!Table3[[Part Number]:[Make and Model]],2,0)</f>
        <v xml:space="preserve">CAT D7G (92V) CAT D7G (3ZD) CAT D7G (3ZD) (2)                                        </v>
      </c>
      <c r="D434" s="67" t="str">
        <f>VLOOKUP(B434,[1]!Table3[[Part Number]:[Part Description]],3,0)</f>
        <v>TRACK BOLT</v>
      </c>
      <c r="E434" s="68">
        <f>VLOOKUP(B434,[1]!Table3[[Part Number]:[Annual]],11,0)</f>
        <v>888</v>
      </c>
      <c r="F434" s="69">
        <f>VLOOKUP(B434,[1]!Table3[[Part Number]:[OEM CAD $]],4,0)</f>
        <v>4.01</v>
      </c>
      <c r="G434" s="70">
        <f t="shared" si="14"/>
        <v>3560.8799999999997</v>
      </c>
      <c r="H434" s="70">
        <f>VLOOKUP(B434,[1]!Table3[[Part Number]:[GQP CAD $]],5,0)</f>
        <v>2.0099999999999998</v>
      </c>
      <c r="I434" s="74">
        <f t="shared" si="13"/>
        <v>1784.88</v>
      </c>
    </row>
    <row r="435" spans="2:9" x14ac:dyDescent="0.25">
      <c r="B435" s="72" t="s">
        <v>62</v>
      </c>
      <c r="C435" s="67" t="str">
        <f>VLOOKUP(B435,[1]!Table3[[Part Number]:[Make and Model]],2,0)</f>
        <v>CAT D5 (3CR) CAT D5 (3CR) (2) CAT D6N LGP (GHS) CAT D6N LGP (PBA) CAT D6N LGP (PBA) (2) CAT D6N LGP (SGG) CAT D6N LGP (SGG) (2) CAT D6T (MH7) CAT D7G (92V) CAT D7G (3ZD) CAT D7G (3ZD) (2) CAT 561 (85H) CAT 561 (92J) CAT 561 (92J) (2) CAT 561M (1KW) CAT 561N (CPH) CAT 561N (CPH) (2) CAT 561N (CPH) (3) CAT 561N (CPH) (4) CAT 561N (CPH) (5) CAT PL61 (WGS) CAT PL61 (WGS) (2) CAT PL61 (WGS) (3)</v>
      </c>
      <c r="D435" s="67" t="str">
        <f>VLOOKUP(B435,[1]!Table3[[Part Number]:[Part Description]],3,0)</f>
        <v>SPROCKET NUT</v>
      </c>
      <c r="E435" s="68">
        <f>VLOOKUP(B435,[1]!Table3[[Part Number]:[Annual]],11,0)</f>
        <v>1064</v>
      </c>
      <c r="F435" s="69">
        <f>VLOOKUP(B435,[1]!Table3[[Part Number]:[OEM CAD $]],4,0)</f>
        <v>3.41</v>
      </c>
      <c r="G435" s="70">
        <f t="shared" si="14"/>
        <v>3628.2400000000002</v>
      </c>
      <c r="H435" s="70">
        <f>VLOOKUP(B435,[1]!Table3[[Part Number]:[GQP CAD $]],5,0)</f>
        <v>1.71</v>
      </c>
      <c r="I435" s="74">
        <f t="shared" si="13"/>
        <v>1819.44</v>
      </c>
    </row>
    <row r="436" spans="2:9" x14ac:dyDescent="0.25">
      <c r="B436" s="72" t="s">
        <v>417</v>
      </c>
      <c r="C436" s="67" t="str">
        <f>VLOOKUP(B436,[1]!Table3[[Part Number]:[Make and Model]],2,0)</f>
        <v xml:space="preserve">CAT D3 (1PJ)                                            </v>
      </c>
      <c r="D436" s="67" t="str">
        <f>VLOOKUP(B436,[1]!Table3[[Part Number]:[Part Description]],3,0)</f>
        <v>TRACK NUT</v>
      </c>
      <c r="E436" s="68">
        <f>VLOOKUP(B436,[1]!Table3[[Part Number]:[Annual]],11,0)</f>
        <v>344</v>
      </c>
      <c r="F436" s="69">
        <f>VLOOKUP(B436,[1]!Table3[[Part Number]:[OEM CAD $]],4,0)</f>
        <v>1.47</v>
      </c>
      <c r="G436" s="70">
        <f t="shared" si="14"/>
        <v>505.68</v>
      </c>
      <c r="H436" s="70">
        <f>VLOOKUP(B436,[1]!Table3[[Part Number]:[GQP CAD $]],5,0)</f>
        <v>0.74</v>
      </c>
      <c r="I436" s="74">
        <f t="shared" si="13"/>
        <v>254.56</v>
      </c>
    </row>
    <row r="437" spans="2:9" x14ac:dyDescent="0.25">
      <c r="B437" s="72" t="s">
        <v>418</v>
      </c>
      <c r="C437" s="67" t="str">
        <f>VLOOKUP(B437,[1]!Table3[[Part Number]:[Make and Model]],2,0)</f>
        <v xml:space="preserve">CAT 561 (85H) CAT 561 (92J) CAT 561 (92J) (2)                                        </v>
      </c>
      <c r="D437" s="67" t="str">
        <f>VLOOKUP(B437,[1]!Table3[[Part Number]:[Part Description]],3,0)</f>
        <v>IDLER AS</v>
      </c>
      <c r="E437" s="68">
        <f>VLOOKUP(B437,[1]!Table3[[Part Number]:[Annual]],11,0)</f>
        <v>12</v>
      </c>
      <c r="F437" s="69">
        <f>VLOOKUP(B437,[1]!Table3[[Part Number]:[OEM CAD $]],4,0)</f>
        <v>2106.39</v>
      </c>
      <c r="G437" s="70">
        <f t="shared" si="14"/>
        <v>25276.68</v>
      </c>
      <c r="H437" s="70">
        <f>VLOOKUP(B437,[1]!Table3[[Part Number]:[GQP CAD $]],5,0)</f>
        <v>1053.2</v>
      </c>
      <c r="I437" s="74">
        <f t="shared" si="13"/>
        <v>12638.4</v>
      </c>
    </row>
    <row r="438" spans="2:9" x14ac:dyDescent="0.25">
      <c r="B438" s="72" t="s">
        <v>419</v>
      </c>
      <c r="C438" s="67" t="str">
        <f>VLOOKUP(B438,[1]!Table3[[Part Number]:[Make and Model]],2,0)</f>
        <v xml:space="preserve">CAT 303.5E                                            </v>
      </c>
      <c r="D438" s="67" t="str">
        <f>VLOOKUP(B438,[1]!Table3[[Part Number]:[Part Description]],3,0)</f>
        <v>TRACK WASHER</v>
      </c>
      <c r="E438" s="68">
        <f>VLOOKUP(B438,[1]!Table3[[Part Number]:[Annual]],11,0)</f>
        <v>20</v>
      </c>
      <c r="F438" s="69">
        <f>VLOOKUP(B438,[1]!Table3[[Part Number]:[OEM CAD $]],4,0)</f>
        <v>5.59</v>
      </c>
      <c r="G438" s="70">
        <f t="shared" si="14"/>
        <v>111.8</v>
      </c>
      <c r="H438" s="70">
        <f>VLOOKUP(B438,[1]!Table3[[Part Number]:[GQP CAD $]],5,0)</f>
        <v>2.8</v>
      </c>
      <c r="I438" s="74">
        <f t="shared" si="13"/>
        <v>56</v>
      </c>
    </row>
    <row r="439" spans="2:9" x14ac:dyDescent="0.25">
      <c r="B439" s="72" t="s">
        <v>420</v>
      </c>
      <c r="C439" s="67" t="str">
        <f>VLOOKUP(B439,[1]!Table3[[Part Number]:[Make and Model]],2,0)</f>
        <v xml:space="preserve">CAT D6N LGP (PBA) CAT D6N LGP (PBA) (2) CAT D6N LGP (SGG) CAT D6N LGP (SGG) (2)                                      </v>
      </c>
      <c r="D439" s="67" t="str">
        <f>VLOOKUP(B439,[1]!Table3[[Part Number]:[Part Description]],3,0)</f>
        <v>CARRIER BOLT</v>
      </c>
      <c r="E439" s="68">
        <f>VLOOKUP(B439,[1]!Table3[[Part Number]:[Annual]],11,0)</f>
        <v>16</v>
      </c>
      <c r="F439" s="69">
        <f>VLOOKUP(B439,[1]!Table3[[Part Number]:[OEM CAD $]],4,0)</f>
        <v>31.3</v>
      </c>
      <c r="G439" s="70">
        <f t="shared" si="14"/>
        <v>500.8</v>
      </c>
      <c r="H439" s="70">
        <f>VLOOKUP(B439,[1]!Table3[[Part Number]:[GQP CAD $]],5,0)</f>
        <v>15.65</v>
      </c>
      <c r="I439" s="74">
        <f t="shared" si="13"/>
        <v>250.4</v>
      </c>
    </row>
    <row r="440" spans="2:9" x14ac:dyDescent="0.25">
      <c r="B440" s="72" t="s">
        <v>421</v>
      </c>
      <c r="C440" s="67" t="str">
        <f>VLOOKUP(B440,[1]!Table3[[Part Number]:[Make and Model]],2,0)</f>
        <v xml:space="preserve">CAT 320E L (WBK) CAT 320E L (WBK) (2) CAT 320F L (YBM) CAT 320 (HEX) CAT 320 (MYK) CAT 320 (MYK) (2)                                  </v>
      </c>
      <c r="D440" s="67" t="str">
        <f>VLOOKUP(B440,[1]!Table3[[Part Number]:[Part Description]],3,0)</f>
        <v>CARRIER ROLLER</v>
      </c>
      <c r="E440" s="68">
        <f>VLOOKUP(B440,[1]!Table3[[Part Number]:[Annual]],11,0)</f>
        <v>24</v>
      </c>
      <c r="F440" s="69">
        <f>VLOOKUP(B440,[1]!Table3[[Part Number]:[OEM CAD $]],4,0)</f>
        <v>537.45000000000005</v>
      </c>
      <c r="G440" s="70">
        <f t="shared" si="14"/>
        <v>12898.800000000001</v>
      </c>
      <c r="H440" s="70">
        <f>VLOOKUP(B440,[1]!Table3[[Part Number]:[GQP CAD $]],5,0)</f>
        <v>268.73</v>
      </c>
      <c r="I440" s="74">
        <f t="shared" si="13"/>
        <v>6449.52</v>
      </c>
    </row>
    <row r="441" spans="2:9" x14ac:dyDescent="0.25">
      <c r="B441" s="72" t="s">
        <v>422</v>
      </c>
      <c r="C441" s="67" t="str">
        <f>VLOOKUP(B441,[1]!Table3[[Part Number]:[Make and Model]],2,0)</f>
        <v xml:space="preserve">CAT 320E L (WBK) CAT 320E L (WBK) (2) CAT 320F L (YBM) CAT 320 (HEX) CAT 320 (MYK) CAT 320 (MYK) (2)                                  </v>
      </c>
      <c r="D441" s="67" t="str">
        <f>VLOOKUP(B441,[1]!Table3[[Part Number]:[Part Description]],3,0)</f>
        <v>TRACK SPROCKET</v>
      </c>
      <c r="E441" s="68">
        <f>VLOOKUP(B441,[1]!Table3[[Part Number]:[Annual]],11,0)</f>
        <v>12</v>
      </c>
      <c r="F441" s="69">
        <f>VLOOKUP(B441,[1]!Table3[[Part Number]:[OEM CAD $]],4,0)</f>
        <v>1064.58</v>
      </c>
      <c r="G441" s="70">
        <f t="shared" si="14"/>
        <v>12774.96</v>
      </c>
      <c r="H441" s="70">
        <f>VLOOKUP(B441,[1]!Table3[[Part Number]:[GQP CAD $]],5,0)</f>
        <v>532.29</v>
      </c>
      <c r="I441" s="74">
        <f t="shared" si="13"/>
        <v>6387.48</v>
      </c>
    </row>
    <row r="442" spans="2:9" x14ac:dyDescent="0.25">
      <c r="B442" s="72" t="s">
        <v>423</v>
      </c>
      <c r="C442" s="67" t="str">
        <f>VLOOKUP(B442,[1]!Table3[[Part Number]:[Make and Model]],2,0)</f>
        <v xml:space="preserve">CAT 561M (1KW)                                            </v>
      </c>
      <c r="D442" s="67" t="str">
        <f>VLOOKUP(B442,[1]!Table3[[Part Number]:[Part Description]],3,0)</f>
        <v>TRACK SHOE</v>
      </c>
      <c r="E442" s="68">
        <f>VLOOKUP(B442,[1]!Table3[[Part Number]:[Annual]],11,0)</f>
        <v>88</v>
      </c>
      <c r="F442" s="69">
        <f>VLOOKUP(B442,[1]!Table3[[Part Number]:[OEM CAD $]],4,0)</f>
        <v>89.36</v>
      </c>
      <c r="G442" s="70">
        <f t="shared" si="14"/>
        <v>7863.68</v>
      </c>
      <c r="H442" s="70">
        <f>VLOOKUP(B442,[1]!Table3[[Part Number]:[GQP CAD $]],5,0)</f>
        <v>44.68</v>
      </c>
      <c r="I442" s="74">
        <f t="shared" si="13"/>
        <v>3931.84</v>
      </c>
    </row>
    <row r="443" spans="2:9" x14ac:dyDescent="0.25">
      <c r="B443" s="72" t="s">
        <v>424</v>
      </c>
      <c r="C443" s="67" t="str">
        <f>VLOOKUP(B443,[1]!Table3[[Part Number]:[Make and Model]],2,0)</f>
        <v xml:space="preserve">CAT D3 (1PJ)                                            </v>
      </c>
      <c r="D443" s="67" t="str">
        <f>VLOOKUP(B443,[1]!Table3[[Part Number]:[Part Description]],3,0)</f>
        <v>SPROCKET NUT</v>
      </c>
      <c r="E443" s="68">
        <f>VLOOKUP(B443,[1]!Table3[[Part Number]:[Annual]],11,0)</f>
        <v>50</v>
      </c>
      <c r="F443" s="69">
        <f>VLOOKUP(B443,[1]!Table3[[Part Number]:[OEM CAD $]],4,0)</f>
        <v>0.67</v>
      </c>
      <c r="G443" s="70">
        <f t="shared" si="14"/>
        <v>33.5</v>
      </c>
      <c r="H443" s="70">
        <f>VLOOKUP(B443,[1]!Table3[[Part Number]:[GQP CAD $]],5,0)</f>
        <v>0.34</v>
      </c>
      <c r="I443" s="74">
        <f t="shared" si="13"/>
        <v>17</v>
      </c>
    </row>
    <row r="444" spans="2:9" x14ac:dyDescent="0.25">
      <c r="B444" s="72" t="s">
        <v>425</v>
      </c>
      <c r="C444" s="67" t="str">
        <f>VLOOKUP(B444,[1]!Table3[[Part Number]:[Make and Model]],2,0)</f>
        <v xml:space="preserve">CAT D7G (92V) CAT D7G (3ZD) CAT D7G (3ZD) (2)                                        </v>
      </c>
      <c r="D444" s="67" t="str">
        <f>VLOOKUP(B444,[1]!Table3[[Part Number]:[Part Description]],3,0)</f>
        <v>CYLINDER HEAD</v>
      </c>
      <c r="E444" s="68">
        <f>VLOOKUP(B444,[1]!Table3[[Part Number]:[Annual]],11,0)</f>
        <v>3</v>
      </c>
      <c r="F444" s="69">
        <f>VLOOKUP(B444,[1]!Table3[[Part Number]:[OEM CAD $]],4,0)</f>
        <v>7409.03</v>
      </c>
      <c r="G444" s="70">
        <f t="shared" si="14"/>
        <v>22227.09</v>
      </c>
      <c r="H444" s="70">
        <f>VLOOKUP(B444,[1]!Table3[[Part Number]:[GQP CAD $]],5,0)</f>
        <v>3704.52</v>
      </c>
      <c r="I444" s="74">
        <f t="shared" si="13"/>
        <v>11113.56</v>
      </c>
    </row>
    <row r="445" spans="2:9" x14ac:dyDescent="0.25">
      <c r="B445" s="72" t="s">
        <v>426</v>
      </c>
      <c r="C445" s="67" t="str">
        <f>VLOOKUP(B445,[1]!Table3[[Part Number]:[Make and Model]],2,0)</f>
        <v xml:space="preserve">CAT D7G (92V) CAT D7G (3ZD) CAT D7G (3ZD) (2)                                        </v>
      </c>
      <c r="D445" s="67" t="str">
        <f>VLOOKUP(B445,[1]!Table3[[Part Number]:[Part Description]],3,0)</f>
        <v>SPROCKET SEGMENT</v>
      </c>
      <c r="E445" s="68">
        <f>VLOOKUP(B445,[1]!Table3[[Part Number]:[Annual]],11,0)</f>
        <v>30</v>
      </c>
      <c r="F445" s="69">
        <f>VLOOKUP(B445,[1]!Table3[[Part Number]:[OEM CAD $]],4,0)</f>
        <v>111.66</v>
      </c>
      <c r="G445" s="70">
        <f t="shared" si="14"/>
        <v>3349.7999999999997</v>
      </c>
      <c r="H445" s="70">
        <f>VLOOKUP(B445,[1]!Table3[[Part Number]:[GQP CAD $]],5,0)</f>
        <v>55.83</v>
      </c>
      <c r="I445" s="74">
        <f t="shared" si="13"/>
        <v>1674.9</v>
      </c>
    </row>
    <row r="446" spans="2:9" x14ac:dyDescent="0.25">
      <c r="B446" s="72" t="s">
        <v>427</v>
      </c>
      <c r="C446" s="67" t="str">
        <f>VLOOKUP(B446,[1]!Table3[[Part Number]:[Make and Model]],2,0)</f>
        <v xml:space="preserve">CAT D6N LGP (PBA) CAT D6N LGP (PBA) (2) CAT D6N LGP (SGG) CAT D6N LGP (SGG) (2)                                      </v>
      </c>
      <c r="D446" s="67" t="str">
        <f>VLOOKUP(B446,[1]!Table3[[Part Number]:[Part Description]],3,0)</f>
        <v>ROLLER BOLT</v>
      </c>
      <c r="E446" s="68">
        <f>VLOOKUP(B446,[1]!Table3[[Part Number]:[Annual]],11,0)</f>
        <v>256</v>
      </c>
      <c r="F446" s="69">
        <f>VLOOKUP(B446,[1]!Table3[[Part Number]:[OEM CAD $]],4,0)</f>
        <v>8.73</v>
      </c>
      <c r="G446" s="70">
        <f t="shared" si="14"/>
        <v>2234.88</v>
      </c>
      <c r="H446" s="70">
        <f>VLOOKUP(B446,[1]!Table3[[Part Number]:[GQP CAD $]],5,0)</f>
        <v>4.37</v>
      </c>
      <c r="I446" s="74">
        <f t="shared" si="13"/>
        <v>1118.72</v>
      </c>
    </row>
    <row r="447" spans="2:9" x14ac:dyDescent="0.25">
      <c r="B447" s="72" t="s">
        <v>428</v>
      </c>
      <c r="C447" s="67" t="str">
        <f>VLOOKUP(B447,[1]!Table3[[Part Number]:[Make and Model]],2,0)</f>
        <v xml:space="preserve">CAT D6N LGP (SGG) CAT D6N LGP (SGG) (2) CAT 561M (1KW)                                        </v>
      </c>
      <c r="D447" s="67" t="str">
        <f>VLOOKUP(B447,[1]!Table3[[Part Number]:[Part Description]],3,0)</f>
        <v>IDLER CAP BOLT - REAR</v>
      </c>
      <c r="E447" s="68">
        <f>VLOOKUP(B447,[1]!Table3[[Part Number]:[Annual]],11,0)</f>
        <v>32</v>
      </c>
      <c r="F447" s="69">
        <f>VLOOKUP(B447,[1]!Table3[[Part Number]:[OEM CAD $]],4,0)</f>
        <v>12.9</v>
      </c>
      <c r="G447" s="70">
        <f t="shared" si="14"/>
        <v>412.8</v>
      </c>
      <c r="H447" s="70">
        <f>VLOOKUP(B447,[1]!Table3[[Part Number]:[GQP CAD $]],5,0)</f>
        <v>6.45</v>
      </c>
      <c r="I447" s="74">
        <f t="shared" si="13"/>
        <v>206.4</v>
      </c>
    </row>
    <row r="448" spans="2:9" x14ac:dyDescent="0.25">
      <c r="B448" s="72" t="s">
        <v>429</v>
      </c>
      <c r="C448" s="67" t="str">
        <f>VLOOKUP(B448,[1]!Table3[[Part Number]:[Make and Model]],2,0)</f>
        <v xml:space="preserve">CAT D6N LGP (SGG) CAT D6N LGP (SGG) (2)                                          </v>
      </c>
      <c r="D448" s="67" t="str">
        <f>VLOOKUP(B448,[1]!Table3[[Part Number]:[Part Description]],3,0)</f>
        <v xml:space="preserve">IDLER CAP BOLT - FRONT </v>
      </c>
      <c r="E448" s="68">
        <f>VLOOKUP(B448,[1]!Table3[[Part Number]:[Annual]],11,0)</f>
        <v>16</v>
      </c>
      <c r="F448" s="69">
        <f>VLOOKUP(B448,[1]!Table3[[Part Number]:[OEM CAD $]],4,0)</f>
        <v>14.24</v>
      </c>
      <c r="G448" s="70">
        <f t="shared" si="14"/>
        <v>227.84</v>
      </c>
      <c r="H448" s="70">
        <f>VLOOKUP(B448,[1]!Table3[[Part Number]:[GQP CAD $]],5,0)</f>
        <v>7.12</v>
      </c>
      <c r="I448" s="74">
        <f t="shared" si="13"/>
        <v>113.92</v>
      </c>
    </row>
    <row r="449" spans="2:9" x14ac:dyDescent="0.25">
      <c r="B449" s="72" t="s">
        <v>430</v>
      </c>
      <c r="C449" s="67" t="str">
        <f>VLOOKUP(B449,[1]!Table3[[Part Number]:[Make and Model]],2,0)</f>
        <v xml:space="preserve">CAT D6 (RDC)                                            </v>
      </c>
      <c r="D449" s="67" t="str">
        <f>VLOOKUP(B449,[1]!Table3[[Part Number]:[Part Description]],3,0)</f>
        <v>IDLER BOLT</v>
      </c>
      <c r="E449" s="68">
        <f>VLOOKUP(B449,[1]!Table3[[Part Number]:[Annual]],11,0)</f>
        <v>16</v>
      </c>
      <c r="F449" s="69">
        <f>VLOOKUP(B449,[1]!Table3[[Part Number]:[OEM CAD $]],4,0)</f>
        <v>25.19</v>
      </c>
      <c r="G449" s="70">
        <f t="shared" si="14"/>
        <v>403.04</v>
      </c>
      <c r="H449" s="70">
        <f>VLOOKUP(B449,[1]!Table3[[Part Number]:[GQP CAD $]],5,0)</f>
        <v>12.6</v>
      </c>
      <c r="I449" s="74">
        <f t="shared" si="13"/>
        <v>201.6</v>
      </c>
    </row>
    <row r="450" spans="2:9" x14ac:dyDescent="0.25">
      <c r="B450" s="72" t="s">
        <v>217</v>
      </c>
      <c r="C450" s="67" t="str">
        <f>VLOOKUP(B450,[1]!Table3[[Part Number]:[Make and Model]],2,0)</f>
        <v xml:space="preserve">CAT 329E L (ZCD) CAT 329F L (ERL) CAT 329F L (ERL) (2) CAT 330F L (MBX) CAT 330F L (HCK) CAT 330F L (HCK) (2) CAT 330 (LHW) CAT 330 (LHW) (2) CAT 330 (LHW) (3) CAT 330 (LHW) (4) CAT 330 (WCH) CAT 330 (WCH) (2) CAT 330 (WCH) (3) CAT 330 (WCH) (4) CAT 330 (WCH) (5) CAT 330 (WCH) (6) CAT D6T (MH7) CAT D6T (MH7)          </v>
      </c>
      <c r="D450" s="67" t="str">
        <f>VLOOKUP(B450,[1]!Table3[[Part Number]:[Part Description]],3,0)</f>
        <v>FLAT WASHER</v>
      </c>
      <c r="E450" s="68">
        <f>VLOOKUP(B450,[1]!Table3[[Part Number]:[Annual]],11,0)</f>
        <v>656</v>
      </c>
      <c r="F450" s="69">
        <f>VLOOKUP(B450,[1]!Table3[[Part Number]:[OEM CAD $]],4,0)</f>
        <v>2.83</v>
      </c>
      <c r="G450" s="70">
        <f t="shared" si="14"/>
        <v>1856.48</v>
      </c>
      <c r="H450" s="70">
        <f>VLOOKUP(B450,[1]!Table3[[Part Number]:[GQP CAD $]],5,0)</f>
        <v>1.42</v>
      </c>
      <c r="I450" s="74">
        <f t="shared" si="13"/>
        <v>931.52</v>
      </c>
    </row>
    <row r="451" spans="2:9" x14ac:dyDescent="0.25">
      <c r="B451" s="72" t="s">
        <v>218</v>
      </c>
      <c r="C451" s="67" t="str">
        <f>VLOOKUP(B451,[1]!Table3[[Part Number]:[Make and Model]],2,0)</f>
        <v xml:space="preserve">CAT D6 (RDC) CAT D6N LGP (PBA) CAT D6N LGP (PBA) (2) CAT D6N LGP (SGG) CAT D6N LGP (SGG) (2) CAT D6T (MH7)                                  </v>
      </c>
      <c r="D451" s="67" t="str">
        <f>VLOOKUP(B451,[1]!Table3[[Part Number]:[Part Description]],3,0)</f>
        <v>FLAT WASHER</v>
      </c>
      <c r="E451" s="68">
        <f>VLOOKUP(B451,[1]!Table3[[Part Number]:[Annual]],11,0)</f>
        <v>40</v>
      </c>
      <c r="F451" s="69">
        <f>VLOOKUP(B451,[1]!Table3[[Part Number]:[OEM CAD $]],4,0)</f>
        <v>3.56</v>
      </c>
      <c r="G451" s="70">
        <f t="shared" si="14"/>
        <v>142.4</v>
      </c>
      <c r="H451" s="70">
        <f>VLOOKUP(B451,[1]!Table3[[Part Number]:[GQP CAD $]],5,0)</f>
        <v>1.78</v>
      </c>
      <c r="I451" s="74">
        <f t="shared" si="13"/>
        <v>71.2</v>
      </c>
    </row>
    <row r="452" spans="2:9" x14ac:dyDescent="0.25">
      <c r="B452" s="72" t="s">
        <v>431</v>
      </c>
      <c r="C452" s="67" t="str">
        <f>VLOOKUP(B452,[1]!Table3[[Part Number]:[Make and Model]],2,0)</f>
        <v xml:space="preserve">CAT D6N LGP (PBA) CAT D6N LGP (PBA) (2) CAT D6N LGP (SGG) CAT D6N LGP (SGG) (2)                                      </v>
      </c>
      <c r="D452" s="67" t="str">
        <f>VLOOKUP(B452,[1]!Table3[[Part Number]:[Part Description]],3,0)</f>
        <v>HEX NUT</v>
      </c>
      <c r="E452" s="68">
        <f>VLOOKUP(B452,[1]!Table3[[Part Number]:[Annual]],11,0)</f>
        <v>16</v>
      </c>
      <c r="F452" s="69">
        <f>VLOOKUP(B452,[1]!Table3[[Part Number]:[OEM CAD $]],4,0)</f>
        <v>6.85</v>
      </c>
      <c r="G452" s="70">
        <f t="shared" si="14"/>
        <v>109.6</v>
      </c>
      <c r="H452" s="70">
        <f>VLOOKUP(B452,[1]!Table3[[Part Number]:[GQP CAD $]],5,0)</f>
        <v>3.43</v>
      </c>
      <c r="I452" s="74">
        <f t="shared" si="13"/>
        <v>54.88</v>
      </c>
    </row>
    <row r="453" spans="2:9" x14ac:dyDescent="0.25">
      <c r="B453" s="72" t="s">
        <v>432</v>
      </c>
      <c r="C453" s="67" t="str">
        <f>VLOOKUP(B453,[1]!Table3[[Part Number]:[Make and Model]],2,0)</f>
        <v xml:space="preserve">CAT 303.5E                                            </v>
      </c>
      <c r="D453" s="67" t="str">
        <f>VLOOKUP(B453,[1]!Table3[[Part Number]:[Part Description]],3,0)</f>
        <v>CARIER NUT</v>
      </c>
      <c r="E453" s="68">
        <f>VLOOKUP(B453,[1]!Table3[[Part Number]:[Annual]],11,0)</f>
        <v>4</v>
      </c>
      <c r="F453" s="69">
        <f>VLOOKUP(B453,[1]!Table3[[Part Number]:[OEM CAD $]],4,0)</f>
        <v>3.77</v>
      </c>
      <c r="G453" s="70">
        <f t="shared" si="14"/>
        <v>15.08</v>
      </c>
      <c r="H453" s="70">
        <f>VLOOKUP(B453,[1]!Table3[[Part Number]:[GQP CAD $]],5,0)</f>
        <v>1.89</v>
      </c>
      <c r="I453" s="74">
        <f t="shared" si="13"/>
        <v>7.56</v>
      </c>
    </row>
    <row r="454" spans="2:9" x14ac:dyDescent="0.25">
      <c r="B454" s="72" t="s">
        <v>433</v>
      </c>
      <c r="C454" s="67" t="str">
        <f>VLOOKUP(B454,[1]!Table3[[Part Number]:[Make and Model]],2,0)</f>
        <v xml:space="preserve">CAT D6N LGP (GHS) CAT D6N LGP (PBA) CAT D6N LGP (PBA) (2) CAT D6N LGP (SGG) CAT D6N LGP (SGG) (2)                                    </v>
      </c>
      <c r="D454" s="67" t="str">
        <f>VLOOKUP(B454,[1]!Table3[[Part Number]:[Part Description]],3,0)</f>
        <v>HEX HEAD BOLT</v>
      </c>
      <c r="E454" s="68">
        <f>VLOOKUP(B454,[1]!Table3[[Part Number]:[Annual]],11,0)</f>
        <v>120</v>
      </c>
      <c r="F454" s="69">
        <f>VLOOKUP(B454,[1]!Table3[[Part Number]:[OEM CAD $]],4,0)</f>
        <v>2.42</v>
      </c>
      <c r="G454" s="70">
        <f t="shared" si="14"/>
        <v>290.39999999999998</v>
      </c>
      <c r="H454" s="70">
        <f>VLOOKUP(B454,[1]!Table3[[Part Number]:[GQP CAD $]],5,0)</f>
        <v>1.21</v>
      </c>
      <c r="I454" s="74">
        <f t="shared" si="13"/>
        <v>145.19999999999999</v>
      </c>
    </row>
    <row r="455" spans="2:9" x14ac:dyDescent="0.25">
      <c r="B455" s="72" t="s">
        <v>219</v>
      </c>
      <c r="C455" s="67" t="str">
        <f>VLOOKUP(B455,[1]!Table3[[Part Number]:[Make and Model]],2,0)</f>
        <v xml:space="preserve">CAT D6N LGP (GHS) CAT D6N LGP (PBA) CAT D6N LGP (PBA) (2) CAT D6N LGP (SGG) CAT D6N LGP (SGG) (2)                                    </v>
      </c>
      <c r="D455" s="67" t="str">
        <f>VLOOKUP(B455,[1]!Table3[[Part Number]:[Part Description]],3,0)</f>
        <v>FLAT WASHER</v>
      </c>
      <c r="E455" s="68">
        <f>VLOOKUP(B455,[1]!Table3[[Part Number]:[Annual]],11,0)</f>
        <v>132</v>
      </c>
      <c r="F455" s="69">
        <f>VLOOKUP(B455,[1]!Table3[[Part Number]:[OEM CAD $]],4,0)</f>
        <v>2.15</v>
      </c>
      <c r="G455" s="70">
        <f t="shared" si="14"/>
        <v>283.8</v>
      </c>
      <c r="H455" s="70">
        <f>VLOOKUP(B455,[1]!Table3[[Part Number]:[GQP CAD $]],5,0)</f>
        <v>1.08</v>
      </c>
      <c r="I455" s="74">
        <f t="shared" si="13"/>
        <v>142.56</v>
      </c>
    </row>
    <row r="456" spans="2:9" x14ac:dyDescent="0.25">
      <c r="B456" s="72" t="s">
        <v>435</v>
      </c>
      <c r="C456" s="67" t="str">
        <f>VLOOKUP(B456,[1]!Table3[[Part Number]:[Make and Model]],2,0)</f>
        <v xml:space="preserve">CAT 336F L (RKB)                                            </v>
      </c>
      <c r="D456" s="67" t="str">
        <f>VLOOKUP(B456,[1]!Table3[[Part Number]:[Part Description]],3,0)</f>
        <v>IDLER BOLT</v>
      </c>
      <c r="E456" s="68">
        <f>VLOOKUP(B456,[1]!Table3[[Part Number]:[Annual]],11,0)</f>
        <v>8</v>
      </c>
      <c r="F456" s="69">
        <f>VLOOKUP(B456,[1]!Table3[[Part Number]:[OEM CAD $]],4,0)</f>
        <v>12.21</v>
      </c>
      <c r="G456" s="70">
        <f t="shared" si="14"/>
        <v>97.68</v>
      </c>
      <c r="H456" s="70">
        <f>VLOOKUP(B456,[1]!Table3[[Part Number]:[GQP CAD $]],5,0)</f>
        <v>6.11</v>
      </c>
      <c r="I456" s="74">
        <f t="shared" si="13"/>
        <v>48.88</v>
      </c>
    </row>
    <row r="457" spans="2:9" x14ac:dyDescent="0.25">
      <c r="B457" s="72" t="s">
        <v>436</v>
      </c>
      <c r="C457" s="67" t="str">
        <f>VLOOKUP(B457,[1]!Table3[[Part Number]:[Make and Model]],2,0)</f>
        <v xml:space="preserve">CAT 303.5E CAT 303.5E CAT 299D (DX2)                                        </v>
      </c>
      <c r="D457" s="67" t="str">
        <f>VLOOKUP(B457,[1]!Table3[[Part Number]:[Part Description]],3,0)</f>
        <v>CARRIER BOLT</v>
      </c>
      <c r="E457" s="68">
        <f>VLOOKUP(B457,[1]!Table3[[Part Number]:[Annual]],11,0)</f>
        <v>42</v>
      </c>
      <c r="F457" s="69">
        <f>VLOOKUP(B457,[1]!Table3[[Part Number]:[OEM CAD $]],4,0)</f>
        <v>7.14</v>
      </c>
      <c r="G457" s="70">
        <f t="shared" si="14"/>
        <v>299.88</v>
      </c>
      <c r="H457" s="70">
        <f>VLOOKUP(B457,[1]!Table3[[Part Number]:[GQP CAD $]],5,0)</f>
        <v>3.57</v>
      </c>
      <c r="I457" s="74">
        <f t="shared" si="13"/>
        <v>149.94</v>
      </c>
    </row>
    <row r="458" spans="2:9" x14ac:dyDescent="0.25">
      <c r="B458" s="72" t="s">
        <v>437</v>
      </c>
      <c r="C458" s="67" t="str">
        <f>VLOOKUP(B458,[1]!Table3[[Part Number]:[Make and Model]],2,0)</f>
        <v xml:space="preserve">CAT D5 (3CR) CAT D5 (3CR) (2)                                          </v>
      </c>
      <c r="D458" s="67" t="str">
        <f>VLOOKUP(B458,[1]!Table3[[Part Number]:[Part Description]],3,0)</f>
        <v>SEAT/SUSPENSION ASSEMBLY</v>
      </c>
      <c r="E458" s="68">
        <f>VLOOKUP(B458,[1]!Table3[[Part Number]:[Annual]],11,0)</f>
        <v>2</v>
      </c>
      <c r="F458" s="69">
        <f>VLOOKUP(B458,[1]!Table3[[Part Number]:[OEM CAD $]],4,0)</f>
        <v>9424.19</v>
      </c>
      <c r="G458" s="70">
        <f t="shared" si="14"/>
        <v>18848.38</v>
      </c>
      <c r="H458" s="70">
        <f>VLOOKUP(B458,[1]!Table3[[Part Number]:[GQP CAD $]],5,0)</f>
        <v>4712.1000000000004</v>
      </c>
      <c r="I458" s="74">
        <f t="shared" si="13"/>
        <v>9424.2000000000007</v>
      </c>
    </row>
    <row r="459" spans="2:9" x14ac:dyDescent="0.25">
      <c r="B459" s="72" t="s">
        <v>438</v>
      </c>
      <c r="C459" s="67" t="str">
        <f>VLOOKUP(B459,[1]!Table3[[Part Number]:[Make and Model]],2,0)</f>
        <v xml:space="preserve">CAT D3 (1PJ)                                            </v>
      </c>
      <c r="D459" s="67" t="str">
        <f>VLOOKUP(B459,[1]!Table3[[Part Number]:[Part Description]],3,0)</f>
        <v>SEAT ASSEMBLY</v>
      </c>
      <c r="E459" s="68">
        <f>VLOOKUP(B459,[1]!Table3[[Part Number]:[Annual]],11,0)</f>
        <v>1</v>
      </c>
      <c r="F459" s="69">
        <f>VLOOKUP(B459,[1]!Table3[[Part Number]:[OEM CAD $]],4,0)</f>
        <v>5796.13</v>
      </c>
      <c r="G459" s="70">
        <f t="shared" si="14"/>
        <v>5796.13</v>
      </c>
      <c r="H459" s="70">
        <f>VLOOKUP(B459,[1]!Table3[[Part Number]:[GQP CAD $]],5,0)</f>
        <v>2898.07</v>
      </c>
      <c r="I459" s="74">
        <f t="shared" si="13"/>
        <v>2898.07</v>
      </c>
    </row>
    <row r="460" spans="2:9" x14ac:dyDescent="0.25">
      <c r="B460" s="72" t="s">
        <v>439</v>
      </c>
      <c r="C460" s="67" t="str">
        <f>VLOOKUP(B460,[1]!Table3[[Part Number]:[Make and Model]],2,0)</f>
        <v xml:space="preserve">CAT D5 (3CR) CAT D5 (3CR) (2) CAT 561M (1KW) CAT 561N (CPH) CAT 561N (CPH) (2) CAT 561N (CPH) (3) CAT 561N (CPH) (4) CAT 561N (CPH) (5)                              </v>
      </c>
      <c r="D460" s="67" t="str">
        <f>VLOOKUP(B460,[1]!Table3[[Part Number]:[Part Description]],3,0)</f>
        <v>TRACK BOLT</v>
      </c>
      <c r="E460" s="68">
        <f>VLOOKUP(B460,[1]!Table3[[Part Number]:[Annual]],11,0)</f>
        <v>950</v>
      </c>
      <c r="F460" s="69">
        <f>VLOOKUP(B460,[1]!Table3[[Part Number]:[OEM CAD $]],4,0)</f>
        <v>3.12</v>
      </c>
      <c r="G460" s="70">
        <f t="shared" si="14"/>
        <v>2964</v>
      </c>
      <c r="H460" s="70">
        <f>VLOOKUP(B460,[1]!Table3[[Part Number]:[GQP CAD $]],5,0)</f>
        <v>1.56</v>
      </c>
      <c r="I460" s="74">
        <f t="shared" si="13"/>
        <v>1482</v>
      </c>
    </row>
    <row r="461" spans="2:9" x14ac:dyDescent="0.25">
      <c r="B461" s="72" t="s">
        <v>440</v>
      </c>
      <c r="C461" s="67" t="str">
        <f>VLOOKUP(B461,[1]!Table3[[Part Number]:[Make and Model]],2,0)</f>
        <v xml:space="preserve">CAT D5 (3CR) CAT D5 (3CR) (2) CAT 561M (1KW) CAT 561N (CPH) CAT 561N (CPH) (2) CAT 561N (CPH) (3) CAT 561N (CPH) (4) CAT 561N (CPH) (5)                              </v>
      </c>
      <c r="D461" s="67" t="str">
        <f>VLOOKUP(B461,[1]!Table3[[Part Number]:[Part Description]],3,0)</f>
        <v>TRACK BOLT MASTER</v>
      </c>
      <c r="E461" s="68">
        <f>VLOOKUP(B461,[1]!Table3[[Part Number]:[Annual]],11,0)</f>
        <v>18</v>
      </c>
      <c r="F461" s="69">
        <f>VLOOKUP(B461,[1]!Table3[[Part Number]:[OEM CAD $]],4,0)</f>
        <v>5.25</v>
      </c>
      <c r="G461" s="70">
        <f t="shared" si="14"/>
        <v>94.5</v>
      </c>
      <c r="H461" s="70">
        <f>VLOOKUP(B461,[1]!Table3[[Part Number]:[GQP CAD $]],5,0)</f>
        <v>2.63</v>
      </c>
      <c r="I461" s="74">
        <f t="shared" si="13"/>
        <v>47.34</v>
      </c>
    </row>
    <row r="462" spans="2:9" x14ac:dyDescent="0.25">
      <c r="B462" s="72" t="s">
        <v>441</v>
      </c>
      <c r="C462" s="67" t="str">
        <f>VLOOKUP(B462,[1]!Table3[[Part Number]:[Make and Model]],2,0)</f>
        <v xml:space="preserve">CAT D6 (RDC) CAT D6T (MH7)                                          </v>
      </c>
      <c r="D462" s="67" t="str">
        <f>VLOOKUP(B462,[1]!Table3[[Part Number]:[Part Description]],3,0)</f>
        <v>MASTER TRACK BOLT</v>
      </c>
      <c r="E462" s="68">
        <f>VLOOKUP(B462,[1]!Table3[[Part Number]:[Annual]],11,0)</f>
        <v>16</v>
      </c>
      <c r="F462" s="69">
        <f>VLOOKUP(B462,[1]!Table3[[Part Number]:[OEM CAD $]],4,0)</f>
        <v>9.9600000000000009</v>
      </c>
      <c r="G462" s="70">
        <f t="shared" si="14"/>
        <v>159.36000000000001</v>
      </c>
      <c r="H462" s="70">
        <f>VLOOKUP(B462,[1]!Table3[[Part Number]:[GQP CAD $]],5,0)</f>
        <v>4.9800000000000004</v>
      </c>
      <c r="I462" s="74">
        <f t="shared" si="13"/>
        <v>79.680000000000007</v>
      </c>
    </row>
    <row r="463" spans="2:9" x14ac:dyDescent="0.25">
      <c r="B463" s="72" t="s">
        <v>442</v>
      </c>
      <c r="C463" s="67" t="str">
        <f>VLOOKUP(B463,[1]!Table3[[Part Number]:[Make and Model]],2,0)</f>
        <v xml:space="preserve">CAT 320E L (WBK) CAT 320E L (WBK) (2) CAT 320F L (YBM) CAT 320 (HEX) CAT 320 (MYK) CAT 320 (MYK) (2) CAT 329E L (ZCD) CAT 329F L (ERL) CAT 329F L (ERL) (2) CAT 330F L (MBX) CAT 330F L (HCK) CAT 330F L (HCK) (2) CAT D6N LGP (PBA) CAT D6N LGP (PBA) (2)                  </v>
      </c>
      <c r="D463" s="67" t="str">
        <f>VLOOKUP(B463,[1]!Table3[[Part Number]:[Part Description]],3,0)</f>
        <v xml:space="preserve">TRACK NUT </v>
      </c>
      <c r="E463" s="68">
        <f>VLOOKUP(B463,[1]!Table3[[Part Number]:[Annual]],11,0)</f>
        <v>5472</v>
      </c>
      <c r="F463" s="69">
        <f>VLOOKUP(B463,[1]!Table3[[Part Number]:[OEM CAD $]],4,0)</f>
        <v>3.14</v>
      </c>
      <c r="G463" s="70">
        <f t="shared" si="14"/>
        <v>17182.080000000002</v>
      </c>
      <c r="H463" s="70">
        <f>VLOOKUP(B463,[1]!Table3[[Part Number]:[GQP CAD $]],5,0)</f>
        <v>1.57</v>
      </c>
      <c r="I463" s="74">
        <f t="shared" ref="I463:I478" si="15">ROUND(E463*H463,2)</f>
        <v>8591.0400000000009</v>
      </c>
    </row>
    <row r="464" spans="2:9" x14ac:dyDescent="0.25">
      <c r="B464" s="72" t="s">
        <v>443</v>
      </c>
      <c r="C464" s="67" t="str">
        <f>VLOOKUP(B464,[1]!Table3[[Part Number]:[Make and Model]],2,0)</f>
        <v xml:space="preserve">CAT 320E L (WBK) CAT 320E L (WBK) (2) CAT 320F L (YBM) CAT 320 (HEX) CAT 320 (MYK) CAT 320 (MYK) (2)                                  </v>
      </c>
      <c r="D464" s="67" t="str">
        <f>VLOOKUP(B464,[1]!Table3[[Part Number]:[Part Description]],3,0)</f>
        <v xml:space="preserve">TRACK BOLT </v>
      </c>
      <c r="E464" s="68">
        <f>VLOOKUP(B464,[1]!Table3[[Part Number]:[Annual]],11,0)</f>
        <v>2352</v>
      </c>
      <c r="F464" s="69">
        <f>VLOOKUP(B464,[1]!Table3[[Part Number]:[OEM CAD $]],4,0)</f>
        <v>4.25</v>
      </c>
      <c r="G464" s="70">
        <f t="shared" si="14"/>
        <v>9996</v>
      </c>
      <c r="H464" s="70">
        <f>VLOOKUP(B464,[1]!Table3[[Part Number]:[GQP CAD $]],5,0)</f>
        <v>2.13</v>
      </c>
      <c r="I464" s="74">
        <f t="shared" si="15"/>
        <v>5009.76</v>
      </c>
    </row>
    <row r="465" spans="2:14" x14ac:dyDescent="0.25">
      <c r="B465" s="72" t="s">
        <v>444</v>
      </c>
      <c r="C465" s="67" t="str">
        <f>VLOOKUP(B465,[1]!Table3[[Part Number]:[Make and Model]],2,0)</f>
        <v xml:space="preserve">CAT D7G (92V) CAT D7G (3ZD) CAT D7G (3ZD) (2)                                        </v>
      </c>
      <c r="D465" s="67" t="str">
        <f>VLOOKUP(B465,[1]!Table3[[Part Number]:[Part Description]],3,0)</f>
        <v>MASTER TRACK BOLT</v>
      </c>
      <c r="E465" s="68">
        <f>VLOOKUP(B465,[1]!Table3[[Part Number]:[Annual]],11,0)</f>
        <v>12</v>
      </c>
      <c r="F465" s="69">
        <f>VLOOKUP(B465,[1]!Table3[[Part Number]:[OEM CAD $]],4,0)</f>
        <v>15.58</v>
      </c>
      <c r="G465" s="70">
        <f t="shared" ref="G465:G473" si="16">E465*F465</f>
        <v>186.96</v>
      </c>
      <c r="H465" s="70">
        <f>VLOOKUP(B465,[1]!Table3[[Part Number]:[GQP CAD $]],5,0)</f>
        <v>7.79</v>
      </c>
      <c r="I465" s="74">
        <f t="shared" si="15"/>
        <v>93.48</v>
      </c>
    </row>
    <row r="466" spans="2:14" x14ac:dyDescent="0.25">
      <c r="B466" s="72" t="s">
        <v>445</v>
      </c>
      <c r="C466" s="67" t="str">
        <f>VLOOKUP(B466,[1]!Table3[[Part Number]:[Make and Model]],2,0)</f>
        <v xml:space="preserve">CAT D3 (1PJ)                                            </v>
      </c>
      <c r="D466" s="67" t="str">
        <f>VLOOKUP(B466,[1]!Table3[[Part Number]:[Part Description]],3,0)</f>
        <v>SPROCKET BOLT</v>
      </c>
      <c r="E466" s="68">
        <f>VLOOKUP(B466,[1]!Table3[[Part Number]:[Annual]],11,0)</f>
        <v>50</v>
      </c>
      <c r="F466" s="69">
        <f>VLOOKUP(B466,[1]!Table3[[Part Number]:[OEM CAD $]],4,0)</f>
        <v>1.46</v>
      </c>
      <c r="G466" s="70">
        <f t="shared" si="16"/>
        <v>73</v>
      </c>
      <c r="H466" s="70">
        <f>VLOOKUP(B466,[1]!Table3[[Part Number]:[GQP CAD $]],5,0)</f>
        <v>0.73</v>
      </c>
      <c r="I466" s="74">
        <f t="shared" si="15"/>
        <v>36.5</v>
      </c>
    </row>
    <row r="467" spans="2:14" x14ac:dyDescent="0.25">
      <c r="B467" s="72" t="s">
        <v>65</v>
      </c>
      <c r="C467" s="67" t="str">
        <f>VLOOKUP(B467,[1]!Table3[[Part Number]:[Make and Model]],2,0)</f>
        <v xml:space="preserve">CAT D6N LGP (PBA) CAT D6N LGP (PBA) (2) CAT D6N LGP (SGG) CAT D6N LGP (SGG) (2)                                      </v>
      </c>
      <c r="D467" s="67" t="str">
        <f>VLOOKUP(B467,[1]!Table3[[Part Number]:[Part Description]],3,0)</f>
        <v>FLAT WASHER</v>
      </c>
      <c r="E467" s="68">
        <f>VLOOKUP(B467,[1]!Table3[[Part Number]:[Annual]],11,0)</f>
        <v>256</v>
      </c>
      <c r="F467" s="69">
        <f>VLOOKUP(B467,[1]!Table3[[Part Number]:[OEM CAD $]],4,0)</f>
        <v>2.4700000000000002</v>
      </c>
      <c r="G467" s="70">
        <f t="shared" si="16"/>
        <v>632.32000000000005</v>
      </c>
      <c r="H467" s="70">
        <f>VLOOKUP(B467,[1]!Table3[[Part Number]:[GQP CAD $]],5,0)</f>
        <v>1.24</v>
      </c>
      <c r="I467" s="74">
        <f t="shared" si="15"/>
        <v>317.44</v>
      </c>
    </row>
    <row r="468" spans="2:14" x14ac:dyDescent="0.25">
      <c r="B468" s="72" t="s">
        <v>446</v>
      </c>
      <c r="C468" s="67" t="str">
        <f>VLOOKUP(B468,[1]!Table3[[Part Number]:[Make and Model]],2,0)</f>
        <v xml:space="preserve">CAT 561N (CPH) CAT 561N (CPH) (2) CAT 561N (CPH) (3) CAT 561N (CPH) (4) CAT 561N (CPH) (5)                                    </v>
      </c>
      <c r="D468" s="67" t="str">
        <f>VLOOKUP(B468,[1]!Table3[[Part Number]:[Part Description]],3,0)</f>
        <v>30" GQP TRACK GROUP</v>
      </c>
      <c r="E468" s="68">
        <f>VLOOKUP(B468,[1]!Table3[[Part Number]:[Annual]],11,0)</f>
        <v>10</v>
      </c>
      <c r="F468" s="69">
        <f>VLOOKUP(B468,[1]!Table3[[Part Number]:[OEM CAD $]],4,0)</f>
        <v>12613.63</v>
      </c>
      <c r="G468" s="70">
        <f t="shared" si="16"/>
        <v>126136.29999999999</v>
      </c>
      <c r="H468" s="70">
        <f>VLOOKUP(B468,[1]!Table3[[Part Number]:[GQP CAD $]],5,0)</f>
        <v>6306.82</v>
      </c>
      <c r="I468" s="74">
        <f t="shared" si="15"/>
        <v>63068.2</v>
      </c>
    </row>
    <row r="469" spans="2:14" x14ac:dyDescent="0.25">
      <c r="B469" s="72" t="s">
        <v>447</v>
      </c>
      <c r="C469" s="67" t="str">
        <f>VLOOKUP(B469,[1]!Table3[[Part Number]:[Make and Model]],2,0)</f>
        <v xml:space="preserve">CAT D4 (66J)                                            </v>
      </c>
      <c r="D469" s="67" t="str">
        <f>VLOOKUP(B469,[1]!Table3[[Part Number]:[Part Description]],3,0)</f>
        <v>SEAT SUSPENSION ASSEMBLY</v>
      </c>
      <c r="E469" s="68">
        <f>VLOOKUP(B469,[1]!Table3[[Part Number]:[Annual]],11,0)</f>
        <v>1</v>
      </c>
      <c r="F469" s="69">
        <f>VLOOKUP(B469,[1]!Table3[[Part Number]:[OEM CAD $]],4,0)</f>
        <v>1021.54</v>
      </c>
      <c r="G469" s="70">
        <f t="shared" si="16"/>
        <v>1021.54</v>
      </c>
      <c r="H469" s="70">
        <f>VLOOKUP(B469,[1]!Table3[[Part Number]:[GQP CAD $]],5,0)</f>
        <v>510.77</v>
      </c>
      <c r="I469" s="74">
        <f t="shared" si="15"/>
        <v>510.77</v>
      </c>
    </row>
    <row r="470" spans="2:14" x14ac:dyDescent="0.25">
      <c r="B470" s="72" t="s">
        <v>448</v>
      </c>
      <c r="C470" s="67" t="str">
        <f>VLOOKUP(B470,[1]!Table3[[Part Number]:[Make and Model]],2,0)</f>
        <v xml:space="preserve">CAT D5 (3CR) CAT D5 (3CR) (2)                                          </v>
      </c>
      <c r="D470" s="67" t="str">
        <f>VLOOKUP(B470,[1]!Table3[[Part Number]:[Part Description]],3,0)</f>
        <v>TRACK GROUP</v>
      </c>
      <c r="E470" s="68">
        <f>VLOOKUP(B470,[1]!Table3[[Part Number]:[Annual]],11,0)</f>
        <v>4</v>
      </c>
      <c r="F470" s="69">
        <f>VLOOKUP(B470,[1]!Table3[[Part Number]:[OEM CAD $]],4,0)</f>
        <v>0</v>
      </c>
      <c r="G470" s="70">
        <f t="shared" si="16"/>
        <v>0</v>
      </c>
      <c r="H470" s="70">
        <f>VLOOKUP(B470,[1]!Table3[[Part Number]:[GQP CAD $]],5,0)</f>
        <v>0</v>
      </c>
      <c r="I470" s="74">
        <f t="shared" si="15"/>
        <v>0</v>
      </c>
    </row>
    <row r="471" spans="2:14" x14ac:dyDescent="0.25">
      <c r="B471" s="72" t="s">
        <v>449</v>
      </c>
      <c r="C471" s="67" t="str">
        <f>VLOOKUP(B471,[1]!Table3[[Part Number]:[Make and Model]],2,0)</f>
        <v xml:space="preserve">CAT D6 (RDC)                                            </v>
      </c>
      <c r="D471" s="67" t="str">
        <f>VLOOKUP(B471,[1]!Table3[[Part Number]:[Part Description]],3,0)</f>
        <v>30" GQP TRACK GROUP</v>
      </c>
      <c r="E471" s="68">
        <f>VLOOKUP(B471,[1]!Table3[[Part Number]:[Annual]],11,0)</f>
        <v>2</v>
      </c>
      <c r="F471" s="69">
        <f>VLOOKUP(B471,[1]!Table3[[Part Number]:[OEM CAD $]],4,0)</f>
        <v>10784.168</v>
      </c>
      <c r="G471" s="70">
        <f t="shared" si="16"/>
        <v>21568.335999999999</v>
      </c>
      <c r="H471" s="70">
        <f>VLOOKUP(B471,[1]!Table3[[Part Number]:[GQP CAD $]],5,0)</f>
        <v>5392.08</v>
      </c>
      <c r="I471" s="74">
        <f t="shared" si="15"/>
        <v>10784.16</v>
      </c>
    </row>
    <row r="472" spans="2:14" x14ac:dyDescent="0.25">
      <c r="B472" s="72" t="s">
        <v>450</v>
      </c>
      <c r="C472" s="67" t="str">
        <f>VLOOKUP(B472,[1]!Table3[[Part Number]:[Make and Model]],2,0)</f>
        <v xml:space="preserve">CAT D7G (92V) CAT D7G (3ZD) CAT D7G (3ZD) (2)                                        </v>
      </c>
      <c r="D472" s="67" t="str">
        <f>VLOOKUP(B472,[1]!Table3[[Part Number]:[Part Description]],3,0)</f>
        <v>30" GQP TRACK GROUP</v>
      </c>
      <c r="E472" s="68">
        <f>VLOOKUP(B472,[1]!Table3[[Part Number]:[Annual]],11,0)</f>
        <v>6</v>
      </c>
      <c r="F472" s="69">
        <f>VLOOKUP(B472,[1]!Table3[[Part Number]:[OEM CAD $]],4,0)</f>
        <v>8674.7200000000012</v>
      </c>
      <c r="G472" s="70">
        <f t="shared" si="16"/>
        <v>52048.320000000007</v>
      </c>
      <c r="H472" s="70">
        <f>VLOOKUP(B472,[1]!Table3[[Part Number]:[GQP CAD $]],5,0)</f>
        <v>4337.3599999999997</v>
      </c>
      <c r="I472" s="74">
        <f t="shared" si="15"/>
        <v>26024.16</v>
      </c>
    </row>
    <row r="473" spans="2:14" x14ac:dyDescent="0.25">
      <c r="B473" s="72" t="s">
        <v>451</v>
      </c>
      <c r="C473" s="67" t="str">
        <f>VLOOKUP(B473,[1]!Table3[[Part Number]:[Make and Model]],2,0)</f>
        <v xml:space="preserve">CAT PL61 (WGS) CAT PL61 (WGS) (2) CAT PL61 (WGS) (3)                                        </v>
      </c>
      <c r="D473" s="67" t="str">
        <f>VLOOKUP(B473,[1]!Table3[[Part Number]:[Part Description]],3,0)</f>
        <v>30" GQP TRACK GROUP</v>
      </c>
      <c r="E473" s="68">
        <f>VLOOKUP(B473,[1]!Table3[[Part Number]:[Annual]],11,0)</f>
        <v>6</v>
      </c>
      <c r="F473" s="69">
        <f>VLOOKUP(B473,[1]!Table3[[Part Number]:[OEM CAD $]],4,0)</f>
        <v>8945.7099999999991</v>
      </c>
      <c r="G473" s="70">
        <f t="shared" si="16"/>
        <v>53674.259999999995</v>
      </c>
      <c r="H473" s="70">
        <f>VLOOKUP(B473,[1]!Table3[[Part Number]:[GQP CAD $]],5,0)</f>
        <v>4472.8599999999997</v>
      </c>
      <c r="I473" s="74">
        <f t="shared" si="15"/>
        <v>26837.16</v>
      </c>
    </row>
    <row r="474" spans="2:14" x14ac:dyDescent="0.25">
      <c r="B474" s="54"/>
      <c r="C474" s="22"/>
      <c r="D474" s="22"/>
      <c r="E474" s="23"/>
      <c r="F474" s="24"/>
      <c r="G474" s="24"/>
      <c r="H474" s="25"/>
      <c r="I474" s="26">
        <f t="shared" si="15"/>
        <v>0</v>
      </c>
      <c r="N474" s="58"/>
    </row>
    <row r="475" spans="2:14" x14ac:dyDescent="0.25">
      <c r="B475" s="54"/>
      <c r="C475" s="22"/>
      <c r="D475" s="22"/>
      <c r="E475" s="23"/>
      <c r="F475" s="24"/>
      <c r="G475" s="24"/>
      <c r="H475" s="25"/>
      <c r="I475" s="26">
        <f t="shared" si="15"/>
        <v>0</v>
      </c>
      <c r="M475" s="58"/>
      <c r="N475" s="58"/>
    </row>
    <row r="476" spans="2:14" x14ac:dyDescent="0.25">
      <c r="B476" s="54"/>
      <c r="C476" s="22"/>
      <c r="D476" s="22"/>
      <c r="E476" s="23"/>
      <c r="F476" s="24"/>
      <c r="G476" s="24"/>
      <c r="H476" s="25"/>
      <c r="I476" s="26">
        <f t="shared" si="15"/>
        <v>0</v>
      </c>
      <c r="M476" s="58"/>
      <c r="N476" s="58"/>
    </row>
    <row r="477" spans="2:14" x14ac:dyDescent="0.25">
      <c r="B477" s="54"/>
      <c r="C477" s="22"/>
      <c r="D477" s="22"/>
      <c r="E477" s="23"/>
      <c r="F477" s="24"/>
      <c r="G477" s="24"/>
      <c r="H477" s="25"/>
      <c r="I477" s="26">
        <f t="shared" si="15"/>
        <v>0</v>
      </c>
      <c r="M477" s="58"/>
      <c r="N477" s="58"/>
    </row>
    <row r="478" spans="2:14" x14ac:dyDescent="0.25">
      <c r="B478" s="54"/>
      <c r="C478" s="22"/>
      <c r="D478" s="22"/>
      <c r="E478" s="23"/>
      <c r="F478" s="24"/>
      <c r="G478" s="24"/>
      <c r="H478" s="25"/>
      <c r="I478" s="26">
        <f t="shared" si="15"/>
        <v>0</v>
      </c>
      <c r="M478" s="58"/>
      <c r="N478" s="58"/>
    </row>
    <row r="479" spans="2:14" x14ac:dyDescent="0.25">
      <c r="B479" s="84"/>
      <c r="C479" s="85"/>
      <c r="D479" s="85"/>
      <c r="E479" s="85"/>
      <c r="F479" s="86"/>
      <c r="G479" s="27"/>
      <c r="H479" s="28" t="s">
        <v>17</v>
      </c>
      <c r="I479" s="29">
        <f>SUM(I15:I478)</f>
        <v>3191077.1200000006</v>
      </c>
      <c r="M479" s="58"/>
      <c r="N479" s="58"/>
    </row>
    <row r="480" spans="2:14" x14ac:dyDescent="0.25">
      <c r="B480" s="30"/>
      <c r="C480" s="31"/>
      <c r="D480" s="32" t="s">
        <v>18</v>
      </c>
      <c r="E480" s="87">
        <f>SUM(G15:G478)</f>
        <v>6551357.5960000018</v>
      </c>
      <c r="F480" s="88"/>
      <c r="G480" s="33"/>
      <c r="H480" s="28" t="s">
        <v>19</v>
      </c>
      <c r="I480" s="34">
        <v>0</v>
      </c>
      <c r="M480" s="58"/>
      <c r="N480" s="58"/>
    </row>
    <row r="481" spans="2:14" x14ac:dyDescent="0.25">
      <c r="B481" s="30"/>
      <c r="C481" s="31"/>
      <c r="D481" s="32" t="s">
        <v>20</v>
      </c>
      <c r="E481" s="87">
        <f>SUM(I15:I478)</f>
        <v>3191077.1200000006</v>
      </c>
      <c r="F481" s="88"/>
      <c r="G481" s="33"/>
      <c r="H481" s="35" t="s">
        <v>21</v>
      </c>
      <c r="I481" s="34">
        <v>0</v>
      </c>
      <c r="M481" s="58"/>
      <c r="N481" s="58"/>
    </row>
    <row r="482" spans="2:14" x14ac:dyDescent="0.25">
      <c r="B482" s="30"/>
      <c r="C482" s="31"/>
      <c r="D482" s="32" t="s">
        <v>22</v>
      </c>
      <c r="E482" s="97">
        <f>E480-E481</f>
        <v>3360280.4760000012</v>
      </c>
      <c r="F482" s="98"/>
      <c r="G482" s="36"/>
      <c r="H482" s="28" t="s">
        <v>23</v>
      </c>
      <c r="I482" s="37">
        <f>SUM(I479:I481)</f>
        <v>3191077.1200000006</v>
      </c>
      <c r="M482" s="58"/>
      <c r="N482" s="58"/>
    </row>
    <row r="483" spans="2:14" x14ac:dyDescent="0.25">
      <c r="B483" s="30"/>
      <c r="C483" s="31"/>
      <c r="D483" s="32"/>
      <c r="E483" s="99"/>
      <c r="F483" s="100"/>
      <c r="G483" s="38"/>
      <c r="H483" s="28" t="s">
        <v>24</v>
      </c>
      <c r="I483" s="37">
        <f>I482*0.05</f>
        <v>159553.85600000003</v>
      </c>
      <c r="M483" s="58"/>
      <c r="N483" s="60"/>
    </row>
    <row r="484" spans="2:14" x14ac:dyDescent="0.25">
      <c r="B484" s="30"/>
      <c r="C484" s="31"/>
      <c r="D484" s="39"/>
      <c r="E484" s="39"/>
      <c r="F484" s="40"/>
      <c r="G484" s="40"/>
      <c r="H484" s="28" t="s">
        <v>25</v>
      </c>
      <c r="I484" s="34"/>
      <c r="M484" s="58"/>
      <c r="N484" s="59"/>
    </row>
    <row r="485" spans="2:14" ht="15.75" x14ac:dyDescent="0.25">
      <c r="B485" s="94" t="s">
        <v>26</v>
      </c>
      <c r="C485" s="95"/>
      <c r="D485" s="95"/>
      <c r="E485" s="95"/>
      <c r="F485" s="96"/>
      <c r="G485" s="41"/>
      <c r="H485" s="42" t="s">
        <v>27</v>
      </c>
      <c r="I485" s="43">
        <f>SUM(I482:I484)</f>
        <v>3350630.9760000007</v>
      </c>
      <c r="M485" s="59"/>
    </row>
    <row r="486" spans="2:14" x14ac:dyDescent="0.25">
      <c r="I486" s="47"/>
    </row>
    <row r="487" spans="2:14" x14ac:dyDescent="0.25">
      <c r="I487" s="47"/>
    </row>
    <row r="488" spans="2:14" x14ac:dyDescent="0.25">
      <c r="I488" s="47"/>
    </row>
    <row r="489" spans="2:14" x14ac:dyDescent="0.25">
      <c r="I489" s="47"/>
    </row>
    <row r="490" spans="2:14" x14ac:dyDescent="0.25">
      <c r="I490" s="47"/>
    </row>
    <row r="491" spans="2:14" x14ac:dyDescent="0.25">
      <c r="I491" s="47"/>
    </row>
    <row r="492" spans="2:14" x14ac:dyDescent="0.25">
      <c r="I492" s="47"/>
    </row>
    <row r="493" spans="2:14" x14ac:dyDescent="0.25">
      <c r="I493" s="47"/>
    </row>
    <row r="494" spans="2:14" x14ac:dyDescent="0.25">
      <c r="I494" s="47"/>
    </row>
    <row r="495" spans="2:14" x14ac:dyDescent="0.25">
      <c r="I495" s="47"/>
    </row>
    <row r="496" spans="2:14" x14ac:dyDescent="0.25">
      <c r="I496" s="47"/>
    </row>
    <row r="497" spans="9:9" x14ac:dyDescent="0.25">
      <c r="I497" s="47"/>
    </row>
    <row r="498" spans="9:9" x14ac:dyDescent="0.25">
      <c r="I498" s="47"/>
    </row>
    <row r="499" spans="9:9" x14ac:dyDescent="0.25">
      <c r="I499" s="47"/>
    </row>
  </sheetData>
  <mergeCells count="25">
    <mergeCell ref="B485:F485"/>
    <mergeCell ref="F13:I13"/>
    <mergeCell ref="B479:F479"/>
    <mergeCell ref="E480:F480"/>
    <mergeCell ref="E481:F481"/>
    <mergeCell ref="E482:F482"/>
    <mergeCell ref="E483:F483"/>
    <mergeCell ref="E11:F11"/>
    <mergeCell ref="H11:I11"/>
    <mergeCell ref="E12:F12"/>
    <mergeCell ref="H12:I12"/>
    <mergeCell ref="C11:D11"/>
    <mergeCell ref="C12:D12"/>
    <mergeCell ref="E9:F9"/>
    <mergeCell ref="H9:I9"/>
    <mergeCell ref="E10:F10"/>
    <mergeCell ref="H10:I10"/>
    <mergeCell ref="C9:D9"/>
    <mergeCell ref="C10:D10"/>
    <mergeCell ref="E1:F5"/>
    <mergeCell ref="H1:I5"/>
    <mergeCell ref="E8:F8"/>
    <mergeCell ref="H8:I8"/>
    <mergeCell ref="C7:D7"/>
    <mergeCell ref="C8:D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CA8376-DD3C-4FED-B721-B7ABE66EF7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MOQ Batteries</vt:lpstr>
      <vt:lpstr>MOQ Engine</vt:lpstr>
      <vt:lpstr>MOQ Filters Q1</vt:lpstr>
      <vt:lpstr>MOQ Filters Q2</vt:lpstr>
      <vt:lpstr>MOQ Filters Q3</vt:lpstr>
      <vt:lpstr>MOQ Filters Q4</vt:lpstr>
      <vt:lpstr>MOQ GET Parts</vt:lpstr>
      <vt:lpstr>MOQ Injectors</vt:lpstr>
      <vt:lpstr>MOQ Operator Seats</vt:lpstr>
      <vt:lpstr>MOQ Tires</vt:lpstr>
      <vt:lpstr>MOQ Turbos</vt:lpstr>
      <vt:lpstr>MOQ Undercarriages</vt:lpstr>
      <vt:lpstr>MOQ Grand 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Budgen</dc:creator>
  <cp:lastModifiedBy>Tska0734</cp:lastModifiedBy>
  <cp:lastPrinted>2024-06-05T20:54:10Z</cp:lastPrinted>
  <dcterms:created xsi:type="dcterms:W3CDTF">2024-03-27T02:49:14Z</dcterms:created>
  <dcterms:modified xsi:type="dcterms:W3CDTF">2025-09-25T12:02:07Z</dcterms:modified>
</cp:coreProperties>
</file>