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4EB48E1C-F1C4-4696-AC2B-E9198FBF48F3}" xr6:coauthVersionLast="47" xr6:coauthVersionMax="47" xr10:uidLastSave="{00000000-0000-0000-0000-000000000000}"/>
  <bookViews>
    <workbookView xWindow="-108" yWindow="-108" windowWidth="23256" windowHeight="12456" xr2:uid="{EAC116F2-D257-4308-B3E1-626B33CB1430}"/>
  </bookViews>
  <sheets>
    <sheet name="CAT PL61 (WGS)" sheetId="7" r:id="rId1"/>
    <sheet name="CAT PL61 (DHA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" i="7" l="1"/>
  <c r="F49" i="7"/>
  <c r="E49" i="7"/>
  <c r="P10" i="7" s="1"/>
  <c r="K48" i="7"/>
  <c r="J48" i="7"/>
  <c r="L48" i="7" s="1"/>
  <c r="K47" i="7"/>
  <c r="L47" i="7" s="1"/>
  <c r="J47" i="7"/>
  <c r="L46" i="7"/>
  <c r="K46" i="7"/>
  <c r="J46" i="7"/>
  <c r="K45" i="7"/>
  <c r="J45" i="7"/>
  <c r="L45" i="7" s="1"/>
  <c r="K44" i="7"/>
  <c r="J44" i="7"/>
  <c r="L44" i="7" s="1"/>
  <c r="L43" i="7"/>
  <c r="K43" i="7"/>
  <c r="J43" i="7"/>
  <c r="J42" i="7"/>
  <c r="K41" i="7"/>
  <c r="J41" i="7"/>
  <c r="L41" i="7" s="1"/>
  <c r="L40" i="7"/>
  <c r="K40" i="7"/>
  <c r="J40" i="7"/>
  <c r="K39" i="7"/>
  <c r="J39" i="7"/>
  <c r="L39" i="7" s="1"/>
  <c r="K38" i="7"/>
  <c r="J38" i="7"/>
  <c r="L38" i="7" s="1"/>
  <c r="L37" i="7"/>
  <c r="K37" i="7"/>
  <c r="J37" i="7"/>
  <c r="K36" i="7"/>
  <c r="J36" i="7"/>
  <c r="L36" i="7" s="1"/>
  <c r="K35" i="7"/>
  <c r="L35" i="7" s="1"/>
  <c r="J35" i="7"/>
  <c r="L34" i="7"/>
  <c r="K34" i="7"/>
  <c r="J34" i="7"/>
  <c r="K33" i="7"/>
  <c r="J33" i="7"/>
  <c r="L33" i="7" s="1"/>
  <c r="K32" i="7"/>
  <c r="J32" i="7"/>
  <c r="K31" i="7"/>
  <c r="L31" i="7" s="1"/>
  <c r="J31" i="7"/>
  <c r="K30" i="7"/>
  <c r="J30" i="7"/>
  <c r="K29" i="7"/>
  <c r="J29" i="7"/>
  <c r="L29" i="7" s="1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L19" i="7" s="1"/>
  <c r="K18" i="7"/>
  <c r="J18" i="7"/>
  <c r="R17" i="7"/>
  <c r="R47" i="7" s="1"/>
  <c r="H17" i="7"/>
  <c r="H48" i="7" s="1"/>
  <c r="G17" i="7"/>
  <c r="D15" i="7"/>
  <c r="G35" i="7" s="1"/>
  <c r="P1" i="7"/>
  <c r="P8" i="7" s="1"/>
  <c r="K48" i="1"/>
  <c r="K47" i="1"/>
  <c r="K46" i="1"/>
  <c r="K45" i="1"/>
  <c r="K44" i="1"/>
  <c r="K43" i="1"/>
  <c r="K41" i="1"/>
  <c r="K40" i="1"/>
  <c r="K39" i="1"/>
  <c r="K38" i="1"/>
  <c r="K37" i="1"/>
  <c r="K36" i="1"/>
  <c r="K35" i="1"/>
  <c r="K34" i="1"/>
  <c r="K33" i="1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28" i="7" l="1"/>
  <c r="L25" i="7"/>
  <c r="L30" i="7"/>
  <c r="L20" i="7"/>
  <c r="L24" i="7"/>
  <c r="L22" i="7"/>
  <c r="L27" i="7"/>
  <c r="L32" i="7"/>
  <c r="J49" i="7"/>
  <c r="L23" i="7"/>
  <c r="T23" i="7" s="1"/>
  <c r="S23" i="7" s="1"/>
  <c r="L21" i="7"/>
  <c r="L26" i="7"/>
  <c r="V43" i="7"/>
  <c r="V48" i="7"/>
  <c r="T38" i="7"/>
  <c r="S38" i="7" s="1"/>
  <c r="V20" i="7"/>
  <c r="T36" i="7"/>
  <c r="S36" i="7" s="1"/>
  <c r="V38" i="7"/>
  <c r="T41" i="7"/>
  <c r="S41" i="7" s="1"/>
  <c r="T44" i="7"/>
  <c r="S44" i="7" s="1"/>
  <c r="V36" i="7"/>
  <c r="T29" i="7"/>
  <c r="S29" i="7" s="1"/>
  <c r="V34" i="7"/>
  <c r="V39" i="7"/>
  <c r="T45" i="7"/>
  <c r="S45" i="7" s="1"/>
  <c r="T47" i="7"/>
  <c r="S47" i="7" s="1"/>
  <c r="T34" i="7"/>
  <c r="S34" i="7" s="1"/>
  <c r="V45" i="7"/>
  <c r="T48" i="7"/>
  <c r="S48" i="7" s="1"/>
  <c r="G38" i="7"/>
  <c r="G41" i="7"/>
  <c r="R19" i="7"/>
  <c r="T19" i="7" s="1"/>
  <c r="S19" i="7" s="1"/>
  <c r="H20" i="7"/>
  <c r="R22" i="7"/>
  <c r="V22" i="7" s="1"/>
  <c r="H23" i="7"/>
  <c r="R25" i="7"/>
  <c r="U25" i="7" s="1"/>
  <c r="H26" i="7"/>
  <c r="R28" i="7"/>
  <c r="V28" i="7" s="1"/>
  <c r="H29" i="7"/>
  <c r="R31" i="7"/>
  <c r="T31" i="7" s="1"/>
  <c r="S31" i="7" s="1"/>
  <c r="H32" i="7"/>
  <c r="R34" i="7"/>
  <c r="U34" i="7" s="1"/>
  <c r="H35" i="7"/>
  <c r="R37" i="7"/>
  <c r="V37" i="7" s="1"/>
  <c r="H38" i="7"/>
  <c r="R40" i="7"/>
  <c r="U40" i="7" s="1"/>
  <c r="H41" i="7"/>
  <c r="R43" i="7"/>
  <c r="U43" i="7" s="1"/>
  <c r="H44" i="7"/>
  <c r="R46" i="7"/>
  <c r="U46" i="7" s="1"/>
  <c r="H47" i="7"/>
  <c r="G20" i="7"/>
  <c r="G23" i="7"/>
  <c r="L18" i="7"/>
  <c r="G19" i="7"/>
  <c r="G22" i="7"/>
  <c r="G25" i="7"/>
  <c r="G28" i="7"/>
  <c r="G31" i="7"/>
  <c r="G34" i="7"/>
  <c r="G37" i="7"/>
  <c r="U38" i="7"/>
  <c r="G40" i="7"/>
  <c r="U41" i="7"/>
  <c r="G43" i="7"/>
  <c r="G46" i="7"/>
  <c r="U47" i="7"/>
  <c r="G32" i="7"/>
  <c r="R18" i="7"/>
  <c r="V18" i="7" s="1"/>
  <c r="H19" i="7"/>
  <c r="R21" i="7"/>
  <c r="U21" i="7" s="1"/>
  <c r="H22" i="7"/>
  <c r="R24" i="7"/>
  <c r="U24" i="7" s="1"/>
  <c r="H25" i="7"/>
  <c r="R27" i="7"/>
  <c r="U27" i="7" s="1"/>
  <c r="H28" i="7"/>
  <c r="R30" i="7"/>
  <c r="U30" i="7" s="1"/>
  <c r="H31" i="7"/>
  <c r="R33" i="7"/>
  <c r="U33" i="7" s="1"/>
  <c r="H34" i="7"/>
  <c r="V35" i="7"/>
  <c r="R36" i="7"/>
  <c r="U36" i="7" s="1"/>
  <c r="H37" i="7"/>
  <c r="R39" i="7"/>
  <c r="U39" i="7" s="1"/>
  <c r="H40" i="7"/>
  <c r="R42" i="7"/>
  <c r="K42" i="7" s="1"/>
  <c r="H43" i="7"/>
  <c r="R45" i="7"/>
  <c r="U45" i="7" s="1"/>
  <c r="H46" i="7"/>
  <c r="V47" i="7"/>
  <c r="R48" i="7"/>
  <c r="U48" i="7" s="1"/>
  <c r="G29" i="7"/>
  <c r="G44" i="7"/>
  <c r="G47" i="7"/>
  <c r="G18" i="7"/>
  <c r="U19" i="7"/>
  <c r="G21" i="7"/>
  <c r="G24" i="7"/>
  <c r="G27" i="7"/>
  <c r="U28" i="7"/>
  <c r="G30" i="7"/>
  <c r="G33" i="7"/>
  <c r="G36" i="7"/>
  <c r="U37" i="7"/>
  <c r="G39" i="7"/>
  <c r="G42" i="7"/>
  <c r="G45" i="7"/>
  <c r="G48" i="7"/>
  <c r="G26" i="7"/>
  <c r="H18" i="7"/>
  <c r="R20" i="7"/>
  <c r="H21" i="7"/>
  <c r="R23" i="7"/>
  <c r="V23" i="7" s="1"/>
  <c r="H24" i="7"/>
  <c r="R26" i="7"/>
  <c r="H27" i="7"/>
  <c r="R29" i="7"/>
  <c r="V29" i="7" s="1"/>
  <c r="H30" i="7"/>
  <c r="R32" i="7"/>
  <c r="V32" i="7" s="1"/>
  <c r="H33" i="7"/>
  <c r="R35" i="7"/>
  <c r="T35" i="7" s="1"/>
  <c r="S35" i="7" s="1"/>
  <c r="H36" i="7"/>
  <c r="R38" i="7"/>
  <c r="H39" i="7"/>
  <c r="R41" i="7"/>
  <c r="V41" i="7" s="1"/>
  <c r="H42" i="7"/>
  <c r="R44" i="7"/>
  <c r="U44" i="7" s="1"/>
  <c r="H45" i="7"/>
  <c r="R17" i="1"/>
  <c r="D15" i="1"/>
  <c r="Q49" i="1"/>
  <c r="E49" i="1"/>
  <c r="T26" i="7" l="1"/>
  <c r="S26" i="7" s="1"/>
  <c r="T20" i="7"/>
  <c r="S20" i="7" s="1"/>
  <c r="U23" i="7"/>
  <c r="T30" i="7"/>
  <c r="S30" i="7" s="1"/>
  <c r="U20" i="7"/>
  <c r="T28" i="7"/>
  <c r="S28" i="7" s="1"/>
  <c r="T21" i="7"/>
  <c r="S21" i="7" s="1"/>
  <c r="U32" i="7"/>
  <c r="V24" i="7"/>
  <c r="V21" i="7"/>
  <c r="V30" i="7"/>
  <c r="U29" i="7"/>
  <c r="H49" i="7"/>
  <c r="P2" i="7" s="1"/>
  <c r="T25" i="7"/>
  <c r="S25" i="7" s="1"/>
  <c r="U42" i="7"/>
  <c r="V42" i="7"/>
  <c r="V44" i="7"/>
  <c r="V27" i="7"/>
  <c r="T39" i="7"/>
  <c r="S39" i="7" s="1"/>
  <c r="V46" i="7"/>
  <c r="V40" i="7"/>
  <c r="G49" i="7"/>
  <c r="U35" i="7"/>
  <c r="U26" i="7"/>
  <c r="T18" i="7"/>
  <c r="T32" i="7"/>
  <c r="S32" i="7" s="1"/>
  <c r="V26" i="7"/>
  <c r="K49" i="7"/>
  <c r="V33" i="7"/>
  <c r="T43" i="7"/>
  <c r="S43" i="7" s="1"/>
  <c r="V25" i="7"/>
  <c r="T37" i="7"/>
  <c r="S37" i="7" s="1"/>
  <c r="L42" i="7"/>
  <c r="T42" i="7" s="1"/>
  <c r="S42" i="7" s="1"/>
  <c r="T24" i="7"/>
  <c r="S24" i="7" s="1"/>
  <c r="V31" i="7"/>
  <c r="T46" i="7"/>
  <c r="S46" i="7" s="1"/>
  <c r="T40" i="7"/>
  <c r="S40" i="7" s="1"/>
  <c r="T22" i="7"/>
  <c r="S22" i="7" s="1"/>
  <c r="U31" i="7"/>
  <c r="U22" i="7"/>
  <c r="V19" i="7"/>
  <c r="T33" i="7"/>
  <c r="S33" i="7" s="1"/>
  <c r="R49" i="7"/>
  <c r="U18" i="7"/>
  <c r="T27" i="7"/>
  <c r="S27" i="7" s="1"/>
  <c r="G39" i="1"/>
  <c r="G42" i="1"/>
  <c r="G45" i="1"/>
  <c r="G48" i="1"/>
  <c r="G33" i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G31" i="1"/>
  <c r="K31" i="1" s="1"/>
  <c r="G24" i="1"/>
  <c r="K24" i="1" s="1"/>
  <c r="G47" i="1"/>
  <c r="G35" i="1"/>
  <c r="G40" i="1"/>
  <c r="G43" i="1"/>
  <c r="G46" i="1"/>
  <c r="G29" i="1"/>
  <c r="K29" i="1" s="1"/>
  <c r="G28" i="1"/>
  <c r="K28" i="1" s="1"/>
  <c r="G27" i="1"/>
  <c r="K27" i="1" s="1"/>
  <c r="G21" i="1"/>
  <c r="K21" i="1" s="1"/>
  <c r="G36" i="1"/>
  <c r="G30" i="1"/>
  <c r="K30" i="1" s="1"/>
  <c r="G23" i="1"/>
  <c r="K23" i="1" s="1"/>
  <c r="G38" i="1"/>
  <c r="G41" i="1"/>
  <c r="G44" i="1"/>
  <c r="G34" i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V14" i="7" l="1"/>
  <c r="P9" i="7" s="1"/>
  <c r="P7" i="7"/>
  <c r="L49" i="7"/>
  <c r="P3" i="7" s="1"/>
  <c r="T49" i="7"/>
  <c r="P6" i="7" s="1"/>
  <c r="S18" i="7"/>
  <c r="S49" i="7" s="1"/>
  <c r="K42" i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L18" i="1" s="1"/>
  <c r="T18" i="1" s="1"/>
  <c r="S9" i="7" l="1"/>
  <c r="U9" i="7" s="1"/>
  <c r="P5" i="7"/>
  <c r="P4" i="7"/>
  <c r="V42" i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U18" i="1"/>
  <c r="V18" i="1"/>
  <c r="V19" i="1"/>
  <c r="U19" i="1"/>
  <c r="L19" i="1"/>
  <c r="T19" i="1" s="1"/>
  <c r="G49" i="1"/>
  <c r="T9" i="7" l="1"/>
  <c r="V9" i="7" s="1"/>
  <c r="U20" i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<sst xmlns="http://schemas.openxmlformats.org/spreadsheetml/2006/main" count="303" uniqueCount="124">
  <si>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</si>
  <si>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</si>
  <si>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</si>
  <si>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</si>
  <si>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</si>
  <si>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</si>
  <si>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</si>
  <si>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</si>
  <si>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</si>
  <si>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</si>
  <si>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</si>
  <si>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</si>
  <si>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</si>
  <si>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</si>
  <si>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</si>
  <si>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</si>
  <si>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</si>
  <si>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</si>
  <si>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</si>
  <si>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</si>
  <si>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</si>
  <si>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</si>
  <si>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</si>
  <si>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</si>
  <si>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</si>
  <si>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</si>
  <si>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</si>
  <si>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</si>
  <si>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</si>
  <si>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</si>
  <si>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</si>
  <si>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</si>
  <si>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</si>
  <si>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</si>
  <si>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</si>
  <si>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</si>
  <si>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</si>
  <si>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</si>
  <si>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</si>
  <si>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</si>
  <si>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</si>
  <si>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</si>
  <si>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</si>
  <si>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</si>
  <si>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</si>
  <si>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</si>
  <si>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</si>
  <si>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</si>
  <si>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</si>
  <si>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</si>
  <si>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</si>
  <si>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</si>
  <si>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</si>
  <si>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</si>
  <si>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</si>
  <si>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</si>
  <si>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</si>
  <si>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</si>
  <si>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</si>
  <si>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</si>
  <si>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</si>
  <si>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</si>
  <si>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</si>
  <si>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</si>
  <si>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</si>
  <si>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</si>
  <si>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</si>
  <si>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</si>
  <si>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</si>
  <si>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</si>
  <si>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</si>
  <si>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</si>
  <si>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</si>
  <si>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</si>
  <si>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</si>
  <si>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</si>
  <si>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</si>
  <si>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</si>
  <si>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</si>
  <si>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</si>
  <si>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</si>
  <si>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</si>
  <si>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</si>
  <si>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</si>
  <si>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</si>
  <si>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</si>
  <si>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FREIGHT TOTAL ORDER</t>
  </si>
  <si>
    <t>OEM NAME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</si>
  <si>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</si>
  <si>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</si>
  <si>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</si>
  <si>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</si>
  <si>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</si>
  <si>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</si>
  <si>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PL-501</t>
  </si>
  <si>
    <t>PL61</t>
  </si>
  <si>
    <t>DHA00501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</si>
  <si>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</si>
  <si>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</si>
  <si>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</si>
  <si>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</si>
  <si>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</si>
  <si>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</si>
  <si>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</si>
  <si>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</si>
  <si>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</si>
  <si>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</si>
  <si>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</si>
  <si>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</si>
  <si>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</si>
  <si>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</si>
  <si>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</si>
  <si>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</si>
  <si>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</si>
  <si>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</si>
  <si>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</si>
  <si>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</si>
  <si>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</si>
  <si>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</si>
  <si>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</si>
  <si>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</si>
  <si>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</si>
  <si>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PL61_MS_MTO_22"_40LINK</t>
  </si>
  <si>
    <t>GQP PL61 Complete UC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</si>
</sst>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165" fontId="6" fillId="0" borderId="2" xfId="1" applyFont="1" applyFill="1" applyBorder="1" applyProtection="1">
      <protection locked="0"/>
    </xf>
    <xf numFmtId="165" fontId="6" fillId="0" borderId="2" xfId="1" applyFont="1" applyFill="1" applyBorder="1" applyProtection="1"/>
    <xf numFmtId="165" fontId="6" fillId="0" borderId="7" xfId="1" applyFont="1" applyFill="1" applyBorder="1" applyProtection="1"/>
    <xf numFmtId="165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165" fontId="6" fillId="0" borderId="1" xfId="1" applyFont="1" applyFill="1" applyBorder="1" applyProtection="1">
      <protection locked="0"/>
    </xf>
    <xf numFmtId="165" fontId="6" fillId="0" borderId="1" xfId="1" applyFont="1" applyFill="1" applyBorder="1" applyProtection="1"/>
    <xf numFmtId="165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6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6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165" fontId="6" fillId="10" borderId="2" xfId="1" applyFont="1" applyFill="1" applyBorder="1" applyProtection="1"/>
    <xf numFmtId="165" fontId="6" fillId="10" borderId="7" xfId="1" applyFont="1" applyFill="1" applyBorder="1" applyProtection="1"/>
    <xf numFmtId="165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165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165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165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6" fontId="2" fillId="6" borderId="0" xfId="0" applyNumberFormat="1" applyFont="1" applyFill="1"/>
    <xf numFmtId="167" fontId="8" fillId="0" borderId="0" xfId="0" applyNumberFormat="1" applyFont="1"/>
    <xf numFmtId="167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165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165" fontId="3" fillId="10" borderId="1" xfId="1" applyFont="1" applyFill="1" applyBorder="1" applyAlignment="1" applyProtection="1">
      <alignment horizontal="center"/>
    </xf>
    <xf numFmtId="165" fontId="3" fillId="10" borderId="1" xfId="0" applyNumberFormat="1" applyFont="1" applyFill="1" applyBorder="1" applyAlignment="1">
      <alignment horizontal="right"/>
    </xf>
    <xf numFmtId="165" fontId="3" fillId="10" borderId="1" xfId="0" applyNumberFormat="1" applyFont="1" applyFill="1" applyBorder="1"/>
    <xf numFmtId="165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165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165" fontId="6" fillId="10" borderId="2" xfId="1" applyFont="1" applyFill="1" applyBorder="1" applyProtection="1">
      <protection locked="0"/>
    </xf>
    <xf numFmtId="0" fontId="9" fillId="4" borderId="3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17" fillId="8" borderId="56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9" fillId="4" borderId="47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18" fillId="9" borderId="58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/>
    </xf>
    <xf numFmtId="0" fontId="9" fillId="4" borderId="48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7" fontId="9" fillId="0" borderId="59" xfId="0" applyNumberFormat="1" applyFont="1" applyBorder="1" applyAlignment="1">
      <alignment horizontal="center" vertical="center"/>
    </xf>
    <xf numFmtId="167" fontId="9" fillId="0" borderId="16" xfId="0" applyNumberFormat="1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center"/>
    </xf>
    <xf numFmtId="167" fontId="8" fillId="0" borderId="4" xfId="0" applyNumberFormat="1" applyFont="1" applyBorder="1" applyAlignment="1">
      <alignment horizont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167" fontId="3" fillId="0" borderId="5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167" fontId="3" fillId="7" borderId="60" xfId="0" applyNumberFormat="1" applyFont="1" applyFill="1" applyBorder="1" applyAlignment="1">
      <alignment horizontal="center" vertical="center"/>
    </xf>
    <xf numFmtId="167" fontId="3" fillId="7" borderId="2" xfId="0" applyNumberFormat="1" applyFont="1" applyFill="1" applyBorder="1" applyAlignment="1">
      <alignment horizontal="center" vertical="center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167" fontId="8" fillId="0" borderId="48" xfId="0" applyNumberFormat="1" applyFont="1" applyBorder="1" applyAlignment="1">
      <alignment horizontal="center"/>
    </xf>
    <xf numFmtId="167" fontId="8" fillId="0" borderId="46" xfId="0" applyNumberFormat="1" applyFont="1" applyBorder="1" applyAlignment="1">
      <alignment horizontal="center"/>
    </xf>
    <xf numFmtId="0" fontId="18" fillId="9" borderId="10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0BAEF-88A4-44CF-8391-CC698B3C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E36-7F03-4448-9809-FD651607E4E6}">
  <sheetPr>
    <pageSetUpPr fitToPage="1"/>
  </sheetPr>
  <dimension ref="A1:AB51"/>
  <sheetViews>
    <sheetView tabSelected="1" topLeftCell="A15" zoomScale="85" zoomScaleNormal="85" workbookViewId="0">
      <selection activeCell="B18" sqref="B18:F32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/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0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0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/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0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/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 t="str">
        <f>IFERROR((P2-P3)/P2,"")</f>
        <v/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/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0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0</v>
      </c>
      <c r="U9" s="203">
        <f>IFERROR(((P3-S9)/S9),0)</f>
        <v>0</v>
      </c>
      <c r="V9" s="203">
        <f>IFERROR(T9/P3,0)</f>
        <v>0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0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/>
      <c r="C18" s="5"/>
      <c r="D18" s="125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48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/>
      <c r="C19" s="4"/>
      <c r="D19" s="126"/>
      <c r="E19" s="54"/>
      <c r="F19" s="15"/>
      <c r="G19" s="38">
        <f t="shared" ref="G19:G48" si="1">ROUND(IF($F$17="USD $", F19*$E$15,F19*$D$15),2)</f>
        <v>0</v>
      </c>
      <c r="H19" s="39">
        <f t="shared" ref="H19:H48" si="2">ROUND(IF($H$17=$G$17,E19*G19,E19*F19),2)</f>
        <v>0</v>
      </c>
      <c r="I19" s="42"/>
      <c r="J19" s="88">
        <f t="shared" si="0"/>
        <v>0</v>
      </c>
      <c r="K19" s="38">
        <f t="shared" ref="K19:K48" si="3">IFERROR(IF(M19="OEM DISC %",ROUND(IF($K$17=$F$17,F19*(1-N19),G19*(1-N19)),2),IF(M19="MARKUP %",ROUND(R19/J19*(1+N19),2))),0)</f>
        <v>0</v>
      </c>
      <c r="L19" s="38">
        <f t="shared" ref="L19:L48" si="4">ROUND((J19*K19),2)</f>
        <v>0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0</v>
      </c>
      <c r="T19" s="52">
        <f t="shared" ref="T19:T48" si="6">ROUND(L19-R19,2)</f>
        <v>0</v>
      </c>
      <c r="U19" s="41">
        <f t="shared" ref="U19:U48" si="7">IFERROR(((K19-(R19/J19))/(R19/J19)),0)</f>
        <v>0</v>
      </c>
      <c r="V19" s="41">
        <f t="shared" ref="V19:V48" si="8">IFERROR(((K19-(R19/J19))/K19),0)</f>
        <v>0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/>
      <c r="C20" s="6"/>
      <c r="D20" s="127"/>
      <c r="E20" s="53"/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0</v>
      </c>
      <c r="K20" s="9">
        <f t="shared" si="3"/>
        <v>0</v>
      </c>
      <c r="L20" s="9">
        <f t="shared" si="4"/>
        <v>0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/>
      <c r="C21" s="4"/>
      <c r="D21" s="126"/>
      <c r="E21" s="54"/>
      <c r="F21" s="15"/>
      <c r="G21" s="38">
        <f t="shared" si="1"/>
        <v>0</v>
      </c>
      <c r="H21" s="39">
        <f t="shared" si="2"/>
        <v>0</v>
      </c>
      <c r="I21" s="42"/>
      <c r="J21" s="88">
        <f t="shared" si="0"/>
        <v>0</v>
      </c>
      <c r="K21" s="38">
        <f t="shared" si="3"/>
        <v>0</v>
      </c>
      <c r="L21" s="38">
        <f t="shared" si="4"/>
        <v>0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0</v>
      </c>
      <c r="T21" s="52">
        <f t="shared" si="6"/>
        <v>0</v>
      </c>
      <c r="U21" s="41">
        <f t="shared" si="7"/>
        <v>0</v>
      </c>
      <c r="V21" s="41">
        <f t="shared" si="8"/>
        <v>0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/>
      <c r="C22" s="6"/>
      <c r="D22" s="127"/>
      <c r="E22" s="53"/>
      <c r="F22" s="8"/>
      <c r="G22" s="9">
        <f t="shared" si="1"/>
        <v>0</v>
      </c>
      <c r="H22" s="10">
        <f t="shared" si="2"/>
        <v>0</v>
      </c>
      <c r="I22" s="42"/>
      <c r="J22" s="89">
        <f t="shared" si="0"/>
        <v>0</v>
      </c>
      <c r="K22" s="9">
        <f t="shared" si="3"/>
        <v>0</v>
      </c>
      <c r="L22" s="9">
        <f t="shared" si="4"/>
        <v>0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0</v>
      </c>
      <c r="T22" s="14">
        <f t="shared" si="6"/>
        <v>0</v>
      </c>
      <c r="U22" s="29">
        <f t="shared" si="7"/>
        <v>0</v>
      </c>
      <c r="V22" s="29">
        <f t="shared" si="8"/>
        <v>0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/>
      <c r="C23" s="4"/>
      <c r="D23" s="126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/>
      <c r="C24" s="6"/>
      <c r="D24" s="127"/>
      <c r="E24" s="53"/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0</v>
      </c>
      <c r="K24" s="9">
        <f t="shared" si="3"/>
        <v>0</v>
      </c>
      <c r="L24" s="9">
        <f t="shared" si="4"/>
        <v>0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6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/>
      <c r="C26" s="6"/>
      <c r="D26" s="127"/>
      <c r="E26" s="53"/>
      <c r="F26" s="8"/>
      <c r="G26" s="9">
        <f t="shared" si="1"/>
        <v>0</v>
      </c>
      <c r="H26" s="10">
        <f t="shared" si="2"/>
        <v>0</v>
      </c>
      <c r="I26" s="42"/>
      <c r="J26" s="89">
        <f t="shared" si="0"/>
        <v>0</v>
      </c>
      <c r="K26" s="9">
        <f t="shared" si="3"/>
        <v>0</v>
      </c>
      <c r="L26" s="9">
        <f t="shared" si="4"/>
        <v>0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0</v>
      </c>
      <c r="T26" s="14">
        <f t="shared" si="6"/>
        <v>0</v>
      </c>
      <c r="U26" s="29">
        <f t="shared" si="7"/>
        <v>0</v>
      </c>
      <c r="V26" s="29">
        <f t="shared" si="8"/>
        <v>0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6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/>
      <c r="C28" s="6"/>
      <c r="D28" s="127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0</v>
      </c>
      <c r="F49" s="78">
        <f>SUM(F18:F48)</f>
        <v>0</v>
      </c>
      <c r="G49" s="79">
        <f>SUM(G18:G48)</f>
        <v>0</v>
      </c>
      <c r="H49" s="80">
        <f>SUM(H18:H48)</f>
        <v>0</v>
      </c>
      <c r="I49" s="81"/>
      <c r="J49" s="82">
        <f>SUM(J18:J48)</f>
        <v>0</v>
      </c>
      <c r="K49" s="79">
        <f>SUM(K18:K48)</f>
        <v>0</v>
      </c>
      <c r="L49" s="80">
        <f>SUM(L18:L48)</f>
        <v>0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0</v>
      </c>
      <c r="T49" s="80">
        <f>SUM(T18:T48)</f>
        <v>0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M18:M48" xr:uid="{C1403078-3E1B-4E7B-970E-A975C59AC5CB}">
      <formula1>$Y$31:$Y$32</formula1>
    </dataValidation>
    <dataValidation type="list" showInputMessage="1" showErrorMessage="1" sqref="D18:D48" xr:uid="{E0167917-81C1-4067-B94B-7FD1CAA17766}">
      <formula1>$Z$18:$Z$29</formula1>
    </dataValidation>
    <dataValidation type="list" allowBlank="1" showInputMessage="1" showErrorMessage="1" sqref="I13" xr:uid="{F98F9C76-C246-4732-8C20-30661A8F6E40}">
      <formula1>$K$9:$K$9</formula1>
    </dataValidation>
    <dataValidation type="list" allowBlank="1" showInputMessage="1" showErrorMessage="1" sqref="H13" xr:uid="{78EB2176-0298-46D8-8442-85DB78B64619}">
      <formula1>$Y$13:$Y$14</formula1>
    </dataValidation>
    <dataValidation type="list" allowBlank="1" showInputMessage="1" showErrorMessage="1" sqref="F17 K17 Q17 Q14" xr:uid="{40B82014-8BED-4BAC-A906-1E8AC35AA7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zoomScale="85" zoomScaleNormal="85" workbookViewId="0">
      <selection activeCell="M39" sqref="M3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163" t="s">
        <v>41</v>
      </c>
      <c r="C1" s="164"/>
      <c r="D1" s="132" t="s">
        <v>17</v>
      </c>
      <c r="E1" s="133"/>
      <c r="F1" s="133"/>
      <c r="G1" s="134"/>
      <c r="H1" s="164" t="s">
        <v>21</v>
      </c>
      <c r="I1" s="133"/>
      <c r="J1" s="133"/>
      <c r="K1" s="134"/>
      <c r="L1" s="243" t="s">
        <v>25</v>
      </c>
      <c r="M1" s="244"/>
      <c r="N1" s="244"/>
      <c r="O1" s="244"/>
      <c r="P1" s="133" t="str">
        <f>K17</f>
        <v>CAD $</v>
      </c>
      <c r="Q1" s="133"/>
      <c r="R1" s="134"/>
      <c r="S1" s="164" t="s">
        <v>77</v>
      </c>
      <c r="T1" s="133"/>
      <c r="U1" s="133"/>
      <c r="V1" s="133"/>
      <c r="W1" s="134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135" t="s">
        <v>40</v>
      </c>
      <c r="E2" s="136"/>
      <c r="F2" s="167" t="s">
        <v>94</v>
      </c>
      <c r="G2" s="168"/>
      <c r="H2" s="135" t="s">
        <v>20</v>
      </c>
      <c r="I2" s="165"/>
      <c r="J2" s="136"/>
      <c r="K2" s="34"/>
      <c r="L2" s="169" t="s">
        <v>18</v>
      </c>
      <c r="M2" s="170"/>
      <c r="N2" s="171"/>
      <c r="O2" s="120"/>
      <c r="P2" s="247">
        <f>H49</f>
        <v>77520.69</v>
      </c>
      <c r="Q2" s="247"/>
      <c r="R2" s="248"/>
      <c r="S2" s="207" t="s">
        <v>22</v>
      </c>
      <c r="T2" s="208"/>
      <c r="U2" s="262"/>
      <c r="V2" s="263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130" t="s">
        <v>13</v>
      </c>
      <c r="E3" s="131"/>
      <c r="F3" s="151"/>
      <c r="G3" s="152"/>
      <c r="H3" s="130" t="s">
        <v>19</v>
      </c>
      <c r="I3" s="166"/>
      <c r="J3" s="131"/>
      <c r="K3" s="32"/>
      <c r="L3" s="172" t="s">
        <v>23</v>
      </c>
      <c r="M3" s="173"/>
      <c r="N3" s="174"/>
      <c r="O3" s="120"/>
      <c r="P3" s="191">
        <f>L49</f>
        <v>43033.65</v>
      </c>
      <c r="Q3" s="191"/>
      <c r="R3" s="192"/>
      <c r="S3" s="209" t="s">
        <v>61</v>
      </c>
      <c r="T3" s="210"/>
      <c r="U3" s="184"/>
      <c r="V3" s="185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130" t="s">
        <v>14</v>
      </c>
      <c r="E4" s="131"/>
      <c r="F4" s="151" t="s">
        <v>51</v>
      </c>
      <c r="G4" s="152"/>
      <c r="H4" s="130" t="s">
        <v>27</v>
      </c>
      <c r="I4" s="166"/>
      <c r="J4" s="131"/>
      <c r="K4" s="32"/>
      <c r="L4" s="172" t="s">
        <v>26</v>
      </c>
      <c r="M4" s="173"/>
      <c r="N4" s="174"/>
      <c r="O4" s="120"/>
      <c r="P4" s="191">
        <f>P2-P3</f>
        <v>34487.040000000001</v>
      </c>
      <c r="Q4" s="191"/>
      <c r="R4" s="192"/>
      <c r="S4" s="209" t="s">
        <v>62</v>
      </c>
      <c r="T4" s="210"/>
      <c r="U4" s="184"/>
      <c r="V4" s="185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130" t="s">
        <v>15</v>
      </c>
      <c r="E5" s="131"/>
      <c r="F5" s="151" t="s">
        <v>95</v>
      </c>
      <c r="G5" s="152"/>
      <c r="H5" s="130" t="s">
        <v>28</v>
      </c>
      <c r="I5" s="166"/>
      <c r="J5" s="131"/>
      <c r="K5" s="32"/>
      <c r="L5" s="175" t="s">
        <v>24</v>
      </c>
      <c r="M5" s="176"/>
      <c r="N5" s="177"/>
      <c r="O5" s="120"/>
      <c r="P5" s="193">
        <f>IFERROR((P2-P3)/P2,"")</f>
        <v>0.44487529716260266</v>
      </c>
      <c r="Q5" s="193"/>
      <c r="R5" s="194"/>
      <c r="S5" s="209" t="s">
        <v>63</v>
      </c>
      <c r="T5" s="210"/>
      <c r="U5" s="184"/>
      <c r="V5" s="185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130" t="s">
        <v>16</v>
      </c>
      <c r="E6" s="131"/>
      <c r="F6" s="151" t="s">
        <v>96</v>
      </c>
      <c r="G6" s="152"/>
      <c r="H6" s="130" t="s">
        <v>29</v>
      </c>
      <c r="I6" s="166"/>
      <c r="J6" s="131"/>
      <c r="K6" s="32"/>
      <c r="L6" s="186" t="s">
        <v>70</v>
      </c>
      <c r="M6" s="187"/>
      <c r="N6" s="188"/>
      <c r="O6" s="120"/>
      <c r="P6" s="189">
        <f>T49</f>
        <v>43033.65</v>
      </c>
      <c r="Q6" s="189"/>
      <c r="R6" s="190"/>
      <c r="S6" s="209" t="s">
        <v>59</v>
      </c>
      <c r="T6" s="210"/>
      <c r="U6" s="184"/>
      <c r="V6" s="185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130" t="s">
        <v>56</v>
      </c>
      <c r="E7" s="131"/>
      <c r="F7" s="151"/>
      <c r="G7" s="152"/>
      <c r="H7" s="130" t="s">
        <v>30</v>
      </c>
      <c r="I7" s="166"/>
      <c r="J7" s="131"/>
      <c r="K7" s="32"/>
      <c r="L7" s="178" t="s">
        <v>79</v>
      </c>
      <c r="M7" s="179"/>
      <c r="N7" s="180"/>
      <c r="O7" s="120"/>
      <c r="P7" s="199">
        <f>R49</f>
        <v>0</v>
      </c>
      <c r="Q7" s="199"/>
      <c r="R7" s="200"/>
      <c r="S7" s="195" t="s">
        <v>60</v>
      </c>
      <c r="T7" s="196"/>
      <c r="U7" s="197"/>
      <c r="V7" s="198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130" t="s">
        <v>31</v>
      </c>
      <c r="E8" s="131"/>
      <c r="F8" s="151"/>
      <c r="G8" s="152"/>
      <c r="H8" s="130" t="s">
        <v>39</v>
      </c>
      <c r="I8" s="166"/>
      <c r="J8" s="131"/>
      <c r="K8" s="32"/>
      <c r="L8" s="178" t="s">
        <v>71</v>
      </c>
      <c r="M8" s="179"/>
      <c r="N8" s="180"/>
      <c r="O8" s="120"/>
      <c r="P8" s="199">
        <f>IF(P1=Q14,R14,IF(Q14="CAD $",R14*D15,IF(Q14="USD $",R14*E15,0)))</f>
        <v>0</v>
      </c>
      <c r="Q8" s="199"/>
      <c r="R8" s="200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130" t="s">
        <v>57</v>
      </c>
      <c r="E9" s="131"/>
      <c r="F9" s="151"/>
      <c r="G9" s="152"/>
      <c r="H9" s="111"/>
      <c r="I9" s="112"/>
      <c r="J9" s="112"/>
      <c r="K9" s="43"/>
      <c r="L9" s="178" t="s">
        <v>69</v>
      </c>
      <c r="M9" s="179"/>
      <c r="N9" s="180"/>
      <c r="O9" s="120"/>
      <c r="P9" s="201">
        <f>V14</f>
        <v>0</v>
      </c>
      <c r="Q9" s="201"/>
      <c r="R9" s="202"/>
      <c r="S9" s="205">
        <f>P7+P8+P9</f>
        <v>0</v>
      </c>
      <c r="T9" s="205">
        <f>P3-S9</f>
        <v>43033.65</v>
      </c>
      <c r="U9" s="203">
        <f>IFERROR(((P3-S9)/S9),0)</f>
        <v>0</v>
      </c>
      <c r="V9" s="203">
        <f>IFERROR(T9/P3,0)</f>
        <v>1</v>
      </c>
      <c r="W9" s="260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09" t="s">
        <v>82</v>
      </c>
      <c r="M10" s="257"/>
      <c r="N10" s="210"/>
      <c r="O10" s="120"/>
      <c r="P10" s="258">
        <f>E49</f>
        <v>20</v>
      </c>
      <c r="Q10" s="258"/>
      <c r="R10" s="259"/>
      <c r="S10" s="206"/>
      <c r="T10" s="206"/>
      <c r="U10" s="204"/>
      <c r="V10" s="204"/>
      <c r="W10" s="261"/>
      <c r="X10" s="64"/>
      <c r="Y10" s="61"/>
      <c r="Z10" s="61"/>
      <c r="AA10" s="61"/>
      <c r="AB10" s="61"/>
    </row>
    <row r="11" spans="1:28" ht="15" customHeight="1" x14ac:dyDescent="0.3">
      <c r="A11" s="55"/>
      <c r="B11" s="141"/>
      <c r="C11" s="142"/>
      <c r="D11" s="145" t="s">
        <v>36</v>
      </c>
      <c r="E11" s="146"/>
      <c r="F11" s="153" t="s">
        <v>18</v>
      </c>
      <c r="G11" s="154"/>
      <c r="H11" s="155"/>
      <c r="I11" s="90"/>
      <c r="J11" s="215" t="s">
        <v>43</v>
      </c>
      <c r="K11" s="216"/>
      <c r="L11" s="216"/>
      <c r="M11" s="216"/>
      <c r="N11" s="217"/>
      <c r="O11" s="120"/>
      <c r="P11" s="249" t="s">
        <v>42</v>
      </c>
      <c r="Q11" s="154"/>
      <c r="R11" s="154"/>
      <c r="S11" s="154"/>
      <c r="T11" s="154"/>
      <c r="U11" s="154"/>
      <c r="V11" s="250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143"/>
      <c r="C12" s="144"/>
      <c r="D12" s="147"/>
      <c r="E12" s="148"/>
      <c r="F12" s="156"/>
      <c r="G12" s="157"/>
      <c r="H12" s="158"/>
      <c r="I12" s="91"/>
      <c r="J12" s="218"/>
      <c r="K12" s="219"/>
      <c r="L12" s="219"/>
      <c r="M12" s="219"/>
      <c r="N12" s="220"/>
      <c r="O12" s="121"/>
      <c r="P12" s="251"/>
      <c r="Q12" s="252"/>
      <c r="R12" s="252"/>
      <c r="S12" s="252"/>
      <c r="T12" s="252"/>
      <c r="U12" s="252"/>
      <c r="V12" s="253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143"/>
      <c r="C13" s="144"/>
      <c r="D13" s="149"/>
      <c r="E13" s="150"/>
      <c r="F13" s="224" t="s">
        <v>81</v>
      </c>
      <c r="G13" s="225"/>
      <c r="H13" s="44" t="s">
        <v>32</v>
      </c>
      <c r="I13" s="92"/>
      <c r="J13" s="221"/>
      <c r="K13" s="222"/>
      <c r="L13" s="222"/>
      <c r="M13" s="222"/>
      <c r="N13" s="223"/>
      <c r="O13" s="121"/>
      <c r="P13" s="251"/>
      <c r="Q13" s="252"/>
      <c r="R13" s="252"/>
      <c r="S13" s="252"/>
      <c r="T13" s="252"/>
      <c r="U13" s="252"/>
      <c r="V13" s="253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143"/>
      <c r="C14" s="144"/>
      <c r="D14" s="106" t="s">
        <v>34</v>
      </c>
      <c r="E14" s="107" t="s">
        <v>35</v>
      </c>
      <c r="F14" s="228" t="s">
        <v>87</v>
      </c>
      <c r="G14" s="229"/>
      <c r="H14" s="230"/>
      <c r="I14" s="93"/>
      <c r="J14" s="226" t="s">
        <v>88</v>
      </c>
      <c r="K14" s="227"/>
      <c r="L14" s="237" t="s">
        <v>89</v>
      </c>
      <c r="M14" s="238"/>
      <c r="N14" s="23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143"/>
      <c r="C15" s="144"/>
      <c r="D15" s="119">
        <f>1/E15</f>
        <v>0.68965517241379315</v>
      </c>
      <c r="E15" s="7">
        <v>1.45</v>
      </c>
      <c r="F15" s="232"/>
      <c r="G15" s="233"/>
      <c r="H15" s="234"/>
      <c r="I15" s="94"/>
      <c r="J15" s="149"/>
      <c r="K15" s="150"/>
      <c r="L15" s="240"/>
      <c r="M15" s="241"/>
      <c r="N15" s="242"/>
      <c r="O15" s="122"/>
      <c r="P15" s="254" t="s">
        <v>78</v>
      </c>
      <c r="Q15" s="255"/>
      <c r="R15" s="255"/>
      <c r="S15" s="255"/>
      <c r="T15" s="255"/>
      <c r="U15" s="255"/>
      <c r="V15" s="256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137" t="s">
        <v>0</v>
      </c>
      <c r="C16" s="139" t="s">
        <v>1</v>
      </c>
      <c r="D16" s="159" t="s">
        <v>37</v>
      </c>
      <c r="E16" s="161" t="s">
        <v>2</v>
      </c>
      <c r="F16" s="140" t="s">
        <v>3</v>
      </c>
      <c r="G16" s="231"/>
      <c r="H16" s="104" t="s">
        <v>9</v>
      </c>
      <c r="I16" s="95"/>
      <c r="J16" s="211" t="s">
        <v>2</v>
      </c>
      <c r="K16" s="102" t="s">
        <v>6</v>
      </c>
      <c r="L16" s="99" t="s">
        <v>4</v>
      </c>
      <c r="M16" s="235" t="s">
        <v>90</v>
      </c>
      <c r="N16" s="235" t="s">
        <v>91</v>
      </c>
      <c r="O16" s="123"/>
      <c r="P16" s="245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138"/>
      <c r="C17" s="140"/>
      <c r="D17" s="160"/>
      <c r="E17" s="1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2"/>
      <c r="K17" s="213" t="s">
        <v>7</v>
      </c>
      <c r="L17" s="214"/>
      <c r="M17" s="236"/>
      <c r="N17" s="236"/>
      <c r="O17" s="124"/>
      <c r="P17" s="246"/>
      <c r="Q17" s="37" t="s">
        <v>8</v>
      </c>
      <c r="R17" s="181" t="str">
        <f>K17</f>
        <v>CAD $</v>
      </c>
      <c r="S17" s="182"/>
      <c r="T17" s="182"/>
      <c r="U17" s="182"/>
      <c r="V17" s="183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37" si="1">ROUND(IF($F$17="USD $", F19*$E$15,F19*$D$15),2)</f>
        <v>57</v>
      </c>
      <c r="H19" s="39">
        <f t="shared" ref="H19:H37" si="2">ROUND(IF($H$17=$G$17,E19*G19,E19*F19),2)</f>
        <v>82.65</v>
      </c>
      <c r="I19" s="42"/>
      <c r="J19" s="88">
        <f t="shared" ref="J19:J37" si="3">E19</f>
        <v>1</v>
      </c>
      <c r="K19" s="38">
        <f t="shared" ref="K19:K48" si="4">IFERROR(IF(M19="OEM DISC %",ROUND(IF($K$17=$F$17,F19*(1-N19),G19*(1-N19)),2),IF(M19="MARKUP %",ROUND(R19/J19*(1+N19),2))),0)</f>
        <v>41.33</v>
      </c>
      <c r="L19" s="38">
        <f t="shared" ref="L19:L37" si="5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41.33</v>
      </c>
      <c r="T19" s="52">
        <f t="shared" ref="T19:T48" si="7">ROUND(L19-R19,2)</f>
        <v>41.33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3"/>
        <v>1</v>
      </c>
      <c r="K20" s="9">
        <f t="shared" si="4"/>
        <v>139.16999999999999</v>
      </c>
      <c r="L20" s="9">
        <f t="shared" si="5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139.16999999999999</v>
      </c>
      <c r="T20" s="14">
        <f t="shared" si="7"/>
        <v>139.16999999999999</v>
      </c>
      <c r="U20" s="29">
        <f t="shared" si="8"/>
        <v>0</v>
      </c>
      <c r="V20" s="29">
        <f t="shared" si="9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3"/>
        <v>1</v>
      </c>
      <c r="K21" s="38">
        <f t="shared" si="4"/>
        <v>95.82</v>
      </c>
      <c r="L21" s="38">
        <f t="shared" si="5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10"/>
        <v>0</v>
      </c>
      <c r="S21" s="52">
        <f t="shared" si="6"/>
        <v>95.82</v>
      </c>
      <c r="T21" s="52">
        <f t="shared" si="7"/>
        <v>95.82</v>
      </c>
      <c r="U21" s="41">
        <f t="shared" si="8"/>
        <v>0</v>
      </c>
      <c r="V21" s="41">
        <f t="shared" si="9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3"/>
        <v>1</v>
      </c>
      <c r="K22" s="9">
        <f t="shared" si="4"/>
        <v>53.45</v>
      </c>
      <c r="L22" s="9">
        <f t="shared" si="5"/>
        <v>53.45</v>
      </c>
      <c r="M22" s="8" t="s">
        <v>92</v>
      </c>
      <c r="N22" s="12">
        <v>0.35</v>
      </c>
      <c r="O22" s="51"/>
      <c r="P22" s="3"/>
      <c r="Q22" s="13"/>
      <c r="R22" s="14">
        <f t="shared" si="10"/>
        <v>0</v>
      </c>
      <c r="S22" s="14">
        <f t="shared" si="6"/>
        <v>53.45</v>
      </c>
      <c r="T22" s="14">
        <f t="shared" si="7"/>
        <v>53.45</v>
      </c>
      <c r="U22" s="29">
        <f t="shared" si="8"/>
        <v>0</v>
      </c>
      <c r="V22" s="29">
        <f t="shared" si="9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3"/>
        <v>1</v>
      </c>
      <c r="K23" s="38">
        <f t="shared" si="4"/>
        <v>72.64</v>
      </c>
      <c r="L23" s="38">
        <f t="shared" si="5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10"/>
        <v>0</v>
      </c>
      <c r="S23" s="52">
        <f t="shared" si="6"/>
        <v>72.64</v>
      </c>
      <c r="T23" s="52">
        <f t="shared" si="7"/>
        <v>72.64</v>
      </c>
      <c r="U23" s="41">
        <f t="shared" si="8"/>
        <v>0</v>
      </c>
      <c r="V23" s="41">
        <f t="shared" si="9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3"/>
        <v>1</v>
      </c>
      <c r="K24" s="9">
        <f t="shared" si="4"/>
        <v>36.54</v>
      </c>
      <c r="L24" s="9">
        <f t="shared" si="5"/>
        <v>36.54</v>
      </c>
      <c r="M24" s="8" t="s">
        <v>92</v>
      </c>
      <c r="N24" s="12">
        <v>0.5</v>
      </c>
      <c r="O24" s="51"/>
      <c r="P24" s="3"/>
      <c r="Q24" s="13"/>
      <c r="R24" s="14">
        <f t="shared" si="10"/>
        <v>0</v>
      </c>
      <c r="S24" s="14">
        <f t="shared" si="6"/>
        <v>36.54</v>
      </c>
      <c r="T24" s="14">
        <f t="shared" si="7"/>
        <v>36.54</v>
      </c>
      <c r="U24" s="29">
        <f t="shared" si="8"/>
        <v>0</v>
      </c>
      <c r="V24" s="29">
        <f t="shared" si="9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3"/>
        <v>1</v>
      </c>
      <c r="K25" s="38">
        <f t="shared" si="4"/>
        <v>36.479999999999997</v>
      </c>
      <c r="L25" s="38">
        <f t="shared" si="5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36.479999999999997</v>
      </c>
      <c r="T25" s="52">
        <f t="shared" si="7"/>
        <v>36.479999999999997</v>
      </c>
      <c r="U25" s="41">
        <f t="shared" si="8"/>
        <v>0</v>
      </c>
      <c r="V25" s="41">
        <f t="shared" si="9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3"/>
        <v>2</v>
      </c>
      <c r="K26" s="9">
        <f t="shared" si="4"/>
        <v>243.24</v>
      </c>
      <c r="L26" s="9">
        <f t="shared" si="5"/>
        <v>486.48</v>
      </c>
      <c r="M26" s="8" t="s">
        <v>92</v>
      </c>
      <c r="N26" s="12">
        <v>0.5</v>
      </c>
      <c r="O26" s="51"/>
      <c r="P26" s="3"/>
      <c r="Q26" s="13"/>
      <c r="R26" s="14">
        <f t="shared" si="10"/>
        <v>0</v>
      </c>
      <c r="S26" s="14">
        <f t="shared" si="6"/>
        <v>243.24</v>
      </c>
      <c r="T26" s="14">
        <f t="shared" si="7"/>
        <v>486.48</v>
      </c>
      <c r="U26" s="29">
        <f t="shared" si="8"/>
        <v>0</v>
      </c>
      <c r="V26" s="29">
        <f t="shared" si="9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3"/>
        <v>6</v>
      </c>
      <c r="K27" s="38">
        <f t="shared" si="4"/>
        <v>864.45</v>
      </c>
      <c r="L27" s="38">
        <f t="shared" si="5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10"/>
        <v>0</v>
      </c>
      <c r="S27" s="52">
        <f t="shared" si="6"/>
        <v>864.45</v>
      </c>
      <c r="T27" s="52">
        <f t="shared" si="7"/>
        <v>5186.7</v>
      </c>
      <c r="U27" s="41">
        <f t="shared" si="8"/>
        <v>0</v>
      </c>
      <c r="V27" s="41">
        <f t="shared" si="9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3"/>
        <v>1</v>
      </c>
      <c r="K28" s="9">
        <f t="shared" si="4"/>
        <v>3181.59</v>
      </c>
      <c r="L28" s="9">
        <f t="shared" si="5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3181.59</v>
      </c>
      <c r="T28" s="14">
        <f t="shared" si="7"/>
        <v>3181.59</v>
      </c>
      <c r="U28" s="29">
        <f t="shared" si="8"/>
        <v>0</v>
      </c>
      <c r="V28" s="29">
        <f t="shared" si="9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3"/>
        <v>1</v>
      </c>
      <c r="K29" s="38">
        <f t="shared" si="4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10"/>
        <v>0</v>
      </c>
      <c r="S29" s="52">
        <f t="shared" si="6"/>
        <v>372.09</v>
      </c>
      <c r="T29" s="52">
        <f t="shared" si="7"/>
        <v>372.09</v>
      </c>
      <c r="U29" s="41">
        <f t="shared" si="8"/>
        <v>0</v>
      </c>
      <c r="V29" s="41">
        <f t="shared" si="9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3"/>
        <v>1</v>
      </c>
      <c r="K30" s="9">
        <f t="shared" si="4"/>
        <v>3340.94</v>
      </c>
      <c r="L30" s="9">
        <f t="shared" si="5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10"/>
        <v>0</v>
      </c>
      <c r="S30" s="14">
        <f t="shared" si="6"/>
        <v>3340.94</v>
      </c>
      <c r="T30" s="14">
        <f t="shared" si="7"/>
        <v>3340.94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3"/>
        <v>0</v>
      </c>
      <c r="K31" s="38">
        <f t="shared" si="4"/>
        <v>0</v>
      </c>
      <c r="L31" s="38">
        <f t="shared" si="5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0</v>
      </c>
      <c r="T31" s="52">
        <f t="shared" si="7"/>
        <v>0</v>
      </c>
      <c r="U31" s="41">
        <f t="shared" si="8"/>
        <v>0</v>
      </c>
      <c r="V31" s="41">
        <f t="shared" si="9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3"/>
        <v>1</v>
      </c>
      <c r="K32" s="9">
        <f t="shared" si="4"/>
        <v>29972.79</v>
      </c>
      <c r="L32" s="9">
        <f t="shared" si="5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10"/>
        <v>0</v>
      </c>
      <c r="S32" s="14">
        <f t="shared" si="6"/>
        <v>29972.79</v>
      </c>
      <c r="T32" s="14">
        <f t="shared" si="7"/>
        <v>29972.79</v>
      </c>
      <c r="U32" s="29">
        <f t="shared" si="8"/>
        <v>0</v>
      </c>
      <c r="V32" s="29">
        <f t="shared" si="9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3"/>
        <v>0</v>
      </c>
      <c r="K33" s="38">
        <f t="shared" si="4"/>
        <v>0</v>
      </c>
      <c r="L33" s="38">
        <f t="shared" si="5"/>
        <v>0</v>
      </c>
      <c r="M33" s="129" t="s">
        <v>92</v>
      </c>
      <c r="N33" s="16"/>
      <c r="O33" s="51"/>
      <c r="P33" s="1"/>
      <c r="Q33" s="15"/>
      <c r="R33" s="40">
        <f t="shared" si="10"/>
        <v>0</v>
      </c>
      <c r="S33" s="52">
        <f t="shared" si="6"/>
        <v>0</v>
      </c>
      <c r="T33" s="52">
        <f t="shared" si="7"/>
        <v>0</v>
      </c>
      <c r="U33" s="41">
        <f t="shared" si="8"/>
        <v>0</v>
      </c>
      <c r="V33" s="41">
        <f t="shared" si="9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3"/>
        <v>0</v>
      </c>
      <c r="K34" s="9">
        <f t="shared" si="4"/>
        <v>0</v>
      </c>
      <c r="L34" s="9">
        <f t="shared" si="5"/>
        <v>0</v>
      </c>
      <c r="M34" s="8" t="s">
        <v>92</v>
      </c>
      <c r="N34" s="12"/>
      <c r="O34" s="51"/>
      <c r="P34" s="3"/>
      <c r="Q34" s="13"/>
      <c r="R34" s="14">
        <f t="shared" si="10"/>
        <v>0</v>
      </c>
      <c r="S34" s="14">
        <f t="shared" si="6"/>
        <v>0</v>
      </c>
      <c r="T34" s="14">
        <f t="shared" si="7"/>
        <v>0</v>
      </c>
      <c r="U34" s="29">
        <f t="shared" si="8"/>
        <v>0</v>
      </c>
      <c r="V34" s="29">
        <f t="shared" si="9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3"/>
        <v>0</v>
      </c>
      <c r="K35" s="38">
        <f t="shared" si="4"/>
        <v>0</v>
      </c>
      <c r="L35" s="38">
        <f t="shared" si="5"/>
        <v>0</v>
      </c>
      <c r="M35" s="129" t="s">
        <v>92</v>
      </c>
      <c r="N35" s="16"/>
      <c r="O35" s="51"/>
      <c r="P35" s="1"/>
      <c r="Q35" s="15"/>
      <c r="R35" s="40">
        <f t="shared" si="10"/>
        <v>0</v>
      </c>
      <c r="S35" s="52">
        <f t="shared" si="6"/>
        <v>0</v>
      </c>
      <c r="T35" s="52">
        <f t="shared" si="7"/>
        <v>0</v>
      </c>
      <c r="U35" s="41">
        <f t="shared" si="8"/>
        <v>0</v>
      </c>
      <c r="V35" s="41">
        <f t="shared" si="9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92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3"/>
        <v>0</v>
      </c>
      <c r="K37" s="38">
        <f t="shared" si="4"/>
        <v>0</v>
      </c>
      <c r="L37" s="38">
        <f t="shared" si="5"/>
        <v>0</v>
      </c>
      <c r="M37" s="129" t="s">
        <v>92</v>
      </c>
      <c r="N37" s="16"/>
      <c r="O37" s="51"/>
      <c r="P37" s="1"/>
      <c r="Q37" s="15"/>
      <c r="R37" s="40">
        <f t="shared" si="10"/>
        <v>0</v>
      </c>
      <c r="S37" s="52">
        <f t="shared" si="6"/>
        <v>0</v>
      </c>
      <c r="T37" s="52">
        <f t="shared" si="7"/>
        <v>0</v>
      </c>
      <c r="U37" s="41">
        <f t="shared" si="8"/>
        <v>0</v>
      </c>
      <c r="V37" s="41">
        <f t="shared" si="9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ref="G38:G48" si="11">ROUND(IF($F$17="USD $", F38*$E$15,F38*$D$15),2)</f>
        <v>0</v>
      </c>
      <c r="H38" s="10">
        <f t="shared" ref="H38:H48" si="12">ROUND(IF($H$17=$G$17,E38*G38,E38*F38),2)</f>
        <v>0</v>
      </c>
      <c r="I38" s="42"/>
      <c r="J38" s="89">
        <f t="shared" ref="J38:J48" si="13">E38</f>
        <v>0</v>
      </c>
      <c r="K38" s="9">
        <f t="shared" si="4"/>
        <v>0</v>
      </c>
      <c r="L38" s="9">
        <f t="shared" ref="L38:L48" si="14">ROUND((J38*K38),2)</f>
        <v>0</v>
      </c>
      <c r="M38" s="8" t="s">
        <v>92</v>
      </c>
      <c r="N38" s="12"/>
      <c r="O38" s="51"/>
      <c r="P38" s="3"/>
      <c r="Q38" s="13"/>
      <c r="R38" s="14">
        <f t="shared" ref="R38:R48" si="15">ROUND(IF($R$17=$Q$17,Q38,IF($R$17="USD $",Q38*$D$15,Q38*$E$15))*E38,2)</f>
        <v>0</v>
      </c>
      <c r="S38" s="14">
        <f t="shared" ref="S38:S48" si="16">IFERROR(ROUND(T38/E38,2),0)</f>
        <v>0</v>
      </c>
      <c r="T38" s="14">
        <f t="shared" si="7"/>
        <v>0</v>
      </c>
      <c r="U38" s="29">
        <f t="shared" ref="U38:U48" si="17">IFERROR(((K38-(R38/J38))/(R38/J38)),0)</f>
        <v>0</v>
      </c>
      <c r="V38" s="29">
        <f t="shared" ref="V38:V48" si="18">IFERROR(((K38-(R38/J38))/K38),0)</f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1"/>
        <v>0</v>
      </c>
      <c r="H39" s="39">
        <f t="shared" si="12"/>
        <v>0</v>
      </c>
      <c r="I39" s="42"/>
      <c r="J39" s="88">
        <f t="shared" si="13"/>
        <v>0</v>
      </c>
      <c r="K39" s="38">
        <f t="shared" si="4"/>
        <v>0</v>
      </c>
      <c r="L39" s="38">
        <f t="shared" si="14"/>
        <v>0</v>
      </c>
      <c r="M39" s="129" t="s">
        <v>92</v>
      </c>
      <c r="N39" s="16"/>
      <c r="O39" s="51"/>
      <c r="P39" s="1"/>
      <c r="Q39" s="15"/>
      <c r="R39" s="40">
        <f t="shared" si="15"/>
        <v>0</v>
      </c>
      <c r="S39" s="52">
        <f t="shared" si="16"/>
        <v>0</v>
      </c>
      <c r="T39" s="52">
        <f t="shared" si="7"/>
        <v>0</v>
      </c>
      <c r="U39" s="41">
        <f t="shared" si="17"/>
        <v>0</v>
      </c>
      <c r="V39" s="41">
        <f t="shared" si="1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1"/>
        <v>0</v>
      </c>
      <c r="H40" s="10">
        <f t="shared" si="12"/>
        <v>0</v>
      </c>
      <c r="I40" s="42"/>
      <c r="J40" s="89">
        <f t="shared" si="13"/>
        <v>0</v>
      </c>
      <c r="K40" s="9">
        <f t="shared" si="4"/>
        <v>0</v>
      </c>
      <c r="L40" s="9">
        <f t="shared" si="14"/>
        <v>0</v>
      </c>
      <c r="M40" s="8" t="s">
        <v>92</v>
      </c>
      <c r="N40" s="12"/>
      <c r="O40" s="51"/>
      <c r="P40" s="3"/>
      <c r="Q40" s="13"/>
      <c r="R40" s="14">
        <f t="shared" si="15"/>
        <v>0</v>
      </c>
      <c r="S40" s="14">
        <f t="shared" si="16"/>
        <v>0</v>
      </c>
      <c r="T40" s="14">
        <f t="shared" si="7"/>
        <v>0</v>
      </c>
      <c r="U40" s="29">
        <f t="shared" si="17"/>
        <v>0</v>
      </c>
      <c r="V40" s="29">
        <f t="shared" si="1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29" t="s">
        <v>92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1"/>
        <v>0</v>
      </c>
      <c r="H42" s="10">
        <f t="shared" si="12"/>
        <v>0</v>
      </c>
      <c r="I42" s="42"/>
      <c r="J42" s="89">
        <f t="shared" si="13"/>
        <v>0</v>
      </c>
      <c r="K42" s="9">
        <f t="shared" si="4"/>
        <v>0</v>
      </c>
      <c r="L42" s="9">
        <f t="shared" si="14"/>
        <v>0</v>
      </c>
      <c r="M42" s="8" t="s">
        <v>92</v>
      </c>
      <c r="N42" s="12"/>
      <c r="O42" s="51"/>
      <c r="P42" s="3"/>
      <c r="Q42" s="13"/>
      <c r="R42" s="14">
        <f t="shared" si="15"/>
        <v>0</v>
      </c>
      <c r="S42" s="14">
        <f t="shared" si="16"/>
        <v>0</v>
      </c>
      <c r="T42" s="14">
        <f t="shared" si="7"/>
        <v>0</v>
      </c>
      <c r="U42" s="29">
        <f t="shared" si="17"/>
        <v>0</v>
      </c>
      <c r="V42" s="29">
        <f t="shared" si="1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29" t="s">
        <v>92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92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1"/>
        <v>0</v>
      </c>
      <c r="H45" s="39">
        <f t="shared" si="12"/>
        <v>0</v>
      </c>
      <c r="I45" s="42"/>
      <c r="J45" s="88">
        <f t="shared" si="13"/>
        <v>0</v>
      </c>
      <c r="K45" s="38">
        <f t="shared" si="4"/>
        <v>0</v>
      </c>
      <c r="L45" s="38">
        <f t="shared" si="14"/>
        <v>0</v>
      </c>
      <c r="M45" s="129" t="s">
        <v>92</v>
      </c>
      <c r="N45" s="16"/>
      <c r="O45" s="51"/>
      <c r="P45" s="1"/>
      <c r="Q45" s="15"/>
      <c r="R45" s="40">
        <f t="shared" si="15"/>
        <v>0</v>
      </c>
      <c r="S45" s="52">
        <f t="shared" si="16"/>
        <v>0</v>
      </c>
      <c r="T45" s="52">
        <f t="shared" si="7"/>
        <v>0</v>
      </c>
      <c r="U45" s="41">
        <f t="shared" si="17"/>
        <v>0</v>
      </c>
      <c r="V45" s="41">
        <f t="shared" si="1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1"/>
        <v>0</v>
      </c>
      <c r="H46" s="10">
        <f t="shared" si="12"/>
        <v>0</v>
      </c>
      <c r="I46" s="42"/>
      <c r="J46" s="89">
        <f t="shared" si="13"/>
        <v>0</v>
      </c>
      <c r="K46" s="9">
        <f t="shared" si="4"/>
        <v>0</v>
      </c>
      <c r="L46" s="9">
        <f t="shared" si="14"/>
        <v>0</v>
      </c>
      <c r="M46" s="8" t="s">
        <v>92</v>
      </c>
      <c r="N46" s="12"/>
      <c r="O46" s="51"/>
      <c r="P46" s="3"/>
      <c r="Q46" s="13"/>
      <c r="R46" s="14">
        <f t="shared" si="15"/>
        <v>0</v>
      </c>
      <c r="S46" s="14">
        <f t="shared" si="16"/>
        <v>0</v>
      </c>
      <c r="T46" s="14">
        <f t="shared" si="7"/>
        <v>0</v>
      </c>
      <c r="U46" s="29">
        <f t="shared" si="17"/>
        <v>0</v>
      </c>
      <c r="V46" s="29">
        <f t="shared" si="1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1"/>
        <v>0</v>
      </c>
      <c r="H47" s="39">
        <f t="shared" si="12"/>
        <v>0</v>
      </c>
      <c r="I47" s="42"/>
      <c r="J47" s="88">
        <f t="shared" si="13"/>
        <v>0</v>
      </c>
      <c r="K47" s="38">
        <f t="shared" si="4"/>
        <v>0</v>
      </c>
      <c r="L47" s="38">
        <f t="shared" si="14"/>
        <v>0</v>
      </c>
      <c r="M47" s="129" t="s">
        <v>92</v>
      </c>
      <c r="N47" s="16"/>
      <c r="O47" s="51"/>
      <c r="P47" s="1"/>
      <c r="Q47" s="15"/>
      <c r="R47" s="40">
        <f t="shared" si="15"/>
        <v>0</v>
      </c>
      <c r="S47" s="52">
        <f t="shared" si="16"/>
        <v>0</v>
      </c>
      <c r="T47" s="52">
        <f t="shared" si="7"/>
        <v>0</v>
      </c>
      <c r="U47" s="41">
        <f t="shared" si="17"/>
        <v>0</v>
      </c>
      <c r="V47" s="41">
        <f t="shared" si="1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1"/>
        <v>0</v>
      </c>
      <c r="H48" s="10">
        <f t="shared" si="12"/>
        <v>0</v>
      </c>
      <c r="I48" s="42"/>
      <c r="J48" s="89">
        <f t="shared" si="13"/>
        <v>0</v>
      </c>
      <c r="K48" s="9">
        <f t="shared" si="4"/>
        <v>0</v>
      </c>
      <c r="L48" s="9">
        <f t="shared" si="14"/>
        <v>0</v>
      </c>
      <c r="M48" s="8" t="s">
        <v>92</v>
      </c>
      <c r="N48" s="12"/>
      <c r="O48" s="51"/>
      <c r="P48" s="3"/>
      <c r="Q48" s="13"/>
      <c r="R48" s="14">
        <f t="shared" si="15"/>
        <v>0</v>
      </c>
      <c r="S48" s="14">
        <f t="shared" si="16"/>
        <v>0</v>
      </c>
      <c r="T48" s="14">
        <f t="shared" si="7"/>
        <v>0</v>
      </c>
      <c r="U48" s="29">
        <f t="shared" si="17"/>
        <v>0</v>
      </c>
      <c r="V48" s="29">
        <f t="shared" si="1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S2:T2"/>
    <mergeCell ref="S3:T3"/>
    <mergeCell ref="S4:T4"/>
    <mergeCell ref="S5:T5"/>
    <mergeCell ref="S6:T6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L2:N2"/>
    <mergeCell ref="L3:N3"/>
    <mergeCell ref="L4:N4"/>
    <mergeCell ref="L5:N5"/>
    <mergeCell ref="L7:N7"/>
    <mergeCell ref="H5:J5"/>
    <mergeCell ref="H8:J8"/>
    <mergeCell ref="F7:G7"/>
    <mergeCell ref="F8:G8"/>
    <mergeCell ref="F5:G5"/>
    <mergeCell ref="F6:G6"/>
    <mergeCell ref="H6:J6"/>
    <mergeCell ref="H7:J7"/>
    <mergeCell ref="B1:C1"/>
    <mergeCell ref="H1:K1"/>
    <mergeCell ref="H2:J2"/>
    <mergeCell ref="H3:J3"/>
    <mergeCell ref="H4:J4"/>
    <mergeCell ref="F2:G2"/>
    <mergeCell ref="F3:G3"/>
    <mergeCell ref="F4:G4"/>
    <mergeCell ref="B16:B17"/>
    <mergeCell ref="C16:C17"/>
    <mergeCell ref="B11:C15"/>
    <mergeCell ref="D11:E13"/>
    <mergeCell ref="F9:G9"/>
    <mergeCell ref="F11:H12"/>
    <mergeCell ref="D16:D17"/>
    <mergeCell ref="E16:E17"/>
    <mergeCell ref="D6:E6"/>
    <mergeCell ref="D7:E7"/>
    <mergeCell ref="D8:E8"/>
    <mergeCell ref="D9:E9"/>
    <mergeCell ref="D1:G1"/>
    <mergeCell ref="D2:E2"/>
    <mergeCell ref="D3:E3"/>
    <mergeCell ref="D4:E4"/>
    <mergeCell ref="D5:E5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 PL61 (WGS)</vt:lpstr>
      <vt:lpstr>CAT PL61 (DHA)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2025-10-23T18:35:09Z</dcterms:modified>
</cp:coreProperties>
</file>