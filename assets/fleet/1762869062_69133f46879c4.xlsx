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93B823B7-C8CC-4443-B0B9-16E9440289D0}" xr6:coauthVersionLast="47" xr6:coauthVersionMax="47" xr10:uidLastSave="{00000000-0000-0000-0000-000000000000}"/>
  <bookViews>
    <workbookView xWindow="-120" yWindow="-120" windowWidth="20640" windowHeight="11160" tabRatio="765" firstSheet="57" activeTab="57" xr2:uid="{EAC116F2-D257-4308-B3E1-626B33CB1430}"/>
  </bookViews>
  <sheets>
    <sheet name="Instructions" sheetId="6" r:id="rId1"/>
    <sheet name="CAT 14 GRADER (EN4)" sheetId="8" r:id="rId2"/>
    <sheet name="CAT 255" sheetId="38" r:id="rId3"/>
    <sheet name="CAT 255 (2)" sheetId="1" r:id="rId4"/>
    <sheet name="CAT 255 (FL7)" sheetId="37" r:id="rId5"/>
    <sheet name="CAT 329EL (ZCD)" sheetId="9" r:id="rId6"/>
    <sheet name="CAT TL1055C (KDE)" sheetId="11" r:id="rId7"/>
    <sheet name="JD 333G (1T0)" sheetId="15" r:id="rId8"/>
    <sheet name="JD 470P (1FF)" sheetId="17" r:id="rId9"/>
    <sheet name="JD 624K (DW6)" sheetId="12" r:id="rId10"/>
    <sheet name="JD 764 (100)" sheetId="13" r:id="rId11"/>
    <sheet name="KOM D71PX-24 (1)" sheetId="19" r:id="rId12"/>
    <sheet name="KOM D71PX-24 (2)" sheetId="55" r:id="rId13"/>
    <sheet name="KOM D71PX-24 (3)" sheetId="56" r:id="rId14"/>
    <sheet name="KOM D71PX-24 (4)" sheetId="57" r:id="rId15"/>
    <sheet name="KOM D71PX-24 (5)" sheetId="58" r:id="rId16"/>
    <sheet name="KOM D71PX-24 (6)" sheetId="59" r:id="rId17"/>
    <sheet name="KOM D71PX-24 (7)" sheetId="60" r:id="rId18"/>
    <sheet name="KOM HM400-5 (1)" sheetId="21" r:id="rId19"/>
    <sheet name="KOM HM400-5 (2)" sheetId="40" r:id="rId20"/>
    <sheet name="KOM HM400-5 (3)" sheetId="41" r:id="rId21"/>
    <sheet name="KOM HM400-5 (4)" sheetId="42" r:id="rId22"/>
    <sheet name="KOM HM400-5 (5)" sheetId="44" r:id="rId23"/>
    <sheet name="KOM HM400-5 (6)" sheetId="45" r:id="rId24"/>
    <sheet name="KOM HM400-5 (7)" sheetId="46" r:id="rId25"/>
    <sheet name="KOM HM400-5 (8)" sheetId="47" r:id="rId26"/>
    <sheet name="KOM HM400-5 (9)" sheetId="48" r:id="rId27"/>
    <sheet name="KOM HM400-5 (10)" sheetId="43" r:id="rId28"/>
    <sheet name="KOM HM400 (11)" sheetId="49" r:id="rId29"/>
    <sheet name="KOM HM400 (12)" sheetId="50" r:id="rId30"/>
    <sheet name="KOM HM400 (13)" sheetId="51" r:id="rId31"/>
    <sheet name="KOM HM400-5 (14)" sheetId="52" r:id="rId32"/>
    <sheet name="KOM PC138USLC-11" sheetId="22" r:id="rId33"/>
    <sheet name="KOM PC238USLC-11 (1)" sheetId="39" r:id="rId34"/>
    <sheet name="KOM PC238USLC-11 (2)" sheetId="24" r:id="rId35"/>
    <sheet name="KOM WA380-8 (1)" sheetId="26" r:id="rId36"/>
    <sheet name="KOM WA380-8 (2)" sheetId="54" r:id="rId37"/>
    <sheet name="KOM PC490LC-11 (A42)" sheetId="27" r:id="rId38"/>
    <sheet name="KOM PC490LC-11 (A42) (2)" sheetId="61" r:id="rId39"/>
    <sheet name="KOM PC490LC-11 (A42) (3)" sheetId="62" r:id="rId40"/>
    <sheet name="KOM PC490LC-11 (A42) (4)" sheetId="63" r:id="rId41"/>
    <sheet name="KOM PC490LC-11 (A42) (5)" sheetId="70" r:id="rId42"/>
    <sheet name="KOM PC490LC-11 (A43)" sheetId="64" r:id="rId43"/>
    <sheet name="KOM PC490LC-11 (KMT) (1)" sheetId="65" r:id="rId44"/>
    <sheet name="KOM PC490LC-11 (KMT) (2)" sheetId="66" r:id="rId45"/>
    <sheet name="KOM PC490LC-11 (KMT) (3)" sheetId="67" r:id="rId46"/>
    <sheet name="KOM WA320-8 (867)" sheetId="29" r:id="rId47"/>
    <sheet name="KOM WA320PZ-6 (729)" sheetId="53" r:id="rId48"/>
    <sheet name="KOM PC360LC-11 (A37)" sheetId="30" r:id="rId49"/>
    <sheet name="KOM PC360LC-11 (A39)" sheetId="68" r:id="rId50"/>
    <sheet name="KOM PC360LC-11 (A39) (2)" sheetId="69" r:id="rId51"/>
    <sheet name="KOM WA475-10 (120)" sheetId="32" r:id="rId52"/>
    <sheet name="KOM PC290LC-11 (K73)" sheetId="33" r:id="rId53"/>
    <sheet name="KOM D61PX-24 (B60)" sheetId="35" r:id="rId54"/>
    <sheet name="BW211 901583251951" sheetId="73" r:id="rId55"/>
    <sheet name="BOBCAT T66 (B4S)" sheetId="78" r:id="rId56"/>
    <sheet name="BOBCAT T64 (B4S)" sheetId="79" r:id="rId57"/>
    <sheet name="Peterbilt 348 2NP3LJ06LM682275" sheetId="80" r:id="rId58"/>
    <sheet name="Peterbilt 348 2NP3LJ0X6NM800232" sheetId="81" r:id="rId59"/>
    <sheet name="Peterbilt 348 2NP3LJ0X6NM800233" sheetId="82" r:id="rId6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82" l="1"/>
  <c r="F61" i="82"/>
  <c r="E61" i="82"/>
  <c r="K60" i="82"/>
  <c r="J60" i="82"/>
  <c r="L60" i="82" s="1"/>
  <c r="K59" i="82"/>
  <c r="J59" i="82"/>
  <c r="L59" i="82" s="1"/>
  <c r="K58" i="82"/>
  <c r="J58" i="82"/>
  <c r="L58" i="82" s="1"/>
  <c r="K57" i="82"/>
  <c r="J57" i="82"/>
  <c r="L57" i="82" s="1"/>
  <c r="K56" i="82"/>
  <c r="J56" i="82"/>
  <c r="L56" i="82" s="1"/>
  <c r="K55" i="82"/>
  <c r="J55" i="82"/>
  <c r="L55" i="82" s="1"/>
  <c r="K54" i="82"/>
  <c r="J54" i="82"/>
  <c r="L54" i="82" s="1"/>
  <c r="K53" i="82"/>
  <c r="J53" i="82"/>
  <c r="L53" i="82" s="1"/>
  <c r="K52" i="82"/>
  <c r="J52" i="82"/>
  <c r="L52" i="82" s="1"/>
  <c r="K51" i="82"/>
  <c r="J51" i="82"/>
  <c r="L51" i="82" s="1"/>
  <c r="K50" i="82"/>
  <c r="J50" i="82"/>
  <c r="L50" i="82" s="1"/>
  <c r="K49" i="82"/>
  <c r="J49" i="82"/>
  <c r="L49" i="82" s="1"/>
  <c r="K48" i="82"/>
  <c r="J48" i="82"/>
  <c r="L48" i="82" s="1"/>
  <c r="K47" i="82"/>
  <c r="J47" i="82"/>
  <c r="L47" i="82" s="1"/>
  <c r="K46" i="82"/>
  <c r="J46" i="82"/>
  <c r="L46" i="82" s="1"/>
  <c r="K45" i="82"/>
  <c r="J45" i="82"/>
  <c r="L45" i="82" s="1"/>
  <c r="K44" i="82"/>
  <c r="J44" i="82"/>
  <c r="L44" i="82" s="1"/>
  <c r="K43" i="82"/>
  <c r="J43" i="82"/>
  <c r="L43" i="82" s="1"/>
  <c r="K42" i="82"/>
  <c r="J42" i="82"/>
  <c r="L42" i="82" s="1"/>
  <c r="K41" i="82"/>
  <c r="J41" i="82"/>
  <c r="L41" i="82" s="1"/>
  <c r="K40" i="82"/>
  <c r="J40" i="82"/>
  <c r="L40" i="82" s="1"/>
  <c r="K39" i="82"/>
  <c r="J39" i="82"/>
  <c r="L39" i="82" s="1"/>
  <c r="K38" i="82"/>
  <c r="J38" i="82"/>
  <c r="L38" i="82" s="1"/>
  <c r="K37" i="82"/>
  <c r="J37" i="82"/>
  <c r="L37" i="82" s="1"/>
  <c r="K36" i="82"/>
  <c r="J36" i="82"/>
  <c r="L36" i="82" s="1"/>
  <c r="K35" i="82"/>
  <c r="J35" i="82"/>
  <c r="L35" i="82" s="1"/>
  <c r="K34" i="82"/>
  <c r="J34" i="82"/>
  <c r="L34" i="82" s="1"/>
  <c r="K33" i="82"/>
  <c r="J33" i="82"/>
  <c r="L33" i="82" s="1"/>
  <c r="K32" i="82"/>
  <c r="J32" i="82"/>
  <c r="L32" i="82" s="1"/>
  <c r="K31" i="82"/>
  <c r="J31" i="82"/>
  <c r="L31" i="82" s="1"/>
  <c r="K30" i="82"/>
  <c r="J30" i="82"/>
  <c r="L30" i="82" s="1"/>
  <c r="K29" i="82"/>
  <c r="J29" i="82"/>
  <c r="L29" i="82" s="1"/>
  <c r="K28" i="82"/>
  <c r="J28" i="82"/>
  <c r="L28" i="82" s="1"/>
  <c r="K27" i="82"/>
  <c r="J27" i="82"/>
  <c r="L27" i="82" s="1"/>
  <c r="K26" i="82"/>
  <c r="J26" i="82"/>
  <c r="L26" i="82" s="1"/>
  <c r="K25" i="82"/>
  <c r="J25" i="82"/>
  <c r="L25" i="82" s="1"/>
  <c r="K24" i="82"/>
  <c r="J24" i="82"/>
  <c r="L24" i="82" s="1"/>
  <c r="K23" i="82"/>
  <c r="J23" i="82"/>
  <c r="L23" i="82" s="1"/>
  <c r="K22" i="82"/>
  <c r="J22" i="82"/>
  <c r="L22" i="82" s="1"/>
  <c r="K21" i="82"/>
  <c r="J21" i="82"/>
  <c r="L21" i="82" s="1"/>
  <c r="K20" i="82"/>
  <c r="J20" i="82"/>
  <c r="L20" i="82" s="1"/>
  <c r="K19" i="82"/>
  <c r="J19" i="82"/>
  <c r="L19" i="82" s="1"/>
  <c r="K18" i="82"/>
  <c r="J18" i="82"/>
  <c r="R17" i="82"/>
  <c r="H17" i="82"/>
  <c r="G17" i="82"/>
  <c r="D15" i="82"/>
  <c r="P10" i="82"/>
  <c r="P1" i="82"/>
  <c r="P8" i="82" s="1"/>
  <c r="Q61" i="81"/>
  <c r="F61" i="81"/>
  <c r="E61" i="81"/>
  <c r="K60" i="81"/>
  <c r="J60" i="81"/>
  <c r="L60" i="81" s="1"/>
  <c r="K59" i="81"/>
  <c r="J59" i="81"/>
  <c r="L59" i="81" s="1"/>
  <c r="K58" i="81"/>
  <c r="J58" i="81"/>
  <c r="L58" i="81" s="1"/>
  <c r="K57" i="81"/>
  <c r="J57" i="81"/>
  <c r="L57" i="81" s="1"/>
  <c r="K56" i="81"/>
  <c r="J56" i="81"/>
  <c r="L56" i="81" s="1"/>
  <c r="K55" i="81"/>
  <c r="J55" i="81"/>
  <c r="L55" i="81" s="1"/>
  <c r="K54" i="81"/>
  <c r="J54" i="81"/>
  <c r="L54" i="81" s="1"/>
  <c r="K53" i="81"/>
  <c r="J53" i="81"/>
  <c r="L53" i="81" s="1"/>
  <c r="K52" i="81"/>
  <c r="J52" i="81"/>
  <c r="L52" i="81" s="1"/>
  <c r="K51" i="81"/>
  <c r="J51" i="81"/>
  <c r="L51" i="81" s="1"/>
  <c r="K50" i="81"/>
  <c r="J50" i="81"/>
  <c r="L50" i="81" s="1"/>
  <c r="K49" i="81"/>
  <c r="J49" i="81"/>
  <c r="L49" i="81" s="1"/>
  <c r="K48" i="81"/>
  <c r="J48" i="81"/>
  <c r="L48" i="81" s="1"/>
  <c r="K47" i="81"/>
  <c r="J47" i="81"/>
  <c r="L47" i="81" s="1"/>
  <c r="K46" i="81"/>
  <c r="J46" i="81"/>
  <c r="L46" i="81" s="1"/>
  <c r="K45" i="81"/>
  <c r="J45" i="81"/>
  <c r="L45" i="81" s="1"/>
  <c r="K44" i="81"/>
  <c r="J44" i="81"/>
  <c r="L44" i="81" s="1"/>
  <c r="K43" i="81"/>
  <c r="J43" i="81"/>
  <c r="L43" i="81" s="1"/>
  <c r="K42" i="81"/>
  <c r="J42" i="81"/>
  <c r="L42" i="81" s="1"/>
  <c r="K41" i="81"/>
  <c r="J41" i="81"/>
  <c r="L41" i="81" s="1"/>
  <c r="K40" i="81"/>
  <c r="J40" i="81"/>
  <c r="L40" i="81" s="1"/>
  <c r="K39" i="81"/>
  <c r="J39" i="81"/>
  <c r="L39" i="81" s="1"/>
  <c r="K38" i="81"/>
  <c r="J38" i="81"/>
  <c r="L38" i="81" s="1"/>
  <c r="K37" i="81"/>
  <c r="J37" i="81"/>
  <c r="L37" i="81" s="1"/>
  <c r="K36" i="81"/>
  <c r="J36" i="81"/>
  <c r="L36" i="81" s="1"/>
  <c r="K35" i="81"/>
  <c r="J35" i="81"/>
  <c r="L35" i="81" s="1"/>
  <c r="K34" i="81"/>
  <c r="J34" i="81"/>
  <c r="L34" i="81" s="1"/>
  <c r="K33" i="81"/>
  <c r="J33" i="81"/>
  <c r="L33" i="81" s="1"/>
  <c r="K32" i="81"/>
  <c r="J32" i="81"/>
  <c r="L32" i="81" s="1"/>
  <c r="K31" i="81"/>
  <c r="J31" i="81"/>
  <c r="L31" i="81" s="1"/>
  <c r="K30" i="81"/>
  <c r="J30" i="81"/>
  <c r="L30" i="81" s="1"/>
  <c r="K29" i="81"/>
  <c r="J29" i="81"/>
  <c r="L29" i="81" s="1"/>
  <c r="K28" i="81"/>
  <c r="J28" i="81"/>
  <c r="L28" i="81" s="1"/>
  <c r="K27" i="81"/>
  <c r="J27" i="81"/>
  <c r="L27" i="81" s="1"/>
  <c r="K26" i="81"/>
  <c r="J26" i="81"/>
  <c r="L26" i="81" s="1"/>
  <c r="K25" i="81"/>
  <c r="J25" i="81"/>
  <c r="L25" i="81" s="1"/>
  <c r="K24" i="81"/>
  <c r="J24" i="81"/>
  <c r="L24" i="81" s="1"/>
  <c r="K23" i="81"/>
  <c r="J23" i="81"/>
  <c r="L23" i="81" s="1"/>
  <c r="K22" i="81"/>
  <c r="J22" i="81"/>
  <c r="L22" i="81" s="1"/>
  <c r="K21" i="81"/>
  <c r="J21" i="81"/>
  <c r="L21" i="81" s="1"/>
  <c r="K20" i="81"/>
  <c r="J20" i="81"/>
  <c r="L20" i="81" s="1"/>
  <c r="K19" i="81"/>
  <c r="J19" i="81"/>
  <c r="L19" i="81" s="1"/>
  <c r="K18" i="81"/>
  <c r="J18" i="81"/>
  <c r="R17" i="81"/>
  <c r="H17" i="81"/>
  <c r="G17" i="81"/>
  <c r="D15" i="81"/>
  <c r="P10" i="81"/>
  <c r="P1" i="81"/>
  <c r="P8" i="81" s="1"/>
  <c r="Q61" i="80"/>
  <c r="F61" i="80"/>
  <c r="E61" i="80"/>
  <c r="K60" i="80"/>
  <c r="J60" i="80"/>
  <c r="L60" i="80" s="1"/>
  <c r="K59" i="80"/>
  <c r="J59" i="80"/>
  <c r="L59" i="80" s="1"/>
  <c r="K58" i="80"/>
  <c r="J58" i="80"/>
  <c r="L58" i="80" s="1"/>
  <c r="K57" i="80"/>
  <c r="J57" i="80"/>
  <c r="L57" i="80" s="1"/>
  <c r="K56" i="80"/>
  <c r="J56" i="80"/>
  <c r="L56" i="80" s="1"/>
  <c r="K55" i="80"/>
  <c r="J55" i="80"/>
  <c r="L55" i="80" s="1"/>
  <c r="K54" i="80"/>
  <c r="J54" i="80"/>
  <c r="L54" i="80" s="1"/>
  <c r="K53" i="80"/>
  <c r="J53" i="80"/>
  <c r="L53" i="80" s="1"/>
  <c r="K52" i="80"/>
  <c r="J52" i="80"/>
  <c r="L52" i="80" s="1"/>
  <c r="K51" i="80"/>
  <c r="J51" i="80"/>
  <c r="L51" i="80" s="1"/>
  <c r="K50" i="80"/>
  <c r="J50" i="80"/>
  <c r="L50" i="80" s="1"/>
  <c r="K49" i="80"/>
  <c r="J49" i="80"/>
  <c r="L49" i="80" s="1"/>
  <c r="K48" i="80"/>
  <c r="J48" i="80"/>
  <c r="L48" i="80" s="1"/>
  <c r="K47" i="80"/>
  <c r="J47" i="80"/>
  <c r="L47" i="80" s="1"/>
  <c r="K46" i="80"/>
  <c r="J46" i="80"/>
  <c r="L46" i="80" s="1"/>
  <c r="K45" i="80"/>
  <c r="J45" i="80"/>
  <c r="L45" i="80" s="1"/>
  <c r="K44" i="80"/>
  <c r="J44" i="80"/>
  <c r="L44" i="80" s="1"/>
  <c r="K43" i="80"/>
  <c r="J43" i="80"/>
  <c r="L43" i="80" s="1"/>
  <c r="K42" i="80"/>
  <c r="J42" i="80"/>
  <c r="L42" i="80" s="1"/>
  <c r="K41" i="80"/>
  <c r="J41" i="80"/>
  <c r="L41" i="80" s="1"/>
  <c r="K40" i="80"/>
  <c r="J40" i="80"/>
  <c r="L40" i="80" s="1"/>
  <c r="K39" i="80"/>
  <c r="J39" i="80"/>
  <c r="L39" i="80" s="1"/>
  <c r="K38" i="80"/>
  <c r="J38" i="80"/>
  <c r="L38" i="80" s="1"/>
  <c r="K37" i="80"/>
  <c r="J37" i="80"/>
  <c r="L37" i="80" s="1"/>
  <c r="K36" i="80"/>
  <c r="J36" i="80"/>
  <c r="L36" i="80" s="1"/>
  <c r="K35" i="80"/>
  <c r="J35" i="80"/>
  <c r="L35" i="80" s="1"/>
  <c r="K34" i="80"/>
  <c r="J34" i="80"/>
  <c r="L34" i="80" s="1"/>
  <c r="K33" i="80"/>
  <c r="J33" i="80"/>
  <c r="L33" i="80" s="1"/>
  <c r="K32" i="80"/>
  <c r="J32" i="80"/>
  <c r="L32" i="80" s="1"/>
  <c r="K31" i="80"/>
  <c r="J31" i="80"/>
  <c r="L31" i="80" s="1"/>
  <c r="K30" i="80"/>
  <c r="J30" i="80"/>
  <c r="L30" i="80" s="1"/>
  <c r="K29" i="80"/>
  <c r="J29" i="80"/>
  <c r="L29" i="80" s="1"/>
  <c r="K28" i="80"/>
  <c r="J28" i="80"/>
  <c r="L28" i="80" s="1"/>
  <c r="K27" i="80"/>
  <c r="J27" i="80"/>
  <c r="L27" i="80" s="1"/>
  <c r="K26" i="80"/>
  <c r="J26" i="80"/>
  <c r="L26" i="80" s="1"/>
  <c r="K25" i="80"/>
  <c r="J25" i="80"/>
  <c r="L25" i="80" s="1"/>
  <c r="K24" i="80"/>
  <c r="J24" i="80"/>
  <c r="L24" i="80" s="1"/>
  <c r="K23" i="80"/>
  <c r="J23" i="80"/>
  <c r="L23" i="80" s="1"/>
  <c r="K22" i="80"/>
  <c r="J22" i="80"/>
  <c r="L22" i="80" s="1"/>
  <c r="K21" i="80"/>
  <c r="J21" i="80"/>
  <c r="L21" i="80" s="1"/>
  <c r="K20" i="80"/>
  <c r="J20" i="80"/>
  <c r="L20" i="80" s="1"/>
  <c r="K19" i="80"/>
  <c r="J19" i="80"/>
  <c r="L19" i="80" s="1"/>
  <c r="K18" i="80"/>
  <c r="J18" i="80"/>
  <c r="R17" i="80"/>
  <c r="H17" i="80"/>
  <c r="G17" i="80"/>
  <c r="D15" i="80"/>
  <c r="P10" i="80"/>
  <c r="P1" i="80"/>
  <c r="P8" i="80" s="1"/>
  <c r="Q61" i="79"/>
  <c r="F61" i="79"/>
  <c r="E61" i="79"/>
  <c r="K60" i="79"/>
  <c r="J60" i="79"/>
  <c r="L60" i="79" s="1"/>
  <c r="K59" i="79"/>
  <c r="J59" i="79"/>
  <c r="L59" i="79" s="1"/>
  <c r="K58" i="79"/>
  <c r="J58" i="79"/>
  <c r="L58" i="79" s="1"/>
  <c r="K57" i="79"/>
  <c r="J57" i="79"/>
  <c r="L57" i="79" s="1"/>
  <c r="K56" i="79"/>
  <c r="J56" i="79"/>
  <c r="L56" i="79" s="1"/>
  <c r="K55" i="79"/>
  <c r="J55" i="79"/>
  <c r="L55" i="79" s="1"/>
  <c r="K54" i="79"/>
  <c r="J54" i="79"/>
  <c r="L54" i="79" s="1"/>
  <c r="K53" i="79"/>
  <c r="J53" i="79"/>
  <c r="L53" i="79" s="1"/>
  <c r="K52" i="79"/>
  <c r="J52" i="79"/>
  <c r="L52" i="79" s="1"/>
  <c r="K51" i="79"/>
  <c r="J51" i="79"/>
  <c r="L51" i="79" s="1"/>
  <c r="K50" i="79"/>
  <c r="J50" i="79"/>
  <c r="L50" i="79" s="1"/>
  <c r="K49" i="79"/>
  <c r="J49" i="79"/>
  <c r="L49" i="79" s="1"/>
  <c r="K48" i="79"/>
  <c r="J48" i="79"/>
  <c r="L48" i="79" s="1"/>
  <c r="K47" i="79"/>
  <c r="J47" i="79"/>
  <c r="L47" i="79" s="1"/>
  <c r="K46" i="79"/>
  <c r="J46" i="79"/>
  <c r="L46" i="79" s="1"/>
  <c r="K45" i="79"/>
  <c r="J45" i="79"/>
  <c r="L45" i="79" s="1"/>
  <c r="K44" i="79"/>
  <c r="J44" i="79"/>
  <c r="L44" i="79" s="1"/>
  <c r="K43" i="79"/>
  <c r="J43" i="79"/>
  <c r="L43" i="79" s="1"/>
  <c r="K42" i="79"/>
  <c r="J42" i="79"/>
  <c r="L42" i="79" s="1"/>
  <c r="K41" i="79"/>
  <c r="J41" i="79"/>
  <c r="L41" i="79" s="1"/>
  <c r="K40" i="79"/>
  <c r="J40" i="79"/>
  <c r="L40" i="79" s="1"/>
  <c r="K39" i="79"/>
  <c r="J39" i="79"/>
  <c r="L39" i="79" s="1"/>
  <c r="K38" i="79"/>
  <c r="J38" i="79"/>
  <c r="L38" i="79" s="1"/>
  <c r="K37" i="79"/>
  <c r="J37" i="79"/>
  <c r="L37" i="79" s="1"/>
  <c r="K36" i="79"/>
  <c r="J36" i="79"/>
  <c r="L36" i="79" s="1"/>
  <c r="K35" i="79"/>
  <c r="J35" i="79"/>
  <c r="L35" i="79" s="1"/>
  <c r="K34" i="79"/>
  <c r="J34" i="79"/>
  <c r="L34" i="79" s="1"/>
  <c r="K33" i="79"/>
  <c r="J33" i="79"/>
  <c r="L33" i="79" s="1"/>
  <c r="K32" i="79"/>
  <c r="J32" i="79"/>
  <c r="L32" i="79" s="1"/>
  <c r="K31" i="79"/>
  <c r="J31" i="79"/>
  <c r="L31" i="79" s="1"/>
  <c r="K30" i="79"/>
  <c r="J30" i="79"/>
  <c r="L30" i="79" s="1"/>
  <c r="K29" i="79"/>
  <c r="J29" i="79"/>
  <c r="L29" i="79" s="1"/>
  <c r="K28" i="79"/>
  <c r="J28" i="79"/>
  <c r="L28" i="79" s="1"/>
  <c r="K27" i="79"/>
  <c r="J27" i="79"/>
  <c r="L27" i="79" s="1"/>
  <c r="K26" i="79"/>
  <c r="J26" i="79"/>
  <c r="L26" i="79" s="1"/>
  <c r="K25" i="79"/>
  <c r="J25" i="79"/>
  <c r="L25" i="79" s="1"/>
  <c r="K24" i="79"/>
  <c r="J24" i="79"/>
  <c r="L24" i="79" s="1"/>
  <c r="K23" i="79"/>
  <c r="J23" i="79"/>
  <c r="L23" i="79" s="1"/>
  <c r="K22" i="79"/>
  <c r="J22" i="79"/>
  <c r="L22" i="79" s="1"/>
  <c r="K21" i="79"/>
  <c r="J21" i="79"/>
  <c r="L21" i="79" s="1"/>
  <c r="K20" i="79"/>
  <c r="J20" i="79"/>
  <c r="L20" i="79" s="1"/>
  <c r="K19" i="79"/>
  <c r="J19" i="79"/>
  <c r="L19" i="79" s="1"/>
  <c r="K18" i="79"/>
  <c r="J18" i="79"/>
  <c r="R17" i="79"/>
  <c r="H17" i="79"/>
  <c r="G17" i="79"/>
  <c r="D15" i="79"/>
  <c r="P10" i="79"/>
  <c r="P1" i="79"/>
  <c r="P8" i="79" s="1"/>
  <c r="Q61" i="78"/>
  <c r="F61" i="78"/>
  <c r="E61" i="78"/>
  <c r="K60" i="78"/>
  <c r="J60" i="78"/>
  <c r="L60" i="78" s="1"/>
  <c r="K59" i="78"/>
  <c r="J59" i="78"/>
  <c r="L59" i="78" s="1"/>
  <c r="K58" i="78"/>
  <c r="J58" i="78"/>
  <c r="L58" i="78" s="1"/>
  <c r="K57" i="78"/>
  <c r="J57" i="78"/>
  <c r="L57" i="78" s="1"/>
  <c r="K56" i="78"/>
  <c r="J56" i="78"/>
  <c r="L56" i="78" s="1"/>
  <c r="K55" i="78"/>
  <c r="J55" i="78"/>
  <c r="L55" i="78" s="1"/>
  <c r="K54" i="78"/>
  <c r="J54" i="78"/>
  <c r="L54" i="78" s="1"/>
  <c r="K53" i="78"/>
  <c r="J53" i="78"/>
  <c r="L53" i="78" s="1"/>
  <c r="K52" i="78"/>
  <c r="J52" i="78"/>
  <c r="L52" i="78" s="1"/>
  <c r="K51" i="78"/>
  <c r="J51" i="78"/>
  <c r="L51" i="78" s="1"/>
  <c r="K50" i="78"/>
  <c r="J50" i="78"/>
  <c r="L50" i="78" s="1"/>
  <c r="K49" i="78"/>
  <c r="J49" i="78"/>
  <c r="L49" i="78" s="1"/>
  <c r="K48" i="78"/>
  <c r="J48" i="78"/>
  <c r="L48" i="78" s="1"/>
  <c r="K47" i="78"/>
  <c r="J47" i="78"/>
  <c r="L47" i="78" s="1"/>
  <c r="K46" i="78"/>
  <c r="J46" i="78"/>
  <c r="L46" i="78" s="1"/>
  <c r="K45" i="78"/>
  <c r="J45" i="78"/>
  <c r="L45" i="78" s="1"/>
  <c r="K44" i="78"/>
  <c r="J44" i="78"/>
  <c r="L44" i="78" s="1"/>
  <c r="K43" i="78"/>
  <c r="J43" i="78"/>
  <c r="L43" i="78" s="1"/>
  <c r="K42" i="78"/>
  <c r="J42" i="78"/>
  <c r="L42" i="78" s="1"/>
  <c r="K41" i="78"/>
  <c r="J41" i="78"/>
  <c r="L41" i="78" s="1"/>
  <c r="K40" i="78"/>
  <c r="J40" i="78"/>
  <c r="L40" i="78" s="1"/>
  <c r="K39" i="78"/>
  <c r="J39" i="78"/>
  <c r="L39" i="78" s="1"/>
  <c r="K38" i="78"/>
  <c r="J38" i="78"/>
  <c r="L38" i="78" s="1"/>
  <c r="K37" i="78"/>
  <c r="J37" i="78"/>
  <c r="L37" i="78" s="1"/>
  <c r="K36" i="78"/>
  <c r="J36" i="78"/>
  <c r="L36" i="78" s="1"/>
  <c r="K35" i="78"/>
  <c r="J35" i="78"/>
  <c r="L35" i="78" s="1"/>
  <c r="K34" i="78"/>
  <c r="J34" i="78"/>
  <c r="L34" i="78" s="1"/>
  <c r="K33" i="78"/>
  <c r="J33" i="78"/>
  <c r="L33" i="78" s="1"/>
  <c r="K32" i="78"/>
  <c r="J32" i="78"/>
  <c r="L32" i="78" s="1"/>
  <c r="K31" i="78"/>
  <c r="J31" i="78"/>
  <c r="L31" i="78" s="1"/>
  <c r="K30" i="78"/>
  <c r="J30" i="78"/>
  <c r="L30" i="78" s="1"/>
  <c r="K29" i="78"/>
  <c r="J29" i="78"/>
  <c r="L29" i="78" s="1"/>
  <c r="K28" i="78"/>
  <c r="J28" i="78"/>
  <c r="L28" i="78" s="1"/>
  <c r="K27" i="78"/>
  <c r="J27" i="78"/>
  <c r="L27" i="78" s="1"/>
  <c r="K26" i="78"/>
  <c r="J26" i="78"/>
  <c r="L26" i="78" s="1"/>
  <c r="K25" i="78"/>
  <c r="J25" i="78"/>
  <c r="L25" i="78" s="1"/>
  <c r="K24" i="78"/>
  <c r="J24" i="78"/>
  <c r="L24" i="78" s="1"/>
  <c r="K23" i="78"/>
  <c r="J23" i="78"/>
  <c r="L23" i="78" s="1"/>
  <c r="K22" i="78"/>
  <c r="J22" i="78"/>
  <c r="L22" i="78" s="1"/>
  <c r="K21" i="78"/>
  <c r="J21" i="78"/>
  <c r="L21" i="78" s="1"/>
  <c r="K20" i="78"/>
  <c r="J20" i="78"/>
  <c r="L20" i="78" s="1"/>
  <c r="K19" i="78"/>
  <c r="J19" i="78"/>
  <c r="L19" i="78" s="1"/>
  <c r="K18" i="78"/>
  <c r="J18" i="78"/>
  <c r="R17" i="78"/>
  <c r="H17" i="78"/>
  <c r="G17" i="78"/>
  <c r="D15" i="78"/>
  <c r="P10" i="78"/>
  <c r="P1" i="78"/>
  <c r="P8" i="78" s="1"/>
  <c r="Q81" i="73"/>
  <c r="F81" i="73"/>
  <c r="E81" i="73"/>
  <c r="J80" i="73"/>
  <c r="G80" i="73"/>
  <c r="K80" i="73" s="1"/>
  <c r="J79" i="73"/>
  <c r="G79" i="73"/>
  <c r="K79" i="73" s="1"/>
  <c r="J78" i="73"/>
  <c r="G78" i="73"/>
  <c r="K78" i="73" s="1"/>
  <c r="J77" i="73"/>
  <c r="G77" i="73"/>
  <c r="K77" i="73" s="1"/>
  <c r="J76" i="73"/>
  <c r="G76" i="73"/>
  <c r="K76" i="73" s="1"/>
  <c r="J75" i="73"/>
  <c r="G75" i="73"/>
  <c r="K75" i="73" s="1"/>
  <c r="J74" i="73"/>
  <c r="G74" i="73"/>
  <c r="K74" i="73" s="1"/>
  <c r="J73" i="73"/>
  <c r="G73" i="73"/>
  <c r="K73" i="73" s="1"/>
  <c r="J72" i="73"/>
  <c r="G72" i="73"/>
  <c r="K72" i="73" s="1"/>
  <c r="J71" i="73"/>
  <c r="G71" i="73"/>
  <c r="K71" i="73" s="1"/>
  <c r="J70" i="73"/>
  <c r="G70" i="73"/>
  <c r="K70" i="73" s="1"/>
  <c r="J69" i="73"/>
  <c r="G69" i="73"/>
  <c r="K69" i="73" s="1"/>
  <c r="J68" i="73"/>
  <c r="G68" i="73"/>
  <c r="K68" i="73" s="1"/>
  <c r="J67" i="73"/>
  <c r="G67" i="73"/>
  <c r="K67" i="73" s="1"/>
  <c r="J66" i="73"/>
  <c r="G66" i="73"/>
  <c r="K66" i="73" s="1"/>
  <c r="J65" i="73"/>
  <c r="G65" i="73"/>
  <c r="K65" i="73" s="1"/>
  <c r="J64" i="73"/>
  <c r="G64" i="73"/>
  <c r="K64" i="73" s="1"/>
  <c r="J63" i="73"/>
  <c r="G63" i="73"/>
  <c r="K63" i="73" s="1"/>
  <c r="J62" i="73"/>
  <c r="G62" i="73"/>
  <c r="K62" i="73" s="1"/>
  <c r="J61" i="73"/>
  <c r="G61" i="73"/>
  <c r="K61" i="73" s="1"/>
  <c r="J60" i="73"/>
  <c r="G60" i="73"/>
  <c r="K60" i="73" s="1"/>
  <c r="J59" i="73"/>
  <c r="G59" i="73"/>
  <c r="K59" i="73" s="1"/>
  <c r="J58" i="73"/>
  <c r="G58" i="73"/>
  <c r="K58" i="73" s="1"/>
  <c r="J57" i="73"/>
  <c r="G57" i="73"/>
  <c r="K57" i="73" s="1"/>
  <c r="J56" i="73"/>
  <c r="G56" i="73"/>
  <c r="K56" i="73" s="1"/>
  <c r="J55" i="73"/>
  <c r="G55" i="73"/>
  <c r="K55" i="73" s="1"/>
  <c r="J54" i="73"/>
  <c r="G54" i="73"/>
  <c r="K54" i="73" s="1"/>
  <c r="J53" i="73"/>
  <c r="G53" i="73"/>
  <c r="K53" i="73" s="1"/>
  <c r="J52" i="73"/>
  <c r="G52" i="73"/>
  <c r="K52" i="73" s="1"/>
  <c r="J51" i="73"/>
  <c r="G51" i="73"/>
  <c r="K51" i="73" s="1"/>
  <c r="J50" i="73"/>
  <c r="G50" i="73"/>
  <c r="K50" i="73" s="1"/>
  <c r="J49" i="73"/>
  <c r="G49" i="73"/>
  <c r="K49" i="73" s="1"/>
  <c r="J48" i="73"/>
  <c r="G48" i="73"/>
  <c r="K48" i="73" s="1"/>
  <c r="J47" i="73"/>
  <c r="G47" i="73"/>
  <c r="K47" i="73" s="1"/>
  <c r="J46" i="73"/>
  <c r="G46" i="73"/>
  <c r="K46" i="73" s="1"/>
  <c r="J45" i="73"/>
  <c r="G45" i="73"/>
  <c r="K45" i="73" s="1"/>
  <c r="J44" i="73"/>
  <c r="G44" i="73"/>
  <c r="K44" i="73" s="1"/>
  <c r="J43" i="73"/>
  <c r="G43" i="73"/>
  <c r="K43" i="73" s="1"/>
  <c r="J42" i="73"/>
  <c r="G42" i="73"/>
  <c r="K42" i="73" s="1"/>
  <c r="J41" i="73"/>
  <c r="G41" i="73"/>
  <c r="K41" i="73" s="1"/>
  <c r="J40" i="73"/>
  <c r="G40" i="73"/>
  <c r="K40" i="73" s="1"/>
  <c r="J39" i="73"/>
  <c r="G39" i="73"/>
  <c r="K39" i="73" s="1"/>
  <c r="J38" i="73"/>
  <c r="G38" i="73"/>
  <c r="K38" i="73" s="1"/>
  <c r="J37" i="73"/>
  <c r="G37" i="73"/>
  <c r="K37" i="73" s="1"/>
  <c r="J36" i="73"/>
  <c r="G36" i="73"/>
  <c r="K36" i="73" s="1"/>
  <c r="J35" i="73"/>
  <c r="G35" i="73"/>
  <c r="K35" i="73" s="1"/>
  <c r="J34" i="73"/>
  <c r="G34" i="73"/>
  <c r="K34" i="73" s="1"/>
  <c r="J33" i="73"/>
  <c r="G33" i="73"/>
  <c r="K33" i="73" s="1"/>
  <c r="J32" i="73"/>
  <c r="G32" i="73"/>
  <c r="K32" i="73" s="1"/>
  <c r="J31" i="73"/>
  <c r="G31" i="73"/>
  <c r="K31" i="73" s="1"/>
  <c r="J30" i="73"/>
  <c r="G30" i="73"/>
  <c r="K30" i="73" s="1"/>
  <c r="J29" i="73"/>
  <c r="G29" i="73"/>
  <c r="K29" i="73" s="1"/>
  <c r="J28" i="73"/>
  <c r="G28" i="73"/>
  <c r="K28" i="73" s="1"/>
  <c r="J27" i="73"/>
  <c r="G27" i="73"/>
  <c r="K27" i="73" s="1"/>
  <c r="J26" i="73"/>
  <c r="G26" i="73"/>
  <c r="K26" i="73" s="1"/>
  <c r="J25" i="73"/>
  <c r="G25" i="73"/>
  <c r="K25" i="73" s="1"/>
  <c r="J24" i="73"/>
  <c r="G24" i="73"/>
  <c r="K24" i="73" s="1"/>
  <c r="J23" i="73"/>
  <c r="G23" i="73"/>
  <c r="K23" i="73" s="1"/>
  <c r="J22" i="73"/>
  <c r="G22" i="73"/>
  <c r="K22" i="73" s="1"/>
  <c r="J21" i="73"/>
  <c r="G21" i="73"/>
  <c r="K21" i="73" s="1"/>
  <c r="J20" i="73"/>
  <c r="G20" i="73"/>
  <c r="K20" i="73" s="1"/>
  <c r="J19" i="73"/>
  <c r="G19" i="73"/>
  <c r="K19" i="73" s="1"/>
  <c r="J18" i="73"/>
  <c r="G18" i="73"/>
  <c r="R17" i="73"/>
  <c r="H17" i="73"/>
  <c r="G17" i="73"/>
  <c r="D15" i="73"/>
  <c r="P10" i="73"/>
  <c r="P1" i="73"/>
  <c r="P8" i="73" s="1"/>
  <c r="Q49" i="70"/>
  <c r="F49" i="70"/>
  <c r="E49" i="70"/>
  <c r="K48" i="70"/>
  <c r="J48" i="70"/>
  <c r="L48" i="70" s="1"/>
  <c r="K47" i="70"/>
  <c r="L47" i="70" s="1"/>
  <c r="T47" i="70" s="1"/>
  <c r="S47" i="70" s="1"/>
  <c r="J47" i="70"/>
  <c r="K46" i="70"/>
  <c r="J46" i="70"/>
  <c r="L46" i="70" s="1"/>
  <c r="K45" i="70"/>
  <c r="J45" i="70"/>
  <c r="L45" i="70" s="1"/>
  <c r="K44" i="70"/>
  <c r="L44" i="70" s="1"/>
  <c r="J44" i="70"/>
  <c r="K43" i="70"/>
  <c r="J43" i="70"/>
  <c r="L43" i="70" s="1"/>
  <c r="K42" i="70"/>
  <c r="J42" i="70"/>
  <c r="L42" i="70" s="1"/>
  <c r="K41" i="70"/>
  <c r="L41" i="70" s="1"/>
  <c r="J41" i="70"/>
  <c r="K40" i="70"/>
  <c r="J40" i="70"/>
  <c r="L40" i="70" s="1"/>
  <c r="K39" i="70"/>
  <c r="J39" i="70"/>
  <c r="L39" i="70" s="1"/>
  <c r="K38" i="70"/>
  <c r="L38" i="70" s="1"/>
  <c r="J38" i="70"/>
  <c r="K37" i="70"/>
  <c r="J37" i="70"/>
  <c r="L37" i="70" s="1"/>
  <c r="K36" i="70"/>
  <c r="J36" i="70"/>
  <c r="K35" i="70"/>
  <c r="L35" i="70" s="1"/>
  <c r="J35" i="70"/>
  <c r="K34" i="70"/>
  <c r="J34" i="70"/>
  <c r="L34" i="70" s="1"/>
  <c r="K33" i="70"/>
  <c r="J33" i="70"/>
  <c r="K32" i="70"/>
  <c r="L32" i="70" s="1"/>
  <c r="J32" i="70"/>
  <c r="K31" i="70"/>
  <c r="J31" i="70"/>
  <c r="L31" i="70" s="1"/>
  <c r="K30" i="70"/>
  <c r="J30" i="70"/>
  <c r="G30" i="70"/>
  <c r="L29" i="70"/>
  <c r="K29" i="70"/>
  <c r="J29" i="70"/>
  <c r="K28" i="70"/>
  <c r="J28" i="70"/>
  <c r="L28" i="70" s="1"/>
  <c r="K27" i="70"/>
  <c r="J27" i="70"/>
  <c r="L27" i="70" s="1"/>
  <c r="G27" i="70"/>
  <c r="L26" i="70"/>
  <c r="K26" i="70"/>
  <c r="J26" i="70"/>
  <c r="K25" i="70"/>
  <c r="J25" i="70"/>
  <c r="L25" i="70" s="1"/>
  <c r="K24" i="70"/>
  <c r="J24" i="70"/>
  <c r="L24" i="70" s="1"/>
  <c r="G24" i="70"/>
  <c r="L23" i="70"/>
  <c r="K23" i="70"/>
  <c r="J23" i="70"/>
  <c r="K22" i="70"/>
  <c r="J22" i="70"/>
  <c r="L22" i="70" s="1"/>
  <c r="K21" i="70"/>
  <c r="J21" i="70"/>
  <c r="L21" i="70" s="1"/>
  <c r="G21" i="70"/>
  <c r="L20" i="70"/>
  <c r="K20" i="70"/>
  <c r="J20" i="70"/>
  <c r="K19" i="70"/>
  <c r="J19" i="70"/>
  <c r="L19" i="70" s="1"/>
  <c r="K18" i="70"/>
  <c r="J18" i="70"/>
  <c r="J49" i="70" s="1"/>
  <c r="G18" i="70"/>
  <c r="R17" i="70"/>
  <c r="R47" i="70" s="1"/>
  <c r="H17" i="70"/>
  <c r="H48" i="70" s="1"/>
  <c r="G17" i="70"/>
  <c r="H47" i="70" s="1"/>
  <c r="D15" i="70"/>
  <c r="G47" i="70" s="1"/>
  <c r="P10" i="70"/>
  <c r="P1" i="70"/>
  <c r="P8" i="70" s="1"/>
  <c r="Q49" i="69"/>
  <c r="F49" i="69"/>
  <c r="E49" i="69"/>
  <c r="K48" i="69"/>
  <c r="J48" i="69"/>
  <c r="L48" i="69" s="1"/>
  <c r="K47" i="69"/>
  <c r="L47" i="69" s="1"/>
  <c r="T47" i="69" s="1"/>
  <c r="S47" i="69" s="1"/>
  <c r="J47" i="69"/>
  <c r="H47" i="69"/>
  <c r="G47" i="69"/>
  <c r="K46" i="69"/>
  <c r="J46" i="69"/>
  <c r="L46" i="69" s="1"/>
  <c r="R45" i="69"/>
  <c r="V45" i="69" s="1"/>
  <c r="L45" i="69"/>
  <c r="T45" i="69" s="1"/>
  <c r="S45" i="69" s="1"/>
  <c r="K45" i="69"/>
  <c r="U45" i="69" s="1"/>
  <c r="J45" i="69"/>
  <c r="K44" i="69"/>
  <c r="J44" i="69"/>
  <c r="L44" i="69" s="1"/>
  <c r="K43" i="69"/>
  <c r="L43" i="69" s="1"/>
  <c r="J43" i="69"/>
  <c r="H43" i="69"/>
  <c r="G43" i="69"/>
  <c r="K42" i="69"/>
  <c r="J42" i="69"/>
  <c r="L42" i="69" s="1"/>
  <c r="R41" i="69"/>
  <c r="V41" i="69" s="1"/>
  <c r="L41" i="69"/>
  <c r="T41" i="69" s="1"/>
  <c r="S41" i="69" s="1"/>
  <c r="K41" i="69"/>
  <c r="U41" i="69" s="1"/>
  <c r="J41" i="69"/>
  <c r="K40" i="69"/>
  <c r="J40" i="69"/>
  <c r="L40" i="69" s="1"/>
  <c r="K39" i="69"/>
  <c r="L39" i="69" s="1"/>
  <c r="J39" i="69"/>
  <c r="H39" i="69"/>
  <c r="G39" i="69"/>
  <c r="K38" i="69"/>
  <c r="J38" i="69"/>
  <c r="L38" i="69" s="1"/>
  <c r="R37" i="69"/>
  <c r="V37" i="69" s="1"/>
  <c r="L37" i="69"/>
  <c r="T37" i="69" s="1"/>
  <c r="S37" i="69" s="1"/>
  <c r="K37" i="69"/>
  <c r="U37" i="69" s="1"/>
  <c r="J37" i="69"/>
  <c r="K36" i="69"/>
  <c r="J36" i="69"/>
  <c r="L36" i="69" s="1"/>
  <c r="K35" i="69"/>
  <c r="L35" i="69" s="1"/>
  <c r="J35" i="69"/>
  <c r="H35" i="69"/>
  <c r="G35" i="69"/>
  <c r="K34" i="69"/>
  <c r="J34" i="69"/>
  <c r="R33" i="69"/>
  <c r="K33" i="69"/>
  <c r="U33" i="69" s="1"/>
  <c r="J33" i="69"/>
  <c r="K32" i="69"/>
  <c r="J32" i="69"/>
  <c r="K31" i="69"/>
  <c r="L31" i="69" s="1"/>
  <c r="J31" i="69"/>
  <c r="H31" i="69"/>
  <c r="G31" i="69"/>
  <c r="K30" i="69"/>
  <c r="J30" i="69"/>
  <c r="R29" i="69"/>
  <c r="K29" i="69"/>
  <c r="U29" i="69" s="1"/>
  <c r="J29" i="69"/>
  <c r="K28" i="69"/>
  <c r="J28" i="69"/>
  <c r="K27" i="69"/>
  <c r="L27" i="69" s="1"/>
  <c r="J27" i="69"/>
  <c r="H27" i="69"/>
  <c r="G27" i="69"/>
  <c r="K26" i="69"/>
  <c r="J26" i="69"/>
  <c r="R25" i="69"/>
  <c r="K25" i="69"/>
  <c r="U25" i="69" s="1"/>
  <c r="J25" i="69"/>
  <c r="G25" i="69"/>
  <c r="K24" i="69"/>
  <c r="J24" i="69"/>
  <c r="K23" i="69"/>
  <c r="L23" i="69" s="1"/>
  <c r="J23" i="69"/>
  <c r="H23" i="69"/>
  <c r="G23" i="69"/>
  <c r="K22" i="69"/>
  <c r="J22" i="69"/>
  <c r="G22" i="69"/>
  <c r="R21" i="69"/>
  <c r="K21" i="69"/>
  <c r="U21" i="69" s="1"/>
  <c r="J21" i="69"/>
  <c r="H21" i="69"/>
  <c r="G21" i="69"/>
  <c r="K20" i="69"/>
  <c r="J20" i="69"/>
  <c r="K19" i="69"/>
  <c r="L19" i="69" s="1"/>
  <c r="J19" i="69"/>
  <c r="H19" i="69"/>
  <c r="G19" i="69"/>
  <c r="K18" i="69"/>
  <c r="J18" i="69"/>
  <c r="G18" i="69"/>
  <c r="R17" i="69"/>
  <c r="R47" i="69" s="1"/>
  <c r="H17" i="69"/>
  <c r="H45" i="69" s="1"/>
  <c r="G17" i="69"/>
  <c r="D15" i="69"/>
  <c r="G46" i="69" s="1"/>
  <c r="P10" i="69"/>
  <c r="P1" i="69"/>
  <c r="P8" i="69" s="1"/>
  <c r="Q49" i="68"/>
  <c r="F49" i="68"/>
  <c r="E49" i="68"/>
  <c r="K48" i="68"/>
  <c r="J48" i="68"/>
  <c r="L48" i="68" s="1"/>
  <c r="L47" i="68"/>
  <c r="K47" i="68"/>
  <c r="J47" i="68"/>
  <c r="G47" i="68"/>
  <c r="K46" i="68"/>
  <c r="J46" i="68"/>
  <c r="L46" i="68" s="1"/>
  <c r="L45" i="68"/>
  <c r="K45" i="68"/>
  <c r="J45" i="68"/>
  <c r="K44" i="68"/>
  <c r="J44" i="68"/>
  <c r="L44" i="68" s="1"/>
  <c r="L43" i="68"/>
  <c r="K43" i="68"/>
  <c r="J43" i="68"/>
  <c r="G43" i="68"/>
  <c r="K42" i="68"/>
  <c r="J42" i="68"/>
  <c r="L42" i="68" s="1"/>
  <c r="L41" i="68"/>
  <c r="K41" i="68"/>
  <c r="J41" i="68"/>
  <c r="K40" i="68"/>
  <c r="J40" i="68"/>
  <c r="L40" i="68" s="1"/>
  <c r="L39" i="68"/>
  <c r="K39" i="68"/>
  <c r="J39" i="68"/>
  <c r="G39" i="68"/>
  <c r="K38" i="68"/>
  <c r="J38" i="68"/>
  <c r="L38" i="68" s="1"/>
  <c r="L37" i="68"/>
  <c r="K37" i="68"/>
  <c r="J37" i="68"/>
  <c r="G37" i="68"/>
  <c r="K36" i="68"/>
  <c r="J36" i="68"/>
  <c r="L36" i="68" s="1"/>
  <c r="K35" i="68"/>
  <c r="L35" i="68" s="1"/>
  <c r="J35" i="68"/>
  <c r="G35" i="68"/>
  <c r="K34" i="68"/>
  <c r="J34" i="68"/>
  <c r="K33" i="68"/>
  <c r="L33" i="68" s="1"/>
  <c r="J33" i="68"/>
  <c r="G33" i="68"/>
  <c r="K32" i="68"/>
  <c r="J32" i="68"/>
  <c r="K31" i="68"/>
  <c r="L31" i="68" s="1"/>
  <c r="J31" i="68"/>
  <c r="G31" i="68"/>
  <c r="K30" i="68"/>
  <c r="J30" i="68"/>
  <c r="K29" i="68"/>
  <c r="L29" i="68" s="1"/>
  <c r="J29" i="68"/>
  <c r="G29" i="68"/>
  <c r="K28" i="68"/>
  <c r="J28" i="68"/>
  <c r="K27" i="68"/>
  <c r="L27" i="68" s="1"/>
  <c r="J27" i="68"/>
  <c r="G27" i="68"/>
  <c r="K26" i="68"/>
  <c r="J26" i="68"/>
  <c r="K25" i="68"/>
  <c r="L25" i="68" s="1"/>
  <c r="J25" i="68"/>
  <c r="G25" i="68"/>
  <c r="K24" i="68"/>
  <c r="J24" i="68"/>
  <c r="K23" i="68"/>
  <c r="L23" i="68" s="1"/>
  <c r="J23" i="68"/>
  <c r="G23" i="68"/>
  <c r="K22" i="68"/>
  <c r="J22" i="68"/>
  <c r="K21" i="68"/>
  <c r="L21" i="68" s="1"/>
  <c r="J21" i="68"/>
  <c r="G21" i="68"/>
  <c r="K20" i="68"/>
  <c r="J20" i="68"/>
  <c r="K19" i="68"/>
  <c r="L19" i="68" s="1"/>
  <c r="J19" i="68"/>
  <c r="G19" i="68"/>
  <c r="K18" i="68"/>
  <c r="J18" i="68"/>
  <c r="R17" i="68"/>
  <c r="R47" i="68" s="1"/>
  <c r="U47" i="68" s="1"/>
  <c r="H17" i="68"/>
  <c r="H45" i="68" s="1"/>
  <c r="G17" i="68"/>
  <c r="D15" i="68"/>
  <c r="G46" i="68" s="1"/>
  <c r="P10" i="68"/>
  <c r="P1" i="68"/>
  <c r="P8" i="68" s="1"/>
  <c r="Q49" i="67"/>
  <c r="F49" i="67"/>
  <c r="E49" i="67"/>
  <c r="P10" i="67" s="1"/>
  <c r="R48" i="67"/>
  <c r="U48" i="67" s="1"/>
  <c r="K48" i="67"/>
  <c r="V48" i="67" s="1"/>
  <c r="J48" i="67"/>
  <c r="L48" i="67" s="1"/>
  <c r="T48" i="67" s="1"/>
  <c r="S48" i="67" s="1"/>
  <c r="K47" i="67"/>
  <c r="J47" i="67"/>
  <c r="L47" i="67" s="1"/>
  <c r="H47" i="67"/>
  <c r="G47" i="67"/>
  <c r="K46" i="67"/>
  <c r="J46" i="67"/>
  <c r="L46" i="67" s="1"/>
  <c r="H46" i="67"/>
  <c r="R45" i="67"/>
  <c r="K45" i="67"/>
  <c r="V45" i="67" s="1"/>
  <c r="J45" i="67"/>
  <c r="R44" i="67"/>
  <c r="U44" i="67" s="1"/>
  <c r="K44" i="67"/>
  <c r="V44" i="67" s="1"/>
  <c r="J44" i="67"/>
  <c r="L44" i="67" s="1"/>
  <c r="T44" i="67" s="1"/>
  <c r="S44" i="67" s="1"/>
  <c r="K43" i="67"/>
  <c r="J43" i="67"/>
  <c r="L43" i="67" s="1"/>
  <c r="H43" i="67"/>
  <c r="G43" i="67"/>
  <c r="K42" i="67"/>
  <c r="J42" i="67"/>
  <c r="L42" i="67" s="1"/>
  <c r="H42" i="67"/>
  <c r="R41" i="67"/>
  <c r="K41" i="67"/>
  <c r="L41" i="67" s="1"/>
  <c r="T41" i="67" s="1"/>
  <c r="S41" i="67" s="1"/>
  <c r="J41" i="67"/>
  <c r="R40" i="67"/>
  <c r="U40" i="67" s="1"/>
  <c r="K40" i="67"/>
  <c r="V40" i="67" s="1"/>
  <c r="J40" i="67"/>
  <c r="L40" i="67" s="1"/>
  <c r="K39" i="67"/>
  <c r="J39" i="67"/>
  <c r="L39" i="67" s="1"/>
  <c r="H39" i="67"/>
  <c r="G39" i="67"/>
  <c r="K38" i="67"/>
  <c r="J38" i="67"/>
  <c r="L38" i="67" s="1"/>
  <c r="H38" i="67"/>
  <c r="R37" i="67"/>
  <c r="K37" i="67"/>
  <c r="L37" i="67" s="1"/>
  <c r="T37" i="67" s="1"/>
  <c r="S37" i="67" s="1"/>
  <c r="J37" i="67"/>
  <c r="R36" i="67"/>
  <c r="U36" i="67" s="1"/>
  <c r="K36" i="67"/>
  <c r="V36" i="67" s="1"/>
  <c r="J36" i="67"/>
  <c r="L36" i="67" s="1"/>
  <c r="T36" i="67" s="1"/>
  <c r="S36" i="67" s="1"/>
  <c r="K35" i="67"/>
  <c r="J35" i="67"/>
  <c r="L35" i="67" s="1"/>
  <c r="H35" i="67"/>
  <c r="G35" i="67"/>
  <c r="K34" i="67"/>
  <c r="J34" i="67"/>
  <c r="H34" i="67"/>
  <c r="R33" i="67"/>
  <c r="K33" i="67"/>
  <c r="U33" i="67" s="1"/>
  <c r="J33" i="67"/>
  <c r="R32" i="67"/>
  <c r="K32" i="67"/>
  <c r="V32" i="67" s="1"/>
  <c r="J32" i="67"/>
  <c r="K31" i="67"/>
  <c r="J31" i="67"/>
  <c r="H31" i="67"/>
  <c r="G31" i="67"/>
  <c r="K30" i="67"/>
  <c r="J30" i="67"/>
  <c r="H30" i="67"/>
  <c r="R29" i="67"/>
  <c r="K29" i="67"/>
  <c r="J29" i="67"/>
  <c r="R28" i="67"/>
  <c r="K28" i="67"/>
  <c r="V28" i="67" s="1"/>
  <c r="J28" i="67"/>
  <c r="K27" i="67"/>
  <c r="J27" i="67"/>
  <c r="L27" i="67" s="1"/>
  <c r="H27" i="67"/>
  <c r="G27" i="67"/>
  <c r="K26" i="67"/>
  <c r="J26" i="67"/>
  <c r="H26" i="67"/>
  <c r="R25" i="67"/>
  <c r="K25" i="67"/>
  <c r="J25" i="67"/>
  <c r="R24" i="67"/>
  <c r="K24" i="67"/>
  <c r="V24" i="67" s="1"/>
  <c r="J24" i="67"/>
  <c r="K23" i="67"/>
  <c r="J23" i="67"/>
  <c r="H23" i="67"/>
  <c r="G23" i="67"/>
  <c r="K22" i="67"/>
  <c r="J22" i="67"/>
  <c r="H22" i="67"/>
  <c r="R21" i="67"/>
  <c r="K21" i="67"/>
  <c r="J21" i="67"/>
  <c r="R20" i="67"/>
  <c r="K20" i="67"/>
  <c r="J20" i="67"/>
  <c r="L20" i="67" s="1"/>
  <c r="K19" i="67"/>
  <c r="J19" i="67"/>
  <c r="H19" i="67"/>
  <c r="G19" i="67"/>
  <c r="K18" i="67"/>
  <c r="J18" i="67"/>
  <c r="H18" i="67"/>
  <c r="R17" i="67"/>
  <c r="R47" i="67" s="1"/>
  <c r="H17" i="67"/>
  <c r="H45" i="67" s="1"/>
  <c r="G17" i="67"/>
  <c r="D15" i="67"/>
  <c r="G46" i="67" s="1"/>
  <c r="P8" i="67"/>
  <c r="P1" i="67"/>
  <c r="Q49" i="66"/>
  <c r="F49" i="66"/>
  <c r="E49" i="66"/>
  <c r="P10" i="66" s="1"/>
  <c r="K48" i="66"/>
  <c r="J48" i="66"/>
  <c r="L48" i="66" s="1"/>
  <c r="K47" i="66"/>
  <c r="J47" i="66"/>
  <c r="L47" i="66" s="1"/>
  <c r="T47" i="66" s="1"/>
  <c r="S47" i="66" s="1"/>
  <c r="G47" i="66"/>
  <c r="K46" i="66"/>
  <c r="J46" i="66"/>
  <c r="L46" i="66" s="1"/>
  <c r="L45" i="66"/>
  <c r="K45" i="66"/>
  <c r="J45" i="66"/>
  <c r="K44" i="66"/>
  <c r="L44" i="66" s="1"/>
  <c r="J44" i="66"/>
  <c r="K43" i="66"/>
  <c r="J43" i="66"/>
  <c r="L43" i="66" s="1"/>
  <c r="G43" i="66"/>
  <c r="K42" i="66"/>
  <c r="J42" i="66"/>
  <c r="L42" i="66" s="1"/>
  <c r="L41" i="66"/>
  <c r="K41" i="66"/>
  <c r="J41" i="66"/>
  <c r="K40" i="66"/>
  <c r="J40" i="66"/>
  <c r="L40" i="66" s="1"/>
  <c r="K39" i="66"/>
  <c r="J39" i="66"/>
  <c r="L39" i="66" s="1"/>
  <c r="G39" i="66"/>
  <c r="K38" i="66"/>
  <c r="J38" i="66"/>
  <c r="L38" i="66" s="1"/>
  <c r="L37" i="66"/>
  <c r="K37" i="66"/>
  <c r="J37" i="66"/>
  <c r="K36" i="66"/>
  <c r="J36" i="66"/>
  <c r="L36" i="66" s="1"/>
  <c r="K35" i="66"/>
  <c r="J35" i="66"/>
  <c r="L35" i="66" s="1"/>
  <c r="G35" i="66"/>
  <c r="K34" i="66"/>
  <c r="J34" i="66"/>
  <c r="H34" i="66"/>
  <c r="K33" i="66"/>
  <c r="L33" i="66" s="1"/>
  <c r="J33" i="66"/>
  <c r="R32" i="66"/>
  <c r="K32" i="66"/>
  <c r="V32" i="66" s="1"/>
  <c r="J32" i="66"/>
  <c r="K31" i="66"/>
  <c r="J31" i="66"/>
  <c r="G31" i="66"/>
  <c r="K30" i="66"/>
  <c r="J30" i="66"/>
  <c r="H30" i="66"/>
  <c r="K29" i="66"/>
  <c r="L29" i="66" s="1"/>
  <c r="J29" i="66"/>
  <c r="R28" i="66"/>
  <c r="K28" i="66"/>
  <c r="V28" i="66" s="1"/>
  <c r="J28" i="66"/>
  <c r="K27" i="66"/>
  <c r="J27" i="66"/>
  <c r="G27" i="66"/>
  <c r="K26" i="66"/>
  <c r="J26" i="66"/>
  <c r="H26" i="66"/>
  <c r="K25" i="66"/>
  <c r="L25" i="66" s="1"/>
  <c r="J25" i="66"/>
  <c r="R24" i="66"/>
  <c r="K24" i="66"/>
  <c r="V24" i="66" s="1"/>
  <c r="J24" i="66"/>
  <c r="K23" i="66"/>
  <c r="J23" i="66"/>
  <c r="G23" i="66"/>
  <c r="K22" i="66"/>
  <c r="J22" i="66"/>
  <c r="H22" i="66"/>
  <c r="K21" i="66"/>
  <c r="L21" i="66" s="1"/>
  <c r="J21" i="66"/>
  <c r="R20" i="66"/>
  <c r="K20" i="66"/>
  <c r="V20" i="66" s="1"/>
  <c r="J20" i="66"/>
  <c r="L20" i="66" s="1"/>
  <c r="T20" i="66" s="1"/>
  <c r="S20" i="66" s="1"/>
  <c r="K19" i="66"/>
  <c r="J19" i="66"/>
  <c r="G19" i="66"/>
  <c r="K18" i="66"/>
  <c r="J18" i="66"/>
  <c r="H18" i="66"/>
  <c r="R17" i="66"/>
  <c r="R47" i="66" s="1"/>
  <c r="U47" i="66" s="1"/>
  <c r="H17" i="66"/>
  <c r="H45" i="66" s="1"/>
  <c r="G17" i="66"/>
  <c r="H33" i="66" s="1"/>
  <c r="D15" i="66"/>
  <c r="G46" i="66" s="1"/>
  <c r="P1" i="66"/>
  <c r="P8" i="66" s="1"/>
  <c r="Q49" i="65"/>
  <c r="F49" i="65"/>
  <c r="E49" i="65"/>
  <c r="K48" i="65"/>
  <c r="J48" i="65"/>
  <c r="L48" i="65" s="1"/>
  <c r="K47" i="65"/>
  <c r="L47" i="65" s="1"/>
  <c r="J47" i="65"/>
  <c r="H47" i="65"/>
  <c r="G47" i="65"/>
  <c r="K46" i="65"/>
  <c r="J46" i="65"/>
  <c r="L46" i="65" s="1"/>
  <c r="R45" i="65"/>
  <c r="V45" i="65" s="1"/>
  <c r="L45" i="65"/>
  <c r="T45" i="65" s="1"/>
  <c r="S45" i="65" s="1"/>
  <c r="K45" i="65"/>
  <c r="U45" i="65" s="1"/>
  <c r="J45" i="65"/>
  <c r="K44" i="65"/>
  <c r="L44" i="65" s="1"/>
  <c r="J44" i="65"/>
  <c r="K43" i="65"/>
  <c r="L43" i="65" s="1"/>
  <c r="J43" i="65"/>
  <c r="H43" i="65"/>
  <c r="G43" i="65"/>
  <c r="K42" i="65"/>
  <c r="J42" i="65"/>
  <c r="L42" i="65" s="1"/>
  <c r="R41" i="65"/>
  <c r="V41" i="65" s="1"/>
  <c r="L41" i="65"/>
  <c r="T41" i="65" s="1"/>
  <c r="S41" i="65" s="1"/>
  <c r="K41" i="65"/>
  <c r="U41" i="65" s="1"/>
  <c r="J41" i="65"/>
  <c r="K40" i="65"/>
  <c r="L40" i="65" s="1"/>
  <c r="J40" i="65"/>
  <c r="K39" i="65"/>
  <c r="L39" i="65" s="1"/>
  <c r="J39" i="65"/>
  <c r="H39" i="65"/>
  <c r="G39" i="65"/>
  <c r="K38" i="65"/>
  <c r="J38" i="65"/>
  <c r="L38" i="65" s="1"/>
  <c r="R37" i="65"/>
  <c r="V37" i="65" s="1"/>
  <c r="L37" i="65"/>
  <c r="T37" i="65" s="1"/>
  <c r="S37" i="65" s="1"/>
  <c r="K37" i="65"/>
  <c r="U37" i="65" s="1"/>
  <c r="J37" i="65"/>
  <c r="K36" i="65"/>
  <c r="J36" i="65"/>
  <c r="L36" i="65" s="1"/>
  <c r="K35" i="65"/>
  <c r="L35" i="65" s="1"/>
  <c r="J35" i="65"/>
  <c r="H35" i="65"/>
  <c r="G35" i="65"/>
  <c r="K34" i="65"/>
  <c r="J34" i="65"/>
  <c r="R33" i="65"/>
  <c r="K33" i="65"/>
  <c r="U33" i="65" s="1"/>
  <c r="J33" i="65"/>
  <c r="K32" i="65"/>
  <c r="J32" i="65"/>
  <c r="K31" i="65"/>
  <c r="L31" i="65" s="1"/>
  <c r="J31" i="65"/>
  <c r="H31" i="65"/>
  <c r="G31" i="65"/>
  <c r="K30" i="65"/>
  <c r="J30" i="65"/>
  <c r="R29" i="65"/>
  <c r="K29" i="65"/>
  <c r="U29" i="65" s="1"/>
  <c r="J29" i="65"/>
  <c r="K28" i="65"/>
  <c r="J28" i="65"/>
  <c r="K27" i="65"/>
  <c r="L27" i="65" s="1"/>
  <c r="J27" i="65"/>
  <c r="H27" i="65"/>
  <c r="G27" i="65"/>
  <c r="K26" i="65"/>
  <c r="J26" i="65"/>
  <c r="R25" i="65"/>
  <c r="K25" i="65"/>
  <c r="U25" i="65" s="1"/>
  <c r="J25" i="65"/>
  <c r="K24" i="65"/>
  <c r="J24" i="65"/>
  <c r="K23" i="65"/>
  <c r="L23" i="65" s="1"/>
  <c r="J23" i="65"/>
  <c r="H23" i="65"/>
  <c r="G23" i="65"/>
  <c r="K22" i="65"/>
  <c r="J22" i="65"/>
  <c r="R21" i="65"/>
  <c r="V21" i="65" s="1"/>
  <c r="K21" i="65"/>
  <c r="U21" i="65" s="1"/>
  <c r="J21" i="65"/>
  <c r="K20" i="65"/>
  <c r="J20" i="65"/>
  <c r="K19" i="65"/>
  <c r="L19" i="65" s="1"/>
  <c r="J19" i="65"/>
  <c r="H19" i="65"/>
  <c r="G19" i="65"/>
  <c r="K18" i="65"/>
  <c r="J18" i="65"/>
  <c r="G18" i="65"/>
  <c r="R17" i="65"/>
  <c r="R47" i="65" s="1"/>
  <c r="H17" i="65"/>
  <c r="H45" i="65" s="1"/>
  <c r="G17" i="65"/>
  <c r="H21" i="65" s="1"/>
  <c r="D15" i="65"/>
  <c r="G46" i="65" s="1"/>
  <c r="P10" i="65"/>
  <c r="P1" i="65"/>
  <c r="P8" i="65" s="1"/>
  <c r="Q49" i="64"/>
  <c r="F49" i="64"/>
  <c r="E49" i="64"/>
  <c r="P10" i="64" s="1"/>
  <c r="U48" i="64"/>
  <c r="R48" i="64"/>
  <c r="V48" i="64" s="1"/>
  <c r="K48" i="64"/>
  <c r="J48" i="64"/>
  <c r="L48" i="64" s="1"/>
  <c r="T48" i="64" s="1"/>
  <c r="S48" i="64" s="1"/>
  <c r="K47" i="64"/>
  <c r="J47" i="64"/>
  <c r="L47" i="64" s="1"/>
  <c r="R46" i="64"/>
  <c r="V46" i="64" s="1"/>
  <c r="L46" i="64"/>
  <c r="T46" i="64" s="1"/>
  <c r="S46" i="64" s="1"/>
  <c r="K46" i="64"/>
  <c r="U46" i="64" s="1"/>
  <c r="J46" i="64"/>
  <c r="K45" i="64"/>
  <c r="J45" i="64"/>
  <c r="U44" i="64"/>
  <c r="R44" i="64"/>
  <c r="V44" i="64" s="1"/>
  <c r="K44" i="64"/>
  <c r="L44" i="64" s="1"/>
  <c r="T44" i="64" s="1"/>
  <c r="S44" i="64" s="1"/>
  <c r="J44" i="64"/>
  <c r="K43" i="64"/>
  <c r="J43" i="64"/>
  <c r="L43" i="64" s="1"/>
  <c r="R42" i="64"/>
  <c r="V42" i="64" s="1"/>
  <c r="L42" i="64"/>
  <c r="T42" i="64" s="1"/>
  <c r="S42" i="64" s="1"/>
  <c r="K42" i="64"/>
  <c r="U42" i="64" s="1"/>
  <c r="J42" i="64"/>
  <c r="K41" i="64"/>
  <c r="J41" i="64"/>
  <c r="L41" i="64" s="1"/>
  <c r="U40" i="64"/>
  <c r="R40" i="64"/>
  <c r="V40" i="64" s="1"/>
  <c r="K40" i="64"/>
  <c r="J40" i="64"/>
  <c r="L40" i="64" s="1"/>
  <c r="T40" i="64" s="1"/>
  <c r="S40" i="64" s="1"/>
  <c r="K39" i="64"/>
  <c r="J39" i="64"/>
  <c r="L39" i="64" s="1"/>
  <c r="R38" i="64"/>
  <c r="V38" i="64" s="1"/>
  <c r="L38" i="64"/>
  <c r="T38" i="64" s="1"/>
  <c r="S38" i="64" s="1"/>
  <c r="K38" i="64"/>
  <c r="U38" i="64" s="1"/>
  <c r="J38" i="64"/>
  <c r="K37" i="64"/>
  <c r="J37" i="64"/>
  <c r="L37" i="64" s="1"/>
  <c r="U36" i="64"/>
  <c r="R36" i="64"/>
  <c r="V36" i="64" s="1"/>
  <c r="K36" i="64"/>
  <c r="J36" i="64"/>
  <c r="L36" i="64" s="1"/>
  <c r="T36" i="64" s="1"/>
  <c r="S36" i="64" s="1"/>
  <c r="K35" i="64"/>
  <c r="J35" i="64"/>
  <c r="L35" i="64" s="1"/>
  <c r="R34" i="64"/>
  <c r="K34" i="64"/>
  <c r="J34" i="64"/>
  <c r="K33" i="64"/>
  <c r="J33" i="64"/>
  <c r="R32" i="64"/>
  <c r="K32" i="64"/>
  <c r="U32" i="64" s="1"/>
  <c r="J32" i="64"/>
  <c r="K31" i="64"/>
  <c r="J31" i="64"/>
  <c r="R30" i="64"/>
  <c r="K30" i="64"/>
  <c r="U30" i="64" s="1"/>
  <c r="J30" i="64"/>
  <c r="K29" i="64"/>
  <c r="J29" i="64"/>
  <c r="R28" i="64"/>
  <c r="K28" i="64"/>
  <c r="U28" i="64" s="1"/>
  <c r="J28" i="64"/>
  <c r="K27" i="64"/>
  <c r="J27" i="64"/>
  <c r="L27" i="64" s="1"/>
  <c r="R26" i="64"/>
  <c r="K26" i="64"/>
  <c r="U26" i="64" s="1"/>
  <c r="J26" i="64"/>
  <c r="R25" i="64"/>
  <c r="K25" i="64"/>
  <c r="V25" i="64" s="1"/>
  <c r="J25" i="64"/>
  <c r="R24" i="64"/>
  <c r="K24" i="64"/>
  <c r="U24" i="64" s="1"/>
  <c r="J24" i="64"/>
  <c r="K23" i="64"/>
  <c r="J23" i="64"/>
  <c r="R22" i="64"/>
  <c r="K22" i="64"/>
  <c r="U22" i="64" s="1"/>
  <c r="J22" i="64"/>
  <c r="R21" i="64"/>
  <c r="K21" i="64"/>
  <c r="V21" i="64" s="1"/>
  <c r="J21" i="64"/>
  <c r="R20" i="64"/>
  <c r="K20" i="64"/>
  <c r="U20" i="64" s="1"/>
  <c r="J20" i="64"/>
  <c r="K19" i="64"/>
  <c r="J19" i="64"/>
  <c r="R18" i="64"/>
  <c r="K18" i="64"/>
  <c r="U18" i="64" s="1"/>
  <c r="J18" i="64"/>
  <c r="J49" i="64" s="1"/>
  <c r="H18" i="64"/>
  <c r="R17" i="64"/>
  <c r="R47" i="64" s="1"/>
  <c r="H17" i="64"/>
  <c r="H45" i="64" s="1"/>
  <c r="G17" i="64"/>
  <c r="H24" i="64" s="1"/>
  <c r="D15" i="64"/>
  <c r="G46" i="64" s="1"/>
  <c r="P8" i="64"/>
  <c r="P1" i="64"/>
  <c r="Q49" i="63"/>
  <c r="F49" i="63"/>
  <c r="E49" i="63"/>
  <c r="K48" i="63"/>
  <c r="J48" i="63"/>
  <c r="L48" i="63" s="1"/>
  <c r="K47" i="63"/>
  <c r="J47" i="63"/>
  <c r="L47" i="63" s="1"/>
  <c r="T47" i="63" s="1"/>
  <c r="S47" i="63" s="1"/>
  <c r="G47" i="63"/>
  <c r="K46" i="63"/>
  <c r="J46" i="63"/>
  <c r="L46" i="63" s="1"/>
  <c r="L45" i="63"/>
  <c r="K45" i="63"/>
  <c r="J45" i="63"/>
  <c r="K44" i="63"/>
  <c r="J44" i="63"/>
  <c r="L44" i="63" s="1"/>
  <c r="K43" i="63"/>
  <c r="J43" i="63"/>
  <c r="L43" i="63" s="1"/>
  <c r="G43" i="63"/>
  <c r="K42" i="63"/>
  <c r="J42" i="63"/>
  <c r="L42" i="63" s="1"/>
  <c r="L41" i="63"/>
  <c r="K41" i="63"/>
  <c r="J41" i="63"/>
  <c r="K40" i="63"/>
  <c r="L40" i="63" s="1"/>
  <c r="J40" i="63"/>
  <c r="K39" i="63"/>
  <c r="J39" i="63"/>
  <c r="L39" i="63" s="1"/>
  <c r="G39" i="63"/>
  <c r="K38" i="63"/>
  <c r="J38" i="63"/>
  <c r="L38" i="63" s="1"/>
  <c r="L37" i="63"/>
  <c r="K37" i="63"/>
  <c r="J37" i="63"/>
  <c r="K36" i="63"/>
  <c r="L36" i="63" s="1"/>
  <c r="J36" i="63"/>
  <c r="K35" i="63"/>
  <c r="J35" i="63"/>
  <c r="L35" i="63" s="1"/>
  <c r="G35" i="63"/>
  <c r="K34" i="63"/>
  <c r="J34" i="63"/>
  <c r="K33" i="63"/>
  <c r="L33" i="63" s="1"/>
  <c r="J33" i="63"/>
  <c r="K32" i="63"/>
  <c r="L32" i="63" s="1"/>
  <c r="J32" i="63"/>
  <c r="K31" i="63"/>
  <c r="J31" i="63"/>
  <c r="G31" i="63"/>
  <c r="K30" i="63"/>
  <c r="J30" i="63"/>
  <c r="K29" i="63"/>
  <c r="L29" i="63" s="1"/>
  <c r="J29" i="63"/>
  <c r="K28" i="63"/>
  <c r="L28" i="63" s="1"/>
  <c r="J28" i="63"/>
  <c r="K27" i="63"/>
  <c r="J27" i="63"/>
  <c r="G27" i="63"/>
  <c r="K26" i="63"/>
  <c r="J26" i="63"/>
  <c r="K25" i="63"/>
  <c r="L25" i="63" s="1"/>
  <c r="J25" i="63"/>
  <c r="K24" i="63"/>
  <c r="L24" i="63" s="1"/>
  <c r="J24" i="63"/>
  <c r="K23" i="63"/>
  <c r="J23" i="63"/>
  <c r="G23" i="63"/>
  <c r="K22" i="63"/>
  <c r="J22" i="63"/>
  <c r="L22" i="63" s="1"/>
  <c r="K21" i="63"/>
  <c r="L21" i="63" s="1"/>
  <c r="J21" i="63"/>
  <c r="K20" i="63"/>
  <c r="L20" i="63" s="1"/>
  <c r="J20" i="63"/>
  <c r="K19" i="63"/>
  <c r="J19" i="63"/>
  <c r="G19" i="63"/>
  <c r="K18" i="63"/>
  <c r="J18" i="63"/>
  <c r="R17" i="63"/>
  <c r="R47" i="63" s="1"/>
  <c r="U47" i="63" s="1"/>
  <c r="H17" i="63"/>
  <c r="H45" i="63" s="1"/>
  <c r="G17" i="63"/>
  <c r="H25" i="63" s="1"/>
  <c r="D15" i="63"/>
  <c r="G46" i="63" s="1"/>
  <c r="P10" i="63"/>
  <c r="P1" i="63"/>
  <c r="P8" i="63" s="1"/>
  <c r="Q49" i="62"/>
  <c r="F49" i="62"/>
  <c r="E49" i="62"/>
  <c r="P10" i="62" s="1"/>
  <c r="K48" i="62"/>
  <c r="J48" i="62"/>
  <c r="L48" i="62" s="1"/>
  <c r="K47" i="62"/>
  <c r="J47" i="62"/>
  <c r="L47" i="62" s="1"/>
  <c r="G47" i="62"/>
  <c r="K46" i="62"/>
  <c r="J46" i="62"/>
  <c r="L46" i="62" s="1"/>
  <c r="L45" i="62"/>
  <c r="K45" i="62"/>
  <c r="J45" i="62"/>
  <c r="K44" i="62"/>
  <c r="J44" i="62"/>
  <c r="L44" i="62" s="1"/>
  <c r="K43" i="62"/>
  <c r="L43" i="62" s="1"/>
  <c r="J43" i="62"/>
  <c r="G43" i="62"/>
  <c r="K42" i="62"/>
  <c r="J42" i="62"/>
  <c r="L42" i="62" s="1"/>
  <c r="L41" i="62"/>
  <c r="K41" i="62"/>
  <c r="J41" i="62"/>
  <c r="K40" i="62"/>
  <c r="J40" i="62"/>
  <c r="L40" i="62" s="1"/>
  <c r="K39" i="62"/>
  <c r="L39" i="62" s="1"/>
  <c r="J39" i="62"/>
  <c r="G39" i="62"/>
  <c r="K38" i="62"/>
  <c r="J38" i="62"/>
  <c r="L38" i="62" s="1"/>
  <c r="L37" i="62"/>
  <c r="K37" i="62"/>
  <c r="J37" i="62"/>
  <c r="K36" i="62"/>
  <c r="J36" i="62"/>
  <c r="L36" i="62" s="1"/>
  <c r="K35" i="62"/>
  <c r="L35" i="62" s="1"/>
  <c r="J35" i="62"/>
  <c r="G35" i="62"/>
  <c r="K34" i="62"/>
  <c r="J34" i="62"/>
  <c r="K33" i="62"/>
  <c r="L33" i="62" s="1"/>
  <c r="J33" i="62"/>
  <c r="K32" i="62"/>
  <c r="J32" i="62"/>
  <c r="K31" i="62"/>
  <c r="L31" i="62" s="1"/>
  <c r="J31" i="62"/>
  <c r="G31" i="62"/>
  <c r="K30" i="62"/>
  <c r="J30" i="62"/>
  <c r="K29" i="62"/>
  <c r="L29" i="62" s="1"/>
  <c r="J29" i="62"/>
  <c r="K28" i="62"/>
  <c r="J28" i="62"/>
  <c r="K27" i="62"/>
  <c r="L27" i="62" s="1"/>
  <c r="J27" i="62"/>
  <c r="G27" i="62"/>
  <c r="K26" i="62"/>
  <c r="J26" i="62"/>
  <c r="K25" i="62"/>
  <c r="L25" i="62" s="1"/>
  <c r="J25" i="62"/>
  <c r="K24" i="62"/>
  <c r="J24" i="62"/>
  <c r="K23" i="62"/>
  <c r="L23" i="62" s="1"/>
  <c r="J23" i="62"/>
  <c r="G23" i="62"/>
  <c r="K22" i="62"/>
  <c r="J22" i="62"/>
  <c r="R21" i="62"/>
  <c r="K21" i="62"/>
  <c r="U21" i="62" s="1"/>
  <c r="J21" i="62"/>
  <c r="G21" i="62"/>
  <c r="K20" i="62"/>
  <c r="J20" i="62"/>
  <c r="K19" i="62"/>
  <c r="L19" i="62" s="1"/>
  <c r="J19" i="62"/>
  <c r="G19" i="62"/>
  <c r="R18" i="62"/>
  <c r="K18" i="62"/>
  <c r="U18" i="62" s="1"/>
  <c r="J18" i="62"/>
  <c r="R17" i="62"/>
  <c r="R47" i="62" s="1"/>
  <c r="U47" i="62" s="1"/>
  <c r="H17" i="62"/>
  <c r="H45" i="62" s="1"/>
  <c r="G17" i="62"/>
  <c r="D15" i="62"/>
  <c r="G46" i="62" s="1"/>
  <c r="P1" i="62"/>
  <c r="P8" i="62" s="1"/>
  <c r="Q49" i="61"/>
  <c r="F49" i="61"/>
  <c r="E49" i="61"/>
  <c r="K48" i="61"/>
  <c r="J48" i="61"/>
  <c r="L48" i="61" s="1"/>
  <c r="K47" i="61"/>
  <c r="L47" i="61" s="1"/>
  <c r="J47" i="61"/>
  <c r="G47" i="61"/>
  <c r="K46" i="61"/>
  <c r="J46" i="61"/>
  <c r="L46" i="61" s="1"/>
  <c r="L45" i="61"/>
  <c r="K45" i="61"/>
  <c r="J45" i="61"/>
  <c r="K44" i="61"/>
  <c r="J44" i="61"/>
  <c r="L44" i="61" s="1"/>
  <c r="K43" i="61"/>
  <c r="L43" i="61" s="1"/>
  <c r="J43" i="61"/>
  <c r="G43" i="61"/>
  <c r="K42" i="61"/>
  <c r="J42" i="61"/>
  <c r="L42" i="61" s="1"/>
  <c r="L41" i="61"/>
  <c r="K41" i="61"/>
  <c r="J41" i="61"/>
  <c r="K40" i="61"/>
  <c r="J40" i="61"/>
  <c r="L40" i="61" s="1"/>
  <c r="K39" i="61"/>
  <c r="L39" i="61" s="1"/>
  <c r="J39" i="61"/>
  <c r="G39" i="61"/>
  <c r="K38" i="61"/>
  <c r="J38" i="61"/>
  <c r="L38" i="61" s="1"/>
  <c r="L37" i="61"/>
  <c r="K37" i="61"/>
  <c r="J37" i="61"/>
  <c r="K36" i="61"/>
  <c r="J36" i="61"/>
  <c r="L36" i="61" s="1"/>
  <c r="K35" i="61"/>
  <c r="L35" i="61" s="1"/>
  <c r="J35" i="61"/>
  <c r="G35" i="61"/>
  <c r="K34" i="61"/>
  <c r="J34" i="61"/>
  <c r="K33" i="61"/>
  <c r="L33" i="61" s="1"/>
  <c r="J33" i="61"/>
  <c r="K32" i="61"/>
  <c r="J32" i="61"/>
  <c r="K31" i="61"/>
  <c r="L31" i="61" s="1"/>
  <c r="J31" i="61"/>
  <c r="G31" i="61"/>
  <c r="K30" i="61"/>
  <c r="J30" i="61"/>
  <c r="K29" i="61"/>
  <c r="L29" i="61" s="1"/>
  <c r="J29" i="61"/>
  <c r="K28" i="61"/>
  <c r="J28" i="61"/>
  <c r="K27" i="61"/>
  <c r="L27" i="61" s="1"/>
  <c r="J27" i="61"/>
  <c r="G27" i="61"/>
  <c r="K26" i="61"/>
  <c r="J26" i="61"/>
  <c r="K25" i="61"/>
  <c r="L25" i="61" s="1"/>
  <c r="J25" i="61"/>
  <c r="K24" i="61"/>
  <c r="J24" i="61"/>
  <c r="K23" i="61"/>
  <c r="L23" i="61" s="1"/>
  <c r="J23" i="61"/>
  <c r="G23" i="61"/>
  <c r="K22" i="61"/>
  <c r="J22" i="61"/>
  <c r="L22" i="61" s="1"/>
  <c r="K21" i="61"/>
  <c r="L21" i="61" s="1"/>
  <c r="J21" i="61"/>
  <c r="G21" i="61"/>
  <c r="K20" i="61"/>
  <c r="J20" i="61"/>
  <c r="K19" i="61"/>
  <c r="L19" i="61" s="1"/>
  <c r="J19" i="61"/>
  <c r="G19" i="61"/>
  <c r="R18" i="61"/>
  <c r="K18" i="61"/>
  <c r="U18" i="61" s="1"/>
  <c r="J18" i="61"/>
  <c r="R17" i="61"/>
  <c r="R47" i="61" s="1"/>
  <c r="U47" i="61" s="1"/>
  <c r="H17" i="61"/>
  <c r="H45" i="61" s="1"/>
  <c r="G17" i="61"/>
  <c r="H20" i="61" s="1"/>
  <c r="D15" i="61"/>
  <c r="G46" i="61" s="1"/>
  <c r="P10" i="61"/>
  <c r="P1" i="61"/>
  <c r="P8" i="61" s="1"/>
  <c r="Q49" i="60"/>
  <c r="F49" i="60"/>
  <c r="E49" i="60"/>
  <c r="K48" i="60"/>
  <c r="L48" i="60" s="1"/>
  <c r="J48" i="60"/>
  <c r="K47" i="60"/>
  <c r="J47" i="60"/>
  <c r="L47" i="60" s="1"/>
  <c r="T47" i="60" s="1"/>
  <c r="S47" i="60" s="1"/>
  <c r="H47" i="60"/>
  <c r="G47" i="60"/>
  <c r="K46" i="60"/>
  <c r="J46" i="60"/>
  <c r="L46" i="60" s="1"/>
  <c r="R45" i="60"/>
  <c r="V45" i="60" s="1"/>
  <c r="L45" i="60"/>
  <c r="T45" i="60" s="1"/>
  <c r="S45" i="60" s="1"/>
  <c r="K45" i="60"/>
  <c r="U45" i="60" s="1"/>
  <c r="J45" i="60"/>
  <c r="K44" i="60"/>
  <c r="L44" i="60" s="1"/>
  <c r="J44" i="60"/>
  <c r="K43" i="60"/>
  <c r="J43" i="60"/>
  <c r="L43" i="60" s="1"/>
  <c r="H43" i="60"/>
  <c r="G43" i="60"/>
  <c r="K42" i="60"/>
  <c r="J42" i="60"/>
  <c r="L42" i="60" s="1"/>
  <c r="R41" i="60"/>
  <c r="V41" i="60" s="1"/>
  <c r="L41" i="60"/>
  <c r="T41" i="60" s="1"/>
  <c r="S41" i="60" s="1"/>
  <c r="K41" i="60"/>
  <c r="U41" i="60" s="1"/>
  <c r="J41" i="60"/>
  <c r="K40" i="60"/>
  <c r="L40" i="60" s="1"/>
  <c r="J40" i="60"/>
  <c r="K39" i="60"/>
  <c r="J39" i="60"/>
  <c r="H39" i="60"/>
  <c r="G39" i="60"/>
  <c r="K38" i="60"/>
  <c r="J38" i="60"/>
  <c r="R37" i="60"/>
  <c r="K37" i="60"/>
  <c r="U37" i="60" s="1"/>
  <c r="J37" i="60"/>
  <c r="K36" i="60"/>
  <c r="L36" i="60" s="1"/>
  <c r="J36" i="60"/>
  <c r="K35" i="60"/>
  <c r="J35" i="60"/>
  <c r="H35" i="60"/>
  <c r="G35" i="60"/>
  <c r="K34" i="60"/>
  <c r="J34" i="60"/>
  <c r="R33" i="60"/>
  <c r="K33" i="60"/>
  <c r="U33" i="60" s="1"/>
  <c r="J33" i="60"/>
  <c r="K32" i="60"/>
  <c r="L32" i="60" s="1"/>
  <c r="J32" i="60"/>
  <c r="K31" i="60"/>
  <c r="J31" i="60"/>
  <c r="H31" i="60"/>
  <c r="G31" i="60"/>
  <c r="K30" i="60"/>
  <c r="J30" i="60"/>
  <c r="R29" i="60"/>
  <c r="K29" i="60"/>
  <c r="U29" i="60" s="1"/>
  <c r="J29" i="60"/>
  <c r="K28" i="60"/>
  <c r="L28" i="60" s="1"/>
  <c r="J28" i="60"/>
  <c r="K27" i="60"/>
  <c r="J27" i="60"/>
  <c r="H27" i="60"/>
  <c r="G27" i="60"/>
  <c r="K26" i="60"/>
  <c r="J26" i="60"/>
  <c r="R25" i="60"/>
  <c r="K25" i="60"/>
  <c r="U25" i="60" s="1"/>
  <c r="J25" i="60"/>
  <c r="K24" i="60"/>
  <c r="L24" i="60" s="1"/>
  <c r="J24" i="60"/>
  <c r="K23" i="60"/>
  <c r="J23" i="60"/>
  <c r="H23" i="60"/>
  <c r="G23" i="60"/>
  <c r="K22" i="60"/>
  <c r="J22" i="60"/>
  <c r="R21" i="60"/>
  <c r="K21" i="60"/>
  <c r="U21" i="60" s="1"/>
  <c r="J21" i="60"/>
  <c r="K20" i="60"/>
  <c r="L20" i="60" s="1"/>
  <c r="J20" i="60"/>
  <c r="K19" i="60"/>
  <c r="J19" i="60"/>
  <c r="H19" i="60"/>
  <c r="G19" i="60"/>
  <c r="K18" i="60"/>
  <c r="J18" i="60"/>
  <c r="J49" i="60" s="1"/>
  <c r="G18" i="60"/>
  <c r="R17" i="60"/>
  <c r="R47" i="60" s="1"/>
  <c r="H17" i="60"/>
  <c r="H45" i="60" s="1"/>
  <c r="G17" i="60"/>
  <c r="H25" i="60" s="1"/>
  <c r="D15" i="60"/>
  <c r="G46" i="60" s="1"/>
  <c r="P10" i="60"/>
  <c r="P1" i="60"/>
  <c r="P8" i="60" s="1"/>
  <c r="Q49" i="59"/>
  <c r="F49" i="59"/>
  <c r="E49" i="59"/>
  <c r="K48" i="59"/>
  <c r="L48" i="59" s="1"/>
  <c r="J48" i="59"/>
  <c r="K47" i="59"/>
  <c r="J47" i="59"/>
  <c r="L47" i="59" s="1"/>
  <c r="G47" i="59"/>
  <c r="K46" i="59"/>
  <c r="J46" i="59"/>
  <c r="L46" i="59" s="1"/>
  <c r="L45" i="59"/>
  <c r="K45" i="59"/>
  <c r="J45" i="59"/>
  <c r="K44" i="59"/>
  <c r="L44" i="59" s="1"/>
  <c r="J44" i="59"/>
  <c r="K43" i="59"/>
  <c r="J43" i="59"/>
  <c r="L43" i="59" s="1"/>
  <c r="G43" i="59"/>
  <c r="K42" i="59"/>
  <c r="J42" i="59"/>
  <c r="L42" i="59" s="1"/>
  <c r="L41" i="59"/>
  <c r="K41" i="59"/>
  <c r="J41" i="59"/>
  <c r="K40" i="59"/>
  <c r="L40" i="59" s="1"/>
  <c r="J40" i="59"/>
  <c r="K39" i="59"/>
  <c r="J39" i="59"/>
  <c r="G39" i="59"/>
  <c r="K38" i="59"/>
  <c r="J38" i="59"/>
  <c r="K37" i="59"/>
  <c r="L37" i="59" s="1"/>
  <c r="J37" i="59"/>
  <c r="K36" i="59"/>
  <c r="L36" i="59" s="1"/>
  <c r="J36" i="59"/>
  <c r="K35" i="59"/>
  <c r="J35" i="59"/>
  <c r="G35" i="59"/>
  <c r="K34" i="59"/>
  <c r="J34" i="59"/>
  <c r="K33" i="59"/>
  <c r="L33" i="59" s="1"/>
  <c r="J33" i="59"/>
  <c r="K32" i="59"/>
  <c r="L32" i="59" s="1"/>
  <c r="J32" i="59"/>
  <c r="K31" i="59"/>
  <c r="J31" i="59"/>
  <c r="G31" i="59"/>
  <c r="K30" i="59"/>
  <c r="J30" i="59"/>
  <c r="K29" i="59"/>
  <c r="L29" i="59" s="1"/>
  <c r="J29" i="59"/>
  <c r="K28" i="59"/>
  <c r="L28" i="59" s="1"/>
  <c r="J28" i="59"/>
  <c r="K27" i="59"/>
  <c r="J27" i="59"/>
  <c r="G27" i="59"/>
  <c r="K26" i="59"/>
  <c r="J26" i="59"/>
  <c r="L26" i="59" s="1"/>
  <c r="K25" i="59"/>
  <c r="L25" i="59" s="1"/>
  <c r="J25" i="59"/>
  <c r="H25" i="59"/>
  <c r="K24" i="59"/>
  <c r="L24" i="59" s="1"/>
  <c r="J24" i="59"/>
  <c r="K23" i="59"/>
  <c r="J23" i="59"/>
  <c r="H23" i="59"/>
  <c r="G23" i="59"/>
  <c r="K22" i="59"/>
  <c r="J22" i="59"/>
  <c r="K21" i="59"/>
  <c r="L21" i="59" s="1"/>
  <c r="J21" i="59"/>
  <c r="H21" i="59"/>
  <c r="K20" i="59"/>
  <c r="L20" i="59" s="1"/>
  <c r="J20" i="59"/>
  <c r="K19" i="59"/>
  <c r="J19" i="59"/>
  <c r="H19" i="59"/>
  <c r="G19" i="59"/>
  <c r="K18" i="59"/>
  <c r="J18" i="59"/>
  <c r="R17" i="59"/>
  <c r="R47" i="59" s="1"/>
  <c r="H17" i="59"/>
  <c r="H48" i="59" s="1"/>
  <c r="G17" i="59"/>
  <c r="H45" i="59" s="1"/>
  <c r="D15" i="59"/>
  <c r="G46" i="59" s="1"/>
  <c r="P10" i="59"/>
  <c r="P1" i="59"/>
  <c r="P8" i="59" s="1"/>
  <c r="Q49" i="58"/>
  <c r="F49" i="58"/>
  <c r="E49" i="58"/>
  <c r="K48" i="58"/>
  <c r="J48" i="58"/>
  <c r="L48" i="58" s="1"/>
  <c r="K47" i="58"/>
  <c r="J47" i="58"/>
  <c r="L47" i="58" s="1"/>
  <c r="G47" i="58"/>
  <c r="K46" i="58"/>
  <c r="J46" i="58"/>
  <c r="L46" i="58" s="1"/>
  <c r="L45" i="58"/>
  <c r="K45" i="58"/>
  <c r="J45" i="58"/>
  <c r="K44" i="58"/>
  <c r="L44" i="58" s="1"/>
  <c r="J44" i="58"/>
  <c r="K43" i="58"/>
  <c r="J43" i="58"/>
  <c r="L43" i="58" s="1"/>
  <c r="G43" i="58"/>
  <c r="K42" i="58"/>
  <c r="J42" i="58"/>
  <c r="L42" i="58" s="1"/>
  <c r="L41" i="58"/>
  <c r="K41" i="58"/>
  <c r="J41" i="58"/>
  <c r="K40" i="58"/>
  <c r="L40" i="58" s="1"/>
  <c r="J40" i="58"/>
  <c r="K39" i="58"/>
  <c r="J39" i="58"/>
  <c r="G39" i="58"/>
  <c r="K38" i="58"/>
  <c r="J38" i="58"/>
  <c r="K37" i="58"/>
  <c r="L37" i="58" s="1"/>
  <c r="J37" i="58"/>
  <c r="K36" i="58"/>
  <c r="L36" i="58" s="1"/>
  <c r="J36" i="58"/>
  <c r="K35" i="58"/>
  <c r="J35" i="58"/>
  <c r="G35" i="58"/>
  <c r="K34" i="58"/>
  <c r="J34" i="58"/>
  <c r="K33" i="58"/>
  <c r="L33" i="58" s="1"/>
  <c r="J33" i="58"/>
  <c r="K32" i="58"/>
  <c r="L32" i="58" s="1"/>
  <c r="J32" i="58"/>
  <c r="K31" i="58"/>
  <c r="J31" i="58"/>
  <c r="G31" i="58"/>
  <c r="K30" i="58"/>
  <c r="J30" i="58"/>
  <c r="K29" i="58"/>
  <c r="L29" i="58" s="1"/>
  <c r="J29" i="58"/>
  <c r="K28" i="58"/>
  <c r="L28" i="58" s="1"/>
  <c r="J28" i="58"/>
  <c r="K27" i="58"/>
  <c r="J27" i="58"/>
  <c r="G27" i="58"/>
  <c r="K26" i="58"/>
  <c r="J26" i="58"/>
  <c r="K25" i="58"/>
  <c r="L25" i="58" s="1"/>
  <c r="J25" i="58"/>
  <c r="K24" i="58"/>
  <c r="L24" i="58" s="1"/>
  <c r="J24" i="58"/>
  <c r="K23" i="58"/>
  <c r="J23" i="58"/>
  <c r="G23" i="58"/>
  <c r="K22" i="58"/>
  <c r="J22" i="58"/>
  <c r="L22" i="58" s="1"/>
  <c r="K21" i="58"/>
  <c r="L21" i="58" s="1"/>
  <c r="J21" i="58"/>
  <c r="K20" i="58"/>
  <c r="L20" i="58" s="1"/>
  <c r="J20" i="58"/>
  <c r="K19" i="58"/>
  <c r="J19" i="58"/>
  <c r="G19" i="58"/>
  <c r="K18" i="58"/>
  <c r="J18" i="58"/>
  <c r="R17" i="58"/>
  <c r="R47" i="58" s="1"/>
  <c r="U47" i="58" s="1"/>
  <c r="H17" i="58"/>
  <c r="H45" i="58" s="1"/>
  <c r="G17" i="58"/>
  <c r="H33" i="58" s="1"/>
  <c r="D15" i="58"/>
  <c r="G46" i="58" s="1"/>
  <c r="P10" i="58"/>
  <c r="P1" i="58"/>
  <c r="P8" i="58" s="1"/>
  <c r="Q49" i="57"/>
  <c r="F49" i="57"/>
  <c r="E49" i="57"/>
  <c r="K48" i="57"/>
  <c r="J48" i="57"/>
  <c r="L48" i="57" s="1"/>
  <c r="K47" i="57"/>
  <c r="L47" i="57" s="1"/>
  <c r="J47" i="57"/>
  <c r="G47" i="57"/>
  <c r="K46" i="57"/>
  <c r="J46" i="57"/>
  <c r="L46" i="57" s="1"/>
  <c r="L45" i="57"/>
  <c r="K45" i="57"/>
  <c r="J45" i="57"/>
  <c r="K44" i="57"/>
  <c r="J44" i="57"/>
  <c r="L44" i="57" s="1"/>
  <c r="K43" i="57"/>
  <c r="L43" i="57" s="1"/>
  <c r="J43" i="57"/>
  <c r="G43" i="57"/>
  <c r="K42" i="57"/>
  <c r="J42" i="57"/>
  <c r="L42" i="57" s="1"/>
  <c r="L41" i="57"/>
  <c r="K41" i="57"/>
  <c r="J41" i="57"/>
  <c r="K40" i="57"/>
  <c r="J40" i="57"/>
  <c r="L40" i="57" s="1"/>
  <c r="K39" i="57"/>
  <c r="L39" i="57" s="1"/>
  <c r="J39" i="57"/>
  <c r="G39" i="57"/>
  <c r="K38" i="57"/>
  <c r="J38" i="57"/>
  <c r="L38" i="57" s="1"/>
  <c r="K37" i="57"/>
  <c r="L37" i="57" s="1"/>
  <c r="J37" i="57"/>
  <c r="K36" i="57"/>
  <c r="J36" i="57"/>
  <c r="K35" i="57"/>
  <c r="L35" i="57" s="1"/>
  <c r="J35" i="57"/>
  <c r="G35" i="57"/>
  <c r="K34" i="57"/>
  <c r="J34" i="57"/>
  <c r="K33" i="57"/>
  <c r="L33" i="57" s="1"/>
  <c r="J33" i="57"/>
  <c r="K32" i="57"/>
  <c r="J32" i="57"/>
  <c r="K31" i="57"/>
  <c r="L31" i="57" s="1"/>
  <c r="J31" i="57"/>
  <c r="G31" i="57"/>
  <c r="K30" i="57"/>
  <c r="J30" i="57"/>
  <c r="K29" i="57"/>
  <c r="L29" i="57" s="1"/>
  <c r="J29" i="57"/>
  <c r="K28" i="57"/>
  <c r="J28" i="57"/>
  <c r="K27" i="57"/>
  <c r="L27" i="57" s="1"/>
  <c r="J27" i="57"/>
  <c r="G27" i="57"/>
  <c r="K26" i="57"/>
  <c r="J26" i="57"/>
  <c r="K25" i="57"/>
  <c r="L25" i="57" s="1"/>
  <c r="J25" i="57"/>
  <c r="K24" i="57"/>
  <c r="J24" i="57"/>
  <c r="K23" i="57"/>
  <c r="L23" i="57" s="1"/>
  <c r="J23" i="57"/>
  <c r="G23" i="57"/>
  <c r="K22" i="57"/>
  <c r="J22" i="57"/>
  <c r="K21" i="57"/>
  <c r="L21" i="57" s="1"/>
  <c r="J21" i="57"/>
  <c r="G21" i="57"/>
  <c r="K20" i="57"/>
  <c r="J20" i="57"/>
  <c r="K19" i="57"/>
  <c r="L19" i="57" s="1"/>
  <c r="J19" i="57"/>
  <c r="G19" i="57"/>
  <c r="K18" i="57"/>
  <c r="J18" i="57"/>
  <c r="R17" i="57"/>
  <c r="R47" i="57" s="1"/>
  <c r="U47" i="57" s="1"/>
  <c r="H17" i="57"/>
  <c r="H45" i="57" s="1"/>
  <c r="G17" i="57"/>
  <c r="H19" i="57" s="1"/>
  <c r="D15" i="57"/>
  <c r="G46" i="57" s="1"/>
  <c r="P10" i="57"/>
  <c r="P1" i="57"/>
  <c r="P8" i="57" s="1"/>
  <c r="Q49" i="56"/>
  <c r="F49" i="56"/>
  <c r="E49" i="56"/>
  <c r="K48" i="56"/>
  <c r="J48" i="56"/>
  <c r="L48" i="56" s="1"/>
  <c r="K47" i="56"/>
  <c r="J47" i="56"/>
  <c r="L47" i="56" s="1"/>
  <c r="G47" i="56"/>
  <c r="K46" i="56"/>
  <c r="J46" i="56"/>
  <c r="L46" i="56" s="1"/>
  <c r="L45" i="56"/>
  <c r="K45" i="56"/>
  <c r="J45" i="56"/>
  <c r="K44" i="56"/>
  <c r="J44" i="56"/>
  <c r="L44" i="56" s="1"/>
  <c r="K43" i="56"/>
  <c r="J43" i="56"/>
  <c r="L43" i="56" s="1"/>
  <c r="G43" i="56"/>
  <c r="K42" i="56"/>
  <c r="J42" i="56"/>
  <c r="L42" i="56" s="1"/>
  <c r="L41" i="56"/>
  <c r="K41" i="56"/>
  <c r="J41" i="56"/>
  <c r="K40" i="56"/>
  <c r="J40" i="56"/>
  <c r="L40" i="56" s="1"/>
  <c r="K39" i="56"/>
  <c r="L39" i="56" s="1"/>
  <c r="J39" i="56"/>
  <c r="G39" i="56"/>
  <c r="K38" i="56"/>
  <c r="J38" i="56"/>
  <c r="K37" i="56"/>
  <c r="L37" i="56" s="1"/>
  <c r="J37" i="56"/>
  <c r="K36" i="56"/>
  <c r="J36" i="56"/>
  <c r="K35" i="56"/>
  <c r="L35" i="56" s="1"/>
  <c r="J35" i="56"/>
  <c r="G35" i="56"/>
  <c r="K34" i="56"/>
  <c r="J34" i="56"/>
  <c r="K33" i="56"/>
  <c r="L33" i="56" s="1"/>
  <c r="J33" i="56"/>
  <c r="K32" i="56"/>
  <c r="J32" i="56"/>
  <c r="K31" i="56"/>
  <c r="J31" i="56"/>
  <c r="G31" i="56"/>
  <c r="K30" i="56"/>
  <c r="J30" i="56"/>
  <c r="K29" i="56"/>
  <c r="L29" i="56" s="1"/>
  <c r="J29" i="56"/>
  <c r="K28" i="56"/>
  <c r="J28" i="56"/>
  <c r="K27" i="56"/>
  <c r="L27" i="56" s="1"/>
  <c r="J27" i="56"/>
  <c r="G27" i="56"/>
  <c r="K26" i="56"/>
  <c r="J26" i="56"/>
  <c r="K25" i="56"/>
  <c r="L25" i="56" s="1"/>
  <c r="J25" i="56"/>
  <c r="K24" i="56"/>
  <c r="J24" i="56"/>
  <c r="K23" i="56"/>
  <c r="L23" i="56" s="1"/>
  <c r="T23" i="56" s="1"/>
  <c r="S23" i="56" s="1"/>
  <c r="J23" i="56"/>
  <c r="G23" i="56"/>
  <c r="K22" i="56"/>
  <c r="J22" i="56"/>
  <c r="K21" i="56"/>
  <c r="L21" i="56" s="1"/>
  <c r="J21" i="56"/>
  <c r="K20" i="56"/>
  <c r="J20" i="56"/>
  <c r="L20" i="56" s="1"/>
  <c r="K19" i="56"/>
  <c r="L19" i="56" s="1"/>
  <c r="J19" i="56"/>
  <c r="G19" i="56"/>
  <c r="K18" i="56"/>
  <c r="J18" i="56"/>
  <c r="R17" i="56"/>
  <c r="R23" i="56" s="1"/>
  <c r="H17" i="56"/>
  <c r="H45" i="56" s="1"/>
  <c r="G17" i="56"/>
  <c r="H33" i="56" s="1"/>
  <c r="D15" i="56"/>
  <c r="G46" i="56" s="1"/>
  <c r="P10" i="56"/>
  <c r="P1" i="56"/>
  <c r="P8" i="56" s="1"/>
  <c r="Q49" i="55"/>
  <c r="F49" i="55"/>
  <c r="E49" i="55"/>
  <c r="K48" i="55"/>
  <c r="J48" i="55"/>
  <c r="L48" i="55" s="1"/>
  <c r="K47" i="55"/>
  <c r="V47" i="55" s="1"/>
  <c r="J47" i="55"/>
  <c r="L47" i="55" s="1"/>
  <c r="T47" i="55" s="1"/>
  <c r="S47" i="55" s="1"/>
  <c r="G47" i="55"/>
  <c r="K46" i="55"/>
  <c r="J46" i="55"/>
  <c r="L46" i="55" s="1"/>
  <c r="L45" i="55"/>
  <c r="K45" i="55"/>
  <c r="J45" i="55"/>
  <c r="K44" i="55"/>
  <c r="L44" i="55" s="1"/>
  <c r="J44" i="55"/>
  <c r="K43" i="55"/>
  <c r="J43" i="55"/>
  <c r="L43" i="55" s="1"/>
  <c r="G43" i="55"/>
  <c r="K42" i="55"/>
  <c r="J42" i="55"/>
  <c r="L42" i="55" s="1"/>
  <c r="L41" i="55"/>
  <c r="K41" i="55"/>
  <c r="J41" i="55"/>
  <c r="K40" i="55"/>
  <c r="L40" i="55" s="1"/>
  <c r="J40" i="55"/>
  <c r="K39" i="55"/>
  <c r="J39" i="55"/>
  <c r="G39" i="55"/>
  <c r="K38" i="55"/>
  <c r="J38" i="55"/>
  <c r="K37" i="55"/>
  <c r="L37" i="55" s="1"/>
  <c r="J37" i="55"/>
  <c r="K36" i="55"/>
  <c r="L36" i="55" s="1"/>
  <c r="J36" i="55"/>
  <c r="K35" i="55"/>
  <c r="J35" i="55"/>
  <c r="G35" i="55"/>
  <c r="K34" i="55"/>
  <c r="J34" i="55"/>
  <c r="K33" i="55"/>
  <c r="L33" i="55" s="1"/>
  <c r="J33" i="55"/>
  <c r="K32" i="55"/>
  <c r="L32" i="55" s="1"/>
  <c r="J32" i="55"/>
  <c r="K31" i="55"/>
  <c r="J31" i="55"/>
  <c r="G31" i="55"/>
  <c r="K30" i="55"/>
  <c r="J30" i="55"/>
  <c r="K29" i="55"/>
  <c r="L29" i="55" s="1"/>
  <c r="J29" i="55"/>
  <c r="K28" i="55"/>
  <c r="L28" i="55" s="1"/>
  <c r="J28" i="55"/>
  <c r="K27" i="55"/>
  <c r="J27" i="55"/>
  <c r="G27" i="55"/>
  <c r="K26" i="55"/>
  <c r="J26" i="55"/>
  <c r="L26" i="55" s="1"/>
  <c r="K25" i="55"/>
  <c r="L25" i="55" s="1"/>
  <c r="J25" i="55"/>
  <c r="K24" i="55"/>
  <c r="L24" i="55" s="1"/>
  <c r="J24" i="55"/>
  <c r="K23" i="55"/>
  <c r="J23" i="55"/>
  <c r="G23" i="55"/>
  <c r="K22" i="55"/>
  <c r="J22" i="55"/>
  <c r="K21" i="55"/>
  <c r="L21" i="55" s="1"/>
  <c r="J21" i="55"/>
  <c r="K20" i="55"/>
  <c r="L20" i="55" s="1"/>
  <c r="J20" i="55"/>
  <c r="K19" i="55"/>
  <c r="J19" i="55"/>
  <c r="G19" i="55"/>
  <c r="K18" i="55"/>
  <c r="J18" i="55"/>
  <c r="G18" i="55"/>
  <c r="R17" i="55"/>
  <c r="R47" i="55" s="1"/>
  <c r="U47" i="55" s="1"/>
  <c r="H17" i="55"/>
  <c r="H45" i="55" s="1"/>
  <c r="G17" i="55"/>
  <c r="H33" i="55" s="1"/>
  <c r="D15" i="55"/>
  <c r="G46" i="55" s="1"/>
  <c r="P10" i="55"/>
  <c r="P1" i="55"/>
  <c r="P8" i="55" s="1"/>
  <c r="Q49" i="54"/>
  <c r="F49" i="54"/>
  <c r="E49" i="54"/>
  <c r="R48" i="54"/>
  <c r="U48" i="54" s="1"/>
  <c r="K48" i="54"/>
  <c r="V48" i="54" s="1"/>
  <c r="J48" i="54"/>
  <c r="L48" i="54" s="1"/>
  <c r="T48" i="54" s="1"/>
  <c r="S48" i="54" s="1"/>
  <c r="K47" i="54"/>
  <c r="J47" i="54"/>
  <c r="L47" i="54" s="1"/>
  <c r="K46" i="54"/>
  <c r="J46" i="54"/>
  <c r="L46" i="54" s="1"/>
  <c r="H46" i="54"/>
  <c r="K45" i="54"/>
  <c r="J45" i="54"/>
  <c r="R44" i="54"/>
  <c r="U44" i="54" s="1"/>
  <c r="K44" i="54"/>
  <c r="L44" i="54" s="1"/>
  <c r="T44" i="54" s="1"/>
  <c r="S44" i="54" s="1"/>
  <c r="J44" i="54"/>
  <c r="K43" i="54"/>
  <c r="J43" i="54"/>
  <c r="L43" i="54" s="1"/>
  <c r="K42" i="54"/>
  <c r="J42" i="54"/>
  <c r="L42" i="54" s="1"/>
  <c r="H42" i="54"/>
  <c r="K41" i="54"/>
  <c r="J41" i="54"/>
  <c r="R40" i="54"/>
  <c r="U40" i="54" s="1"/>
  <c r="K40" i="54"/>
  <c r="V40" i="54" s="1"/>
  <c r="J40" i="54"/>
  <c r="L40" i="54" s="1"/>
  <c r="T40" i="54" s="1"/>
  <c r="S40" i="54" s="1"/>
  <c r="K39" i="54"/>
  <c r="J39" i="54"/>
  <c r="L39" i="54" s="1"/>
  <c r="K38" i="54"/>
  <c r="J38" i="54"/>
  <c r="L38" i="54" s="1"/>
  <c r="H38" i="54"/>
  <c r="K37" i="54"/>
  <c r="J37" i="54"/>
  <c r="R36" i="54"/>
  <c r="U36" i="54" s="1"/>
  <c r="K36" i="54"/>
  <c r="V36" i="54" s="1"/>
  <c r="J36" i="54"/>
  <c r="L36" i="54" s="1"/>
  <c r="T36" i="54" s="1"/>
  <c r="S36" i="54" s="1"/>
  <c r="K35" i="54"/>
  <c r="J35" i="54"/>
  <c r="G35" i="54"/>
  <c r="K34" i="54"/>
  <c r="J34" i="54"/>
  <c r="H34" i="54"/>
  <c r="K33" i="54"/>
  <c r="L33" i="54" s="1"/>
  <c r="J33" i="54"/>
  <c r="R32" i="54"/>
  <c r="K32" i="54"/>
  <c r="V32" i="54" s="1"/>
  <c r="J32" i="54"/>
  <c r="K31" i="54"/>
  <c r="J31" i="54"/>
  <c r="G31" i="54"/>
  <c r="K30" i="54"/>
  <c r="J30" i="54"/>
  <c r="H30" i="54"/>
  <c r="K29" i="54"/>
  <c r="L29" i="54" s="1"/>
  <c r="J29" i="54"/>
  <c r="R28" i="54"/>
  <c r="K28" i="54"/>
  <c r="V28" i="54" s="1"/>
  <c r="J28" i="54"/>
  <c r="K27" i="54"/>
  <c r="J27" i="54"/>
  <c r="G27" i="54"/>
  <c r="K26" i="54"/>
  <c r="J26" i="54"/>
  <c r="H26" i="54"/>
  <c r="K25" i="54"/>
  <c r="J25" i="54"/>
  <c r="R24" i="54"/>
  <c r="K24" i="54"/>
  <c r="V24" i="54" s="1"/>
  <c r="J24" i="54"/>
  <c r="K23" i="54"/>
  <c r="J23" i="54"/>
  <c r="G23" i="54"/>
  <c r="K22" i="54"/>
  <c r="J22" i="54"/>
  <c r="H22" i="54"/>
  <c r="K21" i="54"/>
  <c r="J21" i="54"/>
  <c r="R20" i="54"/>
  <c r="K20" i="54"/>
  <c r="V20" i="54" s="1"/>
  <c r="J20" i="54"/>
  <c r="K19" i="54"/>
  <c r="J19" i="54"/>
  <c r="G19" i="54"/>
  <c r="K18" i="54"/>
  <c r="J18" i="54"/>
  <c r="H18" i="54"/>
  <c r="R17" i="54"/>
  <c r="R23" i="54" s="1"/>
  <c r="H17" i="54"/>
  <c r="H45" i="54" s="1"/>
  <c r="G17" i="54"/>
  <c r="H25" i="54" s="1"/>
  <c r="D15" i="54"/>
  <c r="G46" i="54" s="1"/>
  <c r="P10" i="54"/>
  <c r="P8" i="54"/>
  <c r="P1" i="54"/>
  <c r="Q49" i="53"/>
  <c r="F49" i="53"/>
  <c r="E49" i="53"/>
  <c r="K48" i="53"/>
  <c r="J48" i="53"/>
  <c r="L48" i="53" s="1"/>
  <c r="K47" i="53"/>
  <c r="J47" i="53"/>
  <c r="L47" i="53" s="1"/>
  <c r="T47" i="53" s="1"/>
  <c r="S47" i="53" s="1"/>
  <c r="K46" i="53"/>
  <c r="J46" i="53"/>
  <c r="G46" i="53"/>
  <c r="K45" i="53"/>
  <c r="J45" i="53"/>
  <c r="L45" i="53" s="1"/>
  <c r="L44" i="53"/>
  <c r="K44" i="53"/>
  <c r="J44" i="53"/>
  <c r="K43" i="53"/>
  <c r="J43" i="53"/>
  <c r="L43" i="53" s="1"/>
  <c r="K42" i="53"/>
  <c r="L42" i="53" s="1"/>
  <c r="J42" i="53"/>
  <c r="G42" i="53"/>
  <c r="K41" i="53"/>
  <c r="J41" i="53"/>
  <c r="L41" i="53" s="1"/>
  <c r="L40" i="53"/>
  <c r="K40" i="53"/>
  <c r="J40" i="53"/>
  <c r="K39" i="53"/>
  <c r="J39" i="53"/>
  <c r="L39" i="53" s="1"/>
  <c r="K38" i="53"/>
  <c r="J38" i="53"/>
  <c r="L38" i="53" s="1"/>
  <c r="G38" i="53"/>
  <c r="K37" i="53"/>
  <c r="J37" i="53"/>
  <c r="K36" i="53"/>
  <c r="L36" i="53" s="1"/>
  <c r="J36" i="53"/>
  <c r="K35" i="53"/>
  <c r="J35" i="53"/>
  <c r="K34" i="53"/>
  <c r="J34" i="53"/>
  <c r="G34" i="53"/>
  <c r="K33" i="53"/>
  <c r="J33" i="53"/>
  <c r="K32" i="53"/>
  <c r="L32" i="53" s="1"/>
  <c r="J32" i="53"/>
  <c r="K31" i="53"/>
  <c r="L31" i="53" s="1"/>
  <c r="J31" i="53"/>
  <c r="K30" i="53"/>
  <c r="J30" i="53"/>
  <c r="G30" i="53"/>
  <c r="K29" i="53"/>
  <c r="J29" i="53"/>
  <c r="K28" i="53"/>
  <c r="L28" i="53" s="1"/>
  <c r="J28" i="53"/>
  <c r="K27" i="53"/>
  <c r="L27" i="53" s="1"/>
  <c r="J27" i="53"/>
  <c r="K26" i="53"/>
  <c r="J26" i="53"/>
  <c r="G26" i="53"/>
  <c r="K25" i="53"/>
  <c r="J25" i="53"/>
  <c r="H25" i="53"/>
  <c r="K24" i="53"/>
  <c r="J24" i="53"/>
  <c r="K23" i="53"/>
  <c r="L23" i="53" s="1"/>
  <c r="J23" i="53"/>
  <c r="K22" i="53"/>
  <c r="J22" i="53"/>
  <c r="G22" i="53"/>
  <c r="K21" i="53"/>
  <c r="J21" i="53"/>
  <c r="H21" i="53"/>
  <c r="K20" i="53"/>
  <c r="J20" i="53"/>
  <c r="K19" i="53"/>
  <c r="L19" i="53" s="1"/>
  <c r="J19" i="53"/>
  <c r="K18" i="53"/>
  <c r="J18" i="53"/>
  <c r="G18" i="53"/>
  <c r="R17" i="53"/>
  <c r="R47" i="53" s="1"/>
  <c r="H17" i="53"/>
  <c r="H45" i="53" s="1"/>
  <c r="G17" i="53"/>
  <c r="H33" i="53" s="1"/>
  <c r="D15" i="53"/>
  <c r="G45" i="53" s="1"/>
  <c r="P10" i="53"/>
  <c r="P1" i="53"/>
  <c r="P8" i="53" s="1"/>
  <c r="G81" i="73" l="1"/>
  <c r="K18" i="73"/>
  <c r="L19" i="73"/>
  <c r="L20" i="73"/>
  <c r="L21" i="73"/>
  <c r="L22" i="73"/>
  <c r="L23" i="73"/>
  <c r="L24" i="73"/>
  <c r="L25" i="73"/>
  <c r="L26" i="73"/>
  <c r="L27" i="73"/>
  <c r="L28" i="73"/>
  <c r="L29" i="73"/>
  <c r="L30" i="73"/>
  <c r="L31" i="73"/>
  <c r="L32" i="73"/>
  <c r="L33" i="73"/>
  <c r="L34" i="73"/>
  <c r="L35" i="73"/>
  <c r="L36" i="73"/>
  <c r="L37" i="73"/>
  <c r="L38" i="73"/>
  <c r="L39" i="73"/>
  <c r="L40" i="73"/>
  <c r="L41" i="73"/>
  <c r="L42" i="73"/>
  <c r="L43" i="73"/>
  <c r="L44" i="73"/>
  <c r="L45" i="73"/>
  <c r="L46" i="73"/>
  <c r="L47" i="73"/>
  <c r="L48" i="73"/>
  <c r="L49" i="73"/>
  <c r="L50" i="73"/>
  <c r="L51" i="73"/>
  <c r="L52" i="73"/>
  <c r="L53" i="73"/>
  <c r="L54" i="73"/>
  <c r="L55" i="73"/>
  <c r="L56" i="73"/>
  <c r="L57" i="73"/>
  <c r="L58" i="73"/>
  <c r="L59" i="73"/>
  <c r="L60" i="73"/>
  <c r="L61" i="73"/>
  <c r="L62" i="73"/>
  <c r="L63" i="73"/>
  <c r="L64" i="73"/>
  <c r="L65" i="73"/>
  <c r="L66" i="73"/>
  <c r="L67" i="73"/>
  <c r="L68" i="73"/>
  <c r="L69" i="73"/>
  <c r="L70" i="73"/>
  <c r="L71" i="73"/>
  <c r="L72" i="73"/>
  <c r="L73" i="73"/>
  <c r="L74" i="73"/>
  <c r="L75" i="73"/>
  <c r="L76" i="73"/>
  <c r="L77" i="73"/>
  <c r="L78" i="73"/>
  <c r="L79" i="73"/>
  <c r="L80" i="73"/>
  <c r="G60" i="82"/>
  <c r="G59" i="82"/>
  <c r="G58" i="82"/>
  <c r="G57" i="82"/>
  <c r="G56" i="82"/>
  <c r="G55" i="82"/>
  <c r="G54" i="82"/>
  <c r="G53" i="82"/>
  <c r="G52" i="82"/>
  <c r="G51" i="82"/>
  <c r="G50" i="82"/>
  <c r="G49" i="82"/>
  <c r="G48" i="82"/>
  <c r="G47" i="82"/>
  <c r="G46" i="82"/>
  <c r="G45" i="82"/>
  <c r="G44" i="82"/>
  <c r="G43" i="82"/>
  <c r="G42" i="82"/>
  <c r="G41" i="82"/>
  <c r="G40" i="82"/>
  <c r="G39" i="82"/>
  <c r="G38" i="82"/>
  <c r="G37" i="82"/>
  <c r="G36" i="82"/>
  <c r="G35" i="82"/>
  <c r="G34" i="82"/>
  <c r="G33" i="82"/>
  <c r="G32" i="82"/>
  <c r="G31" i="82"/>
  <c r="G30" i="82"/>
  <c r="G29" i="82"/>
  <c r="G28" i="82"/>
  <c r="G27" i="82"/>
  <c r="G26" i="82"/>
  <c r="G25" i="82"/>
  <c r="G24" i="82"/>
  <c r="G23" i="82"/>
  <c r="G22" i="82"/>
  <c r="G21" i="82"/>
  <c r="G20" i="82"/>
  <c r="G19" i="82"/>
  <c r="G18" i="82"/>
  <c r="G61" i="82" s="1"/>
  <c r="H60" i="82"/>
  <c r="H59" i="82"/>
  <c r="H58" i="82"/>
  <c r="H57" i="82"/>
  <c r="H56" i="82"/>
  <c r="H55" i="82"/>
  <c r="H54" i="82"/>
  <c r="H53" i="82"/>
  <c r="H52" i="82"/>
  <c r="H51" i="82"/>
  <c r="H50" i="82"/>
  <c r="H49" i="82"/>
  <c r="H48" i="82"/>
  <c r="H47" i="82"/>
  <c r="H46" i="82"/>
  <c r="H45" i="82"/>
  <c r="H44" i="82"/>
  <c r="H43" i="82"/>
  <c r="H42" i="82"/>
  <c r="H41" i="82"/>
  <c r="H40" i="82"/>
  <c r="H39" i="82"/>
  <c r="H38" i="82"/>
  <c r="H37" i="82"/>
  <c r="H36" i="82"/>
  <c r="H35" i="82"/>
  <c r="H34" i="82"/>
  <c r="H33" i="82"/>
  <c r="H32" i="82"/>
  <c r="H31" i="82"/>
  <c r="H30" i="82"/>
  <c r="H29" i="82"/>
  <c r="H28" i="82"/>
  <c r="H27" i="82"/>
  <c r="H26" i="82"/>
  <c r="H25" i="82"/>
  <c r="H24" i="82"/>
  <c r="H23" i="82"/>
  <c r="H22" i="82"/>
  <c r="H21" i="82"/>
  <c r="H20" i="82"/>
  <c r="H19" i="82"/>
  <c r="H18" i="82"/>
  <c r="H61" i="82" s="1"/>
  <c r="P2" i="82" s="1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5" i="82"/>
  <c r="R44" i="82"/>
  <c r="R43" i="82"/>
  <c r="R42" i="82"/>
  <c r="R41" i="82"/>
  <c r="R40" i="82"/>
  <c r="R39" i="82"/>
  <c r="R38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61" i="82" s="1"/>
  <c r="J61" i="82"/>
  <c r="L18" i="82"/>
  <c r="K61" i="82"/>
  <c r="V18" i="82"/>
  <c r="U18" i="82"/>
  <c r="T19" i="82"/>
  <c r="S19" i="82" s="1"/>
  <c r="V19" i="82"/>
  <c r="U19" i="82"/>
  <c r="T20" i="82"/>
  <c r="S20" i="82" s="1"/>
  <c r="V20" i="82"/>
  <c r="U20" i="82"/>
  <c r="T21" i="82"/>
  <c r="S21" i="82" s="1"/>
  <c r="V21" i="82"/>
  <c r="U21" i="82"/>
  <c r="T22" i="82"/>
  <c r="S22" i="82" s="1"/>
  <c r="V22" i="82"/>
  <c r="U22" i="82"/>
  <c r="T23" i="82"/>
  <c r="S23" i="82" s="1"/>
  <c r="V23" i="82"/>
  <c r="U23" i="82"/>
  <c r="T24" i="82"/>
  <c r="S24" i="82" s="1"/>
  <c r="V24" i="82"/>
  <c r="U24" i="82"/>
  <c r="T25" i="82"/>
  <c r="S25" i="82" s="1"/>
  <c r="V25" i="82"/>
  <c r="U25" i="82"/>
  <c r="T26" i="82"/>
  <c r="S26" i="82" s="1"/>
  <c r="V26" i="82"/>
  <c r="U26" i="82"/>
  <c r="T27" i="82"/>
  <c r="S27" i="82" s="1"/>
  <c r="V27" i="82"/>
  <c r="U27" i="82"/>
  <c r="T28" i="82"/>
  <c r="S28" i="82" s="1"/>
  <c r="V28" i="82"/>
  <c r="U28" i="82"/>
  <c r="T29" i="82"/>
  <c r="S29" i="82" s="1"/>
  <c r="V29" i="82"/>
  <c r="U29" i="82"/>
  <c r="T30" i="82"/>
  <c r="S30" i="82" s="1"/>
  <c r="V30" i="82"/>
  <c r="U30" i="82"/>
  <c r="T31" i="82"/>
  <c r="S31" i="82" s="1"/>
  <c r="V31" i="82"/>
  <c r="U31" i="82"/>
  <c r="T32" i="82"/>
  <c r="S32" i="82" s="1"/>
  <c r="V32" i="82"/>
  <c r="U32" i="82"/>
  <c r="T33" i="82"/>
  <c r="S33" i="82" s="1"/>
  <c r="V33" i="82"/>
  <c r="U33" i="82"/>
  <c r="T34" i="82"/>
  <c r="S34" i="82" s="1"/>
  <c r="V34" i="82"/>
  <c r="U34" i="82"/>
  <c r="T35" i="82"/>
  <c r="S35" i="82" s="1"/>
  <c r="V35" i="82"/>
  <c r="U35" i="82"/>
  <c r="T36" i="82"/>
  <c r="S36" i="82" s="1"/>
  <c r="V36" i="82"/>
  <c r="U36" i="82"/>
  <c r="T37" i="82"/>
  <c r="S37" i="82" s="1"/>
  <c r="V37" i="82"/>
  <c r="U37" i="82"/>
  <c r="T38" i="82"/>
  <c r="S38" i="82" s="1"/>
  <c r="V38" i="82"/>
  <c r="U38" i="82"/>
  <c r="T39" i="82"/>
  <c r="S39" i="82" s="1"/>
  <c r="V39" i="82"/>
  <c r="U39" i="82"/>
  <c r="T40" i="82"/>
  <c r="S40" i="82" s="1"/>
  <c r="V40" i="82"/>
  <c r="U40" i="82"/>
  <c r="T41" i="82"/>
  <c r="S41" i="82" s="1"/>
  <c r="V41" i="82"/>
  <c r="U41" i="82"/>
  <c r="T42" i="82"/>
  <c r="S42" i="82" s="1"/>
  <c r="V42" i="82"/>
  <c r="U42" i="82"/>
  <c r="T43" i="82"/>
  <c r="S43" i="82" s="1"/>
  <c r="V43" i="82"/>
  <c r="U43" i="82"/>
  <c r="T44" i="82"/>
  <c r="S44" i="82" s="1"/>
  <c r="V44" i="82"/>
  <c r="U44" i="82"/>
  <c r="T45" i="82"/>
  <c r="S45" i="82" s="1"/>
  <c r="V45" i="82"/>
  <c r="U45" i="82"/>
  <c r="T46" i="82"/>
  <c r="S46" i="82" s="1"/>
  <c r="V46" i="82"/>
  <c r="U46" i="82"/>
  <c r="T47" i="82"/>
  <c r="S47" i="82" s="1"/>
  <c r="V47" i="82"/>
  <c r="U47" i="82"/>
  <c r="T48" i="82"/>
  <c r="S48" i="82" s="1"/>
  <c r="V48" i="82"/>
  <c r="U48" i="82"/>
  <c r="T49" i="82"/>
  <c r="S49" i="82" s="1"/>
  <c r="V49" i="82"/>
  <c r="U49" i="82"/>
  <c r="T50" i="82"/>
  <c r="S50" i="82" s="1"/>
  <c r="V50" i="82"/>
  <c r="U50" i="82"/>
  <c r="T51" i="82"/>
  <c r="S51" i="82" s="1"/>
  <c r="V51" i="82"/>
  <c r="U51" i="82"/>
  <c r="T52" i="82"/>
  <c r="S52" i="82" s="1"/>
  <c r="V52" i="82"/>
  <c r="U52" i="82"/>
  <c r="T53" i="82"/>
  <c r="S53" i="82" s="1"/>
  <c r="V53" i="82"/>
  <c r="U53" i="82"/>
  <c r="T54" i="82"/>
  <c r="S54" i="82" s="1"/>
  <c r="V54" i="82"/>
  <c r="U54" i="82"/>
  <c r="T55" i="82"/>
  <c r="S55" i="82" s="1"/>
  <c r="V55" i="82"/>
  <c r="U55" i="82"/>
  <c r="T56" i="82"/>
  <c r="S56" i="82" s="1"/>
  <c r="V56" i="82"/>
  <c r="U56" i="82"/>
  <c r="T57" i="82"/>
  <c r="S57" i="82" s="1"/>
  <c r="V57" i="82"/>
  <c r="U57" i="82"/>
  <c r="T58" i="82"/>
  <c r="S58" i="82" s="1"/>
  <c r="V58" i="82"/>
  <c r="U58" i="82"/>
  <c r="T59" i="82"/>
  <c r="S59" i="82" s="1"/>
  <c r="V59" i="82"/>
  <c r="U59" i="82"/>
  <c r="T60" i="82"/>
  <c r="S60" i="82" s="1"/>
  <c r="V60" i="82"/>
  <c r="U60" i="82"/>
  <c r="G60" i="81"/>
  <c r="G59" i="81"/>
  <c r="G58" i="81"/>
  <c r="G57" i="81"/>
  <c r="G56" i="81"/>
  <c r="G55" i="81"/>
  <c r="G54" i="81"/>
  <c r="G53" i="81"/>
  <c r="G52" i="81"/>
  <c r="G51" i="81"/>
  <c r="G50" i="81"/>
  <c r="G49" i="81"/>
  <c r="G48" i="81"/>
  <c r="G47" i="81"/>
  <c r="G46" i="81"/>
  <c r="G45" i="81"/>
  <c r="G44" i="81"/>
  <c r="G43" i="81"/>
  <c r="G42" i="81"/>
  <c r="G41" i="81"/>
  <c r="G40" i="81"/>
  <c r="G39" i="81"/>
  <c r="G38" i="81"/>
  <c r="G37" i="81"/>
  <c r="G36" i="81"/>
  <c r="G35" i="81"/>
  <c r="G34" i="81"/>
  <c r="G33" i="81"/>
  <c r="G32" i="81"/>
  <c r="G31" i="81"/>
  <c r="G30" i="81"/>
  <c r="G29" i="81"/>
  <c r="G28" i="81"/>
  <c r="G27" i="81"/>
  <c r="G26" i="81"/>
  <c r="G25" i="81"/>
  <c r="G24" i="81"/>
  <c r="G23" i="81"/>
  <c r="G22" i="81"/>
  <c r="G21" i="81"/>
  <c r="G20" i="81"/>
  <c r="G19" i="81"/>
  <c r="G18" i="81"/>
  <c r="G61" i="81" s="1"/>
  <c r="H60" i="81"/>
  <c r="H59" i="81"/>
  <c r="H58" i="81"/>
  <c r="H57" i="81"/>
  <c r="H56" i="81"/>
  <c r="H55" i="81"/>
  <c r="H54" i="81"/>
  <c r="H53" i="81"/>
  <c r="H52" i="81"/>
  <c r="H51" i="81"/>
  <c r="H50" i="81"/>
  <c r="H49" i="81"/>
  <c r="H48" i="81"/>
  <c r="H47" i="81"/>
  <c r="H46" i="81"/>
  <c r="H45" i="81"/>
  <c r="H44" i="81"/>
  <c r="H43" i="81"/>
  <c r="H42" i="81"/>
  <c r="H41" i="81"/>
  <c r="H40" i="81"/>
  <c r="H39" i="81"/>
  <c r="H38" i="81"/>
  <c r="H37" i="81"/>
  <c r="H36" i="81"/>
  <c r="H35" i="81"/>
  <c r="H34" i="81"/>
  <c r="H33" i="81"/>
  <c r="H32" i="81"/>
  <c r="H31" i="81"/>
  <c r="H30" i="81"/>
  <c r="H29" i="81"/>
  <c r="H28" i="81"/>
  <c r="H27" i="81"/>
  <c r="H26" i="81"/>
  <c r="H25" i="81"/>
  <c r="H24" i="81"/>
  <c r="H23" i="81"/>
  <c r="H22" i="81"/>
  <c r="H21" i="81"/>
  <c r="H20" i="81"/>
  <c r="H19" i="81"/>
  <c r="H18" i="81"/>
  <c r="H61" i="81" s="1"/>
  <c r="P2" i="81" s="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5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61" i="81" s="1"/>
  <c r="J61" i="81"/>
  <c r="L18" i="81"/>
  <c r="K61" i="81"/>
  <c r="V18" i="81"/>
  <c r="U18" i="81"/>
  <c r="T19" i="81"/>
  <c r="S19" i="81" s="1"/>
  <c r="V19" i="81"/>
  <c r="U19" i="81"/>
  <c r="T20" i="81"/>
  <c r="S20" i="81" s="1"/>
  <c r="V20" i="81"/>
  <c r="U20" i="81"/>
  <c r="T21" i="81"/>
  <c r="S21" i="81" s="1"/>
  <c r="V21" i="81"/>
  <c r="U21" i="81"/>
  <c r="T22" i="81"/>
  <c r="S22" i="81" s="1"/>
  <c r="V22" i="81"/>
  <c r="U22" i="81"/>
  <c r="T23" i="81"/>
  <c r="S23" i="81" s="1"/>
  <c r="V23" i="81"/>
  <c r="U23" i="81"/>
  <c r="T24" i="81"/>
  <c r="S24" i="81" s="1"/>
  <c r="V24" i="81"/>
  <c r="U24" i="81"/>
  <c r="T25" i="81"/>
  <c r="S25" i="81" s="1"/>
  <c r="V25" i="81"/>
  <c r="U25" i="81"/>
  <c r="T26" i="81"/>
  <c r="S26" i="81" s="1"/>
  <c r="V26" i="81"/>
  <c r="U26" i="81"/>
  <c r="T27" i="81"/>
  <c r="S27" i="81" s="1"/>
  <c r="V27" i="81"/>
  <c r="U27" i="81"/>
  <c r="T28" i="81"/>
  <c r="S28" i="81" s="1"/>
  <c r="V28" i="81"/>
  <c r="U28" i="81"/>
  <c r="T29" i="81"/>
  <c r="S29" i="81" s="1"/>
  <c r="V29" i="81"/>
  <c r="U29" i="81"/>
  <c r="T30" i="81"/>
  <c r="S30" i="81" s="1"/>
  <c r="V30" i="81"/>
  <c r="U30" i="81"/>
  <c r="T31" i="81"/>
  <c r="S31" i="81" s="1"/>
  <c r="V31" i="81"/>
  <c r="U31" i="81"/>
  <c r="T32" i="81"/>
  <c r="S32" i="81" s="1"/>
  <c r="V32" i="81"/>
  <c r="U32" i="81"/>
  <c r="T33" i="81"/>
  <c r="S33" i="81" s="1"/>
  <c r="V33" i="81"/>
  <c r="U33" i="81"/>
  <c r="T34" i="81"/>
  <c r="S34" i="81" s="1"/>
  <c r="V34" i="81"/>
  <c r="U34" i="81"/>
  <c r="T35" i="81"/>
  <c r="S35" i="81" s="1"/>
  <c r="V35" i="81"/>
  <c r="U35" i="81"/>
  <c r="T36" i="81"/>
  <c r="S36" i="81" s="1"/>
  <c r="V36" i="81"/>
  <c r="U36" i="81"/>
  <c r="T37" i="81"/>
  <c r="S37" i="81" s="1"/>
  <c r="V37" i="81"/>
  <c r="U37" i="81"/>
  <c r="T38" i="81"/>
  <c r="S38" i="81" s="1"/>
  <c r="V38" i="81"/>
  <c r="U38" i="81"/>
  <c r="T39" i="81"/>
  <c r="S39" i="81" s="1"/>
  <c r="V39" i="81"/>
  <c r="U39" i="81"/>
  <c r="T40" i="81"/>
  <c r="S40" i="81" s="1"/>
  <c r="V40" i="81"/>
  <c r="U40" i="81"/>
  <c r="T41" i="81"/>
  <c r="S41" i="81" s="1"/>
  <c r="V41" i="81"/>
  <c r="U41" i="81"/>
  <c r="T42" i="81"/>
  <c r="S42" i="81" s="1"/>
  <c r="V42" i="81"/>
  <c r="U42" i="81"/>
  <c r="T43" i="81"/>
  <c r="S43" i="81" s="1"/>
  <c r="V43" i="81"/>
  <c r="U43" i="81"/>
  <c r="T44" i="81"/>
  <c r="S44" i="81" s="1"/>
  <c r="V44" i="81"/>
  <c r="U44" i="81"/>
  <c r="T45" i="81"/>
  <c r="S45" i="81" s="1"/>
  <c r="V45" i="81"/>
  <c r="U45" i="81"/>
  <c r="T46" i="81"/>
  <c r="S46" i="81" s="1"/>
  <c r="V46" i="81"/>
  <c r="U46" i="81"/>
  <c r="T47" i="81"/>
  <c r="S47" i="81" s="1"/>
  <c r="V47" i="81"/>
  <c r="U47" i="81"/>
  <c r="T48" i="81"/>
  <c r="S48" i="81" s="1"/>
  <c r="V48" i="81"/>
  <c r="U48" i="81"/>
  <c r="T49" i="81"/>
  <c r="S49" i="81" s="1"/>
  <c r="V49" i="81"/>
  <c r="U49" i="81"/>
  <c r="T50" i="81"/>
  <c r="S50" i="81" s="1"/>
  <c r="V50" i="81"/>
  <c r="U50" i="81"/>
  <c r="T51" i="81"/>
  <c r="S51" i="81" s="1"/>
  <c r="V51" i="81"/>
  <c r="U51" i="81"/>
  <c r="T52" i="81"/>
  <c r="S52" i="81" s="1"/>
  <c r="V52" i="81"/>
  <c r="U52" i="81"/>
  <c r="T53" i="81"/>
  <c r="S53" i="81" s="1"/>
  <c r="V53" i="81"/>
  <c r="U53" i="81"/>
  <c r="T54" i="81"/>
  <c r="S54" i="81" s="1"/>
  <c r="V54" i="81"/>
  <c r="U54" i="81"/>
  <c r="T55" i="81"/>
  <c r="S55" i="81" s="1"/>
  <c r="V55" i="81"/>
  <c r="U55" i="81"/>
  <c r="T56" i="81"/>
  <c r="S56" i="81" s="1"/>
  <c r="V56" i="81"/>
  <c r="U56" i="81"/>
  <c r="T57" i="81"/>
  <c r="S57" i="81" s="1"/>
  <c r="V57" i="81"/>
  <c r="U57" i="81"/>
  <c r="T58" i="81"/>
  <c r="S58" i="81" s="1"/>
  <c r="V58" i="81"/>
  <c r="U58" i="81"/>
  <c r="T59" i="81"/>
  <c r="S59" i="81" s="1"/>
  <c r="V59" i="81"/>
  <c r="U59" i="81"/>
  <c r="T60" i="81"/>
  <c r="S60" i="81" s="1"/>
  <c r="V60" i="81"/>
  <c r="U60" i="81"/>
  <c r="G60" i="80"/>
  <c r="G59" i="80"/>
  <c r="G58" i="80"/>
  <c r="G57" i="80"/>
  <c r="G56" i="80"/>
  <c r="G55" i="80"/>
  <c r="G54" i="80"/>
  <c r="G53" i="80"/>
  <c r="G52" i="80"/>
  <c r="G51" i="80"/>
  <c r="G50" i="80"/>
  <c r="G49" i="80"/>
  <c r="G48" i="80"/>
  <c r="G47" i="80"/>
  <c r="G46" i="80"/>
  <c r="G45" i="80"/>
  <c r="G44" i="80"/>
  <c r="G43" i="80"/>
  <c r="G42" i="80"/>
  <c r="G41" i="80"/>
  <c r="G40" i="80"/>
  <c r="G39" i="80"/>
  <c r="G38" i="80"/>
  <c r="G37" i="80"/>
  <c r="G36" i="80"/>
  <c r="G35" i="80"/>
  <c r="G34" i="80"/>
  <c r="G33" i="80"/>
  <c r="G32" i="80"/>
  <c r="G31" i="80"/>
  <c r="G30" i="80"/>
  <c r="G29" i="80"/>
  <c r="G28" i="80"/>
  <c r="G27" i="80"/>
  <c r="G26" i="80"/>
  <c r="G25" i="80"/>
  <c r="G24" i="80"/>
  <c r="G23" i="80"/>
  <c r="G22" i="80"/>
  <c r="G21" i="80"/>
  <c r="G20" i="80"/>
  <c r="G19" i="80"/>
  <c r="G18" i="80"/>
  <c r="G61" i="80" s="1"/>
  <c r="H60" i="80"/>
  <c r="H59" i="80"/>
  <c r="H58" i="80"/>
  <c r="H57" i="80"/>
  <c r="H56" i="80"/>
  <c r="H55" i="80"/>
  <c r="H54" i="80"/>
  <c r="H53" i="80"/>
  <c r="H52" i="80"/>
  <c r="H51" i="80"/>
  <c r="H50" i="80"/>
  <c r="H49" i="80"/>
  <c r="H48" i="80"/>
  <c r="H47" i="80"/>
  <c r="H46" i="80"/>
  <c r="H45" i="80"/>
  <c r="H44" i="80"/>
  <c r="H43" i="80"/>
  <c r="H42" i="80"/>
  <c r="H41" i="80"/>
  <c r="H40" i="80"/>
  <c r="H39" i="80"/>
  <c r="H38" i="80"/>
  <c r="H37" i="80"/>
  <c r="H36" i="80"/>
  <c r="H35" i="80"/>
  <c r="H34" i="80"/>
  <c r="H33" i="80"/>
  <c r="H32" i="80"/>
  <c r="H31" i="80"/>
  <c r="H30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61" i="80" s="1"/>
  <c r="P2" i="80" s="1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5" i="80"/>
  <c r="R44" i="80"/>
  <c r="R43" i="80"/>
  <c r="R42" i="80"/>
  <c r="R41" i="80"/>
  <c r="R40" i="80"/>
  <c r="R39" i="80"/>
  <c r="R38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61" i="80" s="1"/>
  <c r="J61" i="80"/>
  <c r="L18" i="80"/>
  <c r="K61" i="80"/>
  <c r="V18" i="80"/>
  <c r="U18" i="80"/>
  <c r="T19" i="80"/>
  <c r="S19" i="80" s="1"/>
  <c r="V19" i="80"/>
  <c r="U19" i="80"/>
  <c r="T20" i="80"/>
  <c r="S20" i="80" s="1"/>
  <c r="V20" i="80"/>
  <c r="U20" i="80"/>
  <c r="T21" i="80"/>
  <c r="S21" i="80" s="1"/>
  <c r="V21" i="80"/>
  <c r="U21" i="80"/>
  <c r="T22" i="80"/>
  <c r="S22" i="80" s="1"/>
  <c r="V22" i="80"/>
  <c r="U22" i="80"/>
  <c r="T23" i="80"/>
  <c r="S23" i="80" s="1"/>
  <c r="V23" i="80"/>
  <c r="U23" i="80"/>
  <c r="T24" i="80"/>
  <c r="S24" i="80" s="1"/>
  <c r="V24" i="80"/>
  <c r="U24" i="80"/>
  <c r="T25" i="80"/>
  <c r="S25" i="80" s="1"/>
  <c r="V25" i="80"/>
  <c r="U25" i="80"/>
  <c r="T26" i="80"/>
  <c r="S26" i="80" s="1"/>
  <c r="V26" i="80"/>
  <c r="U26" i="80"/>
  <c r="T27" i="80"/>
  <c r="S27" i="80" s="1"/>
  <c r="V27" i="80"/>
  <c r="U27" i="80"/>
  <c r="T28" i="80"/>
  <c r="S28" i="80" s="1"/>
  <c r="V28" i="80"/>
  <c r="U28" i="80"/>
  <c r="T29" i="80"/>
  <c r="S29" i="80" s="1"/>
  <c r="V29" i="80"/>
  <c r="U29" i="80"/>
  <c r="T30" i="80"/>
  <c r="S30" i="80" s="1"/>
  <c r="V30" i="80"/>
  <c r="U30" i="80"/>
  <c r="T31" i="80"/>
  <c r="S31" i="80" s="1"/>
  <c r="V31" i="80"/>
  <c r="U31" i="80"/>
  <c r="T32" i="80"/>
  <c r="S32" i="80" s="1"/>
  <c r="V32" i="80"/>
  <c r="U32" i="80"/>
  <c r="T33" i="80"/>
  <c r="S33" i="80" s="1"/>
  <c r="V33" i="80"/>
  <c r="U33" i="80"/>
  <c r="T34" i="80"/>
  <c r="S34" i="80" s="1"/>
  <c r="V34" i="80"/>
  <c r="U34" i="80"/>
  <c r="T35" i="80"/>
  <c r="S35" i="80" s="1"/>
  <c r="V35" i="80"/>
  <c r="U35" i="80"/>
  <c r="T36" i="80"/>
  <c r="S36" i="80" s="1"/>
  <c r="V36" i="80"/>
  <c r="U36" i="80"/>
  <c r="T37" i="80"/>
  <c r="S37" i="80" s="1"/>
  <c r="V37" i="80"/>
  <c r="U37" i="80"/>
  <c r="T38" i="80"/>
  <c r="S38" i="80" s="1"/>
  <c r="V38" i="80"/>
  <c r="U38" i="80"/>
  <c r="T39" i="80"/>
  <c r="S39" i="80" s="1"/>
  <c r="V39" i="80"/>
  <c r="U39" i="80"/>
  <c r="T40" i="80"/>
  <c r="S40" i="80" s="1"/>
  <c r="V40" i="80"/>
  <c r="U40" i="80"/>
  <c r="T41" i="80"/>
  <c r="S41" i="80" s="1"/>
  <c r="V41" i="80"/>
  <c r="U41" i="80"/>
  <c r="T42" i="80"/>
  <c r="S42" i="80" s="1"/>
  <c r="V42" i="80"/>
  <c r="U42" i="80"/>
  <c r="T43" i="80"/>
  <c r="S43" i="80" s="1"/>
  <c r="V43" i="80"/>
  <c r="U43" i="80"/>
  <c r="T44" i="80"/>
  <c r="S44" i="80" s="1"/>
  <c r="V44" i="80"/>
  <c r="U44" i="80"/>
  <c r="T45" i="80"/>
  <c r="S45" i="80" s="1"/>
  <c r="V45" i="80"/>
  <c r="U45" i="80"/>
  <c r="T46" i="80"/>
  <c r="S46" i="80" s="1"/>
  <c r="V46" i="80"/>
  <c r="U46" i="80"/>
  <c r="T47" i="80"/>
  <c r="S47" i="80" s="1"/>
  <c r="V47" i="80"/>
  <c r="U47" i="80"/>
  <c r="T48" i="80"/>
  <c r="S48" i="80" s="1"/>
  <c r="V48" i="80"/>
  <c r="U48" i="80"/>
  <c r="T49" i="80"/>
  <c r="S49" i="80" s="1"/>
  <c r="V49" i="80"/>
  <c r="U49" i="80"/>
  <c r="T50" i="80"/>
  <c r="S50" i="80" s="1"/>
  <c r="V50" i="80"/>
  <c r="U50" i="80"/>
  <c r="T51" i="80"/>
  <c r="S51" i="80" s="1"/>
  <c r="V51" i="80"/>
  <c r="U51" i="80"/>
  <c r="T52" i="80"/>
  <c r="S52" i="80" s="1"/>
  <c r="V52" i="80"/>
  <c r="U52" i="80"/>
  <c r="T53" i="80"/>
  <c r="S53" i="80" s="1"/>
  <c r="V53" i="80"/>
  <c r="U53" i="80"/>
  <c r="T54" i="80"/>
  <c r="S54" i="80" s="1"/>
  <c r="V54" i="80"/>
  <c r="U54" i="80"/>
  <c r="T55" i="80"/>
  <c r="S55" i="80" s="1"/>
  <c r="V55" i="80"/>
  <c r="U55" i="80"/>
  <c r="T56" i="80"/>
  <c r="S56" i="80" s="1"/>
  <c r="V56" i="80"/>
  <c r="U56" i="80"/>
  <c r="T57" i="80"/>
  <c r="S57" i="80" s="1"/>
  <c r="V57" i="80"/>
  <c r="U57" i="80"/>
  <c r="T58" i="80"/>
  <c r="S58" i="80" s="1"/>
  <c r="V58" i="80"/>
  <c r="U58" i="80"/>
  <c r="T59" i="80"/>
  <c r="S59" i="80" s="1"/>
  <c r="V59" i="80"/>
  <c r="U59" i="80"/>
  <c r="T60" i="80"/>
  <c r="S60" i="80" s="1"/>
  <c r="V60" i="80"/>
  <c r="U60" i="80"/>
  <c r="G60" i="79"/>
  <c r="G59" i="79"/>
  <c r="G58" i="79"/>
  <c r="G57" i="79"/>
  <c r="G56" i="79"/>
  <c r="G55" i="79"/>
  <c r="G54" i="79"/>
  <c r="G53" i="79"/>
  <c r="G52" i="79"/>
  <c r="G51" i="79"/>
  <c r="G50" i="79"/>
  <c r="G49" i="79"/>
  <c r="G48" i="79"/>
  <c r="G47" i="79"/>
  <c r="G46" i="79"/>
  <c r="G45" i="79"/>
  <c r="G44" i="79"/>
  <c r="G43" i="79"/>
  <c r="G42" i="79"/>
  <c r="G41" i="79"/>
  <c r="G40" i="79"/>
  <c r="G39" i="79"/>
  <c r="G38" i="79"/>
  <c r="G37" i="79"/>
  <c r="G36" i="79"/>
  <c r="G35" i="79"/>
  <c r="G34" i="79"/>
  <c r="G33" i="79"/>
  <c r="G32" i="79"/>
  <c r="G31" i="79"/>
  <c r="G30" i="79"/>
  <c r="G29" i="79"/>
  <c r="G28" i="79"/>
  <c r="G27" i="79"/>
  <c r="G26" i="79"/>
  <c r="G25" i="79"/>
  <c r="G24" i="79"/>
  <c r="G23" i="79"/>
  <c r="G22" i="79"/>
  <c r="G21" i="79"/>
  <c r="G20" i="79"/>
  <c r="G19" i="79"/>
  <c r="G18" i="79"/>
  <c r="G61" i="79" s="1"/>
  <c r="H60" i="79"/>
  <c r="H59" i="79"/>
  <c r="H58" i="79"/>
  <c r="H57" i="79"/>
  <c r="H56" i="79"/>
  <c r="H55" i="79"/>
  <c r="H54" i="79"/>
  <c r="H53" i="79"/>
  <c r="H52" i="79"/>
  <c r="H51" i="79"/>
  <c r="H50" i="79"/>
  <c r="H49" i="79"/>
  <c r="H48" i="79"/>
  <c r="H47" i="79"/>
  <c r="H46" i="79"/>
  <c r="H45" i="79"/>
  <c r="H44" i="79"/>
  <c r="H43" i="79"/>
  <c r="H42" i="79"/>
  <c r="H41" i="79"/>
  <c r="H40" i="79"/>
  <c r="H39" i="79"/>
  <c r="H38" i="79"/>
  <c r="H37" i="79"/>
  <c r="H36" i="79"/>
  <c r="H35" i="79"/>
  <c r="H34" i="79"/>
  <c r="H33" i="79"/>
  <c r="H32" i="79"/>
  <c r="H31" i="79"/>
  <c r="H30" i="79"/>
  <c r="H29" i="79"/>
  <c r="H28" i="79"/>
  <c r="H27" i="79"/>
  <c r="H26" i="79"/>
  <c r="H25" i="79"/>
  <c r="H24" i="79"/>
  <c r="H23" i="79"/>
  <c r="H22" i="79"/>
  <c r="H21" i="79"/>
  <c r="H20" i="79"/>
  <c r="H19" i="79"/>
  <c r="H18" i="79"/>
  <c r="H61" i="79" s="1"/>
  <c r="P2" i="79" s="1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5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61" i="79" s="1"/>
  <c r="J61" i="79"/>
  <c r="L18" i="79"/>
  <c r="K61" i="79"/>
  <c r="V18" i="79"/>
  <c r="U18" i="79"/>
  <c r="T19" i="79"/>
  <c r="S19" i="79" s="1"/>
  <c r="V19" i="79"/>
  <c r="U19" i="79"/>
  <c r="T20" i="79"/>
  <c r="S20" i="79" s="1"/>
  <c r="V20" i="79"/>
  <c r="U20" i="79"/>
  <c r="T21" i="79"/>
  <c r="S21" i="79" s="1"/>
  <c r="V21" i="79"/>
  <c r="U21" i="79"/>
  <c r="T22" i="79"/>
  <c r="S22" i="79" s="1"/>
  <c r="V22" i="79"/>
  <c r="U22" i="79"/>
  <c r="T23" i="79"/>
  <c r="S23" i="79" s="1"/>
  <c r="V23" i="79"/>
  <c r="U23" i="79"/>
  <c r="T24" i="79"/>
  <c r="S24" i="79" s="1"/>
  <c r="V24" i="79"/>
  <c r="U24" i="79"/>
  <c r="T25" i="79"/>
  <c r="S25" i="79" s="1"/>
  <c r="V25" i="79"/>
  <c r="U25" i="79"/>
  <c r="T26" i="79"/>
  <c r="S26" i="79" s="1"/>
  <c r="V26" i="79"/>
  <c r="U26" i="79"/>
  <c r="T27" i="79"/>
  <c r="S27" i="79" s="1"/>
  <c r="V27" i="79"/>
  <c r="U27" i="79"/>
  <c r="T28" i="79"/>
  <c r="S28" i="79" s="1"/>
  <c r="V28" i="79"/>
  <c r="U28" i="79"/>
  <c r="T29" i="79"/>
  <c r="S29" i="79" s="1"/>
  <c r="V29" i="79"/>
  <c r="U29" i="79"/>
  <c r="T30" i="79"/>
  <c r="S30" i="79" s="1"/>
  <c r="V30" i="79"/>
  <c r="U30" i="79"/>
  <c r="T31" i="79"/>
  <c r="S31" i="79" s="1"/>
  <c r="V31" i="79"/>
  <c r="U31" i="79"/>
  <c r="T32" i="79"/>
  <c r="S32" i="79" s="1"/>
  <c r="V32" i="79"/>
  <c r="U32" i="79"/>
  <c r="T33" i="79"/>
  <c r="S33" i="79" s="1"/>
  <c r="V33" i="79"/>
  <c r="U33" i="79"/>
  <c r="T34" i="79"/>
  <c r="S34" i="79" s="1"/>
  <c r="V34" i="79"/>
  <c r="U34" i="79"/>
  <c r="T35" i="79"/>
  <c r="S35" i="79" s="1"/>
  <c r="V35" i="79"/>
  <c r="U35" i="79"/>
  <c r="T36" i="79"/>
  <c r="S36" i="79" s="1"/>
  <c r="V36" i="79"/>
  <c r="U36" i="79"/>
  <c r="T37" i="79"/>
  <c r="S37" i="79" s="1"/>
  <c r="V37" i="79"/>
  <c r="U37" i="79"/>
  <c r="T38" i="79"/>
  <c r="S38" i="79" s="1"/>
  <c r="V38" i="79"/>
  <c r="U38" i="79"/>
  <c r="T39" i="79"/>
  <c r="S39" i="79" s="1"/>
  <c r="V39" i="79"/>
  <c r="U39" i="79"/>
  <c r="T40" i="79"/>
  <c r="S40" i="79" s="1"/>
  <c r="V40" i="79"/>
  <c r="U40" i="79"/>
  <c r="T41" i="79"/>
  <c r="S41" i="79" s="1"/>
  <c r="V41" i="79"/>
  <c r="U41" i="79"/>
  <c r="T42" i="79"/>
  <c r="S42" i="79" s="1"/>
  <c r="V42" i="79"/>
  <c r="U42" i="79"/>
  <c r="T43" i="79"/>
  <c r="S43" i="79" s="1"/>
  <c r="V43" i="79"/>
  <c r="U43" i="79"/>
  <c r="T44" i="79"/>
  <c r="S44" i="79" s="1"/>
  <c r="V44" i="79"/>
  <c r="U44" i="79"/>
  <c r="T45" i="79"/>
  <c r="S45" i="79" s="1"/>
  <c r="V45" i="79"/>
  <c r="U45" i="79"/>
  <c r="T46" i="79"/>
  <c r="S46" i="79" s="1"/>
  <c r="V46" i="79"/>
  <c r="U46" i="79"/>
  <c r="T47" i="79"/>
  <c r="S47" i="79" s="1"/>
  <c r="V47" i="79"/>
  <c r="U47" i="79"/>
  <c r="T48" i="79"/>
  <c r="S48" i="79" s="1"/>
  <c r="V48" i="79"/>
  <c r="U48" i="79"/>
  <c r="T49" i="79"/>
  <c r="S49" i="79" s="1"/>
  <c r="V49" i="79"/>
  <c r="U49" i="79"/>
  <c r="T50" i="79"/>
  <c r="S50" i="79" s="1"/>
  <c r="V50" i="79"/>
  <c r="U50" i="79"/>
  <c r="T51" i="79"/>
  <c r="S51" i="79" s="1"/>
  <c r="V51" i="79"/>
  <c r="U51" i="79"/>
  <c r="T52" i="79"/>
  <c r="S52" i="79" s="1"/>
  <c r="V52" i="79"/>
  <c r="U52" i="79"/>
  <c r="T53" i="79"/>
  <c r="S53" i="79" s="1"/>
  <c r="V53" i="79"/>
  <c r="U53" i="79"/>
  <c r="T54" i="79"/>
  <c r="S54" i="79" s="1"/>
  <c r="V54" i="79"/>
  <c r="U54" i="79"/>
  <c r="T55" i="79"/>
  <c r="S55" i="79" s="1"/>
  <c r="V55" i="79"/>
  <c r="U55" i="79"/>
  <c r="T56" i="79"/>
  <c r="S56" i="79" s="1"/>
  <c r="V56" i="79"/>
  <c r="U56" i="79"/>
  <c r="T57" i="79"/>
  <c r="S57" i="79" s="1"/>
  <c r="V57" i="79"/>
  <c r="U57" i="79"/>
  <c r="T58" i="79"/>
  <c r="S58" i="79" s="1"/>
  <c r="V58" i="79"/>
  <c r="U58" i="79"/>
  <c r="T59" i="79"/>
  <c r="S59" i="79" s="1"/>
  <c r="V59" i="79"/>
  <c r="U59" i="79"/>
  <c r="T60" i="79"/>
  <c r="S60" i="79" s="1"/>
  <c r="V60" i="79"/>
  <c r="U60" i="79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61" i="78" s="1"/>
  <c r="H60" i="78"/>
  <c r="H59" i="78"/>
  <c r="H58" i="78"/>
  <c r="H57" i="78"/>
  <c r="H56" i="78"/>
  <c r="H55" i="78"/>
  <c r="H54" i="78"/>
  <c r="H53" i="78"/>
  <c r="H52" i="78"/>
  <c r="H51" i="78"/>
  <c r="H50" i="78"/>
  <c r="H49" i="78"/>
  <c r="H48" i="78"/>
  <c r="H47" i="78"/>
  <c r="H46" i="78"/>
  <c r="H45" i="78"/>
  <c r="H44" i="78"/>
  <c r="H43" i="78"/>
  <c r="H42" i="78"/>
  <c r="H41" i="78"/>
  <c r="H40" i="78"/>
  <c r="H39" i="78"/>
  <c r="H38" i="78"/>
  <c r="H37" i="78"/>
  <c r="H36" i="78"/>
  <c r="H35" i="78"/>
  <c r="H34" i="78"/>
  <c r="H33" i="78"/>
  <c r="H32" i="78"/>
  <c r="H31" i="78"/>
  <c r="H30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H61" i="78" s="1"/>
  <c r="P2" i="78" s="1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5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61" i="78" s="1"/>
  <c r="J61" i="78"/>
  <c r="L18" i="78"/>
  <c r="K61" i="78"/>
  <c r="V18" i="78"/>
  <c r="U18" i="78"/>
  <c r="T19" i="78"/>
  <c r="S19" i="78" s="1"/>
  <c r="V19" i="78"/>
  <c r="U19" i="78"/>
  <c r="T20" i="78"/>
  <c r="S20" i="78" s="1"/>
  <c r="V20" i="78"/>
  <c r="U20" i="78"/>
  <c r="T21" i="78"/>
  <c r="S21" i="78" s="1"/>
  <c r="V21" i="78"/>
  <c r="U21" i="78"/>
  <c r="T22" i="78"/>
  <c r="S22" i="78" s="1"/>
  <c r="V22" i="78"/>
  <c r="U22" i="78"/>
  <c r="T23" i="78"/>
  <c r="S23" i="78" s="1"/>
  <c r="V23" i="78"/>
  <c r="U23" i="78"/>
  <c r="T24" i="78"/>
  <c r="S24" i="78" s="1"/>
  <c r="V24" i="78"/>
  <c r="U24" i="78"/>
  <c r="T25" i="78"/>
  <c r="S25" i="78" s="1"/>
  <c r="V25" i="78"/>
  <c r="U25" i="78"/>
  <c r="T26" i="78"/>
  <c r="S26" i="78" s="1"/>
  <c r="V26" i="78"/>
  <c r="U26" i="78"/>
  <c r="T27" i="78"/>
  <c r="S27" i="78" s="1"/>
  <c r="V27" i="78"/>
  <c r="U27" i="78"/>
  <c r="T28" i="78"/>
  <c r="S28" i="78" s="1"/>
  <c r="V28" i="78"/>
  <c r="U28" i="78"/>
  <c r="T29" i="78"/>
  <c r="S29" i="78" s="1"/>
  <c r="V29" i="78"/>
  <c r="U29" i="78"/>
  <c r="T30" i="78"/>
  <c r="S30" i="78" s="1"/>
  <c r="V30" i="78"/>
  <c r="U30" i="78"/>
  <c r="T31" i="78"/>
  <c r="S31" i="78" s="1"/>
  <c r="V31" i="78"/>
  <c r="U31" i="78"/>
  <c r="T32" i="78"/>
  <c r="S32" i="78" s="1"/>
  <c r="V32" i="78"/>
  <c r="U32" i="78"/>
  <c r="T33" i="78"/>
  <c r="S33" i="78" s="1"/>
  <c r="V33" i="78"/>
  <c r="U33" i="78"/>
  <c r="T34" i="78"/>
  <c r="S34" i="78" s="1"/>
  <c r="V34" i="78"/>
  <c r="U34" i="78"/>
  <c r="T35" i="78"/>
  <c r="S35" i="78" s="1"/>
  <c r="V35" i="78"/>
  <c r="U35" i="78"/>
  <c r="T36" i="78"/>
  <c r="S36" i="78" s="1"/>
  <c r="V36" i="78"/>
  <c r="U36" i="78"/>
  <c r="T37" i="78"/>
  <c r="S37" i="78" s="1"/>
  <c r="V37" i="78"/>
  <c r="U37" i="78"/>
  <c r="T38" i="78"/>
  <c r="S38" i="78" s="1"/>
  <c r="V38" i="78"/>
  <c r="U38" i="78"/>
  <c r="T39" i="78"/>
  <c r="S39" i="78" s="1"/>
  <c r="V39" i="78"/>
  <c r="U39" i="78"/>
  <c r="T40" i="78"/>
  <c r="S40" i="78" s="1"/>
  <c r="V40" i="78"/>
  <c r="U40" i="78"/>
  <c r="T41" i="78"/>
  <c r="S41" i="78" s="1"/>
  <c r="V41" i="78"/>
  <c r="U41" i="78"/>
  <c r="T42" i="78"/>
  <c r="S42" i="78" s="1"/>
  <c r="V42" i="78"/>
  <c r="U42" i="78"/>
  <c r="T43" i="78"/>
  <c r="S43" i="78" s="1"/>
  <c r="V43" i="78"/>
  <c r="U43" i="78"/>
  <c r="T44" i="78"/>
  <c r="S44" i="78" s="1"/>
  <c r="V44" i="78"/>
  <c r="U44" i="78"/>
  <c r="T45" i="78"/>
  <c r="S45" i="78" s="1"/>
  <c r="V45" i="78"/>
  <c r="U45" i="78"/>
  <c r="T46" i="78"/>
  <c r="S46" i="78" s="1"/>
  <c r="V46" i="78"/>
  <c r="U46" i="78"/>
  <c r="T47" i="78"/>
  <c r="S47" i="78" s="1"/>
  <c r="V47" i="78"/>
  <c r="U47" i="78"/>
  <c r="T48" i="78"/>
  <c r="S48" i="78" s="1"/>
  <c r="V48" i="78"/>
  <c r="U48" i="78"/>
  <c r="T49" i="78"/>
  <c r="S49" i="78" s="1"/>
  <c r="V49" i="78"/>
  <c r="U49" i="78"/>
  <c r="T50" i="78"/>
  <c r="S50" i="78" s="1"/>
  <c r="V50" i="78"/>
  <c r="U50" i="78"/>
  <c r="T51" i="78"/>
  <c r="S51" i="78" s="1"/>
  <c r="V51" i="78"/>
  <c r="U51" i="78"/>
  <c r="T52" i="78"/>
  <c r="S52" i="78" s="1"/>
  <c r="V52" i="78"/>
  <c r="U52" i="78"/>
  <c r="T53" i="78"/>
  <c r="S53" i="78" s="1"/>
  <c r="V53" i="78"/>
  <c r="U53" i="78"/>
  <c r="T54" i="78"/>
  <c r="S54" i="78" s="1"/>
  <c r="V54" i="78"/>
  <c r="U54" i="78"/>
  <c r="T55" i="78"/>
  <c r="S55" i="78" s="1"/>
  <c r="V55" i="78"/>
  <c r="U55" i="78"/>
  <c r="T56" i="78"/>
  <c r="S56" i="78" s="1"/>
  <c r="V56" i="78"/>
  <c r="U56" i="78"/>
  <c r="T57" i="78"/>
  <c r="S57" i="78" s="1"/>
  <c r="V57" i="78"/>
  <c r="U57" i="78"/>
  <c r="T58" i="78"/>
  <c r="S58" i="78" s="1"/>
  <c r="V58" i="78"/>
  <c r="U58" i="78"/>
  <c r="T59" i="78"/>
  <c r="S59" i="78" s="1"/>
  <c r="V59" i="78"/>
  <c r="U59" i="78"/>
  <c r="T60" i="78"/>
  <c r="S60" i="78" s="1"/>
  <c r="V60" i="78"/>
  <c r="U60" i="78"/>
  <c r="H80" i="73"/>
  <c r="H79" i="73"/>
  <c r="H78" i="73"/>
  <c r="H77" i="73"/>
  <c r="H76" i="73"/>
  <c r="H75" i="73"/>
  <c r="H74" i="73"/>
  <c r="H73" i="73"/>
  <c r="H72" i="73"/>
  <c r="H71" i="73"/>
  <c r="H70" i="73"/>
  <c r="H69" i="73"/>
  <c r="H68" i="73"/>
  <c r="H67" i="73"/>
  <c r="H66" i="73"/>
  <c r="H65" i="73"/>
  <c r="H64" i="73"/>
  <c r="H63" i="73"/>
  <c r="H62" i="73"/>
  <c r="H61" i="73"/>
  <c r="H60" i="73"/>
  <c r="H59" i="73"/>
  <c r="H58" i="73"/>
  <c r="H57" i="73"/>
  <c r="H56" i="73"/>
  <c r="H55" i="73"/>
  <c r="H54" i="73"/>
  <c r="H53" i="73"/>
  <c r="H52" i="73"/>
  <c r="H51" i="73"/>
  <c r="H50" i="73"/>
  <c r="H49" i="73"/>
  <c r="H48" i="73"/>
  <c r="H47" i="73"/>
  <c r="H46" i="73"/>
  <c r="H45" i="73"/>
  <c r="H44" i="73"/>
  <c r="H43" i="73"/>
  <c r="H42" i="73"/>
  <c r="H41" i="73"/>
  <c r="H40" i="73"/>
  <c r="H39" i="73"/>
  <c r="H38" i="73"/>
  <c r="H37" i="73"/>
  <c r="H36" i="73"/>
  <c r="H35" i="73"/>
  <c r="H34" i="73"/>
  <c r="H33" i="73"/>
  <c r="H32" i="73"/>
  <c r="H31" i="73"/>
  <c r="H30" i="73"/>
  <c r="H29" i="73"/>
  <c r="H28" i="73"/>
  <c r="H27" i="73"/>
  <c r="H26" i="73"/>
  <c r="H25" i="73"/>
  <c r="H24" i="73"/>
  <c r="H23" i="73"/>
  <c r="H22" i="73"/>
  <c r="H21" i="73"/>
  <c r="H20" i="73"/>
  <c r="H19" i="73"/>
  <c r="H18" i="73"/>
  <c r="H81" i="73" s="1"/>
  <c r="P2" i="73" s="1"/>
  <c r="R80" i="73"/>
  <c r="R79" i="73"/>
  <c r="R78" i="73"/>
  <c r="R77" i="73"/>
  <c r="R76" i="73"/>
  <c r="R75" i="73"/>
  <c r="R74" i="73"/>
  <c r="R73" i="73"/>
  <c r="R72" i="73"/>
  <c r="R71" i="73"/>
  <c r="R70" i="73"/>
  <c r="R69" i="73"/>
  <c r="R68" i="73"/>
  <c r="R67" i="73"/>
  <c r="R66" i="73"/>
  <c r="R65" i="73"/>
  <c r="R64" i="73"/>
  <c r="R63" i="73"/>
  <c r="R62" i="73"/>
  <c r="R61" i="73"/>
  <c r="R60" i="73"/>
  <c r="R59" i="73"/>
  <c r="R58" i="73"/>
  <c r="R57" i="73"/>
  <c r="R56" i="73"/>
  <c r="R55" i="73"/>
  <c r="R54" i="73"/>
  <c r="R53" i="73"/>
  <c r="R52" i="73"/>
  <c r="R51" i="73"/>
  <c r="R50" i="73"/>
  <c r="R49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R18" i="73"/>
  <c r="R81" i="73" s="1"/>
  <c r="J81" i="73"/>
  <c r="L18" i="73"/>
  <c r="K81" i="73"/>
  <c r="V18" i="73"/>
  <c r="U18" i="73"/>
  <c r="T19" i="73"/>
  <c r="S19" i="73" s="1"/>
  <c r="V19" i="73"/>
  <c r="U19" i="73"/>
  <c r="T20" i="73"/>
  <c r="S20" i="73" s="1"/>
  <c r="V20" i="73"/>
  <c r="U20" i="73"/>
  <c r="T21" i="73"/>
  <c r="S21" i="73" s="1"/>
  <c r="V21" i="73"/>
  <c r="U21" i="73"/>
  <c r="T22" i="73"/>
  <c r="S22" i="73" s="1"/>
  <c r="V22" i="73"/>
  <c r="U22" i="73"/>
  <c r="T23" i="73"/>
  <c r="S23" i="73" s="1"/>
  <c r="V23" i="73"/>
  <c r="U23" i="73"/>
  <c r="T24" i="73"/>
  <c r="S24" i="73" s="1"/>
  <c r="V24" i="73"/>
  <c r="U24" i="73"/>
  <c r="T25" i="73"/>
  <c r="S25" i="73" s="1"/>
  <c r="V25" i="73"/>
  <c r="U25" i="73"/>
  <c r="T26" i="73"/>
  <c r="S26" i="73" s="1"/>
  <c r="V26" i="73"/>
  <c r="U26" i="73"/>
  <c r="T27" i="73"/>
  <c r="S27" i="73" s="1"/>
  <c r="V27" i="73"/>
  <c r="U27" i="73"/>
  <c r="T28" i="73"/>
  <c r="S28" i="73" s="1"/>
  <c r="V28" i="73"/>
  <c r="U28" i="73"/>
  <c r="T29" i="73"/>
  <c r="S29" i="73" s="1"/>
  <c r="V29" i="73"/>
  <c r="U29" i="73"/>
  <c r="T30" i="73"/>
  <c r="S30" i="73" s="1"/>
  <c r="V30" i="73"/>
  <c r="U30" i="73"/>
  <c r="T31" i="73"/>
  <c r="S31" i="73" s="1"/>
  <c r="V31" i="73"/>
  <c r="U31" i="73"/>
  <c r="T32" i="73"/>
  <c r="S32" i="73" s="1"/>
  <c r="V32" i="73"/>
  <c r="U32" i="73"/>
  <c r="T33" i="73"/>
  <c r="S33" i="73" s="1"/>
  <c r="V33" i="73"/>
  <c r="U33" i="73"/>
  <c r="T34" i="73"/>
  <c r="S34" i="73" s="1"/>
  <c r="V34" i="73"/>
  <c r="U34" i="73"/>
  <c r="T35" i="73"/>
  <c r="S35" i="73" s="1"/>
  <c r="V35" i="73"/>
  <c r="U35" i="73"/>
  <c r="T36" i="73"/>
  <c r="S36" i="73" s="1"/>
  <c r="V36" i="73"/>
  <c r="U36" i="73"/>
  <c r="T37" i="73"/>
  <c r="S37" i="73" s="1"/>
  <c r="V37" i="73"/>
  <c r="U37" i="73"/>
  <c r="T38" i="73"/>
  <c r="S38" i="73" s="1"/>
  <c r="V38" i="73"/>
  <c r="U38" i="73"/>
  <c r="T39" i="73"/>
  <c r="S39" i="73" s="1"/>
  <c r="V39" i="73"/>
  <c r="U39" i="73"/>
  <c r="T40" i="73"/>
  <c r="S40" i="73" s="1"/>
  <c r="V40" i="73"/>
  <c r="U40" i="73"/>
  <c r="T41" i="73"/>
  <c r="S41" i="73" s="1"/>
  <c r="V41" i="73"/>
  <c r="U41" i="73"/>
  <c r="T42" i="73"/>
  <c r="S42" i="73" s="1"/>
  <c r="V42" i="73"/>
  <c r="U42" i="73"/>
  <c r="T43" i="73"/>
  <c r="S43" i="73" s="1"/>
  <c r="V43" i="73"/>
  <c r="U43" i="73"/>
  <c r="T44" i="73"/>
  <c r="S44" i="73" s="1"/>
  <c r="V44" i="73"/>
  <c r="U44" i="73"/>
  <c r="T45" i="73"/>
  <c r="S45" i="73" s="1"/>
  <c r="V45" i="73"/>
  <c r="U45" i="73"/>
  <c r="T46" i="73"/>
  <c r="S46" i="73" s="1"/>
  <c r="V46" i="73"/>
  <c r="U46" i="73"/>
  <c r="T47" i="73"/>
  <c r="S47" i="73" s="1"/>
  <c r="V47" i="73"/>
  <c r="U47" i="73"/>
  <c r="T48" i="73"/>
  <c r="S48" i="73" s="1"/>
  <c r="V48" i="73"/>
  <c r="U48" i="73"/>
  <c r="T49" i="73"/>
  <c r="S49" i="73" s="1"/>
  <c r="V49" i="73"/>
  <c r="U49" i="73"/>
  <c r="T50" i="73"/>
  <c r="S50" i="73" s="1"/>
  <c r="V50" i="73"/>
  <c r="U50" i="73"/>
  <c r="T51" i="73"/>
  <c r="S51" i="73" s="1"/>
  <c r="V51" i="73"/>
  <c r="U51" i="73"/>
  <c r="T52" i="73"/>
  <c r="S52" i="73" s="1"/>
  <c r="V52" i="73"/>
  <c r="U52" i="73"/>
  <c r="T53" i="73"/>
  <c r="S53" i="73" s="1"/>
  <c r="V53" i="73"/>
  <c r="U53" i="73"/>
  <c r="T54" i="73"/>
  <c r="S54" i="73" s="1"/>
  <c r="V54" i="73"/>
  <c r="U54" i="73"/>
  <c r="T55" i="73"/>
  <c r="S55" i="73" s="1"/>
  <c r="V55" i="73"/>
  <c r="U55" i="73"/>
  <c r="T56" i="73"/>
  <c r="S56" i="73" s="1"/>
  <c r="V56" i="73"/>
  <c r="U56" i="73"/>
  <c r="T57" i="73"/>
  <c r="S57" i="73" s="1"/>
  <c r="V57" i="73"/>
  <c r="U57" i="73"/>
  <c r="T58" i="73"/>
  <c r="S58" i="73" s="1"/>
  <c r="V58" i="73"/>
  <c r="U58" i="73"/>
  <c r="T59" i="73"/>
  <c r="S59" i="73" s="1"/>
  <c r="V59" i="73"/>
  <c r="U59" i="73"/>
  <c r="T60" i="73"/>
  <c r="S60" i="73" s="1"/>
  <c r="V60" i="73"/>
  <c r="U60" i="73"/>
  <c r="T61" i="73"/>
  <c r="S61" i="73" s="1"/>
  <c r="V61" i="73"/>
  <c r="U61" i="73"/>
  <c r="T62" i="73"/>
  <c r="S62" i="73" s="1"/>
  <c r="V62" i="73"/>
  <c r="U62" i="73"/>
  <c r="T63" i="73"/>
  <c r="S63" i="73" s="1"/>
  <c r="V63" i="73"/>
  <c r="U63" i="73"/>
  <c r="T64" i="73"/>
  <c r="S64" i="73" s="1"/>
  <c r="V64" i="73"/>
  <c r="U64" i="73"/>
  <c r="T65" i="73"/>
  <c r="S65" i="73" s="1"/>
  <c r="V65" i="73"/>
  <c r="U65" i="73"/>
  <c r="T66" i="73"/>
  <c r="S66" i="73" s="1"/>
  <c r="V66" i="73"/>
  <c r="U66" i="73"/>
  <c r="T67" i="73"/>
  <c r="S67" i="73" s="1"/>
  <c r="V67" i="73"/>
  <c r="U67" i="73"/>
  <c r="T68" i="73"/>
  <c r="S68" i="73" s="1"/>
  <c r="V68" i="73"/>
  <c r="U68" i="73"/>
  <c r="T69" i="73"/>
  <c r="S69" i="73" s="1"/>
  <c r="V69" i="73"/>
  <c r="U69" i="73"/>
  <c r="T70" i="73"/>
  <c r="S70" i="73" s="1"/>
  <c r="V70" i="73"/>
  <c r="U70" i="73"/>
  <c r="T71" i="73"/>
  <c r="S71" i="73" s="1"/>
  <c r="V71" i="73"/>
  <c r="U71" i="73"/>
  <c r="T72" i="73"/>
  <c r="S72" i="73" s="1"/>
  <c r="V72" i="73"/>
  <c r="U72" i="73"/>
  <c r="T73" i="73"/>
  <c r="S73" i="73" s="1"/>
  <c r="V73" i="73"/>
  <c r="U73" i="73"/>
  <c r="T74" i="73"/>
  <c r="S74" i="73" s="1"/>
  <c r="V74" i="73"/>
  <c r="U74" i="73"/>
  <c r="T75" i="73"/>
  <c r="S75" i="73" s="1"/>
  <c r="V75" i="73"/>
  <c r="U75" i="73"/>
  <c r="T76" i="73"/>
  <c r="S76" i="73" s="1"/>
  <c r="V76" i="73"/>
  <c r="U76" i="73"/>
  <c r="T77" i="73"/>
  <c r="S77" i="73" s="1"/>
  <c r="V77" i="73"/>
  <c r="U77" i="73"/>
  <c r="T78" i="73"/>
  <c r="S78" i="73" s="1"/>
  <c r="V78" i="73"/>
  <c r="U78" i="73"/>
  <c r="T79" i="73"/>
  <c r="S79" i="73" s="1"/>
  <c r="V79" i="73"/>
  <c r="U79" i="73"/>
  <c r="T80" i="73"/>
  <c r="S80" i="73" s="1"/>
  <c r="V80" i="73"/>
  <c r="U80" i="73"/>
  <c r="U27" i="70"/>
  <c r="T48" i="70"/>
  <c r="S48" i="70" s="1"/>
  <c r="U21" i="70"/>
  <c r="V26" i="70"/>
  <c r="U33" i="70"/>
  <c r="U36" i="70"/>
  <c r="U39" i="70"/>
  <c r="U42" i="70"/>
  <c r="V25" i="70"/>
  <c r="T35" i="70"/>
  <c r="S35" i="70" s="1"/>
  <c r="T19" i="70"/>
  <c r="S19" i="70" s="1"/>
  <c r="T42" i="70"/>
  <c r="S42" i="70" s="1"/>
  <c r="T22" i="70"/>
  <c r="S22" i="70" s="1"/>
  <c r="T24" i="70"/>
  <c r="S24" i="70" s="1"/>
  <c r="T37" i="70"/>
  <c r="S37" i="70" s="1"/>
  <c r="T40" i="70"/>
  <c r="S40" i="70" s="1"/>
  <c r="T46" i="70"/>
  <c r="S46" i="70" s="1"/>
  <c r="V22" i="70"/>
  <c r="V31" i="70"/>
  <c r="V40" i="70"/>
  <c r="V46" i="70"/>
  <c r="T32" i="70"/>
  <c r="S32" i="70" s="1"/>
  <c r="T27" i="70"/>
  <c r="S27" i="70" s="1"/>
  <c r="R19" i="70"/>
  <c r="U19" i="70" s="1"/>
  <c r="H20" i="70"/>
  <c r="R22" i="70"/>
  <c r="U22" i="70" s="1"/>
  <c r="H23" i="70"/>
  <c r="R25" i="70"/>
  <c r="U25" i="70" s="1"/>
  <c r="H26" i="70"/>
  <c r="R28" i="70"/>
  <c r="U28" i="70" s="1"/>
  <c r="H29" i="70"/>
  <c r="V30" i="70"/>
  <c r="R31" i="70"/>
  <c r="T31" i="70" s="1"/>
  <c r="S31" i="70" s="1"/>
  <c r="H32" i="70"/>
  <c r="R34" i="70"/>
  <c r="V34" i="70" s="1"/>
  <c r="H35" i="70"/>
  <c r="V36" i="70"/>
  <c r="R37" i="70"/>
  <c r="V37" i="70" s="1"/>
  <c r="H38" i="70"/>
  <c r="R40" i="70"/>
  <c r="H41" i="70"/>
  <c r="V42" i="70"/>
  <c r="R43" i="70"/>
  <c r="V43" i="70" s="1"/>
  <c r="H44" i="70"/>
  <c r="R46" i="70"/>
  <c r="V48" i="70"/>
  <c r="K49" i="70"/>
  <c r="L18" i="70"/>
  <c r="G19" i="70"/>
  <c r="G49" i="70" s="1"/>
  <c r="G22" i="70"/>
  <c r="U23" i="70"/>
  <c r="G25" i="70"/>
  <c r="U26" i="70"/>
  <c r="G28" i="70"/>
  <c r="L30" i="70"/>
  <c r="T30" i="70" s="1"/>
  <c r="S30" i="70" s="1"/>
  <c r="G31" i="70"/>
  <c r="L33" i="70"/>
  <c r="T33" i="70" s="1"/>
  <c r="S33" i="70" s="1"/>
  <c r="G34" i="70"/>
  <c r="L36" i="70"/>
  <c r="T36" i="70" s="1"/>
  <c r="S36" i="70" s="1"/>
  <c r="G37" i="70"/>
  <c r="G40" i="70"/>
  <c r="U41" i="70"/>
  <c r="G43" i="70"/>
  <c r="U44" i="70"/>
  <c r="G46" i="70"/>
  <c r="U47" i="70"/>
  <c r="R18" i="70"/>
  <c r="H19" i="70"/>
  <c r="R21" i="70"/>
  <c r="V21" i="70" s="1"/>
  <c r="H22" i="70"/>
  <c r="R24" i="70"/>
  <c r="U24" i="70" s="1"/>
  <c r="H25" i="70"/>
  <c r="R27" i="70"/>
  <c r="V27" i="70" s="1"/>
  <c r="H28" i="70"/>
  <c r="R30" i="70"/>
  <c r="U30" i="70" s="1"/>
  <c r="H31" i="70"/>
  <c r="V32" i="70"/>
  <c r="R33" i="70"/>
  <c r="V33" i="70" s="1"/>
  <c r="H34" i="70"/>
  <c r="V35" i="70"/>
  <c r="R36" i="70"/>
  <c r="H37" i="70"/>
  <c r="R39" i="70"/>
  <c r="V39" i="70" s="1"/>
  <c r="H40" i="70"/>
  <c r="V41" i="70"/>
  <c r="R42" i="70"/>
  <c r="H43" i="70"/>
  <c r="V44" i="70"/>
  <c r="R45" i="70"/>
  <c r="T45" i="70" s="1"/>
  <c r="S45" i="70" s="1"/>
  <c r="H46" i="70"/>
  <c r="V47" i="70"/>
  <c r="R48" i="70"/>
  <c r="U48" i="70" s="1"/>
  <c r="G33" i="70"/>
  <c r="U34" i="70"/>
  <c r="G36" i="70"/>
  <c r="U37" i="70"/>
  <c r="G39" i="70"/>
  <c r="U40" i="70"/>
  <c r="G42" i="70"/>
  <c r="G45" i="70"/>
  <c r="U46" i="70"/>
  <c r="G48" i="70"/>
  <c r="H18" i="70"/>
  <c r="R20" i="70"/>
  <c r="T20" i="70" s="1"/>
  <c r="S20" i="70" s="1"/>
  <c r="H21" i="70"/>
  <c r="R23" i="70"/>
  <c r="T23" i="70" s="1"/>
  <c r="S23" i="70" s="1"/>
  <c r="H24" i="70"/>
  <c r="R26" i="70"/>
  <c r="T26" i="70" s="1"/>
  <c r="S26" i="70" s="1"/>
  <c r="H27" i="70"/>
  <c r="R29" i="70"/>
  <c r="T29" i="70" s="1"/>
  <c r="S29" i="70" s="1"/>
  <c r="H30" i="70"/>
  <c r="R32" i="70"/>
  <c r="U32" i="70" s="1"/>
  <c r="H33" i="70"/>
  <c r="R35" i="70"/>
  <c r="U35" i="70" s="1"/>
  <c r="H36" i="70"/>
  <c r="R38" i="70"/>
  <c r="U38" i="70" s="1"/>
  <c r="H39" i="70"/>
  <c r="R41" i="70"/>
  <c r="T41" i="70" s="1"/>
  <c r="S41" i="70" s="1"/>
  <c r="H42" i="70"/>
  <c r="R44" i="70"/>
  <c r="T44" i="70" s="1"/>
  <c r="S44" i="70" s="1"/>
  <c r="H45" i="70"/>
  <c r="G20" i="70"/>
  <c r="G23" i="70"/>
  <c r="G26" i="70"/>
  <c r="G29" i="70"/>
  <c r="G32" i="70"/>
  <c r="G35" i="70"/>
  <c r="G38" i="70"/>
  <c r="G41" i="70"/>
  <c r="G44" i="70"/>
  <c r="V25" i="69"/>
  <c r="L34" i="68"/>
  <c r="L29" i="53"/>
  <c r="L32" i="65"/>
  <c r="V26" i="64"/>
  <c r="L31" i="63"/>
  <c r="L18" i="63"/>
  <c r="L30" i="62"/>
  <c r="L32" i="54"/>
  <c r="T32" i="54" s="1"/>
  <c r="S32" i="54" s="1"/>
  <c r="V25" i="60"/>
  <c r="L34" i="60"/>
  <c r="L26" i="60"/>
  <c r="L29" i="60"/>
  <c r="T29" i="60" s="1"/>
  <c r="S29" i="60" s="1"/>
  <c r="L38" i="60"/>
  <c r="T38" i="60" s="1"/>
  <c r="S38" i="60" s="1"/>
  <c r="L27" i="59"/>
  <c r="L38" i="59"/>
  <c r="L22" i="59"/>
  <c r="L30" i="59"/>
  <c r="L26" i="58"/>
  <c r="T26" i="58" s="1"/>
  <c r="S26" i="58" s="1"/>
  <c r="L38" i="58"/>
  <c r="L38" i="56"/>
  <c r="L35" i="55"/>
  <c r="L38" i="55"/>
  <c r="L26" i="69"/>
  <c r="T26" i="69" s="1"/>
  <c r="S26" i="69" s="1"/>
  <c r="L32" i="69"/>
  <c r="L24" i="69"/>
  <c r="V33" i="69"/>
  <c r="L34" i="69"/>
  <c r="L18" i="68"/>
  <c r="L32" i="68"/>
  <c r="L26" i="68"/>
  <c r="T26" i="68" s="1"/>
  <c r="S26" i="68" s="1"/>
  <c r="L35" i="53"/>
  <c r="L32" i="67"/>
  <c r="T32" i="67" s="1"/>
  <c r="S32" i="67" s="1"/>
  <c r="L26" i="66"/>
  <c r="L28" i="66"/>
  <c r="T28" i="66" s="1"/>
  <c r="S28" i="66" s="1"/>
  <c r="V29" i="65"/>
  <c r="L24" i="65"/>
  <c r="L22" i="65"/>
  <c r="L25" i="64"/>
  <c r="T25" i="64" s="1"/>
  <c r="S25" i="64" s="1"/>
  <c r="L22" i="64"/>
  <c r="T22" i="64" s="1"/>
  <c r="S22" i="64" s="1"/>
  <c r="L28" i="64"/>
  <c r="T28" i="64" s="1"/>
  <c r="S28" i="64" s="1"/>
  <c r="V24" i="64"/>
  <c r="L34" i="63"/>
  <c r="L28" i="61"/>
  <c r="L20" i="54"/>
  <c r="T20" i="54" s="1"/>
  <c r="S20" i="54" s="1"/>
  <c r="L39" i="60"/>
  <c r="V33" i="60"/>
  <c r="L31" i="60"/>
  <c r="L23" i="60"/>
  <c r="L31" i="58"/>
  <c r="L30" i="57"/>
  <c r="L24" i="57"/>
  <c r="L36" i="56"/>
  <c r="L30" i="56"/>
  <c r="L33" i="69"/>
  <c r="T33" i="69" s="1"/>
  <c r="S33" i="69" s="1"/>
  <c r="L30" i="69"/>
  <c r="L29" i="69"/>
  <c r="T29" i="69" s="1"/>
  <c r="S29" i="69" s="1"/>
  <c r="V29" i="69"/>
  <c r="L28" i="69"/>
  <c r="L25" i="69"/>
  <c r="T25" i="69" s="1"/>
  <c r="S25" i="69" s="1"/>
  <c r="L22" i="69"/>
  <c r="V21" i="69"/>
  <c r="L21" i="69"/>
  <c r="T21" i="69" s="1"/>
  <c r="S21" i="69" s="1"/>
  <c r="L20" i="69"/>
  <c r="L18" i="69"/>
  <c r="L30" i="68"/>
  <c r="L28" i="68"/>
  <c r="L24" i="68"/>
  <c r="L22" i="68"/>
  <c r="L20" i="68"/>
  <c r="T20" i="68" s="1"/>
  <c r="S20" i="68" s="1"/>
  <c r="L37" i="53"/>
  <c r="T37" i="53" s="1"/>
  <c r="S37" i="53" s="1"/>
  <c r="L34" i="53"/>
  <c r="L33" i="53"/>
  <c r="L30" i="53"/>
  <c r="L26" i="53"/>
  <c r="L25" i="53"/>
  <c r="L22" i="53"/>
  <c r="T22" i="53" s="1"/>
  <c r="S22" i="53" s="1"/>
  <c r="L21" i="53"/>
  <c r="K49" i="53"/>
  <c r="L18" i="53"/>
  <c r="L34" i="67"/>
  <c r="U32" i="67"/>
  <c r="L31" i="67"/>
  <c r="L30" i="67"/>
  <c r="L28" i="67"/>
  <c r="T28" i="67" s="1"/>
  <c r="S28" i="67" s="1"/>
  <c r="U28" i="67"/>
  <c r="L26" i="67"/>
  <c r="U24" i="67"/>
  <c r="L24" i="67"/>
  <c r="T24" i="67" s="1"/>
  <c r="S24" i="67" s="1"/>
  <c r="L23" i="67"/>
  <c r="L22" i="67"/>
  <c r="U20" i="67"/>
  <c r="L19" i="67"/>
  <c r="L18" i="67"/>
  <c r="L32" i="66"/>
  <c r="T32" i="66" s="1"/>
  <c r="S32" i="66" s="1"/>
  <c r="L31" i="66"/>
  <c r="L30" i="66"/>
  <c r="L27" i="66"/>
  <c r="L24" i="66"/>
  <c r="T24" i="66" s="1"/>
  <c r="S24" i="66" s="1"/>
  <c r="L23" i="66"/>
  <c r="L22" i="66"/>
  <c r="L19" i="66"/>
  <c r="L18" i="66"/>
  <c r="L34" i="66"/>
  <c r="L33" i="65"/>
  <c r="T33" i="65" s="1"/>
  <c r="S33" i="65" s="1"/>
  <c r="V33" i="65"/>
  <c r="L30" i="65"/>
  <c r="T30" i="65" s="1"/>
  <c r="S30" i="65" s="1"/>
  <c r="L29" i="65"/>
  <c r="T29" i="65" s="1"/>
  <c r="S29" i="65" s="1"/>
  <c r="L28" i="65"/>
  <c r="L26" i="65"/>
  <c r="L25" i="65"/>
  <c r="T25" i="65" s="1"/>
  <c r="S25" i="65" s="1"/>
  <c r="V25" i="65"/>
  <c r="L21" i="65"/>
  <c r="T21" i="65" s="1"/>
  <c r="S21" i="65" s="1"/>
  <c r="L20" i="65"/>
  <c r="L18" i="65"/>
  <c r="U34" i="64"/>
  <c r="L34" i="65"/>
  <c r="L34" i="64"/>
  <c r="T34" i="64" s="1"/>
  <c r="S34" i="64" s="1"/>
  <c r="V34" i="64"/>
  <c r="L33" i="64"/>
  <c r="L32" i="64"/>
  <c r="T32" i="64" s="1"/>
  <c r="S32" i="64" s="1"/>
  <c r="V32" i="64"/>
  <c r="L31" i="64"/>
  <c r="L30" i="64"/>
  <c r="T30" i="64" s="1"/>
  <c r="S30" i="64" s="1"/>
  <c r="V30" i="64"/>
  <c r="L29" i="64"/>
  <c r="V28" i="64"/>
  <c r="L26" i="64"/>
  <c r="T26" i="64" s="1"/>
  <c r="S26" i="64" s="1"/>
  <c r="L24" i="64"/>
  <c r="T24" i="64" s="1"/>
  <c r="S24" i="64" s="1"/>
  <c r="L23" i="64"/>
  <c r="V22" i="64"/>
  <c r="L21" i="64"/>
  <c r="T21" i="64" s="1"/>
  <c r="S21" i="64" s="1"/>
  <c r="V20" i="64"/>
  <c r="L20" i="64"/>
  <c r="T20" i="64" s="1"/>
  <c r="S20" i="64" s="1"/>
  <c r="L19" i="64"/>
  <c r="L18" i="64"/>
  <c r="V18" i="64"/>
  <c r="L30" i="63"/>
  <c r="L27" i="63"/>
  <c r="L26" i="63"/>
  <c r="L23" i="63"/>
  <c r="L19" i="63"/>
  <c r="L34" i="62"/>
  <c r="L32" i="62"/>
  <c r="L28" i="62"/>
  <c r="L26" i="62"/>
  <c r="T26" i="62" s="1"/>
  <c r="S26" i="62" s="1"/>
  <c r="L24" i="62"/>
  <c r="L22" i="62"/>
  <c r="L21" i="62"/>
  <c r="T21" i="62" s="1"/>
  <c r="S21" i="62" s="1"/>
  <c r="V21" i="62"/>
  <c r="L20" i="62"/>
  <c r="T20" i="62" s="1"/>
  <c r="S20" i="62" s="1"/>
  <c r="L18" i="62"/>
  <c r="L34" i="61"/>
  <c r="T34" i="61" s="1"/>
  <c r="S34" i="61" s="1"/>
  <c r="L32" i="61"/>
  <c r="L30" i="61"/>
  <c r="L26" i="61"/>
  <c r="L24" i="61"/>
  <c r="L20" i="61"/>
  <c r="L18" i="61"/>
  <c r="T18" i="61" s="1"/>
  <c r="L35" i="54"/>
  <c r="L34" i="54"/>
  <c r="U32" i="54"/>
  <c r="L31" i="54"/>
  <c r="L30" i="54"/>
  <c r="U28" i="54"/>
  <c r="L28" i="54"/>
  <c r="T28" i="54" s="1"/>
  <c r="S28" i="54" s="1"/>
  <c r="L27" i="54"/>
  <c r="L26" i="54"/>
  <c r="L24" i="54"/>
  <c r="T24" i="54" s="1"/>
  <c r="S24" i="54" s="1"/>
  <c r="U24" i="54"/>
  <c r="L23" i="54"/>
  <c r="U23" i="54"/>
  <c r="L22" i="54"/>
  <c r="U20" i="54"/>
  <c r="L19" i="54"/>
  <c r="L18" i="54"/>
  <c r="L37" i="60"/>
  <c r="T37" i="60" s="1"/>
  <c r="S37" i="60" s="1"/>
  <c r="V37" i="60"/>
  <c r="L35" i="60"/>
  <c r="L33" i="60"/>
  <c r="T33" i="60" s="1"/>
  <c r="S33" i="60" s="1"/>
  <c r="L30" i="60"/>
  <c r="V29" i="60"/>
  <c r="L27" i="60"/>
  <c r="L25" i="60"/>
  <c r="T25" i="60" s="1"/>
  <c r="S25" i="60" s="1"/>
  <c r="L22" i="60"/>
  <c r="T22" i="60" s="1"/>
  <c r="S22" i="60" s="1"/>
  <c r="L21" i="60"/>
  <c r="T21" i="60" s="1"/>
  <c r="S21" i="60" s="1"/>
  <c r="V21" i="60"/>
  <c r="L19" i="60"/>
  <c r="L39" i="59"/>
  <c r="T39" i="59" s="1"/>
  <c r="S39" i="59" s="1"/>
  <c r="L35" i="59"/>
  <c r="T35" i="59" s="1"/>
  <c r="S35" i="59" s="1"/>
  <c r="L34" i="59"/>
  <c r="L31" i="59"/>
  <c r="L23" i="59"/>
  <c r="L19" i="59"/>
  <c r="L18" i="59"/>
  <c r="L39" i="58"/>
  <c r="L35" i="58"/>
  <c r="L34" i="58"/>
  <c r="L30" i="58"/>
  <c r="T30" i="58" s="1"/>
  <c r="S30" i="58" s="1"/>
  <c r="L27" i="58"/>
  <c r="L23" i="58"/>
  <c r="L19" i="58"/>
  <c r="L18" i="58"/>
  <c r="L36" i="57"/>
  <c r="L34" i="57"/>
  <c r="L32" i="57"/>
  <c r="L28" i="57"/>
  <c r="L26" i="57"/>
  <c r="L22" i="57"/>
  <c r="L20" i="57"/>
  <c r="L18" i="57"/>
  <c r="L34" i="56"/>
  <c r="L32" i="56"/>
  <c r="L31" i="56"/>
  <c r="L28" i="56"/>
  <c r="L26" i="56"/>
  <c r="L24" i="56"/>
  <c r="U23" i="56"/>
  <c r="L22" i="56"/>
  <c r="L18" i="56"/>
  <c r="T18" i="56" s="1"/>
  <c r="L39" i="55"/>
  <c r="L34" i="55"/>
  <c r="L31" i="55"/>
  <c r="L30" i="55"/>
  <c r="L27" i="55"/>
  <c r="L23" i="55"/>
  <c r="L22" i="55"/>
  <c r="L19" i="55"/>
  <c r="T19" i="55" s="1"/>
  <c r="S19" i="55" s="1"/>
  <c r="L18" i="55"/>
  <c r="T42" i="69"/>
  <c r="S42" i="69" s="1"/>
  <c r="T31" i="69"/>
  <c r="S31" i="69" s="1"/>
  <c r="U47" i="69"/>
  <c r="V47" i="69"/>
  <c r="T23" i="69"/>
  <c r="S23" i="69" s="1"/>
  <c r="T24" i="69"/>
  <c r="S24" i="69" s="1"/>
  <c r="T39" i="69"/>
  <c r="S39" i="69" s="1"/>
  <c r="U34" i="69"/>
  <c r="T35" i="69"/>
  <c r="S35" i="69" s="1"/>
  <c r="U46" i="69"/>
  <c r="T19" i="69"/>
  <c r="S19" i="69" s="1"/>
  <c r="T28" i="69"/>
  <c r="S28" i="69" s="1"/>
  <c r="J49" i="69"/>
  <c r="H18" i="69"/>
  <c r="R20" i="69"/>
  <c r="H22" i="69"/>
  <c r="V22" i="69"/>
  <c r="R24" i="69"/>
  <c r="V24" i="69" s="1"/>
  <c r="H26" i="69"/>
  <c r="R28" i="69"/>
  <c r="V28" i="69" s="1"/>
  <c r="H30" i="69"/>
  <c r="V30" i="69"/>
  <c r="R32" i="69"/>
  <c r="T32" i="69" s="1"/>
  <c r="S32" i="69" s="1"/>
  <c r="H34" i="69"/>
  <c r="R36" i="69"/>
  <c r="T36" i="69" s="1"/>
  <c r="S36" i="69" s="1"/>
  <c r="H38" i="69"/>
  <c r="R40" i="69"/>
  <c r="U40" i="69" s="1"/>
  <c r="H42" i="69"/>
  <c r="V42" i="69"/>
  <c r="R44" i="69"/>
  <c r="T44" i="69" s="1"/>
  <c r="S44" i="69" s="1"/>
  <c r="H46" i="69"/>
  <c r="V46" i="69"/>
  <c r="R48" i="69"/>
  <c r="T48" i="69" s="1"/>
  <c r="S48" i="69" s="1"/>
  <c r="K49" i="69"/>
  <c r="G20" i="69"/>
  <c r="G49" i="69" s="1"/>
  <c r="G24" i="69"/>
  <c r="U24" i="69"/>
  <c r="G28" i="69"/>
  <c r="U28" i="69"/>
  <c r="G32" i="69"/>
  <c r="G36" i="69"/>
  <c r="U36" i="69"/>
  <c r="G40" i="69"/>
  <c r="G44" i="69"/>
  <c r="U44" i="69"/>
  <c r="G48" i="69"/>
  <c r="U48" i="69"/>
  <c r="R18" i="69"/>
  <c r="T18" i="69" s="1"/>
  <c r="H20" i="69"/>
  <c r="R22" i="69"/>
  <c r="H24" i="69"/>
  <c r="R26" i="69"/>
  <c r="V26" i="69" s="1"/>
  <c r="H28" i="69"/>
  <c r="R30" i="69"/>
  <c r="U30" i="69" s="1"/>
  <c r="H32" i="69"/>
  <c r="R34" i="69"/>
  <c r="V34" i="69" s="1"/>
  <c r="H36" i="69"/>
  <c r="R38" i="69"/>
  <c r="T38" i="69" s="1"/>
  <c r="S38" i="69" s="1"/>
  <c r="H40" i="69"/>
  <c r="R42" i="69"/>
  <c r="U42" i="69" s="1"/>
  <c r="H44" i="69"/>
  <c r="R46" i="69"/>
  <c r="T46" i="69" s="1"/>
  <c r="S46" i="69" s="1"/>
  <c r="H48" i="69"/>
  <c r="G29" i="69"/>
  <c r="G33" i="69"/>
  <c r="G37" i="69"/>
  <c r="G41" i="69"/>
  <c r="G45" i="69"/>
  <c r="R19" i="69"/>
  <c r="R23" i="69"/>
  <c r="H25" i="69"/>
  <c r="R27" i="69"/>
  <c r="H29" i="69"/>
  <c r="R31" i="69"/>
  <c r="H33" i="69"/>
  <c r="R35" i="69"/>
  <c r="H37" i="69"/>
  <c r="R39" i="69"/>
  <c r="H41" i="69"/>
  <c r="R43" i="69"/>
  <c r="G26" i="69"/>
  <c r="G30" i="69"/>
  <c r="G34" i="69"/>
  <c r="G38" i="69"/>
  <c r="G42" i="69"/>
  <c r="U30" i="68"/>
  <c r="T36" i="68"/>
  <c r="S36" i="68" s="1"/>
  <c r="V47" i="68"/>
  <c r="V36" i="68"/>
  <c r="T47" i="68"/>
  <c r="S47" i="68" s="1"/>
  <c r="U42" i="68"/>
  <c r="U26" i="68"/>
  <c r="T45" i="68"/>
  <c r="S45" i="68" s="1"/>
  <c r="T40" i="68"/>
  <c r="S40" i="68" s="1"/>
  <c r="T46" i="68"/>
  <c r="S46" i="68" s="1"/>
  <c r="V24" i="68"/>
  <c r="T29" i="68"/>
  <c r="S29" i="68" s="1"/>
  <c r="V43" i="68"/>
  <c r="U46" i="68"/>
  <c r="T22" i="68"/>
  <c r="S22" i="68" s="1"/>
  <c r="V27" i="68"/>
  <c r="T30" i="68"/>
  <c r="S30" i="68" s="1"/>
  <c r="H18" i="68"/>
  <c r="R20" i="68"/>
  <c r="V20" i="68" s="1"/>
  <c r="H22" i="68"/>
  <c r="V22" i="68"/>
  <c r="R24" i="68"/>
  <c r="H26" i="68"/>
  <c r="R28" i="68"/>
  <c r="H30" i="68"/>
  <c r="V30" i="68"/>
  <c r="R32" i="68"/>
  <c r="V32" i="68" s="1"/>
  <c r="H34" i="68"/>
  <c r="R36" i="68"/>
  <c r="H38" i="68"/>
  <c r="V38" i="68"/>
  <c r="R40" i="68"/>
  <c r="V40" i="68" s="1"/>
  <c r="H42" i="68"/>
  <c r="V42" i="68"/>
  <c r="R44" i="68"/>
  <c r="V44" i="68" s="1"/>
  <c r="H46" i="68"/>
  <c r="R48" i="68"/>
  <c r="T48" i="68" s="1"/>
  <c r="S48" i="68" s="1"/>
  <c r="J49" i="68"/>
  <c r="H19" i="68"/>
  <c r="R21" i="68"/>
  <c r="H23" i="68"/>
  <c r="R25" i="68"/>
  <c r="T25" i="68" s="1"/>
  <c r="S25" i="68" s="1"/>
  <c r="H27" i="68"/>
  <c r="R29" i="68"/>
  <c r="H31" i="68"/>
  <c r="R33" i="68"/>
  <c r="H35" i="68"/>
  <c r="R37" i="68"/>
  <c r="T37" i="68" s="1"/>
  <c r="S37" i="68" s="1"/>
  <c r="H39" i="68"/>
  <c r="R41" i="68"/>
  <c r="H43" i="68"/>
  <c r="R45" i="68"/>
  <c r="H47" i="68"/>
  <c r="K49" i="68"/>
  <c r="G20" i="68"/>
  <c r="U20" i="68"/>
  <c r="G24" i="68"/>
  <c r="U24" i="68"/>
  <c r="G28" i="68"/>
  <c r="G32" i="68"/>
  <c r="U32" i="68"/>
  <c r="G36" i="68"/>
  <c r="U36" i="68"/>
  <c r="G40" i="68"/>
  <c r="U40" i="68"/>
  <c r="G44" i="68"/>
  <c r="G48" i="68"/>
  <c r="U48" i="68"/>
  <c r="R18" i="68"/>
  <c r="T18" i="68" s="1"/>
  <c r="H20" i="68"/>
  <c r="R22" i="68"/>
  <c r="U22" i="68" s="1"/>
  <c r="H24" i="68"/>
  <c r="R26" i="68"/>
  <c r="V26" i="68" s="1"/>
  <c r="H28" i="68"/>
  <c r="R30" i="68"/>
  <c r="H32" i="68"/>
  <c r="R34" i="68"/>
  <c r="T34" i="68" s="1"/>
  <c r="S34" i="68" s="1"/>
  <c r="H36" i="68"/>
  <c r="R38" i="68"/>
  <c r="U38" i="68" s="1"/>
  <c r="H40" i="68"/>
  <c r="R42" i="68"/>
  <c r="T42" i="68" s="1"/>
  <c r="S42" i="68" s="1"/>
  <c r="H44" i="68"/>
  <c r="R46" i="68"/>
  <c r="V46" i="68" s="1"/>
  <c r="H48" i="68"/>
  <c r="G41" i="68"/>
  <c r="G45" i="68"/>
  <c r="R19" i="68"/>
  <c r="H21" i="68"/>
  <c r="R23" i="68"/>
  <c r="U23" i="68" s="1"/>
  <c r="H25" i="68"/>
  <c r="R27" i="68"/>
  <c r="U27" i="68" s="1"/>
  <c r="H29" i="68"/>
  <c r="R31" i="68"/>
  <c r="U31" i="68" s="1"/>
  <c r="H33" i="68"/>
  <c r="R35" i="68"/>
  <c r="U35" i="68" s="1"/>
  <c r="H37" i="68"/>
  <c r="R39" i="68"/>
  <c r="U39" i="68" s="1"/>
  <c r="H41" i="68"/>
  <c r="R43" i="68"/>
  <c r="U43" i="68" s="1"/>
  <c r="G18" i="68"/>
  <c r="G49" i="68" s="1"/>
  <c r="G22" i="68"/>
  <c r="G26" i="68"/>
  <c r="G30" i="68"/>
  <c r="G34" i="68"/>
  <c r="G38" i="68"/>
  <c r="G42" i="68"/>
  <c r="V47" i="67"/>
  <c r="U47" i="67"/>
  <c r="T40" i="67"/>
  <c r="S40" i="67" s="1"/>
  <c r="T47" i="67"/>
  <c r="S47" i="67" s="1"/>
  <c r="T20" i="67"/>
  <c r="S20" i="67" s="1"/>
  <c r="U22" i="67"/>
  <c r="V20" i="67"/>
  <c r="U29" i="67"/>
  <c r="V29" i="67"/>
  <c r="L29" i="67"/>
  <c r="T29" i="67" s="1"/>
  <c r="S29" i="67" s="1"/>
  <c r="V25" i="67"/>
  <c r="U25" i="67"/>
  <c r="L25" i="67"/>
  <c r="T25" i="67" s="1"/>
  <c r="S25" i="67" s="1"/>
  <c r="U46" i="67"/>
  <c r="U21" i="67"/>
  <c r="V21" i="67"/>
  <c r="L21" i="67"/>
  <c r="T21" i="67" s="1"/>
  <c r="S21" i="67" s="1"/>
  <c r="J49" i="67"/>
  <c r="K49" i="67"/>
  <c r="G20" i="67"/>
  <c r="G24" i="67"/>
  <c r="G28" i="67"/>
  <c r="G32" i="67"/>
  <c r="G36" i="67"/>
  <c r="G40" i="67"/>
  <c r="G44" i="67"/>
  <c r="G48" i="67"/>
  <c r="R18" i="67"/>
  <c r="T18" i="67" s="1"/>
  <c r="H20" i="67"/>
  <c r="H49" i="67" s="1"/>
  <c r="P2" i="67" s="1"/>
  <c r="R22" i="67"/>
  <c r="V22" i="67" s="1"/>
  <c r="H24" i="67"/>
  <c r="R26" i="67"/>
  <c r="V26" i="67" s="1"/>
  <c r="H28" i="67"/>
  <c r="R30" i="67"/>
  <c r="V30" i="67" s="1"/>
  <c r="H32" i="67"/>
  <c r="R34" i="67"/>
  <c r="V34" i="67" s="1"/>
  <c r="H36" i="67"/>
  <c r="R38" i="67"/>
  <c r="V38" i="67" s="1"/>
  <c r="H40" i="67"/>
  <c r="R42" i="67"/>
  <c r="V42" i="67" s="1"/>
  <c r="H44" i="67"/>
  <c r="R46" i="67"/>
  <c r="V46" i="67" s="1"/>
  <c r="H48" i="67"/>
  <c r="G33" i="67"/>
  <c r="U37" i="67"/>
  <c r="U41" i="67"/>
  <c r="U45" i="67"/>
  <c r="L45" i="67"/>
  <c r="T45" i="67" s="1"/>
  <c r="S45" i="67" s="1"/>
  <c r="G21" i="67"/>
  <c r="G25" i="67"/>
  <c r="G37" i="67"/>
  <c r="R19" i="67"/>
  <c r="H21" i="67"/>
  <c r="R23" i="67"/>
  <c r="H25" i="67"/>
  <c r="R27" i="67"/>
  <c r="H29" i="67"/>
  <c r="R31" i="67"/>
  <c r="H33" i="67"/>
  <c r="V33" i="67"/>
  <c r="R35" i="67"/>
  <c r="H37" i="67"/>
  <c r="V37" i="67"/>
  <c r="R39" i="67"/>
  <c r="H41" i="67"/>
  <c r="V41" i="67"/>
  <c r="R43" i="67"/>
  <c r="L33" i="67"/>
  <c r="T33" i="67" s="1"/>
  <c r="S33" i="67" s="1"/>
  <c r="G29" i="67"/>
  <c r="G41" i="67"/>
  <c r="G45" i="67"/>
  <c r="G18" i="67"/>
  <c r="G22" i="67"/>
  <c r="G26" i="67"/>
  <c r="G30" i="67"/>
  <c r="G34" i="67"/>
  <c r="G38" i="67"/>
  <c r="G42" i="67"/>
  <c r="V21" i="66"/>
  <c r="V40" i="66"/>
  <c r="T21" i="66"/>
  <c r="S21" i="66" s="1"/>
  <c r="V47" i="66"/>
  <c r="T27" i="66"/>
  <c r="S27" i="66" s="1"/>
  <c r="T22" i="66"/>
  <c r="S22" i="66" s="1"/>
  <c r="V27" i="66"/>
  <c r="V25" i="66"/>
  <c r="U30" i="66"/>
  <c r="T25" i="66"/>
  <c r="S25" i="66" s="1"/>
  <c r="T33" i="66"/>
  <c r="S33" i="66" s="1"/>
  <c r="T40" i="66"/>
  <c r="S40" i="66" s="1"/>
  <c r="T43" i="66"/>
  <c r="S43" i="66" s="1"/>
  <c r="U46" i="66"/>
  <c r="R36" i="66"/>
  <c r="V36" i="66" s="1"/>
  <c r="H38" i="66"/>
  <c r="R40" i="66"/>
  <c r="H42" i="66"/>
  <c r="R44" i="66"/>
  <c r="T44" i="66" s="1"/>
  <c r="S44" i="66" s="1"/>
  <c r="H46" i="66"/>
  <c r="R48" i="66"/>
  <c r="T48" i="66" s="1"/>
  <c r="S48" i="66" s="1"/>
  <c r="J49" i="66"/>
  <c r="H19" i="66"/>
  <c r="H49" i="66" s="1"/>
  <c r="P2" i="66" s="1"/>
  <c r="R21" i="66"/>
  <c r="H23" i="66"/>
  <c r="R25" i="66"/>
  <c r="H27" i="66"/>
  <c r="R29" i="66"/>
  <c r="T29" i="66" s="1"/>
  <c r="S29" i="66" s="1"/>
  <c r="H31" i="66"/>
  <c r="R33" i="66"/>
  <c r="V33" i="66" s="1"/>
  <c r="H35" i="66"/>
  <c r="R37" i="66"/>
  <c r="V37" i="66" s="1"/>
  <c r="H39" i="66"/>
  <c r="R41" i="66"/>
  <c r="V41" i="66" s="1"/>
  <c r="H43" i="66"/>
  <c r="R45" i="66"/>
  <c r="V45" i="66" s="1"/>
  <c r="H47" i="66"/>
  <c r="K49" i="66"/>
  <c r="G20" i="66"/>
  <c r="U20" i="66"/>
  <c r="G24" i="66"/>
  <c r="U24" i="66"/>
  <c r="G28" i="66"/>
  <c r="U28" i="66"/>
  <c r="G32" i="66"/>
  <c r="U32" i="66"/>
  <c r="G36" i="66"/>
  <c r="G40" i="66"/>
  <c r="U40" i="66"/>
  <c r="G44" i="66"/>
  <c r="U44" i="66"/>
  <c r="G48" i="66"/>
  <c r="U48" i="66"/>
  <c r="R18" i="66"/>
  <c r="H20" i="66"/>
  <c r="R22" i="66"/>
  <c r="V22" i="66" s="1"/>
  <c r="H24" i="66"/>
  <c r="R26" i="66"/>
  <c r="V26" i="66" s="1"/>
  <c r="H28" i="66"/>
  <c r="R30" i="66"/>
  <c r="V30" i="66" s="1"/>
  <c r="H32" i="66"/>
  <c r="R34" i="66"/>
  <c r="V34" i="66" s="1"/>
  <c r="H36" i="66"/>
  <c r="R38" i="66"/>
  <c r="V38" i="66" s="1"/>
  <c r="H40" i="66"/>
  <c r="R42" i="66"/>
  <c r="V42" i="66" s="1"/>
  <c r="H44" i="66"/>
  <c r="V44" i="66"/>
  <c r="R46" i="66"/>
  <c r="V46" i="66" s="1"/>
  <c r="H48" i="66"/>
  <c r="G21" i="66"/>
  <c r="U21" i="66"/>
  <c r="G25" i="66"/>
  <c r="U25" i="66"/>
  <c r="G29" i="66"/>
  <c r="U29" i="66"/>
  <c r="G33" i="66"/>
  <c r="G37" i="66"/>
  <c r="U37" i="66"/>
  <c r="G41" i="66"/>
  <c r="U41" i="66"/>
  <c r="G45" i="66"/>
  <c r="U45" i="66"/>
  <c r="R19" i="66"/>
  <c r="T19" i="66" s="1"/>
  <c r="S19" i="66" s="1"/>
  <c r="H21" i="66"/>
  <c r="R23" i="66"/>
  <c r="T23" i="66" s="1"/>
  <c r="S23" i="66" s="1"/>
  <c r="H25" i="66"/>
  <c r="R27" i="66"/>
  <c r="U27" i="66" s="1"/>
  <c r="H29" i="66"/>
  <c r="R31" i="66"/>
  <c r="R35" i="66"/>
  <c r="H37" i="66"/>
  <c r="R39" i="66"/>
  <c r="T39" i="66" s="1"/>
  <c r="S39" i="66" s="1"/>
  <c r="H41" i="66"/>
  <c r="R43" i="66"/>
  <c r="G18" i="66"/>
  <c r="G22" i="66"/>
  <c r="G26" i="66"/>
  <c r="G30" i="66"/>
  <c r="G34" i="66"/>
  <c r="G38" i="66"/>
  <c r="G42" i="66"/>
  <c r="V36" i="65"/>
  <c r="T42" i="65"/>
  <c r="S42" i="65" s="1"/>
  <c r="U18" i="65"/>
  <c r="T47" i="65"/>
  <c r="S47" i="65" s="1"/>
  <c r="T44" i="65"/>
  <c r="S44" i="65" s="1"/>
  <c r="T40" i="65"/>
  <c r="S40" i="65" s="1"/>
  <c r="V48" i="65"/>
  <c r="T27" i="65"/>
  <c r="S27" i="65" s="1"/>
  <c r="U30" i="65"/>
  <c r="U47" i="65"/>
  <c r="V47" i="65"/>
  <c r="J49" i="65"/>
  <c r="H18" i="65"/>
  <c r="R20" i="65"/>
  <c r="U20" i="65" s="1"/>
  <c r="H22" i="65"/>
  <c r="R24" i="65"/>
  <c r="V24" i="65" s="1"/>
  <c r="H26" i="65"/>
  <c r="R28" i="65"/>
  <c r="H30" i="65"/>
  <c r="V30" i="65"/>
  <c r="R32" i="65"/>
  <c r="T32" i="65" s="1"/>
  <c r="S32" i="65" s="1"/>
  <c r="H34" i="65"/>
  <c r="V34" i="65"/>
  <c r="R36" i="65"/>
  <c r="T36" i="65" s="1"/>
  <c r="S36" i="65" s="1"/>
  <c r="H38" i="65"/>
  <c r="R40" i="65"/>
  <c r="H42" i="65"/>
  <c r="V42" i="65"/>
  <c r="R44" i="65"/>
  <c r="U44" i="65" s="1"/>
  <c r="H46" i="65"/>
  <c r="R48" i="65"/>
  <c r="T48" i="65" s="1"/>
  <c r="S48" i="65" s="1"/>
  <c r="K49" i="65"/>
  <c r="G20" i="65"/>
  <c r="G24" i="65"/>
  <c r="G28" i="65"/>
  <c r="G32" i="65"/>
  <c r="G36" i="65"/>
  <c r="U36" i="65"/>
  <c r="G40" i="65"/>
  <c r="U40" i="65"/>
  <c r="G44" i="65"/>
  <c r="G48" i="65"/>
  <c r="U48" i="65"/>
  <c r="R18" i="65"/>
  <c r="H20" i="65"/>
  <c r="R22" i="65"/>
  <c r="U22" i="65" s="1"/>
  <c r="H24" i="65"/>
  <c r="R26" i="65"/>
  <c r="U26" i="65" s="1"/>
  <c r="H28" i="65"/>
  <c r="R30" i="65"/>
  <c r="H32" i="65"/>
  <c r="R34" i="65"/>
  <c r="U34" i="65" s="1"/>
  <c r="H36" i="65"/>
  <c r="R38" i="65"/>
  <c r="U38" i="65" s="1"/>
  <c r="H40" i="65"/>
  <c r="V40" i="65"/>
  <c r="R42" i="65"/>
  <c r="U42" i="65" s="1"/>
  <c r="H44" i="65"/>
  <c r="V44" i="65"/>
  <c r="R46" i="65"/>
  <c r="V46" i="65" s="1"/>
  <c r="H48" i="65"/>
  <c r="G21" i="65"/>
  <c r="G49" i="65" s="1"/>
  <c r="G25" i="65"/>
  <c r="G29" i="65"/>
  <c r="G33" i="65"/>
  <c r="G37" i="65"/>
  <c r="G41" i="65"/>
  <c r="G45" i="65"/>
  <c r="R19" i="65"/>
  <c r="T19" i="65" s="1"/>
  <c r="S19" i="65" s="1"/>
  <c r="R23" i="65"/>
  <c r="T23" i="65" s="1"/>
  <c r="S23" i="65" s="1"/>
  <c r="H25" i="65"/>
  <c r="R27" i="65"/>
  <c r="H29" i="65"/>
  <c r="R31" i="65"/>
  <c r="H33" i="65"/>
  <c r="R35" i="65"/>
  <c r="T35" i="65" s="1"/>
  <c r="S35" i="65" s="1"/>
  <c r="H37" i="65"/>
  <c r="R39" i="65"/>
  <c r="H41" i="65"/>
  <c r="R43" i="65"/>
  <c r="T43" i="65" s="1"/>
  <c r="S43" i="65" s="1"/>
  <c r="G22" i="65"/>
  <c r="G26" i="65"/>
  <c r="G30" i="65"/>
  <c r="G34" i="65"/>
  <c r="G38" i="65"/>
  <c r="G42" i="65"/>
  <c r="V29" i="64"/>
  <c r="V31" i="64"/>
  <c r="V47" i="64"/>
  <c r="T37" i="64"/>
  <c r="S37" i="64" s="1"/>
  <c r="V45" i="64"/>
  <c r="V35" i="64"/>
  <c r="T41" i="64"/>
  <c r="S41" i="64" s="1"/>
  <c r="V33" i="64"/>
  <c r="V41" i="64"/>
  <c r="V19" i="64"/>
  <c r="T47" i="64"/>
  <c r="S47" i="64" s="1"/>
  <c r="G20" i="64"/>
  <c r="G28" i="64"/>
  <c r="H22" i="64"/>
  <c r="H26" i="64"/>
  <c r="H30" i="64"/>
  <c r="G19" i="64"/>
  <c r="G23" i="64"/>
  <c r="G27" i="64"/>
  <c r="U27" i="64"/>
  <c r="G31" i="64"/>
  <c r="U31" i="64"/>
  <c r="G35" i="64"/>
  <c r="G39" i="64"/>
  <c r="G43" i="64"/>
  <c r="U43" i="64"/>
  <c r="L45" i="64"/>
  <c r="T45" i="64" s="1"/>
  <c r="S45" i="64" s="1"/>
  <c r="G47" i="64"/>
  <c r="U47" i="64"/>
  <c r="H34" i="64"/>
  <c r="H38" i="64"/>
  <c r="H42" i="64"/>
  <c r="H46" i="64"/>
  <c r="H19" i="64"/>
  <c r="H49" i="64" s="1"/>
  <c r="P2" i="64" s="1"/>
  <c r="H23" i="64"/>
  <c r="H27" i="64"/>
  <c r="R29" i="64"/>
  <c r="H31" i="64"/>
  <c r="R33" i="64"/>
  <c r="U33" i="64" s="1"/>
  <c r="H35" i="64"/>
  <c r="R37" i="64"/>
  <c r="V37" i="64" s="1"/>
  <c r="H39" i="64"/>
  <c r="R41" i="64"/>
  <c r="U41" i="64" s="1"/>
  <c r="H43" i="64"/>
  <c r="R45" i="64"/>
  <c r="H47" i="64"/>
  <c r="K49" i="64"/>
  <c r="G48" i="64"/>
  <c r="H32" i="64"/>
  <c r="H36" i="64"/>
  <c r="H44" i="64"/>
  <c r="H48" i="64"/>
  <c r="G21" i="64"/>
  <c r="U21" i="64"/>
  <c r="G25" i="64"/>
  <c r="U25" i="64"/>
  <c r="G29" i="64"/>
  <c r="U29" i="64"/>
  <c r="G33" i="64"/>
  <c r="G37" i="64"/>
  <c r="G41" i="64"/>
  <c r="G45" i="64"/>
  <c r="U45" i="64"/>
  <c r="G32" i="64"/>
  <c r="H20" i="64"/>
  <c r="H28" i="64"/>
  <c r="H40" i="64"/>
  <c r="T18" i="64"/>
  <c r="R19" i="64"/>
  <c r="U19" i="64" s="1"/>
  <c r="H21" i="64"/>
  <c r="R23" i="64"/>
  <c r="V23" i="64" s="1"/>
  <c r="H25" i="64"/>
  <c r="R27" i="64"/>
  <c r="V27" i="64" s="1"/>
  <c r="H29" i="64"/>
  <c r="R31" i="64"/>
  <c r="T31" i="64" s="1"/>
  <c r="S31" i="64" s="1"/>
  <c r="H33" i="64"/>
  <c r="R35" i="64"/>
  <c r="T35" i="64" s="1"/>
  <c r="S35" i="64" s="1"/>
  <c r="H37" i="64"/>
  <c r="R39" i="64"/>
  <c r="T39" i="64" s="1"/>
  <c r="S39" i="64" s="1"/>
  <c r="H41" i="64"/>
  <c r="R43" i="64"/>
  <c r="T43" i="64" s="1"/>
  <c r="S43" i="64" s="1"/>
  <c r="G24" i="64"/>
  <c r="G36" i="64"/>
  <c r="G40" i="64"/>
  <c r="G44" i="64"/>
  <c r="G18" i="64"/>
  <c r="G22" i="64"/>
  <c r="G26" i="64"/>
  <c r="G30" i="64"/>
  <c r="G34" i="64"/>
  <c r="G38" i="64"/>
  <c r="G42" i="64"/>
  <c r="T40" i="63"/>
  <c r="S40" i="63" s="1"/>
  <c r="U41" i="63"/>
  <c r="V44" i="63"/>
  <c r="V47" i="63"/>
  <c r="T41" i="63"/>
  <c r="S41" i="63" s="1"/>
  <c r="T48" i="63"/>
  <c r="S48" i="63" s="1"/>
  <c r="V48" i="63"/>
  <c r="U18" i="63"/>
  <c r="T45" i="63"/>
  <c r="S45" i="63" s="1"/>
  <c r="T20" i="63"/>
  <c r="S20" i="63" s="1"/>
  <c r="T27" i="63"/>
  <c r="S27" i="63" s="1"/>
  <c r="H18" i="63"/>
  <c r="R20" i="63"/>
  <c r="H22" i="63"/>
  <c r="R24" i="63"/>
  <c r="T24" i="63" s="1"/>
  <c r="S24" i="63" s="1"/>
  <c r="H26" i="63"/>
  <c r="R28" i="63"/>
  <c r="T28" i="63" s="1"/>
  <c r="S28" i="63" s="1"/>
  <c r="H30" i="63"/>
  <c r="R32" i="63"/>
  <c r="V32" i="63" s="1"/>
  <c r="H34" i="63"/>
  <c r="R36" i="63"/>
  <c r="T36" i="63" s="1"/>
  <c r="S36" i="63" s="1"/>
  <c r="H38" i="63"/>
  <c r="R40" i="63"/>
  <c r="U40" i="63" s="1"/>
  <c r="H42" i="63"/>
  <c r="R44" i="63"/>
  <c r="T44" i="63" s="1"/>
  <c r="S44" i="63" s="1"/>
  <c r="H46" i="63"/>
  <c r="R48" i="63"/>
  <c r="J49" i="63"/>
  <c r="H19" i="63"/>
  <c r="R21" i="63"/>
  <c r="V21" i="63" s="1"/>
  <c r="H23" i="63"/>
  <c r="R25" i="63"/>
  <c r="V25" i="63" s="1"/>
  <c r="H27" i="63"/>
  <c r="R29" i="63"/>
  <c r="V29" i="63" s="1"/>
  <c r="H31" i="63"/>
  <c r="R33" i="63"/>
  <c r="V33" i="63" s="1"/>
  <c r="H35" i="63"/>
  <c r="R37" i="63"/>
  <c r="V37" i="63" s="1"/>
  <c r="H39" i="63"/>
  <c r="R41" i="63"/>
  <c r="V41" i="63" s="1"/>
  <c r="H43" i="63"/>
  <c r="R45" i="63"/>
  <c r="V45" i="63" s="1"/>
  <c r="H47" i="63"/>
  <c r="K49" i="63"/>
  <c r="G20" i="63"/>
  <c r="U20" i="63"/>
  <c r="G24" i="63"/>
  <c r="U24" i="63"/>
  <c r="G28" i="63"/>
  <c r="U28" i="63"/>
  <c r="G32" i="63"/>
  <c r="G36" i="63"/>
  <c r="U36" i="63"/>
  <c r="G40" i="63"/>
  <c r="G44" i="63"/>
  <c r="U44" i="63"/>
  <c r="G48" i="63"/>
  <c r="U48" i="63"/>
  <c r="R18" i="63"/>
  <c r="H20" i="63"/>
  <c r="V20" i="63"/>
  <c r="R22" i="63"/>
  <c r="V22" i="63" s="1"/>
  <c r="H24" i="63"/>
  <c r="V24" i="63"/>
  <c r="R26" i="63"/>
  <c r="H28" i="63"/>
  <c r="V28" i="63"/>
  <c r="R30" i="63"/>
  <c r="H32" i="63"/>
  <c r="R34" i="63"/>
  <c r="V34" i="63" s="1"/>
  <c r="H36" i="63"/>
  <c r="V36" i="63"/>
  <c r="R38" i="63"/>
  <c r="T38" i="63" s="1"/>
  <c r="S38" i="63" s="1"/>
  <c r="H40" i="63"/>
  <c r="V40" i="63"/>
  <c r="R42" i="63"/>
  <c r="V42" i="63" s="1"/>
  <c r="H44" i="63"/>
  <c r="R46" i="63"/>
  <c r="V46" i="63" s="1"/>
  <c r="H48" i="63"/>
  <c r="G21" i="63"/>
  <c r="G25" i="63"/>
  <c r="G29" i="63"/>
  <c r="G33" i="63"/>
  <c r="G37" i="63"/>
  <c r="G41" i="63"/>
  <c r="G45" i="63"/>
  <c r="R19" i="63"/>
  <c r="H21" i="63"/>
  <c r="R23" i="63"/>
  <c r="R27" i="63"/>
  <c r="H29" i="63"/>
  <c r="R31" i="63"/>
  <c r="H33" i="63"/>
  <c r="R35" i="63"/>
  <c r="U35" i="63" s="1"/>
  <c r="H37" i="63"/>
  <c r="R39" i="63"/>
  <c r="U39" i="63" s="1"/>
  <c r="H41" i="63"/>
  <c r="R43" i="63"/>
  <c r="U43" i="63" s="1"/>
  <c r="G18" i="63"/>
  <c r="G22" i="63"/>
  <c r="G26" i="63"/>
  <c r="G30" i="63"/>
  <c r="G34" i="63"/>
  <c r="G38" i="63"/>
  <c r="G42" i="63"/>
  <c r="T44" i="62"/>
  <c r="S44" i="62" s="1"/>
  <c r="T47" i="62"/>
  <c r="S47" i="62" s="1"/>
  <c r="U41" i="62"/>
  <c r="V47" i="62"/>
  <c r="T18" i="62"/>
  <c r="U20" i="62"/>
  <c r="V32" i="62"/>
  <c r="T35" i="62"/>
  <c r="S35" i="62" s="1"/>
  <c r="T41" i="62"/>
  <c r="S41" i="62" s="1"/>
  <c r="T30" i="62"/>
  <c r="S30" i="62" s="1"/>
  <c r="U24" i="62"/>
  <c r="T25" i="62"/>
  <c r="S25" i="62" s="1"/>
  <c r="H18" i="62"/>
  <c r="V18" i="62"/>
  <c r="R20" i="62"/>
  <c r="V20" i="62" s="1"/>
  <c r="H22" i="62"/>
  <c r="R24" i="62"/>
  <c r="V24" i="62" s="1"/>
  <c r="H26" i="62"/>
  <c r="R28" i="62"/>
  <c r="T28" i="62" s="1"/>
  <c r="S28" i="62" s="1"/>
  <c r="H30" i="62"/>
  <c r="R32" i="62"/>
  <c r="T32" i="62" s="1"/>
  <c r="S32" i="62" s="1"/>
  <c r="H34" i="62"/>
  <c r="R36" i="62"/>
  <c r="V36" i="62" s="1"/>
  <c r="H38" i="62"/>
  <c r="R40" i="62"/>
  <c r="U40" i="62" s="1"/>
  <c r="H42" i="62"/>
  <c r="R44" i="62"/>
  <c r="V44" i="62" s="1"/>
  <c r="H46" i="62"/>
  <c r="V46" i="62"/>
  <c r="R48" i="62"/>
  <c r="T48" i="62" s="1"/>
  <c r="S48" i="62" s="1"/>
  <c r="J49" i="62"/>
  <c r="H19" i="62"/>
  <c r="H23" i="62"/>
  <c r="R25" i="62"/>
  <c r="V25" i="62" s="1"/>
  <c r="H27" i="62"/>
  <c r="R29" i="62"/>
  <c r="V29" i="62" s="1"/>
  <c r="H31" i="62"/>
  <c r="R33" i="62"/>
  <c r="V33" i="62" s="1"/>
  <c r="H35" i="62"/>
  <c r="R37" i="62"/>
  <c r="V37" i="62" s="1"/>
  <c r="H39" i="62"/>
  <c r="R41" i="62"/>
  <c r="V41" i="62" s="1"/>
  <c r="H43" i="62"/>
  <c r="R45" i="62"/>
  <c r="V45" i="62" s="1"/>
  <c r="H47" i="62"/>
  <c r="K49" i="62"/>
  <c r="G20" i="62"/>
  <c r="G24" i="62"/>
  <c r="G28" i="62"/>
  <c r="G32" i="62"/>
  <c r="U32" i="62"/>
  <c r="G36" i="62"/>
  <c r="U36" i="62"/>
  <c r="G40" i="62"/>
  <c r="G44" i="62"/>
  <c r="U44" i="62"/>
  <c r="G48" i="62"/>
  <c r="U48" i="62"/>
  <c r="H20" i="62"/>
  <c r="R22" i="62"/>
  <c r="V22" i="62" s="1"/>
  <c r="H24" i="62"/>
  <c r="R26" i="62"/>
  <c r="U26" i="62" s="1"/>
  <c r="H28" i="62"/>
  <c r="R30" i="62"/>
  <c r="V30" i="62" s="1"/>
  <c r="H32" i="62"/>
  <c r="R34" i="62"/>
  <c r="U34" i="62" s="1"/>
  <c r="H36" i="62"/>
  <c r="R38" i="62"/>
  <c r="U38" i="62" s="1"/>
  <c r="H40" i="62"/>
  <c r="R42" i="62"/>
  <c r="T42" i="62" s="1"/>
  <c r="S42" i="62" s="1"/>
  <c r="H44" i="62"/>
  <c r="R46" i="62"/>
  <c r="T46" i="62" s="1"/>
  <c r="S46" i="62" s="1"/>
  <c r="H48" i="62"/>
  <c r="G25" i="62"/>
  <c r="G29" i="62"/>
  <c r="G33" i="62"/>
  <c r="G37" i="62"/>
  <c r="G41" i="62"/>
  <c r="G45" i="62"/>
  <c r="R19" i="62"/>
  <c r="H21" i="62"/>
  <c r="R23" i="62"/>
  <c r="T23" i="62" s="1"/>
  <c r="S23" i="62" s="1"/>
  <c r="H25" i="62"/>
  <c r="R27" i="62"/>
  <c r="H29" i="62"/>
  <c r="R31" i="62"/>
  <c r="T31" i="62" s="1"/>
  <c r="S31" i="62" s="1"/>
  <c r="H33" i="62"/>
  <c r="R35" i="62"/>
  <c r="H37" i="62"/>
  <c r="R39" i="62"/>
  <c r="U39" i="62" s="1"/>
  <c r="H41" i="62"/>
  <c r="R43" i="62"/>
  <c r="U43" i="62" s="1"/>
  <c r="G18" i="62"/>
  <c r="G22" i="62"/>
  <c r="G26" i="62"/>
  <c r="G30" i="62"/>
  <c r="G34" i="62"/>
  <c r="G38" i="62"/>
  <c r="G42" i="62"/>
  <c r="T21" i="61"/>
  <c r="S21" i="61" s="1"/>
  <c r="T44" i="61"/>
  <c r="S44" i="61" s="1"/>
  <c r="U21" i="61"/>
  <c r="U37" i="61"/>
  <c r="U41" i="61"/>
  <c r="V44" i="61"/>
  <c r="T47" i="61"/>
  <c r="S47" i="61" s="1"/>
  <c r="T41" i="61"/>
  <c r="S41" i="61" s="1"/>
  <c r="T35" i="61"/>
  <c r="S35" i="61" s="1"/>
  <c r="T42" i="61"/>
  <c r="S42" i="61" s="1"/>
  <c r="U45" i="61"/>
  <c r="T36" i="61"/>
  <c r="S36" i="61" s="1"/>
  <c r="U42" i="61"/>
  <c r="T45" i="61"/>
  <c r="S45" i="61" s="1"/>
  <c r="U33" i="61"/>
  <c r="V36" i="61"/>
  <c r="T33" i="61"/>
  <c r="S33" i="61" s="1"/>
  <c r="U46" i="61"/>
  <c r="H18" i="61"/>
  <c r="V18" i="61"/>
  <c r="R20" i="61"/>
  <c r="V20" i="61" s="1"/>
  <c r="H22" i="61"/>
  <c r="R24" i="61"/>
  <c r="V24" i="61" s="1"/>
  <c r="H26" i="61"/>
  <c r="V26" i="61"/>
  <c r="R28" i="61"/>
  <c r="T28" i="61" s="1"/>
  <c r="S28" i="61" s="1"/>
  <c r="H30" i="61"/>
  <c r="R32" i="61"/>
  <c r="T32" i="61" s="1"/>
  <c r="S32" i="61" s="1"/>
  <c r="H34" i="61"/>
  <c r="R36" i="61"/>
  <c r="H38" i="61"/>
  <c r="V38" i="61"/>
  <c r="R40" i="61"/>
  <c r="V40" i="61" s="1"/>
  <c r="H42" i="61"/>
  <c r="R44" i="61"/>
  <c r="H46" i="61"/>
  <c r="R48" i="61"/>
  <c r="T48" i="61" s="1"/>
  <c r="S48" i="61" s="1"/>
  <c r="H19" i="61"/>
  <c r="V19" i="61"/>
  <c r="R21" i="61"/>
  <c r="V21" i="61" s="1"/>
  <c r="H23" i="61"/>
  <c r="R25" i="61"/>
  <c r="V25" i="61" s="1"/>
  <c r="H27" i="61"/>
  <c r="R29" i="61"/>
  <c r="V29" i="61" s="1"/>
  <c r="H31" i="61"/>
  <c r="R33" i="61"/>
  <c r="V33" i="61" s="1"/>
  <c r="H35" i="61"/>
  <c r="V35" i="61"/>
  <c r="R37" i="61"/>
  <c r="V37" i="61" s="1"/>
  <c r="H39" i="61"/>
  <c r="V39" i="61"/>
  <c r="R41" i="61"/>
  <c r="V41" i="61" s="1"/>
  <c r="H43" i="61"/>
  <c r="R45" i="61"/>
  <c r="V45" i="61" s="1"/>
  <c r="H47" i="61"/>
  <c r="V47" i="61"/>
  <c r="K49" i="61"/>
  <c r="J49" i="61"/>
  <c r="G20" i="61"/>
  <c r="G24" i="61"/>
  <c r="G28" i="61"/>
  <c r="G32" i="61"/>
  <c r="U32" i="61"/>
  <c r="G36" i="61"/>
  <c r="U36" i="61"/>
  <c r="G40" i="61"/>
  <c r="G44" i="61"/>
  <c r="U44" i="61"/>
  <c r="G48" i="61"/>
  <c r="R22" i="61"/>
  <c r="T22" i="61" s="1"/>
  <c r="S22" i="61" s="1"/>
  <c r="H24" i="61"/>
  <c r="R26" i="61"/>
  <c r="T26" i="61" s="1"/>
  <c r="S26" i="61" s="1"/>
  <c r="H28" i="61"/>
  <c r="R30" i="61"/>
  <c r="V30" i="61" s="1"/>
  <c r="H32" i="61"/>
  <c r="R34" i="61"/>
  <c r="U34" i="61" s="1"/>
  <c r="H36" i="61"/>
  <c r="R38" i="61"/>
  <c r="U38" i="61" s="1"/>
  <c r="H40" i="61"/>
  <c r="R42" i="61"/>
  <c r="V42" i="61" s="1"/>
  <c r="H44" i="61"/>
  <c r="R46" i="61"/>
  <c r="T46" i="61" s="1"/>
  <c r="S46" i="61" s="1"/>
  <c r="H48" i="61"/>
  <c r="G25" i="61"/>
  <c r="G29" i="61"/>
  <c r="G33" i="61"/>
  <c r="G37" i="61"/>
  <c r="G41" i="61"/>
  <c r="G45" i="61"/>
  <c r="R19" i="61"/>
  <c r="U19" i="61" s="1"/>
  <c r="H21" i="61"/>
  <c r="R23" i="61"/>
  <c r="U23" i="61" s="1"/>
  <c r="H25" i="61"/>
  <c r="R27" i="61"/>
  <c r="U27" i="61" s="1"/>
  <c r="H29" i="61"/>
  <c r="R31" i="61"/>
  <c r="U31" i="61" s="1"/>
  <c r="H33" i="61"/>
  <c r="R35" i="61"/>
  <c r="U35" i="61" s="1"/>
  <c r="H37" i="61"/>
  <c r="R39" i="61"/>
  <c r="U39" i="61" s="1"/>
  <c r="H41" i="61"/>
  <c r="R43" i="61"/>
  <c r="U43" i="61" s="1"/>
  <c r="G18" i="61"/>
  <c r="G49" i="61" s="1"/>
  <c r="G22" i="61"/>
  <c r="G26" i="61"/>
  <c r="G30" i="61"/>
  <c r="G34" i="61"/>
  <c r="G38" i="61"/>
  <c r="G42" i="61"/>
  <c r="T26" i="60"/>
  <c r="S26" i="60" s="1"/>
  <c r="U26" i="60"/>
  <c r="T28" i="60"/>
  <c r="S28" i="60" s="1"/>
  <c r="T32" i="60"/>
  <c r="S32" i="60" s="1"/>
  <c r="T40" i="60"/>
  <c r="S40" i="60" s="1"/>
  <c r="T39" i="60"/>
  <c r="S39" i="60" s="1"/>
  <c r="T19" i="60"/>
  <c r="S19" i="60" s="1"/>
  <c r="T46" i="60"/>
  <c r="S46" i="60" s="1"/>
  <c r="U38" i="60"/>
  <c r="T20" i="60"/>
  <c r="S20" i="60" s="1"/>
  <c r="V47" i="60"/>
  <c r="U47" i="60"/>
  <c r="H18" i="60"/>
  <c r="R20" i="60"/>
  <c r="U20" i="60" s="1"/>
  <c r="H22" i="60"/>
  <c r="R24" i="60"/>
  <c r="T24" i="60" s="1"/>
  <c r="S24" i="60" s="1"/>
  <c r="H26" i="60"/>
  <c r="V26" i="60"/>
  <c r="R28" i="60"/>
  <c r="H30" i="60"/>
  <c r="V30" i="60"/>
  <c r="R32" i="60"/>
  <c r="H34" i="60"/>
  <c r="R36" i="60"/>
  <c r="V36" i="60" s="1"/>
  <c r="H38" i="60"/>
  <c r="R40" i="60"/>
  <c r="H42" i="60"/>
  <c r="R44" i="60"/>
  <c r="U44" i="60" s="1"/>
  <c r="H46" i="60"/>
  <c r="V46" i="60"/>
  <c r="R48" i="60"/>
  <c r="T48" i="60" s="1"/>
  <c r="S48" i="60" s="1"/>
  <c r="K49" i="60"/>
  <c r="L18" i="60"/>
  <c r="G20" i="60"/>
  <c r="G49" i="60" s="1"/>
  <c r="G24" i="60"/>
  <c r="G28" i="60"/>
  <c r="U28" i="60"/>
  <c r="G32" i="60"/>
  <c r="U32" i="60"/>
  <c r="G36" i="60"/>
  <c r="G40" i="60"/>
  <c r="U40" i="60"/>
  <c r="G44" i="60"/>
  <c r="G48" i="60"/>
  <c r="R18" i="60"/>
  <c r="H20" i="60"/>
  <c r="V20" i="60"/>
  <c r="R22" i="60"/>
  <c r="V22" i="60" s="1"/>
  <c r="H24" i="60"/>
  <c r="R26" i="60"/>
  <c r="H28" i="60"/>
  <c r="V28" i="60"/>
  <c r="R30" i="60"/>
  <c r="H32" i="60"/>
  <c r="V32" i="60"/>
  <c r="R34" i="60"/>
  <c r="T34" i="60" s="1"/>
  <c r="S34" i="60" s="1"/>
  <c r="H36" i="60"/>
  <c r="R38" i="60"/>
  <c r="V38" i="60" s="1"/>
  <c r="H40" i="60"/>
  <c r="V40" i="60"/>
  <c r="R42" i="60"/>
  <c r="T42" i="60" s="1"/>
  <c r="S42" i="60" s="1"/>
  <c r="H44" i="60"/>
  <c r="V44" i="60"/>
  <c r="R46" i="60"/>
  <c r="U46" i="60" s="1"/>
  <c r="H48" i="60"/>
  <c r="G21" i="60"/>
  <c r="G25" i="60"/>
  <c r="G29" i="60"/>
  <c r="G33" i="60"/>
  <c r="G37" i="60"/>
  <c r="G41" i="60"/>
  <c r="G45" i="60"/>
  <c r="R19" i="60"/>
  <c r="H21" i="60"/>
  <c r="R23" i="60"/>
  <c r="R27" i="60"/>
  <c r="H29" i="60"/>
  <c r="R31" i="60"/>
  <c r="H33" i="60"/>
  <c r="R35" i="60"/>
  <c r="H37" i="60"/>
  <c r="R39" i="60"/>
  <c r="H41" i="60"/>
  <c r="R43" i="60"/>
  <c r="G22" i="60"/>
  <c r="G26" i="60"/>
  <c r="G30" i="60"/>
  <c r="G34" i="60"/>
  <c r="G38" i="60"/>
  <c r="G42" i="60"/>
  <c r="T19" i="59"/>
  <c r="S19" i="59" s="1"/>
  <c r="T34" i="59"/>
  <c r="S34" i="59" s="1"/>
  <c r="U22" i="59"/>
  <c r="T47" i="59"/>
  <c r="S47" i="59" s="1"/>
  <c r="T22" i="59"/>
  <c r="S22" i="59" s="1"/>
  <c r="U25" i="59"/>
  <c r="U47" i="59"/>
  <c r="V47" i="59"/>
  <c r="T20" i="59"/>
  <c r="S20" i="59" s="1"/>
  <c r="T25" i="59"/>
  <c r="S25" i="59" s="1"/>
  <c r="T40" i="59"/>
  <c r="S40" i="59" s="1"/>
  <c r="T26" i="59"/>
  <c r="S26" i="59" s="1"/>
  <c r="U29" i="59"/>
  <c r="U45" i="59"/>
  <c r="T45" i="59"/>
  <c r="S45" i="59" s="1"/>
  <c r="U18" i="59"/>
  <c r="U26" i="59"/>
  <c r="U33" i="59"/>
  <c r="T46" i="59"/>
  <c r="S46" i="59" s="1"/>
  <c r="T43" i="59"/>
  <c r="S43" i="59" s="1"/>
  <c r="U46" i="59"/>
  <c r="H18" i="59"/>
  <c r="R20" i="59"/>
  <c r="H22" i="59"/>
  <c r="V22" i="59"/>
  <c r="R24" i="59"/>
  <c r="T24" i="59" s="1"/>
  <c r="S24" i="59" s="1"/>
  <c r="H26" i="59"/>
  <c r="V26" i="59"/>
  <c r="R28" i="59"/>
  <c r="V28" i="59" s="1"/>
  <c r="H30" i="59"/>
  <c r="R32" i="59"/>
  <c r="T32" i="59" s="1"/>
  <c r="S32" i="59" s="1"/>
  <c r="H34" i="59"/>
  <c r="R36" i="59"/>
  <c r="T36" i="59" s="1"/>
  <c r="S36" i="59" s="1"/>
  <c r="H38" i="59"/>
  <c r="V38" i="59"/>
  <c r="R40" i="59"/>
  <c r="U40" i="59" s="1"/>
  <c r="H42" i="59"/>
  <c r="R44" i="59"/>
  <c r="T44" i="59" s="1"/>
  <c r="S44" i="59" s="1"/>
  <c r="H46" i="59"/>
  <c r="V46" i="59"/>
  <c r="R48" i="59"/>
  <c r="T48" i="59" s="1"/>
  <c r="S48" i="59" s="1"/>
  <c r="R21" i="59"/>
  <c r="V21" i="59" s="1"/>
  <c r="R25" i="59"/>
  <c r="V25" i="59" s="1"/>
  <c r="H27" i="59"/>
  <c r="R29" i="59"/>
  <c r="V29" i="59" s="1"/>
  <c r="H31" i="59"/>
  <c r="R33" i="59"/>
  <c r="V33" i="59" s="1"/>
  <c r="H35" i="59"/>
  <c r="R37" i="59"/>
  <c r="V37" i="59" s="1"/>
  <c r="H39" i="59"/>
  <c r="R41" i="59"/>
  <c r="V41" i="59" s="1"/>
  <c r="H43" i="59"/>
  <c r="R45" i="59"/>
  <c r="V45" i="59" s="1"/>
  <c r="H47" i="59"/>
  <c r="K49" i="59"/>
  <c r="J49" i="59"/>
  <c r="G20" i="59"/>
  <c r="U20" i="59"/>
  <c r="G24" i="59"/>
  <c r="G28" i="59"/>
  <c r="G32" i="59"/>
  <c r="U32" i="59"/>
  <c r="G36" i="59"/>
  <c r="U36" i="59"/>
  <c r="G40" i="59"/>
  <c r="G44" i="59"/>
  <c r="U44" i="59"/>
  <c r="G48" i="59"/>
  <c r="U48" i="59"/>
  <c r="R18" i="59"/>
  <c r="V18" i="59" s="1"/>
  <c r="H20" i="59"/>
  <c r="V20" i="59"/>
  <c r="R22" i="59"/>
  <c r="H24" i="59"/>
  <c r="V24" i="59"/>
  <c r="R26" i="59"/>
  <c r="H28" i="59"/>
  <c r="R30" i="59"/>
  <c r="V30" i="59" s="1"/>
  <c r="H32" i="59"/>
  <c r="V32" i="59"/>
  <c r="R34" i="59"/>
  <c r="U34" i="59" s="1"/>
  <c r="H36" i="59"/>
  <c r="R38" i="59"/>
  <c r="T38" i="59" s="1"/>
  <c r="S38" i="59" s="1"/>
  <c r="H40" i="59"/>
  <c r="V40" i="59"/>
  <c r="R42" i="59"/>
  <c r="T42" i="59" s="1"/>
  <c r="S42" i="59" s="1"/>
  <c r="H44" i="59"/>
  <c r="R46" i="59"/>
  <c r="G21" i="59"/>
  <c r="G25" i="59"/>
  <c r="G29" i="59"/>
  <c r="G33" i="59"/>
  <c r="G37" i="59"/>
  <c r="G41" i="59"/>
  <c r="G45" i="59"/>
  <c r="R19" i="59"/>
  <c r="R23" i="59"/>
  <c r="R27" i="59"/>
  <c r="T27" i="59" s="1"/>
  <c r="S27" i="59" s="1"/>
  <c r="H29" i="59"/>
  <c r="R31" i="59"/>
  <c r="H33" i="59"/>
  <c r="R35" i="59"/>
  <c r="H37" i="59"/>
  <c r="R39" i="59"/>
  <c r="H41" i="59"/>
  <c r="R43" i="59"/>
  <c r="G18" i="59"/>
  <c r="G49" i="59" s="1"/>
  <c r="G22" i="59"/>
  <c r="G26" i="59"/>
  <c r="G30" i="59"/>
  <c r="G34" i="59"/>
  <c r="G38" i="59"/>
  <c r="G42" i="59"/>
  <c r="U37" i="58"/>
  <c r="T40" i="58"/>
  <c r="S40" i="58" s="1"/>
  <c r="T21" i="58"/>
  <c r="S21" i="58" s="1"/>
  <c r="T47" i="58"/>
  <c r="S47" i="58" s="1"/>
  <c r="T22" i="58"/>
  <c r="S22" i="58" s="1"/>
  <c r="U25" i="58"/>
  <c r="U41" i="58"/>
  <c r="T44" i="58"/>
  <c r="S44" i="58" s="1"/>
  <c r="V47" i="58"/>
  <c r="T20" i="58"/>
  <c r="S20" i="58" s="1"/>
  <c r="T19" i="58"/>
  <c r="S19" i="58" s="1"/>
  <c r="T25" i="58"/>
  <c r="S25" i="58" s="1"/>
  <c r="T41" i="58"/>
  <c r="S41" i="58" s="1"/>
  <c r="T48" i="58"/>
  <c r="S48" i="58" s="1"/>
  <c r="T42" i="58"/>
  <c r="S42" i="58" s="1"/>
  <c r="U26" i="58"/>
  <c r="U42" i="58"/>
  <c r="T33" i="58"/>
  <c r="S33" i="58" s="1"/>
  <c r="T43" i="58"/>
  <c r="S43" i="58" s="1"/>
  <c r="H18" i="58"/>
  <c r="R20" i="58"/>
  <c r="H22" i="58"/>
  <c r="R24" i="58"/>
  <c r="T24" i="58" s="1"/>
  <c r="S24" i="58" s="1"/>
  <c r="H26" i="58"/>
  <c r="R28" i="58"/>
  <c r="T28" i="58" s="1"/>
  <c r="S28" i="58" s="1"/>
  <c r="H30" i="58"/>
  <c r="R32" i="58"/>
  <c r="T32" i="58" s="1"/>
  <c r="S32" i="58" s="1"/>
  <c r="H34" i="58"/>
  <c r="R36" i="58"/>
  <c r="T36" i="58" s="1"/>
  <c r="S36" i="58" s="1"/>
  <c r="H38" i="58"/>
  <c r="R40" i="58"/>
  <c r="V40" i="58" s="1"/>
  <c r="H42" i="58"/>
  <c r="R44" i="58"/>
  <c r="H46" i="58"/>
  <c r="R48" i="58"/>
  <c r="V48" i="58" s="1"/>
  <c r="J49" i="58"/>
  <c r="H19" i="58"/>
  <c r="R21" i="58"/>
  <c r="V21" i="58" s="1"/>
  <c r="H23" i="58"/>
  <c r="R25" i="58"/>
  <c r="V25" i="58" s="1"/>
  <c r="H27" i="58"/>
  <c r="R29" i="58"/>
  <c r="V29" i="58" s="1"/>
  <c r="H31" i="58"/>
  <c r="R33" i="58"/>
  <c r="V33" i="58" s="1"/>
  <c r="H35" i="58"/>
  <c r="R37" i="58"/>
  <c r="V37" i="58" s="1"/>
  <c r="H39" i="58"/>
  <c r="R41" i="58"/>
  <c r="V41" i="58" s="1"/>
  <c r="H43" i="58"/>
  <c r="R45" i="58"/>
  <c r="V45" i="58" s="1"/>
  <c r="H47" i="58"/>
  <c r="K49" i="58"/>
  <c r="G20" i="58"/>
  <c r="U20" i="58"/>
  <c r="G24" i="58"/>
  <c r="G28" i="58"/>
  <c r="U28" i="58"/>
  <c r="G32" i="58"/>
  <c r="U32" i="58"/>
  <c r="G36" i="58"/>
  <c r="G40" i="58"/>
  <c r="G44" i="58"/>
  <c r="U44" i="58"/>
  <c r="G48" i="58"/>
  <c r="U48" i="58"/>
  <c r="R18" i="58"/>
  <c r="H20" i="58"/>
  <c r="V20" i="58"/>
  <c r="R22" i="58"/>
  <c r="U22" i="58" s="1"/>
  <c r="H24" i="58"/>
  <c r="V24" i="58"/>
  <c r="R26" i="58"/>
  <c r="V26" i="58" s="1"/>
  <c r="H28" i="58"/>
  <c r="V28" i="58"/>
  <c r="R30" i="58"/>
  <c r="V30" i="58" s="1"/>
  <c r="H32" i="58"/>
  <c r="R34" i="58"/>
  <c r="T34" i="58" s="1"/>
  <c r="S34" i="58" s="1"/>
  <c r="H36" i="58"/>
  <c r="R38" i="58"/>
  <c r="V38" i="58" s="1"/>
  <c r="H40" i="58"/>
  <c r="R42" i="58"/>
  <c r="V42" i="58" s="1"/>
  <c r="H44" i="58"/>
  <c r="V44" i="58"/>
  <c r="R46" i="58"/>
  <c r="V46" i="58" s="1"/>
  <c r="H48" i="58"/>
  <c r="G21" i="58"/>
  <c r="G25" i="58"/>
  <c r="G29" i="58"/>
  <c r="G33" i="58"/>
  <c r="G37" i="58"/>
  <c r="G41" i="58"/>
  <c r="G45" i="58"/>
  <c r="R19" i="58"/>
  <c r="U19" i="58" s="1"/>
  <c r="H21" i="58"/>
  <c r="R23" i="58"/>
  <c r="U23" i="58" s="1"/>
  <c r="H25" i="58"/>
  <c r="R27" i="58"/>
  <c r="U27" i="58" s="1"/>
  <c r="H29" i="58"/>
  <c r="R31" i="58"/>
  <c r="U31" i="58" s="1"/>
  <c r="R35" i="58"/>
  <c r="U35" i="58" s="1"/>
  <c r="H37" i="58"/>
  <c r="R39" i="58"/>
  <c r="U39" i="58" s="1"/>
  <c r="H41" i="58"/>
  <c r="R43" i="58"/>
  <c r="U43" i="58" s="1"/>
  <c r="G18" i="58"/>
  <c r="G22" i="58"/>
  <c r="G26" i="58"/>
  <c r="G30" i="58"/>
  <c r="G34" i="58"/>
  <c r="G38" i="58"/>
  <c r="G42" i="58"/>
  <c r="T37" i="57"/>
  <c r="S37" i="57" s="1"/>
  <c r="T22" i="57"/>
  <c r="S22" i="57" s="1"/>
  <c r="V28" i="57"/>
  <c r="T47" i="57"/>
  <c r="S47" i="57" s="1"/>
  <c r="U18" i="57"/>
  <c r="T44" i="57"/>
  <c r="S44" i="57" s="1"/>
  <c r="U38" i="57"/>
  <c r="U45" i="57"/>
  <c r="T45" i="57"/>
  <c r="S45" i="57" s="1"/>
  <c r="T27" i="57"/>
  <c r="S27" i="57" s="1"/>
  <c r="T35" i="57"/>
  <c r="S35" i="57" s="1"/>
  <c r="T46" i="57"/>
  <c r="S46" i="57" s="1"/>
  <c r="T40" i="57"/>
  <c r="S40" i="57" s="1"/>
  <c r="U46" i="57"/>
  <c r="H18" i="57"/>
  <c r="R20" i="57"/>
  <c r="V20" i="57" s="1"/>
  <c r="H22" i="57"/>
  <c r="R24" i="57"/>
  <c r="T24" i="57" s="1"/>
  <c r="S24" i="57" s="1"/>
  <c r="H26" i="57"/>
  <c r="V26" i="57"/>
  <c r="R28" i="57"/>
  <c r="U28" i="57" s="1"/>
  <c r="H30" i="57"/>
  <c r="V30" i="57"/>
  <c r="R32" i="57"/>
  <c r="V32" i="57" s="1"/>
  <c r="H34" i="57"/>
  <c r="R36" i="57"/>
  <c r="T36" i="57" s="1"/>
  <c r="S36" i="57" s="1"/>
  <c r="H38" i="57"/>
  <c r="R40" i="57"/>
  <c r="V40" i="57" s="1"/>
  <c r="H42" i="57"/>
  <c r="R44" i="57"/>
  <c r="V44" i="57" s="1"/>
  <c r="H46" i="57"/>
  <c r="V46" i="57"/>
  <c r="R48" i="57"/>
  <c r="V48" i="57" s="1"/>
  <c r="J49" i="57"/>
  <c r="R21" i="57"/>
  <c r="V21" i="57" s="1"/>
  <c r="H23" i="57"/>
  <c r="R25" i="57"/>
  <c r="V25" i="57" s="1"/>
  <c r="H27" i="57"/>
  <c r="R29" i="57"/>
  <c r="V29" i="57" s="1"/>
  <c r="H31" i="57"/>
  <c r="R33" i="57"/>
  <c r="V33" i="57" s="1"/>
  <c r="H35" i="57"/>
  <c r="R37" i="57"/>
  <c r="V37" i="57" s="1"/>
  <c r="H39" i="57"/>
  <c r="R41" i="57"/>
  <c r="V41" i="57" s="1"/>
  <c r="H43" i="57"/>
  <c r="V43" i="57"/>
  <c r="R45" i="57"/>
  <c r="V45" i="57" s="1"/>
  <c r="H47" i="57"/>
  <c r="V47" i="57"/>
  <c r="K49" i="57"/>
  <c r="G20" i="57"/>
  <c r="U20" i="57"/>
  <c r="G24" i="57"/>
  <c r="U24" i="57"/>
  <c r="G28" i="57"/>
  <c r="G32" i="57"/>
  <c r="U32" i="57"/>
  <c r="G36" i="57"/>
  <c r="U36" i="57"/>
  <c r="G40" i="57"/>
  <c r="U40" i="57"/>
  <c r="G44" i="57"/>
  <c r="U44" i="57"/>
  <c r="G48" i="57"/>
  <c r="R18" i="57"/>
  <c r="H20" i="57"/>
  <c r="R22" i="57"/>
  <c r="U22" i="57" s="1"/>
  <c r="H24" i="57"/>
  <c r="R26" i="57"/>
  <c r="U26" i="57" s="1"/>
  <c r="H28" i="57"/>
  <c r="R30" i="57"/>
  <c r="H32" i="57"/>
  <c r="R34" i="57"/>
  <c r="T34" i="57" s="1"/>
  <c r="S34" i="57" s="1"/>
  <c r="H36" i="57"/>
  <c r="R38" i="57"/>
  <c r="T38" i="57" s="1"/>
  <c r="S38" i="57" s="1"/>
  <c r="H40" i="57"/>
  <c r="R42" i="57"/>
  <c r="V42" i="57" s="1"/>
  <c r="H44" i="57"/>
  <c r="R46" i="57"/>
  <c r="H48" i="57"/>
  <c r="G25" i="57"/>
  <c r="G29" i="57"/>
  <c r="G33" i="57"/>
  <c r="G37" i="57"/>
  <c r="G41" i="57"/>
  <c r="G45" i="57"/>
  <c r="R19" i="57"/>
  <c r="H21" i="57"/>
  <c r="R23" i="57"/>
  <c r="H25" i="57"/>
  <c r="R27" i="57"/>
  <c r="U27" i="57" s="1"/>
  <c r="H29" i="57"/>
  <c r="R31" i="57"/>
  <c r="U31" i="57" s="1"/>
  <c r="H33" i="57"/>
  <c r="R35" i="57"/>
  <c r="U35" i="57" s="1"/>
  <c r="H37" i="57"/>
  <c r="R39" i="57"/>
  <c r="U39" i="57" s="1"/>
  <c r="H41" i="57"/>
  <c r="R43" i="57"/>
  <c r="U43" i="57" s="1"/>
  <c r="G18" i="57"/>
  <c r="G22" i="57"/>
  <c r="G26" i="57"/>
  <c r="G30" i="57"/>
  <c r="G34" i="57"/>
  <c r="G38" i="57"/>
  <c r="G42" i="57"/>
  <c r="U46" i="56"/>
  <c r="U21" i="56"/>
  <c r="V40" i="56"/>
  <c r="T31" i="56"/>
  <c r="S31" i="56" s="1"/>
  <c r="U34" i="56"/>
  <c r="V47" i="56"/>
  <c r="T41" i="56"/>
  <c r="S41" i="56" s="1"/>
  <c r="T48" i="56"/>
  <c r="S48" i="56" s="1"/>
  <c r="T28" i="56"/>
  <c r="S28" i="56" s="1"/>
  <c r="T44" i="56"/>
  <c r="S44" i="56" s="1"/>
  <c r="V32" i="56"/>
  <c r="T42" i="56"/>
  <c r="S42" i="56" s="1"/>
  <c r="U45" i="56"/>
  <c r="V48" i="56"/>
  <c r="T29" i="56"/>
  <c r="S29" i="56" s="1"/>
  <c r="T36" i="56"/>
  <c r="S36" i="56" s="1"/>
  <c r="U42" i="56"/>
  <c r="T46" i="56"/>
  <c r="S46" i="56" s="1"/>
  <c r="V20" i="56"/>
  <c r="T40" i="56"/>
  <c r="S40" i="56" s="1"/>
  <c r="H21" i="56"/>
  <c r="H18" i="56"/>
  <c r="R20" i="56"/>
  <c r="U20" i="56" s="1"/>
  <c r="H22" i="56"/>
  <c r="R24" i="56"/>
  <c r="T24" i="56" s="1"/>
  <c r="S24" i="56" s="1"/>
  <c r="H26" i="56"/>
  <c r="R28" i="56"/>
  <c r="V28" i="56" s="1"/>
  <c r="H30" i="56"/>
  <c r="V30" i="56"/>
  <c r="R32" i="56"/>
  <c r="H34" i="56"/>
  <c r="V34" i="56"/>
  <c r="R36" i="56"/>
  <c r="U36" i="56" s="1"/>
  <c r="H38" i="56"/>
  <c r="R40" i="56"/>
  <c r="H42" i="56"/>
  <c r="V42" i="56"/>
  <c r="R44" i="56"/>
  <c r="V44" i="56" s="1"/>
  <c r="H46" i="56"/>
  <c r="V46" i="56"/>
  <c r="R48" i="56"/>
  <c r="J49" i="56"/>
  <c r="H19" i="56"/>
  <c r="V19" i="56"/>
  <c r="R21" i="56"/>
  <c r="V21" i="56" s="1"/>
  <c r="H23" i="56"/>
  <c r="V23" i="56"/>
  <c r="R25" i="56"/>
  <c r="V25" i="56" s="1"/>
  <c r="H27" i="56"/>
  <c r="R29" i="56"/>
  <c r="V29" i="56" s="1"/>
  <c r="H31" i="56"/>
  <c r="R33" i="56"/>
  <c r="V33" i="56" s="1"/>
  <c r="H35" i="56"/>
  <c r="V35" i="56"/>
  <c r="R37" i="56"/>
  <c r="V37" i="56" s="1"/>
  <c r="H39" i="56"/>
  <c r="R41" i="56"/>
  <c r="V41" i="56" s="1"/>
  <c r="H43" i="56"/>
  <c r="R45" i="56"/>
  <c r="V45" i="56" s="1"/>
  <c r="H47" i="56"/>
  <c r="K49" i="56"/>
  <c r="G20" i="56"/>
  <c r="G24" i="56"/>
  <c r="G28" i="56"/>
  <c r="U28" i="56"/>
  <c r="G32" i="56"/>
  <c r="U32" i="56"/>
  <c r="G36" i="56"/>
  <c r="G40" i="56"/>
  <c r="U40" i="56"/>
  <c r="G44" i="56"/>
  <c r="G48" i="56"/>
  <c r="U48" i="56"/>
  <c r="H24" i="56"/>
  <c r="R26" i="56"/>
  <c r="V26" i="56" s="1"/>
  <c r="H28" i="56"/>
  <c r="R30" i="56"/>
  <c r="U30" i="56" s="1"/>
  <c r="H32" i="56"/>
  <c r="R34" i="56"/>
  <c r="H36" i="56"/>
  <c r="R38" i="56"/>
  <c r="V38" i="56" s="1"/>
  <c r="H40" i="56"/>
  <c r="R42" i="56"/>
  <c r="H44" i="56"/>
  <c r="R46" i="56"/>
  <c r="H48" i="56"/>
  <c r="R18" i="56"/>
  <c r="H20" i="56"/>
  <c r="R22" i="56"/>
  <c r="U22" i="56" s="1"/>
  <c r="G21" i="56"/>
  <c r="G25" i="56"/>
  <c r="G29" i="56"/>
  <c r="G33" i="56"/>
  <c r="G37" i="56"/>
  <c r="G41" i="56"/>
  <c r="G45" i="56"/>
  <c r="H25" i="56"/>
  <c r="R27" i="56"/>
  <c r="U27" i="56" s="1"/>
  <c r="H29" i="56"/>
  <c r="R31" i="56"/>
  <c r="U31" i="56" s="1"/>
  <c r="R35" i="56"/>
  <c r="U35" i="56" s="1"/>
  <c r="H37" i="56"/>
  <c r="R39" i="56"/>
  <c r="U39" i="56" s="1"/>
  <c r="H41" i="56"/>
  <c r="R43" i="56"/>
  <c r="U43" i="56" s="1"/>
  <c r="R47" i="56"/>
  <c r="U47" i="56" s="1"/>
  <c r="R19" i="56"/>
  <c r="U19" i="56" s="1"/>
  <c r="G18" i="56"/>
  <c r="G22" i="56"/>
  <c r="G26" i="56"/>
  <c r="G30" i="56"/>
  <c r="G34" i="56"/>
  <c r="G38" i="56"/>
  <c r="G42" i="56"/>
  <c r="U22" i="55"/>
  <c r="U37" i="55"/>
  <c r="U18" i="55"/>
  <c r="T32" i="55"/>
  <c r="S32" i="55" s="1"/>
  <c r="T21" i="55"/>
  <c r="S21" i="55" s="1"/>
  <c r="T44" i="55"/>
  <c r="S44" i="55" s="1"/>
  <c r="V27" i="55"/>
  <c r="V43" i="55"/>
  <c r="U33" i="55"/>
  <c r="V39" i="55"/>
  <c r="T33" i="55"/>
  <c r="S33" i="55" s="1"/>
  <c r="T43" i="55"/>
  <c r="S43" i="55" s="1"/>
  <c r="U46" i="55"/>
  <c r="R19" i="55"/>
  <c r="U19" i="55" s="1"/>
  <c r="H18" i="55"/>
  <c r="R20" i="55"/>
  <c r="T20" i="55" s="1"/>
  <c r="S20" i="55" s="1"/>
  <c r="H22" i="55"/>
  <c r="R24" i="55"/>
  <c r="T24" i="55" s="1"/>
  <c r="S24" i="55" s="1"/>
  <c r="H26" i="55"/>
  <c r="R28" i="55"/>
  <c r="T28" i="55" s="1"/>
  <c r="S28" i="55" s="1"/>
  <c r="H30" i="55"/>
  <c r="R32" i="55"/>
  <c r="U32" i="55" s="1"/>
  <c r="H34" i="55"/>
  <c r="V34" i="55"/>
  <c r="R36" i="55"/>
  <c r="T36" i="55" s="1"/>
  <c r="S36" i="55" s="1"/>
  <c r="H38" i="55"/>
  <c r="R40" i="55"/>
  <c r="T40" i="55" s="1"/>
  <c r="S40" i="55" s="1"/>
  <c r="H42" i="55"/>
  <c r="R44" i="55"/>
  <c r="H46" i="55"/>
  <c r="V46" i="55"/>
  <c r="R48" i="55"/>
  <c r="U48" i="55" s="1"/>
  <c r="J49" i="55"/>
  <c r="H19" i="55"/>
  <c r="R21" i="55"/>
  <c r="V21" i="55" s="1"/>
  <c r="H23" i="55"/>
  <c r="R25" i="55"/>
  <c r="V25" i="55" s="1"/>
  <c r="H27" i="55"/>
  <c r="R29" i="55"/>
  <c r="V29" i="55" s="1"/>
  <c r="H31" i="55"/>
  <c r="R33" i="55"/>
  <c r="V33" i="55" s="1"/>
  <c r="H35" i="55"/>
  <c r="R37" i="55"/>
  <c r="V37" i="55" s="1"/>
  <c r="H39" i="55"/>
  <c r="R41" i="55"/>
  <c r="V41" i="55" s="1"/>
  <c r="H43" i="55"/>
  <c r="R45" i="55"/>
  <c r="V45" i="55" s="1"/>
  <c r="H47" i="55"/>
  <c r="K49" i="55"/>
  <c r="G20" i="55"/>
  <c r="G49" i="55" s="1"/>
  <c r="U20" i="55"/>
  <c r="G24" i="55"/>
  <c r="G28" i="55"/>
  <c r="U28" i="55"/>
  <c r="G32" i="55"/>
  <c r="G36" i="55"/>
  <c r="G40" i="55"/>
  <c r="U40" i="55"/>
  <c r="G44" i="55"/>
  <c r="U44" i="55"/>
  <c r="G48" i="55"/>
  <c r="H20" i="55"/>
  <c r="V20" i="55"/>
  <c r="R22" i="55"/>
  <c r="T22" i="55" s="1"/>
  <c r="S22" i="55" s="1"/>
  <c r="H24" i="55"/>
  <c r="V24" i="55"/>
  <c r="R26" i="55"/>
  <c r="U26" i="55" s="1"/>
  <c r="H28" i="55"/>
  <c r="V28" i="55"/>
  <c r="R30" i="55"/>
  <c r="V30" i="55" s="1"/>
  <c r="H32" i="55"/>
  <c r="V32" i="55"/>
  <c r="R34" i="55"/>
  <c r="H36" i="55"/>
  <c r="V36" i="55"/>
  <c r="R38" i="55"/>
  <c r="T38" i="55" s="1"/>
  <c r="S38" i="55" s="1"/>
  <c r="H40" i="55"/>
  <c r="V40" i="55"/>
  <c r="R42" i="55"/>
  <c r="T42" i="55" s="1"/>
  <c r="S42" i="55" s="1"/>
  <c r="H44" i="55"/>
  <c r="V44" i="55"/>
  <c r="R46" i="55"/>
  <c r="T46" i="55" s="1"/>
  <c r="S46" i="55" s="1"/>
  <c r="H48" i="55"/>
  <c r="R18" i="55"/>
  <c r="G21" i="55"/>
  <c r="G25" i="55"/>
  <c r="G29" i="55"/>
  <c r="G33" i="55"/>
  <c r="G37" i="55"/>
  <c r="G41" i="55"/>
  <c r="G45" i="55"/>
  <c r="H21" i="55"/>
  <c r="R23" i="55"/>
  <c r="U23" i="55" s="1"/>
  <c r="H25" i="55"/>
  <c r="R27" i="55"/>
  <c r="U27" i="55" s="1"/>
  <c r="H29" i="55"/>
  <c r="R31" i="55"/>
  <c r="U31" i="55" s="1"/>
  <c r="R35" i="55"/>
  <c r="U35" i="55" s="1"/>
  <c r="H37" i="55"/>
  <c r="R39" i="55"/>
  <c r="U39" i="55" s="1"/>
  <c r="H41" i="55"/>
  <c r="R43" i="55"/>
  <c r="U43" i="55" s="1"/>
  <c r="G22" i="55"/>
  <c r="G26" i="55"/>
  <c r="G30" i="55"/>
  <c r="G34" i="55"/>
  <c r="G38" i="55"/>
  <c r="G42" i="55"/>
  <c r="V41" i="54"/>
  <c r="V23" i="54"/>
  <c r="V47" i="54"/>
  <c r="V35" i="54"/>
  <c r="V37" i="54"/>
  <c r="T46" i="54"/>
  <c r="S46" i="54" s="1"/>
  <c r="V31" i="54"/>
  <c r="T23" i="54"/>
  <c r="S23" i="54" s="1"/>
  <c r="T34" i="54"/>
  <c r="S34" i="54" s="1"/>
  <c r="V43" i="54"/>
  <c r="L37" i="54"/>
  <c r="G39" i="54"/>
  <c r="L41" i="54"/>
  <c r="G43" i="54"/>
  <c r="L45" i="54"/>
  <c r="G47" i="54"/>
  <c r="J49" i="54"/>
  <c r="H19" i="54"/>
  <c r="H49" i="54" s="1"/>
  <c r="P2" i="54" s="1"/>
  <c r="R21" i="54"/>
  <c r="V21" i="54" s="1"/>
  <c r="H23" i="54"/>
  <c r="R25" i="54"/>
  <c r="V25" i="54" s="1"/>
  <c r="H27" i="54"/>
  <c r="R29" i="54"/>
  <c r="T29" i="54" s="1"/>
  <c r="S29" i="54" s="1"/>
  <c r="H31" i="54"/>
  <c r="R33" i="54"/>
  <c r="T33" i="54" s="1"/>
  <c r="S33" i="54" s="1"/>
  <c r="H35" i="54"/>
  <c r="R37" i="54"/>
  <c r="H39" i="54"/>
  <c r="R41" i="54"/>
  <c r="U41" i="54" s="1"/>
  <c r="H43" i="54"/>
  <c r="R45" i="54"/>
  <c r="V45" i="54" s="1"/>
  <c r="H47" i="54"/>
  <c r="K49" i="54"/>
  <c r="L21" i="54"/>
  <c r="G20" i="54"/>
  <c r="G24" i="54"/>
  <c r="H20" i="54"/>
  <c r="R22" i="54"/>
  <c r="V22" i="54" s="1"/>
  <c r="H24" i="54"/>
  <c r="R26" i="54"/>
  <c r="V26" i="54" s="1"/>
  <c r="H28" i="54"/>
  <c r="R30" i="54"/>
  <c r="V30" i="54" s="1"/>
  <c r="H32" i="54"/>
  <c r="R34" i="54"/>
  <c r="V34" i="54" s="1"/>
  <c r="H36" i="54"/>
  <c r="R38" i="54"/>
  <c r="V38" i="54" s="1"/>
  <c r="H40" i="54"/>
  <c r="R42" i="54"/>
  <c r="V42" i="54" s="1"/>
  <c r="H44" i="54"/>
  <c r="V44" i="54"/>
  <c r="R46" i="54"/>
  <c r="V46" i="54" s="1"/>
  <c r="H48" i="54"/>
  <c r="G28" i="54"/>
  <c r="G36" i="54"/>
  <c r="G44" i="54"/>
  <c r="R18" i="54"/>
  <c r="G21" i="54"/>
  <c r="U21" i="54"/>
  <c r="G25" i="54"/>
  <c r="U25" i="54"/>
  <c r="G29" i="54"/>
  <c r="U29" i="54"/>
  <c r="G33" i="54"/>
  <c r="U33" i="54"/>
  <c r="G37" i="54"/>
  <c r="U37" i="54"/>
  <c r="G41" i="54"/>
  <c r="G45" i="54"/>
  <c r="U45" i="54"/>
  <c r="L25" i="54"/>
  <c r="T25" i="54" s="1"/>
  <c r="S25" i="54" s="1"/>
  <c r="G48" i="54"/>
  <c r="R27" i="54"/>
  <c r="U27" i="54" s="1"/>
  <c r="H29" i="54"/>
  <c r="V29" i="54"/>
  <c r="R31" i="54"/>
  <c r="U31" i="54" s="1"/>
  <c r="H33" i="54"/>
  <c r="R35" i="54"/>
  <c r="U35" i="54" s="1"/>
  <c r="H37" i="54"/>
  <c r="R39" i="54"/>
  <c r="U39" i="54" s="1"/>
  <c r="H41" i="54"/>
  <c r="R43" i="54"/>
  <c r="U43" i="54" s="1"/>
  <c r="R47" i="54"/>
  <c r="U47" i="54" s="1"/>
  <c r="G32" i="54"/>
  <c r="G40" i="54"/>
  <c r="R19" i="54"/>
  <c r="U19" i="54" s="1"/>
  <c r="H21" i="54"/>
  <c r="G18" i="54"/>
  <c r="G22" i="54"/>
  <c r="G26" i="54"/>
  <c r="G30" i="54"/>
  <c r="G34" i="54"/>
  <c r="G38" i="54"/>
  <c r="G42" i="54"/>
  <c r="T27" i="53"/>
  <c r="S27" i="53" s="1"/>
  <c r="U46" i="53"/>
  <c r="T31" i="53"/>
  <c r="S31" i="53" s="1"/>
  <c r="T41" i="53"/>
  <c r="S41" i="53" s="1"/>
  <c r="V47" i="53"/>
  <c r="T28" i="53"/>
  <c r="S28" i="53" s="1"/>
  <c r="V41" i="53"/>
  <c r="V26" i="53"/>
  <c r="U21" i="53"/>
  <c r="V38" i="53"/>
  <c r="V20" i="53"/>
  <c r="T40" i="53"/>
  <c r="S40" i="53" s="1"/>
  <c r="U29" i="53"/>
  <c r="R19" i="53"/>
  <c r="V19" i="53" s="1"/>
  <c r="H22" i="53"/>
  <c r="R24" i="53"/>
  <c r="U24" i="53" s="1"/>
  <c r="H26" i="53"/>
  <c r="R28" i="53"/>
  <c r="V28" i="53" s="1"/>
  <c r="H38" i="53"/>
  <c r="R40" i="53"/>
  <c r="V40" i="53" s="1"/>
  <c r="H42" i="53"/>
  <c r="V42" i="53"/>
  <c r="H46" i="53"/>
  <c r="V46" i="53"/>
  <c r="R48" i="53"/>
  <c r="V48" i="53" s="1"/>
  <c r="H18" i="53"/>
  <c r="V18" i="53"/>
  <c r="R20" i="53"/>
  <c r="H30" i="53"/>
  <c r="R32" i="53"/>
  <c r="T32" i="53" s="1"/>
  <c r="S32" i="53" s="1"/>
  <c r="H34" i="53"/>
  <c r="R36" i="53"/>
  <c r="T36" i="53" s="1"/>
  <c r="S36" i="53" s="1"/>
  <c r="R44" i="53"/>
  <c r="V44" i="53" s="1"/>
  <c r="G19" i="53"/>
  <c r="G23" i="53"/>
  <c r="G27" i="53"/>
  <c r="G31" i="53"/>
  <c r="G35" i="53"/>
  <c r="U35" i="53"/>
  <c r="G39" i="53"/>
  <c r="G43" i="53"/>
  <c r="G47" i="53"/>
  <c r="U47" i="53"/>
  <c r="J49" i="53"/>
  <c r="L24" i="53"/>
  <c r="H23" i="53"/>
  <c r="R25" i="53"/>
  <c r="V25" i="53" s="1"/>
  <c r="H31" i="53"/>
  <c r="R33" i="53"/>
  <c r="V33" i="53" s="1"/>
  <c r="H35" i="53"/>
  <c r="H39" i="53"/>
  <c r="R41" i="53"/>
  <c r="H43" i="53"/>
  <c r="H47" i="53"/>
  <c r="H19" i="53"/>
  <c r="R21" i="53"/>
  <c r="V21" i="53" s="1"/>
  <c r="H27" i="53"/>
  <c r="R29" i="53"/>
  <c r="V29" i="53" s="1"/>
  <c r="R37" i="53"/>
  <c r="V37" i="53" s="1"/>
  <c r="R45" i="53"/>
  <c r="V45" i="53" s="1"/>
  <c r="G20" i="53"/>
  <c r="U20" i="53"/>
  <c r="G24" i="53"/>
  <c r="G28" i="53"/>
  <c r="U28" i="53"/>
  <c r="G32" i="53"/>
  <c r="U32" i="53"/>
  <c r="G36" i="53"/>
  <c r="U36" i="53"/>
  <c r="G40" i="53"/>
  <c r="U40" i="53"/>
  <c r="G44" i="53"/>
  <c r="U44" i="53"/>
  <c r="L46" i="53"/>
  <c r="T46" i="53" s="1"/>
  <c r="S46" i="53" s="1"/>
  <c r="G48" i="53"/>
  <c r="U48" i="53"/>
  <c r="R23" i="53"/>
  <c r="T23" i="53" s="1"/>
  <c r="S23" i="53" s="1"/>
  <c r="H28" i="53"/>
  <c r="H32" i="53"/>
  <c r="R34" i="53"/>
  <c r="U34" i="53" s="1"/>
  <c r="H36" i="53"/>
  <c r="R38" i="53"/>
  <c r="U38" i="53" s="1"/>
  <c r="H40" i="53"/>
  <c r="R42" i="53"/>
  <c r="U42" i="53" s="1"/>
  <c r="H44" i="53"/>
  <c r="R46" i="53"/>
  <c r="H48" i="53"/>
  <c r="L20" i="53"/>
  <c r="T20" i="53" s="1"/>
  <c r="S20" i="53" s="1"/>
  <c r="R18" i="53"/>
  <c r="T18" i="53" s="1"/>
  <c r="H20" i="53"/>
  <c r="R22" i="53"/>
  <c r="U22" i="53" s="1"/>
  <c r="H24" i="53"/>
  <c r="R26" i="53"/>
  <c r="U26" i="53" s="1"/>
  <c r="R30" i="53"/>
  <c r="U30" i="53" s="1"/>
  <c r="G21" i="53"/>
  <c r="G25" i="53"/>
  <c r="G29" i="53"/>
  <c r="G33" i="53"/>
  <c r="G37" i="53"/>
  <c r="G41" i="53"/>
  <c r="U41" i="53"/>
  <c r="R27" i="53"/>
  <c r="U27" i="53" s="1"/>
  <c r="H29" i="53"/>
  <c r="R31" i="53"/>
  <c r="U31" i="53" s="1"/>
  <c r="R35" i="53"/>
  <c r="T35" i="53" s="1"/>
  <c r="S35" i="53" s="1"/>
  <c r="H37" i="53"/>
  <c r="R39" i="53"/>
  <c r="T39" i="53" s="1"/>
  <c r="S39" i="53" s="1"/>
  <c r="H41" i="53"/>
  <c r="R43" i="53"/>
  <c r="V43" i="53" s="1"/>
  <c r="Q49" i="52"/>
  <c r="J49" i="52"/>
  <c r="F49" i="52"/>
  <c r="E49" i="52"/>
  <c r="R48" i="52"/>
  <c r="K48" i="52"/>
  <c r="L48" i="52" s="1"/>
  <c r="T48" i="52" s="1"/>
  <c r="S48" i="52" s="1"/>
  <c r="J48" i="52"/>
  <c r="K47" i="52"/>
  <c r="J47" i="52"/>
  <c r="L47" i="52" s="1"/>
  <c r="T47" i="52" s="1"/>
  <c r="S47" i="52" s="1"/>
  <c r="G47" i="52"/>
  <c r="K46" i="52"/>
  <c r="J46" i="52"/>
  <c r="L46" i="52" s="1"/>
  <c r="H46" i="52"/>
  <c r="K45" i="52"/>
  <c r="J45" i="52"/>
  <c r="R44" i="52"/>
  <c r="K44" i="52"/>
  <c r="L44" i="52" s="1"/>
  <c r="T44" i="52" s="1"/>
  <c r="S44" i="52" s="1"/>
  <c r="J44" i="52"/>
  <c r="K43" i="52"/>
  <c r="J43" i="52"/>
  <c r="L43" i="52" s="1"/>
  <c r="G43" i="52"/>
  <c r="K42" i="52"/>
  <c r="J42" i="52"/>
  <c r="L42" i="52" s="1"/>
  <c r="H42" i="52"/>
  <c r="K41" i="52"/>
  <c r="J41" i="52"/>
  <c r="R40" i="52"/>
  <c r="K40" i="52"/>
  <c r="L40" i="52" s="1"/>
  <c r="T40" i="52" s="1"/>
  <c r="S40" i="52" s="1"/>
  <c r="J40" i="52"/>
  <c r="K39" i="52"/>
  <c r="J39" i="52"/>
  <c r="L39" i="52" s="1"/>
  <c r="G39" i="52"/>
  <c r="K38" i="52"/>
  <c r="J38" i="52"/>
  <c r="L38" i="52" s="1"/>
  <c r="H38" i="52"/>
  <c r="K37" i="52"/>
  <c r="J37" i="52"/>
  <c r="R36" i="52"/>
  <c r="K36" i="52"/>
  <c r="L36" i="52" s="1"/>
  <c r="T36" i="52" s="1"/>
  <c r="S36" i="52" s="1"/>
  <c r="J36" i="52"/>
  <c r="K35" i="52"/>
  <c r="L35" i="52" s="1"/>
  <c r="J35" i="52"/>
  <c r="G35" i="52"/>
  <c r="K34" i="52"/>
  <c r="J34" i="52"/>
  <c r="L34" i="52" s="1"/>
  <c r="H34" i="52"/>
  <c r="K33" i="52"/>
  <c r="J33" i="52"/>
  <c r="R32" i="52"/>
  <c r="K32" i="52"/>
  <c r="L32" i="52" s="1"/>
  <c r="T32" i="52" s="1"/>
  <c r="S32" i="52" s="1"/>
  <c r="J32" i="52"/>
  <c r="K31" i="52"/>
  <c r="L31" i="52" s="1"/>
  <c r="J31" i="52"/>
  <c r="G31" i="52"/>
  <c r="K30" i="52"/>
  <c r="J30" i="52"/>
  <c r="H30" i="52"/>
  <c r="K29" i="52"/>
  <c r="J29" i="52"/>
  <c r="R28" i="52"/>
  <c r="K28" i="52"/>
  <c r="L28" i="52" s="1"/>
  <c r="T28" i="52" s="1"/>
  <c r="S28" i="52" s="1"/>
  <c r="J28" i="52"/>
  <c r="K27" i="52"/>
  <c r="L27" i="52" s="1"/>
  <c r="J27" i="52"/>
  <c r="G27" i="52"/>
  <c r="K26" i="52"/>
  <c r="J26" i="52"/>
  <c r="H26" i="52"/>
  <c r="K25" i="52"/>
  <c r="J25" i="52"/>
  <c r="R24" i="52"/>
  <c r="K24" i="52"/>
  <c r="L24" i="52" s="1"/>
  <c r="T24" i="52" s="1"/>
  <c r="S24" i="52" s="1"/>
  <c r="J24" i="52"/>
  <c r="K23" i="52"/>
  <c r="L23" i="52" s="1"/>
  <c r="J23" i="52"/>
  <c r="G23" i="52"/>
  <c r="K22" i="52"/>
  <c r="J22" i="52"/>
  <c r="H22" i="52"/>
  <c r="K21" i="52"/>
  <c r="J21" i="52"/>
  <c r="R20" i="52"/>
  <c r="K20" i="52"/>
  <c r="L20" i="52" s="1"/>
  <c r="T20" i="52" s="1"/>
  <c r="S20" i="52" s="1"/>
  <c r="J20" i="52"/>
  <c r="K19" i="52"/>
  <c r="L19" i="52" s="1"/>
  <c r="J19" i="52"/>
  <c r="G19" i="52"/>
  <c r="K18" i="52"/>
  <c r="J18" i="52"/>
  <c r="H18" i="52"/>
  <c r="G18" i="52"/>
  <c r="R17" i="52"/>
  <c r="R47" i="52" s="1"/>
  <c r="U47" i="52" s="1"/>
  <c r="H17" i="52"/>
  <c r="H45" i="52" s="1"/>
  <c r="G17" i="52"/>
  <c r="H20" i="52" s="1"/>
  <c r="D15" i="52"/>
  <c r="G46" i="52" s="1"/>
  <c r="P10" i="52"/>
  <c r="P1" i="52"/>
  <c r="P8" i="52" s="1"/>
  <c r="Q49" i="51"/>
  <c r="F49" i="51"/>
  <c r="E49" i="51"/>
  <c r="K48" i="51"/>
  <c r="J48" i="51"/>
  <c r="L48" i="51" s="1"/>
  <c r="K47" i="51"/>
  <c r="J47" i="51"/>
  <c r="L47" i="51" s="1"/>
  <c r="T47" i="51" s="1"/>
  <c r="S47" i="51" s="1"/>
  <c r="G47" i="51"/>
  <c r="K46" i="51"/>
  <c r="J46" i="51"/>
  <c r="L46" i="51" s="1"/>
  <c r="L45" i="51"/>
  <c r="K45" i="51"/>
  <c r="J45" i="51"/>
  <c r="K44" i="51"/>
  <c r="J44" i="51"/>
  <c r="L44" i="51" s="1"/>
  <c r="K43" i="51"/>
  <c r="J43" i="51"/>
  <c r="L43" i="51" s="1"/>
  <c r="G43" i="51"/>
  <c r="K42" i="51"/>
  <c r="J42" i="51"/>
  <c r="L42" i="51" s="1"/>
  <c r="L41" i="51"/>
  <c r="K41" i="51"/>
  <c r="J41" i="51"/>
  <c r="K40" i="51"/>
  <c r="J40" i="51"/>
  <c r="L40" i="51" s="1"/>
  <c r="K39" i="51"/>
  <c r="J39" i="51"/>
  <c r="L39" i="51" s="1"/>
  <c r="G39" i="51"/>
  <c r="K38" i="51"/>
  <c r="J38" i="51"/>
  <c r="L38" i="51" s="1"/>
  <c r="L37" i="51"/>
  <c r="K37" i="51"/>
  <c r="J37" i="51"/>
  <c r="K36" i="51"/>
  <c r="J36" i="51"/>
  <c r="L36" i="51" s="1"/>
  <c r="K35" i="51"/>
  <c r="J35" i="51"/>
  <c r="L35" i="51" s="1"/>
  <c r="G35" i="51"/>
  <c r="K34" i="51"/>
  <c r="J34" i="51"/>
  <c r="L34" i="51" s="1"/>
  <c r="L33" i="51"/>
  <c r="K33" i="51"/>
  <c r="J33" i="51"/>
  <c r="K32" i="51"/>
  <c r="J32" i="51"/>
  <c r="K31" i="51"/>
  <c r="J31" i="51"/>
  <c r="G31" i="51"/>
  <c r="K30" i="51"/>
  <c r="J30" i="51"/>
  <c r="K29" i="51"/>
  <c r="L29" i="51" s="1"/>
  <c r="J29" i="51"/>
  <c r="K28" i="51"/>
  <c r="J28" i="51"/>
  <c r="K27" i="51"/>
  <c r="J27" i="51"/>
  <c r="L27" i="51" s="1"/>
  <c r="G27" i="51"/>
  <c r="K26" i="51"/>
  <c r="J26" i="51"/>
  <c r="R25" i="51"/>
  <c r="K25" i="51"/>
  <c r="V25" i="51" s="1"/>
  <c r="J25" i="51"/>
  <c r="K24" i="51"/>
  <c r="J24" i="51"/>
  <c r="L24" i="51" s="1"/>
  <c r="K23" i="51"/>
  <c r="J23" i="51"/>
  <c r="G23" i="51"/>
  <c r="K22" i="51"/>
  <c r="J22" i="51"/>
  <c r="R21" i="51"/>
  <c r="K21" i="51"/>
  <c r="V21" i="51" s="1"/>
  <c r="J21" i="51"/>
  <c r="K20" i="51"/>
  <c r="J20" i="51"/>
  <c r="K19" i="51"/>
  <c r="J19" i="51"/>
  <c r="G19" i="51"/>
  <c r="R18" i="51"/>
  <c r="K18" i="51"/>
  <c r="U18" i="51" s="1"/>
  <c r="J18" i="51"/>
  <c r="L18" i="51" s="1"/>
  <c r="R17" i="51"/>
  <c r="R47" i="51" s="1"/>
  <c r="H17" i="51"/>
  <c r="H45" i="51" s="1"/>
  <c r="G17" i="51"/>
  <c r="H25" i="51" s="1"/>
  <c r="D15" i="51"/>
  <c r="G46" i="51" s="1"/>
  <c r="P10" i="51"/>
  <c r="P1" i="51"/>
  <c r="P8" i="51" s="1"/>
  <c r="Q49" i="50"/>
  <c r="F49" i="50"/>
  <c r="E49" i="50"/>
  <c r="R48" i="50"/>
  <c r="K48" i="50"/>
  <c r="L48" i="50" s="1"/>
  <c r="T48" i="50" s="1"/>
  <c r="S48" i="50" s="1"/>
  <c r="J48" i="50"/>
  <c r="K47" i="50"/>
  <c r="V47" i="50" s="1"/>
  <c r="J47" i="50"/>
  <c r="L47" i="50" s="1"/>
  <c r="T47" i="50" s="1"/>
  <c r="S47" i="50" s="1"/>
  <c r="K46" i="50"/>
  <c r="J46" i="50"/>
  <c r="H46" i="50"/>
  <c r="K45" i="50"/>
  <c r="J45" i="50"/>
  <c r="L45" i="50" s="1"/>
  <c r="R44" i="50"/>
  <c r="K44" i="50"/>
  <c r="L44" i="50" s="1"/>
  <c r="T44" i="50" s="1"/>
  <c r="S44" i="50" s="1"/>
  <c r="J44" i="50"/>
  <c r="K43" i="50"/>
  <c r="J43" i="50"/>
  <c r="L43" i="50" s="1"/>
  <c r="K42" i="50"/>
  <c r="J42" i="50"/>
  <c r="H42" i="50"/>
  <c r="K41" i="50"/>
  <c r="J41" i="50"/>
  <c r="L41" i="50" s="1"/>
  <c r="R40" i="50"/>
  <c r="K40" i="50"/>
  <c r="L40" i="50" s="1"/>
  <c r="T40" i="50" s="1"/>
  <c r="S40" i="50" s="1"/>
  <c r="J40" i="50"/>
  <c r="K39" i="50"/>
  <c r="J39" i="50"/>
  <c r="L39" i="50" s="1"/>
  <c r="K38" i="50"/>
  <c r="J38" i="50"/>
  <c r="H38" i="50"/>
  <c r="K37" i="50"/>
  <c r="J37" i="50"/>
  <c r="L37" i="50" s="1"/>
  <c r="R36" i="50"/>
  <c r="K36" i="50"/>
  <c r="L36" i="50" s="1"/>
  <c r="T36" i="50" s="1"/>
  <c r="S36" i="50" s="1"/>
  <c r="J36" i="50"/>
  <c r="K35" i="50"/>
  <c r="J35" i="50"/>
  <c r="L35" i="50" s="1"/>
  <c r="K34" i="50"/>
  <c r="J34" i="50"/>
  <c r="H34" i="50"/>
  <c r="K33" i="50"/>
  <c r="J33" i="50"/>
  <c r="L33" i="50" s="1"/>
  <c r="R32" i="50"/>
  <c r="K32" i="50"/>
  <c r="L32" i="50" s="1"/>
  <c r="T32" i="50" s="1"/>
  <c r="S32" i="50" s="1"/>
  <c r="J32" i="50"/>
  <c r="K31" i="50"/>
  <c r="J31" i="50"/>
  <c r="K30" i="50"/>
  <c r="J30" i="50"/>
  <c r="H30" i="50"/>
  <c r="K29" i="50"/>
  <c r="J29" i="50"/>
  <c r="R28" i="50"/>
  <c r="K28" i="50"/>
  <c r="L28" i="50" s="1"/>
  <c r="T28" i="50" s="1"/>
  <c r="S28" i="50" s="1"/>
  <c r="J28" i="50"/>
  <c r="K27" i="50"/>
  <c r="J27" i="50"/>
  <c r="K26" i="50"/>
  <c r="J26" i="50"/>
  <c r="H26" i="50"/>
  <c r="K25" i="50"/>
  <c r="J25" i="50"/>
  <c r="R24" i="50"/>
  <c r="K24" i="50"/>
  <c r="L24" i="50" s="1"/>
  <c r="T24" i="50" s="1"/>
  <c r="S24" i="50" s="1"/>
  <c r="J24" i="50"/>
  <c r="K23" i="50"/>
  <c r="J23" i="50"/>
  <c r="K22" i="50"/>
  <c r="J22" i="50"/>
  <c r="H22" i="50"/>
  <c r="K21" i="50"/>
  <c r="J21" i="50"/>
  <c r="L21" i="50" s="1"/>
  <c r="R20" i="50"/>
  <c r="K20" i="50"/>
  <c r="L20" i="50" s="1"/>
  <c r="T20" i="50" s="1"/>
  <c r="S20" i="50" s="1"/>
  <c r="J20" i="50"/>
  <c r="K19" i="50"/>
  <c r="J19" i="50"/>
  <c r="K18" i="50"/>
  <c r="J18" i="50"/>
  <c r="J49" i="50" s="1"/>
  <c r="H18" i="50"/>
  <c r="G18" i="50"/>
  <c r="R17" i="50"/>
  <c r="R47" i="50" s="1"/>
  <c r="H17" i="50"/>
  <c r="H45" i="50" s="1"/>
  <c r="G17" i="50"/>
  <c r="H37" i="50" s="1"/>
  <c r="D15" i="50"/>
  <c r="G46" i="50" s="1"/>
  <c r="P10" i="50"/>
  <c r="P1" i="50"/>
  <c r="P8" i="50" s="1"/>
  <c r="Q49" i="49"/>
  <c r="F49" i="49"/>
  <c r="E49" i="49"/>
  <c r="K48" i="49"/>
  <c r="J48" i="49"/>
  <c r="L48" i="49" s="1"/>
  <c r="K47" i="49"/>
  <c r="J47" i="49"/>
  <c r="L47" i="49" s="1"/>
  <c r="T47" i="49" s="1"/>
  <c r="S47" i="49" s="1"/>
  <c r="G47" i="49"/>
  <c r="K46" i="49"/>
  <c r="J46" i="49"/>
  <c r="L46" i="49" s="1"/>
  <c r="L45" i="49"/>
  <c r="K45" i="49"/>
  <c r="J45" i="49"/>
  <c r="K44" i="49"/>
  <c r="L44" i="49" s="1"/>
  <c r="J44" i="49"/>
  <c r="K43" i="49"/>
  <c r="J43" i="49"/>
  <c r="L43" i="49" s="1"/>
  <c r="G43" i="49"/>
  <c r="K42" i="49"/>
  <c r="J42" i="49"/>
  <c r="L42" i="49" s="1"/>
  <c r="L41" i="49"/>
  <c r="K41" i="49"/>
  <c r="J41" i="49"/>
  <c r="K40" i="49"/>
  <c r="L40" i="49" s="1"/>
  <c r="J40" i="49"/>
  <c r="K39" i="49"/>
  <c r="J39" i="49"/>
  <c r="L39" i="49" s="1"/>
  <c r="G39" i="49"/>
  <c r="K38" i="49"/>
  <c r="J38" i="49"/>
  <c r="L38" i="49" s="1"/>
  <c r="L37" i="49"/>
  <c r="K37" i="49"/>
  <c r="J37" i="49"/>
  <c r="K36" i="49"/>
  <c r="J36" i="49"/>
  <c r="L36" i="49" s="1"/>
  <c r="K35" i="49"/>
  <c r="J35" i="49"/>
  <c r="L35" i="49" s="1"/>
  <c r="G35" i="49"/>
  <c r="K34" i="49"/>
  <c r="J34" i="49"/>
  <c r="L34" i="49" s="1"/>
  <c r="L33" i="49"/>
  <c r="K33" i="49"/>
  <c r="J33" i="49"/>
  <c r="K32" i="49"/>
  <c r="J32" i="49"/>
  <c r="K31" i="49"/>
  <c r="J31" i="49"/>
  <c r="G31" i="49"/>
  <c r="K30" i="49"/>
  <c r="J30" i="49"/>
  <c r="L30" i="49" s="1"/>
  <c r="K29" i="49"/>
  <c r="L29" i="49" s="1"/>
  <c r="J29" i="49"/>
  <c r="K28" i="49"/>
  <c r="J28" i="49"/>
  <c r="K27" i="49"/>
  <c r="J27" i="49"/>
  <c r="G27" i="49"/>
  <c r="K26" i="49"/>
  <c r="J26" i="49"/>
  <c r="K25" i="49"/>
  <c r="L25" i="49" s="1"/>
  <c r="J25" i="49"/>
  <c r="K24" i="49"/>
  <c r="J24" i="49"/>
  <c r="K23" i="49"/>
  <c r="J23" i="49"/>
  <c r="L23" i="49" s="1"/>
  <c r="G23" i="49"/>
  <c r="K22" i="49"/>
  <c r="J22" i="49"/>
  <c r="K21" i="49"/>
  <c r="L21" i="49" s="1"/>
  <c r="J21" i="49"/>
  <c r="K20" i="49"/>
  <c r="J20" i="49"/>
  <c r="L20" i="49" s="1"/>
  <c r="K19" i="49"/>
  <c r="J19" i="49"/>
  <c r="G19" i="49"/>
  <c r="K18" i="49"/>
  <c r="J18" i="49"/>
  <c r="L18" i="49" s="1"/>
  <c r="R17" i="49"/>
  <c r="R47" i="49" s="1"/>
  <c r="U47" i="49" s="1"/>
  <c r="H17" i="49"/>
  <c r="H45" i="49" s="1"/>
  <c r="G17" i="49"/>
  <c r="H19" i="49" s="1"/>
  <c r="D15" i="49"/>
  <c r="G46" i="49" s="1"/>
  <c r="P10" i="49"/>
  <c r="P1" i="49"/>
  <c r="P8" i="49" s="1"/>
  <c r="Q49" i="48"/>
  <c r="F49" i="48"/>
  <c r="E49" i="48"/>
  <c r="K48" i="48"/>
  <c r="J48" i="48"/>
  <c r="L48" i="48" s="1"/>
  <c r="L47" i="48"/>
  <c r="K47" i="48"/>
  <c r="V47" i="48" s="1"/>
  <c r="J47" i="48"/>
  <c r="G47" i="48"/>
  <c r="K46" i="48"/>
  <c r="J46" i="48"/>
  <c r="L46" i="48" s="1"/>
  <c r="L45" i="48"/>
  <c r="K45" i="48"/>
  <c r="J45" i="48"/>
  <c r="H45" i="48"/>
  <c r="K44" i="48"/>
  <c r="J44" i="48"/>
  <c r="L44" i="48" s="1"/>
  <c r="L43" i="48"/>
  <c r="K43" i="48"/>
  <c r="J43" i="48"/>
  <c r="G43" i="48"/>
  <c r="K42" i="48"/>
  <c r="J42" i="48"/>
  <c r="L42" i="48" s="1"/>
  <c r="L41" i="48"/>
  <c r="K41" i="48"/>
  <c r="J41" i="48"/>
  <c r="H41" i="48"/>
  <c r="G41" i="48"/>
  <c r="K40" i="48"/>
  <c r="J40" i="48"/>
  <c r="L40" i="48" s="1"/>
  <c r="L39" i="48"/>
  <c r="K39" i="48"/>
  <c r="J39" i="48"/>
  <c r="G39" i="48"/>
  <c r="K38" i="48"/>
  <c r="J38" i="48"/>
  <c r="L38" i="48" s="1"/>
  <c r="L37" i="48"/>
  <c r="K37" i="48"/>
  <c r="J37" i="48"/>
  <c r="H37" i="48"/>
  <c r="G37" i="48"/>
  <c r="K36" i="48"/>
  <c r="J36" i="48"/>
  <c r="L36" i="48" s="1"/>
  <c r="L35" i="48"/>
  <c r="K35" i="48"/>
  <c r="J35" i="48"/>
  <c r="G35" i="48"/>
  <c r="K34" i="48"/>
  <c r="J34" i="48"/>
  <c r="L34" i="48" s="1"/>
  <c r="L33" i="48"/>
  <c r="K33" i="48"/>
  <c r="J33" i="48"/>
  <c r="H33" i="48"/>
  <c r="G33" i="48"/>
  <c r="K32" i="48"/>
  <c r="J32" i="48"/>
  <c r="K31" i="48"/>
  <c r="L31" i="48" s="1"/>
  <c r="J31" i="48"/>
  <c r="G31" i="48"/>
  <c r="K30" i="48"/>
  <c r="J30" i="48"/>
  <c r="K29" i="48"/>
  <c r="L29" i="48" s="1"/>
  <c r="J29" i="48"/>
  <c r="H29" i="48"/>
  <c r="G29" i="48"/>
  <c r="K28" i="48"/>
  <c r="J28" i="48"/>
  <c r="K27" i="48"/>
  <c r="L27" i="48" s="1"/>
  <c r="J27" i="48"/>
  <c r="G27" i="48"/>
  <c r="K26" i="48"/>
  <c r="J26" i="48"/>
  <c r="K25" i="48"/>
  <c r="L25" i="48" s="1"/>
  <c r="J25" i="48"/>
  <c r="H25" i="48"/>
  <c r="G25" i="48"/>
  <c r="K24" i="48"/>
  <c r="J24" i="48"/>
  <c r="K23" i="48"/>
  <c r="L23" i="48" s="1"/>
  <c r="J23" i="48"/>
  <c r="G23" i="48"/>
  <c r="K22" i="48"/>
  <c r="J22" i="48"/>
  <c r="K21" i="48"/>
  <c r="L21" i="48" s="1"/>
  <c r="J21" i="48"/>
  <c r="H21" i="48"/>
  <c r="G21" i="48"/>
  <c r="K20" i="48"/>
  <c r="J20" i="48"/>
  <c r="L20" i="48" s="1"/>
  <c r="L19" i="48"/>
  <c r="K19" i="48"/>
  <c r="J19" i="48"/>
  <c r="G19" i="48"/>
  <c r="K18" i="48"/>
  <c r="J18" i="48"/>
  <c r="R17" i="48"/>
  <c r="R47" i="48" s="1"/>
  <c r="U47" i="48" s="1"/>
  <c r="H17" i="48"/>
  <c r="H48" i="48" s="1"/>
  <c r="G17" i="48"/>
  <c r="D15" i="48"/>
  <c r="G46" i="48" s="1"/>
  <c r="P10" i="48"/>
  <c r="P1" i="48"/>
  <c r="P8" i="48" s="1"/>
  <c r="Q49" i="47"/>
  <c r="F49" i="47"/>
  <c r="E49" i="47"/>
  <c r="R48" i="47"/>
  <c r="K48" i="47"/>
  <c r="V48" i="47" s="1"/>
  <c r="J48" i="47"/>
  <c r="L48" i="47" s="1"/>
  <c r="T48" i="47" s="1"/>
  <c r="S48" i="47" s="1"/>
  <c r="K47" i="47"/>
  <c r="V47" i="47" s="1"/>
  <c r="J47" i="47"/>
  <c r="L47" i="47" s="1"/>
  <c r="T47" i="47" s="1"/>
  <c r="S47" i="47" s="1"/>
  <c r="G47" i="47"/>
  <c r="K46" i="47"/>
  <c r="J46" i="47"/>
  <c r="L46" i="47" s="1"/>
  <c r="H46" i="47"/>
  <c r="K45" i="47"/>
  <c r="J45" i="47"/>
  <c r="R44" i="47"/>
  <c r="K44" i="47"/>
  <c r="V44" i="47" s="1"/>
  <c r="J44" i="47"/>
  <c r="L44" i="47" s="1"/>
  <c r="T44" i="47" s="1"/>
  <c r="S44" i="47" s="1"/>
  <c r="K43" i="47"/>
  <c r="J43" i="47"/>
  <c r="L43" i="47" s="1"/>
  <c r="G43" i="47"/>
  <c r="K42" i="47"/>
  <c r="J42" i="47"/>
  <c r="L42" i="47" s="1"/>
  <c r="H42" i="47"/>
  <c r="K41" i="47"/>
  <c r="J41" i="47"/>
  <c r="R40" i="47"/>
  <c r="K40" i="47"/>
  <c r="V40" i="47" s="1"/>
  <c r="J40" i="47"/>
  <c r="L40" i="47" s="1"/>
  <c r="T40" i="47" s="1"/>
  <c r="S40" i="47" s="1"/>
  <c r="K39" i="47"/>
  <c r="L39" i="47" s="1"/>
  <c r="J39" i="47"/>
  <c r="G39" i="47"/>
  <c r="K38" i="47"/>
  <c r="J38" i="47"/>
  <c r="L38" i="47" s="1"/>
  <c r="H38" i="47"/>
  <c r="K37" i="47"/>
  <c r="J37" i="47"/>
  <c r="R36" i="47"/>
  <c r="K36" i="47"/>
  <c r="V36" i="47" s="1"/>
  <c r="J36" i="47"/>
  <c r="L36" i="47" s="1"/>
  <c r="T36" i="47" s="1"/>
  <c r="S36" i="47" s="1"/>
  <c r="K35" i="47"/>
  <c r="L35" i="47" s="1"/>
  <c r="J35" i="47"/>
  <c r="G35" i="47"/>
  <c r="K34" i="47"/>
  <c r="J34" i="47"/>
  <c r="L34" i="47" s="1"/>
  <c r="H34" i="47"/>
  <c r="K33" i="47"/>
  <c r="J33" i="47"/>
  <c r="R32" i="47"/>
  <c r="K32" i="47"/>
  <c r="V32" i="47" s="1"/>
  <c r="J32" i="47"/>
  <c r="K31" i="47"/>
  <c r="L31" i="47" s="1"/>
  <c r="J31" i="47"/>
  <c r="G31" i="47"/>
  <c r="K30" i="47"/>
  <c r="J30" i="47"/>
  <c r="H30" i="47"/>
  <c r="K29" i="47"/>
  <c r="J29" i="47"/>
  <c r="R28" i="47"/>
  <c r="K28" i="47"/>
  <c r="V28" i="47" s="1"/>
  <c r="J28" i="47"/>
  <c r="K27" i="47"/>
  <c r="L27" i="47" s="1"/>
  <c r="J27" i="47"/>
  <c r="G27" i="47"/>
  <c r="K26" i="47"/>
  <c r="J26" i="47"/>
  <c r="H26" i="47"/>
  <c r="K25" i="47"/>
  <c r="J25" i="47"/>
  <c r="R24" i="47"/>
  <c r="K24" i="47"/>
  <c r="V24" i="47" s="1"/>
  <c r="J24" i="47"/>
  <c r="L24" i="47" s="1"/>
  <c r="T24" i="47" s="1"/>
  <c r="S24" i="47" s="1"/>
  <c r="K23" i="47"/>
  <c r="L23" i="47" s="1"/>
  <c r="J23" i="47"/>
  <c r="G23" i="47"/>
  <c r="K22" i="47"/>
  <c r="J22" i="47"/>
  <c r="H22" i="47"/>
  <c r="K21" i="47"/>
  <c r="J21" i="47"/>
  <c r="R20" i="47"/>
  <c r="K20" i="47"/>
  <c r="V20" i="47" s="1"/>
  <c r="J20" i="47"/>
  <c r="K19" i="47"/>
  <c r="L19" i="47" s="1"/>
  <c r="J19" i="47"/>
  <c r="G19" i="47"/>
  <c r="K18" i="47"/>
  <c r="J18" i="47"/>
  <c r="H18" i="47"/>
  <c r="R17" i="47"/>
  <c r="R47" i="47" s="1"/>
  <c r="U47" i="47" s="1"/>
  <c r="H17" i="47"/>
  <c r="H45" i="47" s="1"/>
  <c r="G17" i="47"/>
  <c r="H25" i="47" s="1"/>
  <c r="D15" i="47"/>
  <c r="G46" i="47" s="1"/>
  <c r="P10" i="47"/>
  <c r="P1" i="47"/>
  <c r="P8" i="47" s="1"/>
  <c r="Q49" i="46"/>
  <c r="F49" i="46"/>
  <c r="E49" i="46"/>
  <c r="R48" i="46"/>
  <c r="K48" i="46"/>
  <c r="V48" i="46" s="1"/>
  <c r="J48" i="46"/>
  <c r="L48" i="46" s="1"/>
  <c r="T48" i="46" s="1"/>
  <c r="S48" i="46" s="1"/>
  <c r="K47" i="46"/>
  <c r="J47" i="46"/>
  <c r="L47" i="46" s="1"/>
  <c r="T47" i="46" s="1"/>
  <c r="S47" i="46" s="1"/>
  <c r="G47" i="46"/>
  <c r="K46" i="46"/>
  <c r="J46" i="46"/>
  <c r="L46" i="46" s="1"/>
  <c r="H46" i="46"/>
  <c r="K45" i="46"/>
  <c r="L45" i="46" s="1"/>
  <c r="J45" i="46"/>
  <c r="R44" i="46"/>
  <c r="K44" i="46"/>
  <c r="V44" i="46" s="1"/>
  <c r="J44" i="46"/>
  <c r="L44" i="46" s="1"/>
  <c r="T44" i="46" s="1"/>
  <c r="S44" i="46" s="1"/>
  <c r="K43" i="46"/>
  <c r="J43" i="46"/>
  <c r="L43" i="46" s="1"/>
  <c r="G43" i="46"/>
  <c r="K42" i="46"/>
  <c r="J42" i="46"/>
  <c r="L42" i="46" s="1"/>
  <c r="H42" i="46"/>
  <c r="K41" i="46"/>
  <c r="J41" i="46"/>
  <c r="R40" i="46"/>
  <c r="K40" i="46"/>
  <c r="V40" i="46" s="1"/>
  <c r="J40" i="46"/>
  <c r="L40" i="46" s="1"/>
  <c r="T40" i="46" s="1"/>
  <c r="S40" i="46" s="1"/>
  <c r="K39" i="46"/>
  <c r="L39" i="46" s="1"/>
  <c r="J39" i="46"/>
  <c r="G39" i="46"/>
  <c r="K38" i="46"/>
  <c r="J38" i="46"/>
  <c r="L38" i="46" s="1"/>
  <c r="H38" i="46"/>
  <c r="K37" i="46"/>
  <c r="J37" i="46"/>
  <c r="R36" i="46"/>
  <c r="K36" i="46"/>
  <c r="V36" i="46" s="1"/>
  <c r="J36" i="46"/>
  <c r="L36" i="46" s="1"/>
  <c r="T36" i="46" s="1"/>
  <c r="S36" i="46" s="1"/>
  <c r="K35" i="46"/>
  <c r="L35" i="46" s="1"/>
  <c r="J35" i="46"/>
  <c r="G35" i="46"/>
  <c r="K34" i="46"/>
  <c r="J34" i="46"/>
  <c r="L34" i="46" s="1"/>
  <c r="H34" i="46"/>
  <c r="K33" i="46"/>
  <c r="J33" i="46"/>
  <c r="R32" i="46"/>
  <c r="K32" i="46"/>
  <c r="V32" i="46" s="1"/>
  <c r="J32" i="46"/>
  <c r="K31" i="46"/>
  <c r="L31" i="46" s="1"/>
  <c r="J31" i="46"/>
  <c r="G31" i="46"/>
  <c r="K30" i="46"/>
  <c r="J30" i="46"/>
  <c r="H30" i="46"/>
  <c r="K29" i="46"/>
  <c r="J29" i="46"/>
  <c r="R28" i="46"/>
  <c r="K28" i="46"/>
  <c r="V28" i="46" s="1"/>
  <c r="J28" i="46"/>
  <c r="K27" i="46"/>
  <c r="L27" i="46" s="1"/>
  <c r="J27" i="46"/>
  <c r="H27" i="46"/>
  <c r="G27" i="46"/>
  <c r="K26" i="46"/>
  <c r="J26" i="46"/>
  <c r="H26" i="46"/>
  <c r="R25" i="46"/>
  <c r="K25" i="46"/>
  <c r="V25" i="46" s="1"/>
  <c r="J25" i="46"/>
  <c r="G25" i="46"/>
  <c r="R24" i="46"/>
  <c r="K24" i="46"/>
  <c r="V24" i="46" s="1"/>
  <c r="J24" i="46"/>
  <c r="K23" i="46"/>
  <c r="L23" i="46" s="1"/>
  <c r="J23" i="46"/>
  <c r="H23" i="46"/>
  <c r="G23" i="46"/>
  <c r="K22" i="46"/>
  <c r="J22" i="46"/>
  <c r="L22" i="46" s="1"/>
  <c r="H22" i="46"/>
  <c r="R21" i="46"/>
  <c r="K21" i="46"/>
  <c r="V21" i="46" s="1"/>
  <c r="J21" i="46"/>
  <c r="G21" i="46"/>
  <c r="R20" i="46"/>
  <c r="K20" i="46"/>
  <c r="V20" i="46" s="1"/>
  <c r="J20" i="46"/>
  <c r="K19" i="46"/>
  <c r="L19" i="46" s="1"/>
  <c r="J19" i="46"/>
  <c r="H19" i="46"/>
  <c r="G19" i="46"/>
  <c r="K18" i="46"/>
  <c r="J18" i="46"/>
  <c r="H18" i="46"/>
  <c r="R17" i="46"/>
  <c r="R47" i="46" s="1"/>
  <c r="H17" i="46"/>
  <c r="H45" i="46" s="1"/>
  <c r="G17" i="46"/>
  <c r="H31" i="46" s="1"/>
  <c r="D15" i="46"/>
  <c r="G46" i="46" s="1"/>
  <c r="P10" i="46"/>
  <c r="P1" i="46"/>
  <c r="P8" i="46" s="1"/>
  <c r="Q49" i="45"/>
  <c r="F49" i="45"/>
  <c r="E49" i="45"/>
  <c r="K48" i="45"/>
  <c r="J48" i="45"/>
  <c r="L48" i="45" s="1"/>
  <c r="K47" i="45"/>
  <c r="J47" i="45"/>
  <c r="L47" i="45" s="1"/>
  <c r="T47" i="45" s="1"/>
  <c r="S47" i="45" s="1"/>
  <c r="G47" i="45"/>
  <c r="K46" i="45"/>
  <c r="J46" i="45"/>
  <c r="L46" i="45" s="1"/>
  <c r="L45" i="45"/>
  <c r="K45" i="45"/>
  <c r="J45" i="45"/>
  <c r="K44" i="45"/>
  <c r="J44" i="45"/>
  <c r="L44" i="45" s="1"/>
  <c r="K43" i="45"/>
  <c r="J43" i="45"/>
  <c r="L43" i="45" s="1"/>
  <c r="G43" i="45"/>
  <c r="K42" i="45"/>
  <c r="J42" i="45"/>
  <c r="L42" i="45" s="1"/>
  <c r="L41" i="45"/>
  <c r="K41" i="45"/>
  <c r="J41" i="45"/>
  <c r="K40" i="45"/>
  <c r="J40" i="45"/>
  <c r="L40" i="45" s="1"/>
  <c r="K39" i="45"/>
  <c r="J39" i="45"/>
  <c r="L39" i="45" s="1"/>
  <c r="G39" i="45"/>
  <c r="K38" i="45"/>
  <c r="J38" i="45"/>
  <c r="L38" i="45" s="1"/>
  <c r="L37" i="45"/>
  <c r="K37" i="45"/>
  <c r="J37" i="45"/>
  <c r="K36" i="45"/>
  <c r="J36" i="45"/>
  <c r="L36" i="45" s="1"/>
  <c r="K35" i="45"/>
  <c r="J35" i="45"/>
  <c r="L35" i="45" s="1"/>
  <c r="G35" i="45"/>
  <c r="K34" i="45"/>
  <c r="J34" i="45"/>
  <c r="L34" i="45" s="1"/>
  <c r="L33" i="45"/>
  <c r="K33" i="45"/>
  <c r="J33" i="45"/>
  <c r="K32" i="45"/>
  <c r="J32" i="45"/>
  <c r="K31" i="45"/>
  <c r="J31" i="45"/>
  <c r="G31" i="45"/>
  <c r="K30" i="45"/>
  <c r="J30" i="45"/>
  <c r="K29" i="45"/>
  <c r="L29" i="45" s="1"/>
  <c r="J29" i="45"/>
  <c r="K28" i="45"/>
  <c r="J28" i="45"/>
  <c r="K27" i="45"/>
  <c r="J27" i="45"/>
  <c r="G27" i="45"/>
  <c r="K26" i="45"/>
  <c r="J26" i="45"/>
  <c r="L26" i="45" s="1"/>
  <c r="L25" i="45"/>
  <c r="K25" i="45"/>
  <c r="J25" i="45"/>
  <c r="K24" i="45"/>
  <c r="L24" i="45" s="1"/>
  <c r="J24" i="45"/>
  <c r="K23" i="45"/>
  <c r="J23" i="45"/>
  <c r="G23" i="45"/>
  <c r="K22" i="45"/>
  <c r="J22" i="45"/>
  <c r="K21" i="45"/>
  <c r="L21" i="45" s="1"/>
  <c r="J21" i="45"/>
  <c r="K20" i="45"/>
  <c r="L20" i="45" s="1"/>
  <c r="J20" i="45"/>
  <c r="K19" i="45"/>
  <c r="J19" i="45"/>
  <c r="L19" i="45" s="1"/>
  <c r="G19" i="45"/>
  <c r="K18" i="45"/>
  <c r="J18" i="45"/>
  <c r="R17" i="45"/>
  <c r="R47" i="45" s="1"/>
  <c r="U47" i="45" s="1"/>
  <c r="H17" i="45"/>
  <c r="H45" i="45" s="1"/>
  <c r="G17" i="45"/>
  <c r="H25" i="45" s="1"/>
  <c r="D15" i="45"/>
  <c r="G46" i="45" s="1"/>
  <c r="P10" i="45"/>
  <c r="P1" i="45"/>
  <c r="P8" i="45" s="1"/>
  <c r="Q49" i="44"/>
  <c r="F49" i="44"/>
  <c r="E49" i="44"/>
  <c r="K48" i="44"/>
  <c r="J48" i="44"/>
  <c r="L48" i="44" s="1"/>
  <c r="K47" i="44"/>
  <c r="J47" i="44"/>
  <c r="L47" i="44" s="1"/>
  <c r="T47" i="44" s="1"/>
  <c r="S47" i="44" s="1"/>
  <c r="G47" i="44"/>
  <c r="K46" i="44"/>
  <c r="J46" i="44"/>
  <c r="L46" i="44" s="1"/>
  <c r="L45" i="44"/>
  <c r="K45" i="44"/>
  <c r="J45" i="44"/>
  <c r="K44" i="44"/>
  <c r="L44" i="44" s="1"/>
  <c r="J44" i="44"/>
  <c r="K43" i="44"/>
  <c r="J43" i="44"/>
  <c r="L43" i="44" s="1"/>
  <c r="G43" i="44"/>
  <c r="K42" i="44"/>
  <c r="J42" i="44"/>
  <c r="L42" i="44" s="1"/>
  <c r="L41" i="44"/>
  <c r="K41" i="44"/>
  <c r="J41" i="44"/>
  <c r="K40" i="44"/>
  <c r="J40" i="44"/>
  <c r="L40" i="44" s="1"/>
  <c r="K39" i="44"/>
  <c r="J39" i="44"/>
  <c r="L39" i="44" s="1"/>
  <c r="G39" i="44"/>
  <c r="K38" i="44"/>
  <c r="J38" i="44"/>
  <c r="L38" i="44" s="1"/>
  <c r="L37" i="44"/>
  <c r="K37" i="44"/>
  <c r="J37" i="44"/>
  <c r="K36" i="44"/>
  <c r="J36" i="44"/>
  <c r="L36" i="44" s="1"/>
  <c r="K35" i="44"/>
  <c r="J35" i="44"/>
  <c r="L35" i="44" s="1"/>
  <c r="G35" i="44"/>
  <c r="K34" i="44"/>
  <c r="J34" i="44"/>
  <c r="L34" i="44" s="1"/>
  <c r="L33" i="44"/>
  <c r="K33" i="44"/>
  <c r="J33" i="44"/>
  <c r="K32" i="44"/>
  <c r="L32" i="44" s="1"/>
  <c r="J32" i="44"/>
  <c r="K31" i="44"/>
  <c r="J31" i="44"/>
  <c r="G31" i="44"/>
  <c r="K30" i="44"/>
  <c r="J30" i="44"/>
  <c r="K29" i="44"/>
  <c r="L29" i="44" s="1"/>
  <c r="J29" i="44"/>
  <c r="H29" i="44"/>
  <c r="K28" i="44"/>
  <c r="J28" i="44"/>
  <c r="K27" i="44"/>
  <c r="J27" i="44"/>
  <c r="G27" i="44"/>
  <c r="K26" i="44"/>
  <c r="J26" i="44"/>
  <c r="K25" i="44"/>
  <c r="L25" i="44" s="1"/>
  <c r="J25" i="44"/>
  <c r="H25" i="44"/>
  <c r="K24" i="44"/>
  <c r="J24" i="44"/>
  <c r="K23" i="44"/>
  <c r="J23" i="44"/>
  <c r="L23" i="44" s="1"/>
  <c r="G23" i="44"/>
  <c r="K22" i="44"/>
  <c r="J22" i="44"/>
  <c r="K21" i="44"/>
  <c r="L21" i="44" s="1"/>
  <c r="J21" i="44"/>
  <c r="H21" i="44"/>
  <c r="K20" i="44"/>
  <c r="J20" i="44"/>
  <c r="L20" i="44" s="1"/>
  <c r="K19" i="44"/>
  <c r="J19" i="44"/>
  <c r="G19" i="44"/>
  <c r="K18" i="44"/>
  <c r="J18" i="44"/>
  <c r="R17" i="44"/>
  <c r="R47" i="44" s="1"/>
  <c r="U47" i="44" s="1"/>
  <c r="H17" i="44"/>
  <c r="H45" i="44" s="1"/>
  <c r="G17" i="44"/>
  <c r="H37" i="44" s="1"/>
  <c r="D15" i="44"/>
  <c r="G46" i="44" s="1"/>
  <c r="P10" i="44"/>
  <c r="P8" i="44"/>
  <c r="P1" i="44"/>
  <c r="Q49" i="43"/>
  <c r="F49" i="43"/>
  <c r="E49" i="43"/>
  <c r="K48" i="43"/>
  <c r="L48" i="43" s="1"/>
  <c r="J48" i="43"/>
  <c r="K47" i="43"/>
  <c r="J47" i="43"/>
  <c r="L47" i="43" s="1"/>
  <c r="T47" i="43" s="1"/>
  <c r="S47" i="43" s="1"/>
  <c r="G47" i="43"/>
  <c r="K46" i="43"/>
  <c r="J46" i="43"/>
  <c r="L46" i="43" s="1"/>
  <c r="L45" i="43"/>
  <c r="K45" i="43"/>
  <c r="J45" i="43"/>
  <c r="K44" i="43"/>
  <c r="L44" i="43" s="1"/>
  <c r="J44" i="43"/>
  <c r="K43" i="43"/>
  <c r="J43" i="43"/>
  <c r="L43" i="43" s="1"/>
  <c r="G43" i="43"/>
  <c r="K42" i="43"/>
  <c r="J42" i="43"/>
  <c r="L42" i="43" s="1"/>
  <c r="L41" i="43"/>
  <c r="K41" i="43"/>
  <c r="J41" i="43"/>
  <c r="K40" i="43"/>
  <c r="L40" i="43" s="1"/>
  <c r="J40" i="43"/>
  <c r="K39" i="43"/>
  <c r="J39" i="43"/>
  <c r="L39" i="43" s="1"/>
  <c r="G39" i="43"/>
  <c r="K38" i="43"/>
  <c r="J38" i="43"/>
  <c r="L38" i="43" s="1"/>
  <c r="L37" i="43"/>
  <c r="K37" i="43"/>
  <c r="J37" i="43"/>
  <c r="K36" i="43"/>
  <c r="L36" i="43" s="1"/>
  <c r="J36" i="43"/>
  <c r="K35" i="43"/>
  <c r="J35" i="43"/>
  <c r="L35" i="43" s="1"/>
  <c r="G35" i="43"/>
  <c r="K34" i="43"/>
  <c r="J34" i="43"/>
  <c r="L34" i="43" s="1"/>
  <c r="L33" i="43"/>
  <c r="K33" i="43"/>
  <c r="J33" i="43"/>
  <c r="K32" i="43"/>
  <c r="L32" i="43" s="1"/>
  <c r="J32" i="43"/>
  <c r="K31" i="43"/>
  <c r="J31" i="43"/>
  <c r="G31" i="43"/>
  <c r="K30" i="43"/>
  <c r="J30" i="43"/>
  <c r="K29" i="43"/>
  <c r="L29" i="43" s="1"/>
  <c r="J29" i="43"/>
  <c r="K28" i="43"/>
  <c r="L28" i="43" s="1"/>
  <c r="J28" i="43"/>
  <c r="K27" i="43"/>
  <c r="J27" i="43"/>
  <c r="G27" i="43"/>
  <c r="K26" i="43"/>
  <c r="J26" i="43"/>
  <c r="G26" i="43"/>
  <c r="K25" i="43"/>
  <c r="L25" i="43" s="1"/>
  <c r="J25" i="43"/>
  <c r="K24" i="43"/>
  <c r="L24" i="43" s="1"/>
  <c r="J24" i="43"/>
  <c r="K23" i="43"/>
  <c r="J23" i="43"/>
  <c r="G23" i="43"/>
  <c r="K22" i="43"/>
  <c r="J22" i="43"/>
  <c r="G22" i="43"/>
  <c r="K21" i="43"/>
  <c r="L21" i="43" s="1"/>
  <c r="J21" i="43"/>
  <c r="K20" i="43"/>
  <c r="L20" i="43" s="1"/>
  <c r="J20" i="43"/>
  <c r="K19" i="43"/>
  <c r="J19" i="43"/>
  <c r="G19" i="43"/>
  <c r="K18" i="43"/>
  <c r="J18" i="43"/>
  <c r="G18" i="43"/>
  <c r="R17" i="43"/>
  <c r="R47" i="43" s="1"/>
  <c r="U47" i="43" s="1"/>
  <c r="H17" i="43"/>
  <c r="H48" i="43" s="1"/>
  <c r="G17" i="43"/>
  <c r="H45" i="43" s="1"/>
  <c r="D15" i="43"/>
  <c r="G46" i="43" s="1"/>
  <c r="P10" i="43"/>
  <c r="P1" i="43"/>
  <c r="P8" i="43" s="1"/>
  <c r="Q49" i="42"/>
  <c r="F49" i="42"/>
  <c r="E49" i="42"/>
  <c r="K48" i="42"/>
  <c r="J48" i="42"/>
  <c r="L48" i="42" s="1"/>
  <c r="K47" i="42"/>
  <c r="V47" i="42" s="1"/>
  <c r="J47" i="42"/>
  <c r="L47" i="42" s="1"/>
  <c r="T47" i="42" s="1"/>
  <c r="S47" i="42" s="1"/>
  <c r="G47" i="42"/>
  <c r="K46" i="42"/>
  <c r="J46" i="42"/>
  <c r="L46" i="42" s="1"/>
  <c r="L45" i="42"/>
  <c r="K45" i="42"/>
  <c r="J45" i="42"/>
  <c r="K44" i="42"/>
  <c r="L44" i="42" s="1"/>
  <c r="J44" i="42"/>
  <c r="K43" i="42"/>
  <c r="J43" i="42"/>
  <c r="L43" i="42" s="1"/>
  <c r="G43" i="42"/>
  <c r="K42" i="42"/>
  <c r="J42" i="42"/>
  <c r="L42" i="42" s="1"/>
  <c r="L41" i="42"/>
  <c r="K41" i="42"/>
  <c r="J41" i="42"/>
  <c r="K40" i="42"/>
  <c r="J40" i="42"/>
  <c r="L40" i="42" s="1"/>
  <c r="K39" i="42"/>
  <c r="J39" i="42"/>
  <c r="L39" i="42" s="1"/>
  <c r="G39" i="42"/>
  <c r="K38" i="42"/>
  <c r="J38" i="42"/>
  <c r="L38" i="42" s="1"/>
  <c r="L37" i="42"/>
  <c r="K37" i="42"/>
  <c r="J37" i="42"/>
  <c r="K36" i="42"/>
  <c r="J36" i="42"/>
  <c r="L36" i="42" s="1"/>
  <c r="K35" i="42"/>
  <c r="J35" i="42"/>
  <c r="L35" i="42" s="1"/>
  <c r="G35" i="42"/>
  <c r="K34" i="42"/>
  <c r="J34" i="42"/>
  <c r="L34" i="42" s="1"/>
  <c r="L33" i="42"/>
  <c r="K33" i="42"/>
  <c r="J33" i="42"/>
  <c r="K32" i="42"/>
  <c r="J32" i="42"/>
  <c r="K31" i="42"/>
  <c r="J31" i="42"/>
  <c r="G31" i="42"/>
  <c r="K30" i="42"/>
  <c r="J30" i="42"/>
  <c r="K29" i="42"/>
  <c r="L29" i="42" s="1"/>
  <c r="J29" i="42"/>
  <c r="K28" i="42"/>
  <c r="J28" i="42"/>
  <c r="L28" i="42" s="1"/>
  <c r="K27" i="42"/>
  <c r="J27" i="42"/>
  <c r="G27" i="42"/>
  <c r="K26" i="42"/>
  <c r="J26" i="42"/>
  <c r="K25" i="42"/>
  <c r="L25" i="42" s="1"/>
  <c r="J25" i="42"/>
  <c r="K24" i="42"/>
  <c r="J24" i="42"/>
  <c r="K23" i="42"/>
  <c r="J23" i="42"/>
  <c r="L23" i="42" s="1"/>
  <c r="G23" i="42"/>
  <c r="K22" i="42"/>
  <c r="J22" i="42"/>
  <c r="K21" i="42"/>
  <c r="L21" i="42" s="1"/>
  <c r="J21" i="42"/>
  <c r="K20" i="42"/>
  <c r="J20" i="42"/>
  <c r="K19" i="42"/>
  <c r="J19" i="42"/>
  <c r="G19" i="42"/>
  <c r="K18" i="42"/>
  <c r="J18" i="42"/>
  <c r="R17" i="42"/>
  <c r="R47" i="42" s="1"/>
  <c r="U47" i="42" s="1"/>
  <c r="H17" i="42"/>
  <c r="H45" i="42" s="1"/>
  <c r="G17" i="42"/>
  <c r="H21" i="42" s="1"/>
  <c r="D15" i="42"/>
  <c r="G46" i="42" s="1"/>
  <c r="P10" i="42"/>
  <c r="P1" i="42"/>
  <c r="P8" i="42" s="1"/>
  <c r="Q49" i="41"/>
  <c r="F49" i="41"/>
  <c r="E49" i="41"/>
  <c r="R48" i="41"/>
  <c r="K48" i="41"/>
  <c r="L48" i="41" s="1"/>
  <c r="T48" i="41" s="1"/>
  <c r="S48" i="41" s="1"/>
  <c r="J48" i="41"/>
  <c r="K47" i="41"/>
  <c r="J47" i="41"/>
  <c r="L47" i="41" s="1"/>
  <c r="H47" i="41"/>
  <c r="G47" i="41"/>
  <c r="K46" i="41"/>
  <c r="J46" i="41"/>
  <c r="L46" i="41" s="1"/>
  <c r="H46" i="41"/>
  <c r="R45" i="41"/>
  <c r="K45" i="41"/>
  <c r="L45" i="41" s="1"/>
  <c r="T45" i="41" s="1"/>
  <c r="S45" i="41" s="1"/>
  <c r="J45" i="41"/>
  <c r="R44" i="41"/>
  <c r="K44" i="41"/>
  <c r="L44" i="41" s="1"/>
  <c r="T44" i="41" s="1"/>
  <c r="S44" i="41" s="1"/>
  <c r="J44" i="41"/>
  <c r="K43" i="41"/>
  <c r="J43" i="41"/>
  <c r="L43" i="41" s="1"/>
  <c r="H43" i="41"/>
  <c r="G43" i="41"/>
  <c r="K42" i="41"/>
  <c r="J42" i="41"/>
  <c r="L42" i="41" s="1"/>
  <c r="H42" i="41"/>
  <c r="R41" i="41"/>
  <c r="K41" i="41"/>
  <c r="V41" i="41" s="1"/>
  <c r="J41" i="41"/>
  <c r="R40" i="41"/>
  <c r="K40" i="41"/>
  <c r="L40" i="41" s="1"/>
  <c r="T40" i="41" s="1"/>
  <c r="S40" i="41" s="1"/>
  <c r="J40" i="41"/>
  <c r="K39" i="41"/>
  <c r="J39" i="41"/>
  <c r="L39" i="41" s="1"/>
  <c r="H39" i="41"/>
  <c r="G39" i="41"/>
  <c r="K38" i="41"/>
  <c r="J38" i="41"/>
  <c r="L38" i="41" s="1"/>
  <c r="H38" i="41"/>
  <c r="R37" i="41"/>
  <c r="K37" i="41"/>
  <c r="V37" i="41" s="1"/>
  <c r="J37" i="41"/>
  <c r="R36" i="41"/>
  <c r="K36" i="41"/>
  <c r="L36" i="41" s="1"/>
  <c r="T36" i="41" s="1"/>
  <c r="S36" i="41" s="1"/>
  <c r="J36" i="41"/>
  <c r="K35" i="41"/>
  <c r="J35" i="41"/>
  <c r="L35" i="41" s="1"/>
  <c r="H35" i="41"/>
  <c r="G35" i="41"/>
  <c r="K34" i="41"/>
  <c r="J34" i="41"/>
  <c r="L34" i="41" s="1"/>
  <c r="H34" i="41"/>
  <c r="R33" i="41"/>
  <c r="K33" i="41"/>
  <c r="L33" i="41" s="1"/>
  <c r="T33" i="41" s="1"/>
  <c r="S33" i="41" s="1"/>
  <c r="J33" i="41"/>
  <c r="R32" i="41"/>
  <c r="K32" i="41"/>
  <c r="L32" i="41" s="1"/>
  <c r="T32" i="41" s="1"/>
  <c r="S32" i="41" s="1"/>
  <c r="J32" i="41"/>
  <c r="K31" i="41"/>
  <c r="J31" i="41"/>
  <c r="H31" i="41"/>
  <c r="G31" i="41"/>
  <c r="K30" i="41"/>
  <c r="J30" i="41"/>
  <c r="L30" i="41" s="1"/>
  <c r="H30" i="41"/>
  <c r="R29" i="41"/>
  <c r="K29" i="41"/>
  <c r="L29" i="41" s="1"/>
  <c r="T29" i="41" s="1"/>
  <c r="S29" i="41" s="1"/>
  <c r="J29" i="41"/>
  <c r="R28" i="41"/>
  <c r="K28" i="41"/>
  <c r="U28" i="41" s="1"/>
  <c r="J28" i="41"/>
  <c r="K27" i="41"/>
  <c r="L27" i="41" s="1"/>
  <c r="J27" i="41"/>
  <c r="H27" i="41"/>
  <c r="G27" i="41"/>
  <c r="K26" i="41"/>
  <c r="J26" i="41"/>
  <c r="H26" i="41"/>
  <c r="R25" i="41"/>
  <c r="K25" i="41"/>
  <c r="V25" i="41" s="1"/>
  <c r="J25" i="41"/>
  <c r="R24" i="41"/>
  <c r="K24" i="41"/>
  <c r="U24" i="41" s="1"/>
  <c r="J24" i="41"/>
  <c r="K23" i="41"/>
  <c r="J23" i="41"/>
  <c r="L23" i="41" s="1"/>
  <c r="H23" i="41"/>
  <c r="G23" i="41"/>
  <c r="K22" i="41"/>
  <c r="J22" i="41"/>
  <c r="H22" i="41"/>
  <c r="R21" i="41"/>
  <c r="K21" i="41"/>
  <c r="V21" i="41" s="1"/>
  <c r="J21" i="41"/>
  <c r="R20" i="41"/>
  <c r="K20" i="41"/>
  <c r="U20" i="41" s="1"/>
  <c r="J20" i="41"/>
  <c r="K19" i="41"/>
  <c r="J19" i="41"/>
  <c r="L19" i="41" s="1"/>
  <c r="H19" i="41"/>
  <c r="G19" i="41"/>
  <c r="R18" i="41"/>
  <c r="K18" i="41"/>
  <c r="U18" i="41" s="1"/>
  <c r="J18" i="41"/>
  <c r="J49" i="41" s="1"/>
  <c r="H18" i="41"/>
  <c r="R17" i="41"/>
  <c r="R47" i="41" s="1"/>
  <c r="H17" i="41"/>
  <c r="H45" i="41" s="1"/>
  <c r="G17" i="41"/>
  <c r="H21" i="41" s="1"/>
  <c r="D15" i="41"/>
  <c r="G46" i="41" s="1"/>
  <c r="P10" i="41"/>
  <c r="P1" i="41"/>
  <c r="P8" i="41" s="1"/>
  <c r="Q49" i="40"/>
  <c r="F49" i="40"/>
  <c r="E49" i="40"/>
  <c r="P10" i="40" s="1"/>
  <c r="K48" i="40"/>
  <c r="J48" i="40"/>
  <c r="L48" i="40" s="1"/>
  <c r="L47" i="40"/>
  <c r="K47" i="40"/>
  <c r="J47" i="40"/>
  <c r="K46" i="40"/>
  <c r="J46" i="40"/>
  <c r="K45" i="40"/>
  <c r="J45" i="40"/>
  <c r="L45" i="40" s="1"/>
  <c r="G45" i="40"/>
  <c r="K44" i="40"/>
  <c r="J44" i="40"/>
  <c r="L44" i="40" s="1"/>
  <c r="L43" i="40"/>
  <c r="K43" i="40"/>
  <c r="J43" i="40"/>
  <c r="K42" i="40"/>
  <c r="J42" i="40"/>
  <c r="K41" i="40"/>
  <c r="J41" i="40"/>
  <c r="L41" i="40" s="1"/>
  <c r="G41" i="40"/>
  <c r="K40" i="40"/>
  <c r="J40" i="40"/>
  <c r="L40" i="40" s="1"/>
  <c r="L39" i="40"/>
  <c r="K39" i="40"/>
  <c r="J39" i="40"/>
  <c r="K38" i="40"/>
  <c r="J38" i="40"/>
  <c r="K37" i="40"/>
  <c r="L37" i="40" s="1"/>
  <c r="J37" i="40"/>
  <c r="G37" i="40"/>
  <c r="K36" i="40"/>
  <c r="J36" i="40"/>
  <c r="L36" i="40" s="1"/>
  <c r="L35" i="40"/>
  <c r="K35" i="40"/>
  <c r="J35" i="40"/>
  <c r="K34" i="40"/>
  <c r="J34" i="40"/>
  <c r="K33" i="40"/>
  <c r="J33" i="40"/>
  <c r="L33" i="40" s="1"/>
  <c r="G33" i="40"/>
  <c r="K32" i="40"/>
  <c r="J32" i="40"/>
  <c r="K31" i="40"/>
  <c r="L31" i="40" s="1"/>
  <c r="J31" i="40"/>
  <c r="K30" i="40"/>
  <c r="J30" i="40"/>
  <c r="K29" i="40"/>
  <c r="L29" i="40" s="1"/>
  <c r="J29" i="40"/>
  <c r="G29" i="40"/>
  <c r="K28" i="40"/>
  <c r="J28" i="40"/>
  <c r="K27" i="40"/>
  <c r="L27" i="40" s="1"/>
  <c r="J27" i="40"/>
  <c r="K26" i="40"/>
  <c r="J26" i="40"/>
  <c r="K25" i="40"/>
  <c r="J25" i="40"/>
  <c r="G25" i="40"/>
  <c r="K24" i="40"/>
  <c r="J24" i="40"/>
  <c r="K23" i="40"/>
  <c r="L23" i="40" s="1"/>
  <c r="J23" i="40"/>
  <c r="K22" i="40"/>
  <c r="J22" i="40"/>
  <c r="K21" i="40"/>
  <c r="J21" i="40"/>
  <c r="G21" i="40"/>
  <c r="K20" i="40"/>
  <c r="J20" i="40"/>
  <c r="K19" i="40"/>
  <c r="L19" i="40" s="1"/>
  <c r="J19" i="40"/>
  <c r="K18" i="40"/>
  <c r="J18" i="40"/>
  <c r="J49" i="40" s="1"/>
  <c r="R17" i="40"/>
  <c r="R46" i="40" s="1"/>
  <c r="H17" i="40"/>
  <c r="H45" i="40" s="1"/>
  <c r="G17" i="40"/>
  <c r="D15" i="40"/>
  <c r="G46" i="40" s="1"/>
  <c r="P1" i="40"/>
  <c r="P8" i="40" s="1"/>
  <c r="Q49" i="39"/>
  <c r="F49" i="39"/>
  <c r="E49" i="39"/>
  <c r="P10" i="39" s="1"/>
  <c r="K48" i="39"/>
  <c r="J48" i="39"/>
  <c r="L48" i="39" s="1"/>
  <c r="K47" i="39"/>
  <c r="J47" i="39"/>
  <c r="R46" i="39"/>
  <c r="K46" i="39"/>
  <c r="U46" i="39" s="1"/>
  <c r="J46" i="39"/>
  <c r="R45" i="39"/>
  <c r="U45" i="39" s="1"/>
  <c r="K45" i="39"/>
  <c r="L45" i="39" s="1"/>
  <c r="T45" i="39" s="1"/>
  <c r="S45" i="39" s="1"/>
  <c r="J45" i="39"/>
  <c r="G45" i="39"/>
  <c r="K44" i="39"/>
  <c r="J44" i="39"/>
  <c r="L44" i="39" s="1"/>
  <c r="K43" i="39"/>
  <c r="L43" i="39" s="1"/>
  <c r="J43" i="39"/>
  <c r="R42" i="39"/>
  <c r="K42" i="39"/>
  <c r="U42" i="39" s="1"/>
  <c r="J42" i="39"/>
  <c r="R41" i="39"/>
  <c r="U41" i="39" s="1"/>
  <c r="K41" i="39"/>
  <c r="V41" i="39" s="1"/>
  <c r="J41" i="39"/>
  <c r="L41" i="39" s="1"/>
  <c r="T41" i="39" s="1"/>
  <c r="S41" i="39" s="1"/>
  <c r="G41" i="39"/>
  <c r="K40" i="39"/>
  <c r="J40" i="39"/>
  <c r="L40" i="39" s="1"/>
  <c r="K39" i="39"/>
  <c r="L39" i="39" s="1"/>
  <c r="J39" i="39"/>
  <c r="R38" i="39"/>
  <c r="K38" i="39"/>
  <c r="U38" i="39" s="1"/>
  <c r="J38" i="39"/>
  <c r="R37" i="39"/>
  <c r="U37" i="39" s="1"/>
  <c r="K37" i="39"/>
  <c r="V37" i="39" s="1"/>
  <c r="J37" i="39"/>
  <c r="L37" i="39" s="1"/>
  <c r="T37" i="39" s="1"/>
  <c r="S37" i="39" s="1"/>
  <c r="G37" i="39"/>
  <c r="K36" i="39"/>
  <c r="J36" i="39"/>
  <c r="L36" i="39" s="1"/>
  <c r="K35" i="39"/>
  <c r="J35" i="39"/>
  <c r="R34" i="39"/>
  <c r="K34" i="39"/>
  <c r="U34" i="39" s="1"/>
  <c r="J34" i="39"/>
  <c r="R33" i="39"/>
  <c r="K33" i="39"/>
  <c r="V33" i="39" s="1"/>
  <c r="J33" i="39"/>
  <c r="G33" i="39"/>
  <c r="K32" i="39"/>
  <c r="J32" i="39"/>
  <c r="L32" i="39" s="1"/>
  <c r="K31" i="39"/>
  <c r="J31" i="39"/>
  <c r="R30" i="39"/>
  <c r="K30" i="39"/>
  <c r="U30" i="39" s="1"/>
  <c r="J30" i="39"/>
  <c r="R29" i="39"/>
  <c r="K29" i="39"/>
  <c r="V29" i="39" s="1"/>
  <c r="J29" i="39"/>
  <c r="L29" i="39" s="1"/>
  <c r="T29" i="39" s="1"/>
  <c r="S29" i="39" s="1"/>
  <c r="G29" i="39"/>
  <c r="K28" i="39"/>
  <c r="J28" i="39"/>
  <c r="K27" i="39"/>
  <c r="J27" i="39"/>
  <c r="R26" i="39"/>
  <c r="K26" i="39"/>
  <c r="U26" i="39" s="1"/>
  <c r="J26" i="39"/>
  <c r="R25" i="39"/>
  <c r="K25" i="39"/>
  <c r="V25" i="39" s="1"/>
  <c r="J25" i="39"/>
  <c r="G25" i="39"/>
  <c r="K24" i="39"/>
  <c r="J24" i="39"/>
  <c r="K23" i="39"/>
  <c r="J23" i="39"/>
  <c r="H23" i="39"/>
  <c r="R22" i="39"/>
  <c r="K22" i="39"/>
  <c r="U22" i="39" s="1"/>
  <c r="J22" i="39"/>
  <c r="R21" i="39"/>
  <c r="K21" i="39"/>
  <c r="V21" i="39" s="1"/>
  <c r="J21" i="39"/>
  <c r="L21" i="39" s="1"/>
  <c r="T21" i="39" s="1"/>
  <c r="S21" i="39" s="1"/>
  <c r="G21" i="39"/>
  <c r="K20" i="39"/>
  <c r="J20" i="39"/>
  <c r="K19" i="39"/>
  <c r="L19" i="39" s="1"/>
  <c r="J19" i="39"/>
  <c r="H19" i="39"/>
  <c r="R18" i="39"/>
  <c r="K18" i="39"/>
  <c r="U18" i="39" s="1"/>
  <c r="J18" i="39"/>
  <c r="J49" i="39" s="1"/>
  <c r="R17" i="39"/>
  <c r="R47" i="39" s="1"/>
  <c r="H17" i="39"/>
  <c r="H45" i="39" s="1"/>
  <c r="G17" i="39"/>
  <c r="H44" i="39" s="1"/>
  <c r="D15" i="39"/>
  <c r="G46" i="39" s="1"/>
  <c r="P1" i="39"/>
  <c r="P8" i="39" s="1"/>
  <c r="Q49" i="38"/>
  <c r="F49" i="38"/>
  <c r="E49" i="38"/>
  <c r="R48" i="38"/>
  <c r="K48" i="38"/>
  <c r="V48" i="38" s="1"/>
  <c r="J48" i="38"/>
  <c r="L48" i="38" s="1"/>
  <c r="T48" i="38" s="1"/>
  <c r="S48" i="38" s="1"/>
  <c r="K47" i="38"/>
  <c r="J47" i="38"/>
  <c r="L47" i="38" s="1"/>
  <c r="T47" i="38" s="1"/>
  <c r="S47" i="38" s="1"/>
  <c r="G47" i="38"/>
  <c r="K46" i="38"/>
  <c r="J46" i="38"/>
  <c r="L46" i="38" s="1"/>
  <c r="H46" i="38"/>
  <c r="R45" i="38"/>
  <c r="K45" i="38"/>
  <c r="V45" i="38" s="1"/>
  <c r="J45" i="38"/>
  <c r="R44" i="38"/>
  <c r="K44" i="38"/>
  <c r="L44" i="38" s="1"/>
  <c r="T44" i="38" s="1"/>
  <c r="S44" i="38" s="1"/>
  <c r="J44" i="38"/>
  <c r="K43" i="38"/>
  <c r="J43" i="38"/>
  <c r="L43" i="38" s="1"/>
  <c r="H43" i="38"/>
  <c r="G43" i="38"/>
  <c r="K42" i="38"/>
  <c r="J42" i="38"/>
  <c r="L42" i="38" s="1"/>
  <c r="H42" i="38"/>
  <c r="R41" i="38"/>
  <c r="K41" i="38"/>
  <c r="V41" i="38" s="1"/>
  <c r="J41" i="38"/>
  <c r="R40" i="38"/>
  <c r="K40" i="38"/>
  <c r="L40" i="38" s="1"/>
  <c r="T40" i="38" s="1"/>
  <c r="S40" i="38" s="1"/>
  <c r="J40" i="38"/>
  <c r="K39" i="38"/>
  <c r="J39" i="38"/>
  <c r="L39" i="38" s="1"/>
  <c r="H39" i="38"/>
  <c r="G39" i="38"/>
  <c r="K38" i="38"/>
  <c r="J38" i="38"/>
  <c r="L38" i="38" s="1"/>
  <c r="H38" i="38"/>
  <c r="R37" i="38"/>
  <c r="K37" i="38"/>
  <c r="V37" i="38" s="1"/>
  <c r="J37" i="38"/>
  <c r="R36" i="38"/>
  <c r="K36" i="38"/>
  <c r="V36" i="38" s="1"/>
  <c r="J36" i="38"/>
  <c r="L36" i="38" s="1"/>
  <c r="T36" i="38" s="1"/>
  <c r="S36" i="38" s="1"/>
  <c r="K35" i="38"/>
  <c r="J35" i="38"/>
  <c r="L35" i="38" s="1"/>
  <c r="H35" i="38"/>
  <c r="G35" i="38"/>
  <c r="K34" i="38"/>
  <c r="J34" i="38"/>
  <c r="H34" i="38"/>
  <c r="R33" i="38"/>
  <c r="K33" i="38"/>
  <c r="V33" i="38" s="1"/>
  <c r="J33" i="38"/>
  <c r="R32" i="38"/>
  <c r="K32" i="38"/>
  <c r="V32" i="38" s="1"/>
  <c r="J32" i="38"/>
  <c r="K31" i="38"/>
  <c r="J31" i="38"/>
  <c r="H31" i="38"/>
  <c r="G31" i="38"/>
  <c r="K30" i="38"/>
  <c r="J30" i="38"/>
  <c r="H30" i="38"/>
  <c r="R29" i="38"/>
  <c r="K29" i="38"/>
  <c r="L29" i="38" s="1"/>
  <c r="T29" i="38" s="1"/>
  <c r="S29" i="38" s="1"/>
  <c r="J29" i="38"/>
  <c r="R28" i="38"/>
  <c r="K28" i="38"/>
  <c r="V28" i="38" s="1"/>
  <c r="J28" i="38"/>
  <c r="L28" i="38" s="1"/>
  <c r="T28" i="38" s="1"/>
  <c r="S28" i="38" s="1"/>
  <c r="K27" i="38"/>
  <c r="L27" i="38" s="1"/>
  <c r="J27" i="38"/>
  <c r="H27" i="38"/>
  <c r="G27" i="38"/>
  <c r="K26" i="38"/>
  <c r="J26" i="38"/>
  <c r="L26" i="38" s="1"/>
  <c r="H26" i="38"/>
  <c r="R25" i="38"/>
  <c r="K25" i="38"/>
  <c r="V25" i="38" s="1"/>
  <c r="J25" i="38"/>
  <c r="R24" i="38"/>
  <c r="K24" i="38"/>
  <c r="V24" i="38" s="1"/>
  <c r="J24" i="38"/>
  <c r="K23" i="38"/>
  <c r="L23" i="38" s="1"/>
  <c r="J23" i="38"/>
  <c r="H23" i="38"/>
  <c r="G23" i="38"/>
  <c r="K22" i="38"/>
  <c r="J22" i="38"/>
  <c r="L22" i="38" s="1"/>
  <c r="H22" i="38"/>
  <c r="R21" i="38"/>
  <c r="K21" i="38"/>
  <c r="V21" i="38" s="1"/>
  <c r="J21" i="38"/>
  <c r="R20" i="38"/>
  <c r="V20" i="38" s="1"/>
  <c r="K20" i="38"/>
  <c r="U20" i="38" s="1"/>
  <c r="J20" i="38"/>
  <c r="L20" i="38" s="1"/>
  <c r="T20" i="38" s="1"/>
  <c r="S20" i="38" s="1"/>
  <c r="K19" i="38"/>
  <c r="L19" i="38" s="1"/>
  <c r="J19" i="38"/>
  <c r="H19" i="38"/>
  <c r="G19" i="38"/>
  <c r="R18" i="38"/>
  <c r="K18" i="38"/>
  <c r="U18" i="38" s="1"/>
  <c r="J18" i="38"/>
  <c r="J49" i="38" s="1"/>
  <c r="H18" i="38"/>
  <c r="R17" i="38"/>
  <c r="R47" i="38" s="1"/>
  <c r="H17" i="38"/>
  <c r="H45" i="38" s="1"/>
  <c r="G17" i="38"/>
  <c r="H20" i="38" s="1"/>
  <c r="D15" i="38"/>
  <c r="G46" i="38" s="1"/>
  <c r="P10" i="38"/>
  <c r="P1" i="38"/>
  <c r="P8" i="38" s="1"/>
  <c r="Q49" i="37"/>
  <c r="F49" i="37"/>
  <c r="E49" i="37"/>
  <c r="K48" i="37"/>
  <c r="L48" i="37" s="1"/>
  <c r="J48" i="37"/>
  <c r="K47" i="37"/>
  <c r="J47" i="37"/>
  <c r="L47" i="37" s="1"/>
  <c r="T47" i="37" s="1"/>
  <c r="S47" i="37" s="1"/>
  <c r="G47" i="37"/>
  <c r="K46" i="37"/>
  <c r="J46" i="37"/>
  <c r="L46" i="37" s="1"/>
  <c r="L45" i="37"/>
  <c r="K45" i="37"/>
  <c r="J45" i="37"/>
  <c r="K44" i="37"/>
  <c r="L44" i="37" s="1"/>
  <c r="J44" i="37"/>
  <c r="K43" i="37"/>
  <c r="J43" i="37"/>
  <c r="L43" i="37" s="1"/>
  <c r="G43" i="37"/>
  <c r="K42" i="37"/>
  <c r="J42" i="37"/>
  <c r="L42" i="37" s="1"/>
  <c r="L41" i="37"/>
  <c r="K41" i="37"/>
  <c r="J41" i="37"/>
  <c r="K40" i="37"/>
  <c r="J40" i="37"/>
  <c r="L40" i="37" s="1"/>
  <c r="K39" i="37"/>
  <c r="J39" i="37"/>
  <c r="L39" i="37" s="1"/>
  <c r="G39" i="37"/>
  <c r="K38" i="37"/>
  <c r="J38" i="37"/>
  <c r="L38" i="37" s="1"/>
  <c r="L37" i="37"/>
  <c r="K37" i="37"/>
  <c r="J37" i="37"/>
  <c r="K36" i="37"/>
  <c r="J36" i="37"/>
  <c r="L36" i="37" s="1"/>
  <c r="K35" i="37"/>
  <c r="J35" i="37"/>
  <c r="L35" i="37" s="1"/>
  <c r="G35" i="37"/>
  <c r="K34" i="37"/>
  <c r="J34" i="37"/>
  <c r="L34" i="37" s="1"/>
  <c r="L33" i="37"/>
  <c r="K33" i="37"/>
  <c r="J33" i="37"/>
  <c r="K32" i="37"/>
  <c r="J32" i="37"/>
  <c r="K31" i="37"/>
  <c r="J31" i="37"/>
  <c r="G31" i="37"/>
  <c r="K30" i="37"/>
  <c r="J30" i="37"/>
  <c r="K29" i="37"/>
  <c r="L29" i="37" s="1"/>
  <c r="J29" i="37"/>
  <c r="K28" i="37"/>
  <c r="J28" i="37"/>
  <c r="K27" i="37"/>
  <c r="L27" i="37" s="1"/>
  <c r="J27" i="37"/>
  <c r="G27" i="37"/>
  <c r="K26" i="37"/>
  <c r="J26" i="37"/>
  <c r="K25" i="37"/>
  <c r="L25" i="37" s="1"/>
  <c r="J25" i="37"/>
  <c r="K24" i="37"/>
  <c r="J24" i="37"/>
  <c r="L24" i="37" s="1"/>
  <c r="K23" i="37"/>
  <c r="J23" i="37"/>
  <c r="G23" i="37"/>
  <c r="K22" i="37"/>
  <c r="J22" i="37"/>
  <c r="L22" i="37" s="1"/>
  <c r="K21" i="37"/>
  <c r="L21" i="37" s="1"/>
  <c r="J21" i="37"/>
  <c r="K20" i="37"/>
  <c r="J20" i="37"/>
  <c r="K19" i="37"/>
  <c r="J19" i="37"/>
  <c r="L19" i="37" s="1"/>
  <c r="G19" i="37"/>
  <c r="K18" i="37"/>
  <c r="J18" i="37"/>
  <c r="L18" i="37" s="1"/>
  <c r="R17" i="37"/>
  <c r="R47" i="37" s="1"/>
  <c r="U47" i="37" s="1"/>
  <c r="H17" i="37"/>
  <c r="H45" i="37" s="1"/>
  <c r="G17" i="37"/>
  <c r="H29" i="37" s="1"/>
  <c r="D15" i="37"/>
  <c r="G46" i="37" s="1"/>
  <c r="P10" i="37"/>
  <c r="P1" i="37"/>
  <c r="P8" i="37" s="1"/>
  <c r="Q49" i="35"/>
  <c r="F49" i="35"/>
  <c r="E49" i="35"/>
  <c r="P10" i="35" s="1"/>
  <c r="R48" i="35"/>
  <c r="V48" i="35" s="1"/>
  <c r="K48" i="35"/>
  <c r="U48" i="35" s="1"/>
  <c r="J48" i="35"/>
  <c r="L48" i="35" s="1"/>
  <c r="T48" i="35" s="1"/>
  <c r="S48" i="35" s="1"/>
  <c r="K47" i="35"/>
  <c r="J47" i="35"/>
  <c r="R46" i="35"/>
  <c r="V46" i="35" s="1"/>
  <c r="K46" i="35"/>
  <c r="U46" i="35" s="1"/>
  <c r="J46" i="35"/>
  <c r="L46" i="35" s="1"/>
  <c r="T46" i="35" s="1"/>
  <c r="S46" i="35" s="1"/>
  <c r="K45" i="35"/>
  <c r="J45" i="35"/>
  <c r="R44" i="35"/>
  <c r="V44" i="35" s="1"/>
  <c r="K44" i="35"/>
  <c r="U44" i="35" s="1"/>
  <c r="J44" i="35"/>
  <c r="L44" i="35" s="1"/>
  <c r="T44" i="35" s="1"/>
  <c r="S44" i="35" s="1"/>
  <c r="K43" i="35"/>
  <c r="J43" i="35"/>
  <c r="R42" i="35"/>
  <c r="V42" i="35" s="1"/>
  <c r="K42" i="35"/>
  <c r="U42" i="35" s="1"/>
  <c r="J42" i="35"/>
  <c r="L42" i="35" s="1"/>
  <c r="T42" i="35" s="1"/>
  <c r="S42" i="35" s="1"/>
  <c r="K41" i="35"/>
  <c r="J41" i="35"/>
  <c r="R40" i="35"/>
  <c r="V40" i="35" s="1"/>
  <c r="K40" i="35"/>
  <c r="U40" i="35" s="1"/>
  <c r="J40" i="35"/>
  <c r="L40" i="35" s="1"/>
  <c r="K39" i="35"/>
  <c r="J39" i="35"/>
  <c r="G39" i="35"/>
  <c r="R38" i="35"/>
  <c r="V38" i="35" s="1"/>
  <c r="K38" i="35"/>
  <c r="U38" i="35" s="1"/>
  <c r="J38" i="35"/>
  <c r="L38" i="35" s="1"/>
  <c r="K37" i="35"/>
  <c r="J37" i="35"/>
  <c r="G37" i="35"/>
  <c r="R36" i="35"/>
  <c r="K36" i="35"/>
  <c r="U36" i="35" s="1"/>
  <c r="J36" i="35"/>
  <c r="K35" i="35"/>
  <c r="J35" i="35"/>
  <c r="G35" i="35"/>
  <c r="R34" i="35"/>
  <c r="K34" i="35"/>
  <c r="U34" i="35" s="1"/>
  <c r="J34" i="35"/>
  <c r="K33" i="35"/>
  <c r="J33" i="35"/>
  <c r="G33" i="35"/>
  <c r="R32" i="35"/>
  <c r="K32" i="35"/>
  <c r="J32" i="35"/>
  <c r="K31" i="35"/>
  <c r="J31" i="35"/>
  <c r="G31" i="35"/>
  <c r="R30" i="35"/>
  <c r="K30" i="35"/>
  <c r="U30" i="35" s="1"/>
  <c r="J30" i="35"/>
  <c r="K29" i="35"/>
  <c r="J29" i="35"/>
  <c r="G29" i="35"/>
  <c r="R28" i="35"/>
  <c r="K28" i="35"/>
  <c r="U28" i="35" s="1"/>
  <c r="J28" i="35"/>
  <c r="K27" i="35"/>
  <c r="J27" i="35"/>
  <c r="G27" i="35"/>
  <c r="R26" i="35"/>
  <c r="K26" i="35"/>
  <c r="J26" i="35"/>
  <c r="K25" i="35"/>
  <c r="J25" i="35"/>
  <c r="G25" i="35"/>
  <c r="R24" i="35"/>
  <c r="K24" i="35"/>
  <c r="J24" i="35"/>
  <c r="K23" i="35"/>
  <c r="J23" i="35"/>
  <c r="G23" i="35"/>
  <c r="R22" i="35"/>
  <c r="K22" i="35"/>
  <c r="J22" i="35"/>
  <c r="K21" i="35"/>
  <c r="J21" i="35"/>
  <c r="G21" i="35"/>
  <c r="R20" i="35"/>
  <c r="K20" i="35"/>
  <c r="J20" i="35"/>
  <c r="K19" i="35"/>
  <c r="J19" i="35"/>
  <c r="G19" i="35"/>
  <c r="R18" i="35"/>
  <c r="K18" i="35"/>
  <c r="J18" i="35"/>
  <c r="R17" i="35"/>
  <c r="R47" i="35" s="1"/>
  <c r="H17" i="35"/>
  <c r="G17" i="35"/>
  <c r="H18" i="35" s="1"/>
  <c r="D15" i="35"/>
  <c r="P1" i="35"/>
  <c r="P8" i="35" s="1"/>
  <c r="L61" i="82" l="1"/>
  <c r="P3" i="82" s="1"/>
  <c r="T18" i="82"/>
  <c r="V14" i="82"/>
  <c r="P9" i="82" s="1"/>
  <c r="P7" i="82"/>
  <c r="S9" i="82" s="1"/>
  <c r="P5" i="82"/>
  <c r="P4" i="82"/>
  <c r="L61" i="81"/>
  <c r="P3" i="81" s="1"/>
  <c r="T18" i="81"/>
  <c r="V14" i="81"/>
  <c r="P9" i="81" s="1"/>
  <c r="P7" i="81"/>
  <c r="S9" i="81" s="1"/>
  <c r="P5" i="81"/>
  <c r="P4" i="81"/>
  <c r="L61" i="80"/>
  <c r="P3" i="80" s="1"/>
  <c r="T18" i="80"/>
  <c r="V14" i="80"/>
  <c r="P9" i="80" s="1"/>
  <c r="P7" i="80"/>
  <c r="S9" i="80" s="1"/>
  <c r="P5" i="80"/>
  <c r="P4" i="80"/>
  <c r="L61" i="79"/>
  <c r="P3" i="79" s="1"/>
  <c r="T18" i="79"/>
  <c r="V14" i="79"/>
  <c r="P9" i="79" s="1"/>
  <c r="P7" i="79"/>
  <c r="S9" i="79" s="1"/>
  <c r="P5" i="79"/>
  <c r="P4" i="79"/>
  <c r="L61" i="78"/>
  <c r="P3" i="78" s="1"/>
  <c r="T18" i="78"/>
  <c r="V14" i="78"/>
  <c r="P9" i="78" s="1"/>
  <c r="P7" i="78"/>
  <c r="S9" i="78" s="1"/>
  <c r="P5" i="78"/>
  <c r="P4" i="78"/>
  <c r="L81" i="73"/>
  <c r="P3" i="73" s="1"/>
  <c r="T18" i="73"/>
  <c r="V14" i="73"/>
  <c r="P9" i="73" s="1"/>
  <c r="P7" i="73"/>
  <c r="S9" i="73" s="1"/>
  <c r="P5" i="73"/>
  <c r="P4" i="73"/>
  <c r="V38" i="70"/>
  <c r="H49" i="70"/>
  <c r="P2" i="70" s="1"/>
  <c r="U31" i="70"/>
  <c r="T25" i="70"/>
  <c r="S25" i="70" s="1"/>
  <c r="V20" i="70"/>
  <c r="T34" i="70"/>
  <c r="S34" i="70" s="1"/>
  <c r="T39" i="70"/>
  <c r="S39" i="70" s="1"/>
  <c r="T21" i="70"/>
  <c r="S21" i="70" s="1"/>
  <c r="U29" i="70"/>
  <c r="U20" i="70"/>
  <c r="V45" i="70"/>
  <c r="T28" i="70"/>
  <c r="S28" i="70" s="1"/>
  <c r="U45" i="70"/>
  <c r="V28" i="70"/>
  <c r="T38" i="70"/>
  <c r="S38" i="70" s="1"/>
  <c r="R49" i="70"/>
  <c r="T18" i="70"/>
  <c r="L49" i="70"/>
  <c r="P3" i="70" s="1"/>
  <c r="V29" i="70"/>
  <c r="T43" i="70"/>
  <c r="S43" i="70" s="1"/>
  <c r="V23" i="70"/>
  <c r="U43" i="70"/>
  <c r="V24" i="70"/>
  <c r="V18" i="70"/>
  <c r="V19" i="70"/>
  <c r="U18" i="70"/>
  <c r="G49" i="53"/>
  <c r="U34" i="63"/>
  <c r="L49" i="63"/>
  <c r="P3" i="63" s="1"/>
  <c r="R49" i="62"/>
  <c r="L32" i="46"/>
  <c r="T32" i="46" s="1"/>
  <c r="S32" i="46" s="1"/>
  <c r="T20" i="69"/>
  <c r="S20" i="69" s="1"/>
  <c r="L49" i="68"/>
  <c r="P3" i="68" s="1"/>
  <c r="T31" i="67"/>
  <c r="S31" i="67" s="1"/>
  <c r="L49" i="66"/>
  <c r="P3" i="66" s="1"/>
  <c r="P5" i="66" s="1"/>
  <c r="T30" i="63"/>
  <c r="S30" i="63" s="1"/>
  <c r="T26" i="63"/>
  <c r="S26" i="63" s="1"/>
  <c r="L49" i="62"/>
  <c r="P3" i="62" s="1"/>
  <c r="L49" i="61"/>
  <c r="P3" i="61" s="1"/>
  <c r="L23" i="51"/>
  <c r="L30" i="51"/>
  <c r="L31" i="43"/>
  <c r="L19" i="43"/>
  <c r="L23" i="43"/>
  <c r="L28" i="48"/>
  <c r="L18" i="48"/>
  <c r="L30" i="47"/>
  <c r="L28" i="47"/>
  <c r="T28" i="47" s="1"/>
  <c r="S28" i="47" s="1"/>
  <c r="L32" i="47"/>
  <c r="T32" i="47" s="1"/>
  <c r="S32" i="47" s="1"/>
  <c r="L24" i="46"/>
  <c r="T24" i="46" s="1"/>
  <c r="S24" i="46" s="1"/>
  <c r="L30" i="45"/>
  <c r="L32" i="45"/>
  <c r="L30" i="44"/>
  <c r="L20" i="42"/>
  <c r="V20" i="41"/>
  <c r="L24" i="41"/>
  <c r="T24" i="41" s="1"/>
  <c r="S24" i="41" s="1"/>
  <c r="V18" i="41"/>
  <c r="L32" i="40"/>
  <c r="L20" i="40"/>
  <c r="T20" i="40" s="1"/>
  <c r="S20" i="40" s="1"/>
  <c r="L49" i="59"/>
  <c r="P3" i="59" s="1"/>
  <c r="T30" i="57"/>
  <c r="S30" i="57" s="1"/>
  <c r="L49" i="56"/>
  <c r="P3" i="56" s="1"/>
  <c r="L28" i="37"/>
  <c r="L20" i="37"/>
  <c r="L32" i="38"/>
  <c r="T32" i="38" s="1"/>
  <c r="S32" i="38" s="1"/>
  <c r="L31" i="38"/>
  <c r="L30" i="38"/>
  <c r="L49" i="69"/>
  <c r="P3" i="69" s="1"/>
  <c r="T22" i="69"/>
  <c r="S22" i="69" s="1"/>
  <c r="T24" i="68"/>
  <c r="S24" i="68" s="1"/>
  <c r="T28" i="68"/>
  <c r="S28" i="68" s="1"/>
  <c r="T18" i="66"/>
  <c r="S18" i="66" s="1"/>
  <c r="T29" i="64"/>
  <c r="S29" i="64" s="1"/>
  <c r="L49" i="54"/>
  <c r="P3" i="54" s="1"/>
  <c r="P4" i="54" s="1"/>
  <c r="L33" i="39"/>
  <c r="T33" i="39" s="1"/>
  <c r="S33" i="39" s="1"/>
  <c r="L26" i="52"/>
  <c r="T26" i="52" s="1"/>
  <c r="S26" i="52" s="1"/>
  <c r="L26" i="51"/>
  <c r="L27" i="50"/>
  <c r="L22" i="43"/>
  <c r="L26" i="48"/>
  <c r="L26" i="47"/>
  <c r="L26" i="46"/>
  <c r="L31" i="44"/>
  <c r="T31" i="44" s="1"/>
  <c r="S31" i="44" s="1"/>
  <c r="L27" i="42"/>
  <c r="T27" i="42" s="1"/>
  <c r="S27" i="42" s="1"/>
  <c r="L31" i="41"/>
  <c r="T31" i="41" s="1"/>
  <c r="S31" i="41" s="1"/>
  <c r="L26" i="41"/>
  <c r="L25" i="40"/>
  <c r="T35" i="60"/>
  <c r="S35" i="60" s="1"/>
  <c r="T30" i="60"/>
  <c r="S30" i="60" s="1"/>
  <c r="T31" i="59"/>
  <c r="S31" i="59" s="1"/>
  <c r="L49" i="58"/>
  <c r="P3" i="58" s="1"/>
  <c r="T34" i="56"/>
  <c r="S34" i="56" s="1"/>
  <c r="T32" i="56"/>
  <c r="S32" i="56" s="1"/>
  <c r="T34" i="55"/>
  <c r="S34" i="55" s="1"/>
  <c r="L49" i="55"/>
  <c r="P3" i="55" s="1"/>
  <c r="L32" i="37"/>
  <c r="L31" i="37"/>
  <c r="L30" i="37"/>
  <c r="L26" i="37"/>
  <c r="L23" i="37"/>
  <c r="L34" i="38"/>
  <c r="T34" i="38" s="1"/>
  <c r="S34" i="38" s="1"/>
  <c r="L24" i="38"/>
  <c r="T24" i="38" s="1"/>
  <c r="S24" i="38" s="1"/>
  <c r="V18" i="38"/>
  <c r="L26" i="35"/>
  <c r="L49" i="65"/>
  <c r="P3" i="65" s="1"/>
  <c r="T28" i="65"/>
  <c r="S28" i="65" s="1"/>
  <c r="U33" i="39"/>
  <c r="U29" i="39"/>
  <c r="L28" i="39"/>
  <c r="L25" i="39"/>
  <c r="T25" i="39" s="1"/>
  <c r="S25" i="39" s="1"/>
  <c r="U25" i="39"/>
  <c r="L24" i="39"/>
  <c r="T24" i="39" s="1"/>
  <c r="S24" i="39" s="1"/>
  <c r="U21" i="39"/>
  <c r="L20" i="39"/>
  <c r="L30" i="52"/>
  <c r="V28" i="52"/>
  <c r="V24" i="52"/>
  <c r="L22" i="52"/>
  <c r="T22" i="52" s="1"/>
  <c r="S22" i="52" s="1"/>
  <c r="V20" i="52"/>
  <c r="L18" i="52"/>
  <c r="L32" i="51"/>
  <c r="L31" i="51"/>
  <c r="L28" i="51"/>
  <c r="L25" i="51"/>
  <c r="T25" i="51" s="1"/>
  <c r="S25" i="51" s="1"/>
  <c r="L22" i="51"/>
  <c r="L21" i="51"/>
  <c r="T21" i="51" s="1"/>
  <c r="S21" i="51" s="1"/>
  <c r="L20" i="51"/>
  <c r="L19" i="51"/>
  <c r="L31" i="50"/>
  <c r="L29" i="50"/>
  <c r="L25" i="50"/>
  <c r="T25" i="50" s="1"/>
  <c r="S25" i="50" s="1"/>
  <c r="L23" i="50"/>
  <c r="L19" i="50"/>
  <c r="L32" i="49"/>
  <c r="T32" i="49" s="1"/>
  <c r="S32" i="49" s="1"/>
  <c r="L31" i="49"/>
  <c r="L28" i="49"/>
  <c r="T28" i="49" s="1"/>
  <c r="S28" i="49" s="1"/>
  <c r="L27" i="49"/>
  <c r="L26" i="49"/>
  <c r="L24" i="49"/>
  <c r="L22" i="49"/>
  <c r="L19" i="49"/>
  <c r="L30" i="43"/>
  <c r="L27" i="43"/>
  <c r="L26" i="43"/>
  <c r="L18" i="43"/>
  <c r="L32" i="48"/>
  <c r="L30" i="48"/>
  <c r="L24" i="48"/>
  <c r="L22" i="48"/>
  <c r="L49" i="48" s="1"/>
  <c r="P3" i="48" s="1"/>
  <c r="L22" i="47"/>
  <c r="L20" i="47"/>
  <c r="T20" i="47" s="1"/>
  <c r="S20" i="47" s="1"/>
  <c r="L18" i="47"/>
  <c r="L30" i="46"/>
  <c r="T30" i="46" s="1"/>
  <c r="S30" i="46" s="1"/>
  <c r="L28" i="46"/>
  <c r="T28" i="46" s="1"/>
  <c r="S28" i="46" s="1"/>
  <c r="L20" i="46"/>
  <c r="T20" i="46" s="1"/>
  <c r="S20" i="46" s="1"/>
  <c r="L18" i="46"/>
  <c r="L31" i="45"/>
  <c r="L28" i="45"/>
  <c r="L27" i="45"/>
  <c r="L23" i="45"/>
  <c r="L22" i="45"/>
  <c r="L18" i="45"/>
  <c r="L28" i="44"/>
  <c r="L49" i="44" s="1"/>
  <c r="P3" i="44" s="1"/>
  <c r="L27" i="44"/>
  <c r="L26" i="44"/>
  <c r="L24" i="44"/>
  <c r="L22" i="44"/>
  <c r="L19" i="44"/>
  <c r="L18" i="44"/>
  <c r="L32" i="42"/>
  <c r="L31" i="42"/>
  <c r="L30" i="42"/>
  <c r="L26" i="42"/>
  <c r="L24" i="42"/>
  <c r="L22" i="42"/>
  <c r="L19" i="42"/>
  <c r="L18" i="42"/>
  <c r="V28" i="41"/>
  <c r="L28" i="41"/>
  <c r="T28" i="41" s="1"/>
  <c r="S28" i="41" s="1"/>
  <c r="V24" i="41"/>
  <c r="L22" i="41"/>
  <c r="T22" i="41" s="1"/>
  <c r="S22" i="41" s="1"/>
  <c r="L20" i="41"/>
  <c r="T20" i="41" s="1"/>
  <c r="S20" i="41" s="1"/>
  <c r="L28" i="40"/>
  <c r="L24" i="40"/>
  <c r="L21" i="40"/>
  <c r="L49" i="57"/>
  <c r="P3" i="57" s="1"/>
  <c r="S18" i="69"/>
  <c r="U43" i="69"/>
  <c r="V43" i="69"/>
  <c r="V18" i="69"/>
  <c r="U31" i="69"/>
  <c r="V31" i="69"/>
  <c r="U18" i="69"/>
  <c r="U32" i="69"/>
  <c r="V38" i="69"/>
  <c r="H49" i="69"/>
  <c r="P2" i="69" s="1"/>
  <c r="T43" i="69"/>
  <c r="S43" i="69" s="1"/>
  <c r="V48" i="69"/>
  <c r="U26" i="69"/>
  <c r="U39" i="69"/>
  <c r="V39" i="69"/>
  <c r="V23" i="69"/>
  <c r="U23" i="69"/>
  <c r="U38" i="69"/>
  <c r="V40" i="69"/>
  <c r="T40" i="69"/>
  <c r="S40" i="69" s="1"/>
  <c r="V44" i="69"/>
  <c r="R49" i="69"/>
  <c r="T34" i="69"/>
  <c r="S34" i="69" s="1"/>
  <c r="V19" i="69"/>
  <c r="U19" i="69"/>
  <c r="T30" i="69"/>
  <c r="S30" i="69" s="1"/>
  <c r="V32" i="69"/>
  <c r="V36" i="69"/>
  <c r="U35" i="69"/>
  <c r="V35" i="69"/>
  <c r="U22" i="69"/>
  <c r="U20" i="69"/>
  <c r="U27" i="69"/>
  <c r="V27" i="69"/>
  <c r="T27" i="69"/>
  <c r="S27" i="69" s="1"/>
  <c r="V20" i="69"/>
  <c r="S18" i="68"/>
  <c r="T43" i="68"/>
  <c r="S43" i="68" s="1"/>
  <c r="T32" i="68"/>
  <c r="S32" i="68" s="1"/>
  <c r="T23" i="68"/>
  <c r="S23" i="68" s="1"/>
  <c r="V23" i="68"/>
  <c r="T44" i="68"/>
  <c r="S44" i="68" s="1"/>
  <c r="V28" i="68"/>
  <c r="U44" i="68"/>
  <c r="U28" i="68"/>
  <c r="V45" i="68"/>
  <c r="U45" i="68"/>
  <c r="V29" i="68"/>
  <c r="U29" i="68"/>
  <c r="T38" i="68"/>
  <c r="S38" i="68" s="1"/>
  <c r="U18" i="68"/>
  <c r="V34" i="68"/>
  <c r="V35" i="68"/>
  <c r="V48" i="68"/>
  <c r="T35" i="68"/>
  <c r="S35" i="68" s="1"/>
  <c r="V41" i="68"/>
  <c r="U41" i="68"/>
  <c r="V25" i="68"/>
  <c r="U25" i="68"/>
  <c r="V19" i="68"/>
  <c r="U19" i="68"/>
  <c r="T39" i="68"/>
  <c r="S39" i="68" s="1"/>
  <c r="V39" i="68"/>
  <c r="T41" i="68"/>
  <c r="S41" i="68" s="1"/>
  <c r="T27" i="68"/>
  <c r="S27" i="68" s="1"/>
  <c r="V33" i="68"/>
  <c r="U33" i="68"/>
  <c r="V37" i="68"/>
  <c r="U37" i="68"/>
  <c r="V21" i="68"/>
  <c r="U21" i="68"/>
  <c r="T21" i="68"/>
  <c r="S21" i="68" s="1"/>
  <c r="U34" i="68"/>
  <c r="H49" i="68"/>
  <c r="P2" i="68" s="1"/>
  <c r="R49" i="68"/>
  <c r="V18" i="68"/>
  <c r="T31" i="68"/>
  <c r="S31" i="68" s="1"/>
  <c r="V31" i="68"/>
  <c r="T33" i="68"/>
  <c r="S33" i="68" s="1"/>
  <c r="T19" i="68"/>
  <c r="S19" i="68" s="1"/>
  <c r="S18" i="67"/>
  <c r="V43" i="67"/>
  <c r="U43" i="67"/>
  <c r="T38" i="67"/>
  <c r="S38" i="67" s="1"/>
  <c r="U42" i="67"/>
  <c r="T42" i="67"/>
  <c r="S42" i="67" s="1"/>
  <c r="T34" i="67"/>
  <c r="S34" i="67" s="1"/>
  <c r="U30" i="67"/>
  <c r="V31" i="67"/>
  <c r="U31" i="67"/>
  <c r="G49" i="67"/>
  <c r="V39" i="67"/>
  <c r="U39" i="67"/>
  <c r="V27" i="67"/>
  <c r="U27" i="67"/>
  <c r="T27" i="67"/>
  <c r="S27" i="67" s="1"/>
  <c r="T30" i="67"/>
  <c r="S30" i="67" s="1"/>
  <c r="L49" i="67"/>
  <c r="P3" i="67" s="1"/>
  <c r="T39" i="67"/>
  <c r="S39" i="67" s="1"/>
  <c r="T43" i="67"/>
  <c r="S43" i="67" s="1"/>
  <c r="T26" i="67"/>
  <c r="S26" i="67" s="1"/>
  <c r="V23" i="67"/>
  <c r="U23" i="67"/>
  <c r="T23" i="67"/>
  <c r="S23" i="67" s="1"/>
  <c r="U34" i="67"/>
  <c r="U38" i="67"/>
  <c r="U26" i="67"/>
  <c r="U35" i="67"/>
  <c r="V35" i="67"/>
  <c r="T22" i="67"/>
  <c r="S22" i="67" s="1"/>
  <c r="V19" i="67"/>
  <c r="U19" i="67"/>
  <c r="T19" i="67"/>
  <c r="S19" i="67" s="1"/>
  <c r="R49" i="67"/>
  <c r="V18" i="67"/>
  <c r="T46" i="67"/>
  <c r="S46" i="67" s="1"/>
  <c r="U18" i="67"/>
  <c r="T35" i="67"/>
  <c r="S35" i="67" s="1"/>
  <c r="P4" i="66"/>
  <c r="U31" i="66"/>
  <c r="V31" i="66"/>
  <c r="U18" i="66"/>
  <c r="U22" i="66"/>
  <c r="V29" i="66"/>
  <c r="T37" i="66"/>
  <c r="S37" i="66" s="1"/>
  <c r="T31" i="66"/>
  <c r="S31" i="66" s="1"/>
  <c r="T45" i="66"/>
  <c r="S45" i="66" s="1"/>
  <c r="U34" i="66"/>
  <c r="U26" i="66"/>
  <c r="T34" i="66"/>
  <c r="S34" i="66" s="1"/>
  <c r="U19" i="66"/>
  <c r="V19" i="66"/>
  <c r="G49" i="66"/>
  <c r="U42" i="66"/>
  <c r="V48" i="66"/>
  <c r="T26" i="66"/>
  <c r="S26" i="66" s="1"/>
  <c r="V43" i="66"/>
  <c r="U43" i="66"/>
  <c r="T41" i="66"/>
  <c r="S41" i="66" s="1"/>
  <c r="U23" i="66"/>
  <c r="V23" i="66"/>
  <c r="U36" i="66"/>
  <c r="T46" i="66"/>
  <c r="S46" i="66" s="1"/>
  <c r="T36" i="66"/>
  <c r="S36" i="66" s="1"/>
  <c r="T42" i="66"/>
  <c r="S42" i="66" s="1"/>
  <c r="U38" i="66"/>
  <c r="T38" i="66"/>
  <c r="S38" i="66" s="1"/>
  <c r="U35" i="66"/>
  <c r="V35" i="66"/>
  <c r="U39" i="66"/>
  <c r="V39" i="66"/>
  <c r="U33" i="66"/>
  <c r="R49" i="66"/>
  <c r="V18" i="66"/>
  <c r="T30" i="66"/>
  <c r="S30" i="66" s="1"/>
  <c r="T35" i="66"/>
  <c r="S35" i="66" s="1"/>
  <c r="U24" i="65"/>
  <c r="V22" i="65"/>
  <c r="T20" i="65"/>
  <c r="S20" i="65" s="1"/>
  <c r="T22" i="65"/>
  <c r="S22" i="65" s="1"/>
  <c r="T24" i="65"/>
  <c r="S24" i="65" s="1"/>
  <c r="V39" i="65"/>
  <c r="U39" i="65"/>
  <c r="V35" i="65"/>
  <c r="U35" i="65"/>
  <c r="R49" i="65"/>
  <c r="V18" i="65"/>
  <c r="V28" i="65"/>
  <c r="V32" i="65"/>
  <c r="T34" i="65"/>
  <c r="S34" i="65" s="1"/>
  <c r="V23" i="65"/>
  <c r="U23" i="65"/>
  <c r="U32" i="65"/>
  <c r="V38" i="65"/>
  <c r="H49" i="65"/>
  <c r="P2" i="65" s="1"/>
  <c r="T39" i="65"/>
  <c r="S39" i="65" s="1"/>
  <c r="T26" i="65"/>
  <c r="S26" i="65" s="1"/>
  <c r="V31" i="65"/>
  <c r="U31" i="65"/>
  <c r="V26" i="65"/>
  <c r="U46" i="65"/>
  <c r="T46" i="65"/>
  <c r="S46" i="65" s="1"/>
  <c r="V20" i="65"/>
  <c r="U28" i="65"/>
  <c r="T38" i="65"/>
  <c r="S38" i="65" s="1"/>
  <c r="T31" i="65"/>
  <c r="S31" i="65" s="1"/>
  <c r="T18" i="65"/>
  <c r="V19" i="65"/>
  <c r="U19" i="65"/>
  <c r="V43" i="65"/>
  <c r="U43" i="65"/>
  <c r="U27" i="65"/>
  <c r="V27" i="65"/>
  <c r="T27" i="64"/>
  <c r="S27" i="64" s="1"/>
  <c r="V43" i="64"/>
  <c r="L49" i="64"/>
  <c r="P3" i="64" s="1"/>
  <c r="P4" i="64" s="1"/>
  <c r="G49" i="64"/>
  <c r="T23" i="64"/>
  <c r="S23" i="64" s="1"/>
  <c r="U39" i="64"/>
  <c r="U23" i="64"/>
  <c r="T19" i="64"/>
  <c r="S19" i="64" s="1"/>
  <c r="R49" i="64"/>
  <c r="V39" i="64"/>
  <c r="S18" i="64"/>
  <c r="U37" i="64"/>
  <c r="U35" i="64"/>
  <c r="T33" i="64"/>
  <c r="S33" i="64" s="1"/>
  <c r="U37" i="63"/>
  <c r="U27" i="63"/>
  <c r="V27" i="63"/>
  <c r="R49" i="63"/>
  <c r="V18" i="63"/>
  <c r="T21" i="63"/>
  <c r="S21" i="63" s="1"/>
  <c r="U42" i="63"/>
  <c r="U45" i="63"/>
  <c r="U38" i="63"/>
  <c r="T34" i="63"/>
  <c r="S34" i="63" s="1"/>
  <c r="U31" i="63"/>
  <c r="V31" i="63"/>
  <c r="U23" i="63"/>
  <c r="V23" i="63"/>
  <c r="U32" i="63"/>
  <c r="V38" i="63"/>
  <c r="H49" i="63"/>
  <c r="P2" i="63" s="1"/>
  <c r="T46" i="63"/>
  <c r="S46" i="63" s="1"/>
  <c r="T39" i="63"/>
  <c r="S39" i="63" s="1"/>
  <c r="T42" i="63"/>
  <c r="S42" i="63" s="1"/>
  <c r="T35" i="63"/>
  <c r="S35" i="63" s="1"/>
  <c r="V26" i="63"/>
  <c r="U46" i="63"/>
  <c r="V39" i="63"/>
  <c r="T29" i="63"/>
  <c r="S29" i="63" s="1"/>
  <c r="V35" i="63"/>
  <c r="T25" i="63"/>
  <c r="S25" i="63" s="1"/>
  <c r="U21" i="63"/>
  <c r="V30" i="63"/>
  <c r="U19" i="63"/>
  <c r="V19" i="63"/>
  <c r="T43" i="63"/>
  <c r="S43" i="63" s="1"/>
  <c r="U26" i="63"/>
  <c r="T32" i="63"/>
  <c r="S32" i="63" s="1"/>
  <c r="U22" i="63"/>
  <c r="U25" i="63"/>
  <c r="G49" i="63"/>
  <c r="T33" i="63"/>
  <c r="S33" i="63" s="1"/>
  <c r="U33" i="63"/>
  <c r="T23" i="63"/>
  <c r="S23" i="63" s="1"/>
  <c r="U29" i="63"/>
  <c r="T19" i="63"/>
  <c r="S19" i="63" s="1"/>
  <c r="T22" i="63"/>
  <c r="S22" i="63" s="1"/>
  <c r="T18" i="63"/>
  <c r="U30" i="63"/>
  <c r="T37" i="63"/>
  <c r="S37" i="63" s="1"/>
  <c r="T31" i="63"/>
  <c r="S31" i="63" s="1"/>
  <c r="V43" i="63"/>
  <c r="V14" i="62"/>
  <c r="P9" i="62" s="1"/>
  <c r="P7" i="62"/>
  <c r="S9" i="62" s="1"/>
  <c r="U9" i="62" s="1"/>
  <c r="T22" i="62"/>
  <c r="S22" i="62" s="1"/>
  <c r="V38" i="62"/>
  <c r="H49" i="62"/>
  <c r="P2" i="62" s="1"/>
  <c r="T29" i="62"/>
  <c r="S29" i="62" s="1"/>
  <c r="T19" i="62"/>
  <c r="S19" i="62" s="1"/>
  <c r="V27" i="62"/>
  <c r="U27" i="62"/>
  <c r="T36" i="62"/>
  <c r="S36" i="62" s="1"/>
  <c r="V40" i="62"/>
  <c r="U23" i="62"/>
  <c r="V23" i="62"/>
  <c r="V26" i="62"/>
  <c r="U46" i="62"/>
  <c r="U37" i="62"/>
  <c r="U29" i="62"/>
  <c r="U35" i="62"/>
  <c r="V35" i="62"/>
  <c r="U19" i="62"/>
  <c r="V19" i="62"/>
  <c r="U28" i="62"/>
  <c r="V34" i="62"/>
  <c r="T33" i="62"/>
  <c r="S33" i="62" s="1"/>
  <c r="U22" i="62"/>
  <c r="T43" i="62"/>
  <c r="S43" i="62" s="1"/>
  <c r="T38" i="62"/>
  <c r="S38" i="62" s="1"/>
  <c r="T37" i="62"/>
  <c r="S37" i="62" s="1"/>
  <c r="V43" i="62"/>
  <c r="T40" i="62"/>
  <c r="S40" i="62" s="1"/>
  <c r="U30" i="62"/>
  <c r="T39" i="62"/>
  <c r="S39" i="62" s="1"/>
  <c r="T34" i="62"/>
  <c r="S34" i="62" s="1"/>
  <c r="V48" i="62"/>
  <c r="U31" i="62"/>
  <c r="V31" i="62"/>
  <c r="V39" i="62"/>
  <c r="V42" i="62"/>
  <c r="T24" i="62"/>
  <c r="S24" i="62" s="1"/>
  <c r="T45" i="62"/>
  <c r="S45" i="62" s="1"/>
  <c r="U45" i="62"/>
  <c r="S18" i="62"/>
  <c r="V28" i="62"/>
  <c r="G49" i="62"/>
  <c r="U33" i="62"/>
  <c r="U42" i="62"/>
  <c r="U25" i="62"/>
  <c r="T27" i="62"/>
  <c r="S27" i="62" s="1"/>
  <c r="U48" i="61"/>
  <c r="V46" i="61"/>
  <c r="T40" i="61"/>
  <c r="S40" i="61" s="1"/>
  <c r="T30" i="61"/>
  <c r="S30" i="61" s="1"/>
  <c r="T29" i="61"/>
  <c r="S29" i="61" s="1"/>
  <c r="V32" i="61"/>
  <c r="T38" i="61"/>
  <c r="S38" i="61" s="1"/>
  <c r="R49" i="61"/>
  <c r="V27" i="61"/>
  <c r="V34" i="61"/>
  <c r="T23" i="61"/>
  <c r="S23" i="61" s="1"/>
  <c r="U26" i="61"/>
  <c r="U29" i="61"/>
  <c r="T25" i="61"/>
  <c r="S25" i="61" s="1"/>
  <c r="T31" i="61"/>
  <c r="S31" i="61" s="1"/>
  <c r="U28" i="61"/>
  <c r="V23" i="61"/>
  <c r="V22" i="61"/>
  <c r="U30" i="61"/>
  <c r="U20" i="61"/>
  <c r="U22" i="61"/>
  <c r="V28" i="61"/>
  <c r="T37" i="61"/>
  <c r="S37" i="61" s="1"/>
  <c r="H49" i="61"/>
  <c r="P2" i="61" s="1"/>
  <c r="V43" i="61"/>
  <c r="T24" i="61"/>
  <c r="S24" i="61" s="1"/>
  <c r="S18" i="61"/>
  <c r="U24" i="61"/>
  <c r="T20" i="61"/>
  <c r="S20" i="61" s="1"/>
  <c r="T19" i="61"/>
  <c r="S19" i="61" s="1"/>
  <c r="U25" i="61"/>
  <c r="U40" i="61"/>
  <c r="V31" i="61"/>
  <c r="T27" i="61"/>
  <c r="S27" i="61" s="1"/>
  <c r="V48" i="61"/>
  <c r="T43" i="61"/>
  <c r="S43" i="61" s="1"/>
  <c r="T39" i="61"/>
  <c r="S39" i="61" s="1"/>
  <c r="V43" i="60"/>
  <c r="U43" i="60"/>
  <c r="U42" i="60"/>
  <c r="V23" i="60"/>
  <c r="U23" i="60"/>
  <c r="U36" i="60"/>
  <c r="V42" i="60"/>
  <c r="T43" i="60"/>
  <c r="S43" i="60" s="1"/>
  <c r="T23" i="60"/>
  <c r="S23" i="60" s="1"/>
  <c r="U34" i="60"/>
  <c r="T36" i="60"/>
  <c r="S36" i="60" s="1"/>
  <c r="V39" i="60"/>
  <c r="U39" i="60"/>
  <c r="R49" i="60"/>
  <c r="T44" i="60"/>
  <c r="S44" i="60" s="1"/>
  <c r="V27" i="60"/>
  <c r="U27" i="60"/>
  <c r="U19" i="60"/>
  <c r="V19" i="60"/>
  <c r="V48" i="60"/>
  <c r="U48" i="60"/>
  <c r="T18" i="60"/>
  <c r="L49" i="60"/>
  <c r="P3" i="60" s="1"/>
  <c r="V18" i="60"/>
  <c r="U30" i="60"/>
  <c r="U18" i="60"/>
  <c r="V35" i="60"/>
  <c r="U35" i="60"/>
  <c r="H49" i="60"/>
  <c r="P2" i="60" s="1"/>
  <c r="U22" i="60"/>
  <c r="V31" i="60"/>
  <c r="U31" i="60"/>
  <c r="T31" i="60"/>
  <c r="S31" i="60" s="1"/>
  <c r="U24" i="60"/>
  <c r="V34" i="60"/>
  <c r="V24" i="60"/>
  <c r="T27" i="60"/>
  <c r="S27" i="60" s="1"/>
  <c r="T28" i="59"/>
  <c r="S28" i="59" s="1"/>
  <c r="U23" i="59"/>
  <c r="V23" i="59"/>
  <c r="U39" i="59"/>
  <c r="V39" i="59"/>
  <c r="U19" i="59"/>
  <c r="V19" i="59"/>
  <c r="V48" i="59"/>
  <c r="V36" i="59"/>
  <c r="V34" i="59"/>
  <c r="T33" i="59"/>
  <c r="S33" i="59" s="1"/>
  <c r="T30" i="59"/>
  <c r="S30" i="59" s="1"/>
  <c r="T18" i="59"/>
  <c r="U28" i="59"/>
  <c r="U30" i="59"/>
  <c r="U21" i="59"/>
  <c r="U37" i="59"/>
  <c r="T37" i="59"/>
  <c r="S37" i="59" s="1"/>
  <c r="V35" i="59"/>
  <c r="U35" i="59"/>
  <c r="V44" i="59"/>
  <c r="V42" i="59"/>
  <c r="U42" i="59"/>
  <c r="T41" i="59"/>
  <c r="S41" i="59" s="1"/>
  <c r="U24" i="59"/>
  <c r="T29" i="59"/>
  <c r="S29" i="59" s="1"/>
  <c r="U38" i="59"/>
  <c r="U41" i="59"/>
  <c r="U31" i="59"/>
  <c r="V31" i="59"/>
  <c r="T21" i="59"/>
  <c r="S21" i="59" s="1"/>
  <c r="H49" i="59"/>
  <c r="P2" i="59" s="1"/>
  <c r="V43" i="59"/>
  <c r="U43" i="59"/>
  <c r="U27" i="59"/>
  <c r="V27" i="59"/>
  <c r="R49" i="59"/>
  <c r="T23" i="59"/>
  <c r="S23" i="59" s="1"/>
  <c r="V36" i="58"/>
  <c r="U46" i="58"/>
  <c r="T45" i="58"/>
  <c r="S45" i="58" s="1"/>
  <c r="U38" i="58"/>
  <c r="U21" i="58"/>
  <c r="V43" i="58"/>
  <c r="U45" i="58"/>
  <c r="V34" i="58"/>
  <c r="T39" i="58"/>
  <c r="S39" i="58" s="1"/>
  <c r="V32" i="58"/>
  <c r="U40" i="58"/>
  <c r="U24" i="58"/>
  <c r="V22" i="58"/>
  <c r="U30" i="58"/>
  <c r="T29" i="58"/>
  <c r="S29" i="58" s="1"/>
  <c r="V35" i="58"/>
  <c r="T38" i="58"/>
  <c r="S38" i="58" s="1"/>
  <c r="T37" i="58"/>
  <c r="S37" i="58" s="1"/>
  <c r="V27" i="58"/>
  <c r="G49" i="58"/>
  <c r="T27" i="58"/>
  <c r="S27" i="58" s="1"/>
  <c r="V31" i="58"/>
  <c r="U34" i="58"/>
  <c r="T35" i="58"/>
  <c r="S35" i="58" s="1"/>
  <c r="U36" i="58"/>
  <c r="U33" i="58"/>
  <c r="T23" i="58"/>
  <c r="S23" i="58" s="1"/>
  <c r="V19" i="58"/>
  <c r="T31" i="58"/>
  <c r="S31" i="58" s="1"/>
  <c r="R49" i="58"/>
  <c r="V18" i="58"/>
  <c r="T46" i="58"/>
  <c r="S46" i="58" s="1"/>
  <c r="U29" i="58"/>
  <c r="V39" i="58"/>
  <c r="T18" i="58"/>
  <c r="H49" i="58"/>
  <c r="P2" i="58" s="1"/>
  <c r="U18" i="58"/>
  <c r="V23" i="58"/>
  <c r="T41" i="57"/>
  <c r="S41" i="57" s="1"/>
  <c r="R49" i="57"/>
  <c r="V39" i="57"/>
  <c r="V31" i="57"/>
  <c r="V38" i="57"/>
  <c r="H49" i="57"/>
  <c r="P2" i="57" s="1"/>
  <c r="V24" i="57"/>
  <c r="T26" i="57"/>
  <c r="S26" i="57" s="1"/>
  <c r="T48" i="57"/>
  <c r="S48" i="57" s="1"/>
  <c r="U37" i="57"/>
  <c r="U25" i="57"/>
  <c r="U48" i="57"/>
  <c r="V27" i="57"/>
  <c r="V34" i="57"/>
  <c r="T33" i="57"/>
  <c r="S33" i="57" s="1"/>
  <c r="V36" i="57"/>
  <c r="U42" i="57"/>
  <c r="T42" i="57"/>
  <c r="S42" i="57" s="1"/>
  <c r="T32" i="57"/>
  <c r="S32" i="57" s="1"/>
  <c r="U34" i="57"/>
  <c r="U23" i="57"/>
  <c r="V23" i="57"/>
  <c r="U19" i="57"/>
  <c r="V19" i="57"/>
  <c r="V22" i="57"/>
  <c r="U30" i="57"/>
  <c r="U33" i="57"/>
  <c r="T25" i="57"/>
  <c r="S25" i="57" s="1"/>
  <c r="U41" i="57"/>
  <c r="T28" i="57"/>
  <c r="S28" i="57" s="1"/>
  <c r="V35" i="57"/>
  <c r="T29" i="57"/>
  <c r="S29" i="57" s="1"/>
  <c r="U29" i="57"/>
  <c r="T21" i="57"/>
  <c r="S21" i="57" s="1"/>
  <c r="T23" i="57"/>
  <c r="S23" i="57" s="1"/>
  <c r="T20" i="57"/>
  <c r="S20" i="57" s="1"/>
  <c r="T19" i="57"/>
  <c r="S19" i="57" s="1"/>
  <c r="T31" i="57"/>
  <c r="S31" i="57" s="1"/>
  <c r="T43" i="57"/>
  <c r="S43" i="57" s="1"/>
  <c r="T39" i="57"/>
  <c r="S39" i="57" s="1"/>
  <c r="G49" i="57"/>
  <c r="V18" i="57"/>
  <c r="T18" i="57"/>
  <c r="U21" i="57"/>
  <c r="R49" i="56"/>
  <c r="U44" i="56"/>
  <c r="T39" i="56"/>
  <c r="S39" i="56" s="1"/>
  <c r="U26" i="56"/>
  <c r="T35" i="56"/>
  <c r="S35" i="56" s="1"/>
  <c r="U41" i="56"/>
  <c r="V43" i="56"/>
  <c r="S18" i="56"/>
  <c r="V36" i="56"/>
  <c r="T20" i="56"/>
  <c r="S20" i="56" s="1"/>
  <c r="T38" i="56"/>
  <c r="S38" i="56" s="1"/>
  <c r="U24" i="56"/>
  <c r="V18" i="56"/>
  <c r="U33" i="56"/>
  <c r="T47" i="56"/>
  <c r="S47" i="56" s="1"/>
  <c r="U29" i="56"/>
  <c r="U38" i="56"/>
  <c r="V31" i="56"/>
  <c r="U37" i="56"/>
  <c r="T43" i="56"/>
  <c r="S43" i="56" s="1"/>
  <c r="G49" i="56"/>
  <c r="V39" i="56"/>
  <c r="V27" i="56"/>
  <c r="H49" i="56"/>
  <c r="P2" i="56" s="1"/>
  <c r="T30" i="56"/>
  <c r="S30" i="56" s="1"/>
  <c r="T21" i="56"/>
  <c r="S21" i="56" s="1"/>
  <c r="T26" i="56"/>
  <c r="S26" i="56" s="1"/>
  <c r="T33" i="56"/>
  <c r="S33" i="56" s="1"/>
  <c r="T45" i="56"/>
  <c r="S45" i="56" s="1"/>
  <c r="U18" i="56"/>
  <c r="T19" i="56"/>
  <c r="S19" i="56" s="1"/>
  <c r="T25" i="56"/>
  <c r="S25" i="56" s="1"/>
  <c r="T22" i="56"/>
  <c r="S22" i="56" s="1"/>
  <c r="T27" i="56"/>
  <c r="S27" i="56" s="1"/>
  <c r="V22" i="56"/>
  <c r="U25" i="56"/>
  <c r="T37" i="56"/>
  <c r="S37" i="56" s="1"/>
  <c r="V24" i="56"/>
  <c r="R49" i="55"/>
  <c r="V26" i="55"/>
  <c r="U34" i="55"/>
  <c r="T23" i="55"/>
  <c r="S23" i="55" s="1"/>
  <c r="V35" i="55"/>
  <c r="T37" i="55"/>
  <c r="S37" i="55" s="1"/>
  <c r="T25" i="55"/>
  <c r="S25" i="55" s="1"/>
  <c r="U24" i="55"/>
  <c r="V22" i="55"/>
  <c r="T45" i="55"/>
  <c r="S45" i="55" s="1"/>
  <c r="T26" i="55"/>
  <c r="S26" i="55" s="1"/>
  <c r="U41" i="55"/>
  <c r="V42" i="55"/>
  <c r="U30" i="55"/>
  <c r="T30" i="55"/>
  <c r="S30" i="55" s="1"/>
  <c r="U42" i="55"/>
  <c r="T18" i="55"/>
  <c r="V19" i="55"/>
  <c r="T48" i="55"/>
  <c r="S48" i="55" s="1"/>
  <c r="U29" i="55"/>
  <c r="U36" i="55"/>
  <c r="T27" i="55"/>
  <c r="S27" i="55" s="1"/>
  <c r="V23" i="55"/>
  <c r="T39" i="55"/>
  <c r="S39" i="55" s="1"/>
  <c r="V48" i="55"/>
  <c r="V31" i="55"/>
  <c r="T41" i="55"/>
  <c r="S41" i="55" s="1"/>
  <c r="T31" i="55"/>
  <c r="S31" i="55" s="1"/>
  <c r="V18" i="55"/>
  <c r="T29" i="55"/>
  <c r="S29" i="55" s="1"/>
  <c r="U45" i="55"/>
  <c r="U25" i="55"/>
  <c r="U38" i="55"/>
  <c r="V38" i="55"/>
  <c r="H49" i="55"/>
  <c r="P2" i="55" s="1"/>
  <c r="T35" i="55"/>
  <c r="S35" i="55" s="1"/>
  <c r="U21" i="55"/>
  <c r="G49" i="54"/>
  <c r="T26" i="54"/>
  <c r="S26" i="54" s="1"/>
  <c r="T45" i="54"/>
  <c r="S45" i="54" s="1"/>
  <c r="T31" i="54"/>
  <c r="S31" i="54" s="1"/>
  <c r="T43" i="54"/>
  <c r="S43" i="54" s="1"/>
  <c r="V39" i="54"/>
  <c r="T38" i="54"/>
  <c r="S38" i="54" s="1"/>
  <c r="V33" i="54"/>
  <c r="T22" i="54"/>
  <c r="S22" i="54" s="1"/>
  <c r="T42" i="54"/>
  <c r="S42" i="54" s="1"/>
  <c r="T35" i="54"/>
  <c r="S35" i="54" s="1"/>
  <c r="R49" i="54"/>
  <c r="V18" i="54"/>
  <c r="U42" i="54"/>
  <c r="T41" i="54"/>
  <c r="S41" i="54" s="1"/>
  <c r="U22" i="54"/>
  <c r="T19" i="54"/>
  <c r="S19" i="54" s="1"/>
  <c r="U30" i="54"/>
  <c r="T39" i="54"/>
  <c r="S39" i="54" s="1"/>
  <c r="V19" i="54"/>
  <c r="U38" i="54"/>
  <c r="V27" i="54"/>
  <c r="T30" i="54"/>
  <c r="S30" i="54" s="1"/>
  <c r="U26" i="54"/>
  <c r="T37" i="54"/>
  <c r="S37" i="54" s="1"/>
  <c r="T27" i="54"/>
  <c r="S27" i="54" s="1"/>
  <c r="U18" i="54"/>
  <c r="T21" i="54"/>
  <c r="S21" i="54" s="1"/>
  <c r="U46" i="54"/>
  <c r="T47" i="54"/>
  <c r="S47" i="54" s="1"/>
  <c r="T18" i="54"/>
  <c r="U34" i="54"/>
  <c r="S18" i="53"/>
  <c r="V27" i="53"/>
  <c r="U43" i="53"/>
  <c r="T26" i="53"/>
  <c r="S26" i="53" s="1"/>
  <c r="V35" i="53"/>
  <c r="V39" i="53"/>
  <c r="U25" i="53"/>
  <c r="V34" i="53"/>
  <c r="V30" i="53"/>
  <c r="V23" i="53"/>
  <c r="U39" i="53"/>
  <c r="U23" i="53"/>
  <c r="T43" i="53"/>
  <c r="S43" i="53" s="1"/>
  <c r="T34" i="53"/>
  <c r="S34" i="53" s="1"/>
  <c r="T29" i="53"/>
  <c r="S29" i="53" s="1"/>
  <c r="T48" i="53"/>
  <c r="S48" i="53" s="1"/>
  <c r="V24" i="53"/>
  <c r="R49" i="53"/>
  <c r="U18" i="53"/>
  <c r="T42" i="53"/>
  <c r="S42" i="53" s="1"/>
  <c r="V36" i="53"/>
  <c r="V22" i="53"/>
  <c r="T44" i="53"/>
  <c r="S44" i="53" s="1"/>
  <c r="L49" i="53"/>
  <c r="P3" i="53" s="1"/>
  <c r="T33" i="53"/>
  <c r="S33" i="53" s="1"/>
  <c r="T21" i="53"/>
  <c r="S21" i="53" s="1"/>
  <c r="V32" i="53"/>
  <c r="T24" i="53"/>
  <c r="S24" i="53" s="1"/>
  <c r="U19" i="53"/>
  <c r="U45" i="53"/>
  <c r="T19" i="53"/>
  <c r="S19" i="53" s="1"/>
  <c r="H49" i="53"/>
  <c r="P2" i="53" s="1"/>
  <c r="T25" i="53"/>
  <c r="S25" i="53" s="1"/>
  <c r="T38" i="53"/>
  <c r="S38" i="53" s="1"/>
  <c r="V31" i="53"/>
  <c r="T45" i="53"/>
  <c r="S45" i="53" s="1"/>
  <c r="U37" i="53"/>
  <c r="U33" i="53"/>
  <c r="T30" i="53"/>
  <c r="S30" i="53" s="1"/>
  <c r="V47" i="52"/>
  <c r="U42" i="52"/>
  <c r="U30" i="52"/>
  <c r="V45" i="52"/>
  <c r="T42" i="52"/>
  <c r="S42" i="52" s="1"/>
  <c r="V37" i="52"/>
  <c r="V43" i="52"/>
  <c r="T27" i="52"/>
  <c r="S27" i="52" s="1"/>
  <c r="V29" i="52"/>
  <c r="T38" i="52"/>
  <c r="S38" i="52" s="1"/>
  <c r="V41" i="52"/>
  <c r="H19" i="52"/>
  <c r="R21" i="52"/>
  <c r="V21" i="52" s="1"/>
  <c r="H23" i="52"/>
  <c r="V23" i="52"/>
  <c r="R25" i="52"/>
  <c r="V25" i="52" s="1"/>
  <c r="H27" i="52"/>
  <c r="V27" i="52"/>
  <c r="R29" i="52"/>
  <c r="H31" i="52"/>
  <c r="R33" i="52"/>
  <c r="V33" i="52" s="1"/>
  <c r="H35" i="52"/>
  <c r="R37" i="52"/>
  <c r="U37" i="52" s="1"/>
  <c r="H39" i="52"/>
  <c r="R41" i="52"/>
  <c r="H43" i="52"/>
  <c r="R45" i="52"/>
  <c r="H47" i="52"/>
  <c r="K49" i="52"/>
  <c r="L25" i="52"/>
  <c r="T25" i="52" s="1"/>
  <c r="S25" i="52" s="1"/>
  <c r="L29" i="52"/>
  <c r="T29" i="52" s="1"/>
  <c r="S29" i="52" s="1"/>
  <c r="L33" i="52"/>
  <c r="G20" i="52"/>
  <c r="U20" i="52"/>
  <c r="G24" i="52"/>
  <c r="U24" i="52"/>
  <c r="G28" i="52"/>
  <c r="U28" i="52"/>
  <c r="G32" i="52"/>
  <c r="U32" i="52"/>
  <c r="G36" i="52"/>
  <c r="U36" i="52"/>
  <c r="G40" i="52"/>
  <c r="U40" i="52"/>
  <c r="G44" i="52"/>
  <c r="U44" i="52"/>
  <c r="G48" i="52"/>
  <c r="U48" i="52"/>
  <c r="L21" i="52"/>
  <c r="L37" i="52"/>
  <c r="L41" i="52"/>
  <c r="T41" i="52" s="1"/>
  <c r="S41" i="52" s="1"/>
  <c r="R18" i="52"/>
  <c r="R22" i="52"/>
  <c r="V22" i="52" s="1"/>
  <c r="H24" i="52"/>
  <c r="R26" i="52"/>
  <c r="V26" i="52" s="1"/>
  <c r="H28" i="52"/>
  <c r="R30" i="52"/>
  <c r="V30" i="52" s="1"/>
  <c r="H32" i="52"/>
  <c r="V32" i="52"/>
  <c r="R34" i="52"/>
  <c r="V34" i="52" s="1"/>
  <c r="H36" i="52"/>
  <c r="V36" i="52"/>
  <c r="R38" i="52"/>
  <c r="V38" i="52" s="1"/>
  <c r="H40" i="52"/>
  <c r="V40" i="52"/>
  <c r="R42" i="52"/>
  <c r="V42" i="52" s="1"/>
  <c r="H44" i="52"/>
  <c r="V44" i="52"/>
  <c r="R46" i="52"/>
  <c r="V46" i="52" s="1"/>
  <c r="H48" i="52"/>
  <c r="V48" i="52"/>
  <c r="G21" i="52"/>
  <c r="U21" i="52"/>
  <c r="G25" i="52"/>
  <c r="G29" i="52"/>
  <c r="U29" i="52"/>
  <c r="G33" i="52"/>
  <c r="G37" i="52"/>
  <c r="G41" i="52"/>
  <c r="U41" i="52"/>
  <c r="G45" i="52"/>
  <c r="U45" i="52"/>
  <c r="L45" i="52"/>
  <c r="T45" i="52" s="1"/>
  <c r="S45" i="52" s="1"/>
  <c r="R19" i="52"/>
  <c r="U19" i="52" s="1"/>
  <c r="H21" i="52"/>
  <c r="R23" i="52"/>
  <c r="U23" i="52" s="1"/>
  <c r="H25" i="52"/>
  <c r="R27" i="52"/>
  <c r="U27" i="52" s="1"/>
  <c r="H29" i="52"/>
  <c r="R31" i="52"/>
  <c r="U31" i="52" s="1"/>
  <c r="H33" i="52"/>
  <c r="R35" i="52"/>
  <c r="U35" i="52" s="1"/>
  <c r="H37" i="52"/>
  <c r="R39" i="52"/>
  <c r="U39" i="52" s="1"/>
  <c r="H41" i="52"/>
  <c r="R43" i="52"/>
  <c r="U43" i="52" s="1"/>
  <c r="G22" i="52"/>
  <c r="G26" i="52"/>
  <c r="G30" i="52"/>
  <c r="G34" i="52"/>
  <c r="G38" i="52"/>
  <c r="G42" i="52"/>
  <c r="T27" i="51"/>
  <c r="S27" i="51" s="1"/>
  <c r="T34" i="51"/>
  <c r="S34" i="51" s="1"/>
  <c r="T35" i="51"/>
  <c r="S35" i="51" s="1"/>
  <c r="U47" i="51"/>
  <c r="V47" i="51"/>
  <c r="U20" i="51"/>
  <c r="U32" i="51"/>
  <c r="U34" i="51"/>
  <c r="T18" i="51"/>
  <c r="U26" i="51"/>
  <c r="U42" i="51"/>
  <c r="T24" i="51"/>
  <c r="S24" i="51" s="1"/>
  <c r="U33" i="51"/>
  <c r="U24" i="51"/>
  <c r="T33" i="51"/>
  <c r="S33" i="51" s="1"/>
  <c r="H18" i="51"/>
  <c r="V18" i="51"/>
  <c r="R20" i="51"/>
  <c r="V20" i="51" s="1"/>
  <c r="H22" i="51"/>
  <c r="V22" i="51"/>
  <c r="R24" i="51"/>
  <c r="V24" i="51" s="1"/>
  <c r="H26" i="51"/>
  <c r="V26" i="51"/>
  <c r="R28" i="51"/>
  <c r="V28" i="51" s="1"/>
  <c r="H30" i="51"/>
  <c r="R32" i="51"/>
  <c r="V32" i="51" s="1"/>
  <c r="H34" i="51"/>
  <c r="R36" i="51"/>
  <c r="V36" i="51" s="1"/>
  <c r="H38" i="51"/>
  <c r="V38" i="51"/>
  <c r="R40" i="51"/>
  <c r="T40" i="51" s="1"/>
  <c r="S40" i="51" s="1"/>
  <c r="H42" i="51"/>
  <c r="V42" i="51"/>
  <c r="R44" i="51"/>
  <c r="V44" i="51" s="1"/>
  <c r="H46" i="51"/>
  <c r="R48" i="51"/>
  <c r="V48" i="51" s="1"/>
  <c r="J49" i="51"/>
  <c r="H19" i="51"/>
  <c r="H23" i="51"/>
  <c r="H27" i="51"/>
  <c r="R29" i="51"/>
  <c r="T29" i="51" s="1"/>
  <c r="S29" i="51" s="1"/>
  <c r="H31" i="51"/>
  <c r="R33" i="51"/>
  <c r="V33" i="51" s="1"/>
  <c r="H35" i="51"/>
  <c r="R37" i="51"/>
  <c r="V37" i="51" s="1"/>
  <c r="H39" i="51"/>
  <c r="R41" i="51"/>
  <c r="V41" i="51" s="1"/>
  <c r="H43" i="51"/>
  <c r="R45" i="51"/>
  <c r="V45" i="51" s="1"/>
  <c r="H47" i="51"/>
  <c r="K49" i="51"/>
  <c r="G20" i="51"/>
  <c r="G24" i="51"/>
  <c r="G28" i="51"/>
  <c r="G32" i="51"/>
  <c r="G36" i="51"/>
  <c r="G40" i="51"/>
  <c r="U40" i="51"/>
  <c r="G44" i="51"/>
  <c r="G48" i="51"/>
  <c r="H20" i="51"/>
  <c r="R22" i="51"/>
  <c r="H24" i="51"/>
  <c r="R26" i="51"/>
  <c r="T26" i="51" s="1"/>
  <c r="S26" i="51" s="1"/>
  <c r="H28" i="51"/>
  <c r="R30" i="51"/>
  <c r="V30" i="51" s="1"/>
  <c r="H32" i="51"/>
  <c r="R34" i="51"/>
  <c r="V34" i="51" s="1"/>
  <c r="H36" i="51"/>
  <c r="R38" i="51"/>
  <c r="T38" i="51" s="1"/>
  <c r="S38" i="51" s="1"/>
  <c r="H40" i="51"/>
  <c r="R42" i="51"/>
  <c r="T42" i="51" s="1"/>
  <c r="S42" i="51" s="1"/>
  <c r="H44" i="51"/>
  <c r="R46" i="51"/>
  <c r="T46" i="51" s="1"/>
  <c r="S46" i="51" s="1"/>
  <c r="H48" i="51"/>
  <c r="G21" i="51"/>
  <c r="U21" i="51"/>
  <c r="G25" i="51"/>
  <c r="U25" i="51"/>
  <c r="G29" i="51"/>
  <c r="G33" i="51"/>
  <c r="G37" i="51"/>
  <c r="G41" i="51"/>
  <c r="G45" i="51"/>
  <c r="R19" i="51"/>
  <c r="H21" i="51"/>
  <c r="R23" i="51"/>
  <c r="T23" i="51" s="1"/>
  <c r="S23" i="51" s="1"/>
  <c r="R27" i="51"/>
  <c r="H29" i="51"/>
  <c r="R31" i="51"/>
  <c r="H33" i="51"/>
  <c r="R35" i="51"/>
  <c r="H37" i="51"/>
  <c r="R39" i="51"/>
  <c r="T39" i="51" s="1"/>
  <c r="S39" i="51" s="1"/>
  <c r="H41" i="51"/>
  <c r="R43" i="51"/>
  <c r="G18" i="51"/>
  <c r="G22" i="51"/>
  <c r="G26" i="51"/>
  <c r="G30" i="51"/>
  <c r="G34" i="51"/>
  <c r="G38" i="51"/>
  <c r="G42" i="51"/>
  <c r="V31" i="50"/>
  <c r="V25" i="50"/>
  <c r="T35" i="50"/>
  <c r="S35" i="50" s="1"/>
  <c r="V41" i="50"/>
  <c r="T45" i="50"/>
  <c r="S45" i="50" s="1"/>
  <c r="V37" i="50"/>
  <c r="V29" i="50"/>
  <c r="U26" i="50"/>
  <c r="T43" i="50"/>
  <c r="S43" i="50" s="1"/>
  <c r="T21" i="50"/>
  <c r="S21" i="50" s="1"/>
  <c r="V43" i="50"/>
  <c r="U46" i="50"/>
  <c r="G19" i="50"/>
  <c r="G23" i="50"/>
  <c r="G27" i="50"/>
  <c r="G31" i="50"/>
  <c r="U31" i="50"/>
  <c r="G35" i="50"/>
  <c r="G39" i="50"/>
  <c r="G43" i="50"/>
  <c r="G47" i="50"/>
  <c r="U47" i="50"/>
  <c r="H19" i="50"/>
  <c r="H49" i="50" s="1"/>
  <c r="P2" i="50" s="1"/>
  <c r="R21" i="50"/>
  <c r="V21" i="50" s="1"/>
  <c r="H23" i="50"/>
  <c r="R25" i="50"/>
  <c r="H27" i="50"/>
  <c r="R29" i="50"/>
  <c r="H31" i="50"/>
  <c r="R33" i="50"/>
  <c r="V33" i="50" s="1"/>
  <c r="H35" i="50"/>
  <c r="R37" i="50"/>
  <c r="T37" i="50" s="1"/>
  <c r="S37" i="50" s="1"/>
  <c r="H39" i="50"/>
  <c r="R41" i="50"/>
  <c r="T41" i="50" s="1"/>
  <c r="S41" i="50" s="1"/>
  <c r="H43" i="50"/>
  <c r="R45" i="50"/>
  <c r="V45" i="50" s="1"/>
  <c r="H47" i="50"/>
  <c r="K49" i="50"/>
  <c r="L18" i="50"/>
  <c r="G20" i="50"/>
  <c r="U20" i="50"/>
  <c r="L22" i="50"/>
  <c r="G24" i="50"/>
  <c r="U24" i="50"/>
  <c r="L26" i="50"/>
  <c r="G28" i="50"/>
  <c r="U28" i="50"/>
  <c r="L30" i="50"/>
  <c r="G32" i="50"/>
  <c r="U32" i="50"/>
  <c r="L34" i="50"/>
  <c r="G36" i="50"/>
  <c r="U36" i="50"/>
  <c r="L38" i="50"/>
  <c r="G40" i="50"/>
  <c r="U40" i="50"/>
  <c r="L42" i="50"/>
  <c r="G44" i="50"/>
  <c r="U44" i="50"/>
  <c r="L46" i="50"/>
  <c r="G48" i="50"/>
  <c r="U48" i="50"/>
  <c r="R18" i="50"/>
  <c r="U18" i="50" s="1"/>
  <c r="H20" i="50"/>
  <c r="V20" i="50"/>
  <c r="R22" i="50"/>
  <c r="V22" i="50" s="1"/>
  <c r="H24" i="50"/>
  <c r="V24" i="50"/>
  <c r="R26" i="50"/>
  <c r="V26" i="50" s="1"/>
  <c r="H28" i="50"/>
  <c r="V28" i="50"/>
  <c r="R30" i="50"/>
  <c r="V30" i="50" s="1"/>
  <c r="H32" i="50"/>
  <c r="V32" i="50"/>
  <c r="R34" i="50"/>
  <c r="V34" i="50" s="1"/>
  <c r="H36" i="50"/>
  <c r="V36" i="50"/>
  <c r="R38" i="50"/>
  <c r="V38" i="50" s="1"/>
  <c r="H40" i="50"/>
  <c r="V40" i="50"/>
  <c r="R42" i="50"/>
  <c r="V42" i="50" s="1"/>
  <c r="H44" i="50"/>
  <c r="V44" i="50"/>
  <c r="R46" i="50"/>
  <c r="V46" i="50" s="1"/>
  <c r="H48" i="50"/>
  <c r="V48" i="50"/>
  <c r="G21" i="50"/>
  <c r="U21" i="50"/>
  <c r="G25" i="50"/>
  <c r="U25" i="50"/>
  <c r="G29" i="50"/>
  <c r="U29" i="50"/>
  <c r="G33" i="50"/>
  <c r="U33" i="50"/>
  <c r="G37" i="50"/>
  <c r="U37" i="50"/>
  <c r="G41" i="50"/>
  <c r="U41" i="50"/>
  <c r="G45" i="50"/>
  <c r="U45" i="50"/>
  <c r="R19" i="50"/>
  <c r="V19" i="50" s="1"/>
  <c r="H21" i="50"/>
  <c r="R23" i="50"/>
  <c r="U23" i="50" s="1"/>
  <c r="H25" i="50"/>
  <c r="R27" i="50"/>
  <c r="V27" i="50" s="1"/>
  <c r="H29" i="50"/>
  <c r="R31" i="50"/>
  <c r="H33" i="50"/>
  <c r="R35" i="50"/>
  <c r="V35" i="50" s="1"/>
  <c r="R39" i="50"/>
  <c r="V39" i="50" s="1"/>
  <c r="H41" i="50"/>
  <c r="R43" i="50"/>
  <c r="U43" i="50" s="1"/>
  <c r="G22" i="50"/>
  <c r="G26" i="50"/>
  <c r="G30" i="50"/>
  <c r="G34" i="50"/>
  <c r="G38" i="50"/>
  <c r="G42" i="50"/>
  <c r="T18" i="49"/>
  <c r="U21" i="49"/>
  <c r="T34" i="49"/>
  <c r="S34" i="49" s="1"/>
  <c r="V28" i="49"/>
  <c r="V31" i="49"/>
  <c r="U41" i="49"/>
  <c r="T44" i="49"/>
  <c r="S44" i="49" s="1"/>
  <c r="V47" i="49"/>
  <c r="T19" i="49"/>
  <c r="S19" i="49" s="1"/>
  <c r="T25" i="49"/>
  <c r="S25" i="49" s="1"/>
  <c r="T41" i="49"/>
  <c r="S41" i="49" s="1"/>
  <c r="T37" i="49"/>
  <c r="S37" i="49" s="1"/>
  <c r="U29" i="49"/>
  <c r="T23" i="49"/>
  <c r="S23" i="49" s="1"/>
  <c r="T36" i="49"/>
  <c r="S36" i="49" s="1"/>
  <c r="T30" i="49"/>
  <c r="S30" i="49" s="1"/>
  <c r="V39" i="49"/>
  <c r="T24" i="49"/>
  <c r="S24" i="49" s="1"/>
  <c r="U30" i="49"/>
  <c r="U46" i="49"/>
  <c r="H18" i="49"/>
  <c r="V18" i="49"/>
  <c r="R20" i="49"/>
  <c r="V20" i="49" s="1"/>
  <c r="H22" i="49"/>
  <c r="R24" i="49"/>
  <c r="V24" i="49" s="1"/>
  <c r="H26" i="49"/>
  <c r="V26" i="49"/>
  <c r="R28" i="49"/>
  <c r="H30" i="49"/>
  <c r="V30" i="49"/>
  <c r="R32" i="49"/>
  <c r="V32" i="49" s="1"/>
  <c r="H34" i="49"/>
  <c r="V34" i="49"/>
  <c r="R36" i="49"/>
  <c r="V36" i="49" s="1"/>
  <c r="H38" i="49"/>
  <c r="R40" i="49"/>
  <c r="T40" i="49" s="1"/>
  <c r="S40" i="49" s="1"/>
  <c r="H42" i="49"/>
  <c r="R44" i="49"/>
  <c r="H46" i="49"/>
  <c r="R48" i="49"/>
  <c r="T48" i="49" s="1"/>
  <c r="S48" i="49" s="1"/>
  <c r="J49" i="49"/>
  <c r="R21" i="49"/>
  <c r="V21" i="49" s="1"/>
  <c r="H23" i="49"/>
  <c r="R25" i="49"/>
  <c r="V25" i="49" s="1"/>
  <c r="H27" i="49"/>
  <c r="R29" i="49"/>
  <c r="V29" i="49" s="1"/>
  <c r="H31" i="49"/>
  <c r="R33" i="49"/>
  <c r="V33" i="49" s="1"/>
  <c r="H35" i="49"/>
  <c r="R37" i="49"/>
  <c r="V37" i="49" s="1"/>
  <c r="H39" i="49"/>
  <c r="R41" i="49"/>
  <c r="V41" i="49" s="1"/>
  <c r="H43" i="49"/>
  <c r="R45" i="49"/>
  <c r="V45" i="49" s="1"/>
  <c r="H47" i="49"/>
  <c r="K49" i="49"/>
  <c r="G20" i="49"/>
  <c r="G24" i="49"/>
  <c r="G28" i="49"/>
  <c r="U28" i="49"/>
  <c r="G32" i="49"/>
  <c r="U32" i="49"/>
  <c r="G36" i="49"/>
  <c r="U36" i="49"/>
  <c r="G40" i="49"/>
  <c r="G44" i="49"/>
  <c r="U44" i="49"/>
  <c r="G48" i="49"/>
  <c r="U48" i="49"/>
  <c r="R18" i="49"/>
  <c r="H20" i="49"/>
  <c r="R22" i="49"/>
  <c r="V22" i="49" s="1"/>
  <c r="H24" i="49"/>
  <c r="R26" i="49"/>
  <c r="T26" i="49" s="1"/>
  <c r="S26" i="49" s="1"/>
  <c r="H28" i="49"/>
  <c r="R30" i="49"/>
  <c r="H32" i="49"/>
  <c r="R34" i="49"/>
  <c r="U34" i="49" s="1"/>
  <c r="H36" i="49"/>
  <c r="R38" i="49"/>
  <c r="U38" i="49" s="1"/>
  <c r="H40" i="49"/>
  <c r="V40" i="49"/>
  <c r="R42" i="49"/>
  <c r="T42" i="49" s="1"/>
  <c r="S42" i="49" s="1"/>
  <c r="H44" i="49"/>
  <c r="V44" i="49"/>
  <c r="R46" i="49"/>
  <c r="V46" i="49" s="1"/>
  <c r="H48" i="49"/>
  <c r="G21" i="49"/>
  <c r="G25" i="49"/>
  <c r="G29" i="49"/>
  <c r="G33" i="49"/>
  <c r="G37" i="49"/>
  <c r="G41" i="49"/>
  <c r="G45" i="49"/>
  <c r="R19" i="49"/>
  <c r="U19" i="49" s="1"/>
  <c r="H21" i="49"/>
  <c r="R23" i="49"/>
  <c r="U23" i="49" s="1"/>
  <c r="H25" i="49"/>
  <c r="R27" i="49"/>
  <c r="U27" i="49" s="1"/>
  <c r="H29" i="49"/>
  <c r="R31" i="49"/>
  <c r="U31" i="49" s="1"/>
  <c r="H33" i="49"/>
  <c r="R35" i="49"/>
  <c r="U35" i="49" s="1"/>
  <c r="H37" i="49"/>
  <c r="R39" i="49"/>
  <c r="U39" i="49" s="1"/>
  <c r="H41" i="49"/>
  <c r="R43" i="49"/>
  <c r="U43" i="49" s="1"/>
  <c r="G18" i="49"/>
  <c r="G22" i="49"/>
  <c r="G26" i="49"/>
  <c r="G30" i="49"/>
  <c r="G34" i="49"/>
  <c r="G38" i="49"/>
  <c r="G42" i="49"/>
  <c r="V39" i="48"/>
  <c r="T41" i="48"/>
  <c r="S41" i="48" s="1"/>
  <c r="T47" i="48"/>
  <c r="S47" i="48" s="1"/>
  <c r="T28" i="48"/>
  <c r="S28" i="48" s="1"/>
  <c r="U30" i="48"/>
  <c r="T25" i="48"/>
  <c r="S25" i="48" s="1"/>
  <c r="V28" i="48"/>
  <c r="T35" i="48"/>
  <c r="S35" i="48" s="1"/>
  <c r="T45" i="48"/>
  <c r="S45" i="48" s="1"/>
  <c r="T36" i="48"/>
  <c r="S36" i="48" s="1"/>
  <c r="V31" i="48"/>
  <c r="T33" i="48"/>
  <c r="S33" i="48" s="1"/>
  <c r="V36" i="48"/>
  <c r="T21" i="48"/>
  <c r="S21" i="48" s="1"/>
  <c r="T31" i="48"/>
  <c r="S31" i="48" s="1"/>
  <c r="H18" i="48"/>
  <c r="R20" i="48"/>
  <c r="T20" i="48" s="1"/>
  <c r="S20" i="48" s="1"/>
  <c r="H22" i="48"/>
  <c r="R24" i="48"/>
  <c r="H26" i="48"/>
  <c r="R28" i="48"/>
  <c r="U28" i="48" s="1"/>
  <c r="H30" i="48"/>
  <c r="V30" i="48"/>
  <c r="R32" i="48"/>
  <c r="T32" i="48" s="1"/>
  <c r="S32" i="48" s="1"/>
  <c r="H34" i="48"/>
  <c r="R36" i="48"/>
  <c r="H38" i="48"/>
  <c r="R40" i="48"/>
  <c r="T40" i="48" s="1"/>
  <c r="S40" i="48" s="1"/>
  <c r="H42" i="48"/>
  <c r="V42" i="48"/>
  <c r="R44" i="48"/>
  <c r="U44" i="48" s="1"/>
  <c r="H46" i="48"/>
  <c r="R48" i="48"/>
  <c r="T48" i="48" s="1"/>
  <c r="S48" i="48" s="1"/>
  <c r="J49" i="48"/>
  <c r="H19" i="48"/>
  <c r="R21" i="48"/>
  <c r="H23" i="48"/>
  <c r="R25" i="48"/>
  <c r="H27" i="48"/>
  <c r="R29" i="48"/>
  <c r="T29" i="48" s="1"/>
  <c r="S29" i="48" s="1"/>
  <c r="H31" i="48"/>
  <c r="R33" i="48"/>
  <c r="H35" i="48"/>
  <c r="R37" i="48"/>
  <c r="H39" i="48"/>
  <c r="R41" i="48"/>
  <c r="H43" i="48"/>
  <c r="R45" i="48"/>
  <c r="H47" i="48"/>
  <c r="K49" i="48"/>
  <c r="G20" i="48"/>
  <c r="U20" i="48"/>
  <c r="G24" i="48"/>
  <c r="G28" i="48"/>
  <c r="G32" i="48"/>
  <c r="G36" i="48"/>
  <c r="U36" i="48"/>
  <c r="G40" i="48"/>
  <c r="G44" i="48"/>
  <c r="G48" i="48"/>
  <c r="R18" i="48"/>
  <c r="H20" i="48"/>
  <c r="R22" i="48"/>
  <c r="H24" i="48"/>
  <c r="R26" i="48"/>
  <c r="V26" i="48" s="1"/>
  <c r="H28" i="48"/>
  <c r="R30" i="48"/>
  <c r="H32" i="48"/>
  <c r="R34" i="48"/>
  <c r="V34" i="48" s="1"/>
  <c r="H36" i="48"/>
  <c r="R38" i="48"/>
  <c r="V38" i="48" s="1"/>
  <c r="H40" i="48"/>
  <c r="R42" i="48"/>
  <c r="T42" i="48" s="1"/>
  <c r="S42" i="48" s="1"/>
  <c r="H44" i="48"/>
  <c r="R46" i="48"/>
  <c r="T46" i="48" s="1"/>
  <c r="S46" i="48" s="1"/>
  <c r="G45" i="48"/>
  <c r="R19" i="48"/>
  <c r="R23" i="48"/>
  <c r="R27" i="48"/>
  <c r="T27" i="48" s="1"/>
  <c r="S27" i="48" s="1"/>
  <c r="R31" i="48"/>
  <c r="U31" i="48" s="1"/>
  <c r="R35" i="48"/>
  <c r="R39" i="48"/>
  <c r="U39" i="48" s="1"/>
  <c r="R43" i="48"/>
  <c r="U43" i="48" s="1"/>
  <c r="G18" i="48"/>
  <c r="G22" i="48"/>
  <c r="G26" i="48"/>
  <c r="G30" i="48"/>
  <c r="G34" i="48"/>
  <c r="G38" i="48"/>
  <c r="G42" i="48"/>
  <c r="U30" i="47"/>
  <c r="V21" i="47"/>
  <c r="V25" i="47"/>
  <c r="T43" i="47"/>
  <c r="S43" i="47" s="1"/>
  <c r="U26" i="47"/>
  <c r="V29" i="47"/>
  <c r="L25" i="47"/>
  <c r="T25" i="47" s="1"/>
  <c r="S25" i="47" s="1"/>
  <c r="L37" i="47"/>
  <c r="H19" i="47"/>
  <c r="R21" i="47"/>
  <c r="H23" i="47"/>
  <c r="R25" i="47"/>
  <c r="H27" i="47"/>
  <c r="R29" i="47"/>
  <c r="H31" i="47"/>
  <c r="R33" i="47"/>
  <c r="V33" i="47" s="1"/>
  <c r="H35" i="47"/>
  <c r="R37" i="47"/>
  <c r="V37" i="47" s="1"/>
  <c r="H39" i="47"/>
  <c r="R41" i="47"/>
  <c r="V41" i="47" s="1"/>
  <c r="H43" i="47"/>
  <c r="R45" i="47"/>
  <c r="V45" i="47" s="1"/>
  <c r="H47" i="47"/>
  <c r="K49" i="47"/>
  <c r="L21" i="47"/>
  <c r="T21" i="47" s="1"/>
  <c r="S21" i="47" s="1"/>
  <c r="L29" i="47"/>
  <c r="L33" i="47"/>
  <c r="J49" i="47"/>
  <c r="G20" i="47"/>
  <c r="U20" i="47"/>
  <c r="G24" i="47"/>
  <c r="U24" i="47"/>
  <c r="G28" i="47"/>
  <c r="U28" i="47"/>
  <c r="G32" i="47"/>
  <c r="U32" i="47"/>
  <c r="G36" i="47"/>
  <c r="U36" i="47"/>
  <c r="G40" i="47"/>
  <c r="U40" i="47"/>
  <c r="G44" i="47"/>
  <c r="U44" i="47"/>
  <c r="G48" i="47"/>
  <c r="U48" i="47"/>
  <c r="L41" i="47"/>
  <c r="T41" i="47" s="1"/>
  <c r="S41" i="47" s="1"/>
  <c r="R18" i="47"/>
  <c r="H20" i="47"/>
  <c r="R22" i="47"/>
  <c r="V22" i="47" s="1"/>
  <c r="H24" i="47"/>
  <c r="R26" i="47"/>
  <c r="V26" i="47" s="1"/>
  <c r="H28" i="47"/>
  <c r="R30" i="47"/>
  <c r="V30" i="47" s="1"/>
  <c r="H32" i="47"/>
  <c r="R34" i="47"/>
  <c r="V34" i="47" s="1"/>
  <c r="H36" i="47"/>
  <c r="R38" i="47"/>
  <c r="V38" i="47" s="1"/>
  <c r="H40" i="47"/>
  <c r="R42" i="47"/>
  <c r="V42" i="47" s="1"/>
  <c r="H44" i="47"/>
  <c r="R46" i="47"/>
  <c r="V46" i="47" s="1"/>
  <c r="H48" i="47"/>
  <c r="L45" i="47"/>
  <c r="T45" i="47" s="1"/>
  <c r="S45" i="47" s="1"/>
  <c r="G21" i="47"/>
  <c r="U21" i="47"/>
  <c r="G25" i="47"/>
  <c r="U25" i="47"/>
  <c r="G29" i="47"/>
  <c r="U29" i="47"/>
  <c r="G33" i="47"/>
  <c r="U33" i="47"/>
  <c r="G37" i="47"/>
  <c r="U37" i="47"/>
  <c r="G41" i="47"/>
  <c r="U41" i="47"/>
  <c r="G45" i="47"/>
  <c r="R19" i="47"/>
  <c r="U19" i="47" s="1"/>
  <c r="H21" i="47"/>
  <c r="R23" i="47"/>
  <c r="U23" i="47" s="1"/>
  <c r="R27" i="47"/>
  <c r="U27" i="47" s="1"/>
  <c r="H29" i="47"/>
  <c r="R31" i="47"/>
  <c r="U31" i="47" s="1"/>
  <c r="H33" i="47"/>
  <c r="R35" i="47"/>
  <c r="U35" i="47" s="1"/>
  <c r="H37" i="47"/>
  <c r="R39" i="47"/>
  <c r="U39" i="47" s="1"/>
  <c r="H41" i="47"/>
  <c r="R43" i="47"/>
  <c r="U43" i="47" s="1"/>
  <c r="G18" i="47"/>
  <c r="G22" i="47"/>
  <c r="G26" i="47"/>
  <c r="G30" i="47"/>
  <c r="G34" i="47"/>
  <c r="G38" i="47"/>
  <c r="G42" i="47"/>
  <c r="T31" i="46"/>
  <c r="S31" i="46" s="1"/>
  <c r="U34" i="46"/>
  <c r="T45" i="46"/>
  <c r="S45" i="46" s="1"/>
  <c r="U26" i="46"/>
  <c r="U46" i="46"/>
  <c r="U47" i="46"/>
  <c r="V47" i="46"/>
  <c r="V29" i="46"/>
  <c r="T38" i="46"/>
  <c r="S38" i="46" s="1"/>
  <c r="L25" i="46"/>
  <c r="T25" i="46" s="1"/>
  <c r="S25" i="46" s="1"/>
  <c r="J49" i="46"/>
  <c r="R29" i="46"/>
  <c r="R33" i="46"/>
  <c r="V33" i="46" s="1"/>
  <c r="H35" i="46"/>
  <c r="R37" i="46"/>
  <c r="V37" i="46" s="1"/>
  <c r="H39" i="46"/>
  <c r="R41" i="46"/>
  <c r="U41" i="46" s="1"/>
  <c r="H43" i="46"/>
  <c r="R45" i="46"/>
  <c r="H47" i="46"/>
  <c r="K49" i="46"/>
  <c r="G20" i="46"/>
  <c r="U20" i="46"/>
  <c r="G24" i="46"/>
  <c r="U24" i="46"/>
  <c r="G28" i="46"/>
  <c r="U28" i="46"/>
  <c r="G32" i="46"/>
  <c r="U32" i="46"/>
  <c r="G36" i="46"/>
  <c r="U36" i="46"/>
  <c r="G40" i="46"/>
  <c r="U40" i="46"/>
  <c r="G44" i="46"/>
  <c r="U44" i="46"/>
  <c r="G48" i="46"/>
  <c r="U48" i="46"/>
  <c r="R18" i="46"/>
  <c r="T18" i="46" s="1"/>
  <c r="H20" i="46"/>
  <c r="R22" i="46"/>
  <c r="V22" i="46" s="1"/>
  <c r="H24" i="46"/>
  <c r="R26" i="46"/>
  <c r="V26" i="46" s="1"/>
  <c r="H28" i="46"/>
  <c r="R30" i="46"/>
  <c r="V30" i="46" s="1"/>
  <c r="H32" i="46"/>
  <c r="R34" i="46"/>
  <c r="V34" i="46" s="1"/>
  <c r="H36" i="46"/>
  <c r="R38" i="46"/>
  <c r="V38" i="46" s="1"/>
  <c r="H40" i="46"/>
  <c r="R42" i="46"/>
  <c r="V42" i="46" s="1"/>
  <c r="H44" i="46"/>
  <c r="R46" i="46"/>
  <c r="V46" i="46" s="1"/>
  <c r="H48" i="46"/>
  <c r="L21" i="46"/>
  <c r="T21" i="46" s="1"/>
  <c r="S21" i="46" s="1"/>
  <c r="L29" i="46"/>
  <c r="T29" i="46" s="1"/>
  <c r="S29" i="46" s="1"/>
  <c r="L41" i="46"/>
  <c r="U21" i="46"/>
  <c r="U25" i="46"/>
  <c r="G29" i="46"/>
  <c r="U29" i="46"/>
  <c r="G33" i="46"/>
  <c r="U33" i="46"/>
  <c r="G37" i="46"/>
  <c r="U37" i="46"/>
  <c r="G41" i="46"/>
  <c r="G45" i="46"/>
  <c r="U45" i="46"/>
  <c r="L33" i="46"/>
  <c r="T33" i="46" s="1"/>
  <c r="S33" i="46" s="1"/>
  <c r="L37" i="46"/>
  <c r="T37" i="46" s="1"/>
  <c r="S37" i="46" s="1"/>
  <c r="R19" i="46"/>
  <c r="H21" i="46"/>
  <c r="R23" i="46"/>
  <c r="T23" i="46" s="1"/>
  <c r="S23" i="46" s="1"/>
  <c r="H25" i="46"/>
  <c r="R27" i="46"/>
  <c r="H29" i="46"/>
  <c r="R31" i="46"/>
  <c r="H33" i="46"/>
  <c r="R35" i="46"/>
  <c r="H37" i="46"/>
  <c r="R39" i="46"/>
  <c r="H41" i="46"/>
  <c r="R43" i="46"/>
  <c r="V45" i="46"/>
  <c r="G18" i="46"/>
  <c r="G22" i="46"/>
  <c r="G26" i="46"/>
  <c r="G30" i="46"/>
  <c r="G34" i="46"/>
  <c r="G38" i="46"/>
  <c r="G42" i="46"/>
  <c r="U37" i="45"/>
  <c r="U41" i="45"/>
  <c r="V47" i="45"/>
  <c r="T25" i="45"/>
  <c r="S25" i="45" s="1"/>
  <c r="T35" i="45"/>
  <c r="S35" i="45" s="1"/>
  <c r="U29" i="45"/>
  <c r="T29" i="45"/>
  <c r="S29" i="45" s="1"/>
  <c r="V23" i="45"/>
  <c r="T28" i="45"/>
  <c r="S28" i="45" s="1"/>
  <c r="U30" i="45"/>
  <c r="H18" i="45"/>
  <c r="R20" i="45"/>
  <c r="T20" i="45" s="1"/>
  <c r="S20" i="45" s="1"/>
  <c r="H22" i="45"/>
  <c r="R24" i="45"/>
  <c r="T24" i="45" s="1"/>
  <c r="S24" i="45" s="1"/>
  <c r="H26" i="45"/>
  <c r="R28" i="45"/>
  <c r="V28" i="45" s="1"/>
  <c r="H30" i="45"/>
  <c r="R32" i="45"/>
  <c r="V32" i="45" s="1"/>
  <c r="H34" i="45"/>
  <c r="R36" i="45"/>
  <c r="T36" i="45" s="1"/>
  <c r="S36" i="45" s="1"/>
  <c r="H38" i="45"/>
  <c r="R40" i="45"/>
  <c r="V40" i="45" s="1"/>
  <c r="H42" i="45"/>
  <c r="V42" i="45"/>
  <c r="R44" i="45"/>
  <c r="V44" i="45" s="1"/>
  <c r="H46" i="45"/>
  <c r="R48" i="45"/>
  <c r="T48" i="45" s="1"/>
  <c r="S48" i="45" s="1"/>
  <c r="J49" i="45"/>
  <c r="H19" i="45"/>
  <c r="R21" i="45"/>
  <c r="V21" i="45" s="1"/>
  <c r="H23" i="45"/>
  <c r="R25" i="45"/>
  <c r="V25" i="45" s="1"/>
  <c r="H27" i="45"/>
  <c r="R29" i="45"/>
  <c r="V29" i="45" s="1"/>
  <c r="H31" i="45"/>
  <c r="R33" i="45"/>
  <c r="V33" i="45" s="1"/>
  <c r="H35" i="45"/>
  <c r="R37" i="45"/>
  <c r="V37" i="45" s="1"/>
  <c r="H39" i="45"/>
  <c r="R41" i="45"/>
  <c r="V41" i="45" s="1"/>
  <c r="H43" i="45"/>
  <c r="R45" i="45"/>
  <c r="V45" i="45" s="1"/>
  <c r="H47" i="45"/>
  <c r="K49" i="45"/>
  <c r="G20" i="45"/>
  <c r="U20" i="45"/>
  <c r="G24" i="45"/>
  <c r="U24" i="45"/>
  <c r="G28" i="45"/>
  <c r="U28" i="45"/>
  <c r="G32" i="45"/>
  <c r="G36" i="45"/>
  <c r="U36" i="45"/>
  <c r="G40" i="45"/>
  <c r="G44" i="45"/>
  <c r="U44" i="45"/>
  <c r="G48" i="45"/>
  <c r="U48" i="45"/>
  <c r="R18" i="45"/>
  <c r="H20" i="45"/>
  <c r="V20" i="45"/>
  <c r="R22" i="45"/>
  <c r="V22" i="45" s="1"/>
  <c r="H24" i="45"/>
  <c r="V24" i="45"/>
  <c r="R26" i="45"/>
  <c r="V26" i="45" s="1"/>
  <c r="H28" i="45"/>
  <c r="R30" i="45"/>
  <c r="T30" i="45" s="1"/>
  <c r="S30" i="45" s="1"/>
  <c r="H32" i="45"/>
  <c r="R34" i="45"/>
  <c r="V34" i="45" s="1"/>
  <c r="H36" i="45"/>
  <c r="R38" i="45"/>
  <c r="U38" i="45" s="1"/>
  <c r="H40" i="45"/>
  <c r="R42" i="45"/>
  <c r="T42" i="45" s="1"/>
  <c r="S42" i="45" s="1"/>
  <c r="H44" i="45"/>
  <c r="R46" i="45"/>
  <c r="V46" i="45" s="1"/>
  <c r="H48" i="45"/>
  <c r="G21" i="45"/>
  <c r="G25" i="45"/>
  <c r="G29" i="45"/>
  <c r="G33" i="45"/>
  <c r="G37" i="45"/>
  <c r="G41" i="45"/>
  <c r="G45" i="45"/>
  <c r="R19" i="45"/>
  <c r="U19" i="45" s="1"/>
  <c r="H21" i="45"/>
  <c r="R23" i="45"/>
  <c r="U23" i="45" s="1"/>
  <c r="R27" i="45"/>
  <c r="U27" i="45" s="1"/>
  <c r="H29" i="45"/>
  <c r="R31" i="45"/>
  <c r="U31" i="45" s="1"/>
  <c r="H33" i="45"/>
  <c r="R35" i="45"/>
  <c r="U35" i="45" s="1"/>
  <c r="H37" i="45"/>
  <c r="R39" i="45"/>
  <c r="U39" i="45" s="1"/>
  <c r="H41" i="45"/>
  <c r="R43" i="45"/>
  <c r="U43" i="45" s="1"/>
  <c r="G18" i="45"/>
  <c r="G22" i="45"/>
  <c r="G26" i="45"/>
  <c r="G30" i="45"/>
  <c r="G34" i="45"/>
  <c r="G38" i="45"/>
  <c r="G42" i="45"/>
  <c r="U25" i="44"/>
  <c r="U34" i="44"/>
  <c r="T38" i="44"/>
  <c r="S38" i="44" s="1"/>
  <c r="T44" i="44"/>
  <c r="S44" i="44" s="1"/>
  <c r="V47" i="44"/>
  <c r="U29" i="44"/>
  <c r="V35" i="44"/>
  <c r="T42" i="44"/>
  <c r="S42" i="44" s="1"/>
  <c r="T18" i="44"/>
  <c r="T24" i="44"/>
  <c r="S24" i="44" s="1"/>
  <c r="T29" i="44"/>
  <c r="S29" i="44" s="1"/>
  <c r="T19" i="44"/>
  <c r="S19" i="44" s="1"/>
  <c r="T41" i="44"/>
  <c r="S41" i="44" s="1"/>
  <c r="T30" i="44"/>
  <c r="S30" i="44" s="1"/>
  <c r="V36" i="44"/>
  <c r="T35" i="44"/>
  <c r="S35" i="44" s="1"/>
  <c r="V27" i="44"/>
  <c r="U30" i="44"/>
  <c r="H18" i="44"/>
  <c r="R20" i="44"/>
  <c r="T20" i="44" s="1"/>
  <c r="S20" i="44" s="1"/>
  <c r="H22" i="44"/>
  <c r="R24" i="44"/>
  <c r="V24" i="44" s="1"/>
  <c r="H26" i="44"/>
  <c r="R28" i="44"/>
  <c r="H30" i="44"/>
  <c r="V30" i="44"/>
  <c r="R32" i="44"/>
  <c r="U32" i="44" s="1"/>
  <c r="H34" i="44"/>
  <c r="R36" i="44"/>
  <c r="T36" i="44" s="1"/>
  <c r="S36" i="44" s="1"/>
  <c r="H38" i="44"/>
  <c r="V38" i="44"/>
  <c r="R40" i="44"/>
  <c r="U40" i="44" s="1"/>
  <c r="H42" i="44"/>
  <c r="V42" i="44"/>
  <c r="R44" i="44"/>
  <c r="H46" i="44"/>
  <c r="R48" i="44"/>
  <c r="V48" i="44" s="1"/>
  <c r="J49" i="44"/>
  <c r="H19" i="44"/>
  <c r="R21" i="44"/>
  <c r="V21" i="44" s="1"/>
  <c r="H23" i="44"/>
  <c r="R25" i="44"/>
  <c r="V25" i="44" s="1"/>
  <c r="H27" i="44"/>
  <c r="R29" i="44"/>
  <c r="V29" i="44" s="1"/>
  <c r="H31" i="44"/>
  <c r="R33" i="44"/>
  <c r="V33" i="44" s="1"/>
  <c r="H35" i="44"/>
  <c r="R37" i="44"/>
  <c r="V37" i="44" s="1"/>
  <c r="H39" i="44"/>
  <c r="R41" i="44"/>
  <c r="V41" i="44" s="1"/>
  <c r="H43" i="44"/>
  <c r="R45" i="44"/>
  <c r="V45" i="44" s="1"/>
  <c r="H47" i="44"/>
  <c r="K49" i="44"/>
  <c r="G20" i="44"/>
  <c r="U20" i="44"/>
  <c r="G24" i="44"/>
  <c r="U24" i="44"/>
  <c r="G28" i="44"/>
  <c r="G32" i="44"/>
  <c r="G36" i="44"/>
  <c r="U36" i="44"/>
  <c r="G40" i="44"/>
  <c r="G44" i="44"/>
  <c r="U44" i="44"/>
  <c r="G48" i="44"/>
  <c r="U48" i="44"/>
  <c r="R18" i="44"/>
  <c r="H20" i="44"/>
  <c r="R22" i="44"/>
  <c r="T22" i="44" s="1"/>
  <c r="S22" i="44" s="1"/>
  <c r="H24" i="44"/>
  <c r="R26" i="44"/>
  <c r="U26" i="44" s="1"/>
  <c r="H28" i="44"/>
  <c r="R30" i="44"/>
  <c r="H32" i="44"/>
  <c r="R34" i="44"/>
  <c r="T34" i="44" s="1"/>
  <c r="S34" i="44" s="1"/>
  <c r="H36" i="44"/>
  <c r="R38" i="44"/>
  <c r="U38" i="44" s="1"/>
  <c r="H40" i="44"/>
  <c r="R42" i="44"/>
  <c r="U42" i="44" s="1"/>
  <c r="H44" i="44"/>
  <c r="V44" i="44"/>
  <c r="R46" i="44"/>
  <c r="T46" i="44" s="1"/>
  <c r="S46" i="44" s="1"/>
  <c r="H48" i="44"/>
  <c r="G21" i="44"/>
  <c r="G25" i="44"/>
  <c r="G29" i="44"/>
  <c r="G33" i="44"/>
  <c r="G37" i="44"/>
  <c r="G41" i="44"/>
  <c r="G45" i="44"/>
  <c r="R19" i="44"/>
  <c r="U19" i="44" s="1"/>
  <c r="R23" i="44"/>
  <c r="U23" i="44" s="1"/>
  <c r="R27" i="44"/>
  <c r="U27" i="44" s="1"/>
  <c r="R31" i="44"/>
  <c r="U31" i="44" s="1"/>
  <c r="H33" i="44"/>
  <c r="R35" i="44"/>
  <c r="U35" i="44" s="1"/>
  <c r="R39" i="44"/>
  <c r="U39" i="44" s="1"/>
  <c r="H41" i="44"/>
  <c r="R43" i="44"/>
  <c r="U43" i="44" s="1"/>
  <c r="G18" i="44"/>
  <c r="G22" i="44"/>
  <c r="G26" i="44"/>
  <c r="G30" i="44"/>
  <c r="G34" i="44"/>
  <c r="G38" i="44"/>
  <c r="G42" i="44"/>
  <c r="V27" i="43"/>
  <c r="T40" i="43"/>
  <c r="S40" i="43" s="1"/>
  <c r="V43" i="43"/>
  <c r="T31" i="43"/>
  <c r="S31" i="43" s="1"/>
  <c r="U22" i="43"/>
  <c r="V47" i="43"/>
  <c r="T35" i="43"/>
  <c r="S35" i="43" s="1"/>
  <c r="V35" i="43"/>
  <c r="U45" i="43"/>
  <c r="T39" i="43"/>
  <c r="S39" i="43" s="1"/>
  <c r="T45" i="43"/>
  <c r="S45" i="43" s="1"/>
  <c r="L49" i="43"/>
  <c r="P3" i="43" s="1"/>
  <c r="V39" i="43"/>
  <c r="U18" i="43"/>
  <c r="T27" i="43"/>
  <c r="S27" i="43" s="1"/>
  <c r="H18" i="43"/>
  <c r="R20" i="43"/>
  <c r="V20" i="43" s="1"/>
  <c r="H22" i="43"/>
  <c r="R24" i="43"/>
  <c r="T24" i="43" s="1"/>
  <c r="S24" i="43" s="1"/>
  <c r="H26" i="43"/>
  <c r="R28" i="43"/>
  <c r="V28" i="43" s="1"/>
  <c r="H30" i="43"/>
  <c r="R32" i="43"/>
  <c r="T32" i="43" s="1"/>
  <c r="S32" i="43" s="1"/>
  <c r="H34" i="43"/>
  <c r="R36" i="43"/>
  <c r="T36" i="43" s="1"/>
  <c r="S36" i="43" s="1"/>
  <c r="H38" i="43"/>
  <c r="R40" i="43"/>
  <c r="H42" i="43"/>
  <c r="R44" i="43"/>
  <c r="T44" i="43" s="1"/>
  <c r="S44" i="43" s="1"/>
  <c r="H46" i="43"/>
  <c r="R48" i="43"/>
  <c r="T48" i="43" s="1"/>
  <c r="S48" i="43" s="1"/>
  <c r="J49" i="43"/>
  <c r="H19" i="43"/>
  <c r="R21" i="43"/>
  <c r="V21" i="43" s="1"/>
  <c r="H23" i="43"/>
  <c r="R25" i="43"/>
  <c r="V25" i="43" s="1"/>
  <c r="H27" i="43"/>
  <c r="R29" i="43"/>
  <c r="V29" i="43" s="1"/>
  <c r="H31" i="43"/>
  <c r="R33" i="43"/>
  <c r="V33" i="43" s="1"/>
  <c r="H35" i="43"/>
  <c r="R37" i="43"/>
  <c r="V37" i="43" s="1"/>
  <c r="H39" i="43"/>
  <c r="R41" i="43"/>
  <c r="V41" i="43" s="1"/>
  <c r="H43" i="43"/>
  <c r="R45" i="43"/>
  <c r="V45" i="43" s="1"/>
  <c r="H47" i="43"/>
  <c r="K49" i="43"/>
  <c r="G20" i="43"/>
  <c r="U20" i="43"/>
  <c r="G24" i="43"/>
  <c r="U24" i="43"/>
  <c r="G28" i="43"/>
  <c r="G32" i="43"/>
  <c r="U32" i="43"/>
  <c r="G36" i="43"/>
  <c r="U36" i="43"/>
  <c r="G40" i="43"/>
  <c r="U40" i="43"/>
  <c r="G44" i="43"/>
  <c r="G48" i="43"/>
  <c r="U48" i="43"/>
  <c r="R18" i="43"/>
  <c r="H20" i="43"/>
  <c r="R22" i="43"/>
  <c r="T22" i="43" s="1"/>
  <c r="S22" i="43" s="1"/>
  <c r="H24" i="43"/>
  <c r="V24" i="43"/>
  <c r="R26" i="43"/>
  <c r="T26" i="43" s="1"/>
  <c r="S26" i="43" s="1"/>
  <c r="H28" i="43"/>
  <c r="R30" i="43"/>
  <c r="V30" i="43" s="1"/>
  <c r="H32" i="43"/>
  <c r="V32" i="43"/>
  <c r="R34" i="43"/>
  <c r="T34" i="43" s="1"/>
  <c r="S34" i="43" s="1"/>
  <c r="H36" i="43"/>
  <c r="V36" i="43"/>
  <c r="R38" i="43"/>
  <c r="U38" i="43" s="1"/>
  <c r="H40" i="43"/>
  <c r="V40" i="43"/>
  <c r="R42" i="43"/>
  <c r="T42" i="43" s="1"/>
  <c r="S42" i="43" s="1"/>
  <c r="H44" i="43"/>
  <c r="R46" i="43"/>
  <c r="T46" i="43" s="1"/>
  <c r="S46" i="43" s="1"/>
  <c r="V48" i="43"/>
  <c r="G21" i="43"/>
  <c r="G49" i="43" s="1"/>
  <c r="G25" i="43"/>
  <c r="G29" i="43"/>
  <c r="G33" i="43"/>
  <c r="G37" i="43"/>
  <c r="G41" i="43"/>
  <c r="G45" i="43"/>
  <c r="R19" i="43"/>
  <c r="U19" i="43" s="1"/>
  <c r="H21" i="43"/>
  <c r="R23" i="43"/>
  <c r="U23" i="43" s="1"/>
  <c r="H25" i="43"/>
  <c r="R27" i="43"/>
  <c r="U27" i="43" s="1"/>
  <c r="H29" i="43"/>
  <c r="R31" i="43"/>
  <c r="U31" i="43" s="1"/>
  <c r="H33" i="43"/>
  <c r="R35" i="43"/>
  <c r="U35" i="43" s="1"/>
  <c r="H37" i="43"/>
  <c r="R39" i="43"/>
  <c r="U39" i="43" s="1"/>
  <c r="H41" i="43"/>
  <c r="R43" i="43"/>
  <c r="U43" i="43" s="1"/>
  <c r="G30" i="43"/>
  <c r="G34" i="43"/>
  <c r="G38" i="43"/>
  <c r="G42" i="43"/>
  <c r="V27" i="42"/>
  <c r="T25" i="42"/>
  <c r="S25" i="42" s="1"/>
  <c r="V19" i="42"/>
  <c r="T28" i="42"/>
  <c r="S28" i="42" s="1"/>
  <c r="T39" i="42"/>
  <c r="S39" i="42" s="1"/>
  <c r="V36" i="42"/>
  <c r="H18" i="42"/>
  <c r="R20" i="42"/>
  <c r="T20" i="42" s="1"/>
  <c r="S20" i="42" s="1"/>
  <c r="H22" i="42"/>
  <c r="R24" i="42"/>
  <c r="V24" i="42" s="1"/>
  <c r="H26" i="42"/>
  <c r="R28" i="42"/>
  <c r="V28" i="42" s="1"/>
  <c r="H30" i="42"/>
  <c r="V30" i="42"/>
  <c r="R32" i="42"/>
  <c r="V32" i="42" s="1"/>
  <c r="H34" i="42"/>
  <c r="R36" i="42"/>
  <c r="T36" i="42" s="1"/>
  <c r="S36" i="42" s="1"/>
  <c r="H38" i="42"/>
  <c r="R40" i="42"/>
  <c r="V40" i="42" s="1"/>
  <c r="H42" i="42"/>
  <c r="R44" i="42"/>
  <c r="T44" i="42" s="1"/>
  <c r="S44" i="42" s="1"/>
  <c r="H46" i="42"/>
  <c r="R48" i="42"/>
  <c r="T48" i="42" s="1"/>
  <c r="S48" i="42" s="1"/>
  <c r="J49" i="42"/>
  <c r="H19" i="42"/>
  <c r="R21" i="42"/>
  <c r="V21" i="42" s="1"/>
  <c r="H23" i="42"/>
  <c r="R25" i="42"/>
  <c r="V25" i="42" s="1"/>
  <c r="H27" i="42"/>
  <c r="R29" i="42"/>
  <c r="V29" i="42" s="1"/>
  <c r="H31" i="42"/>
  <c r="R33" i="42"/>
  <c r="V33" i="42" s="1"/>
  <c r="H35" i="42"/>
  <c r="R37" i="42"/>
  <c r="V37" i="42" s="1"/>
  <c r="H39" i="42"/>
  <c r="R41" i="42"/>
  <c r="V41" i="42" s="1"/>
  <c r="H43" i="42"/>
  <c r="R45" i="42"/>
  <c r="V45" i="42" s="1"/>
  <c r="H47" i="42"/>
  <c r="K49" i="42"/>
  <c r="G20" i="42"/>
  <c r="U20" i="42"/>
  <c r="G24" i="42"/>
  <c r="U24" i="42"/>
  <c r="G28" i="42"/>
  <c r="U28" i="42"/>
  <c r="G32" i="42"/>
  <c r="U32" i="42"/>
  <c r="G36" i="42"/>
  <c r="U36" i="42"/>
  <c r="G40" i="42"/>
  <c r="U40" i="42"/>
  <c r="G44" i="42"/>
  <c r="U44" i="42"/>
  <c r="G48" i="42"/>
  <c r="U48" i="42"/>
  <c r="R18" i="42"/>
  <c r="H20" i="42"/>
  <c r="R22" i="42"/>
  <c r="V22" i="42" s="1"/>
  <c r="H24" i="42"/>
  <c r="R26" i="42"/>
  <c r="U26" i="42" s="1"/>
  <c r="H28" i="42"/>
  <c r="R30" i="42"/>
  <c r="T30" i="42" s="1"/>
  <c r="S30" i="42" s="1"/>
  <c r="H32" i="42"/>
  <c r="R34" i="42"/>
  <c r="V34" i="42" s="1"/>
  <c r="H36" i="42"/>
  <c r="R38" i="42"/>
  <c r="U38" i="42" s="1"/>
  <c r="H40" i="42"/>
  <c r="R42" i="42"/>
  <c r="T42" i="42" s="1"/>
  <c r="S42" i="42" s="1"/>
  <c r="H44" i="42"/>
  <c r="V44" i="42"/>
  <c r="R46" i="42"/>
  <c r="T46" i="42" s="1"/>
  <c r="S46" i="42" s="1"/>
  <c r="H48" i="42"/>
  <c r="G21" i="42"/>
  <c r="G25" i="42"/>
  <c r="U25" i="42"/>
  <c r="G29" i="42"/>
  <c r="U29" i="42"/>
  <c r="G33" i="42"/>
  <c r="G37" i="42"/>
  <c r="G41" i="42"/>
  <c r="G45" i="42"/>
  <c r="R19" i="42"/>
  <c r="U19" i="42" s="1"/>
  <c r="R23" i="42"/>
  <c r="U23" i="42" s="1"/>
  <c r="H25" i="42"/>
  <c r="R27" i="42"/>
  <c r="U27" i="42" s="1"/>
  <c r="H29" i="42"/>
  <c r="R31" i="42"/>
  <c r="U31" i="42" s="1"/>
  <c r="H33" i="42"/>
  <c r="R35" i="42"/>
  <c r="U35" i="42" s="1"/>
  <c r="H37" i="42"/>
  <c r="R39" i="42"/>
  <c r="U39" i="42" s="1"/>
  <c r="H41" i="42"/>
  <c r="R43" i="42"/>
  <c r="U43" i="42" s="1"/>
  <c r="G18" i="42"/>
  <c r="G22" i="42"/>
  <c r="G26" i="42"/>
  <c r="G30" i="42"/>
  <c r="G34" i="42"/>
  <c r="G38" i="42"/>
  <c r="G42" i="42"/>
  <c r="T27" i="41"/>
  <c r="S27" i="41" s="1"/>
  <c r="T47" i="41"/>
  <c r="S47" i="41" s="1"/>
  <c r="T35" i="41"/>
  <c r="S35" i="41" s="1"/>
  <c r="T38" i="41"/>
  <c r="S38" i="41" s="1"/>
  <c r="T43" i="41"/>
  <c r="S43" i="41" s="1"/>
  <c r="V47" i="41"/>
  <c r="U47" i="41"/>
  <c r="U46" i="41"/>
  <c r="U22" i="41"/>
  <c r="L21" i="41"/>
  <c r="T21" i="41" s="1"/>
  <c r="S21" i="41" s="1"/>
  <c r="L25" i="41"/>
  <c r="T25" i="41" s="1"/>
  <c r="S25" i="41" s="1"/>
  <c r="L37" i="41"/>
  <c r="T37" i="41" s="1"/>
  <c r="S37" i="41" s="1"/>
  <c r="K49" i="41"/>
  <c r="L18" i="41"/>
  <c r="G20" i="41"/>
  <c r="G24" i="41"/>
  <c r="G28" i="41"/>
  <c r="G32" i="41"/>
  <c r="U32" i="41"/>
  <c r="G36" i="41"/>
  <c r="U36" i="41"/>
  <c r="G40" i="41"/>
  <c r="U40" i="41"/>
  <c r="G44" i="41"/>
  <c r="U44" i="41"/>
  <c r="G48" i="41"/>
  <c r="U48" i="41"/>
  <c r="L41" i="41"/>
  <c r="T41" i="41" s="1"/>
  <c r="S41" i="41" s="1"/>
  <c r="H20" i="41"/>
  <c r="R22" i="41"/>
  <c r="V22" i="41" s="1"/>
  <c r="H24" i="41"/>
  <c r="R26" i="41"/>
  <c r="V26" i="41" s="1"/>
  <c r="H28" i="41"/>
  <c r="R30" i="41"/>
  <c r="V30" i="41" s="1"/>
  <c r="H32" i="41"/>
  <c r="V32" i="41"/>
  <c r="R34" i="41"/>
  <c r="V34" i="41" s="1"/>
  <c r="H36" i="41"/>
  <c r="V36" i="41"/>
  <c r="R38" i="41"/>
  <c r="V38" i="41" s="1"/>
  <c r="H40" i="41"/>
  <c r="V40" i="41"/>
  <c r="R42" i="41"/>
  <c r="V42" i="41" s="1"/>
  <c r="H44" i="41"/>
  <c r="V44" i="41"/>
  <c r="R46" i="41"/>
  <c r="V46" i="41" s="1"/>
  <c r="H48" i="41"/>
  <c r="V48" i="41"/>
  <c r="G21" i="41"/>
  <c r="U21" i="41"/>
  <c r="G25" i="41"/>
  <c r="U25" i="41"/>
  <c r="G29" i="41"/>
  <c r="U29" i="41"/>
  <c r="G33" i="41"/>
  <c r="U33" i="41"/>
  <c r="G37" i="41"/>
  <c r="U37" i="41"/>
  <c r="G41" i="41"/>
  <c r="U41" i="41"/>
  <c r="G45" i="41"/>
  <c r="U45" i="41"/>
  <c r="R19" i="41"/>
  <c r="R49" i="41" s="1"/>
  <c r="R23" i="41"/>
  <c r="T23" i="41" s="1"/>
  <c r="S23" i="41" s="1"/>
  <c r="H25" i="41"/>
  <c r="R27" i="41"/>
  <c r="H29" i="41"/>
  <c r="V29" i="41"/>
  <c r="R31" i="41"/>
  <c r="H33" i="41"/>
  <c r="V33" i="41"/>
  <c r="R35" i="41"/>
  <c r="H37" i="41"/>
  <c r="R39" i="41"/>
  <c r="T39" i="41" s="1"/>
  <c r="S39" i="41" s="1"/>
  <c r="H41" i="41"/>
  <c r="R43" i="41"/>
  <c r="V45" i="41"/>
  <c r="G18" i="41"/>
  <c r="G22" i="41"/>
  <c r="G26" i="41"/>
  <c r="G30" i="41"/>
  <c r="G34" i="41"/>
  <c r="G38" i="41"/>
  <c r="G42" i="41"/>
  <c r="V44" i="40"/>
  <c r="U22" i="40"/>
  <c r="T25" i="40"/>
  <c r="S25" i="40" s="1"/>
  <c r="T47" i="40"/>
  <c r="S47" i="40" s="1"/>
  <c r="V23" i="40"/>
  <c r="T27" i="40"/>
  <c r="S27" i="40" s="1"/>
  <c r="U34" i="40"/>
  <c r="V36" i="40"/>
  <c r="T39" i="40"/>
  <c r="S39" i="40" s="1"/>
  <c r="V24" i="40"/>
  <c r="T40" i="40"/>
  <c r="S40" i="40" s="1"/>
  <c r="V43" i="40"/>
  <c r="U46" i="40"/>
  <c r="H18" i="40"/>
  <c r="R20" i="40"/>
  <c r="V20" i="40" s="1"/>
  <c r="H22" i="40"/>
  <c r="R24" i="40"/>
  <c r="H26" i="40"/>
  <c r="R28" i="40"/>
  <c r="T28" i="40" s="1"/>
  <c r="S28" i="40" s="1"/>
  <c r="H30" i="40"/>
  <c r="R32" i="40"/>
  <c r="T32" i="40" s="1"/>
  <c r="S32" i="40" s="1"/>
  <c r="H34" i="40"/>
  <c r="R36" i="40"/>
  <c r="T36" i="40" s="1"/>
  <c r="S36" i="40" s="1"/>
  <c r="H38" i="40"/>
  <c r="V38" i="40"/>
  <c r="R40" i="40"/>
  <c r="V40" i="40" s="1"/>
  <c r="H42" i="40"/>
  <c r="R44" i="40"/>
  <c r="T44" i="40" s="1"/>
  <c r="S44" i="40" s="1"/>
  <c r="H46" i="40"/>
  <c r="V46" i="40"/>
  <c r="R48" i="40"/>
  <c r="T48" i="40" s="1"/>
  <c r="S48" i="40" s="1"/>
  <c r="G19" i="40"/>
  <c r="G23" i="40"/>
  <c r="G27" i="40"/>
  <c r="U27" i="40"/>
  <c r="G31" i="40"/>
  <c r="G35" i="40"/>
  <c r="G39" i="40"/>
  <c r="G43" i="40"/>
  <c r="G47" i="40"/>
  <c r="U47" i="40"/>
  <c r="R19" i="40"/>
  <c r="U19" i="40" s="1"/>
  <c r="R23" i="40"/>
  <c r="U23" i="40" s="1"/>
  <c r="R27" i="40"/>
  <c r="V27" i="40" s="1"/>
  <c r="H33" i="40"/>
  <c r="R35" i="40"/>
  <c r="U35" i="40" s="1"/>
  <c r="H37" i="40"/>
  <c r="R47" i="40"/>
  <c r="V47" i="40" s="1"/>
  <c r="H19" i="40"/>
  <c r="R21" i="40"/>
  <c r="H23" i="40"/>
  <c r="R25" i="40"/>
  <c r="H27" i="40"/>
  <c r="R29" i="40"/>
  <c r="H31" i="40"/>
  <c r="R33" i="40"/>
  <c r="T33" i="40" s="1"/>
  <c r="S33" i="40" s="1"/>
  <c r="H35" i="40"/>
  <c r="R37" i="40"/>
  <c r="H39" i="40"/>
  <c r="R41" i="40"/>
  <c r="H43" i="40"/>
  <c r="R45" i="40"/>
  <c r="H47" i="40"/>
  <c r="K49" i="40"/>
  <c r="R39" i="40"/>
  <c r="U39" i="40" s="1"/>
  <c r="L18" i="40"/>
  <c r="G20" i="40"/>
  <c r="U20" i="40"/>
  <c r="L22" i="40"/>
  <c r="G24" i="40"/>
  <c r="U24" i="40"/>
  <c r="L26" i="40"/>
  <c r="G28" i="40"/>
  <c r="U28" i="40"/>
  <c r="L30" i="40"/>
  <c r="G32" i="40"/>
  <c r="U32" i="40"/>
  <c r="L34" i="40"/>
  <c r="G36" i="40"/>
  <c r="U36" i="40"/>
  <c r="L38" i="40"/>
  <c r="T38" i="40" s="1"/>
  <c r="S38" i="40" s="1"/>
  <c r="G40" i="40"/>
  <c r="U40" i="40"/>
  <c r="L42" i="40"/>
  <c r="G44" i="40"/>
  <c r="U44" i="40"/>
  <c r="L46" i="40"/>
  <c r="T46" i="40" s="1"/>
  <c r="S46" i="40" s="1"/>
  <c r="G48" i="40"/>
  <c r="U48" i="40"/>
  <c r="R31" i="40"/>
  <c r="T31" i="40" s="1"/>
  <c r="S31" i="40" s="1"/>
  <c r="H41" i="40"/>
  <c r="R43" i="40"/>
  <c r="T43" i="40" s="1"/>
  <c r="S43" i="40" s="1"/>
  <c r="R18" i="40"/>
  <c r="H20" i="40"/>
  <c r="R22" i="40"/>
  <c r="V22" i="40" s="1"/>
  <c r="H24" i="40"/>
  <c r="R26" i="40"/>
  <c r="U26" i="40" s="1"/>
  <c r="H28" i="40"/>
  <c r="R30" i="40"/>
  <c r="V30" i="40" s="1"/>
  <c r="H32" i="40"/>
  <c r="R34" i="40"/>
  <c r="V34" i="40" s="1"/>
  <c r="H36" i="40"/>
  <c r="R38" i="40"/>
  <c r="U38" i="40" s="1"/>
  <c r="H40" i="40"/>
  <c r="R42" i="40"/>
  <c r="V42" i="40" s="1"/>
  <c r="H44" i="40"/>
  <c r="H48" i="40"/>
  <c r="H21" i="40"/>
  <c r="H25" i="40"/>
  <c r="H29" i="40"/>
  <c r="G18" i="40"/>
  <c r="G22" i="40"/>
  <c r="G26" i="40"/>
  <c r="G30" i="40"/>
  <c r="G34" i="40"/>
  <c r="G38" i="40"/>
  <c r="G42" i="40"/>
  <c r="U24" i="39"/>
  <c r="T36" i="39"/>
  <c r="S36" i="39" s="1"/>
  <c r="V47" i="39"/>
  <c r="T40" i="39"/>
  <c r="S40" i="39" s="1"/>
  <c r="U32" i="39"/>
  <c r="V31" i="39"/>
  <c r="U36" i="39"/>
  <c r="T32" i="39"/>
  <c r="S32" i="39" s="1"/>
  <c r="H24" i="39"/>
  <c r="H28" i="39"/>
  <c r="H48" i="39"/>
  <c r="L23" i="39"/>
  <c r="L47" i="39"/>
  <c r="T47" i="39" s="1"/>
  <c r="S47" i="39" s="1"/>
  <c r="H18" i="39"/>
  <c r="V18" i="39"/>
  <c r="R20" i="39"/>
  <c r="V20" i="39" s="1"/>
  <c r="H22" i="39"/>
  <c r="V22" i="39"/>
  <c r="R24" i="39"/>
  <c r="V24" i="39" s="1"/>
  <c r="H26" i="39"/>
  <c r="V26" i="39"/>
  <c r="R28" i="39"/>
  <c r="V28" i="39" s="1"/>
  <c r="H30" i="39"/>
  <c r="V30" i="39"/>
  <c r="R32" i="39"/>
  <c r="V32" i="39" s="1"/>
  <c r="H34" i="39"/>
  <c r="V34" i="39"/>
  <c r="R36" i="39"/>
  <c r="V36" i="39" s="1"/>
  <c r="H38" i="39"/>
  <c r="V38" i="39"/>
  <c r="R40" i="39"/>
  <c r="V40" i="39" s="1"/>
  <c r="H42" i="39"/>
  <c r="V42" i="39"/>
  <c r="R44" i="39"/>
  <c r="V44" i="39" s="1"/>
  <c r="H46" i="39"/>
  <c r="V46" i="39"/>
  <c r="R48" i="39"/>
  <c r="V48" i="39" s="1"/>
  <c r="H32" i="39"/>
  <c r="L27" i="39"/>
  <c r="L31" i="39"/>
  <c r="T31" i="39" s="1"/>
  <c r="S31" i="39" s="1"/>
  <c r="L35" i="39"/>
  <c r="G19" i="39"/>
  <c r="G23" i="39"/>
  <c r="G27" i="39"/>
  <c r="G31" i="39"/>
  <c r="U31" i="39"/>
  <c r="G35" i="39"/>
  <c r="G39" i="39"/>
  <c r="G43" i="39"/>
  <c r="U43" i="39"/>
  <c r="G47" i="39"/>
  <c r="U47" i="39"/>
  <c r="H27" i="39"/>
  <c r="H31" i="39"/>
  <c r="H35" i="39"/>
  <c r="H39" i="39"/>
  <c r="H43" i="39"/>
  <c r="V43" i="39"/>
  <c r="H47" i="39"/>
  <c r="K49" i="39"/>
  <c r="L18" i="39"/>
  <c r="G20" i="39"/>
  <c r="L22" i="39"/>
  <c r="T22" i="39" s="1"/>
  <c r="S22" i="39" s="1"/>
  <c r="G24" i="39"/>
  <c r="L26" i="39"/>
  <c r="T26" i="39" s="1"/>
  <c r="S26" i="39" s="1"/>
  <c r="G28" i="39"/>
  <c r="L30" i="39"/>
  <c r="T30" i="39" s="1"/>
  <c r="S30" i="39" s="1"/>
  <c r="G32" i="39"/>
  <c r="L34" i="39"/>
  <c r="T34" i="39" s="1"/>
  <c r="S34" i="39" s="1"/>
  <c r="G36" i="39"/>
  <c r="L38" i="39"/>
  <c r="T38" i="39" s="1"/>
  <c r="S38" i="39" s="1"/>
  <c r="G40" i="39"/>
  <c r="L42" i="39"/>
  <c r="T42" i="39" s="1"/>
  <c r="S42" i="39" s="1"/>
  <c r="G44" i="39"/>
  <c r="L46" i="39"/>
  <c r="T46" i="39" s="1"/>
  <c r="S46" i="39" s="1"/>
  <c r="G48" i="39"/>
  <c r="H36" i="39"/>
  <c r="H40" i="39"/>
  <c r="R19" i="39"/>
  <c r="V19" i="39" s="1"/>
  <c r="H21" i="39"/>
  <c r="R23" i="39"/>
  <c r="V23" i="39" s="1"/>
  <c r="H25" i="39"/>
  <c r="R27" i="39"/>
  <c r="V27" i="39" s="1"/>
  <c r="H29" i="39"/>
  <c r="R31" i="39"/>
  <c r="H33" i="39"/>
  <c r="R35" i="39"/>
  <c r="U35" i="39" s="1"/>
  <c r="H37" i="39"/>
  <c r="R39" i="39"/>
  <c r="T39" i="39" s="1"/>
  <c r="S39" i="39" s="1"/>
  <c r="H41" i="39"/>
  <c r="R43" i="39"/>
  <c r="T43" i="39" s="1"/>
  <c r="S43" i="39" s="1"/>
  <c r="V45" i="39"/>
  <c r="H20" i="39"/>
  <c r="G18" i="39"/>
  <c r="G22" i="39"/>
  <c r="G26" i="39"/>
  <c r="G30" i="39"/>
  <c r="G34" i="39"/>
  <c r="G38" i="39"/>
  <c r="G42" i="39"/>
  <c r="U30" i="38"/>
  <c r="T38" i="38"/>
  <c r="S38" i="38" s="1"/>
  <c r="U38" i="38"/>
  <c r="T42" i="38"/>
  <c r="S42" i="38" s="1"/>
  <c r="U26" i="38"/>
  <c r="T30" i="38"/>
  <c r="S30" i="38" s="1"/>
  <c r="U47" i="38"/>
  <c r="V47" i="38"/>
  <c r="H47" i="38"/>
  <c r="K49" i="38"/>
  <c r="L21" i="38"/>
  <c r="T21" i="38" s="1"/>
  <c r="S21" i="38" s="1"/>
  <c r="L41" i="38"/>
  <c r="T41" i="38" s="1"/>
  <c r="S41" i="38" s="1"/>
  <c r="L18" i="38"/>
  <c r="G20" i="38"/>
  <c r="G24" i="38"/>
  <c r="U24" i="38"/>
  <c r="G28" i="38"/>
  <c r="U28" i="38"/>
  <c r="G32" i="38"/>
  <c r="U32" i="38"/>
  <c r="G36" i="38"/>
  <c r="U36" i="38"/>
  <c r="G40" i="38"/>
  <c r="U40" i="38"/>
  <c r="G44" i="38"/>
  <c r="U44" i="38"/>
  <c r="G48" i="38"/>
  <c r="U48" i="38"/>
  <c r="R22" i="38"/>
  <c r="V22" i="38" s="1"/>
  <c r="H24" i="38"/>
  <c r="R26" i="38"/>
  <c r="V26" i="38" s="1"/>
  <c r="H28" i="38"/>
  <c r="R30" i="38"/>
  <c r="V30" i="38" s="1"/>
  <c r="H32" i="38"/>
  <c r="R34" i="38"/>
  <c r="V34" i="38" s="1"/>
  <c r="H36" i="38"/>
  <c r="R38" i="38"/>
  <c r="V38" i="38" s="1"/>
  <c r="H40" i="38"/>
  <c r="V40" i="38"/>
  <c r="R42" i="38"/>
  <c r="V42" i="38" s="1"/>
  <c r="H44" i="38"/>
  <c r="V44" i="38"/>
  <c r="R46" i="38"/>
  <c r="V46" i="38" s="1"/>
  <c r="H48" i="38"/>
  <c r="L37" i="38"/>
  <c r="T37" i="38" s="1"/>
  <c r="S37" i="38" s="1"/>
  <c r="L45" i="38"/>
  <c r="T45" i="38" s="1"/>
  <c r="S45" i="38" s="1"/>
  <c r="G21" i="38"/>
  <c r="U21" i="38"/>
  <c r="G25" i="38"/>
  <c r="U25" i="38"/>
  <c r="G29" i="38"/>
  <c r="U29" i="38"/>
  <c r="G33" i="38"/>
  <c r="U33" i="38"/>
  <c r="G37" i="38"/>
  <c r="U37" i="38"/>
  <c r="G41" i="38"/>
  <c r="U41" i="38"/>
  <c r="G45" i="38"/>
  <c r="U45" i="38"/>
  <c r="L25" i="38"/>
  <c r="T25" i="38" s="1"/>
  <c r="S25" i="38" s="1"/>
  <c r="L33" i="38"/>
  <c r="T33" i="38" s="1"/>
  <c r="S33" i="38" s="1"/>
  <c r="R19" i="38"/>
  <c r="H21" i="38"/>
  <c r="R23" i="38"/>
  <c r="T23" i="38" s="1"/>
  <c r="S23" i="38" s="1"/>
  <c r="H25" i="38"/>
  <c r="R27" i="38"/>
  <c r="H29" i="38"/>
  <c r="H49" i="38" s="1"/>
  <c r="P2" i="38" s="1"/>
  <c r="V29" i="38"/>
  <c r="R31" i="38"/>
  <c r="H33" i="38"/>
  <c r="R35" i="38"/>
  <c r="T35" i="38" s="1"/>
  <c r="S35" i="38" s="1"/>
  <c r="H37" i="38"/>
  <c r="R39" i="38"/>
  <c r="H41" i="38"/>
  <c r="R43" i="38"/>
  <c r="T43" i="38" s="1"/>
  <c r="S43" i="38" s="1"/>
  <c r="G18" i="38"/>
  <c r="G22" i="38"/>
  <c r="G26" i="38"/>
  <c r="G30" i="38"/>
  <c r="G34" i="38"/>
  <c r="G38" i="38"/>
  <c r="G42" i="38"/>
  <c r="U33" i="37"/>
  <c r="T33" i="37"/>
  <c r="S33" i="37" s="1"/>
  <c r="T40" i="37"/>
  <c r="S40" i="37" s="1"/>
  <c r="U46" i="37"/>
  <c r="T18" i="37"/>
  <c r="T27" i="37"/>
  <c r="S27" i="37" s="1"/>
  <c r="T34" i="37"/>
  <c r="S34" i="37" s="1"/>
  <c r="U37" i="37"/>
  <c r="V40" i="37"/>
  <c r="T22" i="37"/>
  <c r="S22" i="37" s="1"/>
  <c r="V47" i="37"/>
  <c r="T35" i="37"/>
  <c r="S35" i="37" s="1"/>
  <c r="V20" i="37"/>
  <c r="U18" i="37"/>
  <c r="U34" i="37"/>
  <c r="T32" i="37"/>
  <c r="S32" i="37" s="1"/>
  <c r="V19" i="37"/>
  <c r="T42" i="37"/>
  <c r="S42" i="37" s="1"/>
  <c r="T20" i="37"/>
  <c r="S20" i="37" s="1"/>
  <c r="T46" i="37"/>
  <c r="S46" i="37" s="1"/>
  <c r="H18" i="37"/>
  <c r="R20" i="37"/>
  <c r="H22" i="37"/>
  <c r="R24" i="37"/>
  <c r="T24" i="37" s="1"/>
  <c r="S24" i="37" s="1"/>
  <c r="H26" i="37"/>
  <c r="R28" i="37"/>
  <c r="V28" i="37" s="1"/>
  <c r="H30" i="37"/>
  <c r="R32" i="37"/>
  <c r="V32" i="37" s="1"/>
  <c r="H34" i="37"/>
  <c r="V34" i="37"/>
  <c r="R36" i="37"/>
  <c r="V36" i="37" s="1"/>
  <c r="H38" i="37"/>
  <c r="R40" i="37"/>
  <c r="H42" i="37"/>
  <c r="R44" i="37"/>
  <c r="U44" i="37" s="1"/>
  <c r="H46" i="37"/>
  <c r="V46" i="37"/>
  <c r="R48" i="37"/>
  <c r="T48" i="37" s="1"/>
  <c r="S48" i="37" s="1"/>
  <c r="J49" i="37"/>
  <c r="H19" i="37"/>
  <c r="R21" i="37"/>
  <c r="V21" i="37" s="1"/>
  <c r="H23" i="37"/>
  <c r="R25" i="37"/>
  <c r="V25" i="37" s="1"/>
  <c r="H27" i="37"/>
  <c r="R29" i="37"/>
  <c r="V29" i="37" s="1"/>
  <c r="H31" i="37"/>
  <c r="R33" i="37"/>
  <c r="V33" i="37" s="1"/>
  <c r="H35" i="37"/>
  <c r="R37" i="37"/>
  <c r="V37" i="37" s="1"/>
  <c r="H39" i="37"/>
  <c r="R41" i="37"/>
  <c r="V41" i="37" s="1"/>
  <c r="H43" i="37"/>
  <c r="R45" i="37"/>
  <c r="V45" i="37" s="1"/>
  <c r="H47" i="37"/>
  <c r="K49" i="37"/>
  <c r="G20" i="37"/>
  <c r="U20" i="37"/>
  <c r="G24" i="37"/>
  <c r="U24" i="37"/>
  <c r="G28" i="37"/>
  <c r="U28" i="37"/>
  <c r="G32" i="37"/>
  <c r="U32" i="37"/>
  <c r="G36" i="37"/>
  <c r="G40" i="37"/>
  <c r="U40" i="37"/>
  <c r="G44" i="37"/>
  <c r="G48" i="37"/>
  <c r="R18" i="37"/>
  <c r="H20" i="37"/>
  <c r="R22" i="37"/>
  <c r="V22" i="37" s="1"/>
  <c r="H24" i="37"/>
  <c r="R26" i="37"/>
  <c r="V26" i="37" s="1"/>
  <c r="H28" i="37"/>
  <c r="R30" i="37"/>
  <c r="T30" i="37" s="1"/>
  <c r="S30" i="37" s="1"/>
  <c r="H32" i="37"/>
  <c r="R34" i="37"/>
  <c r="H36" i="37"/>
  <c r="R38" i="37"/>
  <c r="U38" i="37" s="1"/>
  <c r="H40" i="37"/>
  <c r="R42" i="37"/>
  <c r="U42" i="37" s="1"/>
  <c r="H44" i="37"/>
  <c r="R46" i="37"/>
  <c r="H48" i="37"/>
  <c r="G21" i="37"/>
  <c r="G25" i="37"/>
  <c r="G29" i="37"/>
  <c r="G33" i="37"/>
  <c r="G37" i="37"/>
  <c r="G41" i="37"/>
  <c r="G45" i="37"/>
  <c r="R19" i="37"/>
  <c r="U19" i="37" s="1"/>
  <c r="H21" i="37"/>
  <c r="R23" i="37"/>
  <c r="U23" i="37" s="1"/>
  <c r="H25" i="37"/>
  <c r="R27" i="37"/>
  <c r="U27" i="37" s="1"/>
  <c r="R31" i="37"/>
  <c r="U31" i="37" s="1"/>
  <c r="H33" i="37"/>
  <c r="R35" i="37"/>
  <c r="U35" i="37" s="1"/>
  <c r="H37" i="37"/>
  <c r="R39" i="37"/>
  <c r="U39" i="37" s="1"/>
  <c r="H41" i="37"/>
  <c r="R43" i="37"/>
  <c r="U43" i="37" s="1"/>
  <c r="G18" i="37"/>
  <c r="G22" i="37"/>
  <c r="G26" i="37"/>
  <c r="G30" i="37"/>
  <c r="G34" i="37"/>
  <c r="G38" i="37"/>
  <c r="G42" i="37"/>
  <c r="V36" i="35"/>
  <c r="L22" i="35"/>
  <c r="L36" i="35"/>
  <c r="T36" i="35" s="1"/>
  <c r="S36" i="35" s="1"/>
  <c r="L34" i="35"/>
  <c r="T34" i="35" s="1"/>
  <c r="S34" i="35" s="1"/>
  <c r="V34" i="35"/>
  <c r="U32" i="35"/>
  <c r="V32" i="35"/>
  <c r="L32" i="35"/>
  <c r="T32" i="35" s="1"/>
  <c r="S32" i="35" s="1"/>
  <c r="V30" i="35"/>
  <c r="L30" i="35"/>
  <c r="T30" i="35" s="1"/>
  <c r="S30" i="35" s="1"/>
  <c r="V28" i="35"/>
  <c r="L28" i="35"/>
  <c r="T28" i="35" s="1"/>
  <c r="S28" i="35" s="1"/>
  <c r="U26" i="35"/>
  <c r="V26" i="35"/>
  <c r="V24" i="35"/>
  <c r="V20" i="35"/>
  <c r="L24" i="35"/>
  <c r="T24" i="35" s="1"/>
  <c r="S24" i="35" s="1"/>
  <c r="U24" i="35"/>
  <c r="U22" i="35"/>
  <c r="V22" i="35"/>
  <c r="J49" i="35"/>
  <c r="L20" i="35"/>
  <c r="T20" i="35" s="1"/>
  <c r="S20" i="35" s="1"/>
  <c r="U20" i="35"/>
  <c r="L19" i="35"/>
  <c r="H47" i="35"/>
  <c r="H45" i="35"/>
  <c r="H43" i="35"/>
  <c r="H41" i="35"/>
  <c r="H39" i="35"/>
  <c r="H37" i="35"/>
  <c r="H35" i="35"/>
  <c r="H33" i="35"/>
  <c r="H31" i="35"/>
  <c r="H29" i="35"/>
  <c r="H27" i="35"/>
  <c r="H25" i="35"/>
  <c r="H23" i="35"/>
  <c r="H21" i="35"/>
  <c r="H19" i="35"/>
  <c r="U41" i="35"/>
  <c r="L41" i="35"/>
  <c r="T41" i="35" s="1"/>
  <c r="S41" i="35" s="1"/>
  <c r="L43" i="35"/>
  <c r="T43" i="35" s="1"/>
  <c r="S43" i="35" s="1"/>
  <c r="V45" i="35"/>
  <c r="L45" i="35"/>
  <c r="H22" i="35"/>
  <c r="H24" i="35"/>
  <c r="V25" i="35"/>
  <c r="H26" i="35"/>
  <c r="H28" i="35"/>
  <c r="H30" i="35"/>
  <c r="H32" i="35"/>
  <c r="H34" i="35"/>
  <c r="H36" i="35"/>
  <c r="H38" i="35"/>
  <c r="H40" i="35"/>
  <c r="V47" i="35"/>
  <c r="U47" i="35"/>
  <c r="L47" i="35"/>
  <c r="T47" i="35" s="1"/>
  <c r="S47" i="35" s="1"/>
  <c r="K49" i="35"/>
  <c r="U18" i="35"/>
  <c r="H20" i="35"/>
  <c r="G48" i="35"/>
  <c r="G46" i="35"/>
  <c r="G44" i="35"/>
  <c r="G42" i="35"/>
  <c r="G40" i="35"/>
  <c r="G38" i="35"/>
  <c r="G36" i="35"/>
  <c r="G34" i="35"/>
  <c r="G32" i="35"/>
  <c r="G30" i="35"/>
  <c r="G28" i="35"/>
  <c r="G26" i="35"/>
  <c r="G24" i="35"/>
  <c r="G22" i="35"/>
  <c r="G20" i="35"/>
  <c r="G47" i="35"/>
  <c r="G45" i="35"/>
  <c r="G43" i="35"/>
  <c r="G41" i="35"/>
  <c r="G18" i="35"/>
  <c r="L18" i="35"/>
  <c r="V18" i="35"/>
  <c r="L21" i="35"/>
  <c r="T22" i="35"/>
  <c r="S22" i="35" s="1"/>
  <c r="L23" i="35"/>
  <c r="L25" i="35"/>
  <c r="T26" i="35"/>
  <c r="S26" i="35" s="1"/>
  <c r="L27" i="35"/>
  <c r="L29" i="35"/>
  <c r="L31" i="35"/>
  <c r="L33" i="35"/>
  <c r="L35" i="35"/>
  <c r="T35" i="35" s="1"/>
  <c r="S35" i="35" s="1"/>
  <c r="L37" i="35"/>
  <c r="T38" i="35"/>
  <c r="S38" i="35" s="1"/>
  <c r="L39" i="35"/>
  <c r="T40" i="35"/>
  <c r="S40" i="35" s="1"/>
  <c r="H42" i="35"/>
  <c r="H44" i="35"/>
  <c r="H46" i="35"/>
  <c r="H48" i="35"/>
  <c r="R19" i="35"/>
  <c r="U19" i="35" s="1"/>
  <c r="R21" i="35"/>
  <c r="U21" i="35" s="1"/>
  <c r="R23" i="35"/>
  <c r="U23" i="35" s="1"/>
  <c r="R25" i="35"/>
  <c r="U25" i="35" s="1"/>
  <c r="R27" i="35"/>
  <c r="U27" i="35" s="1"/>
  <c r="R29" i="35"/>
  <c r="U29" i="35" s="1"/>
  <c r="R31" i="35"/>
  <c r="U31" i="35" s="1"/>
  <c r="R33" i="35"/>
  <c r="U33" i="35" s="1"/>
  <c r="R35" i="35"/>
  <c r="U35" i="35" s="1"/>
  <c r="R37" i="35"/>
  <c r="U37" i="35" s="1"/>
  <c r="R39" i="35"/>
  <c r="U39" i="35" s="1"/>
  <c r="R41" i="35"/>
  <c r="V41" i="35" s="1"/>
  <c r="R43" i="35"/>
  <c r="V43" i="35" s="1"/>
  <c r="R45" i="35"/>
  <c r="U45" i="35" s="1"/>
  <c r="Q49" i="33"/>
  <c r="F49" i="33"/>
  <c r="E49" i="33"/>
  <c r="P10" i="33" s="1"/>
  <c r="R48" i="33"/>
  <c r="V48" i="33" s="1"/>
  <c r="K48" i="33"/>
  <c r="U48" i="33" s="1"/>
  <c r="J48" i="33"/>
  <c r="L48" i="33" s="1"/>
  <c r="T48" i="33" s="1"/>
  <c r="S48" i="33" s="1"/>
  <c r="K47" i="33"/>
  <c r="J47" i="33"/>
  <c r="G47" i="33"/>
  <c r="R46" i="33"/>
  <c r="V46" i="33" s="1"/>
  <c r="K46" i="33"/>
  <c r="U46" i="33" s="1"/>
  <c r="J46" i="33"/>
  <c r="L46" i="33" s="1"/>
  <c r="K45" i="33"/>
  <c r="J45" i="33"/>
  <c r="G45" i="33"/>
  <c r="R44" i="33"/>
  <c r="V44" i="33" s="1"/>
  <c r="K44" i="33"/>
  <c r="J44" i="33"/>
  <c r="L44" i="33" s="1"/>
  <c r="K43" i="33"/>
  <c r="J43" i="33"/>
  <c r="G43" i="33"/>
  <c r="V42" i="33"/>
  <c r="R42" i="33"/>
  <c r="K42" i="33"/>
  <c r="U42" i="33" s="1"/>
  <c r="J42" i="33"/>
  <c r="L42" i="33" s="1"/>
  <c r="T42" i="33" s="1"/>
  <c r="S42" i="33" s="1"/>
  <c r="K41" i="33"/>
  <c r="J41" i="33"/>
  <c r="G41" i="33"/>
  <c r="R40" i="33"/>
  <c r="V40" i="33" s="1"/>
  <c r="K40" i="33"/>
  <c r="U40" i="33" s="1"/>
  <c r="J40" i="33"/>
  <c r="L40" i="33" s="1"/>
  <c r="T40" i="33" s="1"/>
  <c r="S40" i="33" s="1"/>
  <c r="K39" i="33"/>
  <c r="J39" i="33"/>
  <c r="G39" i="33"/>
  <c r="R38" i="33"/>
  <c r="V38" i="33" s="1"/>
  <c r="K38" i="33"/>
  <c r="U38" i="33" s="1"/>
  <c r="J38" i="33"/>
  <c r="L38" i="33" s="1"/>
  <c r="K37" i="33"/>
  <c r="J37" i="33"/>
  <c r="G37" i="33"/>
  <c r="R36" i="33"/>
  <c r="V36" i="33" s="1"/>
  <c r="K36" i="33"/>
  <c r="U36" i="33" s="1"/>
  <c r="J36" i="33"/>
  <c r="L36" i="33" s="1"/>
  <c r="K35" i="33"/>
  <c r="J35" i="33"/>
  <c r="G35" i="33"/>
  <c r="R34" i="33"/>
  <c r="K34" i="33"/>
  <c r="U34" i="33" s="1"/>
  <c r="J34" i="33"/>
  <c r="K33" i="33"/>
  <c r="J33" i="33"/>
  <c r="G33" i="33"/>
  <c r="R32" i="33"/>
  <c r="K32" i="33"/>
  <c r="J32" i="33"/>
  <c r="K31" i="33"/>
  <c r="J31" i="33"/>
  <c r="G31" i="33"/>
  <c r="R30" i="33"/>
  <c r="K30" i="33"/>
  <c r="J30" i="33"/>
  <c r="K29" i="33"/>
  <c r="J29" i="33"/>
  <c r="G29" i="33"/>
  <c r="R28" i="33"/>
  <c r="K28" i="33"/>
  <c r="U28" i="33" s="1"/>
  <c r="J28" i="33"/>
  <c r="K27" i="33"/>
  <c r="J27" i="33"/>
  <c r="G27" i="33"/>
  <c r="R26" i="33"/>
  <c r="K26" i="33"/>
  <c r="U26" i="33" s="1"/>
  <c r="J26" i="33"/>
  <c r="K25" i="33"/>
  <c r="J25" i="33"/>
  <c r="G25" i="33"/>
  <c r="R24" i="33"/>
  <c r="K24" i="33"/>
  <c r="J24" i="33"/>
  <c r="K23" i="33"/>
  <c r="J23" i="33"/>
  <c r="G23" i="33"/>
  <c r="R22" i="33"/>
  <c r="K22" i="33"/>
  <c r="J22" i="33"/>
  <c r="K21" i="33"/>
  <c r="J21" i="33"/>
  <c r="G21" i="33"/>
  <c r="R20" i="33"/>
  <c r="K20" i="33"/>
  <c r="J20" i="33"/>
  <c r="K19" i="33"/>
  <c r="J19" i="33"/>
  <c r="G19" i="33"/>
  <c r="R18" i="33"/>
  <c r="K18" i="33"/>
  <c r="J18" i="33"/>
  <c r="R17" i="33"/>
  <c r="R47" i="33" s="1"/>
  <c r="H17" i="33"/>
  <c r="G17" i="33"/>
  <c r="D15" i="33"/>
  <c r="G48" i="33" s="1"/>
  <c r="P1" i="33"/>
  <c r="P8" i="33" s="1"/>
  <c r="Q49" i="32"/>
  <c r="F49" i="32"/>
  <c r="E49" i="32"/>
  <c r="P10" i="32" s="1"/>
  <c r="R48" i="32"/>
  <c r="V48" i="32" s="1"/>
  <c r="K48" i="32"/>
  <c r="U48" i="32" s="1"/>
  <c r="J48" i="32"/>
  <c r="L48" i="32" s="1"/>
  <c r="T48" i="32" s="1"/>
  <c r="S48" i="32" s="1"/>
  <c r="K47" i="32"/>
  <c r="J47" i="32"/>
  <c r="G47" i="32"/>
  <c r="R46" i="32"/>
  <c r="V46" i="32" s="1"/>
  <c r="K46" i="32"/>
  <c r="U46" i="32" s="1"/>
  <c r="J46" i="32"/>
  <c r="L46" i="32" s="1"/>
  <c r="K45" i="32"/>
  <c r="J45" i="32"/>
  <c r="G45" i="32"/>
  <c r="R44" i="32"/>
  <c r="V44" i="32" s="1"/>
  <c r="K44" i="32"/>
  <c r="J44" i="32"/>
  <c r="L44" i="32" s="1"/>
  <c r="H44" i="32"/>
  <c r="K43" i="32"/>
  <c r="J43" i="32"/>
  <c r="G43" i="32"/>
  <c r="V42" i="32"/>
  <c r="R42" i="32"/>
  <c r="K42" i="32"/>
  <c r="J42" i="32"/>
  <c r="L42" i="32" s="1"/>
  <c r="T42" i="32" s="1"/>
  <c r="S42" i="32" s="1"/>
  <c r="H42" i="32"/>
  <c r="K41" i="32"/>
  <c r="J41" i="32"/>
  <c r="G41" i="32"/>
  <c r="R40" i="32"/>
  <c r="V40" i="32" s="1"/>
  <c r="K40" i="32"/>
  <c r="U40" i="32" s="1"/>
  <c r="J40" i="32"/>
  <c r="L40" i="32" s="1"/>
  <c r="T40" i="32" s="1"/>
  <c r="S40" i="32" s="1"/>
  <c r="K39" i="32"/>
  <c r="J39" i="32"/>
  <c r="G39" i="32"/>
  <c r="R38" i="32"/>
  <c r="V38" i="32" s="1"/>
  <c r="K38" i="32"/>
  <c r="U38" i="32" s="1"/>
  <c r="J38" i="32"/>
  <c r="L38" i="32" s="1"/>
  <c r="K37" i="32"/>
  <c r="J37" i="32"/>
  <c r="G37" i="32"/>
  <c r="R36" i="32"/>
  <c r="K36" i="32"/>
  <c r="J36" i="32"/>
  <c r="H36" i="32"/>
  <c r="K35" i="32"/>
  <c r="J35" i="32"/>
  <c r="G35" i="32"/>
  <c r="R34" i="32"/>
  <c r="K34" i="32"/>
  <c r="J34" i="32"/>
  <c r="H34" i="32"/>
  <c r="K33" i="32"/>
  <c r="J33" i="32"/>
  <c r="G33" i="32"/>
  <c r="R32" i="32"/>
  <c r="K32" i="32"/>
  <c r="J32" i="32"/>
  <c r="K31" i="32"/>
  <c r="J31" i="32"/>
  <c r="G31" i="32"/>
  <c r="R30" i="32"/>
  <c r="K30" i="32"/>
  <c r="J30" i="32"/>
  <c r="K29" i="32"/>
  <c r="J29" i="32"/>
  <c r="G29" i="32"/>
  <c r="R28" i="32"/>
  <c r="K28" i="32"/>
  <c r="J28" i="32"/>
  <c r="H28" i="32"/>
  <c r="K27" i="32"/>
  <c r="J27" i="32"/>
  <c r="G27" i="32"/>
  <c r="R26" i="32"/>
  <c r="K26" i="32"/>
  <c r="J26" i="32"/>
  <c r="H26" i="32"/>
  <c r="K25" i="32"/>
  <c r="L25" i="32" s="1"/>
  <c r="J25" i="32"/>
  <c r="G25" i="32"/>
  <c r="R24" i="32"/>
  <c r="K24" i="32"/>
  <c r="J24" i="32"/>
  <c r="H24" i="32"/>
  <c r="K23" i="32"/>
  <c r="L23" i="32" s="1"/>
  <c r="J23" i="32"/>
  <c r="G23" i="32"/>
  <c r="R22" i="32"/>
  <c r="K22" i="32"/>
  <c r="J22" i="32"/>
  <c r="H22" i="32"/>
  <c r="K21" i="32"/>
  <c r="J21" i="32"/>
  <c r="G21" i="32"/>
  <c r="R20" i="32"/>
  <c r="K20" i="32"/>
  <c r="J20" i="32"/>
  <c r="H20" i="32"/>
  <c r="K19" i="32"/>
  <c r="L19" i="32" s="1"/>
  <c r="J19" i="32"/>
  <c r="G19" i="32"/>
  <c r="R18" i="32"/>
  <c r="K18" i="32"/>
  <c r="J18" i="32"/>
  <c r="H18" i="32"/>
  <c r="R17" i="32"/>
  <c r="R47" i="32" s="1"/>
  <c r="H17" i="32"/>
  <c r="H46" i="32" s="1"/>
  <c r="G17" i="32"/>
  <c r="D15" i="32"/>
  <c r="G48" i="32" s="1"/>
  <c r="P1" i="32"/>
  <c r="P8" i="32" s="1"/>
  <c r="Q49" i="30"/>
  <c r="F49" i="30"/>
  <c r="E49" i="30"/>
  <c r="P10" i="30" s="1"/>
  <c r="R48" i="30"/>
  <c r="V48" i="30" s="1"/>
  <c r="K48" i="30"/>
  <c r="U48" i="30" s="1"/>
  <c r="J48" i="30"/>
  <c r="L48" i="30" s="1"/>
  <c r="T48" i="30" s="1"/>
  <c r="S48" i="30" s="1"/>
  <c r="K47" i="30"/>
  <c r="J47" i="30"/>
  <c r="L47" i="30" s="1"/>
  <c r="T47" i="30" s="1"/>
  <c r="S47" i="30" s="1"/>
  <c r="G47" i="30"/>
  <c r="R46" i="30"/>
  <c r="V46" i="30" s="1"/>
  <c r="K46" i="30"/>
  <c r="U46" i="30" s="1"/>
  <c r="J46" i="30"/>
  <c r="L46" i="30" s="1"/>
  <c r="T46" i="30" s="1"/>
  <c r="S46" i="30" s="1"/>
  <c r="K45" i="30"/>
  <c r="J45" i="30"/>
  <c r="G45" i="30"/>
  <c r="R44" i="30"/>
  <c r="V44" i="30" s="1"/>
  <c r="K44" i="30"/>
  <c r="U44" i="30" s="1"/>
  <c r="J44" i="30"/>
  <c r="L44" i="30" s="1"/>
  <c r="T44" i="30" s="1"/>
  <c r="S44" i="30" s="1"/>
  <c r="K43" i="30"/>
  <c r="J43" i="30"/>
  <c r="G43" i="30"/>
  <c r="R42" i="30"/>
  <c r="V42" i="30" s="1"/>
  <c r="K42" i="30"/>
  <c r="U42" i="30" s="1"/>
  <c r="J42" i="30"/>
  <c r="L42" i="30" s="1"/>
  <c r="T42" i="30" s="1"/>
  <c r="S42" i="30" s="1"/>
  <c r="K41" i="30"/>
  <c r="J41" i="30"/>
  <c r="G41" i="30"/>
  <c r="R40" i="30"/>
  <c r="V40" i="30" s="1"/>
  <c r="K40" i="30"/>
  <c r="U40" i="30" s="1"/>
  <c r="J40" i="30"/>
  <c r="L40" i="30" s="1"/>
  <c r="T40" i="30" s="1"/>
  <c r="S40" i="30" s="1"/>
  <c r="K39" i="30"/>
  <c r="J39" i="30"/>
  <c r="G39" i="30"/>
  <c r="R38" i="30"/>
  <c r="V38" i="30" s="1"/>
  <c r="K38" i="30"/>
  <c r="U38" i="30" s="1"/>
  <c r="J38" i="30"/>
  <c r="L38" i="30" s="1"/>
  <c r="T38" i="30" s="1"/>
  <c r="S38" i="30" s="1"/>
  <c r="K37" i="30"/>
  <c r="J37" i="30"/>
  <c r="G37" i="30"/>
  <c r="R36" i="30"/>
  <c r="V36" i="30" s="1"/>
  <c r="K36" i="30"/>
  <c r="U36" i="30" s="1"/>
  <c r="J36" i="30"/>
  <c r="L36" i="30" s="1"/>
  <c r="T36" i="30" s="1"/>
  <c r="S36" i="30" s="1"/>
  <c r="K35" i="30"/>
  <c r="J35" i="30"/>
  <c r="G35" i="30"/>
  <c r="R34" i="30"/>
  <c r="K34" i="30"/>
  <c r="U34" i="30" s="1"/>
  <c r="J34" i="30"/>
  <c r="K33" i="30"/>
  <c r="J33" i="30"/>
  <c r="G33" i="30"/>
  <c r="R32" i="30"/>
  <c r="K32" i="30"/>
  <c r="U32" i="30" s="1"/>
  <c r="J32" i="30"/>
  <c r="K31" i="30"/>
  <c r="J31" i="30"/>
  <c r="G31" i="30"/>
  <c r="R30" i="30"/>
  <c r="K30" i="30"/>
  <c r="J30" i="30"/>
  <c r="K29" i="30"/>
  <c r="J29" i="30"/>
  <c r="G29" i="30"/>
  <c r="R28" i="30"/>
  <c r="K28" i="30"/>
  <c r="U28" i="30" s="1"/>
  <c r="J28" i="30"/>
  <c r="K27" i="30"/>
  <c r="J27" i="30"/>
  <c r="G27" i="30"/>
  <c r="R26" i="30"/>
  <c r="K26" i="30"/>
  <c r="J26" i="30"/>
  <c r="K25" i="30"/>
  <c r="J25" i="30"/>
  <c r="G25" i="30"/>
  <c r="R24" i="30"/>
  <c r="K24" i="30"/>
  <c r="U24" i="30" s="1"/>
  <c r="J24" i="30"/>
  <c r="K23" i="30"/>
  <c r="J23" i="30"/>
  <c r="G23" i="30"/>
  <c r="R22" i="30"/>
  <c r="K22" i="30"/>
  <c r="J22" i="30"/>
  <c r="L22" i="30" s="1"/>
  <c r="K21" i="30"/>
  <c r="J21" i="30"/>
  <c r="G21" i="30"/>
  <c r="R20" i="30"/>
  <c r="K20" i="30"/>
  <c r="J20" i="30"/>
  <c r="K19" i="30"/>
  <c r="J19" i="30"/>
  <c r="G19" i="30"/>
  <c r="R18" i="30"/>
  <c r="K18" i="30"/>
  <c r="J18" i="30"/>
  <c r="H18" i="30"/>
  <c r="R17" i="30"/>
  <c r="R47" i="30" s="1"/>
  <c r="H17" i="30"/>
  <c r="G17" i="30"/>
  <c r="D15" i="30"/>
  <c r="G48" i="30" s="1"/>
  <c r="P1" i="30"/>
  <c r="P8" i="30" s="1"/>
  <c r="Q49" i="29"/>
  <c r="F49" i="29"/>
  <c r="E49" i="29"/>
  <c r="R48" i="29"/>
  <c r="V48" i="29" s="1"/>
  <c r="K48" i="29"/>
  <c r="U48" i="29" s="1"/>
  <c r="J48" i="29"/>
  <c r="L48" i="29" s="1"/>
  <c r="T48" i="29" s="1"/>
  <c r="S48" i="29" s="1"/>
  <c r="K47" i="29"/>
  <c r="J47" i="29"/>
  <c r="L47" i="29" s="1"/>
  <c r="T47" i="29" s="1"/>
  <c r="S47" i="29" s="1"/>
  <c r="R46" i="29"/>
  <c r="V46" i="29" s="1"/>
  <c r="K46" i="29"/>
  <c r="U46" i="29" s="1"/>
  <c r="J46" i="29"/>
  <c r="K45" i="29"/>
  <c r="J45" i="29"/>
  <c r="L45" i="29" s="1"/>
  <c r="R44" i="29"/>
  <c r="V44" i="29" s="1"/>
  <c r="K44" i="29"/>
  <c r="U44" i="29" s="1"/>
  <c r="J44" i="29"/>
  <c r="K43" i="29"/>
  <c r="J43" i="29"/>
  <c r="L43" i="29" s="1"/>
  <c r="R42" i="29"/>
  <c r="V42" i="29" s="1"/>
  <c r="K42" i="29"/>
  <c r="U42" i="29" s="1"/>
  <c r="J42" i="29"/>
  <c r="K41" i="29"/>
  <c r="J41" i="29"/>
  <c r="L41" i="29" s="1"/>
  <c r="R40" i="29"/>
  <c r="V40" i="29" s="1"/>
  <c r="K40" i="29"/>
  <c r="U40" i="29" s="1"/>
  <c r="J40" i="29"/>
  <c r="K39" i="29"/>
  <c r="J39" i="29"/>
  <c r="L39" i="29" s="1"/>
  <c r="R38" i="29"/>
  <c r="V38" i="29" s="1"/>
  <c r="K38" i="29"/>
  <c r="U38" i="29" s="1"/>
  <c r="J38" i="29"/>
  <c r="K37" i="29"/>
  <c r="J37" i="29"/>
  <c r="R36" i="29"/>
  <c r="K36" i="29"/>
  <c r="U36" i="29" s="1"/>
  <c r="J36" i="29"/>
  <c r="K35" i="29"/>
  <c r="J35" i="29"/>
  <c r="R34" i="29"/>
  <c r="K34" i="29"/>
  <c r="U34" i="29" s="1"/>
  <c r="J34" i="29"/>
  <c r="K33" i="29"/>
  <c r="J33" i="29"/>
  <c r="R32" i="29"/>
  <c r="K32" i="29"/>
  <c r="U32" i="29" s="1"/>
  <c r="J32" i="29"/>
  <c r="K31" i="29"/>
  <c r="J31" i="29"/>
  <c r="R30" i="29"/>
  <c r="K30" i="29"/>
  <c r="U30" i="29" s="1"/>
  <c r="J30" i="29"/>
  <c r="K29" i="29"/>
  <c r="J29" i="29"/>
  <c r="R28" i="29"/>
  <c r="K28" i="29"/>
  <c r="U28" i="29" s="1"/>
  <c r="J28" i="29"/>
  <c r="K27" i="29"/>
  <c r="J27" i="29"/>
  <c r="R26" i="29"/>
  <c r="K26" i="29"/>
  <c r="J26" i="29"/>
  <c r="K25" i="29"/>
  <c r="J25" i="29"/>
  <c r="R24" i="29"/>
  <c r="K24" i="29"/>
  <c r="U24" i="29" s="1"/>
  <c r="J24" i="29"/>
  <c r="K23" i="29"/>
  <c r="J23" i="29"/>
  <c r="R22" i="29"/>
  <c r="K22" i="29"/>
  <c r="J22" i="29"/>
  <c r="K21" i="29"/>
  <c r="J21" i="29"/>
  <c r="R20" i="29"/>
  <c r="K20" i="29"/>
  <c r="J20" i="29"/>
  <c r="K19" i="29"/>
  <c r="J19" i="29"/>
  <c r="G19" i="29"/>
  <c r="R18" i="29"/>
  <c r="K18" i="29"/>
  <c r="J18" i="29"/>
  <c r="R17" i="29"/>
  <c r="R47" i="29" s="1"/>
  <c r="H17" i="29"/>
  <c r="H47" i="29" s="1"/>
  <c r="G17" i="29"/>
  <c r="D15" i="29"/>
  <c r="G48" i="29" s="1"/>
  <c r="P10" i="29"/>
  <c r="P1" i="29"/>
  <c r="P8" i="29" s="1"/>
  <c r="Q49" i="27"/>
  <c r="F49" i="27"/>
  <c r="E49" i="27"/>
  <c r="P10" i="27" s="1"/>
  <c r="V48" i="27"/>
  <c r="R48" i="27"/>
  <c r="K48" i="27"/>
  <c r="U48" i="27" s="1"/>
  <c r="J48" i="27"/>
  <c r="L48" i="27" s="1"/>
  <c r="T48" i="27" s="1"/>
  <c r="S48" i="27" s="1"/>
  <c r="K47" i="27"/>
  <c r="V47" i="27" s="1"/>
  <c r="J47" i="27"/>
  <c r="L47" i="27" s="1"/>
  <c r="R46" i="27"/>
  <c r="V46" i="27" s="1"/>
  <c r="K46" i="27"/>
  <c r="U46" i="27" s="1"/>
  <c r="J46" i="27"/>
  <c r="K45" i="27"/>
  <c r="J45" i="27"/>
  <c r="L45" i="27" s="1"/>
  <c r="R44" i="27"/>
  <c r="V44" i="27" s="1"/>
  <c r="K44" i="27"/>
  <c r="U44" i="27" s="1"/>
  <c r="J44" i="27"/>
  <c r="K43" i="27"/>
  <c r="J43" i="27"/>
  <c r="L43" i="27" s="1"/>
  <c r="R42" i="27"/>
  <c r="V42" i="27" s="1"/>
  <c r="K42" i="27"/>
  <c r="U42" i="27" s="1"/>
  <c r="J42" i="27"/>
  <c r="K41" i="27"/>
  <c r="J41" i="27"/>
  <c r="L41" i="27" s="1"/>
  <c r="R40" i="27"/>
  <c r="V40" i="27" s="1"/>
  <c r="K40" i="27"/>
  <c r="U40" i="27" s="1"/>
  <c r="J40" i="27"/>
  <c r="K39" i="27"/>
  <c r="J39" i="27"/>
  <c r="L39" i="27" s="1"/>
  <c r="R38" i="27"/>
  <c r="V38" i="27" s="1"/>
  <c r="K38" i="27"/>
  <c r="U38" i="27" s="1"/>
  <c r="J38" i="27"/>
  <c r="K37" i="27"/>
  <c r="J37" i="27"/>
  <c r="L37" i="27" s="1"/>
  <c r="R36" i="27"/>
  <c r="V36" i="27" s="1"/>
  <c r="K36" i="27"/>
  <c r="U36" i="27" s="1"/>
  <c r="J36" i="27"/>
  <c r="K35" i="27"/>
  <c r="J35" i="27"/>
  <c r="L35" i="27" s="1"/>
  <c r="R34" i="27"/>
  <c r="K34" i="27"/>
  <c r="J34" i="27"/>
  <c r="K33" i="27"/>
  <c r="J33" i="27"/>
  <c r="R32" i="27"/>
  <c r="K32" i="27"/>
  <c r="U32" i="27" s="1"/>
  <c r="J32" i="27"/>
  <c r="H32" i="27"/>
  <c r="K31" i="27"/>
  <c r="J31" i="27"/>
  <c r="R30" i="27"/>
  <c r="K30" i="27"/>
  <c r="U30" i="27" s="1"/>
  <c r="J30" i="27"/>
  <c r="H30" i="27"/>
  <c r="K29" i="27"/>
  <c r="J29" i="27"/>
  <c r="R28" i="27"/>
  <c r="K28" i="27"/>
  <c r="U28" i="27" s="1"/>
  <c r="J28" i="27"/>
  <c r="H28" i="27"/>
  <c r="K27" i="27"/>
  <c r="J27" i="27"/>
  <c r="R26" i="27"/>
  <c r="K26" i="27"/>
  <c r="V26" i="27" s="1"/>
  <c r="J26" i="27"/>
  <c r="H26" i="27"/>
  <c r="K25" i="27"/>
  <c r="J25" i="27"/>
  <c r="R24" i="27"/>
  <c r="K24" i="27"/>
  <c r="U24" i="27" s="1"/>
  <c r="J24" i="27"/>
  <c r="H24" i="27"/>
  <c r="K23" i="27"/>
  <c r="J23" i="27"/>
  <c r="R22" i="27"/>
  <c r="K22" i="27"/>
  <c r="U22" i="27" s="1"/>
  <c r="J22" i="27"/>
  <c r="H22" i="27"/>
  <c r="K21" i="27"/>
  <c r="J21" i="27"/>
  <c r="R20" i="27"/>
  <c r="K20" i="27"/>
  <c r="J20" i="27"/>
  <c r="H20" i="27"/>
  <c r="K19" i="27"/>
  <c r="J19" i="27"/>
  <c r="R18" i="27"/>
  <c r="K18" i="27"/>
  <c r="V18" i="27" s="1"/>
  <c r="J18" i="27"/>
  <c r="H18" i="27"/>
  <c r="R17" i="27"/>
  <c r="R47" i="27" s="1"/>
  <c r="H17" i="27"/>
  <c r="G17" i="27"/>
  <c r="D15" i="27"/>
  <c r="G48" i="27" s="1"/>
  <c r="P1" i="27"/>
  <c r="P8" i="27" s="1"/>
  <c r="Q49" i="26"/>
  <c r="F49" i="26"/>
  <c r="E49" i="26"/>
  <c r="V48" i="26"/>
  <c r="R48" i="26"/>
  <c r="K48" i="26"/>
  <c r="U48" i="26" s="1"/>
  <c r="J48" i="26"/>
  <c r="L48" i="26" s="1"/>
  <c r="T48" i="26" s="1"/>
  <c r="S48" i="26" s="1"/>
  <c r="K47" i="26"/>
  <c r="V47" i="26" s="1"/>
  <c r="J47" i="26"/>
  <c r="L47" i="26" s="1"/>
  <c r="R46" i="26"/>
  <c r="V46" i="26" s="1"/>
  <c r="K46" i="26"/>
  <c r="U46" i="26" s="1"/>
  <c r="J46" i="26"/>
  <c r="K45" i="26"/>
  <c r="J45" i="26"/>
  <c r="L45" i="26" s="1"/>
  <c r="R44" i="26"/>
  <c r="V44" i="26" s="1"/>
  <c r="K44" i="26"/>
  <c r="U44" i="26" s="1"/>
  <c r="J44" i="26"/>
  <c r="K43" i="26"/>
  <c r="J43" i="26"/>
  <c r="L43" i="26" s="1"/>
  <c r="R42" i="26"/>
  <c r="V42" i="26" s="1"/>
  <c r="K42" i="26"/>
  <c r="U42" i="26" s="1"/>
  <c r="J42" i="26"/>
  <c r="K41" i="26"/>
  <c r="J41" i="26"/>
  <c r="L41" i="26" s="1"/>
  <c r="R40" i="26"/>
  <c r="V40" i="26" s="1"/>
  <c r="K40" i="26"/>
  <c r="U40" i="26" s="1"/>
  <c r="J40" i="26"/>
  <c r="K39" i="26"/>
  <c r="J39" i="26"/>
  <c r="L39" i="26" s="1"/>
  <c r="R38" i="26"/>
  <c r="V38" i="26" s="1"/>
  <c r="K38" i="26"/>
  <c r="U38" i="26" s="1"/>
  <c r="J38" i="26"/>
  <c r="K37" i="26"/>
  <c r="J37" i="26"/>
  <c r="L37" i="26" s="1"/>
  <c r="R36" i="26"/>
  <c r="V36" i="26" s="1"/>
  <c r="K36" i="26"/>
  <c r="U36" i="26" s="1"/>
  <c r="J36" i="26"/>
  <c r="L36" i="26" s="1"/>
  <c r="T36" i="26" s="1"/>
  <c r="S36" i="26" s="1"/>
  <c r="K35" i="26"/>
  <c r="J35" i="26"/>
  <c r="R34" i="26"/>
  <c r="K34" i="26"/>
  <c r="J34" i="26"/>
  <c r="K33" i="26"/>
  <c r="J33" i="26"/>
  <c r="R32" i="26"/>
  <c r="K32" i="26"/>
  <c r="J32" i="26"/>
  <c r="K31" i="26"/>
  <c r="J31" i="26"/>
  <c r="R30" i="26"/>
  <c r="K30" i="26"/>
  <c r="J30" i="26"/>
  <c r="K29" i="26"/>
  <c r="J29" i="26"/>
  <c r="R28" i="26"/>
  <c r="K28" i="26"/>
  <c r="U28" i="26" s="1"/>
  <c r="J28" i="26"/>
  <c r="K27" i="26"/>
  <c r="J27" i="26"/>
  <c r="R26" i="26"/>
  <c r="K26" i="26"/>
  <c r="U26" i="26" s="1"/>
  <c r="J26" i="26"/>
  <c r="K25" i="26"/>
  <c r="J25" i="26"/>
  <c r="R24" i="26"/>
  <c r="K24" i="26"/>
  <c r="J24" i="26"/>
  <c r="K23" i="26"/>
  <c r="J23" i="26"/>
  <c r="R22" i="26"/>
  <c r="K22" i="26"/>
  <c r="U22" i="26" s="1"/>
  <c r="J22" i="26"/>
  <c r="K21" i="26"/>
  <c r="J21" i="26"/>
  <c r="R20" i="26"/>
  <c r="K20" i="26"/>
  <c r="J20" i="26"/>
  <c r="L20" i="26" s="1"/>
  <c r="T20" i="26" s="1"/>
  <c r="S20" i="26" s="1"/>
  <c r="K19" i="26"/>
  <c r="J19" i="26"/>
  <c r="R18" i="26"/>
  <c r="K18" i="26"/>
  <c r="J18" i="26"/>
  <c r="R17" i="26"/>
  <c r="R47" i="26" s="1"/>
  <c r="H17" i="26"/>
  <c r="G17" i="26"/>
  <c r="D15" i="26"/>
  <c r="G48" i="26" s="1"/>
  <c r="P10" i="26"/>
  <c r="P1" i="26"/>
  <c r="P8" i="26" s="1"/>
  <c r="Q49" i="24"/>
  <c r="F49" i="24"/>
  <c r="E49" i="24"/>
  <c r="P10" i="24" s="1"/>
  <c r="R48" i="24"/>
  <c r="V48" i="24" s="1"/>
  <c r="K48" i="24"/>
  <c r="U48" i="24" s="1"/>
  <c r="J48" i="24"/>
  <c r="L48" i="24" s="1"/>
  <c r="T48" i="24" s="1"/>
  <c r="S48" i="24" s="1"/>
  <c r="K47" i="24"/>
  <c r="J47" i="24"/>
  <c r="G47" i="24"/>
  <c r="R46" i="24"/>
  <c r="V46" i="24" s="1"/>
  <c r="K46" i="24"/>
  <c r="U46" i="24" s="1"/>
  <c r="J46" i="24"/>
  <c r="L46" i="24" s="1"/>
  <c r="K45" i="24"/>
  <c r="J45" i="24"/>
  <c r="G45" i="24"/>
  <c r="R44" i="24"/>
  <c r="V44" i="24" s="1"/>
  <c r="K44" i="24"/>
  <c r="J44" i="24"/>
  <c r="L44" i="24" s="1"/>
  <c r="H44" i="24"/>
  <c r="K43" i="24"/>
  <c r="J43" i="24"/>
  <c r="G43" i="24"/>
  <c r="V42" i="24"/>
  <c r="R42" i="24"/>
  <c r="K42" i="24"/>
  <c r="U42" i="24" s="1"/>
  <c r="J42" i="24"/>
  <c r="L42" i="24" s="1"/>
  <c r="T42" i="24" s="1"/>
  <c r="S42" i="24" s="1"/>
  <c r="H42" i="24"/>
  <c r="K41" i="24"/>
  <c r="J41" i="24"/>
  <c r="G41" i="24"/>
  <c r="R40" i="24"/>
  <c r="V40" i="24" s="1"/>
  <c r="K40" i="24"/>
  <c r="U40" i="24" s="1"/>
  <c r="J40" i="24"/>
  <c r="L40" i="24" s="1"/>
  <c r="T40" i="24" s="1"/>
  <c r="S40" i="24" s="1"/>
  <c r="K39" i="24"/>
  <c r="J39" i="24"/>
  <c r="G39" i="24"/>
  <c r="R38" i="24"/>
  <c r="V38" i="24" s="1"/>
  <c r="K38" i="24"/>
  <c r="U38" i="24" s="1"/>
  <c r="J38" i="24"/>
  <c r="L38" i="24" s="1"/>
  <c r="K37" i="24"/>
  <c r="J37" i="24"/>
  <c r="G37" i="24"/>
  <c r="R36" i="24"/>
  <c r="V36" i="24" s="1"/>
  <c r="K36" i="24"/>
  <c r="J36" i="24"/>
  <c r="L36" i="24" s="1"/>
  <c r="H36" i="24"/>
  <c r="K35" i="24"/>
  <c r="J35" i="24"/>
  <c r="G35" i="24"/>
  <c r="V34" i="24"/>
  <c r="R34" i="24"/>
  <c r="K34" i="24"/>
  <c r="U34" i="24" s="1"/>
  <c r="J34" i="24"/>
  <c r="L34" i="24" s="1"/>
  <c r="T34" i="24" s="1"/>
  <c r="S34" i="24" s="1"/>
  <c r="H34" i="24"/>
  <c r="K33" i="24"/>
  <c r="J33" i="24"/>
  <c r="G33" i="24"/>
  <c r="R32" i="24"/>
  <c r="K32" i="24"/>
  <c r="U32" i="24" s="1"/>
  <c r="J32" i="24"/>
  <c r="K31" i="24"/>
  <c r="J31" i="24"/>
  <c r="G31" i="24"/>
  <c r="R30" i="24"/>
  <c r="K30" i="24"/>
  <c r="U30" i="24" s="1"/>
  <c r="J30" i="24"/>
  <c r="K29" i="24"/>
  <c r="J29" i="24"/>
  <c r="G29" i="24"/>
  <c r="R28" i="24"/>
  <c r="K28" i="24"/>
  <c r="U28" i="24" s="1"/>
  <c r="J28" i="24"/>
  <c r="H28" i="24"/>
  <c r="K27" i="24"/>
  <c r="J27" i="24"/>
  <c r="G27" i="24"/>
  <c r="R26" i="24"/>
  <c r="K26" i="24"/>
  <c r="J26" i="24"/>
  <c r="H26" i="24"/>
  <c r="K25" i="24"/>
  <c r="J25" i="24"/>
  <c r="G25" i="24"/>
  <c r="R24" i="24"/>
  <c r="K24" i="24"/>
  <c r="J24" i="24"/>
  <c r="H24" i="24"/>
  <c r="K23" i="24"/>
  <c r="J23" i="24"/>
  <c r="G23" i="24"/>
  <c r="R22" i="24"/>
  <c r="K22" i="24"/>
  <c r="J22" i="24"/>
  <c r="H22" i="24"/>
  <c r="K21" i="24"/>
  <c r="J21" i="24"/>
  <c r="G21" i="24"/>
  <c r="R20" i="24"/>
  <c r="K20" i="24"/>
  <c r="J20" i="24"/>
  <c r="H20" i="24"/>
  <c r="K19" i="24"/>
  <c r="J19" i="24"/>
  <c r="G19" i="24"/>
  <c r="R18" i="24"/>
  <c r="K18" i="24"/>
  <c r="J18" i="24"/>
  <c r="H18" i="24"/>
  <c r="R17" i="24"/>
  <c r="R47" i="24" s="1"/>
  <c r="H17" i="24"/>
  <c r="H46" i="24" s="1"/>
  <c r="G17" i="24"/>
  <c r="H38" i="24" s="1"/>
  <c r="D15" i="24"/>
  <c r="G48" i="24" s="1"/>
  <c r="P1" i="24"/>
  <c r="P8" i="24" s="1"/>
  <c r="Q49" i="22"/>
  <c r="F49" i="22"/>
  <c r="E49" i="22"/>
  <c r="P10" i="22" s="1"/>
  <c r="K48" i="22"/>
  <c r="J48" i="22"/>
  <c r="L48" i="22" s="1"/>
  <c r="H48" i="22"/>
  <c r="K47" i="22"/>
  <c r="J47" i="22"/>
  <c r="G47" i="22"/>
  <c r="K46" i="22"/>
  <c r="J46" i="22"/>
  <c r="L46" i="22" s="1"/>
  <c r="H46" i="22"/>
  <c r="K45" i="22"/>
  <c r="J45" i="22"/>
  <c r="G45" i="22"/>
  <c r="K44" i="22"/>
  <c r="J44" i="22"/>
  <c r="L44" i="22" s="1"/>
  <c r="H44" i="22"/>
  <c r="K43" i="22"/>
  <c r="J43" i="22"/>
  <c r="G43" i="22"/>
  <c r="K42" i="22"/>
  <c r="J42" i="22"/>
  <c r="L42" i="22" s="1"/>
  <c r="H42" i="22"/>
  <c r="L41" i="22"/>
  <c r="K41" i="22"/>
  <c r="J41" i="22"/>
  <c r="H41" i="22"/>
  <c r="G41" i="22"/>
  <c r="K40" i="22"/>
  <c r="J40" i="22"/>
  <c r="L40" i="22" s="1"/>
  <c r="H40" i="22"/>
  <c r="L39" i="22"/>
  <c r="K39" i="22"/>
  <c r="J39" i="22"/>
  <c r="H39" i="22"/>
  <c r="G39" i="22"/>
  <c r="K38" i="22"/>
  <c r="J38" i="22"/>
  <c r="L38" i="22" s="1"/>
  <c r="H38" i="22"/>
  <c r="L37" i="22"/>
  <c r="K37" i="22"/>
  <c r="J37" i="22"/>
  <c r="H37" i="22"/>
  <c r="G37" i="22"/>
  <c r="K36" i="22"/>
  <c r="J36" i="22"/>
  <c r="L36" i="22" s="1"/>
  <c r="H36" i="22"/>
  <c r="L35" i="22"/>
  <c r="K35" i="22"/>
  <c r="J35" i="22"/>
  <c r="H35" i="22"/>
  <c r="G35" i="22"/>
  <c r="K34" i="22"/>
  <c r="J34" i="22"/>
  <c r="H34" i="22"/>
  <c r="K33" i="22"/>
  <c r="L33" i="22" s="1"/>
  <c r="J33" i="22"/>
  <c r="H33" i="22"/>
  <c r="G33" i="22"/>
  <c r="K32" i="22"/>
  <c r="J32" i="22"/>
  <c r="H32" i="22"/>
  <c r="K31" i="22"/>
  <c r="J31" i="22"/>
  <c r="H31" i="22"/>
  <c r="G31" i="22"/>
  <c r="K30" i="22"/>
  <c r="J30" i="22"/>
  <c r="H30" i="22"/>
  <c r="K29" i="22"/>
  <c r="J29" i="22"/>
  <c r="H29" i="22"/>
  <c r="G29" i="22"/>
  <c r="K28" i="22"/>
  <c r="J28" i="22"/>
  <c r="H28" i="22"/>
  <c r="K27" i="22"/>
  <c r="J27" i="22"/>
  <c r="H27" i="22"/>
  <c r="G27" i="22"/>
  <c r="K26" i="22"/>
  <c r="J26" i="22"/>
  <c r="H26" i="22"/>
  <c r="K25" i="22"/>
  <c r="J25" i="22"/>
  <c r="H25" i="22"/>
  <c r="G25" i="22"/>
  <c r="K24" i="22"/>
  <c r="J24" i="22"/>
  <c r="H24" i="22"/>
  <c r="K23" i="22"/>
  <c r="J23" i="22"/>
  <c r="H23" i="22"/>
  <c r="G23" i="22"/>
  <c r="K22" i="22"/>
  <c r="J22" i="22"/>
  <c r="H22" i="22"/>
  <c r="K21" i="22"/>
  <c r="J21" i="22"/>
  <c r="H21" i="22"/>
  <c r="G21" i="22"/>
  <c r="K20" i="22"/>
  <c r="J20" i="22"/>
  <c r="H20" i="22"/>
  <c r="K19" i="22"/>
  <c r="J19" i="22"/>
  <c r="H19" i="22"/>
  <c r="G19" i="22"/>
  <c r="K18" i="22"/>
  <c r="J18" i="22"/>
  <c r="H18" i="22"/>
  <c r="R17" i="22"/>
  <c r="R24" i="22" s="1"/>
  <c r="H17" i="22"/>
  <c r="G17" i="22"/>
  <c r="D15" i="22"/>
  <c r="G48" i="22" s="1"/>
  <c r="P1" i="22"/>
  <c r="P8" i="22" s="1"/>
  <c r="Q49" i="21"/>
  <c r="F49" i="21"/>
  <c r="E49" i="21"/>
  <c r="P10" i="21" s="1"/>
  <c r="K48" i="21"/>
  <c r="J48" i="21"/>
  <c r="K47" i="21"/>
  <c r="J47" i="21"/>
  <c r="L47" i="21" s="1"/>
  <c r="H47" i="21"/>
  <c r="K46" i="21"/>
  <c r="J46" i="21"/>
  <c r="K45" i="21"/>
  <c r="J45" i="21"/>
  <c r="L45" i="21" s="1"/>
  <c r="H45" i="21"/>
  <c r="K44" i="21"/>
  <c r="J44" i="21"/>
  <c r="K43" i="21"/>
  <c r="J43" i="21"/>
  <c r="L43" i="21" s="1"/>
  <c r="H43" i="21"/>
  <c r="K42" i="21"/>
  <c r="J42" i="21"/>
  <c r="K41" i="21"/>
  <c r="J41" i="21"/>
  <c r="L41" i="21" s="1"/>
  <c r="H41" i="21"/>
  <c r="K40" i="21"/>
  <c r="J40" i="21"/>
  <c r="K39" i="21"/>
  <c r="J39" i="21"/>
  <c r="L39" i="21" s="1"/>
  <c r="H39" i="21"/>
  <c r="K38" i="21"/>
  <c r="L38" i="21" s="1"/>
  <c r="J38" i="21"/>
  <c r="K37" i="21"/>
  <c r="J37" i="21"/>
  <c r="L37" i="21" s="1"/>
  <c r="H37" i="21"/>
  <c r="K36" i="21"/>
  <c r="J36" i="21"/>
  <c r="K35" i="21"/>
  <c r="J35" i="21"/>
  <c r="L35" i="21" s="1"/>
  <c r="H35" i="21"/>
  <c r="K34" i="21"/>
  <c r="J34" i="21"/>
  <c r="K33" i="21"/>
  <c r="J33" i="21"/>
  <c r="L33" i="21" s="1"/>
  <c r="H33" i="21"/>
  <c r="K32" i="21"/>
  <c r="L32" i="21" s="1"/>
  <c r="J32" i="21"/>
  <c r="K31" i="21"/>
  <c r="J31" i="21"/>
  <c r="H31" i="21"/>
  <c r="K30" i="21"/>
  <c r="J30" i="21"/>
  <c r="K29" i="21"/>
  <c r="J29" i="21"/>
  <c r="H29" i="21"/>
  <c r="K28" i="21"/>
  <c r="J28" i="21"/>
  <c r="K27" i="21"/>
  <c r="J27" i="21"/>
  <c r="H27" i="21"/>
  <c r="K26" i="21"/>
  <c r="J26" i="21"/>
  <c r="K25" i="21"/>
  <c r="J25" i="21"/>
  <c r="H25" i="21"/>
  <c r="K24" i="21"/>
  <c r="J24" i="21"/>
  <c r="K23" i="21"/>
  <c r="J23" i="21"/>
  <c r="H23" i="21"/>
  <c r="K22" i="21"/>
  <c r="J22" i="21"/>
  <c r="K21" i="21"/>
  <c r="J21" i="21"/>
  <c r="H21" i="21"/>
  <c r="K20" i="21"/>
  <c r="J20" i="21"/>
  <c r="K19" i="21"/>
  <c r="J19" i="21"/>
  <c r="H19" i="21"/>
  <c r="K18" i="21"/>
  <c r="J18" i="21"/>
  <c r="R17" i="21"/>
  <c r="H17" i="21"/>
  <c r="H48" i="21" s="1"/>
  <c r="G17" i="21"/>
  <c r="H26" i="21" s="1"/>
  <c r="D15" i="21"/>
  <c r="P8" i="21"/>
  <c r="P1" i="21"/>
  <c r="Q49" i="19"/>
  <c r="F49" i="19"/>
  <c r="E49" i="19"/>
  <c r="P10" i="19" s="1"/>
  <c r="R48" i="19"/>
  <c r="V48" i="19" s="1"/>
  <c r="K48" i="19"/>
  <c r="U48" i="19" s="1"/>
  <c r="J48" i="19"/>
  <c r="L48" i="19" s="1"/>
  <c r="T48" i="19" s="1"/>
  <c r="S48" i="19" s="1"/>
  <c r="K47" i="19"/>
  <c r="J47" i="19"/>
  <c r="G47" i="19"/>
  <c r="R46" i="19"/>
  <c r="V46" i="19" s="1"/>
  <c r="K46" i="19"/>
  <c r="U46" i="19" s="1"/>
  <c r="J46" i="19"/>
  <c r="L46" i="19" s="1"/>
  <c r="K45" i="19"/>
  <c r="J45" i="19"/>
  <c r="G45" i="19"/>
  <c r="R44" i="19"/>
  <c r="V44" i="19" s="1"/>
  <c r="K44" i="19"/>
  <c r="J44" i="19"/>
  <c r="L44" i="19" s="1"/>
  <c r="K43" i="19"/>
  <c r="J43" i="19"/>
  <c r="G43" i="19"/>
  <c r="V42" i="19"/>
  <c r="R42" i="19"/>
  <c r="K42" i="19"/>
  <c r="U42" i="19" s="1"/>
  <c r="J42" i="19"/>
  <c r="L42" i="19" s="1"/>
  <c r="T42" i="19" s="1"/>
  <c r="S42" i="19" s="1"/>
  <c r="K41" i="19"/>
  <c r="J41" i="19"/>
  <c r="G41" i="19"/>
  <c r="R40" i="19"/>
  <c r="V40" i="19" s="1"/>
  <c r="K40" i="19"/>
  <c r="U40" i="19" s="1"/>
  <c r="J40" i="19"/>
  <c r="L40" i="19" s="1"/>
  <c r="T40" i="19" s="1"/>
  <c r="S40" i="19" s="1"/>
  <c r="K39" i="19"/>
  <c r="J39" i="19"/>
  <c r="G39" i="19"/>
  <c r="R38" i="19"/>
  <c r="K38" i="19"/>
  <c r="U38" i="19" s="1"/>
  <c r="J38" i="19"/>
  <c r="L38" i="19" s="1"/>
  <c r="K37" i="19"/>
  <c r="J37" i="19"/>
  <c r="G37" i="19"/>
  <c r="R36" i="19"/>
  <c r="K36" i="19"/>
  <c r="J36" i="19"/>
  <c r="K35" i="19"/>
  <c r="J35" i="19"/>
  <c r="G35" i="19"/>
  <c r="R34" i="19"/>
  <c r="K34" i="19"/>
  <c r="U34" i="19" s="1"/>
  <c r="J34" i="19"/>
  <c r="K33" i="19"/>
  <c r="J33" i="19"/>
  <c r="G33" i="19"/>
  <c r="R32" i="19"/>
  <c r="K32" i="19"/>
  <c r="J32" i="19"/>
  <c r="K31" i="19"/>
  <c r="J31" i="19"/>
  <c r="G31" i="19"/>
  <c r="R30" i="19"/>
  <c r="K30" i="19"/>
  <c r="U30" i="19" s="1"/>
  <c r="J30" i="19"/>
  <c r="K29" i="19"/>
  <c r="J29" i="19"/>
  <c r="G29" i="19"/>
  <c r="R28" i="19"/>
  <c r="K28" i="19"/>
  <c r="U28" i="19" s="1"/>
  <c r="J28" i="19"/>
  <c r="K27" i="19"/>
  <c r="J27" i="19"/>
  <c r="G27" i="19"/>
  <c r="R26" i="19"/>
  <c r="K26" i="19"/>
  <c r="U26" i="19" s="1"/>
  <c r="J26" i="19"/>
  <c r="K25" i="19"/>
  <c r="J25" i="19"/>
  <c r="G25" i="19"/>
  <c r="R24" i="19"/>
  <c r="K24" i="19"/>
  <c r="U24" i="19" s="1"/>
  <c r="J24" i="19"/>
  <c r="K23" i="19"/>
  <c r="J23" i="19"/>
  <c r="G23" i="19"/>
  <c r="R22" i="19"/>
  <c r="K22" i="19"/>
  <c r="J22" i="19"/>
  <c r="L22" i="19" s="1"/>
  <c r="K21" i="19"/>
  <c r="J21" i="19"/>
  <c r="G21" i="19"/>
  <c r="R20" i="19"/>
  <c r="K20" i="19"/>
  <c r="U20" i="19" s="1"/>
  <c r="J20" i="19"/>
  <c r="K19" i="19"/>
  <c r="J19" i="19"/>
  <c r="G19" i="19"/>
  <c r="R18" i="19"/>
  <c r="K18" i="19"/>
  <c r="U18" i="19" s="1"/>
  <c r="J18" i="19"/>
  <c r="R17" i="19"/>
  <c r="R47" i="19" s="1"/>
  <c r="H17" i="19"/>
  <c r="G17" i="19"/>
  <c r="D15" i="19"/>
  <c r="G48" i="19" s="1"/>
  <c r="P1" i="19"/>
  <c r="P8" i="19" s="1"/>
  <c r="Q49" i="17"/>
  <c r="F49" i="17"/>
  <c r="E49" i="17"/>
  <c r="P10" i="17" s="1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R31" i="17"/>
  <c r="J31" i="17"/>
  <c r="J30" i="17"/>
  <c r="R29" i="17"/>
  <c r="J29" i="17"/>
  <c r="J28" i="17"/>
  <c r="R27" i="17"/>
  <c r="J27" i="17"/>
  <c r="J26" i="17"/>
  <c r="R25" i="17"/>
  <c r="J25" i="17"/>
  <c r="J24" i="17"/>
  <c r="R23" i="17"/>
  <c r="J23" i="17"/>
  <c r="J22" i="17"/>
  <c r="R21" i="17"/>
  <c r="J21" i="17"/>
  <c r="J20" i="17"/>
  <c r="R19" i="17"/>
  <c r="J19" i="17"/>
  <c r="J18" i="17"/>
  <c r="R17" i="17"/>
  <c r="H17" i="17"/>
  <c r="G17" i="17"/>
  <c r="D15" i="17"/>
  <c r="P8" i="17"/>
  <c r="P1" i="17"/>
  <c r="Q49" i="15"/>
  <c r="F49" i="15"/>
  <c r="E49" i="15"/>
  <c r="P10" i="15" s="1"/>
  <c r="R48" i="15"/>
  <c r="J48" i="15"/>
  <c r="J47" i="15"/>
  <c r="R46" i="15"/>
  <c r="J46" i="15"/>
  <c r="J45" i="15"/>
  <c r="R44" i="15"/>
  <c r="J44" i="15"/>
  <c r="J43" i="15"/>
  <c r="R42" i="15"/>
  <c r="J42" i="15"/>
  <c r="J41" i="15"/>
  <c r="R40" i="15"/>
  <c r="J40" i="15"/>
  <c r="J39" i="15"/>
  <c r="R38" i="15"/>
  <c r="J38" i="15"/>
  <c r="J37" i="15"/>
  <c r="R36" i="15"/>
  <c r="J36" i="15"/>
  <c r="J35" i="15"/>
  <c r="R34" i="15"/>
  <c r="J34" i="15"/>
  <c r="J33" i="15"/>
  <c r="R32" i="15"/>
  <c r="J32" i="15"/>
  <c r="J31" i="15"/>
  <c r="R30" i="15"/>
  <c r="J30" i="15"/>
  <c r="J29" i="15"/>
  <c r="R28" i="15"/>
  <c r="J28" i="15"/>
  <c r="J27" i="15"/>
  <c r="R26" i="15"/>
  <c r="J26" i="15"/>
  <c r="J25" i="15"/>
  <c r="R24" i="15"/>
  <c r="J24" i="15"/>
  <c r="J23" i="15"/>
  <c r="R22" i="15"/>
  <c r="J22" i="15"/>
  <c r="J21" i="15"/>
  <c r="R20" i="15"/>
  <c r="J20" i="15"/>
  <c r="J19" i="15"/>
  <c r="G19" i="15"/>
  <c r="K19" i="15" s="1"/>
  <c r="R18" i="15"/>
  <c r="J18" i="15"/>
  <c r="R17" i="15"/>
  <c r="R47" i="15" s="1"/>
  <c r="H17" i="15"/>
  <c r="G17" i="15"/>
  <c r="D15" i="15"/>
  <c r="G48" i="15" s="1"/>
  <c r="K48" i="15" s="1"/>
  <c r="P1" i="15"/>
  <c r="P8" i="15" s="1"/>
  <c r="Q49" i="13"/>
  <c r="F49" i="13"/>
  <c r="E49" i="13"/>
  <c r="P10" i="13" s="1"/>
  <c r="R48" i="13"/>
  <c r="K48" i="13"/>
  <c r="U48" i="13" s="1"/>
  <c r="J48" i="13"/>
  <c r="J47" i="13"/>
  <c r="G47" i="13"/>
  <c r="K47" i="13" s="1"/>
  <c r="R46" i="13"/>
  <c r="J46" i="13"/>
  <c r="K45" i="13"/>
  <c r="J45" i="13"/>
  <c r="G45" i="13"/>
  <c r="R44" i="13"/>
  <c r="J44" i="13"/>
  <c r="J43" i="13"/>
  <c r="G43" i="13"/>
  <c r="K43" i="13" s="1"/>
  <c r="R42" i="13"/>
  <c r="J42" i="13"/>
  <c r="K41" i="13"/>
  <c r="J41" i="13"/>
  <c r="G41" i="13"/>
  <c r="R40" i="13"/>
  <c r="J40" i="13"/>
  <c r="J39" i="13"/>
  <c r="G39" i="13"/>
  <c r="K39" i="13" s="1"/>
  <c r="R38" i="13"/>
  <c r="J38" i="13"/>
  <c r="K37" i="13"/>
  <c r="J37" i="13"/>
  <c r="G37" i="13"/>
  <c r="R36" i="13"/>
  <c r="J36" i="13"/>
  <c r="J35" i="13"/>
  <c r="G35" i="13"/>
  <c r="K35" i="13" s="1"/>
  <c r="R34" i="13"/>
  <c r="J34" i="13"/>
  <c r="J33" i="13"/>
  <c r="G33" i="13"/>
  <c r="K33" i="13" s="1"/>
  <c r="R32" i="13"/>
  <c r="J32" i="13"/>
  <c r="J31" i="13"/>
  <c r="G31" i="13"/>
  <c r="K31" i="13" s="1"/>
  <c r="R30" i="13"/>
  <c r="J30" i="13"/>
  <c r="J29" i="13"/>
  <c r="G29" i="13"/>
  <c r="K29" i="13" s="1"/>
  <c r="R28" i="13"/>
  <c r="J28" i="13"/>
  <c r="J27" i="13"/>
  <c r="G27" i="13"/>
  <c r="K27" i="13" s="1"/>
  <c r="R26" i="13"/>
  <c r="J26" i="13"/>
  <c r="J25" i="13"/>
  <c r="G25" i="13"/>
  <c r="K25" i="13" s="1"/>
  <c r="R24" i="13"/>
  <c r="J24" i="13"/>
  <c r="J23" i="13"/>
  <c r="G23" i="13"/>
  <c r="K23" i="13" s="1"/>
  <c r="R22" i="13"/>
  <c r="J22" i="13"/>
  <c r="J21" i="13"/>
  <c r="G21" i="13"/>
  <c r="K21" i="13" s="1"/>
  <c r="R20" i="13"/>
  <c r="J20" i="13"/>
  <c r="J19" i="13"/>
  <c r="G19" i="13"/>
  <c r="K19" i="13" s="1"/>
  <c r="R18" i="13"/>
  <c r="J18" i="13"/>
  <c r="R17" i="13"/>
  <c r="R47" i="13" s="1"/>
  <c r="H17" i="13"/>
  <c r="G17" i="13"/>
  <c r="D15" i="13"/>
  <c r="G48" i="13" s="1"/>
  <c r="P1" i="13"/>
  <c r="P8" i="13" s="1"/>
  <c r="Q49" i="12"/>
  <c r="F49" i="12"/>
  <c r="E49" i="12"/>
  <c r="P10" i="12" s="1"/>
  <c r="R48" i="12"/>
  <c r="J48" i="12"/>
  <c r="K47" i="12"/>
  <c r="J47" i="12"/>
  <c r="G47" i="12"/>
  <c r="R46" i="12"/>
  <c r="J46" i="12"/>
  <c r="J45" i="12"/>
  <c r="G45" i="12"/>
  <c r="K45" i="12" s="1"/>
  <c r="R44" i="12"/>
  <c r="J44" i="12"/>
  <c r="K43" i="12"/>
  <c r="J43" i="12"/>
  <c r="G43" i="12"/>
  <c r="R42" i="12"/>
  <c r="J42" i="12"/>
  <c r="K41" i="12"/>
  <c r="J41" i="12"/>
  <c r="G41" i="12"/>
  <c r="R40" i="12"/>
  <c r="J40" i="12"/>
  <c r="J39" i="12"/>
  <c r="G39" i="12"/>
  <c r="K39" i="12" s="1"/>
  <c r="R38" i="12"/>
  <c r="J38" i="12"/>
  <c r="J37" i="12"/>
  <c r="G37" i="12"/>
  <c r="K37" i="12" s="1"/>
  <c r="R36" i="12"/>
  <c r="J36" i="12"/>
  <c r="J35" i="12"/>
  <c r="G35" i="12"/>
  <c r="K35" i="12" s="1"/>
  <c r="R34" i="12"/>
  <c r="J34" i="12"/>
  <c r="J33" i="12"/>
  <c r="G33" i="12"/>
  <c r="K33" i="12" s="1"/>
  <c r="R32" i="12"/>
  <c r="J32" i="12"/>
  <c r="J31" i="12"/>
  <c r="G31" i="12"/>
  <c r="K31" i="12" s="1"/>
  <c r="R30" i="12"/>
  <c r="J30" i="12"/>
  <c r="J29" i="12"/>
  <c r="G29" i="12"/>
  <c r="K29" i="12" s="1"/>
  <c r="R28" i="12"/>
  <c r="J28" i="12"/>
  <c r="J27" i="12"/>
  <c r="G27" i="12"/>
  <c r="K27" i="12" s="1"/>
  <c r="R26" i="12"/>
  <c r="J26" i="12"/>
  <c r="J25" i="12"/>
  <c r="G25" i="12"/>
  <c r="K25" i="12" s="1"/>
  <c r="R24" i="12"/>
  <c r="J24" i="12"/>
  <c r="J23" i="12"/>
  <c r="G23" i="12"/>
  <c r="K23" i="12" s="1"/>
  <c r="R22" i="12"/>
  <c r="J22" i="12"/>
  <c r="J21" i="12"/>
  <c r="G21" i="12"/>
  <c r="K21" i="12" s="1"/>
  <c r="R20" i="12"/>
  <c r="J20" i="12"/>
  <c r="J19" i="12"/>
  <c r="G19" i="12"/>
  <c r="K19" i="12" s="1"/>
  <c r="R18" i="12"/>
  <c r="J18" i="12"/>
  <c r="R17" i="12"/>
  <c r="R47" i="12" s="1"/>
  <c r="H17" i="12"/>
  <c r="G17" i="12"/>
  <c r="D15" i="12"/>
  <c r="G48" i="12" s="1"/>
  <c r="K48" i="12" s="1"/>
  <c r="U48" i="12" s="1"/>
  <c r="P1" i="12"/>
  <c r="P8" i="12" s="1"/>
  <c r="Q49" i="11"/>
  <c r="F49" i="11"/>
  <c r="E49" i="11"/>
  <c r="P10" i="11" s="1"/>
  <c r="K48" i="11"/>
  <c r="J48" i="11"/>
  <c r="L48" i="11" s="1"/>
  <c r="H48" i="11"/>
  <c r="K47" i="11"/>
  <c r="J47" i="11"/>
  <c r="G47" i="11"/>
  <c r="K46" i="11"/>
  <c r="J46" i="11"/>
  <c r="L46" i="11" s="1"/>
  <c r="H46" i="11"/>
  <c r="K45" i="11"/>
  <c r="J45" i="11"/>
  <c r="G45" i="11"/>
  <c r="K44" i="11"/>
  <c r="J44" i="11"/>
  <c r="L44" i="11" s="1"/>
  <c r="H44" i="11"/>
  <c r="K43" i="11"/>
  <c r="L43" i="11" s="1"/>
  <c r="J43" i="11"/>
  <c r="G43" i="11"/>
  <c r="K42" i="11"/>
  <c r="J42" i="11"/>
  <c r="L42" i="11" s="1"/>
  <c r="H42" i="11"/>
  <c r="L41" i="11"/>
  <c r="K41" i="11"/>
  <c r="J41" i="11"/>
  <c r="H41" i="11"/>
  <c r="G41" i="11"/>
  <c r="K40" i="11"/>
  <c r="J40" i="11"/>
  <c r="L40" i="11" s="1"/>
  <c r="H40" i="11"/>
  <c r="L39" i="11"/>
  <c r="K39" i="11"/>
  <c r="J39" i="11"/>
  <c r="H39" i="11"/>
  <c r="G39" i="11"/>
  <c r="K38" i="11"/>
  <c r="J38" i="11"/>
  <c r="L38" i="11" s="1"/>
  <c r="H38" i="11"/>
  <c r="L37" i="11"/>
  <c r="K37" i="11"/>
  <c r="J37" i="11"/>
  <c r="H37" i="11"/>
  <c r="G37" i="11"/>
  <c r="K36" i="11"/>
  <c r="J36" i="11"/>
  <c r="L36" i="11" s="1"/>
  <c r="H36" i="11"/>
  <c r="L35" i="11"/>
  <c r="K35" i="11"/>
  <c r="J35" i="11"/>
  <c r="H35" i="11"/>
  <c r="G35" i="11"/>
  <c r="K34" i="11"/>
  <c r="J34" i="11"/>
  <c r="L34" i="11" s="1"/>
  <c r="H34" i="11"/>
  <c r="L33" i="11"/>
  <c r="K33" i="11"/>
  <c r="J33" i="11"/>
  <c r="H33" i="11"/>
  <c r="G33" i="11"/>
  <c r="K32" i="11"/>
  <c r="J32" i="11"/>
  <c r="L32" i="11" s="1"/>
  <c r="H32" i="11"/>
  <c r="L31" i="11"/>
  <c r="K31" i="11"/>
  <c r="J31" i="11"/>
  <c r="H31" i="11"/>
  <c r="G31" i="11"/>
  <c r="K30" i="11"/>
  <c r="J30" i="11"/>
  <c r="H30" i="11"/>
  <c r="L29" i="11"/>
  <c r="K29" i="11"/>
  <c r="J29" i="11"/>
  <c r="H29" i="11"/>
  <c r="G29" i="11"/>
  <c r="K28" i="11"/>
  <c r="J28" i="11"/>
  <c r="H28" i="11"/>
  <c r="K27" i="11"/>
  <c r="J27" i="11"/>
  <c r="H27" i="11"/>
  <c r="G27" i="11"/>
  <c r="K26" i="11"/>
  <c r="J26" i="11"/>
  <c r="H26" i="11"/>
  <c r="K25" i="11"/>
  <c r="J25" i="11"/>
  <c r="H25" i="11"/>
  <c r="G25" i="11"/>
  <c r="K24" i="11"/>
  <c r="J24" i="11"/>
  <c r="H24" i="11"/>
  <c r="K23" i="11"/>
  <c r="J23" i="11"/>
  <c r="H23" i="11"/>
  <c r="G23" i="11"/>
  <c r="K22" i="11"/>
  <c r="J22" i="11"/>
  <c r="H22" i="11"/>
  <c r="K21" i="11"/>
  <c r="J21" i="11"/>
  <c r="H21" i="11"/>
  <c r="G21" i="11"/>
  <c r="K20" i="11"/>
  <c r="J20" i="11"/>
  <c r="H20" i="11"/>
  <c r="K19" i="11"/>
  <c r="J19" i="11"/>
  <c r="H19" i="11"/>
  <c r="G19" i="11"/>
  <c r="K18" i="11"/>
  <c r="J18" i="11"/>
  <c r="H18" i="11"/>
  <c r="R17" i="11"/>
  <c r="R41" i="11" s="1"/>
  <c r="H17" i="11"/>
  <c r="G17" i="11"/>
  <c r="D15" i="11"/>
  <c r="G48" i="11" s="1"/>
  <c r="P1" i="11"/>
  <c r="P8" i="11" s="1"/>
  <c r="Q49" i="9"/>
  <c r="F49" i="9"/>
  <c r="E49" i="9"/>
  <c r="P10" i="9" s="1"/>
  <c r="R48" i="9"/>
  <c r="V48" i="9" s="1"/>
  <c r="K48" i="9"/>
  <c r="U48" i="9" s="1"/>
  <c r="J48" i="9"/>
  <c r="L48" i="9" s="1"/>
  <c r="T48" i="9" s="1"/>
  <c r="S48" i="9" s="1"/>
  <c r="K47" i="9"/>
  <c r="J47" i="9"/>
  <c r="G47" i="9"/>
  <c r="R46" i="9"/>
  <c r="V46" i="9" s="1"/>
  <c r="K46" i="9"/>
  <c r="U46" i="9" s="1"/>
  <c r="J46" i="9"/>
  <c r="L46" i="9" s="1"/>
  <c r="K45" i="9"/>
  <c r="J45" i="9"/>
  <c r="G45" i="9"/>
  <c r="R44" i="9"/>
  <c r="V44" i="9" s="1"/>
  <c r="K44" i="9"/>
  <c r="J44" i="9"/>
  <c r="L44" i="9" s="1"/>
  <c r="K43" i="9"/>
  <c r="J43" i="9"/>
  <c r="G43" i="9"/>
  <c r="V42" i="9"/>
  <c r="R42" i="9"/>
  <c r="K42" i="9"/>
  <c r="U42" i="9" s="1"/>
  <c r="J42" i="9"/>
  <c r="L42" i="9" s="1"/>
  <c r="T42" i="9" s="1"/>
  <c r="S42" i="9" s="1"/>
  <c r="K41" i="9"/>
  <c r="J41" i="9"/>
  <c r="G41" i="9"/>
  <c r="R40" i="9"/>
  <c r="V40" i="9" s="1"/>
  <c r="K40" i="9"/>
  <c r="U40" i="9" s="1"/>
  <c r="J40" i="9"/>
  <c r="L40" i="9" s="1"/>
  <c r="T40" i="9" s="1"/>
  <c r="S40" i="9" s="1"/>
  <c r="K39" i="9"/>
  <c r="J39" i="9"/>
  <c r="G39" i="9"/>
  <c r="R38" i="9"/>
  <c r="V38" i="9" s="1"/>
  <c r="K38" i="9"/>
  <c r="U38" i="9" s="1"/>
  <c r="J38" i="9"/>
  <c r="L38" i="9" s="1"/>
  <c r="K37" i="9"/>
  <c r="J37" i="9"/>
  <c r="G37" i="9"/>
  <c r="R36" i="9"/>
  <c r="K36" i="9"/>
  <c r="J36" i="9"/>
  <c r="K35" i="9"/>
  <c r="J35" i="9"/>
  <c r="G35" i="9"/>
  <c r="R34" i="9"/>
  <c r="K34" i="9"/>
  <c r="U34" i="9" s="1"/>
  <c r="J34" i="9"/>
  <c r="K33" i="9"/>
  <c r="J33" i="9"/>
  <c r="G33" i="9"/>
  <c r="R32" i="9"/>
  <c r="K32" i="9"/>
  <c r="J32" i="9"/>
  <c r="K31" i="9"/>
  <c r="J31" i="9"/>
  <c r="G31" i="9"/>
  <c r="R30" i="9"/>
  <c r="K30" i="9"/>
  <c r="U30" i="9" s="1"/>
  <c r="J30" i="9"/>
  <c r="K29" i="9"/>
  <c r="J29" i="9"/>
  <c r="G29" i="9"/>
  <c r="R28" i="9"/>
  <c r="K28" i="9"/>
  <c r="U28" i="9" s="1"/>
  <c r="J28" i="9"/>
  <c r="K27" i="9"/>
  <c r="J27" i="9"/>
  <c r="G27" i="9"/>
  <c r="R26" i="9"/>
  <c r="K26" i="9"/>
  <c r="J26" i="9"/>
  <c r="K25" i="9"/>
  <c r="J25" i="9"/>
  <c r="G25" i="9"/>
  <c r="R24" i="9"/>
  <c r="K24" i="9"/>
  <c r="U24" i="9" s="1"/>
  <c r="J24" i="9"/>
  <c r="K23" i="9"/>
  <c r="J23" i="9"/>
  <c r="G23" i="9"/>
  <c r="R22" i="9"/>
  <c r="K22" i="9"/>
  <c r="U22" i="9" s="1"/>
  <c r="J22" i="9"/>
  <c r="K21" i="9"/>
  <c r="J21" i="9"/>
  <c r="G21" i="9"/>
  <c r="R20" i="9"/>
  <c r="K20" i="9"/>
  <c r="U20" i="9" s="1"/>
  <c r="J20" i="9"/>
  <c r="K19" i="9"/>
  <c r="J19" i="9"/>
  <c r="G19" i="9"/>
  <c r="R18" i="9"/>
  <c r="K18" i="9"/>
  <c r="U18" i="9" s="1"/>
  <c r="J18" i="9"/>
  <c r="R17" i="9"/>
  <c r="R47" i="9" s="1"/>
  <c r="H17" i="9"/>
  <c r="H46" i="9" s="1"/>
  <c r="G17" i="9"/>
  <c r="D15" i="9"/>
  <c r="G48" i="9" s="1"/>
  <c r="P1" i="9"/>
  <c r="P8" i="9" s="1"/>
  <c r="Q49" i="8"/>
  <c r="F49" i="8"/>
  <c r="E49" i="8"/>
  <c r="P10" i="8" s="1"/>
  <c r="R48" i="8"/>
  <c r="V48" i="8" s="1"/>
  <c r="K48" i="8"/>
  <c r="U48" i="8" s="1"/>
  <c r="J48" i="8"/>
  <c r="L48" i="8" s="1"/>
  <c r="T48" i="8" s="1"/>
  <c r="S48" i="8" s="1"/>
  <c r="K47" i="8"/>
  <c r="J47" i="8"/>
  <c r="L47" i="8" s="1"/>
  <c r="T47" i="8" s="1"/>
  <c r="S47" i="8" s="1"/>
  <c r="R46" i="8"/>
  <c r="V46" i="8" s="1"/>
  <c r="K46" i="8"/>
  <c r="U46" i="8" s="1"/>
  <c r="J46" i="8"/>
  <c r="K45" i="8"/>
  <c r="J45" i="8"/>
  <c r="L45" i="8" s="1"/>
  <c r="R44" i="8"/>
  <c r="V44" i="8" s="1"/>
  <c r="K44" i="8"/>
  <c r="U44" i="8" s="1"/>
  <c r="J44" i="8"/>
  <c r="K43" i="8"/>
  <c r="J43" i="8"/>
  <c r="L43" i="8" s="1"/>
  <c r="R42" i="8"/>
  <c r="V42" i="8" s="1"/>
  <c r="K42" i="8"/>
  <c r="U42" i="8" s="1"/>
  <c r="J42" i="8"/>
  <c r="K41" i="8"/>
  <c r="J41" i="8"/>
  <c r="L41" i="8" s="1"/>
  <c r="R40" i="8"/>
  <c r="V40" i="8" s="1"/>
  <c r="K40" i="8"/>
  <c r="U40" i="8" s="1"/>
  <c r="J40" i="8"/>
  <c r="K39" i="8"/>
  <c r="J39" i="8"/>
  <c r="L39" i="8" s="1"/>
  <c r="R38" i="8"/>
  <c r="V38" i="8" s="1"/>
  <c r="K38" i="8"/>
  <c r="U38" i="8" s="1"/>
  <c r="J38" i="8"/>
  <c r="K37" i="8"/>
  <c r="J37" i="8"/>
  <c r="L37" i="8" s="1"/>
  <c r="R36" i="8"/>
  <c r="V36" i="8" s="1"/>
  <c r="K36" i="8"/>
  <c r="J36" i="8"/>
  <c r="K35" i="8"/>
  <c r="J35" i="8"/>
  <c r="R34" i="8"/>
  <c r="K34" i="8"/>
  <c r="U34" i="8" s="1"/>
  <c r="J34" i="8"/>
  <c r="K33" i="8"/>
  <c r="J33" i="8"/>
  <c r="R32" i="8"/>
  <c r="K32" i="8"/>
  <c r="J32" i="8"/>
  <c r="K31" i="8"/>
  <c r="J31" i="8"/>
  <c r="R30" i="8"/>
  <c r="K30" i="8"/>
  <c r="U30" i="8" s="1"/>
  <c r="J30" i="8"/>
  <c r="K29" i="8"/>
  <c r="J29" i="8"/>
  <c r="R28" i="8"/>
  <c r="K28" i="8"/>
  <c r="J28" i="8"/>
  <c r="K27" i="8"/>
  <c r="J27" i="8"/>
  <c r="R26" i="8"/>
  <c r="K26" i="8"/>
  <c r="U26" i="8" s="1"/>
  <c r="J26" i="8"/>
  <c r="K25" i="8"/>
  <c r="J25" i="8"/>
  <c r="R24" i="8"/>
  <c r="K24" i="8"/>
  <c r="U24" i="8" s="1"/>
  <c r="J24" i="8"/>
  <c r="K23" i="8"/>
  <c r="J23" i="8"/>
  <c r="R22" i="8"/>
  <c r="K22" i="8"/>
  <c r="U22" i="8" s="1"/>
  <c r="J22" i="8"/>
  <c r="H22" i="8"/>
  <c r="K21" i="8"/>
  <c r="J21" i="8"/>
  <c r="R20" i="8"/>
  <c r="K20" i="8"/>
  <c r="U20" i="8" s="1"/>
  <c r="J20" i="8"/>
  <c r="H20" i="8"/>
  <c r="K19" i="8"/>
  <c r="J19" i="8"/>
  <c r="R18" i="8"/>
  <c r="K18" i="8"/>
  <c r="U18" i="8" s="1"/>
  <c r="J18" i="8"/>
  <c r="H18" i="8"/>
  <c r="R17" i="8"/>
  <c r="R47" i="8" s="1"/>
  <c r="H17" i="8"/>
  <c r="H47" i="8" s="1"/>
  <c r="G17" i="8"/>
  <c r="D15" i="8"/>
  <c r="G48" i="8" s="1"/>
  <c r="P1" i="8"/>
  <c r="P8" i="8" s="1"/>
  <c r="K48" i="1"/>
  <c r="K47" i="1"/>
  <c r="K46" i="1"/>
  <c r="K45" i="1"/>
  <c r="K44" i="1"/>
  <c r="K43" i="1"/>
  <c r="K41" i="1"/>
  <c r="K40" i="1"/>
  <c r="K39" i="1"/>
  <c r="K38" i="1"/>
  <c r="F49" i="1"/>
  <c r="J38" i="1"/>
  <c r="J39" i="1"/>
  <c r="J40" i="1"/>
  <c r="J41" i="1"/>
  <c r="J42" i="1"/>
  <c r="J43" i="1"/>
  <c r="J44" i="1"/>
  <c r="J45" i="1"/>
  <c r="J46" i="1"/>
  <c r="J47" i="1"/>
  <c r="J4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T61" i="82" l="1"/>
  <c r="P6" i="82" s="1"/>
  <c r="S18" i="82"/>
  <c r="S61" i="82" s="1"/>
  <c r="U9" i="82"/>
  <c r="T9" i="82"/>
  <c r="V9" i="82" s="1"/>
  <c r="T61" i="81"/>
  <c r="P6" i="81" s="1"/>
  <c r="S18" i="81"/>
  <c r="S61" i="81" s="1"/>
  <c r="U9" i="81"/>
  <c r="T9" i="81"/>
  <c r="V9" i="81" s="1"/>
  <c r="T61" i="80"/>
  <c r="P6" i="80" s="1"/>
  <c r="S18" i="80"/>
  <c r="S61" i="80" s="1"/>
  <c r="U9" i="80"/>
  <c r="T9" i="80"/>
  <c r="V9" i="80" s="1"/>
  <c r="T61" i="79"/>
  <c r="P6" i="79" s="1"/>
  <c r="S18" i="79"/>
  <c r="S61" i="79" s="1"/>
  <c r="U9" i="79"/>
  <c r="T9" i="79"/>
  <c r="V9" i="79" s="1"/>
  <c r="T61" i="78"/>
  <c r="P6" i="78" s="1"/>
  <c r="S18" i="78"/>
  <c r="S61" i="78" s="1"/>
  <c r="U9" i="78"/>
  <c r="T9" i="78"/>
  <c r="V9" i="78" s="1"/>
  <c r="T81" i="73"/>
  <c r="P6" i="73" s="1"/>
  <c r="S18" i="73"/>
  <c r="S81" i="73" s="1"/>
  <c r="U9" i="73"/>
  <c r="T9" i="73"/>
  <c r="V9" i="73" s="1"/>
  <c r="V14" i="70"/>
  <c r="P9" i="70" s="1"/>
  <c r="P7" i="70"/>
  <c r="T49" i="70"/>
  <c r="P6" i="70" s="1"/>
  <c r="S18" i="70"/>
  <c r="S49" i="70" s="1"/>
  <c r="P4" i="70"/>
  <c r="P5" i="70"/>
  <c r="T9" i="62"/>
  <c r="V9" i="62" s="1"/>
  <c r="U34" i="27"/>
  <c r="H49" i="41"/>
  <c r="P2" i="41" s="1"/>
  <c r="G49" i="44"/>
  <c r="L49" i="45"/>
  <c r="P3" i="45" s="1"/>
  <c r="H49" i="46"/>
  <c r="P2" i="46" s="1"/>
  <c r="H49" i="47"/>
  <c r="P2" i="47" s="1"/>
  <c r="L49" i="49"/>
  <c r="P3" i="49" s="1"/>
  <c r="G49" i="50"/>
  <c r="G49" i="52"/>
  <c r="H49" i="52"/>
  <c r="P2" i="52" s="1"/>
  <c r="T31" i="50"/>
  <c r="S31" i="50" s="1"/>
  <c r="T18" i="43"/>
  <c r="T22" i="48"/>
  <c r="S22" i="48" s="1"/>
  <c r="T30" i="48"/>
  <c r="S30" i="48" s="1"/>
  <c r="T24" i="48"/>
  <c r="S24" i="48" s="1"/>
  <c r="T28" i="44"/>
  <c r="S28" i="44" s="1"/>
  <c r="L49" i="42"/>
  <c r="P3" i="42" s="1"/>
  <c r="T24" i="40"/>
  <c r="S24" i="40" s="1"/>
  <c r="L49" i="37"/>
  <c r="P3" i="37" s="1"/>
  <c r="P5" i="54"/>
  <c r="T22" i="51"/>
  <c r="S22" i="51" s="1"/>
  <c r="L49" i="51"/>
  <c r="P3" i="51" s="1"/>
  <c r="T29" i="50"/>
  <c r="S29" i="50" s="1"/>
  <c r="V32" i="33"/>
  <c r="L30" i="33"/>
  <c r="V28" i="33"/>
  <c r="V24" i="33"/>
  <c r="L22" i="33"/>
  <c r="V20" i="33"/>
  <c r="V28" i="32"/>
  <c r="S49" i="62"/>
  <c r="L27" i="27"/>
  <c r="L30" i="24"/>
  <c r="L29" i="22"/>
  <c r="L27" i="22"/>
  <c r="P4" i="69"/>
  <c r="P5" i="69"/>
  <c r="S49" i="69"/>
  <c r="V14" i="69"/>
  <c r="P9" i="69" s="1"/>
  <c r="P7" i="69"/>
  <c r="S9" i="69" s="1"/>
  <c r="T49" i="69"/>
  <c r="P6" i="69" s="1"/>
  <c r="V14" i="68"/>
  <c r="P9" i="68" s="1"/>
  <c r="P7" i="68"/>
  <c r="S49" i="68"/>
  <c r="P4" i="68"/>
  <c r="P5" i="68"/>
  <c r="T49" i="68"/>
  <c r="P6" i="68" s="1"/>
  <c r="P7" i="67"/>
  <c r="V14" i="67"/>
  <c r="P9" i="67" s="1"/>
  <c r="S49" i="67"/>
  <c r="T49" i="67"/>
  <c r="P6" i="67" s="1"/>
  <c r="P5" i="67"/>
  <c r="P4" i="67"/>
  <c r="V14" i="66"/>
  <c r="P9" i="66" s="1"/>
  <c r="P7" i="66"/>
  <c r="S49" i="66"/>
  <c r="T49" i="66"/>
  <c r="P6" i="66" s="1"/>
  <c r="P4" i="65"/>
  <c r="P5" i="65"/>
  <c r="V14" i="65"/>
  <c r="P9" i="65" s="1"/>
  <c r="P7" i="65"/>
  <c r="S9" i="65" s="1"/>
  <c r="T49" i="65"/>
  <c r="P6" i="65" s="1"/>
  <c r="S18" i="65"/>
  <c r="S49" i="65" s="1"/>
  <c r="S49" i="64"/>
  <c r="T49" i="64"/>
  <c r="P6" i="64" s="1"/>
  <c r="V14" i="64"/>
  <c r="P9" i="64" s="1"/>
  <c r="P7" i="64"/>
  <c r="S9" i="64" s="1"/>
  <c r="U9" i="64" s="1"/>
  <c r="P5" i="64"/>
  <c r="T49" i="63"/>
  <c r="P6" i="63" s="1"/>
  <c r="S18" i="63"/>
  <c r="S49" i="63" s="1"/>
  <c r="V14" i="63"/>
  <c r="P9" i="63" s="1"/>
  <c r="P7" i="63"/>
  <c r="P4" i="63"/>
  <c r="P5" i="63"/>
  <c r="P4" i="62"/>
  <c r="P5" i="62"/>
  <c r="T49" i="62"/>
  <c r="P6" i="62" s="1"/>
  <c r="S49" i="61"/>
  <c r="T49" i="61"/>
  <c r="P6" i="61" s="1"/>
  <c r="P4" i="61"/>
  <c r="P5" i="61"/>
  <c r="V14" i="61"/>
  <c r="P9" i="61" s="1"/>
  <c r="P7" i="61"/>
  <c r="S9" i="61" s="1"/>
  <c r="P4" i="60"/>
  <c r="P5" i="60"/>
  <c r="V14" i="60"/>
  <c r="P9" i="60" s="1"/>
  <c r="P7" i="60"/>
  <c r="S9" i="60" s="1"/>
  <c r="U9" i="60" s="1"/>
  <c r="T49" i="60"/>
  <c r="P6" i="60" s="1"/>
  <c r="S18" i="60"/>
  <c r="S49" i="60" s="1"/>
  <c r="V14" i="59"/>
  <c r="P9" i="59" s="1"/>
  <c r="P7" i="59"/>
  <c r="S9" i="59" s="1"/>
  <c r="T49" i="59"/>
  <c r="P6" i="59" s="1"/>
  <c r="S18" i="59"/>
  <c r="S49" i="59" s="1"/>
  <c r="P4" i="59"/>
  <c r="P5" i="59"/>
  <c r="V14" i="58"/>
  <c r="P9" i="58" s="1"/>
  <c r="P7" i="58"/>
  <c r="T49" i="58"/>
  <c r="P6" i="58" s="1"/>
  <c r="S18" i="58"/>
  <c r="S49" i="58" s="1"/>
  <c r="P4" i="58"/>
  <c r="P5" i="58"/>
  <c r="P4" i="57"/>
  <c r="P5" i="57"/>
  <c r="T49" i="57"/>
  <c r="P6" i="57" s="1"/>
  <c r="S18" i="57"/>
  <c r="S49" i="57" s="1"/>
  <c r="V14" i="57"/>
  <c r="P9" i="57" s="1"/>
  <c r="P7" i="57"/>
  <c r="S9" i="57" s="1"/>
  <c r="P4" i="56"/>
  <c r="P5" i="56"/>
  <c r="S49" i="56"/>
  <c r="T49" i="56"/>
  <c r="P6" i="56" s="1"/>
  <c r="V14" i="56"/>
  <c r="P9" i="56" s="1"/>
  <c r="P7" i="56"/>
  <c r="P4" i="55"/>
  <c r="P5" i="55"/>
  <c r="T49" i="55"/>
  <c r="P6" i="55" s="1"/>
  <c r="S18" i="55"/>
  <c r="S49" i="55" s="1"/>
  <c r="V14" i="55"/>
  <c r="P9" i="55" s="1"/>
  <c r="P7" i="55"/>
  <c r="S9" i="55" s="1"/>
  <c r="V14" i="54"/>
  <c r="P9" i="54" s="1"/>
  <c r="P7" i="54"/>
  <c r="S9" i="54" s="1"/>
  <c r="T49" i="54"/>
  <c r="P6" i="54" s="1"/>
  <c r="S18" i="54"/>
  <c r="S49" i="54" s="1"/>
  <c r="V14" i="53"/>
  <c r="P9" i="53" s="1"/>
  <c r="P7" i="53"/>
  <c r="S49" i="53"/>
  <c r="P5" i="53"/>
  <c r="P4" i="53"/>
  <c r="T49" i="53"/>
  <c r="P6" i="53" s="1"/>
  <c r="U25" i="52"/>
  <c r="V31" i="52"/>
  <c r="T34" i="52"/>
  <c r="S34" i="52" s="1"/>
  <c r="T37" i="52"/>
  <c r="S37" i="52" s="1"/>
  <c r="V19" i="52"/>
  <c r="U26" i="52"/>
  <c r="T46" i="52"/>
  <c r="S46" i="52" s="1"/>
  <c r="U22" i="52"/>
  <c r="T30" i="52"/>
  <c r="S30" i="52" s="1"/>
  <c r="T21" i="52"/>
  <c r="S21" i="52" s="1"/>
  <c r="T23" i="52"/>
  <c r="S23" i="52" s="1"/>
  <c r="T43" i="52"/>
  <c r="S43" i="52" s="1"/>
  <c r="T19" i="52"/>
  <c r="S19" i="52" s="1"/>
  <c r="R49" i="52"/>
  <c r="V18" i="52"/>
  <c r="T33" i="52"/>
  <c r="S33" i="52" s="1"/>
  <c r="U18" i="52"/>
  <c r="U33" i="52"/>
  <c r="L49" i="52"/>
  <c r="P3" i="52" s="1"/>
  <c r="P4" i="52" s="1"/>
  <c r="U34" i="52"/>
  <c r="U38" i="52"/>
  <c r="V35" i="52"/>
  <c r="T18" i="52"/>
  <c r="U46" i="52"/>
  <c r="T31" i="52"/>
  <c r="S31" i="52" s="1"/>
  <c r="T35" i="52"/>
  <c r="S35" i="52" s="1"/>
  <c r="V39" i="52"/>
  <c r="T39" i="52"/>
  <c r="S39" i="52" s="1"/>
  <c r="U19" i="51"/>
  <c r="V19" i="51"/>
  <c r="U30" i="51"/>
  <c r="T30" i="51"/>
  <c r="S30" i="51" s="1"/>
  <c r="V29" i="51"/>
  <c r="T48" i="51"/>
  <c r="S48" i="51" s="1"/>
  <c r="U28" i="51"/>
  <c r="V35" i="51"/>
  <c r="U35" i="51"/>
  <c r="T41" i="51"/>
  <c r="S41" i="51" s="1"/>
  <c r="V40" i="51"/>
  <c r="U48" i="51"/>
  <c r="R49" i="51"/>
  <c r="T44" i="51"/>
  <c r="S44" i="51" s="1"/>
  <c r="S18" i="51"/>
  <c r="U38" i="51"/>
  <c r="U37" i="51"/>
  <c r="U31" i="51"/>
  <c r="V31" i="51"/>
  <c r="H49" i="51"/>
  <c r="P2" i="51" s="1"/>
  <c r="T37" i="51"/>
  <c r="S37" i="51" s="1"/>
  <c r="T45" i="51"/>
  <c r="S45" i="51" s="1"/>
  <c r="G49" i="51"/>
  <c r="U44" i="51"/>
  <c r="U46" i="51"/>
  <c r="T19" i="51"/>
  <c r="S19" i="51" s="1"/>
  <c r="T32" i="51"/>
  <c r="S32" i="51" s="1"/>
  <c r="U43" i="51"/>
  <c r="V43" i="51"/>
  <c r="V27" i="51"/>
  <c r="U27" i="51"/>
  <c r="U29" i="51"/>
  <c r="V46" i="51"/>
  <c r="T43" i="51"/>
  <c r="S43" i="51" s="1"/>
  <c r="U45" i="51"/>
  <c r="T20" i="51"/>
  <c r="S20" i="51" s="1"/>
  <c r="U22" i="51"/>
  <c r="U23" i="51"/>
  <c r="V23" i="51"/>
  <c r="U36" i="51"/>
  <c r="T36" i="51"/>
  <c r="S36" i="51" s="1"/>
  <c r="U41" i="51"/>
  <c r="T28" i="51"/>
  <c r="S28" i="51" s="1"/>
  <c r="V39" i="51"/>
  <c r="U39" i="51"/>
  <c r="T31" i="51"/>
  <c r="S31" i="51" s="1"/>
  <c r="T30" i="50"/>
  <c r="S30" i="50" s="1"/>
  <c r="U35" i="50"/>
  <c r="U19" i="50"/>
  <c r="T33" i="50"/>
  <c r="S33" i="50" s="1"/>
  <c r="T23" i="50"/>
  <c r="S23" i="50" s="1"/>
  <c r="T38" i="50"/>
  <c r="S38" i="50" s="1"/>
  <c r="V23" i="50"/>
  <c r="T26" i="50"/>
  <c r="S26" i="50" s="1"/>
  <c r="T27" i="50"/>
  <c r="S27" i="50" s="1"/>
  <c r="U38" i="50"/>
  <c r="T46" i="50"/>
  <c r="S46" i="50" s="1"/>
  <c r="U27" i="50"/>
  <c r="T19" i="50"/>
  <c r="S19" i="50" s="1"/>
  <c r="T18" i="50"/>
  <c r="L49" i="50"/>
  <c r="P3" i="50" s="1"/>
  <c r="P5" i="50" s="1"/>
  <c r="T34" i="50"/>
  <c r="S34" i="50" s="1"/>
  <c r="U30" i="50"/>
  <c r="R49" i="50"/>
  <c r="V18" i="50"/>
  <c r="T22" i="50"/>
  <c r="S22" i="50" s="1"/>
  <c r="U39" i="50"/>
  <c r="U42" i="50"/>
  <c r="T39" i="50"/>
  <c r="S39" i="50" s="1"/>
  <c r="U22" i="50"/>
  <c r="U34" i="50"/>
  <c r="T42" i="50"/>
  <c r="S42" i="50" s="1"/>
  <c r="U40" i="49"/>
  <c r="U24" i="49"/>
  <c r="V42" i="49"/>
  <c r="T27" i="49"/>
  <c r="S27" i="49" s="1"/>
  <c r="V23" i="49"/>
  <c r="U26" i="49"/>
  <c r="T35" i="49"/>
  <c r="S35" i="49" s="1"/>
  <c r="T38" i="49"/>
  <c r="S38" i="49" s="1"/>
  <c r="U37" i="49"/>
  <c r="U20" i="49"/>
  <c r="T21" i="49"/>
  <c r="S21" i="49" s="1"/>
  <c r="T31" i="49"/>
  <c r="S31" i="49" s="1"/>
  <c r="T20" i="49"/>
  <c r="S20" i="49" s="1"/>
  <c r="V27" i="49"/>
  <c r="R49" i="49"/>
  <c r="V38" i="49"/>
  <c r="H49" i="49"/>
  <c r="P2" i="49" s="1"/>
  <c r="T46" i="49"/>
  <c r="S46" i="49" s="1"/>
  <c r="T45" i="49"/>
  <c r="S45" i="49" s="1"/>
  <c r="V19" i="49"/>
  <c r="U22" i="49"/>
  <c r="U25" i="49"/>
  <c r="U42" i="49"/>
  <c r="V48" i="49"/>
  <c r="T22" i="49"/>
  <c r="S22" i="49" s="1"/>
  <c r="G49" i="49"/>
  <c r="T43" i="49"/>
  <c r="S43" i="49" s="1"/>
  <c r="T39" i="49"/>
  <c r="S39" i="49" s="1"/>
  <c r="U45" i="49"/>
  <c r="U18" i="49"/>
  <c r="T33" i="49"/>
  <c r="S33" i="49" s="1"/>
  <c r="U33" i="49"/>
  <c r="V43" i="49"/>
  <c r="S18" i="49"/>
  <c r="T29" i="49"/>
  <c r="S29" i="49" s="1"/>
  <c r="V35" i="49"/>
  <c r="U38" i="48"/>
  <c r="V37" i="48"/>
  <c r="U37" i="48"/>
  <c r="U40" i="48"/>
  <c r="U24" i="48"/>
  <c r="V41" i="48"/>
  <c r="U41" i="48"/>
  <c r="V25" i="48"/>
  <c r="U25" i="48"/>
  <c r="V22" i="48"/>
  <c r="V24" i="48"/>
  <c r="T43" i="48"/>
  <c r="S43" i="48" s="1"/>
  <c r="V43" i="48"/>
  <c r="T38" i="48"/>
  <c r="S38" i="48" s="1"/>
  <c r="T37" i="48"/>
  <c r="S37" i="48" s="1"/>
  <c r="V44" i="48"/>
  <c r="U23" i="48"/>
  <c r="V23" i="48"/>
  <c r="U19" i="48"/>
  <c r="V19" i="48"/>
  <c r="R49" i="48"/>
  <c r="V18" i="48"/>
  <c r="V32" i="48"/>
  <c r="T26" i="48"/>
  <c r="S26" i="48" s="1"/>
  <c r="U34" i="48"/>
  <c r="U27" i="48"/>
  <c r="V27" i="48"/>
  <c r="G49" i="48"/>
  <c r="U48" i="48"/>
  <c r="U32" i="48"/>
  <c r="V33" i="48"/>
  <c r="U33" i="48"/>
  <c r="H49" i="48"/>
  <c r="P2" i="48" s="1"/>
  <c r="U26" i="48"/>
  <c r="T23" i="48"/>
  <c r="S23" i="48" s="1"/>
  <c r="U18" i="48"/>
  <c r="T18" i="48"/>
  <c r="T44" i="48"/>
  <c r="S44" i="48" s="1"/>
  <c r="U22" i="48"/>
  <c r="U42" i="48"/>
  <c r="V20" i="48"/>
  <c r="V45" i="48"/>
  <c r="U45" i="48"/>
  <c r="V29" i="48"/>
  <c r="U29" i="48"/>
  <c r="V46" i="48"/>
  <c r="T34" i="48"/>
  <c r="S34" i="48" s="1"/>
  <c r="T39" i="48"/>
  <c r="S39" i="48" s="1"/>
  <c r="V48" i="48"/>
  <c r="T19" i="48"/>
  <c r="S19" i="48" s="1"/>
  <c r="V21" i="48"/>
  <c r="U21" i="48"/>
  <c r="U35" i="48"/>
  <c r="V35" i="48"/>
  <c r="U46" i="48"/>
  <c r="V40" i="48"/>
  <c r="V23" i="47"/>
  <c r="T46" i="47"/>
  <c r="S46" i="47" s="1"/>
  <c r="T19" i="47"/>
  <c r="S19" i="47" s="1"/>
  <c r="R49" i="47"/>
  <c r="V18" i="47"/>
  <c r="V31" i="47"/>
  <c r="T23" i="47"/>
  <c r="S23" i="47" s="1"/>
  <c r="U18" i="47"/>
  <c r="T27" i="47"/>
  <c r="S27" i="47" s="1"/>
  <c r="U45" i="47"/>
  <c r="V19" i="47"/>
  <c r="U34" i="47"/>
  <c r="T33" i="47"/>
  <c r="S33" i="47" s="1"/>
  <c r="V39" i="47"/>
  <c r="T30" i="47"/>
  <c r="S30" i="47" s="1"/>
  <c r="T31" i="47"/>
  <c r="S31" i="47" s="1"/>
  <c r="U42" i="47"/>
  <c r="U38" i="47"/>
  <c r="T29" i="47"/>
  <c r="S29" i="47" s="1"/>
  <c r="V27" i="47"/>
  <c r="T37" i="47"/>
  <c r="S37" i="47" s="1"/>
  <c r="U46" i="47"/>
  <c r="T34" i="47"/>
  <c r="S34" i="47" s="1"/>
  <c r="T39" i="47"/>
  <c r="S39" i="47" s="1"/>
  <c r="T35" i="47"/>
  <c r="S35" i="47" s="1"/>
  <c r="G49" i="47"/>
  <c r="V43" i="47"/>
  <c r="T22" i="47"/>
  <c r="S22" i="47" s="1"/>
  <c r="L49" i="47"/>
  <c r="P3" i="47" s="1"/>
  <c r="V35" i="47"/>
  <c r="T38" i="47"/>
  <c r="S38" i="47" s="1"/>
  <c r="T26" i="47"/>
  <c r="S26" i="47" s="1"/>
  <c r="U22" i="47"/>
  <c r="T42" i="47"/>
  <c r="S42" i="47" s="1"/>
  <c r="T18" i="47"/>
  <c r="S18" i="46"/>
  <c r="T41" i="46"/>
  <c r="S41" i="46" s="1"/>
  <c r="L49" i="46"/>
  <c r="P3" i="46" s="1"/>
  <c r="P4" i="46" s="1"/>
  <c r="U35" i="46"/>
  <c r="V35" i="46"/>
  <c r="U19" i="46"/>
  <c r="V19" i="46"/>
  <c r="T22" i="46"/>
  <c r="S22" i="46" s="1"/>
  <c r="T19" i="46"/>
  <c r="S19" i="46" s="1"/>
  <c r="U42" i="46"/>
  <c r="R49" i="46"/>
  <c r="V18" i="46"/>
  <c r="T26" i="46"/>
  <c r="S26" i="46" s="1"/>
  <c r="T42" i="46"/>
  <c r="S42" i="46" s="1"/>
  <c r="V41" i="46"/>
  <c r="U39" i="46"/>
  <c r="V39" i="46"/>
  <c r="G49" i="46"/>
  <c r="U31" i="46"/>
  <c r="V31" i="46"/>
  <c r="U38" i="46"/>
  <c r="T34" i="46"/>
  <c r="S34" i="46" s="1"/>
  <c r="T46" i="46"/>
  <c r="S46" i="46" s="1"/>
  <c r="U30" i="46"/>
  <c r="T35" i="46"/>
  <c r="S35" i="46" s="1"/>
  <c r="U43" i="46"/>
  <c r="V43" i="46"/>
  <c r="V27" i="46"/>
  <c r="U27" i="46"/>
  <c r="T43" i="46"/>
  <c r="S43" i="46" s="1"/>
  <c r="T27" i="46"/>
  <c r="S27" i="46" s="1"/>
  <c r="U22" i="46"/>
  <c r="U23" i="46"/>
  <c r="V23" i="46"/>
  <c r="T39" i="46"/>
  <c r="S39" i="46" s="1"/>
  <c r="U18" i="46"/>
  <c r="V30" i="45"/>
  <c r="T27" i="45"/>
  <c r="S27" i="45" s="1"/>
  <c r="U26" i="45"/>
  <c r="T32" i="45"/>
  <c r="S32" i="45" s="1"/>
  <c r="T38" i="45"/>
  <c r="S38" i="45" s="1"/>
  <c r="T34" i="45"/>
  <c r="S34" i="45" s="1"/>
  <c r="R49" i="45"/>
  <c r="V18" i="45"/>
  <c r="U34" i="45"/>
  <c r="T23" i="45"/>
  <c r="S23" i="45" s="1"/>
  <c r="T26" i="45"/>
  <c r="S26" i="45" s="1"/>
  <c r="V31" i="45"/>
  <c r="V27" i="45"/>
  <c r="U32" i="45"/>
  <c r="V38" i="45"/>
  <c r="H49" i="45"/>
  <c r="P2" i="45" s="1"/>
  <c r="T46" i="45"/>
  <c r="S46" i="45" s="1"/>
  <c r="T21" i="45"/>
  <c r="S21" i="45" s="1"/>
  <c r="T37" i="45"/>
  <c r="S37" i="45" s="1"/>
  <c r="V19" i="45"/>
  <c r="U22" i="45"/>
  <c r="U46" i="45"/>
  <c r="V39" i="45"/>
  <c r="T45" i="45"/>
  <c r="S45" i="45" s="1"/>
  <c r="V48" i="45"/>
  <c r="T44" i="45"/>
  <c r="S44" i="45" s="1"/>
  <c r="T19" i="45"/>
  <c r="S19" i="45" s="1"/>
  <c r="U25" i="45"/>
  <c r="U21" i="45"/>
  <c r="G49" i="45"/>
  <c r="T43" i="45"/>
  <c r="S43" i="45" s="1"/>
  <c r="V36" i="45"/>
  <c r="U42" i="45"/>
  <c r="U45" i="45"/>
  <c r="U18" i="45"/>
  <c r="T22" i="45"/>
  <c r="S22" i="45" s="1"/>
  <c r="T40" i="45"/>
  <c r="S40" i="45" s="1"/>
  <c r="U33" i="45"/>
  <c r="T39" i="45"/>
  <c r="S39" i="45" s="1"/>
  <c r="T41" i="45"/>
  <c r="S41" i="45" s="1"/>
  <c r="V43" i="45"/>
  <c r="T18" i="45"/>
  <c r="U40" i="45"/>
  <c r="T33" i="45"/>
  <c r="S33" i="45" s="1"/>
  <c r="V35" i="45"/>
  <c r="T31" i="45"/>
  <c r="S31" i="45" s="1"/>
  <c r="V39" i="44"/>
  <c r="V20" i="44"/>
  <c r="V32" i="44"/>
  <c r="R49" i="44"/>
  <c r="V18" i="44"/>
  <c r="T21" i="44"/>
  <c r="S21" i="44" s="1"/>
  <c r="U33" i="44"/>
  <c r="V40" i="44"/>
  <c r="T32" i="44"/>
  <c r="S32" i="44" s="1"/>
  <c r="U41" i="44"/>
  <c r="V28" i="44"/>
  <c r="V26" i="44"/>
  <c r="U46" i="44"/>
  <c r="T26" i="44"/>
  <c r="S26" i="44" s="1"/>
  <c r="T27" i="44"/>
  <c r="S27" i="44" s="1"/>
  <c r="T45" i="44"/>
  <c r="S45" i="44" s="1"/>
  <c r="T48" i="44"/>
  <c r="S48" i="44" s="1"/>
  <c r="V31" i="44"/>
  <c r="U22" i="44"/>
  <c r="S18" i="44"/>
  <c r="U28" i="44"/>
  <c r="V46" i="44"/>
  <c r="T43" i="44"/>
  <c r="S43" i="44" s="1"/>
  <c r="T23" i="44"/>
  <c r="S23" i="44" s="1"/>
  <c r="U37" i="44"/>
  <c r="V23" i="44"/>
  <c r="T25" i="44"/>
  <c r="S25" i="44" s="1"/>
  <c r="V19" i="44"/>
  <c r="V34" i="44"/>
  <c r="T40" i="44"/>
  <c r="S40" i="44" s="1"/>
  <c r="U21" i="44"/>
  <c r="T39" i="44"/>
  <c r="S39" i="44" s="1"/>
  <c r="V43" i="44"/>
  <c r="H49" i="44"/>
  <c r="P2" i="44" s="1"/>
  <c r="V22" i="44"/>
  <c r="T33" i="44"/>
  <c r="S33" i="44" s="1"/>
  <c r="U18" i="44"/>
  <c r="U45" i="44"/>
  <c r="T37" i="44"/>
  <c r="S37" i="44" s="1"/>
  <c r="S18" i="43"/>
  <c r="V26" i="43"/>
  <c r="U46" i="43"/>
  <c r="U33" i="43"/>
  <c r="T29" i="43"/>
  <c r="S29" i="43" s="1"/>
  <c r="U29" i="43"/>
  <c r="T38" i="43"/>
  <c r="S38" i="43" s="1"/>
  <c r="V19" i="43"/>
  <c r="U44" i="43"/>
  <c r="U28" i="43"/>
  <c r="V46" i="43"/>
  <c r="T43" i="43"/>
  <c r="S43" i="43" s="1"/>
  <c r="T30" i="43"/>
  <c r="S30" i="43" s="1"/>
  <c r="U26" i="43"/>
  <c r="T37" i="43"/>
  <c r="S37" i="43" s="1"/>
  <c r="U37" i="43"/>
  <c r="V44" i="43"/>
  <c r="V34" i="43"/>
  <c r="T33" i="43"/>
  <c r="S33" i="43" s="1"/>
  <c r="U21" i="43"/>
  <c r="V23" i="43"/>
  <c r="T23" i="43"/>
  <c r="S23" i="43" s="1"/>
  <c r="U34" i="43"/>
  <c r="V22" i="43"/>
  <c r="T20" i="43"/>
  <c r="S20" i="43" s="1"/>
  <c r="U41" i="43"/>
  <c r="V38" i="43"/>
  <c r="V42" i="43"/>
  <c r="V31" i="43"/>
  <c r="U25" i="43"/>
  <c r="U30" i="43"/>
  <c r="H49" i="43"/>
  <c r="P2" i="43" s="1"/>
  <c r="T41" i="43"/>
  <c r="S41" i="43" s="1"/>
  <c r="T28" i="43"/>
  <c r="S28" i="43" s="1"/>
  <c r="T21" i="43"/>
  <c r="S21" i="43" s="1"/>
  <c r="R49" i="43"/>
  <c r="V18" i="43"/>
  <c r="U42" i="43"/>
  <c r="T25" i="43"/>
  <c r="S25" i="43" s="1"/>
  <c r="T19" i="43"/>
  <c r="S19" i="43" s="1"/>
  <c r="V42" i="42"/>
  <c r="U30" i="42"/>
  <c r="V39" i="42"/>
  <c r="U42" i="42"/>
  <c r="T22" i="42"/>
  <c r="S22" i="42" s="1"/>
  <c r="T26" i="42"/>
  <c r="S26" i="42" s="1"/>
  <c r="T32" i="42"/>
  <c r="S32" i="42" s="1"/>
  <c r="T34" i="42"/>
  <c r="S34" i="42" s="1"/>
  <c r="R49" i="42"/>
  <c r="V18" i="42"/>
  <c r="T24" i="42"/>
  <c r="S24" i="42" s="1"/>
  <c r="U33" i="42"/>
  <c r="V48" i="42"/>
  <c r="U22" i="42"/>
  <c r="V38" i="42"/>
  <c r="H49" i="42"/>
  <c r="P2" i="42" s="1"/>
  <c r="T29" i="42"/>
  <c r="S29" i="42" s="1"/>
  <c r="U45" i="42"/>
  <c r="U34" i="42"/>
  <c r="T19" i="42"/>
  <c r="S19" i="42" s="1"/>
  <c r="U21" i="42"/>
  <c r="G49" i="42"/>
  <c r="V26" i="42"/>
  <c r="U46" i="42"/>
  <c r="V23" i="42"/>
  <c r="U18" i="42"/>
  <c r="V46" i="42"/>
  <c r="T43" i="42"/>
  <c r="S43" i="42" s="1"/>
  <c r="T37" i="42"/>
  <c r="S37" i="42" s="1"/>
  <c r="V20" i="42"/>
  <c r="T23" i="42"/>
  <c r="S23" i="42" s="1"/>
  <c r="V35" i="42"/>
  <c r="T41" i="42"/>
  <c r="S41" i="42" s="1"/>
  <c r="V43" i="42"/>
  <c r="T18" i="42"/>
  <c r="T40" i="42"/>
  <c r="S40" i="42" s="1"/>
  <c r="T21" i="42"/>
  <c r="S21" i="42" s="1"/>
  <c r="T38" i="42"/>
  <c r="S38" i="42" s="1"/>
  <c r="V31" i="42"/>
  <c r="T33" i="42"/>
  <c r="S33" i="42" s="1"/>
  <c r="T45" i="42"/>
  <c r="S45" i="42" s="1"/>
  <c r="U41" i="42"/>
  <c r="T35" i="42"/>
  <c r="S35" i="42" s="1"/>
  <c r="U37" i="42"/>
  <c r="T31" i="42"/>
  <c r="S31" i="42" s="1"/>
  <c r="V14" i="41"/>
  <c r="P9" i="41" s="1"/>
  <c r="P7" i="41"/>
  <c r="S9" i="41" s="1"/>
  <c r="G49" i="41"/>
  <c r="T18" i="41"/>
  <c r="L49" i="41"/>
  <c r="P3" i="41" s="1"/>
  <c r="P4" i="41" s="1"/>
  <c r="T34" i="41"/>
  <c r="S34" i="41" s="1"/>
  <c r="U38" i="41"/>
  <c r="V19" i="41"/>
  <c r="U19" i="41"/>
  <c r="V31" i="41"/>
  <c r="U31" i="41"/>
  <c r="T19" i="41"/>
  <c r="S19" i="41" s="1"/>
  <c r="T26" i="41"/>
  <c r="S26" i="41" s="1"/>
  <c r="V43" i="41"/>
  <c r="U43" i="41"/>
  <c r="T46" i="41"/>
  <c r="S46" i="41" s="1"/>
  <c r="U34" i="41"/>
  <c r="U42" i="41"/>
  <c r="V39" i="41"/>
  <c r="U39" i="41"/>
  <c r="V27" i="41"/>
  <c r="U27" i="41"/>
  <c r="U26" i="41"/>
  <c r="T30" i="41"/>
  <c r="S30" i="41" s="1"/>
  <c r="T42" i="41"/>
  <c r="S42" i="41" s="1"/>
  <c r="V35" i="41"/>
  <c r="U35" i="41"/>
  <c r="U23" i="41"/>
  <c r="V23" i="41"/>
  <c r="U30" i="41"/>
  <c r="U37" i="40"/>
  <c r="V37" i="40"/>
  <c r="H49" i="40"/>
  <c r="P2" i="40" s="1"/>
  <c r="T19" i="40"/>
  <c r="S19" i="40" s="1"/>
  <c r="U31" i="40"/>
  <c r="V19" i="40"/>
  <c r="G49" i="40"/>
  <c r="U43" i="40"/>
  <c r="U42" i="40"/>
  <c r="T37" i="40"/>
  <c r="S37" i="40" s="1"/>
  <c r="V28" i="40"/>
  <c r="T34" i="40"/>
  <c r="S34" i="40" s="1"/>
  <c r="V45" i="40"/>
  <c r="U45" i="40"/>
  <c r="V29" i="40"/>
  <c r="U29" i="40"/>
  <c r="U30" i="40"/>
  <c r="T23" i="40"/>
  <c r="S23" i="40" s="1"/>
  <c r="V39" i="40"/>
  <c r="V48" i="40"/>
  <c r="U33" i="40"/>
  <c r="V33" i="40"/>
  <c r="V31" i="40"/>
  <c r="R49" i="40"/>
  <c r="T22" i="40"/>
  <c r="S22" i="40" s="1"/>
  <c r="T45" i="40"/>
  <c r="S45" i="40" s="1"/>
  <c r="U18" i="40"/>
  <c r="L49" i="40"/>
  <c r="P3" i="40" s="1"/>
  <c r="T18" i="40"/>
  <c r="U21" i="40"/>
  <c r="V21" i="40"/>
  <c r="V26" i="40"/>
  <c r="T26" i="40"/>
  <c r="S26" i="40" s="1"/>
  <c r="T42" i="40"/>
  <c r="S42" i="40" s="1"/>
  <c r="U41" i="40"/>
  <c r="V41" i="40"/>
  <c r="V25" i="40"/>
  <c r="U25" i="40"/>
  <c r="T29" i="40"/>
  <c r="S29" i="40" s="1"/>
  <c r="T35" i="40"/>
  <c r="S35" i="40" s="1"/>
  <c r="V35" i="40"/>
  <c r="T30" i="40"/>
  <c r="S30" i="40" s="1"/>
  <c r="V18" i="40"/>
  <c r="T41" i="40"/>
  <c r="S41" i="40" s="1"/>
  <c r="V32" i="40"/>
  <c r="T21" i="40"/>
  <c r="S21" i="40" s="1"/>
  <c r="V34" i="27"/>
  <c r="T27" i="39"/>
  <c r="S27" i="39" s="1"/>
  <c r="V39" i="39"/>
  <c r="T23" i="39"/>
  <c r="S23" i="39" s="1"/>
  <c r="U40" i="39"/>
  <c r="T20" i="39"/>
  <c r="S20" i="39" s="1"/>
  <c r="U44" i="39"/>
  <c r="H49" i="39"/>
  <c r="P2" i="39" s="1"/>
  <c r="U39" i="39"/>
  <c r="U19" i="39"/>
  <c r="U48" i="39"/>
  <c r="V35" i="39"/>
  <c r="U28" i="39"/>
  <c r="G49" i="39"/>
  <c r="U20" i="39"/>
  <c r="R49" i="39"/>
  <c r="T18" i="39"/>
  <c r="L49" i="39"/>
  <c r="P3" i="39" s="1"/>
  <c r="T35" i="39"/>
  <c r="S35" i="39" s="1"/>
  <c r="T48" i="39"/>
  <c r="S48" i="39" s="1"/>
  <c r="T28" i="39"/>
  <c r="S28" i="39" s="1"/>
  <c r="T44" i="39"/>
  <c r="S44" i="39" s="1"/>
  <c r="U27" i="39"/>
  <c r="T19" i="39"/>
  <c r="S19" i="39" s="1"/>
  <c r="U23" i="39"/>
  <c r="V31" i="38"/>
  <c r="U31" i="38"/>
  <c r="U19" i="38"/>
  <c r="V19" i="38"/>
  <c r="G49" i="38"/>
  <c r="T18" i="38"/>
  <c r="L49" i="38"/>
  <c r="P3" i="38" s="1"/>
  <c r="P5" i="38" s="1"/>
  <c r="U43" i="38"/>
  <c r="V43" i="38"/>
  <c r="V27" i="38"/>
  <c r="U27" i="38"/>
  <c r="U34" i="38"/>
  <c r="T26" i="38"/>
  <c r="S26" i="38" s="1"/>
  <c r="R49" i="38"/>
  <c r="V39" i="38"/>
  <c r="U39" i="38"/>
  <c r="T22" i="38"/>
  <c r="S22" i="38" s="1"/>
  <c r="T27" i="38"/>
  <c r="S27" i="38" s="1"/>
  <c r="V23" i="38"/>
  <c r="U23" i="38"/>
  <c r="T46" i="38"/>
  <c r="S46" i="38" s="1"/>
  <c r="U42" i="38"/>
  <c r="T39" i="38"/>
  <c r="S39" i="38" s="1"/>
  <c r="U35" i="38"/>
  <c r="V35" i="38"/>
  <c r="U46" i="38"/>
  <c r="T31" i="38"/>
  <c r="S31" i="38" s="1"/>
  <c r="U22" i="38"/>
  <c r="T19" i="38"/>
  <c r="S19" i="38" s="1"/>
  <c r="V48" i="37"/>
  <c r="U36" i="37"/>
  <c r="V42" i="37"/>
  <c r="T36" i="37"/>
  <c r="S36" i="37" s="1"/>
  <c r="V35" i="37"/>
  <c r="T25" i="37"/>
  <c r="S25" i="37" s="1"/>
  <c r="T37" i="37"/>
  <c r="S37" i="37" s="1"/>
  <c r="V24" i="37"/>
  <c r="U30" i="37"/>
  <c r="R49" i="37"/>
  <c r="V30" i="37"/>
  <c r="T29" i="37"/>
  <c r="S29" i="37" s="1"/>
  <c r="U22" i="37"/>
  <c r="T44" i="37"/>
  <c r="S44" i="37" s="1"/>
  <c r="T31" i="37"/>
  <c r="S31" i="37" s="1"/>
  <c r="U21" i="37"/>
  <c r="U48" i="37"/>
  <c r="V18" i="37"/>
  <c r="U26" i="37"/>
  <c r="U29" i="37"/>
  <c r="T19" i="37"/>
  <c r="S19" i="37" s="1"/>
  <c r="U41" i="37"/>
  <c r="T21" i="37"/>
  <c r="S21" i="37" s="1"/>
  <c r="V39" i="37"/>
  <c r="V44" i="37"/>
  <c r="V38" i="37"/>
  <c r="H49" i="37"/>
  <c r="P2" i="37" s="1"/>
  <c r="T23" i="37"/>
  <c r="S23" i="37" s="1"/>
  <c r="T26" i="37"/>
  <c r="S26" i="37" s="1"/>
  <c r="T38" i="37"/>
  <c r="S38" i="37" s="1"/>
  <c r="V43" i="37"/>
  <c r="S18" i="37"/>
  <c r="G49" i="37"/>
  <c r="T28" i="37"/>
  <c r="S28" i="37" s="1"/>
  <c r="V31" i="37"/>
  <c r="T39" i="37"/>
  <c r="S39" i="37" s="1"/>
  <c r="V27" i="37"/>
  <c r="T45" i="37"/>
  <c r="S45" i="37" s="1"/>
  <c r="T41" i="37"/>
  <c r="S41" i="37" s="1"/>
  <c r="T43" i="37"/>
  <c r="S43" i="37" s="1"/>
  <c r="U45" i="37"/>
  <c r="U25" i="37"/>
  <c r="V23" i="37"/>
  <c r="V20" i="32"/>
  <c r="V32" i="32"/>
  <c r="L18" i="30"/>
  <c r="T18" i="30" s="1"/>
  <c r="L34" i="30"/>
  <c r="T34" i="30" s="1"/>
  <c r="S34" i="30" s="1"/>
  <c r="V34" i="30"/>
  <c r="L19" i="27"/>
  <c r="V24" i="27"/>
  <c r="V32" i="27"/>
  <c r="L33" i="27"/>
  <c r="V24" i="26"/>
  <c r="V32" i="26"/>
  <c r="L30" i="26"/>
  <c r="T30" i="26" s="1"/>
  <c r="S30" i="26" s="1"/>
  <c r="V30" i="24"/>
  <c r="L25" i="22"/>
  <c r="L26" i="22"/>
  <c r="L24" i="22"/>
  <c r="T24" i="22" s="1"/>
  <c r="S24" i="22" s="1"/>
  <c r="V26" i="19"/>
  <c r="L36" i="19"/>
  <c r="V38" i="19"/>
  <c r="V36" i="9"/>
  <c r="L36" i="9"/>
  <c r="V37" i="35"/>
  <c r="V34" i="33"/>
  <c r="L34" i="33"/>
  <c r="T34" i="33" s="1"/>
  <c r="S34" i="33" s="1"/>
  <c r="V32" i="24"/>
  <c r="L32" i="24"/>
  <c r="T32" i="24" s="1"/>
  <c r="S32" i="24" s="1"/>
  <c r="L34" i="22"/>
  <c r="T34" i="22" s="1"/>
  <c r="S34" i="22" s="1"/>
  <c r="V33" i="35"/>
  <c r="V29" i="35"/>
  <c r="T27" i="35"/>
  <c r="S27" i="35" s="1"/>
  <c r="V21" i="35"/>
  <c r="H49" i="35"/>
  <c r="P2" i="35" s="1"/>
  <c r="V19" i="35"/>
  <c r="T39" i="35"/>
  <c r="S39" i="35" s="1"/>
  <c r="R49" i="35"/>
  <c r="L49" i="35"/>
  <c r="P3" i="35" s="1"/>
  <c r="T18" i="35"/>
  <c r="T37" i="35"/>
  <c r="S37" i="35" s="1"/>
  <c r="T33" i="35"/>
  <c r="S33" i="35" s="1"/>
  <c r="T29" i="35"/>
  <c r="S29" i="35" s="1"/>
  <c r="T25" i="35"/>
  <c r="S25" i="35" s="1"/>
  <c r="T21" i="35"/>
  <c r="S21" i="35" s="1"/>
  <c r="G49" i="35"/>
  <c r="V39" i="35"/>
  <c r="V35" i="35"/>
  <c r="V31" i="35"/>
  <c r="V27" i="35"/>
  <c r="V23" i="35"/>
  <c r="T45" i="35"/>
  <c r="S45" i="35" s="1"/>
  <c r="U43" i="35"/>
  <c r="T31" i="35"/>
  <c r="S31" i="35" s="1"/>
  <c r="T23" i="35"/>
  <c r="S23" i="35" s="1"/>
  <c r="T19" i="35"/>
  <c r="S19" i="35" s="1"/>
  <c r="L32" i="33"/>
  <c r="T32" i="33" s="1"/>
  <c r="S32" i="33" s="1"/>
  <c r="U32" i="33"/>
  <c r="U30" i="33"/>
  <c r="V30" i="33"/>
  <c r="L28" i="33"/>
  <c r="T28" i="33" s="1"/>
  <c r="S28" i="33" s="1"/>
  <c r="L26" i="33"/>
  <c r="V26" i="33"/>
  <c r="L24" i="33"/>
  <c r="U24" i="33"/>
  <c r="U22" i="33"/>
  <c r="V22" i="33"/>
  <c r="K49" i="33"/>
  <c r="L20" i="33"/>
  <c r="T20" i="33" s="1"/>
  <c r="S20" i="33" s="1"/>
  <c r="U20" i="33"/>
  <c r="L36" i="32"/>
  <c r="T36" i="32" s="1"/>
  <c r="S36" i="32" s="1"/>
  <c r="V36" i="32"/>
  <c r="V34" i="32"/>
  <c r="L34" i="32"/>
  <c r="T34" i="32" s="1"/>
  <c r="S34" i="32" s="1"/>
  <c r="L32" i="32"/>
  <c r="T32" i="32" s="1"/>
  <c r="S32" i="32" s="1"/>
  <c r="U32" i="32"/>
  <c r="V30" i="32"/>
  <c r="L30" i="32"/>
  <c r="T30" i="32" s="1"/>
  <c r="S30" i="32" s="1"/>
  <c r="U30" i="32"/>
  <c r="L28" i="32"/>
  <c r="T28" i="32" s="1"/>
  <c r="S28" i="32" s="1"/>
  <c r="L27" i="32"/>
  <c r="V26" i="32"/>
  <c r="L26" i="32"/>
  <c r="T26" i="32" s="1"/>
  <c r="S26" i="32" s="1"/>
  <c r="L24" i="32"/>
  <c r="T24" i="32" s="1"/>
  <c r="S24" i="32" s="1"/>
  <c r="V24" i="32"/>
  <c r="L22" i="32"/>
  <c r="T22" i="32" s="1"/>
  <c r="S22" i="32" s="1"/>
  <c r="V22" i="32"/>
  <c r="L20" i="32"/>
  <c r="T20" i="32" s="1"/>
  <c r="S20" i="32" s="1"/>
  <c r="H47" i="33"/>
  <c r="H45" i="33"/>
  <c r="H43" i="33"/>
  <c r="H41" i="33"/>
  <c r="H39" i="33"/>
  <c r="H37" i="33"/>
  <c r="H35" i="33"/>
  <c r="H33" i="33"/>
  <c r="H31" i="33"/>
  <c r="H29" i="33"/>
  <c r="H27" i="33"/>
  <c r="H25" i="33"/>
  <c r="H23" i="33"/>
  <c r="H21" i="33"/>
  <c r="H19" i="33"/>
  <c r="H42" i="33"/>
  <c r="L45" i="33"/>
  <c r="T45" i="33" s="1"/>
  <c r="S45" i="33" s="1"/>
  <c r="U18" i="33"/>
  <c r="L39" i="33"/>
  <c r="T39" i="33" s="1"/>
  <c r="S39" i="33" s="1"/>
  <c r="H44" i="33"/>
  <c r="V47" i="33"/>
  <c r="U47" i="33"/>
  <c r="L47" i="33"/>
  <c r="T47" i="33" s="1"/>
  <c r="S47" i="33" s="1"/>
  <c r="H18" i="33"/>
  <c r="H20" i="33"/>
  <c r="H22" i="33"/>
  <c r="H24" i="33"/>
  <c r="H26" i="33"/>
  <c r="V27" i="33"/>
  <c r="H28" i="33"/>
  <c r="H30" i="33"/>
  <c r="H32" i="33"/>
  <c r="H34" i="33"/>
  <c r="V35" i="33"/>
  <c r="H36" i="33"/>
  <c r="V37" i="33"/>
  <c r="H38" i="33"/>
  <c r="L41" i="33"/>
  <c r="T44" i="33"/>
  <c r="S44" i="33" s="1"/>
  <c r="H46" i="33"/>
  <c r="L18" i="33"/>
  <c r="J49" i="33"/>
  <c r="V18" i="33"/>
  <c r="L19" i="33"/>
  <c r="L21" i="33"/>
  <c r="T21" i="33" s="1"/>
  <c r="S21" i="33" s="1"/>
  <c r="T22" i="33"/>
  <c r="S22" i="33" s="1"/>
  <c r="L23" i="33"/>
  <c r="T24" i="33"/>
  <c r="S24" i="33" s="1"/>
  <c r="L25" i="33"/>
  <c r="T26" i="33"/>
  <c r="S26" i="33" s="1"/>
  <c r="L27" i="33"/>
  <c r="T27" i="33" s="1"/>
  <c r="S27" i="33" s="1"/>
  <c r="L29" i="33"/>
  <c r="T30" i="33"/>
  <c r="S30" i="33" s="1"/>
  <c r="L31" i="33"/>
  <c r="L33" i="33"/>
  <c r="L35" i="33"/>
  <c r="T35" i="33" s="1"/>
  <c r="S35" i="33" s="1"/>
  <c r="T36" i="33"/>
  <c r="S36" i="33" s="1"/>
  <c r="L37" i="33"/>
  <c r="T37" i="33" s="1"/>
  <c r="S37" i="33" s="1"/>
  <c r="T38" i="33"/>
  <c r="S38" i="33" s="1"/>
  <c r="H40" i="33"/>
  <c r="V43" i="33"/>
  <c r="U43" i="33"/>
  <c r="L43" i="33"/>
  <c r="U44" i="33"/>
  <c r="T46" i="33"/>
  <c r="S46" i="33" s="1"/>
  <c r="H48" i="33"/>
  <c r="R19" i="33"/>
  <c r="U19" i="33" s="1"/>
  <c r="R21" i="33"/>
  <c r="U21" i="33" s="1"/>
  <c r="R23" i="33"/>
  <c r="U23" i="33" s="1"/>
  <c r="R25" i="33"/>
  <c r="U25" i="33" s="1"/>
  <c r="R27" i="33"/>
  <c r="U27" i="33" s="1"/>
  <c r="R29" i="33"/>
  <c r="U29" i="33" s="1"/>
  <c r="R31" i="33"/>
  <c r="U31" i="33" s="1"/>
  <c r="R33" i="33"/>
  <c r="U33" i="33" s="1"/>
  <c r="R35" i="33"/>
  <c r="U35" i="33" s="1"/>
  <c r="R37" i="33"/>
  <c r="U37" i="33" s="1"/>
  <c r="R39" i="33"/>
  <c r="V39" i="33" s="1"/>
  <c r="R41" i="33"/>
  <c r="U41" i="33" s="1"/>
  <c r="R43" i="33"/>
  <c r="R45" i="33"/>
  <c r="V45" i="33" s="1"/>
  <c r="G18" i="33"/>
  <c r="G20" i="33"/>
  <c r="G22" i="33"/>
  <c r="G24" i="33"/>
  <c r="G26" i="33"/>
  <c r="G28" i="33"/>
  <c r="G30" i="33"/>
  <c r="G32" i="33"/>
  <c r="G34" i="33"/>
  <c r="G36" i="33"/>
  <c r="G38" i="33"/>
  <c r="G40" i="33"/>
  <c r="G42" i="33"/>
  <c r="G44" i="33"/>
  <c r="G46" i="33"/>
  <c r="V32" i="30"/>
  <c r="L32" i="30"/>
  <c r="T32" i="30" s="1"/>
  <c r="S32" i="30" s="1"/>
  <c r="V30" i="30"/>
  <c r="U30" i="30"/>
  <c r="L30" i="30"/>
  <c r="T30" i="30" s="1"/>
  <c r="S30" i="30" s="1"/>
  <c r="V28" i="30"/>
  <c r="L28" i="30"/>
  <c r="T28" i="30" s="1"/>
  <c r="S28" i="30" s="1"/>
  <c r="V26" i="30"/>
  <c r="L26" i="30"/>
  <c r="T26" i="30" s="1"/>
  <c r="S26" i="30" s="1"/>
  <c r="U26" i="30"/>
  <c r="V20" i="30"/>
  <c r="V24" i="30"/>
  <c r="L24" i="30"/>
  <c r="T24" i="30" s="1"/>
  <c r="S24" i="30" s="1"/>
  <c r="U22" i="30"/>
  <c r="V22" i="30"/>
  <c r="L20" i="30"/>
  <c r="T20" i="30" s="1"/>
  <c r="S20" i="30" s="1"/>
  <c r="V18" i="30"/>
  <c r="L37" i="29"/>
  <c r="V36" i="29"/>
  <c r="L35" i="29"/>
  <c r="V34" i="29"/>
  <c r="L33" i="29"/>
  <c r="V32" i="29"/>
  <c r="L32" i="29"/>
  <c r="T32" i="29" s="1"/>
  <c r="S32" i="29" s="1"/>
  <c r="L31" i="29"/>
  <c r="T31" i="29" s="1"/>
  <c r="S31" i="29" s="1"/>
  <c r="V30" i="29"/>
  <c r="L30" i="29"/>
  <c r="T30" i="29" s="1"/>
  <c r="S30" i="29" s="1"/>
  <c r="L29" i="29"/>
  <c r="V28" i="29"/>
  <c r="L28" i="29"/>
  <c r="T28" i="29" s="1"/>
  <c r="S28" i="29" s="1"/>
  <c r="L26" i="29"/>
  <c r="T26" i="29" s="1"/>
  <c r="S26" i="29" s="1"/>
  <c r="U26" i="29"/>
  <c r="V26" i="29"/>
  <c r="V24" i="29"/>
  <c r="L24" i="29"/>
  <c r="T24" i="29" s="1"/>
  <c r="S24" i="29" s="1"/>
  <c r="V22" i="29"/>
  <c r="L22" i="29"/>
  <c r="T22" i="29" s="1"/>
  <c r="S22" i="29" s="1"/>
  <c r="U22" i="29"/>
  <c r="L20" i="29"/>
  <c r="T20" i="29" s="1"/>
  <c r="S20" i="29" s="1"/>
  <c r="U20" i="29"/>
  <c r="V20" i="29"/>
  <c r="L18" i="29"/>
  <c r="T18" i="29" s="1"/>
  <c r="L31" i="27"/>
  <c r="V30" i="27"/>
  <c r="L29" i="27"/>
  <c r="V28" i="27"/>
  <c r="U26" i="27"/>
  <c r="L25" i="27"/>
  <c r="L21" i="27"/>
  <c r="L23" i="27"/>
  <c r="V22" i="27"/>
  <c r="J49" i="27"/>
  <c r="U20" i="27"/>
  <c r="V20" i="27"/>
  <c r="U18" i="27"/>
  <c r="L29" i="32"/>
  <c r="L37" i="32"/>
  <c r="T37" i="32" s="1"/>
  <c r="S37" i="32" s="1"/>
  <c r="L45" i="32"/>
  <c r="L18" i="32"/>
  <c r="J49" i="32"/>
  <c r="V18" i="32"/>
  <c r="L21" i="32"/>
  <c r="H30" i="32"/>
  <c r="L33" i="32"/>
  <c r="U34" i="32"/>
  <c r="H38" i="32"/>
  <c r="U41" i="32"/>
  <c r="L41" i="32"/>
  <c r="T41" i="32" s="1"/>
  <c r="S41" i="32" s="1"/>
  <c r="U42" i="32"/>
  <c r="T44" i="32"/>
  <c r="S44" i="32" s="1"/>
  <c r="V25" i="32"/>
  <c r="L31" i="32"/>
  <c r="L39" i="32"/>
  <c r="U47" i="32"/>
  <c r="L47" i="32"/>
  <c r="T47" i="32" s="1"/>
  <c r="S47" i="32" s="1"/>
  <c r="V47" i="32"/>
  <c r="H47" i="32"/>
  <c r="H45" i="32"/>
  <c r="H43" i="32"/>
  <c r="H41" i="32"/>
  <c r="H39" i="32"/>
  <c r="H37" i="32"/>
  <c r="H35" i="32"/>
  <c r="H33" i="32"/>
  <c r="H31" i="32"/>
  <c r="H29" i="32"/>
  <c r="H27" i="32"/>
  <c r="H25" i="32"/>
  <c r="H23" i="32"/>
  <c r="H21" i="32"/>
  <c r="H19" i="32"/>
  <c r="U18" i="32"/>
  <c r="U20" i="32"/>
  <c r="U22" i="32"/>
  <c r="U24" i="32"/>
  <c r="U26" i="32"/>
  <c r="U28" i="32"/>
  <c r="H32" i="32"/>
  <c r="L35" i="32"/>
  <c r="U36" i="32"/>
  <c r="T38" i="32"/>
  <c r="S38" i="32" s="1"/>
  <c r="H40" i="32"/>
  <c r="V43" i="32"/>
  <c r="L43" i="32"/>
  <c r="U44" i="32"/>
  <c r="T46" i="32"/>
  <c r="S46" i="32" s="1"/>
  <c r="H48" i="32"/>
  <c r="R19" i="32"/>
  <c r="U19" i="32" s="1"/>
  <c r="R21" i="32"/>
  <c r="U21" i="32" s="1"/>
  <c r="R23" i="32"/>
  <c r="U23" i="32" s="1"/>
  <c r="R25" i="32"/>
  <c r="U25" i="32" s="1"/>
  <c r="R27" i="32"/>
  <c r="U27" i="32" s="1"/>
  <c r="R29" i="32"/>
  <c r="U29" i="32" s="1"/>
  <c r="R31" i="32"/>
  <c r="V31" i="32" s="1"/>
  <c r="R33" i="32"/>
  <c r="V33" i="32" s="1"/>
  <c r="R35" i="32"/>
  <c r="U35" i="32" s="1"/>
  <c r="R37" i="32"/>
  <c r="U37" i="32" s="1"/>
  <c r="R39" i="32"/>
  <c r="U39" i="32" s="1"/>
  <c r="R41" i="32"/>
  <c r="V41" i="32" s="1"/>
  <c r="R43" i="32"/>
  <c r="U43" i="32" s="1"/>
  <c r="R45" i="32"/>
  <c r="U45" i="32" s="1"/>
  <c r="K49" i="32"/>
  <c r="G18" i="32"/>
  <c r="G20" i="32"/>
  <c r="G22" i="32"/>
  <c r="G24" i="32"/>
  <c r="G26" i="32"/>
  <c r="G28" i="32"/>
  <c r="G30" i="32"/>
  <c r="G32" i="32"/>
  <c r="G34" i="32"/>
  <c r="G36" i="32"/>
  <c r="G38" i="32"/>
  <c r="G40" i="32"/>
  <c r="G42" i="32"/>
  <c r="G44" i="32"/>
  <c r="G46" i="32"/>
  <c r="L21" i="30"/>
  <c r="T21" i="30" s="1"/>
  <c r="S21" i="30" s="1"/>
  <c r="H46" i="30"/>
  <c r="H40" i="30"/>
  <c r="H38" i="30"/>
  <c r="H48" i="30"/>
  <c r="H44" i="30"/>
  <c r="H42" i="30"/>
  <c r="H36" i="30"/>
  <c r="H34" i="30"/>
  <c r="H32" i="30"/>
  <c r="H30" i="30"/>
  <c r="H28" i="30"/>
  <c r="H26" i="30"/>
  <c r="H24" i="30"/>
  <c r="H20" i="30"/>
  <c r="L23" i="30"/>
  <c r="V43" i="30"/>
  <c r="V47" i="30"/>
  <c r="H47" i="30"/>
  <c r="U18" i="30"/>
  <c r="H22" i="30"/>
  <c r="L19" i="30"/>
  <c r="U20" i="30"/>
  <c r="T22" i="30"/>
  <c r="S22" i="30" s="1"/>
  <c r="V25" i="30"/>
  <c r="V41" i="30"/>
  <c r="L25" i="30"/>
  <c r="L27" i="30"/>
  <c r="T27" i="30" s="1"/>
  <c r="S27" i="30" s="1"/>
  <c r="L29" i="30"/>
  <c r="T29" i="30" s="1"/>
  <c r="S29" i="30" s="1"/>
  <c r="L31" i="30"/>
  <c r="T31" i="30" s="1"/>
  <c r="S31" i="30" s="1"/>
  <c r="L33" i="30"/>
  <c r="L35" i="30"/>
  <c r="L37" i="30"/>
  <c r="T37" i="30" s="1"/>
  <c r="S37" i="30" s="1"/>
  <c r="L39" i="30"/>
  <c r="T39" i="30" s="1"/>
  <c r="S39" i="30" s="1"/>
  <c r="L41" i="30"/>
  <c r="T41" i="30" s="1"/>
  <c r="S41" i="30" s="1"/>
  <c r="L43" i="30"/>
  <c r="T43" i="30" s="1"/>
  <c r="S43" i="30" s="1"/>
  <c r="L45" i="30"/>
  <c r="T45" i="30" s="1"/>
  <c r="S45" i="30" s="1"/>
  <c r="U47" i="30"/>
  <c r="J49" i="30"/>
  <c r="H19" i="30"/>
  <c r="R19" i="30"/>
  <c r="H21" i="30"/>
  <c r="R21" i="30"/>
  <c r="V21" i="30" s="1"/>
  <c r="H23" i="30"/>
  <c r="R23" i="30"/>
  <c r="V23" i="30" s="1"/>
  <c r="H25" i="30"/>
  <c r="R25" i="30"/>
  <c r="U25" i="30" s="1"/>
  <c r="H27" i="30"/>
  <c r="R27" i="30"/>
  <c r="U27" i="30" s="1"/>
  <c r="H29" i="30"/>
  <c r="R29" i="30"/>
  <c r="V29" i="30" s="1"/>
  <c r="H31" i="30"/>
  <c r="R31" i="30"/>
  <c r="V31" i="30" s="1"/>
  <c r="H33" i="30"/>
  <c r="R33" i="30"/>
  <c r="V33" i="30" s="1"/>
  <c r="H35" i="30"/>
  <c r="R35" i="30"/>
  <c r="U35" i="30" s="1"/>
  <c r="H37" i="30"/>
  <c r="R37" i="30"/>
  <c r="V37" i="30" s="1"/>
  <c r="H39" i="30"/>
  <c r="R39" i="30"/>
  <c r="U39" i="30" s="1"/>
  <c r="H41" i="30"/>
  <c r="R41" i="30"/>
  <c r="U41" i="30" s="1"/>
  <c r="H43" i="30"/>
  <c r="R43" i="30"/>
  <c r="U43" i="30" s="1"/>
  <c r="H45" i="30"/>
  <c r="R45" i="30"/>
  <c r="V45" i="30" s="1"/>
  <c r="K49" i="30"/>
  <c r="G18" i="30"/>
  <c r="G20" i="30"/>
  <c r="G22" i="30"/>
  <c r="G24" i="30"/>
  <c r="G26" i="30"/>
  <c r="G28" i="30"/>
  <c r="G30" i="30"/>
  <c r="G32" i="30"/>
  <c r="G34" i="30"/>
  <c r="G36" i="30"/>
  <c r="G38" i="30"/>
  <c r="G40" i="30"/>
  <c r="G42" i="30"/>
  <c r="G44" i="30"/>
  <c r="G46" i="30"/>
  <c r="V18" i="29"/>
  <c r="V47" i="29"/>
  <c r="T43" i="29"/>
  <c r="S43" i="29" s="1"/>
  <c r="H34" i="29"/>
  <c r="H30" i="29"/>
  <c r="H28" i="29"/>
  <c r="H24" i="29"/>
  <c r="H22" i="29"/>
  <c r="H20" i="29"/>
  <c r="H21" i="29"/>
  <c r="H19" i="29"/>
  <c r="H48" i="29"/>
  <c r="H42" i="29"/>
  <c r="H26" i="29"/>
  <c r="H18" i="29"/>
  <c r="H46" i="29"/>
  <c r="H44" i="29"/>
  <c r="H40" i="29"/>
  <c r="H38" i="29"/>
  <c r="H36" i="29"/>
  <c r="H32" i="29"/>
  <c r="U18" i="29"/>
  <c r="L19" i="29"/>
  <c r="G21" i="29"/>
  <c r="L21" i="29"/>
  <c r="G23" i="29"/>
  <c r="L23" i="29"/>
  <c r="G25" i="29"/>
  <c r="L25" i="29"/>
  <c r="G27" i="29"/>
  <c r="L27" i="29"/>
  <c r="G29" i="29"/>
  <c r="G31" i="29"/>
  <c r="G33" i="29"/>
  <c r="G35" i="29"/>
  <c r="G37" i="29"/>
  <c r="G39" i="29"/>
  <c r="G41" i="29"/>
  <c r="G43" i="29"/>
  <c r="G45" i="29"/>
  <c r="G47" i="29"/>
  <c r="U47" i="29"/>
  <c r="J49" i="29"/>
  <c r="R19" i="29"/>
  <c r="V19" i="29" s="1"/>
  <c r="R21" i="29"/>
  <c r="U21" i="29" s="1"/>
  <c r="H23" i="29"/>
  <c r="R23" i="29"/>
  <c r="V23" i="29" s="1"/>
  <c r="H25" i="29"/>
  <c r="R25" i="29"/>
  <c r="U25" i="29" s="1"/>
  <c r="H27" i="29"/>
  <c r="R27" i="29"/>
  <c r="U27" i="29" s="1"/>
  <c r="H29" i="29"/>
  <c r="R29" i="29"/>
  <c r="V29" i="29" s="1"/>
  <c r="H31" i="29"/>
  <c r="R31" i="29"/>
  <c r="U31" i="29" s="1"/>
  <c r="H33" i="29"/>
  <c r="R33" i="29"/>
  <c r="V33" i="29" s="1"/>
  <c r="H35" i="29"/>
  <c r="R35" i="29"/>
  <c r="U35" i="29" s="1"/>
  <c r="H37" i="29"/>
  <c r="R37" i="29"/>
  <c r="V37" i="29" s="1"/>
  <c r="H39" i="29"/>
  <c r="R39" i="29"/>
  <c r="T39" i="29" s="1"/>
  <c r="S39" i="29" s="1"/>
  <c r="H41" i="29"/>
  <c r="R41" i="29"/>
  <c r="T41" i="29" s="1"/>
  <c r="S41" i="29" s="1"/>
  <c r="H43" i="29"/>
  <c r="R43" i="29"/>
  <c r="U43" i="29" s="1"/>
  <c r="H45" i="29"/>
  <c r="R45" i="29"/>
  <c r="V45" i="29" s="1"/>
  <c r="K49" i="29"/>
  <c r="G18" i="29"/>
  <c r="G20" i="29"/>
  <c r="G22" i="29"/>
  <c r="G24" i="29"/>
  <c r="G26" i="29"/>
  <c r="G28" i="29"/>
  <c r="G30" i="29"/>
  <c r="G32" i="29"/>
  <c r="G34" i="29"/>
  <c r="L34" i="29"/>
  <c r="T34" i="29" s="1"/>
  <c r="S34" i="29" s="1"/>
  <c r="G36" i="29"/>
  <c r="L36" i="29"/>
  <c r="T36" i="29" s="1"/>
  <c r="S36" i="29" s="1"/>
  <c r="G38" i="29"/>
  <c r="L38" i="29"/>
  <c r="T38" i="29" s="1"/>
  <c r="S38" i="29" s="1"/>
  <c r="G40" i="29"/>
  <c r="L40" i="29"/>
  <c r="T40" i="29" s="1"/>
  <c r="S40" i="29" s="1"/>
  <c r="G42" i="29"/>
  <c r="L42" i="29"/>
  <c r="T42" i="29" s="1"/>
  <c r="S42" i="29" s="1"/>
  <c r="G44" i="29"/>
  <c r="L44" i="29"/>
  <c r="T44" i="29" s="1"/>
  <c r="S44" i="29" s="1"/>
  <c r="G46" i="29"/>
  <c r="L46" i="29"/>
  <c r="T46" i="29" s="1"/>
  <c r="S46" i="29" s="1"/>
  <c r="L35" i="26"/>
  <c r="V34" i="26"/>
  <c r="L34" i="26"/>
  <c r="T34" i="26" s="1"/>
  <c r="S34" i="26" s="1"/>
  <c r="U34" i="26"/>
  <c r="L33" i="26"/>
  <c r="L32" i="26"/>
  <c r="T32" i="26" s="1"/>
  <c r="S32" i="26" s="1"/>
  <c r="U32" i="26"/>
  <c r="L31" i="26"/>
  <c r="U30" i="26"/>
  <c r="V30" i="26"/>
  <c r="L28" i="26"/>
  <c r="T28" i="26" s="1"/>
  <c r="S28" i="26" s="1"/>
  <c r="V28" i="26"/>
  <c r="V26" i="26"/>
  <c r="L26" i="26"/>
  <c r="T26" i="26" s="1"/>
  <c r="S26" i="26" s="1"/>
  <c r="L24" i="26"/>
  <c r="T24" i="26" s="1"/>
  <c r="S24" i="26" s="1"/>
  <c r="U24" i="26"/>
  <c r="L22" i="26"/>
  <c r="T22" i="26" s="1"/>
  <c r="S22" i="26" s="1"/>
  <c r="V22" i="26"/>
  <c r="L21" i="26"/>
  <c r="U20" i="26"/>
  <c r="V20" i="26"/>
  <c r="L19" i="26"/>
  <c r="L18" i="26"/>
  <c r="T18" i="26" s="1"/>
  <c r="U18" i="26"/>
  <c r="L28" i="24"/>
  <c r="T28" i="24" s="1"/>
  <c r="S28" i="24" s="1"/>
  <c r="V28" i="24"/>
  <c r="V26" i="24"/>
  <c r="L26" i="24"/>
  <c r="T26" i="24" s="1"/>
  <c r="S26" i="24" s="1"/>
  <c r="L24" i="24"/>
  <c r="T24" i="24" s="1"/>
  <c r="S24" i="24" s="1"/>
  <c r="V24" i="24"/>
  <c r="L22" i="24"/>
  <c r="V22" i="24"/>
  <c r="V20" i="24"/>
  <c r="L20" i="24"/>
  <c r="T20" i="24" s="1"/>
  <c r="S20" i="24" s="1"/>
  <c r="T41" i="27"/>
  <c r="S41" i="27" s="1"/>
  <c r="H48" i="27"/>
  <c r="H44" i="27"/>
  <c r="H42" i="27"/>
  <c r="H40" i="27"/>
  <c r="H36" i="27"/>
  <c r="H34" i="27"/>
  <c r="H27" i="27"/>
  <c r="H25" i="27"/>
  <c r="H23" i="27"/>
  <c r="H21" i="27"/>
  <c r="H19" i="27"/>
  <c r="H46" i="27"/>
  <c r="H38" i="27"/>
  <c r="V41" i="27"/>
  <c r="H47" i="27"/>
  <c r="T45" i="27"/>
  <c r="S45" i="27" s="1"/>
  <c r="V45" i="27"/>
  <c r="T47" i="27"/>
  <c r="S47" i="27" s="1"/>
  <c r="G19" i="27"/>
  <c r="G21" i="27"/>
  <c r="G23" i="27"/>
  <c r="G25" i="27"/>
  <c r="G27" i="27"/>
  <c r="G29" i="27"/>
  <c r="G31" i="27"/>
  <c r="G33" i="27"/>
  <c r="G35" i="27"/>
  <c r="G37" i="27"/>
  <c r="G39" i="27"/>
  <c r="G41" i="27"/>
  <c r="G43" i="27"/>
  <c r="G45" i="27"/>
  <c r="G47" i="27"/>
  <c r="U47" i="27"/>
  <c r="R19" i="27"/>
  <c r="R21" i="27"/>
  <c r="U21" i="27" s="1"/>
  <c r="R23" i="27"/>
  <c r="R25" i="27"/>
  <c r="R27" i="27"/>
  <c r="U27" i="27" s="1"/>
  <c r="H29" i="27"/>
  <c r="R29" i="27"/>
  <c r="U29" i="27" s="1"/>
  <c r="H31" i="27"/>
  <c r="R31" i="27"/>
  <c r="T31" i="27" s="1"/>
  <c r="S31" i="27" s="1"/>
  <c r="H33" i="27"/>
  <c r="R33" i="27"/>
  <c r="H35" i="27"/>
  <c r="R35" i="27"/>
  <c r="V35" i="27" s="1"/>
  <c r="H37" i="27"/>
  <c r="R37" i="27"/>
  <c r="T37" i="27" s="1"/>
  <c r="S37" i="27" s="1"/>
  <c r="H39" i="27"/>
  <c r="R39" i="27"/>
  <c r="U39" i="27" s="1"/>
  <c r="H41" i="27"/>
  <c r="R41" i="27"/>
  <c r="U41" i="27" s="1"/>
  <c r="H43" i="27"/>
  <c r="R43" i="27"/>
  <c r="V43" i="27" s="1"/>
  <c r="H45" i="27"/>
  <c r="R45" i="27"/>
  <c r="U45" i="27" s="1"/>
  <c r="K49" i="27"/>
  <c r="G18" i="27"/>
  <c r="L18" i="27"/>
  <c r="G20" i="27"/>
  <c r="L20" i="27"/>
  <c r="T20" i="27" s="1"/>
  <c r="S20" i="27" s="1"/>
  <c r="G22" i="27"/>
  <c r="L22" i="27"/>
  <c r="T22" i="27" s="1"/>
  <c r="S22" i="27" s="1"/>
  <c r="G24" i="27"/>
  <c r="L24" i="27"/>
  <c r="T24" i="27" s="1"/>
  <c r="S24" i="27" s="1"/>
  <c r="G26" i="27"/>
  <c r="L26" i="27"/>
  <c r="T26" i="27" s="1"/>
  <c r="S26" i="27" s="1"/>
  <c r="G28" i="27"/>
  <c r="L28" i="27"/>
  <c r="T28" i="27" s="1"/>
  <c r="S28" i="27" s="1"/>
  <c r="G30" i="27"/>
  <c r="L30" i="27"/>
  <c r="T30" i="27" s="1"/>
  <c r="S30" i="27" s="1"/>
  <c r="G32" i="27"/>
  <c r="L32" i="27"/>
  <c r="T32" i="27" s="1"/>
  <c r="S32" i="27" s="1"/>
  <c r="G34" i="27"/>
  <c r="L34" i="27"/>
  <c r="T34" i="27" s="1"/>
  <c r="S34" i="27" s="1"/>
  <c r="G36" i="27"/>
  <c r="L36" i="27"/>
  <c r="T36" i="27" s="1"/>
  <c r="S36" i="27" s="1"/>
  <c r="G38" i="27"/>
  <c r="L38" i="27"/>
  <c r="T38" i="27" s="1"/>
  <c r="S38" i="27" s="1"/>
  <c r="G40" i="27"/>
  <c r="L40" i="27"/>
  <c r="T40" i="27" s="1"/>
  <c r="S40" i="27" s="1"/>
  <c r="G42" i="27"/>
  <c r="L42" i="27"/>
  <c r="T42" i="27" s="1"/>
  <c r="S42" i="27" s="1"/>
  <c r="G44" i="27"/>
  <c r="L44" i="27"/>
  <c r="T44" i="27" s="1"/>
  <c r="S44" i="27" s="1"/>
  <c r="G46" i="27"/>
  <c r="L46" i="27"/>
  <c r="T46" i="27" s="1"/>
  <c r="S46" i="27" s="1"/>
  <c r="H47" i="26"/>
  <c r="V19" i="26"/>
  <c r="U21" i="26"/>
  <c r="L23" i="26"/>
  <c r="T43" i="26"/>
  <c r="S43" i="26" s="1"/>
  <c r="T37" i="26"/>
  <c r="S37" i="26" s="1"/>
  <c r="V43" i="26"/>
  <c r="H40" i="26"/>
  <c r="H36" i="26"/>
  <c r="H39" i="26"/>
  <c r="H37" i="26"/>
  <c r="H35" i="26"/>
  <c r="H33" i="26"/>
  <c r="H31" i="26"/>
  <c r="H29" i="26"/>
  <c r="H27" i="26"/>
  <c r="H25" i="26"/>
  <c r="H23" i="26"/>
  <c r="H21" i="26"/>
  <c r="H19" i="26"/>
  <c r="H34" i="26"/>
  <c r="H32" i="26"/>
  <c r="H30" i="26"/>
  <c r="H48" i="26"/>
  <c r="H46" i="26"/>
  <c r="H44" i="26"/>
  <c r="H42" i="26"/>
  <c r="H38" i="26"/>
  <c r="H28" i="26"/>
  <c r="L25" i="26"/>
  <c r="V41" i="26"/>
  <c r="H18" i="26"/>
  <c r="V18" i="26"/>
  <c r="H20" i="26"/>
  <c r="H22" i="26"/>
  <c r="H24" i="26"/>
  <c r="H26" i="26"/>
  <c r="V37" i="26"/>
  <c r="T47" i="26"/>
  <c r="S47" i="26" s="1"/>
  <c r="G19" i="26"/>
  <c r="G21" i="26"/>
  <c r="G23" i="26"/>
  <c r="G25" i="26"/>
  <c r="G27" i="26"/>
  <c r="L27" i="26"/>
  <c r="G29" i="26"/>
  <c r="L29" i="26"/>
  <c r="G31" i="26"/>
  <c r="G33" i="26"/>
  <c r="G35" i="26"/>
  <c r="G37" i="26"/>
  <c r="G39" i="26"/>
  <c r="G41" i="26"/>
  <c r="G43" i="26"/>
  <c r="G45" i="26"/>
  <c r="G47" i="26"/>
  <c r="U47" i="26"/>
  <c r="J49" i="26"/>
  <c r="R19" i="26"/>
  <c r="U19" i="26" s="1"/>
  <c r="R21" i="26"/>
  <c r="R23" i="26"/>
  <c r="U23" i="26" s="1"/>
  <c r="R25" i="26"/>
  <c r="V25" i="26" s="1"/>
  <c r="R27" i="26"/>
  <c r="V27" i="26" s="1"/>
  <c r="R29" i="26"/>
  <c r="U29" i="26" s="1"/>
  <c r="R31" i="26"/>
  <c r="V31" i="26" s="1"/>
  <c r="R33" i="26"/>
  <c r="U33" i="26" s="1"/>
  <c r="R35" i="26"/>
  <c r="V35" i="26" s="1"/>
  <c r="R37" i="26"/>
  <c r="U37" i="26" s="1"/>
  <c r="R39" i="26"/>
  <c r="V39" i="26" s="1"/>
  <c r="H41" i="26"/>
  <c r="R41" i="26"/>
  <c r="U41" i="26" s="1"/>
  <c r="H43" i="26"/>
  <c r="R43" i="26"/>
  <c r="U43" i="26" s="1"/>
  <c r="H45" i="26"/>
  <c r="R45" i="26"/>
  <c r="T45" i="26" s="1"/>
  <c r="S45" i="26" s="1"/>
  <c r="K49" i="26"/>
  <c r="G18" i="26"/>
  <c r="G20" i="26"/>
  <c r="G22" i="26"/>
  <c r="G24" i="26"/>
  <c r="G26" i="26"/>
  <c r="G28" i="26"/>
  <c r="G30" i="26"/>
  <c r="G32" i="26"/>
  <c r="G34" i="26"/>
  <c r="G36" i="26"/>
  <c r="G38" i="26"/>
  <c r="L38" i="26"/>
  <c r="T38" i="26" s="1"/>
  <c r="S38" i="26" s="1"/>
  <c r="G40" i="26"/>
  <c r="L40" i="26"/>
  <c r="T40" i="26" s="1"/>
  <c r="S40" i="26" s="1"/>
  <c r="G42" i="26"/>
  <c r="L42" i="26"/>
  <c r="T42" i="26" s="1"/>
  <c r="S42" i="26" s="1"/>
  <c r="G44" i="26"/>
  <c r="L44" i="26"/>
  <c r="T44" i="26" s="1"/>
  <c r="S44" i="26" s="1"/>
  <c r="G46" i="26"/>
  <c r="L46" i="26"/>
  <c r="T46" i="26" s="1"/>
  <c r="S46" i="26" s="1"/>
  <c r="U29" i="24"/>
  <c r="L29" i="24"/>
  <c r="L37" i="24"/>
  <c r="T37" i="24" s="1"/>
  <c r="S37" i="24" s="1"/>
  <c r="L45" i="24"/>
  <c r="L31" i="24"/>
  <c r="L39" i="24"/>
  <c r="V47" i="24"/>
  <c r="U47" i="24"/>
  <c r="L47" i="24"/>
  <c r="T47" i="24" s="1"/>
  <c r="S47" i="24" s="1"/>
  <c r="L18" i="24"/>
  <c r="J49" i="24"/>
  <c r="V18" i="24"/>
  <c r="L19" i="24"/>
  <c r="L21" i="24"/>
  <c r="T22" i="24"/>
  <c r="S22" i="24" s="1"/>
  <c r="L23" i="24"/>
  <c r="L25" i="24"/>
  <c r="L27" i="24"/>
  <c r="H30" i="24"/>
  <c r="L33" i="24"/>
  <c r="T33" i="24" s="1"/>
  <c r="S33" i="24" s="1"/>
  <c r="T44" i="24"/>
  <c r="S44" i="24" s="1"/>
  <c r="T36" i="24"/>
  <c r="S36" i="24" s="1"/>
  <c r="L41" i="24"/>
  <c r="T41" i="24" s="1"/>
  <c r="S41" i="24" s="1"/>
  <c r="H47" i="24"/>
  <c r="H45" i="24"/>
  <c r="H43" i="24"/>
  <c r="H41" i="24"/>
  <c r="H39" i="24"/>
  <c r="H37" i="24"/>
  <c r="H35" i="24"/>
  <c r="H33" i="24"/>
  <c r="H31" i="24"/>
  <c r="H29" i="24"/>
  <c r="H27" i="24"/>
  <c r="H25" i="24"/>
  <c r="H23" i="24"/>
  <c r="H21" i="24"/>
  <c r="H19" i="24"/>
  <c r="U18" i="24"/>
  <c r="U20" i="24"/>
  <c r="U22" i="24"/>
  <c r="U24" i="24"/>
  <c r="U26" i="24"/>
  <c r="T30" i="24"/>
  <c r="S30" i="24" s="1"/>
  <c r="H32" i="24"/>
  <c r="L35" i="24"/>
  <c r="V35" i="24"/>
  <c r="U35" i="24"/>
  <c r="U36" i="24"/>
  <c r="T38" i="24"/>
  <c r="S38" i="24" s="1"/>
  <c r="H40" i="24"/>
  <c r="L43" i="24"/>
  <c r="T43" i="24" s="1"/>
  <c r="S43" i="24" s="1"/>
  <c r="U44" i="24"/>
  <c r="T46" i="24"/>
  <c r="S46" i="24" s="1"/>
  <c r="H48" i="24"/>
  <c r="R19" i="24"/>
  <c r="U19" i="24" s="1"/>
  <c r="R21" i="24"/>
  <c r="U21" i="24" s="1"/>
  <c r="R23" i="24"/>
  <c r="U23" i="24" s="1"/>
  <c r="R25" i="24"/>
  <c r="U25" i="24" s="1"/>
  <c r="R27" i="24"/>
  <c r="V27" i="24" s="1"/>
  <c r="R29" i="24"/>
  <c r="V29" i="24" s="1"/>
  <c r="R31" i="24"/>
  <c r="U31" i="24" s="1"/>
  <c r="R33" i="24"/>
  <c r="V33" i="24" s="1"/>
  <c r="R35" i="24"/>
  <c r="R37" i="24"/>
  <c r="V37" i="24" s="1"/>
  <c r="R39" i="24"/>
  <c r="U39" i="24" s="1"/>
  <c r="R41" i="24"/>
  <c r="U41" i="24" s="1"/>
  <c r="R43" i="24"/>
  <c r="V43" i="24" s="1"/>
  <c r="R45" i="24"/>
  <c r="V45" i="24" s="1"/>
  <c r="K49" i="24"/>
  <c r="G18" i="24"/>
  <c r="G20" i="24"/>
  <c r="G22" i="24"/>
  <c r="G24" i="24"/>
  <c r="G26" i="24"/>
  <c r="G28" i="24"/>
  <c r="G30" i="24"/>
  <c r="G32" i="24"/>
  <c r="G34" i="24"/>
  <c r="G36" i="24"/>
  <c r="G38" i="24"/>
  <c r="G40" i="24"/>
  <c r="G42" i="24"/>
  <c r="G44" i="24"/>
  <c r="G46" i="24"/>
  <c r="L32" i="22"/>
  <c r="L31" i="22"/>
  <c r="L30" i="22"/>
  <c r="T30" i="22" s="1"/>
  <c r="S30" i="22" s="1"/>
  <c r="L28" i="22"/>
  <c r="L23" i="22"/>
  <c r="L22" i="22"/>
  <c r="T22" i="22" s="1"/>
  <c r="S22" i="22" s="1"/>
  <c r="L21" i="22"/>
  <c r="L20" i="22"/>
  <c r="L19" i="22"/>
  <c r="L18" i="22"/>
  <c r="L31" i="21"/>
  <c r="L29" i="21"/>
  <c r="L23" i="21"/>
  <c r="L21" i="21"/>
  <c r="T21" i="21" s="1"/>
  <c r="S21" i="21" s="1"/>
  <c r="U33" i="22"/>
  <c r="R18" i="22"/>
  <c r="V18" i="22" s="1"/>
  <c r="R22" i="22"/>
  <c r="R26" i="22"/>
  <c r="T26" i="22" s="1"/>
  <c r="S26" i="22" s="1"/>
  <c r="R20" i="22"/>
  <c r="U20" i="22" s="1"/>
  <c r="T39" i="22"/>
  <c r="S39" i="22" s="1"/>
  <c r="R47" i="22"/>
  <c r="R45" i="22"/>
  <c r="R43" i="22"/>
  <c r="U43" i="22" s="1"/>
  <c r="R48" i="22"/>
  <c r="V48" i="22" s="1"/>
  <c r="R46" i="22"/>
  <c r="V46" i="22" s="1"/>
  <c r="R44" i="22"/>
  <c r="V44" i="22" s="1"/>
  <c r="R42" i="22"/>
  <c r="V42" i="22" s="1"/>
  <c r="R37" i="22"/>
  <c r="V37" i="22" s="1"/>
  <c r="R35" i="22"/>
  <c r="V35" i="22" s="1"/>
  <c r="R33" i="22"/>
  <c r="V33" i="22" s="1"/>
  <c r="R31" i="22"/>
  <c r="V31" i="22" s="1"/>
  <c r="R29" i="22"/>
  <c r="V29" i="22" s="1"/>
  <c r="R27" i="22"/>
  <c r="V27" i="22" s="1"/>
  <c r="R25" i="22"/>
  <c r="V25" i="22" s="1"/>
  <c r="R19" i="22"/>
  <c r="V19" i="22" s="1"/>
  <c r="R40" i="22"/>
  <c r="R38" i="22"/>
  <c r="R36" i="22"/>
  <c r="T36" i="22" s="1"/>
  <c r="S36" i="22" s="1"/>
  <c r="R34" i="22"/>
  <c r="U34" i="22" s="1"/>
  <c r="R32" i="22"/>
  <c r="R30" i="22"/>
  <c r="U30" i="22" s="1"/>
  <c r="R28" i="22"/>
  <c r="R41" i="22"/>
  <c r="T41" i="22" s="1"/>
  <c r="S41" i="22" s="1"/>
  <c r="R39" i="22"/>
  <c r="V39" i="22" s="1"/>
  <c r="R23" i="22"/>
  <c r="V23" i="22" s="1"/>
  <c r="R21" i="22"/>
  <c r="V21" i="22" s="1"/>
  <c r="U23" i="22"/>
  <c r="T38" i="22"/>
  <c r="S38" i="22" s="1"/>
  <c r="T40" i="22"/>
  <c r="S40" i="22" s="1"/>
  <c r="J49" i="22"/>
  <c r="V45" i="22"/>
  <c r="V47" i="22"/>
  <c r="L43" i="22"/>
  <c r="T44" i="22"/>
  <c r="S44" i="22" s="1"/>
  <c r="L45" i="22"/>
  <c r="T45" i="22" s="1"/>
  <c r="S45" i="22" s="1"/>
  <c r="T46" i="22"/>
  <c r="S46" i="22" s="1"/>
  <c r="L47" i="22"/>
  <c r="T47" i="22" s="1"/>
  <c r="S47" i="22" s="1"/>
  <c r="T48" i="22"/>
  <c r="S48" i="22" s="1"/>
  <c r="U44" i="22"/>
  <c r="U46" i="22"/>
  <c r="U48" i="22"/>
  <c r="H47" i="22"/>
  <c r="H45" i="22"/>
  <c r="H43" i="22"/>
  <c r="H49" i="22" s="1"/>
  <c r="P2" i="22" s="1"/>
  <c r="K49" i="22"/>
  <c r="V20" i="22"/>
  <c r="U22" i="22"/>
  <c r="V22" i="22"/>
  <c r="U24" i="22"/>
  <c r="V24" i="22"/>
  <c r="V26" i="22"/>
  <c r="U28" i="22"/>
  <c r="V30" i="22"/>
  <c r="U32" i="22"/>
  <c r="V32" i="22"/>
  <c r="V34" i="22"/>
  <c r="U36" i="22"/>
  <c r="V36" i="22"/>
  <c r="U38" i="22"/>
  <c r="V38" i="22"/>
  <c r="U40" i="22"/>
  <c r="V40" i="22"/>
  <c r="U41" i="22"/>
  <c r="U45" i="22"/>
  <c r="U47" i="22"/>
  <c r="G18" i="22"/>
  <c r="G20" i="22"/>
  <c r="G22" i="22"/>
  <c r="G24" i="22"/>
  <c r="G26" i="22"/>
  <c r="G28" i="22"/>
  <c r="G30" i="22"/>
  <c r="G32" i="22"/>
  <c r="G34" i="22"/>
  <c r="G36" i="22"/>
  <c r="G38" i="22"/>
  <c r="G40" i="22"/>
  <c r="G42" i="22"/>
  <c r="G44" i="22"/>
  <c r="G46" i="22"/>
  <c r="L26" i="21"/>
  <c r="L25" i="21"/>
  <c r="L19" i="21"/>
  <c r="L27" i="21"/>
  <c r="T27" i="21" s="1"/>
  <c r="S27" i="21" s="1"/>
  <c r="L20" i="21"/>
  <c r="K49" i="21"/>
  <c r="L18" i="21"/>
  <c r="V36" i="21"/>
  <c r="V40" i="21"/>
  <c r="R24" i="21"/>
  <c r="V24" i="21" s="1"/>
  <c r="R22" i="21"/>
  <c r="V22" i="21" s="1"/>
  <c r="R20" i="21"/>
  <c r="V20" i="21" s="1"/>
  <c r="R18" i="21"/>
  <c r="U18" i="21" s="1"/>
  <c r="R48" i="21"/>
  <c r="R46" i="21"/>
  <c r="V46" i="21" s="1"/>
  <c r="R44" i="21"/>
  <c r="R42" i="21"/>
  <c r="V42" i="21" s="1"/>
  <c r="R40" i="21"/>
  <c r="R38" i="21"/>
  <c r="V38" i="21" s="1"/>
  <c r="R36" i="21"/>
  <c r="R34" i="21"/>
  <c r="R32" i="21"/>
  <c r="T32" i="21" s="1"/>
  <c r="S32" i="21" s="1"/>
  <c r="R30" i="21"/>
  <c r="V30" i="21" s="1"/>
  <c r="R28" i="21"/>
  <c r="R26" i="21"/>
  <c r="T26" i="21" s="1"/>
  <c r="S26" i="21" s="1"/>
  <c r="T35" i="21"/>
  <c r="S35" i="21" s="1"/>
  <c r="L36" i="21"/>
  <c r="T36" i="21" s="1"/>
  <c r="S36" i="21" s="1"/>
  <c r="L42" i="21"/>
  <c r="T42" i="21" s="1"/>
  <c r="S42" i="21" s="1"/>
  <c r="T47" i="21"/>
  <c r="S47" i="21" s="1"/>
  <c r="G47" i="21"/>
  <c r="G45" i="21"/>
  <c r="G43" i="21"/>
  <c r="G41" i="21"/>
  <c r="G39" i="21"/>
  <c r="G37" i="21"/>
  <c r="G35" i="21"/>
  <c r="G33" i="21"/>
  <c r="G31" i="21"/>
  <c r="G29" i="21"/>
  <c r="G27" i="21"/>
  <c r="G25" i="21"/>
  <c r="G23" i="21"/>
  <c r="G21" i="21"/>
  <c r="G19" i="21"/>
  <c r="G18" i="21"/>
  <c r="G20" i="21"/>
  <c r="G22" i="21"/>
  <c r="G24" i="21"/>
  <c r="G26" i="21"/>
  <c r="G28" i="21"/>
  <c r="G30" i="21"/>
  <c r="G32" i="21"/>
  <c r="G34" i="21"/>
  <c r="U35" i="21"/>
  <c r="G36" i="21"/>
  <c r="G38" i="21"/>
  <c r="U39" i="21"/>
  <c r="G40" i="21"/>
  <c r="G42" i="21"/>
  <c r="U43" i="21"/>
  <c r="G44" i="21"/>
  <c r="G46" i="21"/>
  <c r="U47" i="21"/>
  <c r="G48" i="21"/>
  <c r="V26" i="21"/>
  <c r="V28" i="21"/>
  <c r="V34" i="21"/>
  <c r="V44" i="21"/>
  <c r="V48" i="21"/>
  <c r="L22" i="21"/>
  <c r="L24" i="21"/>
  <c r="L28" i="21"/>
  <c r="L30" i="21"/>
  <c r="L34" i="21"/>
  <c r="T34" i="21" s="1"/>
  <c r="S34" i="21" s="1"/>
  <c r="T39" i="21"/>
  <c r="S39" i="21" s="1"/>
  <c r="L40" i="21"/>
  <c r="T40" i="21" s="1"/>
  <c r="S40" i="21" s="1"/>
  <c r="T43" i="21"/>
  <c r="S43" i="21" s="1"/>
  <c r="L44" i="21"/>
  <c r="T44" i="21" s="1"/>
  <c r="S44" i="21" s="1"/>
  <c r="L46" i="21"/>
  <c r="L48" i="21"/>
  <c r="T48" i="21" s="1"/>
  <c r="S48" i="21" s="1"/>
  <c r="J49" i="21"/>
  <c r="R19" i="21"/>
  <c r="V19" i="21" s="1"/>
  <c r="R21" i="21"/>
  <c r="V21" i="21" s="1"/>
  <c r="U22" i="21"/>
  <c r="R23" i="21"/>
  <c r="V23" i="21" s="1"/>
  <c r="R25" i="21"/>
  <c r="V25" i="21" s="1"/>
  <c r="R27" i="21"/>
  <c r="V27" i="21" s="1"/>
  <c r="U28" i="21"/>
  <c r="R29" i="21"/>
  <c r="V29" i="21" s="1"/>
  <c r="R31" i="21"/>
  <c r="V31" i="21" s="1"/>
  <c r="R33" i="21"/>
  <c r="V33" i="21" s="1"/>
  <c r="U34" i="21"/>
  <c r="R35" i="21"/>
  <c r="V35" i="21" s="1"/>
  <c r="U36" i="21"/>
  <c r="R37" i="21"/>
  <c r="V37" i="21" s="1"/>
  <c r="U38" i="21"/>
  <c r="R39" i="21"/>
  <c r="V39" i="21" s="1"/>
  <c r="U40" i="21"/>
  <c r="R41" i="21"/>
  <c r="V41" i="21" s="1"/>
  <c r="U42" i="21"/>
  <c r="R43" i="21"/>
  <c r="V43" i="21" s="1"/>
  <c r="U44" i="21"/>
  <c r="R45" i="21"/>
  <c r="V45" i="21" s="1"/>
  <c r="U46" i="21"/>
  <c r="R47" i="21"/>
  <c r="V47" i="21" s="1"/>
  <c r="U48" i="21"/>
  <c r="H28" i="21"/>
  <c r="H30" i="21"/>
  <c r="H32" i="21"/>
  <c r="H34" i="21"/>
  <c r="H36" i="21"/>
  <c r="H38" i="21"/>
  <c r="H40" i="21"/>
  <c r="H42" i="21"/>
  <c r="H44" i="21"/>
  <c r="H46" i="21"/>
  <c r="H18" i="21"/>
  <c r="H20" i="21"/>
  <c r="H22" i="21"/>
  <c r="H24" i="21"/>
  <c r="V36" i="19"/>
  <c r="V34" i="19"/>
  <c r="L34" i="19"/>
  <c r="T34" i="19" s="1"/>
  <c r="S34" i="19" s="1"/>
  <c r="V32" i="19"/>
  <c r="L32" i="19"/>
  <c r="T32" i="19" s="1"/>
  <c r="S32" i="19" s="1"/>
  <c r="U32" i="19"/>
  <c r="L30" i="19"/>
  <c r="T30" i="19" s="1"/>
  <c r="S30" i="19" s="1"/>
  <c r="V30" i="19"/>
  <c r="V28" i="19"/>
  <c r="L28" i="19"/>
  <c r="T28" i="19" s="1"/>
  <c r="S28" i="19" s="1"/>
  <c r="L26" i="19"/>
  <c r="T26" i="19" s="1"/>
  <c r="S26" i="19" s="1"/>
  <c r="V24" i="19"/>
  <c r="L24" i="19"/>
  <c r="T24" i="19" s="1"/>
  <c r="S24" i="19" s="1"/>
  <c r="V22" i="19"/>
  <c r="U22" i="19"/>
  <c r="V20" i="19"/>
  <c r="L20" i="19"/>
  <c r="T20" i="19" s="1"/>
  <c r="S20" i="19" s="1"/>
  <c r="H47" i="17"/>
  <c r="H48" i="17"/>
  <c r="H35" i="17"/>
  <c r="L41" i="17"/>
  <c r="H47" i="19"/>
  <c r="H45" i="19"/>
  <c r="H43" i="19"/>
  <c r="H41" i="19"/>
  <c r="H39" i="19"/>
  <c r="H37" i="19"/>
  <c r="H35" i="19"/>
  <c r="H33" i="19"/>
  <c r="H31" i="19"/>
  <c r="H29" i="19"/>
  <c r="H27" i="19"/>
  <c r="H25" i="19"/>
  <c r="H23" i="19"/>
  <c r="H21" i="19"/>
  <c r="H19" i="19"/>
  <c r="H34" i="19"/>
  <c r="L37" i="19"/>
  <c r="H42" i="19"/>
  <c r="L45" i="19"/>
  <c r="L31" i="19"/>
  <c r="H36" i="19"/>
  <c r="L39" i="19"/>
  <c r="V39" i="19"/>
  <c r="U39" i="19"/>
  <c r="H44" i="19"/>
  <c r="U47" i="19"/>
  <c r="V47" i="19"/>
  <c r="L47" i="19"/>
  <c r="T47" i="19" s="1"/>
  <c r="S47" i="19" s="1"/>
  <c r="H18" i="19"/>
  <c r="H20" i="19"/>
  <c r="H22" i="19"/>
  <c r="H24" i="19"/>
  <c r="H26" i="19"/>
  <c r="H28" i="19"/>
  <c r="H30" i="19"/>
  <c r="L33" i="19"/>
  <c r="T36" i="19"/>
  <c r="S36" i="19" s="1"/>
  <c r="H38" i="19"/>
  <c r="V41" i="19"/>
  <c r="L41" i="19"/>
  <c r="T41" i="19" s="1"/>
  <c r="S41" i="19" s="1"/>
  <c r="T44" i="19"/>
  <c r="S44" i="19" s="1"/>
  <c r="H46" i="19"/>
  <c r="L18" i="19"/>
  <c r="J49" i="19"/>
  <c r="V18" i="19"/>
  <c r="L19" i="19"/>
  <c r="L21" i="19"/>
  <c r="T22" i="19"/>
  <c r="S22" i="19" s="1"/>
  <c r="L23" i="19"/>
  <c r="L25" i="19"/>
  <c r="T25" i="19" s="1"/>
  <c r="S25" i="19" s="1"/>
  <c r="L27" i="19"/>
  <c r="L29" i="19"/>
  <c r="H32" i="19"/>
  <c r="L35" i="19"/>
  <c r="U36" i="19"/>
  <c r="T38" i="19"/>
  <c r="S38" i="19" s="1"/>
  <c r="H40" i="19"/>
  <c r="L43" i="19"/>
  <c r="U44" i="19"/>
  <c r="T46" i="19"/>
  <c r="S46" i="19" s="1"/>
  <c r="H48" i="19"/>
  <c r="R19" i="19"/>
  <c r="U19" i="19" s="1"/>
  <c r="R21" i="19"/>
  <c r="U21" i="19" s="1"/>
  <c r="R23" i="19"/>
  <c r="U23" i="19" s="1"/>
  <c r="R25" i="19"/>
  <c r="U25" i="19" s="1"/>
  <c r="R27" i="19"/>
  <c r="U27" i="19" s="1"/>
  <c r="R29" i="19"/>
  <c r="U29" i="19" s="1"/>
  <c r="R31" i="19"/>
  <c r="U31" i="19" s="1"/>
  <c r="R33" i="19"/>
  <c r="V33" i="19" s="1"/>
  <c r="R35" i="19"/>
  <c r="V35" i="19" s="1"/>
  <c r="R37" i="19"/>
  <c r="U37" i="19" s="1"/>
  <c r="R39" i="19"/>
  <c r="R41" i="19"/>
  <c r="U41" i="19" s="1"/>
  <c r="R43" i="19"/>
  <c r="U43" i="19" s="1"/>
  <c r="R45" i="19"/>
  <c r="V45" i="19" s="1"/>
  <c r="K49" i="19"/>
  <c r="G18" i="19"/>
  <c r="G20" i="19"/>
  <c r="G22" i="19"/>
  <c r="G24" i="19"/>
  <c r="G26" i="19"/>
  <c r="G28" i="19"/>
  <c r="G30" i="19"/>
  <c r="G32" i="19"/>
  <c r="G34" i="19"/>
  <c r="G36" i="19"/>
  <c r="G38" i="19"/>
  <c r="G40" i="19"/>
  <c r="G42" i="19"/>
  <c r="G44" i="19"/>
  <c r="G46" i="19"/>
  <c r="T41" i="17"/>
  <c r="S41" i="17" s="1"/>
  <c r="J49" i="17"/>
  <c r="U41" i="17"/>
  <c r="R48" i="17"/>
  <c r="R46" i="17"/>
  <c r="R44" i="17"/>
  <c r="R42" i="17"/>
  <c r="R40" i="17"/>
  <c r="R38" i="17"/>
  <c r="R36" i="17"/>
  <c r="R34" i="17"/>
  <c r="R32" i="17"/>
  <c r="R30" i="17"/>
  <c r="R28" i="17"/>
  <c r="R26" i="17"/>
  <c r="R24" i="17"/>
  <c r="R22" i="17"/>
  <c r="R20" i="17"/>
  <c r="R18" i="17"/>
  <c r="R33" i="17"/>
  <c r="R35" i="17"/>
  <c r="R37" i="17"/>
  <c r="R39" i="17"/>
  <c r="R41" i="17"/>
  <c r="R43" i="17"/>
  <c r="V43" i="17" s="1"/>
  <c r="R45" i="17"/>
  <c r="R47" i="17"/>
  <c r="G47" i="17"/>
  <c r="K47" i="17" s="1"/>
  <c r="L47" i="17" s="1"/>
  <c r="T47" i="17" s="1"/>
  <c r="S47" i="17" s="1"/>
  <c r="G45" i="17"/>
  <c r="G43" i="17"/>
  <c r="K43" i="17" s="1"/>
  <c r="L43" i="17" s="1"/>
  <c r="G41" i="17"/>
  <c r="K41" i="17" s="1"/>
  <c r="G39" i="17"/>
  <c r="K39" i="17" s="1"/>
  <c r="U39" i="17" s="1"/>
  <c r="G37" i="17"/>
  <c r="G35" i="17"/>
  <c r="K35" i="17" s="1"/>
  <c r="L35" i="17" s="1"/>
  <c r="G33" i="17"/>
  <c r="K33" i="17" s="1"/>
  <c r="L33" i="17" s="1"/>
  <c r="T33" i="17" s="1"/>
  <c r="S33" i="17" s="1"/>
  <c r="G31" i="17"/>
  <c r="G29" i="17"/>
  <c r="K29" i="17" s="1"/>
  <c r="U29" i="17" s="1"/>
  <c r="G27" i="17"/>
  <c r="G25" i="17"/>
  <c r="K25" i="17" s="1"/>
  <c r="L25" i="17" s="1"/>
  <c r="T25" i="17" s="1"/>
  <c r="S25" i="17" s="1"/>
  <c r="G23" i="17"/>
  <c r="G21" i="17"/>
  <c r="K21" i="17" s="1"/>
  <c r="U21" i="17" s="1"/>
  <c r="G19" i="17"/>
  <c r="G42" i="17"/>
  <c r="K42" i="17" s="1"/>
  <c r="L42" i="17" s="1"/>
  <c r="G40" i="17"/>
  <c r="K40" i="17" s="1"/>
  <c r="L40" i="17" s="1"/>
  <c r="G38" i="17"/>
  <c r="K38" i="17" s="1"/>
  <c r="L38" i="17" s="1"/>
  <c r="G36" i="17"/>
  <c r="K36" i="17" s="1"/>
  <c r="U36" i="17" s="1"/>
  <c r="G48" i="17"/>
  <c r="K48" i="17" s="1"/>
  <c r="L48" i="17" s="1"/>
  <c r="G46" i="17"/>
  <c r="K46" i="17" s="1"/>
  <c r="L46" i="17" s="1"/>
  <c r="G44" i="17"/>
  <c r="K44" i="17" s="1"/>
  <c r="L44" i="17" s="1"/>
  <c r="T44" i="17" s="1"/>
  <c r="S44" i="17" s="1"/>
  <c r="G34" i="17"/>
  <c r="K34" i="17" s="1"/>
  <c r="L34" i="17" s="1"/>
  <c r="G18" i="17"/>
  <c r="K18" i="17" s="1"/>
  <c r="L18" i="17" s="1"/>
  <c r="G20" i="17"/>
  <c r="K20" i="17" s="1"/>
  <c r="G22" i="17"/>
  <c r="K22" i="17" s="1"/>
  <c r="L22" i="17" s="1"/>
  <c r="G24" i="17"/>
  <c r="K24" i="17" s="1"/>
  <c r="L24" i="17" s="1"/>
  <c r="G26" i="17"/>
  <c r="K26" i="17" s="1"/>
  <c r="L26" i="17" s="1"/>
  <c r="T26" i="17" s="1"/>
  <c r="S26" i="17" s="1"/>
  <c r="G28" i="17"/>
  <c r="K28" i="17" s="1"/>
  <c r="V28" i="17" s="1"/>
  <c r="G30" i="17"/>
  <c r="K30" i="17" s="1"/>
  <c r="L30" i="17" s="1"/>
  <c r="G32" i="17"/>
  <c r="K32" i="17" s="1"/>
  <c r="L32" i="17" s="1"/>
  <c r="H36" i="17"/>
  <c r="H40" i="17"/>
  <c r="H42" i="17"/>
  <c r="U48" i="15"/>
  <c r="V48" i="15"/>
  <c r="L48" i="15"/>
  <c r="T48" i="15" s="1"/>
  <c r="S48" i="15" s="1"/>
  <c r="H47" i="13"/>
  <c r="V48" i="13"/>
  <c r="V46" i="13"/>
  <c r="L48" i="13"/>
  <c r="T48" i="13" s="1"/>
  <c r="S48" i="13" s="1"/>
  <c r="L25" i="12"/>
  <c r="L23" i="12"/>
  <c r="L21" i="12"/>
  <c r="V48" i="12"/>
  <c r="H46" i="12"/>
  <c r="L48" i="12"/>
  <c r="T48" i="12" s="1"/>
  <c r="S48" i="12" s="1"/>
  <c r="L27" i="11"/>
  <c r="L25" i="11"/>
  <c r="L23" i="11"/>
  <c r="L21" i="11"/>
  <c r="L19" i="11"/>
  <c r="L34" i="9"/>
  <c r="T34" i="9" s="1"/>
  <c r="S34" i="9" s="1"/>
  <c r="V34" i="9"/>
  <c r="V32" i="9"/>
  <c r="L32" i="9"/>
  <c r="T32" i="9" s="1"/>
  <c r="S32" i="9" s="1"/>
  <c r="U32" i="9"/>
  <c r="V30" i="9"/>
  <c r="L30" i="9"/>
  <c r="T30" i="9" s="1"/>
  <c r="S30" i="9" s="1"/>
  <c r="V28" i="9"/>
  <c r="L28" i="9"/>
  <c r="T28" i="9" s="1"/>
  <c r="S28" i="9" s="1"/>
  <c r="L26" i="9"/>
  <c r="U26" i="9"/>
  <c r="V26" i="9"/>
  <c r="V24" i="9"/>
  <c r="L24" i="9"/>
  <c r="T24" i="9" s="1"/>
  <c r="S24" i="9" s="1"/>
  <c r="L22" i="9"/>
  <c r="T22" i="9" s="1"/>
  <c r="S22" i="9" s="1"/>
  <c r="V22" i="9"/>
  <c r="V20" i="9"/>
  <c r="L20" i="9"/>
  <c r="U36" i="8"/>
  <c r="L35" i="8"/>
  <c r="V34" i="8"/>
  <c r="L33" i="8"/>
  <c r="V32" i="8"/>
  <c r="U32" i="8"/>
  <c r="L31" i="8"/>
  <c r="V30" i="8"/>
  <c r="L29" i="8"/>
  <c r="J49" i="8"/>
  <c r="V28" i="8"/>
  <c r="U28" i="8"/>
  <c r="L27" i="8"/>
  <c r="V26" i="8"/>
  <c r="L25" i="8"/>
  <c r="V24" i="8"/>
  <c r="L23" i="8"/>
  <c r="V22" i="8"/>
  <c r="L21" i="8"/>
  <c r="V20" i="8"/>
  <c r="L19" i="15"/>
  <c r="H19" i="15"/>
  <c r="H48" i="15"/>
  <c r="H40" i="15"/>
  <c r="H44" i="15"/>
  <c r="G21" i="15"/>
  <c r="K21" i="15" s="1"/>
  <c r="L21" i="15" s="1"/>
  <c r="G23" i="15"/>
  <c r="K23" i="15" s="1"/>
  <c r="G25" i="15"/>
  <c r="K25" i="15" s="1"/>
  <c r="L25" i="15" s="1"/>
  <c r="G27" i="15"/>
  <c r="K27" i="15" s="1"/>
  <c r="L27" i="15" s="1"/>
  <c r="G29" i="15"/>
  <c r="K29" i="15" s="1"/>
  <c r="L29" i="15" s="1"/>
  <c r="G31" i="15"/>
  <c r="K31" i="15" s="1"/>
  <c r="G33" i="15"/>
  <c r="K33" i="15" s="1"/>
  <c r="L33" i="15" s="1"/>
  <c r="G35" i="15"/>
  <c r="K35" i="15" s="1"/>
  <c r="U35" i="15"/>
  <c r="G37" i="15"/>
  <c r="K37" i="15" s="1"/>
  <c r="L37" i="15" s="1"/>
  <c r="G39" i="15"/>
  <c r="K39" i="15" s="1"/>
  <c r="L39" i="15" s="1"/>
  <c r="G41" i="15"/>
  <c r="K41" i="15" s="1"/>
  <c r="L41" i="15" s="1"/>
  <c r="G43" i="15"/>
  <c r="K43" i="15" s="1"/>
  <c r="L43" i="15" s="1"/>
  <c r="G45" i="15"/>
  <c r="K45" i="15" s="1"/>
  <c r="L45" i="15" s="1"/>
  <c r="G47" i="15"/>
  <c r="K47" i="15" s="1"/>
  <c r="U47" i="15" s="1"/>
  <c r="J49" i="15"/>
  <c r="R19" i="15"/>
  <c r="V19" i="15" s="1"/>
  <c r="R21" i="15"/>
  <c r="R23" i="15"/>
  <c r="H25" i="15"/>
  <c r="R25" i="15"/>
  <c r="R27" i="15"/>
  <c r="R29" i="15"/>
  <c r="R31" i="15"/>
  <c r="R33" i="15"/>
  <c r="R35" i="15"/>
  <c r="H37" i="15"/>
  <c r="R37" i="15"/>
  <c r="V37" i="15" s="1"/>
  <c r="H39" i="15"/>
  <c r="R39" i="15"/>
  <c r="H41" i="15"/>
  <c r="R41" i="15"/>
  <c r="R43" i="15"/>
  <c r="V43" i="15" s="1"/>
  <c r="H45" i="15"/>
  <c r="R45" i="15"/>
  <c r="G18" i="15"/>
  <c r="K18" i="15" s="1"/>
  <c r="U18" i="15" s="1"/>
  <c r="G20" i="15"/>
  <c r="K20" i="15" s="1"/>
  <c r="U20" i="15" s="1"/>
  <c r="G22" i="15"/>
  <c r="K22" i="15" s="1"/>
  <c r="U22" i="15" s="1"/>
  <c r="G24" i="15"/>
  <c r="K24" i="15" s="1"/>
  <c r="V24" i="15" s="1"/>
  <c r="G26" i="15"/>
  <c r="K26" i="15" s="1"/>
  <c r="U26" i="15" s="1"/>
  <c r="G28" i="15"/>
  <c r="K28" i="15" s="1"/>
  <c r="U28" i="15" s="1"/>
  <c r="G30" i="15"/>
  <c r="K30" i="15" s="1"/>
  <c r="U30" i="15" s="1"/>
  <c r="G32" i="15"/>
  <c r="K32" i="15" s="1"/>
  <c r="U32" i="15" s="1"/>
  <c r="G34" i="15"/>
  <c r="K34" i="15" s="1"/>
  <c r="U34" i="15" s="1"/>
  <c r="G36" i="15"/>
  <c r="K36" i="15" s="1"/>
  <c r="U36" i="15" s="1"/>
  <c r="G38" i="15"/>
  <c r="K38" i="15" s="1"/>
  <c r="U38" i="15" s="1"/>
  <c r="G40" i="15"/>
  <c r="K40" i="15" s="1"/>
  <c r="U40" i="15" s="1"/>
  <c r="G42" i="15"/>
  <c r="K42" i="15" s="1"/>
  <c r="U42" i="15" s="1"/>
  <c r="G44" i="15"/>
  <c r="K44" i="15" s="1"/>
  <c r="U44" i="15" s="1"/>
  <c r="G46" i="15"/>
  <c r="K46" i="15" s="1"/>
  <c r="U46" i="15" s="1"/>
  <c r="L25" i="13"/>
  <c r="L19" i="13"/>
  <c r="L27" i="13"/>
  <c r="V47" i="13"/>
  <c r="L21" i="13"/>
  <c r="H48" i="13"/>
  <c r="H46" i="13"/>
  <c r="H38" i="13"/>
  <c r="H30" i="13"/>
  <c r="L23" i="13"/>
  <c r="L29" i="13"/>
  <c r="L31" i="13"/>
  <c r="L33" i="13"/>
  <c r="L35" i="13"/>
  <c r="L37" i="13"/>
  <c r="L39" i="13"/>
  <c r="L41" i="13"/>
  <c r="L43" i="13"/>
  <c r="L45" i="13"/>
  <c r="L47" i="13"/>
  <c r="T47" i="13" s="1"/>
  <c r="S47" i="13" s="1"/>
  <c r="U47" i="13"/>
  <c r="J49" i="13"/>
  <c r="H19" i="13"/>
  <c r="R19" i="13"/>
  <c r="V19" i="13" s="1"/>
  <c r="H21" i="13"/>
  <c r="R21" i="13"/>
  <c r="V21" i="13" s="1"/>
  <c r="H23" i="13"/>
  <c r="R23" i="13"/>
  <c r="V23" i="13" s="1"/>
  <c r="H25" i="13"/>
  <c r="R25" i="13"/>
  <c r="V25" i="13" s="1"/>
  <c r="H27" i="13"/>
  <c r="R27" i="13"/>
  <c r="V27" i="13" s="1"/>
  <c r="H29" i="13"/>
  <c r="R29" i="13"/>
  <c r="V29" i="13" s="1"/>
  <c r="H31" i="13"/>
  <c r="R31" i="13"/>
  <c r="V31" i="13" s="1"/>
  <c r="H33" i="13"/>
  <c r="R33" i="13"/>
  <c r="V33" i="13" s="1"/>
  <c r="H35" i="13"/>
  <c r="R35" i="13"/>
  <c r="V35" i="13" s="1"/>
  <c r="H37" i="13"/>
  <c r="R37" i="13"/>
  <c r="V37" i="13" s="1"/>
  <c r="H39" i="13"/>
  <c r="R39" i="13"/>
  <c r="V39" i="13" s="1"/>
  <c r="H41" i="13"/>
  <c r="R41" i="13"/>
  <c r="U41" i="13" s="1"/>
  <c r="H43" i="13"/>
  <c r="R43" i="13"/>
  <c r="V43" i="13" s="1"/>
  <c r="H45" i="13"/>
  <c r="R45" i="13"/>
  <c r="U45" i="13" s="1"/>
  <c r="G18" i="13"/>
  <c r="K18" i="13" s="1"/>
  <c r="U18" i="13" s="1"/>
  <c r="G20" i="13"/>
  <c r="K20" i="13" s="1"/>
  <c r="L20" i="13" s="1"/>
  <c r="T20" i="13" s="1"/>
  <c r="S20" i="13" s="1"/>
  <c r="G22" i="13"/>
  <c r="K22" i="13" s="1"/>
  <c r="L22" i="13" s="1"/>
  <c r="T22" i="13" s="1"/>
  <c r="S22" i="13" s="1"/>
  <c r="G24" i="13"/>
  <c r="K24" i="13" s="1"/>
  <c r="L24" i="13" s="1"/>
  <c r="T24" i="13" s="1"/>
  <c r="S24" i="13" s="1"/>
  <c r="G26" i="13"/>
  <c r="K26" i="13" s="1"/>
  <c r="U26" i="13" s="1"/>
  <c r="G28" i="13"/>
  <c r="K28" i="13" s="1"/>
  <c r="L28" i="13" s="1"/>
  <c r="T28" i="13" s="1"/>
  <c r="S28" i="13" s="1"/>
  <c r="G30" i="13"/>
  <c r="K30" i="13" s="1"/>
  <c r="U30" i="13" s="1"/>
  <c r="G32" i="13"/>
  <c r="K32" i="13" s="1"/>
  <c r="U32" i="13" s="1"/>
  <c r="G34" i="13"/>
  <c r="K34" i="13" s="1"/>
  <c r="U34" i="13" s="1"/>
  <c r="G36" i="13"/>
  <c r="K36" i="13" s="1"/>
  <c r="U36" i="13" s="1"/>
  <c r="G38" i="13"/>
  <c r="K38" i="13" s="1"/>
  <c r="U38" i="13" s="1"/>
  <c r="G40" i="13"/>
  <c r="K40" i="13" s="1"/>
  <c r="U40" i="13" s="1"/>
  <c r="G42" i="13"/>
  <c r="K42" i="13" s="1"/>
  <c r="U42" i="13" s="1"/>
  <c r="G44" i="13"/>
  <c r="K44" i="13" s="1"/>
  <c r="U44" i="13" s="1"/>
  <c r="G46" i="13"/>
  <c r="K46" i="13" s="1"/>
  <c r="U46" i="13" s="1"/>
  <c r="J49" i="12"/>
  <c r="L27" i="12"/>
  <c r="T27" i="12" s="1"/>
  <c r="S27" i="12" s="1"/>
  <c r="L31" i="12"/>
  <c r="L39" i="12"/>
  <c r="U47" i="12"/>
  <c r="L47" i="12"/>
  <c r="T47" i="12" s="1"/>
  <c r="S47" i="12" s="1"/>
  <c r="V47" i="12"/>
  <c r="L45" i="12"/>
  <c r="L19" i="12"/>
  <c r="L33" i="12"/>
  <c r="L41" i="12"/>
  <c r="L29" i="12"/>
  <c r="L37" i="12"/>
  <c r="H47" i="12"/>
  <c r="H45" i="12"/>
  <c r="H43" i="12"/>
  <c r="H41" i="12"/>
  <c r="H39" i="12"/>
  <c r="H37" i="12"/>
  <c r="H35" i="12"/>
  <c r="H33" i="12"/>
  <c r="H31" i="12"/>
  <c r="H29" i="12"/>
  <c r="H27" i="12"/>
  <c r="H25" i="12"/>
  <c r="H23" i="12"/>
  <c r="H21" i="12"/>
  <c r="H19" i="12"/>
  <c r="L35" i="12"/>
  <c r="H40" i="12"/>
  <c r="L43" i="12"/>
  <c r="H48" i="12"/>
  <c r="R19" i="12"/>
  <c r="V19" i="12" s="1"/>
  <c r="R21" i="12"/>
  <c r="T21" i="12" s="1"/>
  <c r="S21" i="12" s="1"/>
  <c r="R23" i="12"/>
  <c r="R25" i="12"/>
  <c r="V25" i="12" s="1"/>
  <c r="R27" i="12"/>
  <c r="V27" i="12" s="1"/>
  <c r="R29" i="12"/>
  <c r="V29" i="12" s="1"/>
  <c r="R31" i="12"/>
  <c r="V31" i="12" s="1"/>
  <c r="R33" i="12"/>
  <c r="U33" i="12" s="1"/>
  <c r="R35" i="12"/>
  <c r="U35" i="12" s="1"/>
  <c r="R37" i="12"/>
  <c r="V37" i="12" s="1"/>
  <c r="R39" i="12"/>
  <c r="U39" i="12" s="1"/>
  <c r="R41" i="12"/>
  <c r="U41" i="12" s="1"/>
  <c r="R43" i="12"/>
  <c r="V43" i="12" s="1"/>
  <c r="R45" i="12"/>
  <c r="U45" i="12" s="1"/>
  <c r="G18" i="12"/>
  <c r="K18" i="12" s="1"/>
  <c r="V18" i="12" s="1"/>
  <c r="G20" i="12"/>
  <c r="K20" i="12" s="1"/>
  <c r="L20" i="12" s="1"/>
  <c r="T20" i="12" s="1"/>
  <c r="S20" i="12" s="1"/>
  <c r="G22" i="12"/>
  <c r="K22" i="12" s="1"/>
  <c r="U22" i="12" s="1"/>
  <c r="G24" i="12"/>
  <c r="K24" i="12" s="1"/>
  <c r="L24" i="12" s="1"/>
  <c r="T24" i="12" s="1"/>
  <c r="S24" i="12" s="1"/>
  <c r="G26" i="12"/>
  <c r="K26" i="12" s="1"/>
  <c r="V26" i="12" s="1"/>
  <c r="G28" i="12"/>
  <c r="K28" i="12" s="1"/>
  <c r="L28" i="12" s="1"/>
  <c r="T28" i="12" s="1"/>
  <c r="S28" i="12" s="1"/>
  <c r="G30" i="12"/>
  <c r="K30" i="12" s="1"/>
  <c r="U30" i="12" s="1"/>
  <c r="G32" i="12"/>
  <c r="K32" i="12" s="1"/>
  <c r="U32" i="12" s="1"/>
  <c r="G34" i="12"/>
  <c r="K34" i="12" s="1"/>
  <c r="G36" i="12"/>
  <c r="K36" i="12" s="1"/>
  <c r="U36" i="12" s="1"/>
  <c r="G38" i="12"/>
  <c r="K38" i="12" s="1"/>
  <c r="U38" i="12" s="1"/>
  <c r="G40" i="12"/>
  <c r="K40" i="12" s="1"/>
  <c r="U40" i="12" s="1"/>
  <c r="G42" i="12"/>
  <c r="K42" i="12" s="1"/>
  <c r="G44" i="12"/>
  <c r="K44" i="12" s="1"/>
  <c r="L44" i="12" s="1"/>
  <c r="T44" i="12" s="1"/>
  <c r="S44" i="12" s="1"/>
  <c r="G46" i="12"/>
  <c r="K46" i="12" s="1"/>
  <c r="U46" i="12" s="1"/>
  <c r="T40" i="11"/>
  <c r="S40" i="11" s="1"/>
  <c r="U29" i="11"/>
  <c r="U31" i="11"/>
  <c r="U37" i="11"/>
  <c r="U39" i="11"/>
  <c r="T29" i="11"/>
  <c r="S29" i="11" s="1"/>
  <c r="T37" i="11"/>
  <c r="S37" i="11" s="1"/>
  <c r="T41" i="11"/>
  <c r="S41" i="11" s="1"/>
  <c r="R22" i="11"/>
  <c r="U22" i="11" s="1"/>
  <c r="R24" i="11"/>
  <c r="V24" i="11" s="1"/>
  <c r="R32" i="11"/>
  <c r="T32" i="11" s="1"/>
  <c r="S32" i="11" s="1"/>
  <c r="R34" i="11"/>
  <c r="T34" i="11" s="1"/>
  <c r="S34" i="11" s="1"/>
  <c r="R40" i="11"/>
  <c r="V40" i="11" s="1"/>
  <c r="V47" i="11"/>
  <c r="R19" i="11"/>
  <c r="V19" i="11" s="1"/>
  <c r="R21" i="11"/>
  <c r="V21" i="11" s="1"/>
  <c r="R23" i="11"/>
  <c r="V23" i="11" s="1"/>
  <c r="R25" i="11"/>
  <c r="V25" i="11" s="1"/>
  <c r="R27" i="11"/>
  <c r="V27" i="11" s="1"/>
  <c r="R29" i="11"/>
  <c r="V29" i="11" s="1"/>
  <c r="R39" i="11"/>
  <c r="V39" i="11" s="1"/>
  <c r="L47" i="11"/>
  <c r="J49" i="11"/>
  <c r="L18" i="11"/>
  <c r="L20" i="11"/>
  <c r="T20" i="11" s="1"/>
  <c r="S20" i="11" s="1"/>
  <c r="L22" i="11"/>
  <c r="L24" i="11"/>
  <c r="L26" i="11"/>
  <c r="L28" i="11"/>
  <c r="L30" i="11"/>
  <c r="U44" i="11"/>
  <c r="R47" i="11"/>
  <c r="R45" i="11"/>
  <c r="V45" i="11" s="1"/>
  <c r="R43" i="11"/>
  <c r="T43" i="11" s="1"/>
  <c r="S43" i="11" s="1"/>
  <c r="R18" i="11"/>
  <c r="V18" i="11" s="1"/>
  <c r="R20" i="11"/>
  <c r="U20" i="11" s="1"/>
  <c r="R26" i="11"/>
  <c r="U26" i="11" s="1"/>
  <c r="R28" i="11"/>
  <c r="V28" i="11" s="1"/>
  <c r="R30" i="11"/>
  <c r="U30" i="11" s="1"/>
  <c r="R36" i="11"/>
  <c r="T36" i="11" s="1"/>
  <c r="S36" i="11" s="1"/>
  <c r="R38" i="11"/>
  <c r="U38" i="11" s="1"/>
  <c r="V43" i="11"/>
  <c r="R31" i="11"/>
  <c r="V31" i="11" s="1"/>
  <c r="R33" i="11"/>
  <c r="V33" i="11" s="1"/>
  <c r="R35" i="11"/>
  <c r="V35" i="11" s="1"/>
  <c r="R37" i="11"/>
  <c r="V37" i="11" s="1"/>
  <c r="T44" i="11"/>
  <c r="S44" i="11" s="1"/>
  <c r="L45" i="11"/>
  <c r="T45" i="11" s="1"/>
  <c r="S45" i="11" s="1"/>
  <c r="H47" i="11"/>
  <c r="H45" i="11"/>
  <c r="H43" i="11"/>
  <c r="H49" i="11" s="1"/>
  <c r="P2" i="11" s="1"/>
  <c r="U18" i="11"/>
  <c r="K49" i="11"/>
  <c r="V20" i="11"/>
  <c r="U24" i="11"/>
  <c r="V26" i="11"/>
  <c r="U32" i="11"/>
  <c r="V32" i="11"/>
  <c r="U34" i="11"/>
  <c r="V34" i="11"/>
  <c r="U36" i="11"/>
  <c r="V36" i="11"/>
  <c r="V38" i="11"/>
  <c r="U40" i="11"/>
  <c r="V41" i="11"/>
  <c r="U41" i="11"/>
  <c r="R42" i="11"/>
  <c r="V42" i="11" s="1"/>
  <c r="R44" i="11"/>
  <c r="V44" i="11" s="1"/>
  <c r="U45" i="11"/>
  <c r="R46" i="11"/>
  <c r="V46" i="11" s="1"/>
  <c r="U47" i="11"/>
  <c r="R48" i="11"/>
  <c r="V48" i="11" s="1"/>
  <c r="G18" i="11"/>
  <c r="G20" i="11"/>
  <c r="G22" i="11"/>
  <c r="G24" i="11"/>
  <c r="G26" i="11"/>
  <c r="G28" i="11"/>
  <c r="G30" i="11"/>
  <c r="G32" i="11"/>
  <c r="G34" i="11"/>
  <c r="G36" i="11"/>
  <c r="G38" i="11"/>
  <c r="G40" i="11"/>
  <c r="G42" i="11"/>
  <c r="G44" i="11"/>
  <c r="G46" i="11"/>
  <c r="L31" i="9"/>
  <c r="H36" i="9"/>
  <c r="L39" i="9"/>
  <c r="H18" i="9"/>
  <c r="H20" i="9"/>
  <c r="H22" i="9"/>
  <c r="H24" i="9"/>
  <c r="H28" i="9"/>
  <c r="T44" i="9"/>
  <c r="S44" i="9" s="1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34" i="9"/>
  <c r="U37" i="9"/>
  <c r="L37" i="9"/>
  <c r="H42" i="9"/>
  <c r="V45" i="9"/>
  <c r="L45" i="9"/>
  <c r="H44" i="9"/>
  <c r="V47" i="9"/>
  <c r="U47" i="9"/>
  <c r="L47" i="9"/>
  <c r="T47" i="9" s="1"/>
  <c r="S47" i="9" s="1"/>
  <c r="V19" i="9"/>
  <c r="H26" i="9"/>
  <c r="H30" i="9"/>
  <c r="L33" i="9"/>
  <c r="T36" i="9"/>
  <c r="S36" i="9" s="1"/>
  <c r="H38" i="9"/>
  <c r="L41" i="9"/>
  <c r="T41" i="9" s="1"/>
  <c r="S41" i="9" s="1"/>
  <c r="V41" i="9"/>
  <c r="L18" i="9"/>
  <c r="J49" i="9"/>
  <c r="V18" i="9"/>
  <c r="L19" i="9"/>
  <c r="T20" i="9"/>
  <c r="S20" i="9" s="1"/>
  <c r="L21" i="9"/>
  <c r="L23" i="9"/>
  <c r="L25" i="9"/>
  <c r="T26" i="9"/>
  <c r="S26" i="9" s="1"/>
  <c r="L27" i="9"/>
  <c r="L29" i="9"/>
  <c r="H32" i="9"/>
  <c r="L35" i="9"/>
  <c r="T35" i="9" s="1"/>
  <c r="S35" i="9" s="1"/>
  <c r="U36" i="9"/>
  <c r="T38" i="9"/>
  <c r="S38" i="9" s="1"/>
  <c r="H40" i="9"/>
  <c r="U43" i="9"/>
  <c r="L43" i="9"/>
  <c r="U44" i="9"/>
  <c r="T46" i="9"/>
  <c r="S46" i="9" s="1"/>
  <c r="H48" i="9"/>
  <c r="R19" i="9"/>
  <c r="U19" i="9" s="1"/>
  <c r="R21" i="9"/>
  <c r="U21" i="9" s="1"/>
  <c r="R23" i="9"/>
  <c r="U23" i="9" s="1"/>
  <c r="R25" i="9"/>
  <c r="U25" i="9" s="1"/>
  <c r="R27" i="9"/>
  <c r="U27" i="9" s="1"/>
  <c r="R29" i="9"/>
  <c r="U29" i="9" s="1"/>
  <c r="R31" i="9"/>
  <c r="V31" i="9" s="1"/>
  <c r="R33" i="9"/>
  <c r="U33" i="9" s="1"/>
  <c r="R35" i="9"/>
  <c r="U35" i="9" s="1"/>
  <c r="R37" i="9"/>
  <c r="V37" i="9" s="1"/>
  <c r="R39" i="9"/>
  <c r="U39" i="9" s="1"/>
  <c r="R41" i="9"/>
  <c r="U41" i="9" s="1"/>
  <c r="R43" i="9"/>
  <c r="V43" i="9" s="1"/>
  <c r="R45" i="9"/>
  <c r="U45" i="9" s="1"/>
  <c r="K49" i="9"/>
  <c r="G18" i="9"/>
  <c r="G20" i="9"/>
  <c r="G22" i="9"/>
  <c r="G24" i="9"/>
  <c r="G26" i="9"/>
  <c r="G28" i="9"/>
  <c r="G30" i="9"/>
  <c r="G32" i="9"/>
  <c r="G34" i="9"/>
  <c r="G36" i="9"/>
  <c r="G38" i="9"/>
  <c r="G40" i="9"/>
  <c r="G42" i="9"/>
  <c r="G44" i="9"/>
  <c r="G46" i="9"/>
  <c r="T39" i="8"/>
  <c r="S39" i="8" s="1"/>
  <c r="V45" i="8"/>
  <c r="V31" i="8"/>
  <c r="V39" i="8"/>
  <c r="V47" i="8"/>
  <c r="V18" i="8"/>
  <c r="V41" i="8"/>
  <c r="H48" i="8"/>
  <c r="H44" i="8"/>
  <c r="H34" i="8"/>
  <c r="H26" i="8"/>
  <c r="H29" i="8"/>
  <c r="H27" i="8"/>
  <c r="H25" i="8"/>
  <c r="H23" i="8"/>
  <c r="H21" i="8"/>
  <c r="H19" i="8"/>
  <c r="H46" i="8"/>
  <c r="H30" i="8"/>
  <c r="H42" i="8"/>
  <c r="H40" i="8"/>
  <c r="H38" i="8"/>
  <c r="H36" i="8"/>
  <c r="H32" i="8"/>
  <c r="H28" i="8"/>
  <c r="H24" i="8"/>
  <c r="L19" i="8"/>
  <c r="V43" i="8"/>
  <c r="T45" i="8"/>
  <c r="S45" i="8" s="1"/>
  <c r="G19" i="8"/>
  <c r="G21" i="8"/>
  <c r="G23" i="8"/>
  <c r="G25" i="8"/>
  <c r="G27" i="8"/>
  <c r="G29" i="8"/>
  <c r="G31" i="8"/>
  <c r="G33" i="8"/>
  <c r="G35" i="8"/>
  <c r="G37" i="8"/>
  <c r="G39" i="8"/>
  <c r="G41" i="8"/>
  <c r="G43" i="8"/>
  <c r="G45" i="8"/>
  <c r="G47" i="8"/>
  <c r="U47" i="8"/>
  <c r="R19" i="8"/>
  <c r="V19" i="8" s="1"/>
  <c r="R21" i="8"/>
  <c r="V21" i="8" s="1"/>
  <c r="R23" i="8"/>
  <c r="U23" i="8" s="1"/>
  <c r="R25" i="8"/>
  <c r="R27" i="8"/>
  <c r="R29" i="8"/>
  <c r="U29" i="8" s="1"/>
  <c r="H31" i="8"/>
  <c r="R31" i="8"/>
  <c r="H33" i="8"/>
  <c r="R33" i="8"/>
  <c r="H35" i="8"/>
  <c r="R35" i="8"/>
  <c r="V35" i="8" s="1"/>
  <c r="H37" i="8"/>
  <c r="R37" i="8"/>
  <c r="V37" i="8" s="1"/>
  <c r="H39" i="8"/>
  <c r="R39" i="8"/>
  <c r="U39" i="8" s="1"/>
  <c r="H41" i="8"/>
  <c r="R41" i="8"/>
  <c r="T41" i="8" s="1"/>
  <c r="S41" i="8" s="1"/>
  <c r="H43" i="8"/>
  <c r="R43" i="8"/>
  <c r="T43" i="8" s="1"/>
  <c r="S43" i="8" s="1"/>
  <c r="H45" i="8"/>
  <c r="R45" i="8"/>
  <c r="U45" i="8" s="1"/>
  <c r="K49" i="8"/>
  <c r="G18" i="8"/>
  <c r="L18" i="8"/>
  <c r="G20" i="8"/>
  <c r="L20" i="8"/>
  <c r="T20" i="8" s="1"/>
  <c r="S20" i="8" s="1"/>
  <c r="G22" i="8"/>
  <c r="L22" i="8"/>
  <c r="T22" i="8" s="1"/>
  <c r="S22" i="8" s="1"/>
  <c r="G24" i="8"/>
  <c r="L24" i="8"/>
  <c r="T24" i="8" s="1"/>
  <c r="S24" i="8" s="1"/>
  <c r="G26" i="8"/>
  <c r="L26" i="8"/>
  <c r="T26" i="8" s="1"/>
  <c r="S26" i="8" s="1"/>
  <c r="G28" i="8"/>
  <c r="L28" i="8"/>
  <c r="T28" i="8" s="1"/>
  <c r="S28" i="8" s="1"/>
  <c r="G30" i="8"/>
  <c r="L30" i="8"/>
  <c r="T30" i="8" s="1"/>
  <c r="S30" i="8" s="1"/>
  <c r="G32" i="8"/>
  <c r="L32" i="8"/>
  <c r="T32" i="8" s="1"/>
  <c r="S32" i="8" s="1"/>
  <c r="G34" i="8"/>
  <c r="L34" i="8"/>
  <c r="T34" i="8" s="1"/>
  <c r="S34" i="8" s="1"/>
  <c r="G36" i="8"/>
  <c r="L36" i="8"/>
  <c r="T36" i="8" s="1"/>
  <c r="S36" i="8" s="1"/>
  <c r="G38" i="8"/>
  <c r="L38" i="8"/>
  <c r="T38" i="8" s="1"/>
  <c r="S38" i="8" s="1"/>
  <c r="G40" i="8"/>
  <c r="L40" i="8"/>
  <c r="T40" i="8" s="1"/>
  <c r="S40" i="8" s="1"/>
  <c r="G42" i="8"/>
  <c r="L42" i="8"/>
  <c r="T42" i="8" s="1"/>
  <c r="S42" i="8" s="1"/>
  <c r="G44" i="8"/>
  <c r="L44" i="8"/>
  <c r="T44" i="8" s="1"/>
  <c r="S44" i="8" s="1"/>
  <c r="G46" i="8"/>
  <c r="L46" i="8"/>
  <c r="T46" i="8" s="1"/>
  <c r="S46" i="8" s="1"/>
  <c r="R17" i="1"/>
  <c r="D15" i="1"/>
  <c r="Q49" i="1"/>
  <c r="E49" i="1"/>
  <c r="S9" i="70" l="1"/>
  <c r="S9" i="63"/>
  <c r="T9" i="63" s="1"/>
  <c r="V9" i="63" s="1"/>
  <c r="T33" i="27"/>
  <c r="S33" i="27" s="1"/>
  <c r="T33" i="8"/>
  <c r="S33" i="8" s="1"/>
  <c r="S9" i="67"/>
  <c r="U9" i="67" s="1"/>
  <c r="T9" i="64"/>
  <c r="V9" i="64" s="1"/>
  <c r="T25" i="27"/>
  <c r="S25" i="27" s="1"/>
  <c r="T23" i="27"/>
  <c r="S23" i="27" s="1"/>
  <c r="T19" i="27"/>
  <c r="S19" i="27" s="1"/>
  <c r="T21" i="26"/>
  <c r="S21" i="26" s="1"/>
  <c r="T28" i="22"/>
  <c r="S28" i="22" s="1"/>
  <c r="P5" i="41"/>
  <c r="T27" i="8"/>
  <c r="S27" i="8" s="1"/>
  <c r="T9" i="69"/>
  <c r="V9" i="69" s="1"/>
  <c r="U9" i="69"/>
  <c r="S9" i="68"/>
  <c r="T9" i="67"/>
  <c r="V9" i="67" s="1"/>
  <c r="S9" i="66"/>
  <c r="U9" i="65"/>
  <c r="T9" i="65"/>
  <c r="V9" i="65" s="1"/>
  <c r="U9" i="63"/>
  <c r="U9" i="61"/>
  <c r="T9" i="61"/>
  <c r="V9" i="61" s="1"/>
  <c r="T9" i="60"/>
  <c r="V9" i="60" s="1"/>
  <c r="U9" i="59"/>
  <c r="T9" i="59"/>
  <c r="V9" i="59" s="1"/>
  <c r="S9" i="58"/>
  <c r="U9" i="57"/>
  <c r="T9" i="57"/>
  <c r="V9" i="57" s="1"/>
  <c r="S9" i="56"/>
  <c r="U9" i="55"/>
  <c r="T9" i="55"/>
  <c r="V9" i="55" s="1"/>
  <c r="U9" i="54"/>
  <c r="T9" i="54"/>
  <c r="V9" i="54" s="1"/>
  <c r="S9" i="53"/>
  <c r="V14" i="52"/>
  <c r="P9" i="52" s="1"/>
  <c r="P7" i="52"/>
  <c r="S9" i="52" s="1"/>
  <c r="U9" i="52"/>
  <c r="T9" i="52"/>
  <c r="V9" i="52" s="1"/>
  <c r="P5" i="52"/>
  <c r="T49" i="52"/>
  <c r="P6" i="52" s="1"/>
  <c r="S18" i="52"/>
  <c r="S49" i="52" s="1"/>
  <c r="P4" i="51"/>
  <c r="P5" i="51"/>
  <c r="V14" i="51"/>
  <c r="P9" i="51" s="1"/>
  <c r="P7" i="51"/>
  <c r="S9" i="51" s="1"/>
  <c r="S49" i="51"/>
  <c r="T49" i="51"/>
  <c r="P6" i="51" s="1"/>
  <c r="T49" i="50"/>
  <c r="P6" i="50" s="1"/>
  <c r="S18" i="50"/>
  <c r="S49" i="50" s="1"/>
  <c r="V14" i="50"/>
  <c r="P9" i="50" s="1"/>
  <c r="P7" i="50"/>
  <c r="S9" i="50" s="1"/>
  <c r="U9" i="50" s="1"/>
  <c r="P4" i="50"/>
  <c r="V14" i="49"/>
  <c r="P9" i="49" s="1"/>
  <c r="P7" i="49"/>
  <c r="S9" i="49" s="1"/>
  <c r="S49" i="49"/>
  <c r="T49" i="49"/>
  <c r="P6" i="49" s="1"/>
  <c r="P4" i="49"/>
  <c r="P5" i="49"/>
  <c r="V14" i="48"/>
  <c r="P9" i="48" s="1"/>
  <c r="P7" i="48"/>
  <c r="P4" i="48"/>
  <c r="P5" i="48"/>
  <c r="T49" i="48"/>
  <c r="P6" i="48" s="1"/>
  <c r="S18" i="48"/>
  <c r="S49" i="48" s="1"/>
  <c r="V14" i="47"/>
  <c r="P9" i="47" s="1"/>
  <c r="P7" i="47"/>
  <c r="T49" i="47"/>
  <c r="P6" i="47" s="1"/>
  <c r="S18" i="47"/>
  <c r="S49" i="47" s="1"/>
  <c r="P5" i="47"/>
  <c r="P4" i="47"/>
  <c r="P5" i="46"/>
  <c r="S49" i="46"/>
  <c r="V14" i="46"/>
  <c r="P9" i="46" s="1"/>
  <c r="P7" i="46"/>
  <c r="S9" i="46" s="1"/>
  <c r="U9" i="46" s="1"/>
  <c r="T49" i="46"/>
  <c r="P6" i="46" s="1"/>
  <c r="P4" i="45"/>
  <c r="P5" i="45"/>
  <c r="V14" i="45"/>
  <c r="P9" i="45" s="1"/>
  <c r="P7" i="45"/>
  <c r="T49" i="45"/>
  <c r="P6" i="45" s="1"/>
  <c r="S18" i="45"/>
  <c r="S49" i="45" s="1"/>
  <c r="S49" i="44"/>
  <c r="T49" i="44"/>
  <c r="P6" i="44" s="1"/>
  <c r="V14" i="44"/>
  <c r="P9" i="44" s="1"/>
  <c r="P7" i="44"/>
  <c r="S9" i="44" s="1"/>
  <c r="P4" i="44"/>
  <c r="P5" i="44"/>
  <c r="V14" i="43"/>
  <c r="P9" i="43" s="1"/>
  <c r="P7" i="43"/>
  <c r="S9" i="43" s="1"/>
  <c r="P4" i="43"/>
  <c r="P5" i="43"/>
  <c r="S49" i="43"/>
  <c r="T49" i="43"/>
  <c r="P6" i="43" s="1"/>
  <c r="P4" i="42"/>
  <c r="P5" i="42"/>
  <c r="T49" i="42"/>
  <c r="P6" i="42" s="1"/>
  <c r="S18" i="42"/>
  <c r="S49" i="42" s="1"/>
  <c r="V14" i="42"/>
  <c r="P9" i="42" s="1"/>
  <c r="P7" i="42"/>
  <c r="U9" i="41"/>
  <c r="T9" i="41"/>
  <c r="V9" i="41" s="1"/>
  <c r="T49" i="41"/>
  <c r="P6" i="41" s="1"/>
  <c r="S18" i="41"/>
  <c r="S49" i="41" s="1"/>
  <c r="T49" i="40"/>
  <c r="P6" i="40" s="1"/>
  <c r="S18" i="40"/>
  <c r="S49" i="40" s="1"/>
  <c r="V14" i="40"/>
  <c r="P9" i="40" s="1"/>
  <c r="P7" i="40"/>
  <c r="S9" i="40" s="1"/>
  <c r="U9" i="40" s="1"/>
  <c r="P4" i="40"/>
  <c r="P5" i="40"/>
  <c r="P7" i="39"/>
  <c r="V14" i="39"/>
  <c r="P9" i="39" s="1"/>
  <c r="P4" i="39"/>
  <c r="P5" i="39"/>
  <c r="T49" i="39"/>
  <c r="P6" i="39" s="1"/>
  <c r="S18" i="39"/>
  <c r="S49" i="39" s="1"/>
  <c r="T49" i="38"/>
  <c r="P6" i="38" s="1"/>
  <c r="S18" i="38"/>
  <c r="S49" i="38" s="1"/>
  <c r="V14" i="38"/>
  <c r="P9" i="38" s="1"/>
  <c r="P7" i="38"/>
  <c r="P4" i="38"/>
  <c r="P4" i="37"/>
  <c r="P5" i="37"/>
  <c r="S49" i="37"/>
  <c r="T49" i="37"/>
  <c r="P6" i="37" s="1"/>
  <c r="V14" i="37"/>
  <c r="P9" i="37" s="1"/>
  <c r="P7" i="37"/>
  <c r="T31" i="8"/>
  <c r="S31" i="8" s="1"/>
  <c r="T25" i="8"/>
  <c r="S25" i="8" s="1"/>
  <c r="T35" i="30"/>
  <c r="S35" i="30" s="1"/>
  <c r="V48" i="17"/>
  <c r="V35" i="17"/>
  <c r="V33" i="17"/>
  <c r="V40" i="17"/>
  <c r="V42" i="17"/>
  <c r="L36" i="17"/>
  <c r="T36" i="17" s="1"/>
  <c r="S36" i="17" s="1"/>
  <c r="V41" i="17"/>
  <c r="V34" i="17"/>
  <c r="H26" i="17"/>
  <c r="H33" i="17"/>
  <c r="H34" i="17"/>
  <c r="U25" i="17"/>
  <c r="V31" i="15"/>
  <c r="V39" i="15"/>
  <c r="U43" i="15"/>
  <c r="L46" i="15"/>
  <c r="T46" i="15" s="1"/>
  <c r="S46" i="15" s="1"/>
  <c r="L38" i="15"/>
  <c r="T38" i="15" s="1"/>
  <c r="S38" i="15" s="1"/>
  <c r="L42" i="15"/>
  <c r="T42" i="15" s="1"/>
  <c r="S42" i="15" s="1"/>
  <c r="V35" i="15"/>
  <c r="V27" i="15"/>
  <c r="H21" i="15"/>
  <c r="U33" i="15"/>
  <c r="V44" i="12"/>
  <c r="V46" i="12"/>
  <c r="U44" i="12"/>
  <c r="T23" i="12"/>
  <c r="S23" i="12" s="1"/>
  <c r="H20" i="12"/>
  <c r="V38" i="13"/>
  <c r="P4" i="35"/>
  <c r="V14" i="35"/>
  <c r="P9" i="35" s="1"/>
  <c r="P7" i="35"/>
  <c r="T49" i="35"/>
  <c r="P6" i="35" s="1"/>
  <c r="S18" i="35"/>
  <c r="S49" i="35" s="1"/>
  <c r="P5" i="35"/>
  <c r="V29" i="33"/>
  <c r="T29" i="33"/>
  <c r="S29" i="33" s="1"/>
  <c r="V21" i="33"/>
  <c r="T19" i="33"/>
  <c r="S19" i="33" s="1"/>
  <c r="V19" i="33"/>
  <c r="T35" i="32"/>
  <c r="S35" i="32" s="1"/>
  <c r="V35" i="32"/>
  <c r="U33" i="32"/>
  <c r="V29" i="32"/>
  <c r="T27" i="32"/>
  <c r="S27" i="32" s="1"/>
  <c r="H49" i="32"/>
  <c r="P2" i="32" s="1"/>
  <c r="V21" i="32"/>
  <c r="T19" i="32"/>
  <c r="S19" i="32" s="1"/>
  <c r="T41" i="33"/>
  <c r="S41" i="33" s="1"/>
  <c r="G49" i="33"/>
  <c r="L49" i="33"/>
  <c r="P3" i="33" s="1"/>
  <c r="T18" i="33"/>
  <c r="U39" i="33"/>
  <c r="T31" i="33"/>
  <c r="S31" i="33" s="1"/>
  <c r="T23" i="33"/>
  <c r="S23" i="33" s="1"/>
  <c r="V41" i="33"/>
  <c r="V31" i="33"/>
  <c r="V23" i="33"/>
  <c r="U45" i="33"/>
  <c r="T33" i="33"/>
  <c r="S33" i="33" s="1"/>
  <c r="T25" i="33"/>
  <c r="S25" i="33" s="1"/>
  <c r="V33" i="33"/>
  <c r="V25" i="33"/>
  <c r="T43" i="33"/>
  <c r="S43" i="33" s="1"/>
  <c r="H49" i="33"/>
  <c r="P2" i="33" s="1"/>
  <c r="R49" i="33"/>
  <c r="T33" i="30"/>
  <c r="S33" i="30" s="1"/>
  <c r="V27" i="30"/>
  <c r="T25" i="30"/>
  <c r="S25" i="30" s="1"/>
  <c r="R49" i="30"/>
  <c r="P7" i="30" s="1"/>
  <c r="H49" i="30"/>
  <c r="P2" i="30" s="1"/>
  <c r="U19" i="30"/>
  <c r="V35" i="29"/>
  <c r="T27" i="29"/>
  <c r="S27" i="29" s="1"/>
  <c r="T19" i="29"/>
  <c r="S19" i="29" s="1"/>
  <c r="T29" i="27"/>
  <c r="S29" i="27" s="1"/>
  <c r="V29" i="27"/>
  <c r="V25" i="27"/>
  <c r="U23" i="27"/>
  <c r="T21" i="27"/>
  <c r="S21" i="27" s="1"/>
  <c r="V21" i="27"/>
  <c r="H49" i="27"/>
  <c r="P2" i="27" s="1"/>
  <c r="U31" i="32"/>
  <c r="T39" i="32"/>
  <c r="S39" i="32" s="1"/>
  <c r="V23" i="32"/>
  <c r="V45" i="32"/>
  <c r="V37" i="32"/>
  <c r="T43" i="32"/>
  <c r="S43" i="32" s="1"/>
  <c r="V39" i="32"/>
  <c r="T31" i="32"/>
  <c r="S31" i="32" s="1"/>
  <c r="V19" i="32"/>
  <c r="T45" i="32"/>
  <c r="S45" i="32" s="1"/>
  <c r="R49" i="32"/>
  <c r="T23" i="32"/>
  <c r="S23" i="32" s="1"/>
  <c r="G49" i="32"/>
  <c r="V27" i="32"/>
  <c r="T33" i="32"/>
  <c r="S33" i="32" s="1"/>
  <c r="T21" i="32"/>
  <c r="S21" i="32" s="1"/>
  <c r="L49" i="32"/>
  <c r="P3" i="32" s="1"/>
  <c r="T18" i="32"/>
  <c r="T29" i="32"/>
  <c r="S29" i="32" s="1"/>
  <c r="T25" i="32"/>
  <c r="S25" i="32" s="1"/>
  <c r="G49" i="30"/>
  <c r="U45" i="30"/>
  <c r="U37" i="30"/>
  <c r="U33" i="30"/>
  <c r="U29" i="30"/>
  <c r="V19" i="30"/>
  <c r="V39" i="30"/>
  <c r="T23" i="30"/>
  <c r="S23" i="30" s="1"/>
  <c r="S18" i="30"/>
  <c r="U21" i="30"/>
  <c r="V35" i="30"/>
  <c r="U23" i="30"/>
  <c r="L49" i="30"/>
  <c r="P3" i="30" s="1"/>
  <c r="U31" i="30"/>
  <c r="T19" i="30"/>
  <c r="S19" i="30" s="1"/>
  <c r="U45" i="29"/>
  <c r="U41" i="29"/>
  <c r="U37" i="29"/>
  <c r="U33" i="29"/>
  <c r="U29" i="29"/>
  <c r="U23" i="29"/>
  <c r="T21" i="29"/>
  <c r="S21" i="29" s="1"/>
  <c r="T45" i="29"/>
  <c r="S45" i="29" s="1"/>
  <c r="T29" i="29"/>
  <c r="S29" i="29" s="1"/>
  <c r="V41" i="29"/>
  <c r="S18" i="29"/>
  <c r="V31" i="29"/>
  <c r="V21" i="29"/>
  <c r="V25" i="29"/>
  <c r="T33" i="29"/>
  <c r="S33" i="29" s="1"/>
  <c r="G49" i="29"/>
  <c r="T23" i="29"/>
  <c r="S23" i="29" s="1"/>
  <c r="V43" i="29"/>
  <c r="V27" i="29"/>
  <c r="T35" i="29"/>
  <c r="S35" i="29" s="1"/>
  <c r="L49" i="29"/>
  <c r="P3" i="29" s="1"/>
  <c r="R49" i="29"/>
  <c r="U39" i="29"/>
  <c r="T25" i="29"/>
  <c r="S25" i="29" s="1"/>
  <c r="U19" i="29"/>
  <c r="T37" i="29"/>
  <c r="S37" i="29" s="1"/>
  <c r="H49" i="29"/>
  <c r="P2" i="29" s="1"/>
  <c r="V39" i="29"/>
  <c r="U35" i="26"/>
  <c r="T29" i="26"/>
  <c r="S29" i="26" s="1"/>
  <c r="V23" i="26"/>
  <c r="U27" i="24"/>
  <c r="V25" i="24"/>
  <c r="T25" i="24"/>
  <c r="S25" i="24" s="1"/>
  <c r="H49" i="24"/>
  <c r="P2" i="24" s="1"/>
  <c r="T21" i="24"/>
  <c r="S21" i="24" s="1"/>
  <c r="V19" i="24"/>
  <c r="G49" i="27"/>
  <c r="T43" i="27"/>
  <c r="S43" i="27" s="1"/>
  <c r="T27" i="27"/>
  <c r="S27" i="27" s="1"/>
  <c r="U43" i="27"/>
  <c r="U35" i="27"/>
  <c r="U19" i="27"/>
  <c r="T39" i="27"/>
  <c r="S39" i="27" s="1"/>
  <c r="V31" i="27"/>
  <c r="V27" i="27"/>
  <c r="V23" i="27"/>
  <c r="V19" i="27"/>
  <c r="T35" i="27"/>
  <c r="S35" i="27" s="1"/>
  <c r="V39" i="27"/>
  <c r="R49" i="27"/>
  <c r="U31" i="27"/>
  <c r="L49" i="27"/>
  <c r="P3" i="27" s="1"/>
  <c r="T18" i="27"/>
  <c r="U37" i="27"/>
  <c r="U33" i="27"/>
  <c r="V37" i="27"/>
  <c r="U25" i="27"/>
  <c r="V33" i="27"/>
  <c r="T25" i="26"/>
  <c r="S25" i="26" s="1"/>
  <c r="T33" i="26"/>
  <c r="S33" i="26" s="1"/>
  <c r="U31" i="26"/>
  <c r="U25" i="26"/>
  <c r="L49" i="26"/>
  <c r="P3" i="26" s="1"/>
  <c r="U27" i="26"/>
  <c r="V45" i="26"/>
  <c r="V29" i="26"/>
  <c r="T35" i="26"/>
  <c r="S35" i="26" s="1"/>
  <c r="T23" i="26"/>
  <c r="S23" i="26" s="1"/>
  <c r="V21" i="26"/>
  <c r="T41" i="26"/>
  <c r="S41" i="26" s="1"/>
  <c r="T19" i="26"/>
  <c r="S19" i="26" s="1"/>
  <c r="H49" i="26"/>
  <c r="P2" i="26" s="1"/>
  <c r="S18" i="26"/>
  <c r="G49" i="26"/>
  <c r="U39" i="26"/>
  <c r="T31" i="26"/>
  <c r="S31" i="26" s="1"/>
  <c r="V33" i="26"/>
  <c r="U45" i="26"/>
  <c r="T27" i="26"/>
  <c r="S27" i="26" s="1"/>
  <c r="T39" i="26"/>
  <c r="S39" i="26" s="1"/>
  <c r="R49" i="26"/>
  <c r="T31" i="24"/>
  <c r="S31" i="24" s="1"/>
  <c r="L49" i="24"/>
  <c r="P3" i="24" s="1"/>
  <c r="T18" i="24"/>
  <c r="V31" i="24"/>
  <c r="U43" i="24"/>
  <c r="T35" i="24"/>
  <c r="S35" i="24" s="1"/>
  <c r="V41" i="24"/>
  <c r="U33" i="24"/>
  <c r="T27" i="24"/>
  <c r="S27" i="24" s="1"/>
  <c r="T23" i="24"/>
  <c r="S23" i="24" s="1"/>
  <c r="T19" i="24"/>
  <c r="S19" i="24" s="1"/>
  <c r="V39" i="24"/>
  <c r="V23" i="24"/>
  <c r="U45" i="24"/>
  <c r="U37" i="24"/>
  <c r="R49" i="24"/>
  <c r="T39" i="24"/>
  <c r="S39" i="24" s="1"/>
  <c r="T45" i="24"/>
  <c r="S45" i="24" s="1"/>
  <c r="G49" i="24"/>
  <c r="V21" i="24"/>
  <c r="T29" i="24"/>
  <c r="S29" i="24" s="1"/>
  <c r="T32" i="22"/>
  <c r="S32" i="22" s="1"/>
  <c r="V28" i="22"/>
  <c r="U27" i="22"/>
  <c r="T25" i="22"/>
  <c r="S25" i="22" s="1"/>
  <c r="L49" i="22"/>
  <c r="P3" i="22" s="1"/>
  <c r="P4" i="22" s="1"/>
  <c r="T21" i="22"/>
  <c r="S21" i="22" s="1"/>
  <c r="T20" i="22"/>
  <c r="S20" i="22" s="1"/>
  <c r="U32" i="21"/>
  <c r="V32" i="21"/>
  <c r="T31" i="21"/>
  <c r="S31" i="21" s="1"/>
  <c r="U31" i="21"/>
  <c r="U30" i="21"/>
  <c r="T28" i="21"/>
  <c r="S28" i="21" s="1"/>
  <c r="U27" i="21"/>
  <c r="U26" i="21"/>
  <c r="T25" i="21"/>
  <c r="S25" i="21" s="1"/>
  <c r="G49" i="22"/>
  <c r="V41" i="22"/>
  <c r="U26" i="22"/>
  <c r="U42" i="22"/>
  <c r="T43" i="22"/>
  <c r="S43" i="22" s="1"/>
  <c r="V43" i="22"/>
  <c r="T37" i="22"/>
  <c r="S37" i="22" s="1"/>
  <c r="T29" i="22"/>
  <c r="S29" i="22" s="1"/>
  <c r="U21" i="22"/>
  <c r="U39" i="22"/>
  <c r="U31" i="22"/>
  <c r="T31" i="22"/>
  <c r="S31" i="22" s="1"/>
  <c r="R49" i="22"/>
  <c r="U18" i="22"/>
  <c r="T18" i="22"/>
  <c r="T42" i="22"/>
  <c r="S42" i="22" s="1"/>
  <c r="T35" i="22"/>
  <c r="S35" i="22" s="1"/>
  <c r="U37" i="22"/>
  <c r="T27" i="22"/>
  <c r="S27" i="22" s="1"/>
  <c r="T19" i="22"/>
  <c r="S19" i="22" s="1"/>
  <c r="T33" i="22"/>
  <c r="S33" i="22" s="1"/>
  <c r="U25" i="22"/>
  <c r="U29" i="22"/>
  <c r="U19" i="22"/>
  <c r="U35" i="22"/>
  <c r="T23" i="22"/>
  <c r="S23" i="22" s="1"/>
  <c r="T24" i="21"/>
  <c r="S24" i="21" s="1"/>
  <c r="T20" i="21"/>
  <c r="S20" i="21" s="1"/>
  <c r="U24" i="21"/>
  <c r="T23" i="21"/>
  <c r="S23" i="21" s="1"/>
  <c r="U19" i="21"/>
  <c r="U20" i="21"/>
  <c r="U23" i="21"/>
  <c r="T46" i="21"/>
  <c r="S46" i="21" s="1"/>
  <c r="T33" i="21"/>
  <c r="S33" i="21" s="1"/>
  <c r="G49" i="21"/>
  <c r="T19" i="21"/>
  <c r="S19" i="21" s="1"/>
  <c r="T45" i="21"/>
  <c r="S45" i="21" s="1"/>
  <c r="T30" i="21"/>
  <c r="S30" i="21" s="1"/>
  <c r="U45" i="21"/>
  <c r="U41" i="21"/>
  <c r="U37" i="21"/>
  <c r="U33" i="21"/>
  <c r="U29" i="21"/>
  <c r="U25" i="21"/>
  <c r="U21" i="21"/>
  <c r="R49" i="21"/>
  <c r="T38" i="21"/>
  <c r="S38" i="21" s="1"/>
  <c r="V18" i="21"/>
  <c r="H49" i="21"/>
  <c r="P2" i="21" s="1"/>
  <c r="T37" i="21"/>
  <c r="S37" i="21" s="1"/>
  <c r="T22" i="21"/>
  <c r="S22" i="21" s="1"/>
  <c r="T41" i="21"/>
  <c r="S41" i="21" s="1"/>
  <c r="T29" i="21"/>
  <c r="S29" i="21" s="1"/>
  <c r="T18" i="21"/>
  <c r="L49" i="21"/>
  <c r="P3" i="21" s="1"/>
  <c r="T35" i="19"/>
  <c r="S35" i="19" s="1"/>
  <c r="U33" i="19"/>
  <c r="T31" i="19"/>
  <c r="S31" i="19" s="1"/>
  <c r="V31" i="19"/>
  <c r="V25" i="19"/>
  <c r="T23" i="19"/>
  <c r="S23" i="19" s="1"/>
  <c r="T34" i="17"/>
  <c r="S34" i="17" s="1"/>
  <c r="U33" i="17"/>
  <c r="H30" i="17"/>
  <c r="V30" i="17"/>
  <c r="V26" i="17"/>
  <c r="H25" i="17"/>
  <c r="V25" i="17"/>
  <c r="H22" i="17"/>
  <c r="V22" i="17"/>
  <c r="V20" i="17"/>
  <c r="H18" i="17"/>
  <c r="K37" i="17"/>
  <c r="L37" i="17" s="1"/>
  <c r="H37" i="17"/>
  <c r="U24" i="17"/>
  <c r="U20" i="17"/>
  <c r="L20" i="17"/>
  <c r="T20" i="17" s="1"/>
  <c r="S20" i="17" s="1"/>
  <c r="L29" i="17"/>
  <c r="T29" i="17" s="1"/>
  <c r="S29" i="17" s="1"/>
  <c r="L21" i="17"/>
  <c r="T21" i="17" s="1"/>
  <c r="S21" i="17" s="1"/>
  <c r="H32" i="17"/>
  <c r="K31" i="17"/>
  <c r="H31" i="17"/>
  <c r="V21" i="17"/>
  <c r="H46" i="17"/>
  <c r="H38" i="17"/>
  <c r="V47" i="17"/>
  <c r="V39" i="17"/>
  <c r="V36" i="17"/>
  <c r="V44" i="17"/>
  <c r="U47" i="17"/>
  <c r="U40" i="17"/>
  <c r="V32" i="17"/>
  <c r="L28" i="17"/>
  <c r="T28" i="17" s="1"/>
  <c r="S28" i="17" s="1"/>
  <c r="V24" i="17"/>
  <c r="H20" i="17"/>
  <c r="L39" i="17"/>
  <c r="H21" i="17"/>
  <c r="H39" i="17"/>
  <c r="K45" i="17"/>
  <c r="L45" i="17" s="1"/>
  <c r="T45" i="17" s="1"/>
  <c r="S45" i="17" s="1"/>
  <c r="H45" i="17"/>
  <c r="U32" i="17"/>
  <c r="U44" i="17"/>
  <c r="H29" i="17"/>
  <c r="H24" i="17"/>
  <c r="K23" i="17"/>
  <c r="H23" i="17"/>
  <c r="T48" i="17"/>
  <c r="S48" i="17" s="1"/>
  <c r="V29" i="17"/>
  <c r="H44" i="17"/>
  <c r="H28" i="17"/>
  <c r="K19" i="17"/>
  <c r="H19" i="17"/>
  <c r="H27" i="17"/>
  <c r="K27" i="17"/>
  <c r="V37" i="17"/>
  <c r="V38" i="17"/>
  <c r="V46" i="17"/>
  <c r="U42" i="17"/>
  <c r="U28" i="17"/>
  <c r="H43" i="17"/>
  <c r="H41" i="17"/>
  <c r="T29" i="19"/>
  <c r="S29" i="19" s="1"/>
  <c r="T21" i="19"/>
  <c r="S21" i="19" s="1"/>
  <c r="H49" i="19"/>
  <c r="P2" i="19" s="1"/>
  <c r="R49" i="19"/>
  <c r="T43" i="19"/>
  <c r="S43" i="19" s="1"/>
  <c r="U35" i="19"/>
  <c r="L49" i="19"/>
  <c r="P3" i="19" s="1"/>
  <c r="T18" i="19"/>
  <c r="V29" i="19"/>
  <c r="V21" i="19"/>
  <c r="T45" i="19"/>
  <c r="S45" i="19" s="1"/>
  <c r="T37" i="19"/>
  <c r="S37" i="19" s="1"/>
  <c r="G49" i="19"/>
  <c r="V43" i="19"/>
  <c r="T27" i="19"/>
  <c r="S27" i="19" s="1"/>
  <c r="T19" i="19"/>
  <c r="S19" i="19" s="1"/>
  <c r="U45" i="19"/>
  <c r="V37" i="19"/>
  <c r="T33" i="19"/>
  <c r="S33" i="19" s="1"/>
  <c r="V27" i="19"/>
  <c r="V23" i="19"/>
  <c r="V19" i="19"/>
  <c r="T39" i="19"/>
  <c r="S39" i="19" s="1"/>
  <c r="U46" i="17"/>
  <c r="U38" i="17"/>
  <c r="U30" i="17"/>
  <c r="U22" i="17"/>
  <c r="T37" i="17"/>
  <c r="S37" i="17" s="1"/>
  <c r="U43" i="17"/>
  <c r="U37" i="17"/>
  <c r="U35" i="17"/>
  <c r="T43" i="17"/>
  <c r="S43" i="17" s="1"/>
  <c r="T30" i="17"/>
  <c r="S30" i="17" s="1"/>
  <c r="T22" i="17"/>
  <c r="S22" i="17" s="1"/>
  <c r="R49" i="17"/>
  <c r="U48" i="17"/>
  <c r="T42" i="17"/>
  <c r="S42" i="17" s="1"/>
  <c r="T40" i="17"/>
  <c r="S40" i="17" s="1"/>
  <c r="T38" i="17"/>
  <c r="S38" i="17" s="1"/>
  <c r="U34" i="17"/>
  <c r="T32" i="17"/>
  <c r="S32" i="17" s="1"/>
  <c r="T35" i="17"/>
  <c r="S35" i="17" s="1"/>
  <c r="U26" i="17"/>
  <c r="U18" i="17"/>
  <c r="T18" i="17"/>
  <c r="G49" i="17"/>
  <c r="T46" i="17"/>
  <c r="S46" i="17" s="1"/>
  <c r="T39" i="17"/>
  <c r="S39" i="17" s="1"/>
  <c r="T24" i="17"/>
  <c r="S24" i="17" s="1"/>
  <c r="V18" i="17"/>
  <c r="L34" i="15"/>
  <c r="T34" i="15" s="1"/>
  <c r="S34" i="15" s="1"/>
  <c r="H33" i="15"/>
  <c r="H32" i="15"/>
  <c r="V32" i="15"/>
  <c r="L30" i="15"/>
  <c r="T30" i="15" s="1"/>
  <c r="S30" i="15" s="1"/>
  <c r="V30" i="15"/>
  <c r="V29" i="15"/>
  <c r="H29" i="15"/>
  <c r="U27" i="15"/>
  <c r="H26" i="15"/>
  <c r="U25" i="15"/>
  <c r="V23" i="15"/>
  <c r="L24" i="15"/>
  <c r="T24" i="15" s="1"/>
  <c r="S24" i="15" s="1"/>
  <c r="H22" i="15"/>
  <c r="V18" i="15"/>
  <c r="L18" i="15"/>
  <c r="T18" i="15" s="1"/>
  <c r="S18" i="15" s="1"/>
  <c r="L23" i="15"/>
  <c r="T23" i="15" s="1"/>
  <c r="S23" i="15" s="1"/>
  <c r="V20" i="15"/>
  <c r="L20" i="15"/>
  <c r="T20" i="15" s="1"/>
  <c r="S20" i="15" s="1"/>
  <c r="T39" i="15"/>
  <c r="S39" i="15" s="1"/>
  <c r="U23" i="15"/>
  <c r="U39" i="15"/>
  <c r="H20" i="15"/>
  <c r="H34" i="15"/>
  <c r="H46" i="15"/>
  <c r="V42" i="15"/>
  <c r="L35" i="15"/>
  <c r="T35" i="15" s="1"/>
  <c r="S35" i="15" s="1"/>
  <c r="L47" i="15"/>
  <c r="T47" i="15" s="1"/>
  <c r="S47" i="15" s="1"/>
  <c r="L31" i="15"/>
  <c r="T31" i="15" s="1"/>
  <c r="S31" i="15" s="1"/>
  <c r="V46" i="15"/>
  <c r="L44" i="15"/>
  <c r="T44" i="15" s="1"/>
  <c r="S44" i="15" s="1"/>
  <c r="L40" i="15"/>
  <c r="T40" i="15" s="1"/>
  <c r="S40" i="15" s="1"/>
  <c r="L36" i="15"/>
  <c r="T36" i="15" s="1"/>
  <c r="S36" i="15" s="1"/>
  <c r="K49" i="15"/>
  <c r="H43" i="15"/>
  <c r="H35" i="15"/>
  <c r="H31" i="15"/>
  <c r="H27" i="15"/>
  <c r="H23" i="15"/>
  <c r="H36" i="15"/>
  <c r="H28" i="15"/>
  <c r="H42" i="15"/>
  <c r="V47" i="15"/>
  <c r="T19" i="15"/>
  <c r="S19" i="15" s="1"/>
  <c r="V26" i="15"/>
  <c r="L32" i="15"/>
  <c r="T32" i="15" s="1"/>
  <c r="S32" i="15" s="1"/>
  <c r="V40" i="15"/>
  <c r="L28" i="15"/>
  <c r="T28" i="15" s="1"/>
  <c r="S28" i="15" s="1"/>
  <c r="V44" i="15"/>
  <c r="L26" i="15"/>
  <c r="T26" i="15" s="1"/>
  <c r="S26" i="15" s="1"/>
  <c r="T45" i="15"/>
  <c r="S45" i="15" s="1"/>
  <c r="V41" i="15"/>
  <c r="U21" i="15"/>
  <c r="U31" i="15"/>
  <c r="H47" i="15"/>
  <c r="U24" i="15"/>
  <c r="H24" i="15"/>
  <c r="H38" i="15"/>
  <c r="H30" i="15"/>
  <c r="V34" i="15"/>
  <c r="L22" i="15"/>
  <c r="T22" i="15" s="1"/>
  <c r="S22" i="15" s="1"/>
  <c r="V28" i="15"/>
  <c r="V36" i="15"/>
  <c r="V38" i="15"/>
  <c r="V22" i="15"/>
  <c r="H18" i="15"/>
  <c r="H32" i="13"/>
  <c r="V32" i="13"/>
  <c r="U31" i="13"/>
  <c r="V30" i="13"/>
  <c r="L30" i="13"/>
  <c r="T30" i="13" s="1"/>
  <c r="S30" i="13" s="1"/>
  <c r="U23" i="13"/>
  <c r="H22" i="13"/>
  <c r="V18" i="13"/>
  <c r="H28" i="13"/>
  <c r="U28" i="13"/>
  <c r="V44" i="13"/>
  <c r="H18" i="13"/>
  <c r="R49" i="13"/>
  <c r="V14" i="13" s="1"/>
  <c r="P9" i="13" s="1"/>
  <c r="L36" i="13"/>
  <c r="T36" i="13" s="1"/>
  <c r="S36" i="13" s="1"/>
  <c r="V20" i="13"/>
  <c r="L42" i="13"/>
  <c r="T42" i="13" s="1"/>
  <c r="S42" i="13" s="1"/>
  <c r="L26" i="13"/>
  <c r="T26" i="13" s="1"/>
  <c r="S26" i="13" s="1"/>
  <c r="V28" i="13"/>
  <c r="K49" i="13"/>
  <c r="U39" i="13"/>
  <c r="U24" i="13"/>
  <c r="H36" i="13"/>
  <c r="H40" i="13"/>
  <c r="H24" i="13"/>
  <c r="V42" i="13"/>
  <c r="V34" i="13"/>
  <c r="V26" i="13"/>
  <c r="L18" i="13"/>
  <c r="V40" i="13"/>
  <c r="V24" i="13"/>
  <c r="L38" i="13"/>
  <c r="T38" i="13" s="1"/>
  <c r="S38" i="13" s="1"/>
  <c r="U35" i="13"/>
  <c r="H20" i="13"/>
  <c r="H34" i="13"/>
  <c r="T27" i="13"/>
  <c r="S27" i="13" s="1"/>
  <c r="L44" i="13"/>
  <c r="T44" i="13" s="1"/>
  <c r="S44" i="13" s="1"/>
  <c r="U22" i="13"/>
  <c r="V22" i="13"/>
  <c r="U43" i="13"/>
  <c r="V45" i="13"/>
  <c r="H44" i="13"/>
  <c r="H42" i="13"/>
  <c r="U20" i="13"/>
  <c r="L40" i="13"/>
  <c r="T40" i="13" s="1"/>
  <c r="S40" i="13" s="1"/>
  <c r="L32" i="13"/>
  <c r="T32" i="13" s="1"/>
  <c r="S32" i="13" s="1"/>
  <c r="L46" i="13"/>
  <c r="T46" i="13" s="1"/>
  <c r="S46" i="13" s="1"/>
  <c r="L34" i="13"/>
  <c r="T34" i="13" s="1"/>
  <c r="S34" i="13" s="1"/>
  <c r="V36" i="13"/>
  <c r="H26" i="13"/>
  <c r="L38" i="12"/>
  <c r="T38" i="12" s="1"/>
  <c r="S38" i="12" s="1"/>
  <c r="H36" i="12"/>
  <c r="L36" i="12"/>
  <c r="T36" i="12" s="1"/>
  <c r="S36" i="12" s="1"/>
  <c r="V36" i="12"/>
  <c r="V32" i="12"/>
  <c r="H30" i="12"/>
  <c r="H28" i="12"/>
  <c r="V24" i="12"/>
  <c r="V22" i="12"/>
  <c r="U20" i="12"/>
  <c r="V20" i="12"/>
  <c r="U19" i="12"/>
  <c r="U42" i="12"/>
  <c r="V42" i="12"/>
  <c r="U34" i="12"/>
  <c r="V34" i="12"/>
  <c r="U25" i="12"/>
  <c r="V41" i="12"/>
  <c r="V33" i="12"/>
  <c r="T25" i="12"/>
  <c r="S25" i="12" s="1"/>
  <c r="K49" i="12"/>
  <c r="H32" i="12"/>
  <c r="U23" i="12"/>
  <c r="U24" i="12"/>
  <c r="T31" i="12"/>
  <c r="S31" i="12" s="1"/>
  <c r="H26" i="12"/>
  <c r="H18" i="12"/>
  <c r="L40" i="12"/>
  <c r="T40" i="12" s="1"/>
  <c r="S40" i="12" s="1"/>
  <c r="L26" i="12"/>
  <c r="T26" i="12" s="1"/>
  <c r="S26" i="12" s="1"/>
  <c r="U26" i="12"/>
  <c r="H24" i="12"/>
  <c r="L34" i="12"/>
  <c r="T34" i="12" s="1"/>
  <c r="S34" i="12" s="1"/>
  <c r="L22" i="12"/>
  <c r="T22" i="12" s="1"/>
  <c r="S22" i="12" s="1"/>
  <c r="L32" i="12"/>
  <c r="T32" i="12" s="1"/>
  <c r="S32" i="12" s="1"/>
  <c r="V38" i="12"/>
  <c r="U28" i="12"/>
  <c r="V28" i="12"/>
  <c r="V35" i="12"/>
  <c r="U27" i="12"/>
  <c r="H38" i="12"/>
  <c r="U18" i="12"/>
  <c r="V23" i="12"/>
  <c r="T39" i="12"/>
  <c r="S39" i="12" s="1"/>
  <c r="L18" i="12"/>
  <c r="T18" i="12" s="1"/>
  <c r="L42" i="12"/>
  <c r="T42" i="12" s="1"/>
  <c r="S42" i="12" s="1"/>
  <c r="H22" i="12"/>
  <c r="L46" i="12"/>
  <c r="T46" i="12" s="1"/>
  <c r="S46" i="12" s="1"/>
  <c r="H34" i="12"/>
  <c r="H44" i="12"/>
  <c r="V40" i="12"/>
  <c r="V30" i="12"/>
  <c r="L30" i="12"/>
  <c r="T30" i="12" s="1"/>
  <c r="S30" i="12" s="1"/>
  <c r="H42" i="12"/>
  <c r="V30" i="11"/>
  <c r="U28" i="11"/>
  <c r="T27" i="11"/>
  <c r="S27" i="11" s="1"/>
  <c r="U23" i="11"/>
  <c r="V22" i="11"/>
  <c r="U21" i="11"/>
  <c r="T21" i="11"/>
  <c r="S21" i="11" s="1"/>
  <c r="T19" i="11"/>
  <c r="S19" i="11" s="1"/>
  <c r="V35" i="9"/>
  <c r="V33" i="9"/>
  <c r="T33" i="9"/>
  <c r="S33" i="9" s="1"/>
  <c r="V29" i="9"/>
  <c r="T25" i="9"/>
  <c r="S25" i="9" s="1"/>
  <c r="V25" i="9"/>
  <c r="T35" i="8"/>
  <c r="S35" i="8" s="1"/>
  <c r="V29" i="8"/>
  <c r="T29" i="8"/>
  <c r="S29" i="8" s="1"/>
  <c r="V27" i="8"/>
  <c r="V25" i="8"/>
  <c r="U25" i="8"/>
  <c r="H49" i="8"/>
  <c r="P2" i="8" s="1"/>
  <c r="V21" i="15"/>
  <c r="T37" i="15"/>
  <c r="S37" i="15" s="1"/>
  <c r="T33" i="15"/>
  <c r="S33" i="15" s="1"/>
  <c r="R49" i="15"/>
  <c r="V33" i="15"/>
  <c r="G49" i="15"/>
  <c r="U45" i="15"/>
  <c r="U41" i="15"/>
  <c r="U37" i="15"/>
  <c r="U29" i="15"/>
  <c r="T27" i="15"/>
  <c r="S27" i="15" s="1"/>
  <c r="V45" i="15"/>
  <c r="T21" i="15"/>
  <c r="S21" i="15" s="1"/>
  <c r="T43" i="15"/>
  <c r="S43" i="15" s="1"/>
  <c r="V25" i="15"/>
  <c r="U19" i="15"/>
  <c r="T25" i="15"/>
  <c r="S25" i="15" s="1"/>
  <c r="T29" i="15"/>
  <c r="S29" i="15" s="1"/>
  <c r="T41" i="15"/>
  <c r="S41" i="15" s="1"/>
  <c r="G49" i="13"/>
  <c r="T43" i="13"/>
  <c r="S43" i="13" s="1"/>
  <c r="T39" i="13"/>
  <c r="S39" i="13" s="1"/>
  <c r="T35" i="13"/>
  <c r="S35" i="13" s="1"/>
  <c r="T31" i="13"/>
  <c r="S31" i="13" s="1"/>
  <c r="V41" i="13"/>
  <c r="U21" i="13"/>
  <c r="U27" i="13"/>
  <c r="U19" i="13"/>
  <c r="T25" i="13"/>
  <c r="S25" i="13" s="1"/>
  <c r="U37" i="13"/>
  <c r="U33" i="13"/>
  <c r="U29" i="13"/>
  <c r="T21" i="13"/>
  <c r="S21" i="13" s="1"/>
  <c r="T19" i="13"/>
  <c r="S19" i="13" s="1"/>
  <c r="U25" i="13"/>
  <c r="T45" i="13"/>
  <c r="S45" i="13" s="1"/>
  <c r="T41" i="13"/>
  <c r="S41" i="13" s="1"/>
  <c r="T37" i="13"/>
  <c r="S37" i="13" s="1"/>
  <c r="T33" i="13"/>
  <c r="S33" i="13" s="1"/>
  <c r="T29" i="13"/>
  <c r="S29" i="13" s="1"/>
  <c r="T23" i="13"/>
  <c r="S23" i="13" s="1"/>
  <c r="T37" i="12"/>
  <c r="S37" i="12" s="1"/>
  <c r="U29" i="12"/>
  <c r="T19" i="12"/>
  <c r="S19" i="12" s="1"/>
  <c r="G49" i="12"/>
  <c r="U43" i="12"/>
  <c r="U37" i="12"/>
  <c r="V45" i="12"/>
  <c r="V39" i="12"/>
  <c r="U31" i="12"/>
  <c r="T43" i="12"/>
  <c r="S43" i="12" s="1"/>
  <c r="T35" i="12"/>
  <c r="S35" i="12" s="1"/>
  <c r="R49" i="12"/>
  <c r="V21" i="12"/>
  <c r="U21" i="12"/>
  <c r="T29" i="12"/>
  <c r="S29" i="12" s="1"/>
  <c r="T41" i="12"/>
  <c r="S41" i="12" s="1"/>
  <c r="T33" i="12"/>
  <c r="S33" i="12" s="1"/>
  <c r="T45" i="12"/>
  <c r="S45" i="12" s="1"/>
  <c r="U46" i="11"/>
  <c r="T28" i="11"/>
  <c r="S28" i="11" s="1"/>
  <c r="T46" i="11"/>
  <c r="S46" i="11" s="1"/>
  <c r="L49" i="11"/>
  <c r="P3" i="11" s="1"/>
  <c r="T18" i="11"/>
  <c r="T35" i="11"/>
  <c r="S35" i="11" s="1"/>
  <c r="T38" i="11"/>
  <c r="S38" i="11" s="1"/>
  <c r="T42" i="11"/>
  <c r="S42" i="11" s="1"/>
  <c r="U42" i="11"/>
  <c r="T24" i="11"/>
  <c r="S24" i="11" s="1"/>
  <c r="T33" i="11"/>
  <c r="S33" i="11" s="1"/>
  <c r="T25" i="11"/>
  <c r="S25" i="11" s="1"/>
  <c r="U35" i="11"/>
  <c r="U27" i="11"/>
  <c r="U19" i="11"/>
  <c r="G49" i="11"/>
  <c r="T26" i="11"/>
  <c r="S26" i="11" s="1"/>
  <c r="U43" i="11"/>
  <c r="T48" i="11"/>
  <c r="S48" i="11" s="1"/>
  <c r="R49" i="11"/>
  <c r="U48" i="11"/>
  <c r="T30" i="11"/>
  <c r="S30" i="11" s="1"/>
  <c r="T22" i="11"/>
  <c r="S22" i="11" s="1"/>
  <c r="T47" i="11"/>
  <c r="S47" i="11" s="1"/>
  <c r="T39" i="11"/>
  <c r="S39" i="11" s="1"/>
  <c r="T31" i="11"/>
  <c r="S31" i="11" s="1"/>
  <c r="T23" i="11"/>
  <c r="S23" i="11" s="1"/>
  <c r="U33" i="11"/>
  <c r="U25" i="11"/>
  <c r="H49" i="9"/>
  <c r="P2" i="9" s="1"/>
  <c r="T29" i="9"/>
  <c r="S29" i="9" s="1"/>
  <c r="T21" i="9"/>
  <c r="S21" i="9" s="1"/>
  <c r="R49" i="9"/>
  <c r="T39" i="9"/>
  <c r="S39" i="9" s="1"/>
  <c r="U31" i="9"/>
  <c r="T43" i="9"/>
  <c r="S43" i="9" s="1"/>
  <c r="L49" i="9"/>
  <c r="P3" i="9" s="1"/>
  <c r="T18" i="9"/>
  <c r="T45" i="9"/>
  <c r="S45" i="9" s="1"/>
  <c r="T37" i="9"/>
  <c r="S37" i="9" s="1"/>
  <c r="V21" i="9"/>
  <c r="V39" i="9"/>
  <c r="G49" i="9"/>
  <c r="T27" i="9"/>
  <c r="S27" i="9" s="1"/>
  <c r="T23" i="9"/>
  <c r="S23" i="9" s="1"/>
  <c r="T19" i="9"/>
  <c r="S19" i="9" s="1"/>
  <c r="V23" i="9"/>
  <c r="V27" i="9"/>
  <c r="T31" i="9"/>
  <c r="S31" i="9" s="1"/>
  <c r="U41" i="8"/>
  <c r="U37" i="8"/>
  <c r="U33" i="8"/>
  <c r="U21" i="8"/>
  <c r="T21" i="8"/>
  <c r="S21" i="8" s="1"/>
  <c r="T23" i="8"/>
  <c r="S23" i="8" s="1"/>
  <c r="L49" i="8"/>
  <c r="P3" i="8" s="1"/>
  <c r="T18" i="8"/>
  <c r="T37" i="8"/>
  <c r="S37" i="8" s="1"/>
  <c r="V33" i="8"/>
  <c r="V23" i="8"/>
  <c r="U19" i="8"/>
  <c r="G49" i="8"/>
  <c r="U43" i="8"/>
  <c r="U35" i="8"/>
  <c r="U31" i="8"/>
  <c r="U27" i="8"/>
  <c r="T19" i="8"/>
  <c r="S19" i="8" s="1"/>
  <c r="R49" i="8"/>
  <c r="G39" i="1"/>
  <c r="G42" i="1"/>
  <c r="G45" i="1"/>
  <c r="G48" i="1"/>
  <c r="G33" i="1"/>
  <c r="G26" i="1"/>
  <c r="G20" i="1"/>
  <c r="G22" i="1"/>
  <c r="G32" i="1"/>
  <c r="G25" i="1"/>
  <c r="G19" i="1"/>
  <c r="G37" i="1"/>
  <c r="G31" i="1"/>
  <c r="G24" i="1"/>
  <c r="G47" i="1"/>
  <c r="G35" i="1"/>
  <c r="G40" i="1"/>
  <c r="G43" i="1"/>
  <c r="G46" i="1"/>
  <c r="G29" i="1"/>
  <c r="G28" i="1"/>
  <c r="G27" i="1"/>
  <c r="G21" i="1"/>
  <c r="G36" i="1"/>
  <c r="G30" i="1"/>
  <c r="G23" i="1"/>
  <c r="G38" i="1"/>
  <c r="G41" i="1"/>
  <c r="G44" i="1"/>
  <c r="G34" i="1"/>
  <c r="R41" i="1"/>
  <c r="R45" i="1"/>
  <c r="R46" i="1"/>
  <c r="R44" i="1"/>
  <c r="R39" i="1"/>
  <c r="R40" i="1"/>
  <c r="R48" i="1"/>
  <c r="R42" i="1"/>
  <c r="R38" i="1"/>
  <c r="R47" i="1"/>
  <c r="R43" i="1"/>
  <c r="P10" i="1"/>
  <c r="R19" i="1"/>
  <c r="K19" i="1" s="1"/>
  <c r="R31" i="1"/>
  <c r="K31" i="1" s="1"/>
  <c r="R18" i="1"/>
  <c r="R34" i="1"/>
  <c r="K34" i="1" s="1"/>
  <c r="R28" i="1"/>
  <c r="K28" i="1" s="1"/>
  <c r="R22" i="1"/>
  <c r="K22" i="1" s="1"/>
  <c r="R26" i="1"/>
  <c r="K26" i="1" s="1"/>
  <c r="R30" i="1"/>
  <c r="K30" i="1" s="1"/>
  <c r="R35" i="1"/>
  <c r="K35" i="1" s="1"/>
  <c r="R29" i="1"/>
  <c r="K29" i="1" s="1"/>
  <c r="R23" i="1"/>
  <c r="K23" i="1" s="1"/>
  <c r="R33" i="1"/>
  <c r="K33" i="1" s="1"/>
  <c r="R27" i="1"/>
  <c r="K27" i="1" s="1"/>
  <c r="R21" i="1"/>
  <c r="K21" i="1" s="1"/>
  <c r="R32" i="1"/>
  <c r="K32" i="1" s="1"/>
  <c r="R20" i="1"/>
  <c r="K20" i="1" s="1"/>
  <c r="R36" i="1"/>
  <c r="K36" i="1" s="1"/>
  <c r="R24" i="1"/>
  <c r="K24" i="1" s="1"/>
  <c r="R37" i="1"/>
  <c r="K37" i="1" s="1"/>
  <c r="R25" i="1"/>
  <c r="K25" i="1" s="1"/>
  <c r="G18" i="1"/>
  <c r="U9" i="70" l="1"/>
  <c r="T9" i="70"/>
  <c r="V9" i="70" s="1"/>
  <c r="U9" i="68"/>
  <c r="T9" i="68"/>
  <c r="V9" i="68" s="1"/>
  <c r="T9" i="66"/>
  <c r="V9" i="66" s="1"/>
  <c r="U9" i="66"/>
  <c r="U9" i="58"/>
  <c r="T9" i="58"/>
  <c r="V9" i="58" s="1"/>
  <c r="T9" i="56"/>
  <c r="V9" i="56" s="1"/>
  <c r="U9" i="56"/>
  <c r="U9" i="53"/>
  <c r="T9" i="53"/>
  <c r="V9" i="53" s="1"/>
  <c r="U9" i="51"/>
  <c r="T9" i="51"/>
  <c r="V9" i="51" s="1"/>
  <c r="T9" i="50"/>
  <c r="V9" i="50" s="1"/>
  <c r="U9" i="49"/>
  <c r="T9" i="49"/>
  <c r="V9" i="49" s="1"/>
  <c r="S9" i="48"/>
  <c r="S9" i="47"/>
  <c r="T9" i="46"/>
  <c r="V9" i="46" s="1"/>
  <c r="S9" i="45"/>
  <c r="U9" i="44"/>
  <c r="T9" i="44"/>
  <c r="V9" i="44" s="1"/>
  <c r="U9" i="43"/>
  <c r="T9" i="43"/>
  <c r="V9" i="43" s="1"/>
  <c r="S9" i="42"/>
  <c r="T9" i="40"/>
  <c r="V9" i="40" s="1"/>
  <c r="S9" i="39"/>
  <c r="S9" i="38"/>
  <c r="S9" i="37"/>
  <c r="V45" i="17"/>
  <c r="S9" i="35"/>
  <c r="T49" i="33"/>
  <c r="P6" i="33" s="1"/>
  <c r="S18" i="33"/>
  <c r="S49" i="33" s="1"/>
  <c r="V14" i="33"/>
  <c r="P9" i="33" s="1"/>
  <c r="P7" i="33"/>
  <c r="P4" i="33"/>
  <c r="P5" i="33"/>
  <c r="V14" i="30"/>
  <c r="P9" i="30" s="1"/>
  <c r="S9" i="30" s="1"/>
  <c r="U9" i="30" s="1"/>
  <c r="S49" i="29"/>
  <c r="P5" i="32"/>
  <c r="T49" i="32"/>
  <c r="P6" i="32" s="1"/>
  <c r="S18" i="32"/>
  <c r="S49" i="32" s="1"/>
  <c r="V14" i="32"/>
  <c r="P9" i="32" s="1"/>
  <c r="P7" i="32"/>
  <c r="P4" i="32"/>
  <c r="S49" i="30"/>
  <c r="P5" i="30"/>
  <c r="T49" i="30"/>
  <c r="P6" i="30" s="1"/>
  <c r="P4" i="30"/>
  <c r="V14" i="29"/>
  <c r="P9" i="29" s="1"/>
  <c r="P7" i="29"/>
  <c r="T49" i="29"/>
  <c r="P6" i="29" s="1"/>
  <c r="P4" i="29"/>
  <c r="P5" i="29"/>
  <c r="S49" i="26"/>
  <c r="P5" i="24"/>
  <c r="V14" i="27"/>
  <c r="P9" i="27" s="1"/>
  <c r="P7" i="27"/>
  <c r="T49" i="27"/>
  <c r="P6" i="27" s="1"/>
  <c r="S18" i="27"/>
  <c r="S49" i="27" s="1"/>
  <c r="P5" i="27"/>
  <c r="P4" i="27"/>
  <c r="V14" i="26"/>
  <c r="P9" i="26" s="1"/>
  <c r="P7" i="26"/>
  <c r="T49" i="26"/>
  <c r="P6" i="26" s="1"/>
  <c r="P4" i="26"/>
  <c r="P5" i="26"/>
  <c r="V14" i="24"/>
  <c r="P9" i="24" s="1"/>
  <c r="P7" i="24"/>
  <c r="T49" i="24"/>
  <c r="P6" i="24" s="1"/>
  <c r="S18" i="24"/>
  <c r="S49" i="24" s="1"/>
  <c r="P4" i="24"/>
  <c r="P5" i="22"/>
  <c r="P7" i="22"/>
  <c r="V14" i="22"/>
  <c r="P9" i="22" s="1"/>
  <c r="T49" i="22"/>
  <c r="P6" i="22" s="1"/>
  <c r="S18" i="22"/>
  <c r="S49" i="22" s="1"/>
  <c r="S18" i="21"/>
  <c r="S49" i="21" s="1"/>
  <c r="T49" i="21"/>
  <c r="P6" i="21" s="1"/>
  <c r="P7" i="21"/>
  <c r="V14" i="21"/>
  <c r="P9" i="21" s="1"/>
  <c r="P4" i="21"/>
  <c r="P5" i="21"/>
  <c r="H49" i="17"/>
  <c r="P2" i="17" s="1"/>
  <c r="U45" i="17"/>
  <c r="V23" i="17"/>
  <c r="U23" i="17"/>
  <c r="L23" i="17"/>
  <c r="T23" i="17" s="1"/>
  <c r="S23" i="17" s="1"/>
  <c r="V31" i="17"/>
  <c r="L31" i="17"/>
  <c r="T31" i="17" s="1"/>
  <c r="S31" i="17" s="1"/>
  <c r="U31" i="17"/>
  <c r="V19" i="17"/>
  <c r="U19" i="17"/>
  <c r="L19" i="17"/>
  <c r="V27" i="17"/>
  <c r="U27" i="17"/>
  <c r="L27" i="17"/>
  <c r="T27" i="17" s="1"/>
  <c r="S27" i="17" s="1"/>
  <c r="K49" i="17"/>
  <c r="V14" i="19"/>
  <c r="P9" i="19" s="1"/>
  <c r="P7" i="19"/>
  <c r="P4" i="19"/>
  <c r="P5" i="19"/>
  <c r="T49" i="19"/>
  <c r="P6" i="19" s="1"/>
  <c r="S18" i="19"/>
  <c r="S49" i="19" s="1"/>
  <c r="V14" i="17"/>
  <c r="P9" i="17" s="1"/>
  <c r="P7" i="17"/>
  <c r="S18" i="17"/>
  <c r="H49" i="15"/>
  <c r="P2" i="15" s="1"/>
  <c r="L49" i="15"/>
  <c r="P3" i="15" s="1"/>
  <c r="P7" i="13"/>
  <c r="H49" i="13"/>
  <c r="P2" i="13" s="1"/>
  <c r="L49" i="13"/>
  <c r="P3" i="13" s="1"/>
  <c r="T18" i="13"/>
  <c r="H49" i="12"/>
  <c r="P2" i="12" s="1"/>
  <c r="L49" i="12"/>
  <c r="P3" i="12" s="1"/>
  <c r="P5" i="8"/>
  <c r="T49" i="15"/>
  <c r="P6" i="15" s="1"/>
  <c r="V14" i="15"/>
  <c r="P9" i="15" s="1"/>
  <c r="P7" i="15"/>
  <c r="S49" i="15"/>
  <c r="S9" i="13"/>
  <c r="V14" i="12"/>
  <c r="P9" i="12" s="1"/>
  <c r="P7" i="12"/>
  <c r="T49" i="12"/>
  <c r="P6" i="12" s="1"/>
  <c r="S18" i="12"/>
  <c r="S49" i="12" s="1"/>
  <c r="P7" i="11"/>
  <c r="V14" i="11"/>
  <c r="P9" i="11" s="1"/>
  <c r="P5" i="11"/>
  <c r="T49" i="11"/>
  <c r="P6" i="11" s="1"/>
  <c r="S18" i="11"/>
  <c r="S49" i="11" s="1"/>
  <c r="P4" i="11"/>
  <c r="V14" i="9"/>
  <c r="P9" i="9" s="1"/>
  <c r="P7" i="9"/>
  <c r="T49" i="9"/>
  <c r="P6" i="9" s="1"/>
  <c r="S18" i="9"/>
  <c r="S49" i="9" s="1"/>
  <c r="P4" i="9"/>
  <c r="P5" i="9"/>
  <c r="T49" i="8"/>
  <c r="P6" i="8" s="1"/>
  <c r="S18" i="8"/>
  <c r="S49" i="8" s="1"/>
  <c r="V14" i="8"/>
  <c r="P9" i="8" s="1"/>
  <c r="P7" i="8"/>
  <c r="P4" i="8"/>
  <c r="K42" i="1"/>
  <c r="L41" i="1"/>
  <c r="T41" i="1" s="1"/>
  <c r="L38" i="1"/>
  <c r="T38" i="1" s="1"/>
  <c r="U47" i="1"/>
  <c r="L29" i="1"/>
  <c r="T29" i="1" s="1"/>
  <c r="L43" i="1"/>
  <c r="T43" i="1" s="1"/>
  <c r="L40" i="1"/>
  <c r="T40" i="1" s="1"/>
  <c r="L46" i="1"/>
  <c r="T46" i="1" s="1"/>
  <c r="L39" i="1"/>
  <c r="T39" i="1" s="1"/>
  <c r="L48" i="1"/>
  <c r="T48" i="1" s="1"/>
  <c r="L45" i="1"/>
  <c r="T45" i="1" s="1"/>
  <c r="U39" i="1"/>
  <c r="V39" i="1"/>
  <c r="U43" i="1"/>
  <c r="V43" i="1"/>
  <c r="V46" i="1"/>
  <c r="U46" i="1"/>
  <c r="U45" i="1"/>
  <c r="V45" i="1"/>
  <c r="U48" i="1"/>
  <c r="V48" i="1"/>
  <c r="V40" i="1"/>
  <c r="U40" i="1"/>
  <c r="J18" i="1"/>
  <c r="U9" i="48" l="1"/>
  <c r="T9" i="48"/>
  <c r="V9" i="48" s="1"/>
  <c r="U9" i="47"/>
  <c r="T9" i="47"/>
  <c r="V9" i="47" s="1"/>
  <c r="U9" i="45"/>
  <c r="T9" i="45"/>
  <c r="V9" i="45" s="1"/>
  <c r="U9" i="42"/>
  <c r="T9" i="42"/>
  <c r="V9" i="42" s="1"/>
  <c r="U9" i="39"/>
  <c r="T9" i="39"/>
  <c r="V9" i="39" s="1"/>
  <c r="T9" i="38"/>
  <c r="V9" i="38" s="1"/>
  <c r="U9" i="38"/>
  <c r="T9" i="37"/>
  <c r="V9" i="37" s="1"/>
  <c r="U9" i="37"/>
  <c r="T9" i="35"/>
  <c r="V9" i="35" s="1"/>
  <c r="U9" i="35"/>
  <c r="S9" i="33"/>
  <c r="S9" i="32"/>
  <c r="U9" i="32" s="1"/>
  <c r="T9" i="30"/>
  <c r="V9" i="30" s="1"/>
  <c r="S9" i="27"/>
  <c r="U9" i="27" s="1"/>
  <c r="T9" i="32"/>
  <c r="V9" i="32" s="1"/>
  <c r="S9" i="29"/>
  <c r="S9" i="26"/>
  <c r="S9" i="24"/>
  <c r="S9" i="22"/>
  <c r="S9" i="21"/>
  <c r="S9" i="19"/>
  <c r="U9" i="19" s="1"/>
  <c r="T19" i="17"/>
  <c r="L49" i="17"/>
  <c r="P3" i="17" s="1"/>
  <c r="S9" i="17"/>
  <c r="P5" i="15"/>
  <c r="P4" i="15"/>
  <c r="S9" i="15"/>
  <c r="P4" i="13"/>
  <c r="P5" i="13"/>
  <c r="S18" i="13"/>
  <c r="S49" i="13" s="1"/>
  <c r="T49" i="13"/>
  <c r="P6" i="13" s="1"/>
  <c r="P4" i="12"/>
  <c r="P5" i="12"/>
  <c r="S9" i="9"/>
  <c r="U9" i="9" s="1"/>
  <c r="S9" i="8"/>
  <c r="U9" i="8" s="1"/>
  <c r="U9" i="13"/>
  <c r="T9" i="13"/>
  <c r="V9" i="13" s="1"/>
  <c r="S9" i="12"/>
  <c r="S9" i="11"/>
  <c r="K18" i="1"/>
  <c r="L18" i="1" s="1"/>
  <c r="T18" i="1" s="1"/>
  <c r="V42" i="1"/>
  <c r="U42" i="1"/>
  <c r="L42" i="1"/>
  <c r="T42" i="1" s="1"/>
  <c r="V41" i="1"/>
  <c r="U41" i="1"/>
  <c r="L44" i="1"/>
  <c r="T44" i="1" s="1"/>
  <c r="V44" i="1"/>
  <c r="U44" i="1"/>
  <c r="V47" i="1"/>
  <c r="V38" i="1"/>
  <c r="U38" i="1"/>
  <c r="L47" i="1"/>
  <c r="T47" i="1" s="1"/>
  <c r="V19" i="1"/>
  <c r="U19" i="1"/>
  <c r="L19" i="1"/>
  <c r="T19" i="1" s="1"/>
  <c r="G49" i="1"/>
  <c r="U9" i="33" l="1"/>
  <c r="T9" i="33"/>
  <c r="V9" i="33" s="1"/>
  <c r="T9" i="27"/>
  <c r="V9" i="27" s="1"/>
  <c r="U9" i="29"/>
  <c r="T9" i="29"/>
  <c r="V9" i="29" s="1"/>
  <c r="T9" i="26"/>
  <c r="V9" i="26" s="1"/>
  <c r="U9" i="26"/>
  <c r="U9" i="24"/>
  <c r="T9" i="24"/>
  <c r="V9" i="24" s="1"/>
  <c r="U9" i="22"/>
  <c r="T9" i="22"/>
  <c r="V9" i="22" s="1"/>
  <c r="U9" i="21"/>
  <c r="T9" i="21"/>
  <c r="V9" i="21" s="1"/>
  <c r="T9" i="19"/>
  <c r="V9" i="19" s="1"/>
  <c r="U9" i="17"/>
  <c r="T9" i="17"/>
  <c r="V9" i="17" s="1"/>
  <c r="P4" i="17"/>
  <c r="P5" i="17"/>
  <c r="S19" i="17"/>
  <c r="S49" i="17" s="1"/>
  <c r="T49" i="17"/>
  <c r="P6" i="17" s="1"/>
  <c r="T9" i="15"/>
  <c r="V9" i="15" s="1"/>
  <c r="U9" i="15"/>
  <c r="T9" i="9"/>
  <c r="V9" i="9" s="1"/>
  <c r="T9" i="8"/>
  <c r="V9" i="8" s="1"/>
  <c r="U9" i="12"/>
  <c r="T9" i="12"/>
  <c r="V9" i="12" s="1"/>
  <c r="U9" i="11"/>
  <c r="T9" i="11"/>
  <c r="V9" i="11" s="1"/>
  <c r="V18" i="1"/>
  <c r="U18" i="1"/>
  <c r="U20" i="1"/>
  <c r="V20" i="1"/>
  <c r="L20" i="1"/>
  <c r="T20" i="1" s="1"/>
  <c r="G17" i="1"/>
  <c r="H29" i="1" l="1"/>
  <c r="H42" i="1"/>
  <c r="H43" i="1"/>
  <c r="H47" i="1"/>
  <c r="H48" i="1"/>
  <c r="H46" i="1"/>
  <c r="H45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8" i="1"/>
  <c r="S43" i="1"/>
  <c r="S41" i="1"/>
  <c r="S46" i="1"/>
  <c r="S39" i="1"/>
  <c r="S44" i="1"/>
  <c r="S47" i="1"/>
  <c r="S40" i="1"/>
  <c r="S45" i="1"/>
  <c r="S18" i="1"/>
  <c r="S19" i="1"/>
  <c r="S21" i="1"/>
  <c r="V22" i="1"/>
  <c r="U22" i="1"/>
  <c r="L22" i="1"/>
  <c r="H49" i="1"/>
  <c r="T22" i="1" l="1"/>
  <c r="S22" i="1" s="1"/>
  <c r="P2" i="1"/>
  <c r="V23" i="1"/>
  <c r="U23" i="1"/>
  <c r="L23" i="1"/>
  <c r="R49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49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49" i="1" l="1"/>
  <c r="L49" i="1" l="1"/>
  <c r="S49" i="1"/>
  <c r="T49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<sst xmlns="http://schemas.openxmlformats.org/spreadsheetml/2006/main" count="10635" uniqueCount="650">
  <si>
    <t>Global Wholesale Machinery Inc.</t>
  </si>
  <si>
    <t>OEM Compareson Spreadsheet Instructions</t>
  </si>
  <si>
    <t>NET MARKUP% for each quote must be over 100% otherwise need approval from Quinten.</t>
  </si>
  <si>
    <t>NET MARGIN% for each quote must be over 50% otherwise need approval from Quinten.</t>
  </si>
  <si>
    <t>Customer Information Section</t>
  </si>
  <si>
    <t>Must be fully completed in OEM COMPARISON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</si>
  <si>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</si>
  <si>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</si>
  <si>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Machine Information Section</t>
  </si>
  <si>
    <t>Optional - depends on customer request.</t>
  </si>
  <si>
    <t>Information entered will be automatically transferred to RFQ, QUOTE, and SERVICE QUOTE tab.</t>
  </si>
  <si>
    <t>Machine Service Interval Section</t>
  </si>
  <si>
    <t>For internal use only. Information entered will not be transferred to RFQ, QUOTE, and SERVICE QUOTE tab.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</si>
  <si>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</si>
  <si>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</si>
  <si>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</si>
  <si>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</si>
  <si>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</si>
  <si>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</si>
  <si>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Customizable Features</t>
  </si>
  <si>
    <t>1) Show or Hide OEM Comparison in Quote or Service Quote to cusomter.</t>
  </si>
  <si>
    <t>Select from drop down option at cell J13</t>
  </si>
  <si>
    <t>2) Enter OEM pricing in USD or CAD.</t>
  </si>
  <si>
    <t>Select from drop down option at cell G17</t>
  </si>
  <si>
    <t>3) Provide customer quotes in USD or CAD.</t>
  </si>
  <si>
    <t>Select from drop down option at cell L17</t>
  </si>
  <si>
    <t>4)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</si>
  <si>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</si>
  <si>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</si>
  <si>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</si>
  <si>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</si>
  <si>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</si>
  <si>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</si>
  <si>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</si>
  <si>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</si>
  <si>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</si>
  <si>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</si>
  <si>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</si>
  <si>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</si>
  <si>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GRAHAM</t>
  </si>
  <si>
    <t>YEAR</t>
  </si>
  <si>
    <t>ENGINE OIL</t>
  </si>
  <si>
    <t>GQP LIST</t>
  </si>
  <si>
    <t>ORDER PO #</t>
  </si>
  <si>
    <t>CUSTOMER:</t>
  </si>
  <si>
    <t>MAKE</t>
  </si>
  <si>
    <t>CATERPILLAR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</si>
  <si>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</si>
  <si>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</si>
  <si>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</si>
  <si>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</si>
  <si>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</si>
  <si>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</si>
  <si>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</si>
  <si>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</si>
  <si>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</si>
  <si>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</si>
  <si>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EN400100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</si>
  <si>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</si>
  <si>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</si>
  <si>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</si>
  <si>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</si>
  <si>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</si>
  <si>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</si>
  <si>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</si>
  <si>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</si>
  <si>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</si>
  <si>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</si>
  <si>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</si>
  <si>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</si>
  <si>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</si>
  <si>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</si>
  <si>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</si>
  <si>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</si>
  <si>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</si>
  <si>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</si>
  <si>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</si>
  <si>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</si>
  <si>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</si>
  <si>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</si>
  <si>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</si>
  <si>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</si>
  <si>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NO</t>
  </si>
  <si>
    <t>YES</t>
  </si>
  <si>
    <t>CAD-USD</t>
  </si>
  <si>
    <t>USD-CAD</t>
  </si>
  <si>
    <t>OEM NAME</t>
  </si>
  <si>
    <t>CUSTOMER TYPE/TIER</t>
  </si>
  <si>
    <t>IE: VIP - Gold</t>
  </si>
  <si>
    <t>FREIGHT TOTAL ORDER</t>
  </si>
  <si>
    <t>CUSTOMS AND BROKERAGE  %</t>
  </si>
  <si>
    <t>BROKERAGE FEES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</si>
  <si>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</si>
  <si>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</si>
  <si>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</si>
  <si>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</si>
  <si>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</si>
  <si>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</si>
  <si>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</si>
  <si>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</si>
  <si>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</si>
  <si>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PRCING METHOD
%OEM / MARKUP</t>
  </si>
  <si>
    <t>OEM DISC % / MARKUP %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</si>
  <si>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</si>
  <si>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</si>
  <si>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</si>
  <si>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</si>
  <si>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</si>
  <si>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</si>
  <si>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</si>
  <si>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577-1435</t>
  </si>
  <si>
    <t>PRIMARY AIR FILTER</t>
  </si>
  <si>
    <t>OEM DISC %</t>
  </si>
  <si>
    <t>211-2660</t>
  </si>
  <si>
    <t>CAB AIR FILTER</t>
  </si>
  <si>
    <t>GQP</t>
  </si>
  <si>
    <t>331-8108</t>
  </si>
  <si>
    <t>SECONDARY AIR FILTER</t>
  </si>
  <si>
    <t>CTP</t>
  </si>
  <si>
    <t>149-1912</t>
  </si>
  <si>
    <t>BLMQ</t>
  </si>
  <si>
    <t>500-0483</t>
  </si>
  <si>
    <t>ENGINE OIL FILTER</t>
  </si>
  <si>
    <t>CAT</t>
  </si>
  <si>
    <t>500-0480</t>
  </si>
  <si>
    <t>FUEL FILTER</t>
  </si>
  <si>
    <t>FINNING</t>
  </si>
  <si>
    <t>436-7077</t>
  </si>
  <si>
    <t>FUEL/WATER SEPERATOR</t>
  </si>
  <si>
    <t>JD</t>
  </si>
  <si>
    <t>389-1076</t>
  </si>
  <si>
    <t>HYDRAULIC FILTER</t>
  </si>
  <si>
    <t>BRANDT</t>
  </si>
  <si>
    <t>328-3655</t>
  </si>
  <si>
    <t xml:space="preserve">HYDRAULIC FILTER </t>
  </si>
  <si>
    <t>PTI</t>
  </si>
  <si>
    <t>424-3445</t>
  </si>
  <si>
    <t>TURBOCHARGER</t>
  </si>
  <si>
    <t>AS REQ'D</t>
  </si>
  <si>
    <t>CONEQUIP</t>
  </si>
  <si>
    <t>153-5710</t>
  </si>
  <si>
    <t>BATTERY 12V 1400 CCA</t>
  </si>
  <si>
    <t>CANDY</t>
  </si>
  <si>
    <t>375-2810</t>
  </si>
  <si>
    <t>CAMSHAFT</t>
  </si>
  <si>
    <t>U/C</t>
  </si>
  <si>
    <t>361-5594</t>
  </si>
  <si>
    <t>CRANKSHAFT</t>
  </si>
  <si>
    <t>378-4609</t>
  </si>
  <si>
    <t>INJECTOR</t>
  </si>
  <si>
    <t>8E-5529</t>
  </si>
  <si>
    <t>BIT END</t>
  </si>
  <si>
    <t>MARKUP %</t>
  </si>
  <si>
    <t>5J-4773</t>
  </si>
  <si>
    <t>BOLTS CUTTING EDGE/BIT END</t>
  </si>
  <si>
    <t>2J-3506</t>
  </si>
  <si>
    <t>NUTS CUTTING EDGE/BIT END</t>
  </si>
  <si>
    <t>4T-2236</t>
  </si>
  <si>
    <t>CUTTING EDGE</t>
  </si>
  <si>
    <t>GB01N (20.5R25)</t>
  </si>
  <si>
    <t>TIRES 20.5R25</t>
  </si>
  <si>
    <t>TOTALS</t>
  </si>
  <si>
    <t>Cat</t>
  </si>
  <si>
    <t>526-3119</t>
  </si>
  <si>
    <t>526-3123</t>
  </si>
  <si>
    <t>523-6602</t>
  </si>
  <si>
    <t>421-5479</t>
  </si>
  <si>
    <t>569-8036</t>
  </si>
  <si>
    <t>585-9997</t>
  </si>
  <si>
    <t>586-0030</t>
  </si>
  <si>
    <t>588-1477</t>
  </si>
  <si>
    <t>115-2422</t>
  </si>
  <si>
    <t>BATTERY 12 V 1000 CCA</t>
  </si>
  <si>
    <t>546-1917</t>
  </si>
  <si>
    <t>630-8777</t>
  </si>
  <si>
    <t>563-7897</t>
  </si>
  <si>
    <t>135-9394</t>
  </si>
  <si>
    <t>159-2953</t>
  </si>
  <si>
    <t>BOLT CUTTING EDGE</t>
  </si>
  <si>
    <t>8T-4778</t>
  </si>
  <si>
    <t>NUT CUTTING EDGE</t>
  </si>
  <si>
    <t>255_RT_MTO_400x86x52_GP</t>
  </si>
  <si>
    <t>GQP CAT255 COMPLETE UC KIT</t>
  </si>
  <si>
    <t>FL704363</t>
  </si>
  <si>
    <t>0351097</t>
  </si>
  <si>
    <t>329EL Excavator/Thum</t>
  </si>
  <si>
    <t>CAT0329EAZCD00546</t>
  </si>
  <si>
    <t>327-6618</t>
  </si>
  <si>
    <t>6I-2503</t>
  </si>
  <si>
    <t>6I-2504</t>
  </si>
  <si>
    <t>322-3155</t>
  </si>
  <si>
    <t>479-4131</t>
  </si>
  <si>
    <t>360-8960</t>
  </si>
  <si>
    <t>179-9806</t>
  </si>
  <si>
    <t>HYDRAULIC FILTER RETURN</t>
  </si>
  <si>
    <t>093-7521</t>
  </si>
  <si>
    <t>HYDRAULIC FILTER CASE DRAIN</t>
  </si>
  <si>
    <t>5I-8670</t>
  </si>
  <si>
    <t>HYDRAULIC FILTER PILOT</t>
  </si>
  <si>
    <t>443-0318</t>
  </si>
  <si>
    <t>9X-3404</t>
  </si>
  <si>
    <t>BATTERY 12V 900 CCA</t>
  </si>
  <si>
    <t>336-7516</t>
  </si>
  <si>
    <t>376-4074</t>
  </si>
  <si>
    <t>370-7280</t>
  </si>
  <si>
    <t>436-5490</t>
  </si>
  <si>
    <t>CUTTING EDGE BUCKET</t>
  </si>
  <si>
    <t>2J-3507</t>
  </si>
  <si>
    <t>4J-9208</t>
  </si>
  <si>
    <t>5P-8250</t>
  </si>
  <si>
    <t>WASHER CUTTING EDGE</t>
  </si>
  <si>
    <t>329E_MS_MTO_31.5"_50LINK</t>
  </si>
  <si>
    <t>GQP CAT329E COMPLETE UC KIT</t>
  </si>
  <si>
    <t>434693</t>
  </si>
  <si>
    <t>Caterpillar</t>
  </si>
  <si>
    <t>TL1055C</t>
  </si>
  <si>
    <t>KDE00291</t>
  </si>
  <si>
    <t>222-9020</t>
  </si>
  <si>
    <t>222-9021</t>
  </si>
  <si>
    <t>7W-2326</t>
  </si>
  <si>
    <t>471-7003</t>
  </si>
  <si>
    <t>TRANSMISSION FILTER</t>
  </si>
  <si>
    <t>479-4133</t>
  </si>
  <si>
    <t>479-5810</t>
  </si>
  <si>
    <t>175-4390</t>
  </si>
  <si>
    <t>BATTERY 12V 1000CCA</t>
  </si>
  <si>
    <t>363-3890</t>
  </si>
  <si>
    <t>466-4921</t>
  </si>
  <si>
    <t>370-7286</t>
  </si>
  <si>
    <t>GR-4 (13.00R24)</t>
  </si>
  <si>
    <t>TIRE 13.00-24</t>
  </si>
  <si>
    <t>45352</t>
  </si>
  <si>
    <t>JOHN DEERE</t>
  </si>
  <si>
    <t xml:space="preserve">333G </t>
  </si>
  <si>
    <t>1T0333GKEMF405879</t>
  </si>
  <si>
    <t>PAPE MACHINERY</t>
  </si>
  <si>
    <t>MIU800650</t>
  </si>
  <si>
    <t>MIU802421</t>
  </si>
  <si>
    <t>PRIMARY FUEL FILTER</t>
  </si>
  <si>
    <t>MIU805005</t>
  </si>
  <si>
    <t>FINAL FUEL FILTER</t>
  </si>
  <si>
    <t>AT495722</t>
  </si>
  <si>
    <t>AT314164</t>
  </si>
  <si>
    <t>AT441536</t>
  </si>
  <si>
    <t>AT359416</t>
  </si>
  <si>
    <t>KV16429</t>
  </si>
  <si>
    <t>AT171854</t>
  </si>
  <si>
    <t>MIA881102</t>
  </si>
  <si>
    <t>MIA884648</t>
  </si>
  <si>
    <t>MIA882116</t>
  </si>
  <si>
    <t>MIU804361</t>
  </si>
  <si>
    <t>TY25879</t>
  </si>
  <si>
    <t>BATTERY 12 V 925 CCA</t>
  </si>
  <si>
    <t>T32742</t>
  </si>
  <si>
    <t>10H1047</t>
  </si>
  <si>
    <t>14H794</t>
  </si>
  <si>
    <t>333G_RT__MTO_450x86x58_GP</t>
  </si>
  <si>
    <t>GQP JD333G COMPLETE UC KIT</t>
  </si>
  <si>
    <t>411434</t>
  </si>
  <si>
    <t>John Deere</t>
  </si>
  <si>
    <t>470P</t>
  </si>
  <si>
    <t>1FF470PAKNF000027</t>
  </si>
  <si>
    <t>RE572785</t>
  </si>
  <si>
    <t>DZ130550</t>
  </si>
  <si>
    <t>DZ112918</t>
  </si>
  <si>
    <t>AT365869</t>
  </si>
  <si>
    <t>AT539500</t>
  </si>
  <si>
    <t xml:space="preserve">HYDRAULIC FILTER PILOT </t>
  </si>
  <si>
    <t>AT308575</t>
  </si>
  <si>
    <t>TT220747</t>
  </si>
  <si>
    <t>4S00686R</t>
  </si>
  <si>
    <t>FYA00001490R</t>
  </si>
  <si>
    <t>RE560656</t>
  </si>
  <si>
    <t>RE539339</t>
  </si>
  <si>
    <t>DZ102306</t>
  </si>
  <si>
    <t>DZ123421</t>
  </si>
  <si>
    <t>R534321</t>
  </si>
  <si>
    <t>TY23020B</t>
  </si>
  <si>
    <t>BATTERY</t>
  </si>
  <si>
    <t>TK550FD</t>
  </si>
  <si>
    <t>BUCKET TOOTH</t>
  </si>
  <si>
    <t>470_MS_MTO_29.5"_53LINK</t>
  </si>
  <si>
    <t>GQP JD470 COMPLETE UC KIT</t>
  </si>
  <si>
    <t>45038</t>
  </si>
  <si>
    <t>624K</t>
  </si>
  <si>
    <t>DW624KP625638</t>
  </si>
  <si>
    <t>RE504836</t>
  </si>
  <si>
    <t>AT367635</t>
  </si>
  <si>
    <t>AXLE OIL FILTERS</t>
  </si>
  <si>
    <t>RE541922</t>
  </si>
  <si>
    <t>RE522878</t>
  </si>
  <si>
    <t>AT365870</t>
  </si>
  <si>
    <t>AT223493</t>
  </si>
  <si>
    <t>INLINE FUEL FILTER</t>
  </si>
  <si>
    <t>AT468647</t>
  </si>
  <si>
    <t>TRANSMISSION OIL FILTER</t>
  </si>
  <si>
    <t>AT300487</t>
  </si>
  <si>
    <t>AT314583</t>
  </si>
  <si>
    <t>AT191102</t>
  </si>
  <si>
    <t>AT307501</t>
  </si>
  <si>
    <t>DZ100217</t>
  </si>
  <si>
    <t>RE505921</t>
  </si>
  <si>
    <t>RE528950</t>
  </si>
  <si>
    <t>DZ108149</t>
  </si>
  <si>
    <t>TY25879B</t>
  </si>
  <si>
    <t>BATTERY 12V 950CCA</t>
  </si>
  <si>
    <t>T157492</t>
  </si>
  <si>
    <t>T146672</t>
  </si>
  <si>
    <t>CUTTING EDGE ENDS</t>
  </si>
  <si>
    <t>T146934</t>
  </si>
  <si>
    <t>14H1058</t>
  </si>
  <si>
    <t>TIRE 20.5R25</t>
  </si>
  <si>
    <t>4002100</t>
  </si>
  <si>
    <t>100764XK80201923</t>
  </si>
  <si>
    <t>AT318160</t>
  </si>
  <si>
    <t>DZ108160</t>
  </si>
  <si>
    <t>BATTERY 12V 950 CCA</t>
  </si>
  <si>
    <t>T224179</t>
  </si>
  <si>
    <t>T223519</t>
  </si>
  <si>
    <t>BIT END RH</t>
  </si>
  <si>
    <t>T223520</t>
  </si>
  <si>
    <t>BIT END LH</t>
  </si>
  <si>
    <t>T70286</t>
  </si>
  <si>
    <t>T10510</t>
  </si>
  <si>
    <t>764_RT__MTO_70"x70"x6.5"_GP</t>
  </si>
  <si>
    <t>GQP CAT764 COMPLETE UC KIT</t>
  </si>
  <si>
    <t>40047</t>
  </si>
  <si>
    <t>Komatsu</t>
  </si>
  <si>
    <t>D71PX-24</t>
  </si>
  <si>
    <t>70181</t>
  </si>
  <si>
    <t>600-185-5100</t>
  </si>
  <si>
    <t>AIR FILTER KIT</t>
  </si>
  <si>
    <t>600-319-3750</t>
  </si>
  <si>
    <t>6742-01-4540</t>
  </si>
  <si>
    <t>600-319-3610</t>
  </si>
  <si>
    <t>423-60-45461</t>
  </si>
  <si>
    <t>HYDRAULIC FILTER TANK</t>
  </si>
  <si>
    <t>12Y-979-1174</t>
  </si>
  <si>
    <t>12Y-979-6180</t>
  </si>
  <si>
    <t>6746-31-1120</t>
  </si>
  <si>
    <t>6745-41-1110</t>
  </si>
  <si>
    <t>6747-81-8020 </t>
  </si>
  <si>
    <t>6746-11-3100</t>
  </si>
  <si>
    <t>14Y-71-11330</t>
  </si>
  <si>
    <t>14Y-71-11340</t>
  </si>
  <si>
    <t>13G-72-61420</t>
  </si>
  <si>
    <t>14X-72-51610</t>
  </si>
  <si>
    <t>02090-11270</t>
  </si>
  <si>
    <t>BOLT BIT END</t>
  </si>
  <si>
    <t>02290-11219</t>
  </si>
  <si>
    <t>NUT CUTTING EDGE/BIT END</t>
  </si>
  <si>
    <t>144-78-11245</t>
  </si>
  <si>
    <t>RIPPER SHANK</t>
  </si>
  <si>
    <t>141-78-11253</t>
  </si>
  <si>
    <t>TOOTH RIPPER</t>
  </si>
  <si>
    <t>09244-02508</t>
  </si>
  <si>
    <t>TOOTH PIN</t>
  </si>
  <si>
    <t>D71PX-24_MS_MTO_36"_45LINK</t>
  </si>
  <si>
    <t>GQP KOMATSU D71PX-24 COMPLETE UC KIT</t>
  </si>
  <si>
    <t>40046</t>
  </si>
  <si>
    <t>70180</t>
  </si>
  <si>
    <t>400481</t>
  </si>
  <si>
    <t>70673</t>
  </si>
  <si>
    <t>400482</t>
  </si>
  <si>
    <t>70689</t>
  </si>
  <si>
    <t>400483</t>
  </si>
  <si>
    <t>70685</t>
  </si>
  <si>
    <t>400484</t>
  </si>
  <si>
    <t>71422</t>
  </si>
  <si>
    <t>400486</t>
  </si>
  <si>
    <t>71426</t>
  </si>
  <si>
    <t>443907</t>
  </si>
  <si>
    <t>HM400-5</t>
  </si>
  <si>
    <t>11632</t>
  </si>
  <si>
    <t>600-211-1341 </t>
  </si>
  <si>
    <t>600-319-3841</t>
  </si>
  <si>
    <t>600-319-4801</t>
  </si>
  <si>
    <t>714-07-28713</t>
  </si>
  <si>
    <t>426-07-32441</t>
  </si>
  <si>
    <t>207-60-71183</t>
  </si>
  <si>
    <t>208-60-71124</t>
  </si>
  <si>
    <t>HYDRAULIC FILTER ACCUMULATOR</t>
  </si>
  <si>
    <t>600-185-6120.</t>
  </si>
  <si>
    <t>600-185-6110</t>
  </si>
  <si>
    <t>6262-11-3200</t>
  </si>
  <si>
    <t>6508-12-5010</t>
  </si>
  <si>
    <t>6261-31-1200 </t>
  </si>
  <si>
    <t>6263-41-1010</t>
  </si>
  <si>
    <t>08003-3190H</t>
  </si>
  <si>
    <t xml:space="preserve">BATTERY </t>
  </si>
  <si>
    <t>56B-30-13140</t>
  </si>
  <si>
    <t>TIRE 29.5-R25</t>
  </si>
  <si>
    <t xml:space="preserve">444086 </t>
  </si>
  <si>
    <t>12968</t>
  </si>
  <si>
    <t>443863</t>
  </si>
  <si>
    <t>11634</t>
  </si>
  <si>
    <t>443862</t>
  </si>
  <si>
    <t>11454</t>
  </si>
  <si>
    <t>44385</t>
  </si>
  <si>
    <t>11640</t>
  </si>
  <si>
    <t>443825</t>
  </si>
  <si>
    <t>12428</t>
  </si>
  <si>
    <t>443824</t>
  </si>
  <si>
    <t>12427</t>
  </si>
  <si>
    <t>443823</t>
  </si>
  <si>
    <t>12422</t>
  </si>
  <si>
    <t>44378</t>
  </si>
  <si>
    <t>11948</t>
  </si>
  <si>
    <t>44374</t>
  </si>
  <si>
    <t>11937</t>
  </si>
  <si>
    <t>44373</t>
  </si>
  <si>
    <t>HM400</t>
  </si>
  <si>
    <t>11452</t>
  </si>
  <si>
    <t>44372</t>
  </si>
  <si>
    <t>11451</t>
  </si>
  <si>
    <t>44371</t>
  </si>
  <si>
    <t>11913</t>
  </si>
  <si>
    <t>44345</t>
  </si>
  <si>
    <t>12534</t>
  </si>
  <si>
    <t>4108012</t>
  </si>
  <si>
    <t>PC138USLC-11</t>
  </si>
  <si>
    <t>60030</t>
  </si>
  <si>
    <t>600-211-2111</t>
  </si>
  <si>
    <t>600-319-4110</t>
  </si>
  <si>
    <t>17M-911-3530</t>
  </si>
  <si>
    <t>ND145530-1210</t>
  </si>
  <si>
    <t xml:space="preserve">423-60-45461  </t>
  </si>
  <si>
    <t>600-185-2510</t>
  </si>
  <si>
    <t>600-185-2520</t>
  </si>
  <si>
    <t>600-319-3881</t>
  </si>
  <si>
    <t>6276-81-8100</t>
  </si>
  <si>
    <t>6271-31-1110</t>
  </si>
  <si>
    <t>6275-41-1500</t>
  </si>
  <si>
    <t>6276-11-3100</t>
  </si>
  <si>
    <t>22B-06-22311</t>
  </si>
  <si>
    <t>K15SYL</t>
  </si>
  <si>
    <t>TOOTH BUCKET</t>
  </si>
  <si>
    <t>KP15C</t>
  </si>
  <si>
    <t>PIN TOOTH</t>
  </si>
  <si>
    <t>PC138USLC_MS_MTO_23.6"_46LINK</t>
  </si>
  <si>
    <t>GQP KOMATSU PC138USLC-11 COMPLETE UC KIT</t>
  </si>
  <si>
    <t>410961</t>
  </si>
  <si>
    <t>PC238USLC-11</t>
  </si>
  <si>
    <t>7638</t>
  </si>
  <si>
    <t>PC238USLC_MS_MTO_27.6"_50LINK</t>
  </si>
  <si>
    <t>GQP KOMATSU PC238USLC-11 COMPLETE UC KIT</t>
  </si>
  <si>
    <t>41163</t>
  </si>
  <si>
    <t>9383</t>
  </si>
  <si>
    <t>600-185-3110</t>
  </si>
  <si>
    <t>600-185-3120</t>
  </si>
  <si>
    <t>6736-51-5142</t>
  </si>
  <si>
    <t>ND145530-2040</t>
  </si>
  <si>
    <t>6756-81-8130</t>
  </si>
  <si>
    <t>6754-32-1330</t>
  </si>
  <si>
    <t>6754-41-1100</t>
  </si>
  <si>
    <t>6755-11-3100</t>
  </si>
  <si>
    <t>08003-C145F</t>
  </si>
  <si>
    <t>** NO GET LISTED **</t>
  </si>
  <si>
    <t>450464</t>
  </si>
  <si>
    <t>WA380-8</t>
  </si>
  <si>
    <t>16175</t>
  </si>
  <si>
    <t>600-185-4110</t>
  </si>
  <si>
    <t>600-185-4120</t>
  </si>
  <si>
    <t>569-15-51732</t>
  </si>
  <si>
    <t>423-07-52411</t>
  </si>
  <si>
    <t>08003-C165G</t>
  </si>
  <si>
    <t>6756-81-8140</t>
  </si>
  <si>
    <t>424-815-A140</t>
  </si>
  <si>
    <t>424-815-A130</t>
  </si>
  <si>
    <t>02090-11485</t>
  </si>
  <si>
    <t>NH12C78LP</t>
  </si>
  <si>
    <t>01643-32260</t>
  </si>
  <si>
    <t>450220</t>
  </si>
  <si>
    <t>A75990</t>
  </si>
  <si>
    <t>411386</t>
  </si>
  <si>
    <t>PC490LC-11</t>
  </si>
  <si>
    <t>A42804</t>
  </si>
  <si>
    <t>600-211-1341</t>
  </si>
  <si>
    <t> 600-319-4540LP</t>
  </si>
  <si>
    <t>2A5-979-1551</t>
  </si>
  <si>
    <t>600-185-6120</t>
  </si>
  <si>
    <t>6252-31-1010</t>
  </si>
  <si>
    <t>6252-41-1010</t>
  </si>
  <si>
    <t>6507-12-5010</t>
  </si>
  <si>
    <t>6252-11-3100</t>
  </si>
  <si>
    <t>2A5-06-A1010</t>
  </si>
  <si>
    <t>K40SYL</t>
  </si>
  <si>
    <t>KP40C</t>
  </si>
  <si>
    <t>PC490LC_MS_MT_31.5"_49LINK</t>
  </si>
  <si>
    <t>GQP KOMATSU PC490LC-11 COMPLETE UC KIT</t>
  </si>
  <si>
    <t>411383</t>
  </si>
  <si>
    <t>A42774</t>
  </si>
  <si>
    <t>411384</t>
  </si>
  <si>
    <t>A42788</t>
  </si>
  <si>
    <t>A42800</t>
  </si>
  <si>
    <t>4113821</t>
  </si>
  <si>
    <t>A43077</t>
  </si>
  <si>
    <t>411411</t>
  </si>
  <si>
    <t>KMTPC251AMWA42987</t>
  </si>
  <si>
    <t>411413</t>
  </si>
  <si>
    <t>KMTPC251JMWA42970</t>
  </si>
  <si>
    <t>411414</t>
  </si>
  <si>
    <t>KMTPC251KMWA42918</t>
  </si>
  <si>
    <t>450316</t>
  </si>
  <si>
    <t>WA320-8</t>
  </si>
  <si>
    <t>86741</t>
  </si>
  <si>
    <t>418-18-34160</t>
  </si>
  <si>
    <t>418-60-55151</t>
  </si>
  <si>
    <t>CAB FILTER</t>
  </si>
  <si>
    <t>423-07-52441</t>
  </si>
  <si>
    <t>08000-D2213</t>
  </si>
  <si>
    <t>419-815-A110</t>
  </si>
  <si>
    <t>419-815-A120</t>
  </si>
  <si>
    <t>02090-11685</t>
  </si>
  <si>
    <t>NH12C1LP</t>
  </si>
  <si>
    <t>01643-22460</t>
  </si>
  <si>
    <t>419-30-11600</t>
  </si>
  <si>
    <t>450322</t>
  </si>
  <si>
    <t>Wa320Pz-6</t>
  </si>
  <si>
    <t>72965</t>
  </si>
  <si>
    <t>41183</t>
  </si>
  <si>
    <t>PC360LC-11</t>
  </si>
  <si>
    <t>A37612</t>
  </si>
  <si>
    <t>600-185-5110</t>
  </si>
  <si>
    <t>600-185-5120</t>
  </si>
  <si>
    <t> 207-970-5121</t>
  </si>
  <si>
    <t>6747-81-8011</t>
  </si>
  <si>
    <t>K30SYL</t>
  </si>
  <si>
    <t>KP30C</t>
  </si>
  <si>
    <t>PTI TOOTH</t>
  </si>
  <si>
    <t>PC360LC_MS_MTO_27.6_48LINK</t>
  </si>
  <si>
    <t>GQP KOMATSU PC360LC-11 COMPLETE UC KIT</t>
  </si>
  <si>
    <t>411418</t>
  </si>
  <si>
    <t>A39298</t>
  </si>
  <si>
    <t>411421</t>
  </si>
  <si>
    <t>A39301</t>
  </si>
  <si>
    <t>450478</t>
  </si>
  <si>
    <t>WA475-10</t>
  </si>
  <si>
    <t>120685</t>
  </si>
  <si>
    <t>600-319-4540LP</t>
  </si>
  <si>
    <t>14X-49-61410</t>
  </si>
  <si>
    <t>421-07-72450</t>
  </si>
  <si>
    <t>6507-21-5010</t>
  </si>
  <si>
    <t>421-815-3210</t>
  </si>
  <si>
    <t>421-815-3220</t>
  </si>
  <si>
    <t>CUTING EDGE</t>
  </si>
  <si>
    <t>BOLTS CUTTING EDGE</t>
  </si>
  <si>
    <t>GLC8S (26.5R25)</t>
  </si>
  <si>
    <t>TIRE 26.5-R25</t>
  </si>
  <si>
    <t>411293</t>
  </si>
  <si>
    <t>PC290LC-11</t>
  </si>
  <si>
    <t>K73136</t>
  </si>
  <si>
    <t>PC290LC_MS_MTO_31.5_48LINK</t>
  </si>
  <si>
    <t>GQP KOMATSU PC290LC-11 COMPLETE UC KIT</t>
  </si>
  <si>
    <t>400276</t>
  </si>
  <si>
    <t>D61PX-24</t>
  </si>
  <si>
    <t>B60814</t>
  </si>
  <si>
    <t>22P-60-21161</t>
  </si>
  <si>
    <t>11Y-60-28712</t>
  </si>
  <si>
    <t>6756-81-8330</t>
  </si>
  <si>
    <t>134-06-61540</t>
  </si>
  <si>
    <t>13G-72-61410</t>
  </si>
  <si>
    <t>13G-72-63250</t>
  </si>
  <si>
    <t>02090-11265</t>
  </si>
  <si>
    <t>NH12C34LP</t>
  </si>
  <si>
    <t>D61PX_MS_MTO_33.9"_46LINK</t>
  </si>
  <si>
    <t>GQP KOMATSU D61PX-24 COMPLETE UC KIT</t>
  </si>
  <si>
    <t>BOMAG</t>
  </si>
  <si>
    <t>BW211</t>
  </si>
  <si>
    <t>901583251951,</t>
  </si>
  <si>
    <t>WATER SEPARATOR FUEL FILTER</t>
  </si>
  <si>
    <t>FUEL FILTER ELEMENT</t>
  </si>
  <si>
    <t>HYDRAULIC OIL FILTER</t>
  </si>
  <si>
    <t xml:space="preserve">SEAT AS </t>
  </si>
  <si>
    <t>BATTERY 12V 170 Ah</t>
  </si>
  <si>
    <t>INJECTORS</t>
  </si>
  <si>
    <t>CYLINDER HEAD</t>
  </si>
  <si>
    <t>TIRE 23.1-26 12PR</t>
  </si>
  <si>
    <t>GASKET KIT</t>
  </si>
  <si>
    <t>PLATINUM ENGINE OVERHAUL KIT</t>
  </si>
  <si>
    <t>CYLINDER HEAD GASKET (1.20MM)*</t>
  </si>
  <si>
    <t>PISTON (STANDARD)</t>
  </si>
  <si>
    <t>PISTON RING SET</t>
  </si>
  <si>
    <t>CONNECTING ROD</t>
  </si>
  <si>
    <t>MAIN BEARING SET</t>
  </si>
  <si>
    <t>CONNECTING ROD BEARING SET</t>
  </si>
  <si>
    <t>THRUST WASHER SET</t>
  </si>
  <si>
    <t>CYLINDER HEAD AS</t>
  </si>
  <si>
    <t>INTAKE VALVE</t>
  </si>
  <si>
    <t>EXHAUST VALVE</t>
  </si>
  <si>
    <t>GUIDE VALVE</t>
  </si>
  <si>
    <t>INJECTOR VALVE</t>
  </si>
  <si>
    <t>OIL PUMP</t>
  </si>
  <si>
    <t>Graham</t>
  </si>
  <si>
    <t>BOBCAT</t>
  </si>
  <si>
    <t>T66</t>
  </si>
  <si>
    <t>B4SB25667</t>
  </si>
  <si>
    <t>FUEL WATER SEPARATOR FILTER</t>
  </si>
  <si>
    <t>HYDRAULIC OIL FILTER ELEMENT</t>
  </si>
  <si>
    <t>PRIMARY AIR FILTER ELEMENT (OUTER)</t>
  </si>
  <si>
    <t>SECONDARY AIR FILTER ELEMENT</t>
  </si>
  <si>
    <t>CABIN AIR FILTER ELEMENT</t>
  </si>
  <si>
    <t>SPROCKET</t>
  </si>
  <si>
    <t>74" Bucket - Severe Duty</t>
  </si>
  <si>
    <t>Rubber Track - 320x86x50</t>
  </si>
  <si>
    <t>Front Track Idler</t>
  </si>
  <si>
    <t>Rear Track Idler</t>
  </si>
  <si>
    <t>Rollers</t>
  </si>
  <si>
    <t>Upper Gasket Kit</t>
  </si>
  <si>
    <t>Lower Gasket Kit</t>
  </si>
  <si>
    <t>CRANKSHAFT / Gear</t>
  </si>
  <si>
    <t>Turbocharger AS</t>
  </si>
  <si>
    <t>Battery GP</t>
  </si>
  <si>
    <t>Injector</t>
  </si>
  <si>
    <t>T64</t>
  </si>
  <si>
    <t>B4SD19736</t>
  </si>
  <si>
    <t>Front Idlers</t>
  </si>
  <si>
    <t>Rear Idlers</t>
  </si>
  <si>
    <t>Peterbilt</t>
  </si>
  <si>
    <t>2NP3LJ06LM682275</t>
  </si>
  <si>
    <t>FS1003FLG</t>
  </si>
  <si>
    <t>Separator FUE ME2B</t>
  </si>
  <si>
    <t>AF4878FLG</t>
  </si>
  <si>
    <t>Filter - Air MH3B</t>
  </si>
  <si>
    <t>5S013817</t>
  </si>
  <si>
    <t>Filter - HVAC C PEG8</t>
  </si>
  <si>
    <t>FF63041NNFLG</t>
  </si>
  <si>
    <t>Filter - Fuel MD4D</t>
  </si>
  <si>
    <t>LF14002NNFLG</t>
  </si>
  <si>
    <t>Lube Filter MB3C</t>
  </si>
  <si>
    <t>Turbocharger Kit</t>
  </si>
  <si>
    <t xml:space="preserve">Battery GP - 31T CCA 950A </t>
  </si>
  <si>
    <t>2NP3LJ06NM800232</t>
  </si>
  <si>
    <t>2NP3LJ06NM800233</t>
  </si>
  <si>
    <t>Motor Grader</t>
  </si>
  <si>
    <t>Compact Track Loader</t>
  </si>
  <si>
    <t>45357 - 1</t>
  </si>
  <si>
    <t>45357 - 2</t>
  </si>
  <si>
    <t>45357 - 3</t>
  </si>
  <si>
    <t>Excavator</t>
  </si>
  <si>
    <t>Telehandler</t>
  </si>
  <si>
    <t>Hydraulic Excavator</t>
  </si>
  <si>
    <t>Wheel Loader</t>
  </si>
  <si>
    <t>Dozer</t>
  </si>
  <si>
    <t>Crawler Dozer</t>
  </si>
  <si>
    <t>Articulated Dump Truck</t>
  </si>
  <si>
    <t>411384 - 1</t>
  </si>
  <si>
    <t>A42788 - 1</t>
  </si>
  <si>
    <t>Single Drum Vibratory Roller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</si>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</sst>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363636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8E8E8"/>
        <bgColor rgb="FF000000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98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44" fontId="7" fillId="0" borderId="2" xfId="1" applyFont="1" applyFill="1" applyBorder="1" applyProtection="1">
      <protection locked="0"/>
    </xf>
    <xf numFmtId="44" fontId="7" fillId="0" borderId="2" xfId="1" applyFont="1" applyFill="1" applyBorder="1" applyProtection="1"/>
    <xf numFmtId="44" fontId="7" fillId="0" borderId="7" xfId="1" applyFont="1" applyFill="1" applyBorder="1" applyProtection="1"/>
    <xf numFmtId="4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44" fontId="7" fillId="0" borderId="1" xfId="1" applyFont="1" applyFill="1" applyBorder="1" applyProtection="1">
      <protection locked="0"/>
    </xf>
    <xf numFmtId="44" fontId="7" fillId="0" borderId="1" xfId="1" applyFont="1" applyFill="1" applyBorder="1" applyProtection="1"/>
    <xf numFmtId="4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44" fontId="7" fillId="10" borderId="2" xfId="1" applyFont="1" applyFill="1" applyBorder="1" applyProtection="1"/>
    <xf numFmtId="44" fontId="7" fillId="10" borderId="7" xfId="1" applyFont="1" applyFill="1" applyBorder="1" applyProtection="1"/>
    <xf numFmtId="4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4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44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4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44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44" fontId="4" fillId="10" borderId="1" xfId="1" applyFont="1" applyFill="1" applyBorder="1" applyAlignment="1" applyProtection="1">
      <alignment horizontal="center"/>
    </xf>
    <xf numFmtId="44" fontId="4" fillId="10" borderId="1" xfId="0" applyNumberFormat="1" applyFont="1" applyFill="1" applyBorder="1" applyAlignment="1">
      <alignment horizontal="right"/>
    </xf>
    <xf numFmtId="44" fontId="4" fillId="10" borderId="1" xfId="0" applyNumberFormat="1" applyFont="1" applyFill="1" applyBorder="1"/>
    <xf numFmtId="44" fontId="26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4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3" fillId="9" borderId="30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44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8" fillId="0" borderId="0" xfId="0" applyFont="1"/>
    <xf numFmtId="0" fontId="27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44" fontId="7" fillId="10" borderId="2" xfId="1" applyFont="1" applyFill="1" applyBorder="1" applyProtection="1">
      <protection locked="0"/>
    </xf>
    <xf numFmtId="11" fontId="3" fillId="0" borderId="2" xfId="0" applyNumberFormat="1" applyFont="1" applyBorder="1" applyAlignment="1" applyProtection="1">
      <alignment horizontal="left"/>
      <protection locked="0"/>
    </xf>
    <xf numFmtId="44" fontId="7" fillId="0" borderId="2" xfId="1" applyFont="1" applyFill="1" applyBorder="1" applyAlignment="1" applyProtection="1">
      <protection locked="0"/>
    </xf>
    <xf numFmtId="44" fontId="7" fillId="0" borderId="2" xfId="1" applyFont="1" applyFill="1" applyBorder="1" applyAlignment="1" applyProtection="1"/>
    <xf numFmtId="44" fontId="7" fillId="0" borderId="7" xfId="1" applyFont="1" applyFill="1" applyBorder="1" applyAlignment="1" applyProtection="1"/>
    <xf numFmtId="44" fontId="7" fillId="5" borderId="13" xfId="1" applyFont="1" applyFill="1" applyBorder="1" applyAlignment="1" applyProtection="1"/>
    <xf numFmtId="9" fontId="7" fillId="0" borderId="7" xfId="2" applyFont="1" applyBorder="1" applyAlignment="1" applyProtection="1">
      <protection locked="0"/>
    </xf>
    <xf numFmtId="9" fontId="7" fillId="5" borderId="13" xfId="2" applyFont="1" applyFill="1" applyBorder="1" applyAlignment="1" applyProtection="1"/>
    <xf numFmtId="44" fontId="7" fillId="0" borderId="1" xfId="1" applyFont="1" applyFill="1" applyBorder="1" applyAlignment="1" applyProtection="1">
      <protection locked="0"/>
    </xf>
    <xf numFmtId="44" fontId="7" fillId="0" borderId="1" xfId="1" applyFont="1" applyFill="1" applyBorder="1" applyAlignment="1" applyProtection="1"/>
    <xf numFmtId="10" fontId="7" fillId="0" borderId="1" xfId="2" applyNumberFormat="1" applyFont="1" applyBorder="1" applyAlignment="1" applyProtection="1"/>
    <xf numFmtId="10" fontId="7" fillId="0" borderId="0" xfId="2" applyNumberFormat="1" applyFont="1" applyBorder="1" applyAlignment="1" applyProtection="1">
      <protection locked="0"/>
    </xf>
    <xf numFmtId="10" fontId="7" fillId="6" borderId="0" xfId="2" applyNumberFormat="1" applyFont="1" applyFill="1" applyBorder="1" applyAlignment="1" applyProtection="1"/>
    <xf numFmtId="44" fontId="7" fillId="3" borderId="1" xfId="1" applyFont="1" applyFill="1" applyBorder="1" applyAlignment="1" applyProtection="1">
      <protection locked="0"/>
    </xf>
    <xf numFmtId="44" fontId="7" fillId="10" borderId="2" xfId="1" applyFont="1" applyFill="1" applyBorder="1" applyAlignment="1" applyProtection="1"/>
    <xf numFmtId="44" fontId="7" fillId="10" borderId="7" xfId="1" applyFont="1" applyFill="1" applyBorder="1" applyAlignment="1" applyProtection="1"/>
    <xf numFmtId="44" fontId="7" fillId="6" borderId="13" xfId="1" applyFont="1" applyFill="1" applyBorder="1" applyAlignment="1" applyProtection="1"/>
    <xf numFmtId="44" fontId="7" fillId="10" borderId="2" xfId="1" applyFont="1" applyFill="1" applyBorder="1" applyAlignment="1" applyProtection="1">
      <protection locked="0"/>
    </xf>
    <xf numFmtId="9" fontId="7" fillId="3" borderId="3" xfId="2" applyFont="1" applyFill="1" applyBorder="1" applyAlignment="1" applyProtection="1">
      <protection locked="0"/>
    </xf>
    <xf numFmtId="44" fontId="7" fillId="10" borderId="1" xfId="1" applyFont="1" applyFill="1" applyBorder="1" applyAlignment="1" applyProtection="1"/>
    <xf numFmtId="44" fontId="7" fillId="12" borderId="1" xfId="1" applyFont="1" applyFill="1" applyBorder="1" applyAlignment="1" applyProtection="1"/>
    <xf numFmtId="10" fontId="7" fillId="10" borderId="1" xfId="2" applyNumberFormat="1" applyFont="1" applyFill="1" applyBorder="1" applyAlignment="1" applyProtection="1"/>
    <xf numFmtId="10" fontId="7" fillId="3" borderId="0" xfId="2" applyNumberFormat="1" applyFont="1" applyFill="1" applyBorder="1" applyAlignment="1" applyProtection="1">
      <protection locked="0"/>
    </xf>
    <xf numFmtId="9" fontId="7" fillId="0" borderId="3" xfId="2" applyFont="1" applyBorder="1" applyAlignment="1" applyProtection="1">
      <protection locked="0"/>
    </xf>
    <xf numFmtId="0" fontId="29" fillId="0" borderId="2" xfId="0" applyFont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29" fillId="14" borderId="1" xfId="0" applyFont="1" applyFill="1" applyBorder="1" applyAlignment="1">
      <alignment horizontal="left"/>
    </xf>
    <xf numFmtId="0" fontId="29" fillId="14" borderId="3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21" fillId="9" borderId="42" xfId="0" applyFont="1" applyFill="1" applyBorder="1" applyAlignment="1">
      <alignment horizontal="center" vertical="center"/>
    </xf>
    <xf numFmtId="0" fontId="21" fillId="9" borderId="39" xfId="0" applyFont="1" applyFill="1" applyBorder="1" applyAlignment="1">
      <alignment horizontal="center" vertical="center"/>
    </xf>
    <xf numFmtId="0" fontId="21" fillId="9" borderId="30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0" fontId="21" fillId="9" borderId="49" xfId="0" applyFont="1" applyFill="1" applyBorder="1" applyAlignment="1">
      <alignment horizontal="center" vertical="center" wrapText="1"/>
    </xf>
    <xf numFmtId="0" fontId="21" fillId="9" borderId="50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 wrapText="1"/>
    </xf>
    <xf numFmtId="0" fontId="17" fillId="9" borderId="51" xfId="0" applyFont="1" applyFill="1" applyBorder="1" applyAlignment="1">
      <alignment horizontal="center" vertical="center" wrapText="1"/>
    </xf>
    <xf numFmtId="0" fontId="17" fillId="9" borderId="50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0" fontId="17" fillId="9" borderId="37" xfId="0" applyFont="1" applyFill="1" applyBorder="1" applyAlignment="1">
      <alignment horizontal="center" vertical="center"/>
    </xf>
    <xf numFmtId="0" fontId="17" fillId="9" borderId="38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/>
    </xf>
    <xf numFmtId="0" fontId="22" fillId="2" borderId="26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 vertical="center" wrapText="1"/>
    </xf>
    <xf numFmtId="0" fontId="18" fillId="9" borderId="40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0" fontId="19" fillId="9" borderId="58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27" xfId="0" applyFont="1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/>
    </xf>
    <xf numFmtId="0" fontId="19" fillId="9" borderId="52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42" xfId="0" applyFont="1" applyFill="1" applyBorder="1" applyAlignment="1">
      <alignment horizontal="center" vertical="center" wrapText="1"/>
    </xf>
    <xf numFmtId="0" fontId="20" fillId="9" borderId="39" xfId="0" applyFont="1" applyFill="1" applyBorder="1" applyAlignment="1">
      <alignment horizontal="center" vertical="center" wrapText="1"/>
    </xf>
    <xf numFmtId="0" fontId="20" fillId="9" borderId="52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9" fillId="9" borderId="45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19" fillId="9" borderId="46" xfId="0" applyFont="1" applyFill="1" applyBorder="1" applyAlignment="1">
      <alignment horizontal="center" vertical="center"/>
    </xf>
    <xf numFmtId="0" fontId="18" fillId="9" borderId="54" xfId="0" applyFont="1" applyFill="1" applyBorder="1" applyAlignment="1">
      <alignment horizontal="center" vertical="center" wrapText="1"/>
    </xf>
    <xf numFmtId="0" fontId="18" fillId="9" borderId="55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166" fontId="4" fillId="7" borderId="60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13" borderId="3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0" fillId="4" borderId="5" xfId="0" applyFont="1" applyFill="1" applyBorder="1" applyAlignment="1">
      <alignment horizontal="right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59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10" fillId="4" borderId="47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0" fillId="4" borderId="48" xfId="0" applyFont="1" applyFill="1" applyBorder="1" applyAlignment="1">
      <alignment horizontal="right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166" fontId="9" fillId="0" borderId="48" xfId="0" applyNumberFormat="1" applyFont="1" applyBorder="1" applyAlignment="1">
      <alignment horizontal="center"/>
    </xf>
    <xf numFmtId="166" fontId="9" fillId="0" borderId="46" xfId="0" applyNumberFormat="1" applyFont="1" applyBorder="1" applyAlignment="1">
      <alignment horizontal="center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18" fillId="8" borderId="22" xfId="0" applyFont="1" applyFill="1" applyBorder="1" applyAlignment="1">
      <alignment horizontal="center"/>
    </xf>
    <xf numFmtId="0" fontId="18" fillId="8" borderId="57" xfId="0" applyFont="1" applyFill="1" applyBorder="1" applyAlignment="1">
      <alignment horizontal="center"/>
    </xf>
    <xf numFmtId="0" fontId="18" fillId="8" borderId="28" xfId="0" applyFont="1" applyFill="1" applyBorder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8" fillId="8" borderId="56" xfId="0" applyFont="1" applyFill="1" applyBorder="1" applyAlignment="1">
      <alignment horizontal="center"/>
    </xf>
    <xf numFmtId="0" fontId="18" fillId="8" borderId="24" xfId="0" applyFont="1" applyFill="1" applyBorder="1" applyAlignment="1">
      <alignment horizontal="center"/>
    </xf>
    <xf numFmtId="0" fontId="18" fillId="8" borderId="63" xfId="0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3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E6E21F-56B9-471F-88C4-4B1501E8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C797EB-C534-400E-B8DA-2258D2C7B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FB1648-ADEC-4901-B4A6-D68763CD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49D9F-B82B-451F-B53E-8284CA4B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D8256-FE37-4BC6-9D99-4C65AB12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EF98B-0D31-400A-8519-AC2E608E6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05BD24-1C1E-4B4E-A81B-9E3319C6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53436-416D-4C1B-A689-5CA874A92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1E8C4-E3E4-4364-9E65-7D7B21ED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7A44B1-06BD-4043-B53A-BBCE7DE78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34B06-B787-4434-B1BC-8219EF7F5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47A7A-7636-467E-B584-0AF5EEB1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B57E1-8E87-4F9F-AFFA-08429E7BE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6ED23-477F-4892-8486-1A78C7166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02A29B-083B-4A3A-8D7B-BFEAD6CD8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4C751-5A82-48B7-A0DF-D4EB1FFAB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507FC-04DD-44DB-A7CC-6DD35949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020D4-7FEF-4B84-B250-C90525B6C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C0A39-6484-4B0C-B559-3A9F952B4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DE1D4-C1F7-44A3-8ABF-791643AAF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E43C1-C298-49A9-A846-8A3AD8CFC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97003-8B66-4A27-B237-975C6B79C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A0954-9ABE-4045-8E0E-D18A09703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4E84A-7A12-4282-B037-521124EC6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9CDDD-3C7A-425B-A546-D99BEAB9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478D0-5200-4386-B0E0-285B3563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C1117B-A1CB-4543-8734-2A8E0496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2437F-EE3B-4A90-AF27-8D08AEDBA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894E2-AEDC-4BA5-BDA3-DC3EFE872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A51CC-0087-419E-8B96-11CA83BF0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0468B-2116-4AB9-9D92-448F1A81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1AA5C-DA28-4C8D-BCBA-76345145B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B47F2-2587-4432-AF2D-565B4AED4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73B95-F64E-47AF-BB60-E7F6564A5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A490B-F8E5-40F6-B7A4-E8D0939E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53A7B-3701-4060-B9C8-3A026E502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528CC-1234-4777-B912-746123752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066F2-56DC-4F85-BD97-767DFB847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2AD678-7016-4E41-9C57-EBD756B49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1DFA4-6620-408C-AB86-67C14CE1E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6C580-663D-4E5C-BEBC-4CA2B6156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56C5A9-6119-482A-9F08-BB70CC3F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350C9-85E8-4C8E-81C1-6CE912E31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7C562-6F05-4AA0-81D9-5A459B161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0352D-4F4E-46FB-95DD-59BC80B2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066683-534C-47B1-8052-7D8C3C2E2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B4130-E88C-4832-ACC2-06B61E920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39832-6D1D-409D-9640-34BB0E19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191F7-CF83-44B0-AD2E-A609ADB48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4F9E5-A80C-4B21-B3CB-D20864621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7785D-E535-4DDB-9615-58D557957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28941-4C92-42B6-A593-AB27CF15A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61A-5A1A-4A99-ACE2-182078FD4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31747E-D5F0-4A53-8436-C92CF994A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84151-56D6-4B2B-88E3-62BF1DF7A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42F7C-D6DE-403E-BE41-3E65C2AA6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A6DA0-C8E5-4C10-88FE-0B980804E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A37FD-396F-462B-A077-F09EDA06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workbookViewId="0"/>
  </sheetViews>
  <sheetFormatPr defaultRowHeight="15" x14ac:dyDescent="0.25"/>
  <cols>
    <col min="1" max="1" width="5.42578125" customWidth="1"/>
  </cols>
  <sheetData>
    <row r="1" spans="1:2" x14ac:dyDescent="0.25">
      <c r="A1" s="125" t="s">
        <v>0</v>
      </c>
    </row>
    <row r="2" spans="1:2" x14ac:dyDescent="0.25">
      <c r="A2" s="125" t="s">
        <v>1</v>
      </c>
    </row>
    <row r="4" spans="1:2" x14ac:dyDescent="0.25">
      <c r="A4" s="126" t="s">
        <v>2</v>
      </c>
    </row>
    <row r="5" spans="1:2" x14ac:dyDescent="0.25">
      <c r="A5" s="126" t="s">
        <v>3</v>
      </c>
    </row>
    <row r="6" spans="1:2" x14ac:dyDescent="0.25">
      <c r="B6" s="126"/>
    </row>
    <row r="7" spans="1:2" x14ac:dyDescent="0.25">
      <c r="A7" s="127" t="s">
        <v>4</v>
      </c>
    </row>
    <row r="8" spans="1:2" x14ac:dyDescent="0.25">
      <c r="B8" s="126" t="s">
        <v>5</v>
      </c>
    </row>
    <row r="9" spans="1:2" x14ac:dyDescent="0.25">
      <c r="B9" t="s">
        <v>6</v>
      </c>
    </row>
    <row r="10" spans="1:2" x14ac:dyDescent="0.25">
      <c r="B10" t="s">
        <v>7</v>
      </c>
    </row>
    <row r="12" spans="1:2" x14ac:dyDescent="0.25">
      <c r="A12" s="127" t="s">
        <v>8</v>
      </c>
    </row>
    <row r="13" spans="1:2" x14ac:dyDescent="0.25">
      <c r="B13" t="s">
        <v>9</v>
      </c>
    </row>
    <row r="14" spans="1:2" x14ac:dyDescent="0.25">
      <c r="B14" t="s">
        <v>10</v>
      </c>
    </row>
    <row r="16" spans="1:2" x14ac:dyDescent="0.25">
      <c r="A16" s="127" t="s">
        <v>11</v>
      </c>
    </row>
    <row r="17" spans="1:2" x14ac:dyDescent="0.25">
      <c r="B17" t="s">
        <v>9</v>
      </c>
    </row>
    <row r="18" spans="1:2" x14ac:dyDescent="0.25">
      <c r="B18" t="s">
        <v>12</v>
      </c>
    </row>
    <row r="20" spans="1:2" x14ac:dyDescent="0.25">
      <c r="A20" s="127" t="s">
        <v>13</v>
      </c>
    </row>
    <row r="21" spans="1:2" x14ac:dyDescent="0.25">
      <c r="B21" t="s">
        <v>14</v>
      </c>
    </row>
    <row r="22" spans="1:2" x14ac:dyDescent="0.25">
      <c r="B22" t="s">
        <v>15</v>
      </c>
    </row>
    <row r="23" spans="1:2" x14ac:dyDescent="0.25">
      <c r="B23" t="s">
        <v>16</v>
      </c>
    </row>
    <row r="24" spans="1:2" x14ac:dyDescent="0.25">
      <c r="B24" t="s">
        <v>17</v>
      </c>
    </row>
    <row r="25" spans="1:2" x14ac:dyDescent="0.25">
      <c r="B25" t="s">
        <v>18</v>
      </c>
    </row>
    <row r="27" spans="1:2" x14ac:dyDescent="0.25">
      <c r="A27" s="127" t="s">
        <v>19</v>
      </c>
    </row>
    <row r="28" spans="1:2" x14ac:dyDescent="0.25">
      <c r="A28" t="s">
        <v>20</v>
      </c>
    </row>
    <row r="29" spans="1:2" x14ac:dyDescent="0.25">
      <c r="B29" t="s">
        <v>21</v>
      </c>
    </row>
    <row r="34" spans="1:2" x14ac:dyDescent="0.25">
      <c r="A34" t="s">
        <v>22</v>
      </c>
    </row>
    <row r="35" spans="1:2" x14ac:dyDescent="0.25">
      <c r="B35" t="s">
        <v>23</v>
      </c>
    </row>
    <row r="41" spans="1:2" x14ac:dyDescent="0.25">
      <c r="A41" t="s">
        <v>24</v>
      </c>
    </row>
    <row r="42" spans="1:2" x14ac:dyDescent="0.25">
      <c r="B42" t="s">
        <v>25</v>
      </c>
    </row>
    <row r="51" spans="1:2" x14ac:dyDescent="0.25">
      <c r="A51" t="s">
        <v>26</v>
      </c>
    </row>
    <row r="52" spans="1:2" x14ac:dyDescent="0.25">
      <c r="B52" t="s">
        <v>27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C156-F889-49C6-B0E8-22950AFA3418}">
  <sheetPr>
    <pageSetUpPr fitToPage="1"/>
  </sheetPr>
  <dimension ref="A1:AB51"/>
  <sheetViews>
    <sheetView zoomScale="85" zoomScaleNormal="85" workbookViewId="0">
      <selection activeCell="F18" sqref="F18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>
        <v>40163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62152.62999999999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33740.369999999995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46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28412.259999999995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>
        <v>14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0.45713689026514243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57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33740.369999999995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32290.369999999995</v>
      </c>
      <c r="U9" s="235">
        <f>IFERROR(((P3-S9)/S9),0)</f>
        <v>22.269220689655167</v>
      </c>
      <c r="V9" s="235">
        <f>IFERROR(T9/P3,0)</f>
        <v>0.95702477477277215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119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110</v>
      </c>
      <c r="C18" s="5" t="s">
        <v>111</v>
      </c>
      <c r="D18" s="128">
        <v>1000</v>
      </c>
      <c r="E18" s="53">
        <v>1</v>
      </c>
      <c r="F18" s="8">
        <v>250.86</v>
      </c>
      <c r="G18" s="9">
        <f>ROUND(IF($F$17="USD $", F18*$E$15,F18*$D$15),2)</f>
        <v>173.01</v>
      </c>
      <c r="H18" s="10">
        <f>ROUND(IF($H$17=$G$17,E18*G18,E18*F18),2)</f>
        <v>250.86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163.06</v>
      </c>
      <c r="L18" s="9">
        <f>ROUND((J18*K18),2)</f>
        <v>163.06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163.06</v>
      </c>
      <c r="T18" s="14">
        <f>ROUND(L18-R18,2)</f>
        <v>163.06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113</v>
      </c>
      <c r="C19" s="4" t="s">
        <v>114</v>
      </c>
      <c r="D19" s="129">
        <v>500</v>
      </c>
      <c r="E19" s="54">
        <v>1</v>
      </c>
      <c r="F19" s="15">
        <v>74.81</v>
      </c>
      <c r="G19" s="38">
        <f t="shared" ref="G19:G48" si="1">ROUND(IF($F$17="USD $", F19*$E$15,F19*$D$15),2)</f>
        <v>51.59</v>
      </c>
      <c r="H19" s="39">
        <f t="shared" ref="H19:H48" si="2">ROUND(IF($H$17=$G$17,E19*G19,E19*F19),2)</f>
        <v>74.81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48.63</v>
      </c>
      <c r="L19" s="38">
        <f t="shared" ref="L19:L48" si="4">ROUND((J19*K19),2)</f>
        <v>48.63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48.63</v>
      </c>
      <c r="T19" s="52">
        <f t="shared" ref="T19:T48" si="6">ROUND(L19-R19,2)</f>
        <v>48.63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116</v>
      </c>
      <c r="C20" s="6" t="s">
        <v>117</v>
      </c>
      <c r="D20" s="130">
        <v>1000</v>
      </c>
      <c r="E20" s="53">
        <v>1</v>
      </c>
      <c r="F20" s="8">
        <v>105.26</v>
      </c>
      <c r="G20" s="9">
        <f t="shared" si="1"/>
        <v>72.59</v>
      </c>
      <c r="H20" s="10">
        <f t="shared" si="2"/>
        <v>105.26</v>
      </c>
      <c r="I20" s="42"/>
      <c r="J20" s="89">
        <f t="shared" si="0"/>
        <v>1</v>
      </c>
      <c r="K20" s="9">
        <f t="shared" si="3"/>
        <v>68.42</v>
      </c>
      <c r="L20" s="9">
        <f t="shared" si="4"/>
        <v>68.42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68.42</v>
      </c>
      <c r="T20" s="14">
        <f t="shared" si="6"/>
        <v>68.42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119</v>
      </c>
      <c r="C21" s="4" t="s">
        <v>114</v>
      </c>
      <c r="D21" s="129">
        <v>500</v>
      </c>
      <c r="E21" s="54">
        <v>1</v>
      </c>
      <c r="F21" s="15">
        <v>93.03</v>
      </c>
      <c r="G21" s="38">
        <f t="shared" si="1"/>
        <v>64.16</v>
      </c>
      <c r="H21" s="39">
        <f t="shared" si="2"/>
        <v>93.03</v>
      </c>
      <c r="I21" s="42"/>
      <c r="J21" s="88">
        <f t="shared" si="0"/>
        <v>1</v>
      </c>
      <c r="K21" s="38">
        <f t="shared" si="3"/>
        <v>60.47</v>
      </c>
      <c r="L21" s="38">
        <f t="shared" si="4"/>
        <v>60.47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60.47</v>
      </c>
      <c r="T21" s="52">
        <f t="shared" si="6"/>
        <v>60.47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121</v>
      </c>
      <c r="C22" s="6" t="s">
        <v>122</v>
      </c>
      <c r="D22" s="130">
        <v>500</v>
      </c>
      <c r="E22" s="53">
        <v>1</v>
      </c>
      <c r="F22" s="8">
        <v>75.31</v>
      </c>
      <c r="G22" s="9">
        <f t="shared" si="1"/>
        <v>51.94</v>
      </c>
      <c r="H22" s="10">
        <f t="shared" si="2"/>
        <v>75.31</v>
      </c>
      <c r="I22" s="42"/>
      <c r="J22" s="89">
        <f t="shared" si="0"/>
        <v>1</v>
      </c>
      <c r="K22" s="9">
        <f t="shared" si="3"/>
        <v>37.659999999999997</v>
      </c>
      <c r="L22" s="9">
        <f t="shared" si="4"/>
        <v>37.659999999999997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37.659999999999997</v>
      </c>
      <c r="T22" s="14">
        <f t="shared" si="6"/>
        <v>37.659999999999997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124</v>
      </c>
      <c r="C23" s="4" t="s">
        <v>125</v>
      </c>
      <c r="D23" s="129">
        <v>500</v>
      </c>
      <c r="E23" s="54">
        <v>2</v>
      </c>
      <c r="F23" s="15">
        <v>47.23</v>
      </c>
      <c r="G23" s="38">
        <f t="shared" si="1"/>
        <v>32.57</v>
      </c>
      <c r="H23" s="39">
        <f t="shared" si="2"/>
        <v>94.46</v>
      </c>
      <c r="I23" s="42"/>
      <c r="J23" s="88">
        <f t="shared" si="0"/>
        <v>2</v>
      </c>
      <c r="K23" s="38">
        <f t="shared" si="3"/>
        <v>23.62</v>
      </c>
      <c r="L23" s="38">
        <f t="shared" si="4"/>
        <v>47.24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23.62</v>
      </c>
      <c r="T23" s="52">
        <f t="shared" si="6"/>
        <v>47.24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127</v>
      </c>
      <c r="C24" s="6" t="s">
        <v>128</v>
      </c>
      <c r="D24" s="130">
        <v>500</v>
      </c>
      <c r="E24" s="53">
        <v>1</v>
      </c>
      <c r="F24" s="8">
        <v>86.8</v>
      </c>
      <c r="G24" s="9">
        <f t="shared" si="1"/>
        <v>59.86</v>
      </c>
      <c r="H24" s="10">
        <f t="shared" si="2"/>
        <v>86.8</v>
      </c>
      <c r="I24" s="42"/>
      <c r="J24" s="89">
        <f t="shared" si="0"/>
        <v>1</v>
      </c>
      <c r="K24" s="9">
        <f t="shared" si="3"/>
        <v>43.4</v>
      </c>
      <c r="L24" s="9">
        <f t="shared" si="4"/>
        <v>43.4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43.4</v>
      </c>
      <c r="T24" s="14">
        <f t="shared" si="6"/>
        <v>43.4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130</v>
      </c>
      <c r="C25" s="4" t="s">
        <v>131</v>
      </c>
      <c r="D25" s="129">
        <v>1000</v>
      </c>
      <c r="E25" s="54">
        <v>1</v>
      </c>
      <c r="F25" s="15">
        <v>103.37</v>
      </c>
      <c r="G25" s="38">
        <f t="shared" si="1"/>
        <v>71.290000000000006</v>
      </c>
      <c r="H25" s="39">
        <f t="shared" si="2"/>
        <v>103.37</v>
      </c>
      <c r="I25" s="42"/>
      <c r="J25" s="88">
        <f t="shared" si="0"/>
        <v>1</v>
      </c>
      <c r="K25" s="38">
        <f t="shared" si="3"/>
        <v>51.69</v>
      </c>
      <c r="L25" s="38">
        <f t="shared" si="4"/>
        <v>51.69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51.69</v>
      </c>
      <c r="T25" s="52">
        <f t="shared" si="6"/>
        <v>51.69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133</v>
      </c>
      <c r="C26" s="6" t="s">
        <v>134</v>
      </c>
      <c r="D26" s="130">
        <v>1000</v>
      </c>
      <c r="E26" s="53">
        <v>1</v>
      </c>
      <c r="F26" s="8">
        <v>197.31</v>
      </c>
      <c r="G26" s="9">
        <f t="shared" si="1"/>
        <v>136.08000000000001</v>
      </c>
      <c r="H26" s="10">
        <f t="shared" si="2"/>
        <v>197.31</v>
      </c>
      <c r="I26" s="42"/>
      <c r="J26" s="89">
        <f t="shared" si="0"/>
        <v>1</v>
      </c>
      <c r="K26" s="9">
        <f t="shared" si="3"/>
        <v>98.66</v>
      </c>
      <c r="L26" s="9">
        <f t="shared" si="4"/>
        <v>98.66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98.66</v>
      </c>
      <c r="T26" s="14">
        <f t="shared" si="6"/>
        <v>98.66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136</v>
      </c>
      <c r="C27" s="4" t="s">
        <v>137</v>
      </c>
      <c r="D27" s="129" t="s">
        <v>138</v>
      </c>
      <c r="E27" s="54">
        <v>1</v>
      </c>
      <c r="F27" s="15">
        <v>6480.33</v>
      </c>
      <c r="G27" s="38">
        <f t="shared" si="1"/>
        <v>4469.1899999999996</v>
      </c>
      <c r="H27" s="39">
        <f t="shared" si="2"/>
        <v>6480.33</v>
      </c>
      <c r="I27" s="42"/>
      <c r="J27" s="88">
        <f t="shared" si="0"/>
        <v>1</v>
      </c>
      <c r="K27" s="38">
        <f t="shared" si="3"/>
        <v>3240.17</v>
      </c>
      <c r="L27" s="38">
        <f t="shared" si="4"/>
        <v>3240.17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3240.17</v>
      </c>
      <c r="T27" s="52">
        <f t="shared" si="6"/>
        <v>3240.17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140</v>
      </c>
      <c r="C28" s="6" t="s">
        <v>141</v>
      </c>
      <c r="D28" s="130" t="s">
        <v>138</v>
      </c>
      <c r="E28" s="53">
        <v>2</v>
      </c>
      <c r="F28" s="8">
        <v>783.62</v>
      </c>
      <c r="G28" s="9">
        <f t="shared" si="1"/>
        <v>540.42999999999995</v>
      </c>
      <c r="H28" s="10">
        <f t="shared" si="2"/>
        <v>1567.24</v>
      </c>
      <c r="I28" s="42"/>
      <c r="J28" s="89">
        <f t="shared" si="0"/>
        <v>2</v>
      </c>
      <c r="K28" s="9">
        <f t="shared" si="3"/>
        <v>391.81</v>
      </c>
      <c r="L28" s="9">
        <f t="shared" si="4"/>
        <v>783.62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391.81</v>
      </c>
      <c r="T28" s="14">
        <f t="shared" si="6"/>
        <v>783.62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143</v>
      </c>
      <c r="C29" s="4" t="s">
        <v>144</v>
      </c>
      <c r="D29" s="129" t="s">
        <v>138</v>
      </c>
      <c r="E29" s="54">
        <v>1</v>
      </c>
      <c r="F29" s="15">
        <v>6599.72</v>
      </c>
      <c r="G29" s="38">
        <f>ROUND(IF($F$17="USD $", F29*$E$15,F29*$D$15),2)</f>
        <v>4551.53</v>
      </c>
      <c r="H29" s="39">
        <f>ROUND(IF($H$17=$G$17,E29*G29,E29*F29),2)</f>
        <v>6599.72</v>
      </c>
      <c r="I29" s="42"/>
      <c r="J29" s="88">
        <f t="shared" si="0"/>
        <v>1</v>
      </c>
      <c r="K29" s="38">
        <f t="shared" si="3"/>
        <v>3299.86</v>
      </c>
      <c r="L29" s="38">
        <f>ROUND((J29*K29),2)</f>
        <v>3299.86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3299.86</v>
      </c>
      <c r="T29" s="52">
        <f t="shared" si="6"/>
        <v>3299.86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146</v>
      </c>
      <c r="C30" s="6" t="s">
        <v>147</v>
      </c>
      <c r="D30" s="130" t="s">
        <v>138</v>
      </c>
      <c r="E30" s="53">
        <v>1</v>
      </c>
      <c r="F30" s="8">
        <v>18666.009999999998</v>
      </c>
      <c r="G30" s="9">
        <f t="shared" si="1"/>
        <v>12873.11</v>
      </c>
      <c r="H30" s="10">
        <f t="shared" si="2"/>
        <v>18666.009999999998</v>
      </c>
      <c r="I30" s="42"/>
      <c r="J30" s="89">
        <f t="shared" si="0"/>
        <v>1</v>
      </c>
      <c r="K30" s="9">
        <f t="shared" si="3"/>
        <v>9333.01</v>
      </c>
      <c r="L30" s="9">
        <f t="shared" si="4"/>
        <v>9333.01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9333.01</v>
      </c>
      <c r="T30" s="14">
        <f t="shared" si="6"/>
        <v>9333.01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148</v>
      </c>
      <c r="C31" s="4" t="s">
        <v>149</v>
      </c>
      <c r="D31" s="129" t="s">
        <v>138</v>
      </c>
      <c r="E31" s="54">
        <v>6</v>
      </c>
      <c r="F31" s="15">
        <v>2080.54</v>
      </c>
      <c r="G31" s="38">
        <f t="shared" si="1"/>
        <v>1434.86</v>
      </c>
      <c r="H31" s="39">
        <f t="shared" si="2"/>
        <v>12483.24</v>
      </c>
      <c r="I31" s="42"/>
      <c r="J31" s="88">
        <f t="shared" si="0"/>
        <v>6</v>
      </c>
      <c r="K31" s="38">
        <f t="shared" si="3"/>
        <v>1456.38</v>
      </c>
      <c r="L31" s="38">
        <f t="shared" si="4"/>
        <v>8738.2800000000007</v>
      </c>
      <c r="M31" s="132" t="s">
        <v>112</v>
      </c>
      <c r="N31" s="16">
        <v>0.3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1456.38</v>
      </c>
      <c r="T31" s="52">
        <f t="shared" si="6"/>
        <v>8738.2800000000007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133" t="s">
        <v>150</v>
      </c>
      <c r="C32" s="6" t="s">
        <v>151</v>
      </c>
      <c r="D32" s="130" t="s">
        <v>138</v>
      </c>
      <c r="E32" s="53">
        <v>2</v>
      </c>
      <c r="F32" s="8">
        <v>221.04</v>
      </c>
      <c r="G32" s="9">
        <f t="shared" si="1"/>
        <v>152.44</v>
      </c>
      <c r="H32" s="10">
        <f t="shared" si="2"/>
        <v>442.08</v>
      </c>
      <c r="I32" s="42"/>
      <c r="J32" s="89">
        <f t="shared" si="0"/>
        <v>2</v>
      </c>
      <c r="K32" s="9">
        <f t="shared" si="3"/>
        <v>121.57</v>
      </c>
      <c r="L32" s="9">
        <f t="shared" si="4"/>
        <v>243.14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121.57</v>
      </c>
      <c r="T32" s="14">
        <f t="shared" si="6"/>
        <v>243.14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153</v>
      </c>
      <c r="C33" s="4" t="s">
        <v>154</v>
      </c>
      <c r="D33" s="129" t="s">
        <v>138</v>
      </c>
      <c r="E33" s="54">
        <v>44</v>
      </c>
      <c r="F33" s="15">
        <v>4.3600000000000003</v>
      </c>
      <c r="G33" s="38">
        <f t="shared" si="1"/>
        <v>3.01</v>
      </c>
      <c r="H33" s="39">
        <f t="shared" si="2"/>
        <v>191.84</v>
      </c>
      <c r="I33" s="42"/>
      <c r="J33" s="88">
        <f t="shared" si="0"/>
        <v>44</v>
      </c>
      <c r="K33" s="38">
        <f t="shared" si="3"/>
        <v>2.4</v>
      </c>
      <c r="L33" s="38">
        <f t="shared" si="4"/>
        <v>105.6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2.4</v>
      </c>
      <c r="T33" s="52">
        <f t="shared" si="6"/>
        <v>105.6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155</v>
      </c>
      <c r="C34" s="6" t="s">
        <v>156</v>
      </c>
      <c r="D34" s="130" t="s">
        <v>138</v>
      </c>
      <c r="E34" s="53">
        <v>44</v>
      </c>
      <c r="F34" s="8">
        <v>3.53</v>
      </c>
      <c r="G34" s="9">
        <f t="shared" si="1"/>
        <v>2.4300000000000002</v>
      </c>
      <c r="H34" s="10">
        <f t="shared" si="2"/>
        <v>155.32</v>
      </c>
      <c r="I34" s="42"/>
      <c r="J34" s="89">
        <f t="shared" si="0"/>
        <v>44</v>
      </c>
      <c r="K34" s="9">
        <f t="shared" si="3"/>
        <v>1.94</v>
      </c>
      <c r="L34" s="9">
        <f t="shared" si="4"/>
        <v>85.36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1.94</v>
      </c>
      <c r="T34" s="14">
        <f t="shared" si="6"/>
        <v>85.36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157</v>
      </c>
      <c r="C35" s="4" t="s">
        <v>158</v>
      </c>
      <c r="D35" s="129" t="s">
        <v>138</v>
      </c>
      <c r="E35" s="54">
        <v>2</v>
      </c>
      <c r="F35" s="15">
        <v>492.82</v>
      </c>
      <c r="G35" s="38">
        <f t="shared" si="1"/>
        <v>339.88</v>
      </c>
      <c r="H35" s="39">
        <f t="shared" si="2"/>
        <v>985.64</v>
      </c>
      <c r="I35" s="42"/>
      <c r="J35" s="88">
        <f t="shared" si="0"/>
        <v>2</v>
      </c>
      <c r="K35" s="38">
        <f t="shared" si="3"/>
        <v>271.05</v>
      </c>
      <c r="L35" s="38">
        <f t="shared" si="4"/>
        <v>542.1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271.05</v>
      </c>
      <c r="T35" s="52">
        <f t="shared" si="6"/>
        <v>542.1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159</v>
      </c>
      <c r="C36" s="6" t="s">
        <v>160</v>
      </c>
      <c r="D36" s="130" t="s">
        <v>138</v>
      </c>
      <c r="E36" s="53">
        <v>6</v>
      </c>
      <c r="F36" s="8">
        <v>2250</v>
      </c>
      <c r="G36" s="9">
        <f t="shared" si="1"/>
        <v>1551.72</v>
      </c>
      <c r="H36" s="10">
        <f t="shared" si="2"/>
        <v>13500</v>
      </c>
      <c r="I36" s="42"/>
      <c r="J36" s="89">
        <f t="shared" si="0"/>
        <v>6</v>
      </c>
      <c r="K36" s="9">
        <f t="shared" si="3"/>
        <v>1125</v>
      </c>
      <c r="L36" s="9">
        <f t="shared" si="4"/>
        <v>6750</v>
      </c>
      <c r="M36" s="8" t="s">
        <v>112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1125</v>
      </c>
      <c r="T36" s="14">
        <f t="shared" si="6"/>
        <v>6750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119</v>
      </c>
      <c r="F49" s="78">
        <f>SUM(F18:F48)</f>
        <v>38615.950000000004</v>
      </c>
      <c r="G49" s="79">
        <f>SUM(G18:G48)</f>
        <v>26631.69</v>
      </c>
      <c r="H49" s="80">
        <f>SUM(H18:H48)</f>
        <v>62152.62999999999</v>
      </c>
      <c r="I49" s="81"/>
      <c r="J49" s="82">
        <f>SUM(J18:J48)</f>
        <v>119</v>
      </c>
      <c r="K49" s="79">
        <f>SUM(K18:K48)</f>
        <v>19838.8</v>
      </c>
      <c r="L49" s="80">
        <f>SUM(L18:L48)</f>
        <v>33740.369999999995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19838.8</v>
      </c>
      <c r="T49" s="80">
        <f>SUM(T18:T48)</f>
        <v>33740.369999999995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35" priority="3" stopIfTrue="1">
      <formula>$U$9&gt;100%</formula>
    </cfRule>
    <cfRule type="expression" dxfId="234" priority="4">
      <formula>$U$9&lt;50%</formula>
    </cfRule>
  </conditionalFormatting>
  <conditionalFormatting sqref="V9:V10">
    <cfRule type="expression" dxfId="233" priority="1">
      <formula>$V$9&lt;50%</formula>
    </cfRule>
    <cfRule type="expression" dxfId="232" priority="2">
      <formula>$V$9&gt;50%</formula>
    </cfRule>
  </conditionalFormatting>
  <dataValidations count="5">
    <dataValidation type="list" allowBlank="1" showInputMessage="1" showErrorMessage="1" sqref="F17 K17 Q17 Q14" xr:uid="{3F7514A0-4E25-45EA-AA3F-61581FEF1DD0}">
      <formula1>$Y$11:$Y$12</formula1>
    </dataValidation>
    <dataValidation type="list" allowBlank="1" showInputMessage="1" showErrorMessage="1" sqref="H13" xr:uid="{1A3B61F9-33F5-401E-A6DE-FBEC57F986EC}">
      <formula1>$Y$13:$Y$14</formula1>
    </dataValidation>
    <dataValidation type="list" allowBlank="1" showInputMessage="1" showErrorMessage="1" sqref="I13" xr:uid="{D45469A3-B9FE-4FCA-9119-B3C6A8523465}">
      <formula1>$K$9:$K$9</formula1>
    </dataValidation>
    <dataValidation type="list" showInputMessage="1" showErrorMessage="1" sqref="D18:D48" xr:uid="{C9F13A45-56AD-41F3-8C62-8A8D9D38351F}">
      <formula1>$Z$18:$Z$29</formula1>
    </dataValidation>
    <dataValidation type="list" allowBlank="1" showInputMessage="1" showErrorMessage="1" sqref="M18:M48" xr:uid="{8DAEB79F-7D3E-4978-8C83-43DD58A5AB0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CB65-9431-435B-9081-8506D9C8C86D}">
  <sheetPr>
    <pageSetUpPr fitToPage="1"/>
  </sheetPr>
  <dimension ref="A1:AB51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636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37060.869999999995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20605.669999999998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162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16455.199999999997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>
        <v>255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0.4440046874236897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/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20605.669999999998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19155.669999999998</v>
      </c>
      <c r="U9" s="235">
        <f>IFERROR(((P3-S9)/S9),0)</f>
        <v>13.210806896551723</v>
      </c>
      <c r="V9" s="235">
        <f>IFERROR(T9/P3,0)</f>
        <v>0.92963101903505196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33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126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163</v>
      </c>
      <c r="C18" s="5" t="s">
        <v>111</v>
      </c>
      <c r="D18" s="128">
        <v>500</v>
      </c>
      <c r="E18" s="53">
        <v>1</v>
      </c>
      <c r="F18" s="8">
        <v>95.35</v>
      </c>
      <c r="G18" s="9">
        <f>ROUND(IF($F$17="USD $", F18*$E$15,F18*$D$15),2)</f>
        <v>65.760000000000005</v>
      </c>
      <c r="H18" s="10">
        <f>ROUND(IF($H$17=$G$17,E18*G18,E18*F18),2)</f>
        <v>95.35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61.98</v>
      </c>
      <c r="L18" s="9">
        <f>ROUND((J18*K18),2)</f>
        <v>61.98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61.98</v>
      </c>
      <c r="T18" s="14">
        <f>ROUND(L18-R18,2)</f>
        <v>61.98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164</v>
      </c>
      <c r="C19" s="4" t="s">
        <v>117</v>
      </c>
      <c r="D19" s="129">
        <v>500</v>
      </c>
      <c r="E19" s="54">
        <v>1</v>
      </c>
      <c r="F19" s="15">
        <v>71.010000000000005</v>
      </c>
      <c r="G19" s="38">
        <f t="shared" ref="G19:G48" si="1">ROUND(IF($F$17="USD $", F19*$E$15,F19*$D$15),2)</f>
        <v>48.97</v>
      </c>
      <c r="H19" s="39">
        <f t="shared" ref="H19:H48" si="2">ROUND(IF($H$17=$G$17,E19*G19,E19*F19),2)</f>
        <v>71.010000000000005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46.16</v>
      </c>
      <c r="L19" s="38">
        <f t="shared" ref="L19:L48" si="4">ROUND((J19*K19),2)</f>
        <v>46.16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46.16</v>
      </c>
      <c r="T19" s="52">
        <f t="shared" ref="T19:T48" si="6">ROUND(L19-R19,2)</f>
        <v>46.16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165</v>
      </c>
      <c r="C20" s="6" t="s">
        <v>128</v>
      </c>
      <c r="D20" s="130">
        <v>500</v>
      </c>
      <c r="E20" s="53">
        <v>1</v>
      </c>
      <c r="F20" s="8">
        <v>77.34</v>
      </c>
      <c r="G20" s="9">
        <f t="shared" si="1"/>
        <v>53.34</v>
      </c>
      <c r="H20" s="10">
        <f t="shared" si="2"/>
        <v>77.34</v>
      </c>
      <c r="I20" s="42"/>
      <c r="J20" s="89">
        <f t="shared" si="0"/>
        <v>1</v>
      </c>
      <c r="K20" s="9">
        <f t="shared" si="3"/>
        <v>38.67</v>
      </c>
      <c r="L20" s="9">
        <f t="shared" si="4"/>
        <v>38.67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38.67</v>
      </c>
      <c r="T20" s="14">
        <f t="shared" si="6"/>
        <v>38.67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166</v>
      </c>
      <c r="C21" s="4" t="s">
        <v>131</v>
      </c>
      <c r="D21" s="129">
        <v>1000</v>
      </c>
      <c r="E21" s="54">
        <v>1</v>
      </c>
      <c r="F21" s="15">
        <v>91.89</v>
      </c>
      <c r="G21" s="38">
        <f t="shared" si="1"/>
        <v>63.37</v>
      </c>
      <c r="H21" s="39">
        <f t="shared" si="2"/>
        <v>91.89</v>
      </c>
      <c r="I21" s="42"/>
      <c r="J21" s="88">
        <f t="shared" si="0"/>
        <v>1</v>
      </c>
      <c r="K21" s="38">
        <f t="shared" si="3"/>
        <v>45.95</v>
      </c>
      <c r="L21" s="38">
        <f t="shared" si="4"/>
        <v>45.95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45.95</v>
      </c>
      <c r="T21" s="52">
        <f t="shared" si="6"/>
        <v>45.95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167</v>
      </c>
      <c r="C22" s="6" t="s">
        <v>122</v>
      </c>
      <c r="D22" s="130">
        <v>500</v>
      </c>
      <c r="E22" s="53">
        <v>1</v>
      </c>
      <c r="F22" s="8">
        <v>54.67</v>
      </c>
      <c r="G22" s="9">
        <f t="shared" si="1"/>
        <v>37.700000000000003</v>
      </c>
      <c r="H22" s="10">
        <f t="shared" si="2"/>
        <v>54.67</v>
      </c>
      <c r="I22" s="42"/>
      <c r="J22" s="89">
        <f t="shared" si="0"/>
        <v>1</v>
      </c>
      <c r="K22" s="9">
        <f t="shared" si="3"/>
        <v>27.34</v>
      </c>
      <c r="L22" s="9">
        <f t="shared" si="4"/>
        <v>27.34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27.34</v>
      </c>
      <c r="T22" s="14">
        <f t="shared" si="6"/>
        <v>27.34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168</v>
      </c>
      <c r="C23" s="4" t="s">
        <v>114</v>
      </c>
      <c r="D23" s="129">
        <v>500</v>
      </c>
      <c r="E23" s="54">
        <v>1</v>
      </c>
      <c r="F23" s="15">
        <v>79.63</v>
      </c>
      <c r="G23" s="38">
        <f t="shared" si="1"/>
        <v>54.92</v>
      </c>
      <c r="H23" s="39">
        <f t="shared" si="2"/>
        <v>79.63</v>
      </c>
      <c r="I23" s="42"/>
      <c r="J23" s="88">
        <f t="shared" si="0"/>
        <v>1</v>
      </c>
      <c r="K23" s="38">
        <f t="shared" si="3"/>
        <v>51.76</v>
      </c>
      <c r="L23" s="38">
        <f t="shared" si="4"/>
        <v>51.76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51.76</v>
      </c>
      <c r="T23" s="52">
        <f t="shared" si="6"/>
        <v>51.76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169</v>
      </c>
      <c r="C24" s="6" t="s">
        <v>114</v>
      </c>
      <c r="D24" s="130">
        <v>500</v>
      </c>
      <c r="E24" s="53">
        <v>1</v>
      </c>
      <c r="F24" s="8">
        <v>87.75</v>
      </c>
      <c r="G24" s="9">
        <f t="shared" si="1"/>
        <v>60.52</v>
      </c>
      <c r="H24" s="10">
        <f t="shared" si="2"/>
        <v>87.75</v>
      </c>
      <c r="I24" s="42"/>
      <c r="J24" s="89">
        <f t="shared" si="0"/>
        <v>1</v>
      </c>
      <c r="K24" s="9">
        <f t="shared" si="3"/>
        <v>57.04</v>
      </c>
      <c r="L24" s="9">
        <f t="shared" si="4"/>
        <v>57.04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57.04</v>
      </c>
      <c r="T24" s="14">
        <f t="shared" si="6"/>
        <v>57.04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170</v>
      </c>
      <c r="C25" s="4" t="s">
        <v>137</v>
      </c>
      <c r="D25" s="129" t="s">
        <v>138</v>
      </c>
      <c r="E25" s="54">
        <v>1</v>
      </c>
      <c r="F25" s="15">
        <v>2773.6</v>
      </c>
      <c r="G25" s="38">
        <f t="shared" si="1"/>
        <v>1912.83</v>
      </c>
      <c r="H25" s="39">
        <f t="shared" si="2"/>
        <v>2773.6</v>
      </c>
      <c r="I25" s="42"/>
      <c r="J25" s="88">
        <f t="shared" si="0"/>
        <v>1</v>
      </c>
      <c r="K25" s="38">
        <f t="shared" si="3"/>
        <v>1386.8</v>
      </c>
      <c r="L25" s="38">
        <f t="shared" si="4"/>
        <v>1386.8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1386.8</v>
      </c>
      <c r="T25" s="52">
        <f t="shared" si="6"/>
        <v>1386.8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171</v>
      </c>
      <c r="C26" s="6" t="s">
        <v>172</v>
      </c>
      <c r="D26" s="130" t="s">
        <v>138</v>
      </c>
      <c r="E26" s="53">
        <v>1</v>
      </c>
      <c r="F26" s="8">
        <v>505.03</v>
      </c>
      <c r="G26" s="9">
        <f t="shared" si="1"/>
        <v>348.3</v>
      </c>
      <c r="H26" s="10">
        <f t="shared" si="2"/>
        <v>505.03</v>
      </c>
      <c r="I26" s="42"/>
      <c r="J26" s="89">
        <f t="shared" si="0"/>
        <v>1</v>
      </c>
      <c r="K26" s="9">
        <f t="shared" si="3"/>
        <v>252.52</v>
      </c>
      <c r="L26" s="9">
        <f t="shared" si="4"/>
        <v>252.52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252.52</v>
      </c>
      <c r="T26" s="14">
        <f t="shared" si="6"/>
        <v>252.52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173</v>
      </c>
      <c r="C27" s="4" t="s">
        <v>144</v>
      </c>
      <c r="D27" s="129" t="s">
        <v>138</v>
      </c>
      <c r="E27" s="54">
        <v>1</v>
      </c>
      <c r="F27" s="15">
        <v>1708.74</v>
      </c>
      <c r="G27" s="38">
        <f t="shared" si="1"/>
        <v>1178.44</v>
      </c>
      <c r="H27" s="39">
        <f t="shared" si="2"/>
        <v>1708.74</v>
      </c>
      <c r="I27" s="42"/>
      <c r="J27" s="88">
        <f t="shared" si="0"/>
        <v>1</v>
      </c>
      <c r="K27" s="38">
        <f t="shared" si="3"/>
        <v>854.37</v>
      </c>
      <c r="L27" s="38">
        <f t="shared" si="4"/>
        <v>854.37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854.37</v>
      </c>
      <c r="T27" s="52">
        <f t="shared" si="6"/>
        <v>854.37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174</v>
      </c>
      <c r="C28" s="6" t="s">
        <v>147</v>
      </c>
      <c r="D28" s="130" t="s">
        <v>138</v>
      </c>
      <c r="E28" s="53">
        <v>1</v>
      </c>
      <c r="F28" s="8">
        <v>4139</v>
      </c>
      <c r="G28" s="9">
        <f t="shared" si="1"/>
        <v>2854.48</v>
      </c>
      <c r="H28" s="10">
        <f t="shared" si="2"/>
        <v>4139</v>
      </c>
      <c r="I28" s="42"/>
      <c r="J28" s="89">
        <f t="shared" si="0"/>
        <v>1</v>
      </c>
      <c r="K28" s="9">
        <f t="shared" si="3"/>
        <v>2069.5</v>
      </c>
      <c r="L28" s="9">
        <f t="shared" si="4"/>
        <v>2069.5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2069.5</v>
      </c>
      <c r="T28" s="14">
        <f t="shared" si="6"/>
        <v>2069.5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175</v>
      </c>
      <c r="C29" s="4" t="s">
        <v>149</v>
      </c>
      <c r="D29" s="129" t="s">
        <v>138</v>
      </c>
      <c r="E29" s="54">
        <v>4</v>
      </c>
      <c r="F29" s="15">
        <v>1093.82</v>
      </c>
      <c r="G29" s="38">
        <f>ROUND(IF($F$17="USD $", F29*$E$15,F29*$D$15),2)</f>
        <v>754.36</v>
      </c>
      <c r="H29" s="39">
        <f>ROUND(IF($H$17=$G$17,E29*G29,E29*F29),2)</f>
        <v>4375.28</v>
      </c>
      <c r="I29" s="42"/>
      <c r="J29" s="88">
        <f t="shared" si="0"/>
        <v>4</v>
      </c>
      <c r="K29" s="38">
        <f t="shared" si="3"/>
        <v>765.67</v>
      </c>
      <c r="L29" s="38">
        <f>ROUND((J29*K29),2)</f>
        <v>3062.68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765.67</v>
      </c>
      <c r="T29" s="52">
        <f t="shared" si="6"/>
        <v>3062.68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176</v>
      </c>
      <c r="C30" s="6" t="s">
        <v>158</v>
      </c>
      <c r="D30" s="130" t="s">
        <v>138</v>
      </c>
      <c r="E30" s="53">
        <v>1</v>
      </c>
      <c r="F30" s="8">
        <v>308.64</v>
      </c>
      <c r="G30" s="9">
        <f t="shared" si="1"/>
        <v>212.86</v>
      </c>
      <c r="H30" s="10">
        <f t="shared" si="2"/>
        <v>308.64</v>
      </c>
      <c r="I30" s="42"/>
      <c r="J30" s="89">
        <f t="shared" si="0"/>
        <v>1</v>
      </c>
      <c r="K30" s="9">
        <f t="shared" si="3"/>
        <v>169.75</v>
      </c>
      <c r="L30" s="9">
        <f t="shared" si="4"/>
        <v>169.75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169.75</v>
      </c>
      <c r="T30" s="14">
        <f t="shared" si="6"/>
        <v>169.75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177</v>
      </c>
      <c r="C31" s="4" t="s">
        <v>178</v>
      </c>
      <c r="D31" s="129" t="s">
        <v>138</v>
      </c>
      <c r="E31" s="54">
        <v>8</v>
      </c>
      <c r="F31" s="15">
        <v>4.6500000000000004</v>
      </c>
      <c r="G31" s="38">
        <f t="shared" si="1"/>
        <v>3.21</v>
      </c>
      <c r="H31" s="39">
        <f t="shared" si="2"/>
        <v>37.200000000000003</v>
      </c>
      <c r="I31" s="42"/>
      <c r="J31" s="88">
        <f t="shared" si="0"/>
        <v>8</v>
      </c>
      <c r="K31" s="38">
        <f t="shared" si="3"/>
        <v>2.56</v>
      </c>
      <c r="L31" s="38">
        <f t="shared" si="4"/>
        <v>20.48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2.56</v>
      </c>
      <c r="T31" s="52">
        <f t="shared" si="6"/>
        <v>20.48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179</v>
      </c>
      <c r="C32" s="6" t="s">
        <v>180</v>
      </c>
      <c r="D32" s="130" t="s">
        <v>138</v>
      </c>
      <c r="E32" s="53">
        <v>8</v>
      </c>
      <c r="F32" s="8">
        <v>8.8699999999999992</v>
      </c>
      <c r="G32" s="9">
        <f t="shared" si="1"/>
        <v>6.12</v>
      </c>
      <c r="H32" s="10">
        <f t="shared" si="2"/>
        <v>70.959999999999994</v>
      </c>
      <c r="I32" s="42"/>
      <c r="J32" s="89">
        <f t="shared" si="0"/>
        <v>8</v>
      </c>
      <c r="K32" s="9">
        <f t="shared" si="3"/>
        <v>4.88</v>
      </c>
      <c r="L32" s="9">
        <f t="shared" si="4"/>
        <v>39.04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4.88</v>
      </c>
      <c r="T32" s="14">
        <f t="shared" si="6"/>
        <v>39.04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181</v>
      </c>
      <c r="C34" s="6" t="s">
        <v>182</v>
      </c>
      <c r="D34" s="130" t="s">
        <v>138</v>
      </c>
      <c r="E34" s="53">
        <v>1</v>
      </c>
      <c r="F34" s="8">
        <v>22584.78</v>
      </c>
      <c r="G34" s="9">
        <f t="shared" si="1"/>
        <v>15575.71</v>
      </c>
      <c r="H34" s="10">
        <f t="shared" si="2"/>
        <v>22584.78</v>
      </c>
      <c r="I34" s="42"/>
      <c r="J34" s="89">
        <f t="shared" si="0"/>
        <v>1</v>
      </c>
      <c r="K34" s="9">
        <f t="shared" si="3"/>
        <v>12421.63</v>
      </c>
      <c r="L34" s="9">
        <f t="shared" si="4"/>
        <v>12421.63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12421.63</v>
      </c>
      <c r="T34" s="14">
        <f t="shared" si="6"/>
        <v>12421.63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33</v>
      </c>
      <c r="F49" s="78">
        <f>SUM(F18:F48)</f>
        <v>33684.769999999997</v>
      </c>
      <c r="G49" s="79">
        <f>SUM(G18:G48)</f>
        <v>23230.89</v>
      </c>
      <c r="H49" s="80">
        <f>SUM(H18:H48)</f>
        <v>37060.869999999995</v>
      </c>
      <c r="I49" s="81"/>
      <c r="J49" s="82">
        <f>SUM(J18:J48)</f>
        <v>33</v>
      </c>
      <c r="K49" s="79">
        <f>SUM(K18:K48)</f>
        <v>18256.580000000002</v>
      </c>
      <c r="L49" s="80">
        <f>SUM(L18:L48)</f>
        <v>20605.669999999998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18256.580000000002</v>
      </c>
      <c r="T49" s="80">
        <f>SUM(T18:T48)</f>
        <v>20605.669999999998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31" priority="3" stopIfTrue="1">
      <formula>$U$9&gt;100%</formula>
    </cfRule>
    <cfRule type="expression" dxfId="230" priority="4">
      <formula>$U$9&lt;50%</formula>
    </cfRule>
  </conditionalFormatting>
  <conditionalFormatting sqref="V9:V10">
    <cfRule type="expression" dxfId="229" priority="1">
      <formula>$V$9&lt;50%</formula>
    </cfRule>
    <cfRule type="expression" dxfId="228" priority="2">
      <formula>$V$9&gt;50%</formula>
    </cfRule>
  </conditionalFormatting>
  <dataValidations count="5">
    <dataValidation type="list" allowBlank="1" showInputMessage="1" showErrorMessage="1" sqref="F17 K17 Q17 Q14" xr:uid="{2140BC12-8CFF-4464-8FAB-B79BC5415F85}">
      <formula1>$Y$11:$Y$12</formula1>
    </dataValidation>
    <dataValidation type="list" allowBlank="1" showInputMessage="1" showErrorMessage="1" sqref="H13" xr:uid="{FC24FFAF-6624-4A9A-B5F5-56DA192CF825}">
      <formula1>$Y$13:$Y$14</formula1>
    </dataValidation>
    <dataValidation type="list" allowBlank="1" showInputMessage="1" showErrorMessage="1" sqref="I13" xr:uid="{D67F1301-3200-48C0-9446-418C322E1DCB}">
      <formula1>$K$9:$K$9</formula1>
    </dataValidation>
    <dataValidation type="list" showInputMessage="1" showErrorMessage="1" sqref="D18:D48" xr:uid="{AE27BB3A-4DE5-4C7D-93A2-6750EF732D7A}">
      <formula1>$Z$18:$Z$29</formula1>
    </dataValidation>
    <dataValidation type="list" allowBlank="1" showInputMessage="1" showErrorMessage="1" sqref="M18:M48" xr:uid="{45E27200-AC10-42CF-B9C0-030BD515EA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1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637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37060.869999999995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20605.669999999998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162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16455.199999999997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>
        <v>255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0.4440046874236897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/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20605.669999999998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19155.669999999998</v>
      </c>
      <c r="U9" s="235">
        <f>IFERROR(((P3-S9)/S9),0)</f>
        <v>13.210806896551723</v>
      </c>
      <c r="V9" s="235">
        <f>IFERROR(T9/P3,0)</f>
        <v>0.92963101903505196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33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126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163</v>
      </c>
      <c r="C18" s="5" t="s">
        <v>111</v>
      </c>
      <c r="D18" s="128">
        <v>500</v>
      </c>
      <c r="E18" s="53">
        <v>1</v>
      </c>
      <c r="F18" s="8">
        <v>95.35</v>
      </c>
      <c r="G18" s="9">
        <f>ROUND(IF($F$17="USD $", F18*$E$15,F18*$D$15),2)</f>
        <v>65.760000000000005</v>
      </c>
      <c r="H18" s="10">
        <f>ROUND(IF($H$17=$G$17,E18*G18,E18*F18),2)</f>
        <v>95.35</v>
      </c>
      <c r="I18" s="11"/>
      <c r="J18" s="89">
        <f t="shared" ref="J18" si="0">E18</f>
        <v>1</v>
      </c>
      <c r="K18" s="9">
        <f>IFERROR(IF(M18="OEM DISC %",ROUND(IF($K$17=$F$17,F18*(1-N18),G18*(1-N18)),2),IF(M18="MARKUP %",ROUND(R18/J18*(1+N18),2))),0)</f>
        <v>61.98</v>
      </c>
      <c r="L18" s="9">
        <f>ROUND((J18*K18),2)</f>
        <v>61.98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61.98</v>
      </c>
      <c r="T18" s="14">
        <f>ROUND(L18-R18,2)</f>
        <v>61.98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164</v>
      </c>
      <c r="C19" s="4" t="s">
        <v>117</v>
      </c>
      <c r="D19" s="129">
        <v>500</v>
      </c>
      <c r="E19" s="54">
        <v>1</v>
      </c>
      <c r="F19" s="15">
        <v>71.010000000000005</v>
      </c>
      <c r="G19" s="38">
        <f t="shared" ref="G19:G37" si="1">ROUND(IF($F$17="USD $", F19*$E$15,F19*$D$15),2)</f>
        <v>48.97</v>
      </c>
      <c r="H19" s="39">
        <f t="shared" ref="H19:H37" si="2">ROUND(IF($H$17=$G$17,E19*G19,E19*F19),2)</f>
        <v>71.010000000000005</v>
      </c>
      <c r="I19" s="42"/>
      <c r="J19" s="88">
        <f t="shared" ref="J19:J37" si="3">E19</f>
        <v>1</v>
      </c>
      <c r="K19" s="38">
        <f t="shared" ref="K19:K48" si="4">IFERROR(IF(M19="OEM DISC %",ROUND(IF($K$17=$F$17,F19*(1-N19),G19*(1-N19)),2),IF(M19="MARKUP %",ROUND(R19/J19*(1+N19),2))),0)</f>
        <v>46.16</v>
      </c>
      <c r="L19" s="38">
        <f t="shared" ref="L19:L37" si="5">ROUND((J19*K19),2)</f>
        <v>46.16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37" si="6">IFERROR(ROUND(T19/E19,2),0)</f>
        <v>46.16</v>
      </c>
      <c r="T19" s="52">
        <f t="shared" ref="T19:T48" si="7">ROUND(L19-R19,2)</f>
        <v>46.16</v>
      </c>
      <c r="U19" s="41">
        <f t="shared" ref="U19:U37" si="8">IFERROR(((K19-(R19/J19))/(R19/J19)),0)</f>
        <v>0</v>
      </c>
      <c r="V19" s="41">
        <f t="shared" ref="V19:V37" si="9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165</v>
      </c>
      <c r="C20" s="6" t="s">
        <v>128</v>
      </c>
      <c r="D20" s="130">
        <v>500</v>
      </c>
      <c r="E20" s="53">
        <v>1</v>
      </c>
      <c r="F20" s="8">
        <v>77.34</v>
      </c>
      <c r="G20" s="9">
        <f t="shared" si="1"/>
        <v>53.34</v>
      </c>
      <c r="H20" s="10">
        <f t="shared" si="2"/>
        <v>77.34</v>
      </c>
      <c r="I20" s="42"/>
      <c r="J20" s="89">
        <f t="shared" si="3"/>
        <v>1</v>
      </c>
      <c r="K20" s="9">
        <f t="shared" si="4"/>
        <v>38.67</v>
      </c>
      <c r="L20" s="9">
        <f t="shared" si="5"/>
        <v>38.67</v>
      </c>
      <c r="M20" s="8" t="s">
        <v>112</v>
      </c>
      <c r="N20" s="12">
        <v>0.5</v>
      </c>
      <c r="O20" s="51"/>
      <c r="P20" s="3"/>
      <c r="Q20" s="13"/>
      <c r="R20" s="14">
        <f t="shared" ref="R20:R37" si="10">ROUND(IF($R$17=$Q$17,Q20,IF($R$17="USD $",Q20*$D$15,Q20*$E$15))*E20,2)</f>
        <v>0</v>
      </c>
      <c r="S20" s="14">
        <f t="shared" si="6"/>
        <v>38.67</v>
      </c>
      <c r="T20" s="14">
        <f t="shared" si="7"/>
        <v>38.67</v>
      </c>
      <c r="U20" s="29">
        <f t="shared" si="8"/>
        <v>0</v>
      </c>
      <c r="V20" s="29">
        <f t="shared" si="9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166</v>
      </c>
      <c r="C21" s="4" t="s">
        <v>131</v>
      </c>
      <c r="D21" s="129">
        <v>1000</v>
      </c>
      <c r="E21" s="54">
        <v>1</v>
      </c>
      <c r="F21" s="15">
        <v>91.89</v>
      </c>
      <c r="G21" s="38">
        <f t="shared" si="1"/>
        <v>63.37</v>
      </c>
      <c r="H21" s="39">
        <f t="shared" si="2"/>
        <v>91.89</v>
      </c>
      <c r="I21" s="42"/>
      <c r="J21" s="88">
        <f t="shared" si="3"/>
        <v>1</v>
      </c>
      <c r="K21" s="38">
        <f t="shared" si="4"/>
        <v>45.95</v>
      </c>
      <c r="L21" s="38">
        <f t="shared" si="5"/>
        <v>45.95</v>
      </c>
      <c r="M21" s="132" t="s">
        <v>112</v>
      </c>
      <c r="N21" s="16">
        <v>0.5</v>
      </c>
      <c r="O21" s="51"/>
      <c r="P21" s="1"/>
      <c r="Q21" s="15"/>
      <c r="R21" s="40">
        <f t="shared" si="10"/>
        <v>0</v>
      </c>
      <c r="S21" s="52">
        <f t="shared" si="6"/>
        <v>45.95</v>
      </c>
      <c r="T21" s="52">
        <f t="shared" si="7"/>
        <v>45.95</v>
      </c>
      <c r="U21" s="41">
        <f t="shared" si="8"/>
        <v>0</v>
      </c>
      <c r="V21" s="41">
        <f t="shared" si="9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167</v>
      </c>
      <c r="C22" s="6" t="s">
        <v>122</v>
      </c>
      <c r="D22" s="130">
        <v>500</v>
      </c>
      <c r="E22" s="53">
        <v>1</v>
      </c>
      <c r="F22" s="8">
        <v>54.67</v>
      </c>
      <c r="G22" s="9">
        <f t="shared" si="1"/>
        <v>37.700000000000003</v>
      </c>
      <c r="H22" s="10">
        <f t="shared" si="2"/>
        <v>54.67</v>
      </c>
      <c r="I22" s="42"/>
      <c r="J22" s="89">
        <f t="shared" si="3"/>
        <v>1</v>
      </c>
      <c r="K22" s="9">
        <f t="shared" si="4"/>
        <v>27.34</v>
      </c>
      <c r="L22" s="9">
        <f t="shared" si="5"/>
        <v>27.34</v>
      </c>
      <c r="M22" s="8" t="s">
        <v>112</v>
      </c>
      <c r="N22" s="12">
        <v>0.5</v>
      </c>
      <c r="O22" s="51"/>
      <c r="P22" s="3"/>
      <c r="Q22" s="13"/>
      <c r="R22" s="14">
        <f t="shared" si="10"/>
        <v>0</v>
      </c>
      <c r="S22" s="14">
        <f t="shared" si="6"/>
        <v>27.34</v>
      </c>
      <c r="T22" s="14">
        <f t="shared" si="7"/>
        <v>27.34</v>
      </c>
      <c r="U22" s="29">
        <f t="shared" si="8"/>
        <v>0</v>
      </c>
      <c r="V22" s="29">
        <f t="shared" si="9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168</v>
      </c>
      <c r="C23" s="4" t="s">
        <v>114</v>
      </c>
      <c r="D23" s="129">
        <v>500</v>
      </c>
      <c r="E23" s="54">
        <v>1</v>
      </c>
      <c r="F23" s="15">
        <v>79.63</v>
      </c>
      <c r="G23" s="38">
        <f t="shared" si="1"/>
        <v>54.92</v>
      </c>
      <c r="H23" s="39">
        <f t="shared" si="2"/>
        <v>79.63</v>
      </c>
      <c r="I23" s="42"/>
      <c r="J23" s="88">
        <f t="shared" si="3"/>
        <v>1</v>
      </c>
      <c r="K23" s="38">
        <f t="shared" si="4"/>
        <v>51.76</v>
      </c>
      <c r="L23" s="38">
        <f t="shared" si="5"/>
        <v>51.76</v>
      </c>
      <c r="M23" s="132" t="s">
        <v>112</v>
      </c>
      <c r="N23" s="16">
        <v>0.35</v>
      </c>
      <c r="O23" s="51"/>
      <c r="P23" s="1"/>
      <c r="Q23" s="15"/>
      <c r="R23" s="40">
        <f t="shared" si="10"/>
        <v>0</v>
      </c>
      <c r="S23" s="52">
        <f t="shared" si="6"/>
        <v>51.76</v>
      </c>
      <c r="T23" s="52">
        <f t="shared" si="7"/>
        <v>51.76</v>
      </c>
      <c r="U23" s="41">
        <f t="shared" si="8"/>
        <v>0</v>
      </c>
      <c r="V23" s="41">
        <f t="shared" si="9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169</v>
      </c>
      <c r="C24" s="6" t="s">
        <v>114</v>
      </c>
      <c r="D24" s="130">
        <v>500</v>
      </c>
      <c r="E24" s="53">
        <v>1</v>
      </c>
      <c r="F24" s="8">
        <v>87.75</v>
      </c>
      <c r="G24" s="9">
        <f t="shared" si="1"/>
        <v>60.52</v>
      </c>
      <c r="H24" s="10">
        <f t="shared" si="2"/>
        <v>87.75</v>
      </c>
      <c r="I24" s="42"/>
      <c r="J24" s="89">
        <f t="shared" si="3"/>
        <v>1</v>
      </c>
      <c r="K24" s="9">
        <f t="shared" si="4"/>
        <v>57.04</v>
      </c>
      <c r="L24" s="9">
        <f t="shared" si="5"/>
        <v>57.04</v>
      </c>
      <c r="M24" s="8" t="s">
        <v>112</v>
      </c>
      <c r="N24" s="12">
        <v>0.35</v>
      </c>
      <c r="O24" s="51"/>
      <c r="P24" s="3"/>
      <c r="Q24" s="13"/>
      <c r="R24" s="14">
        <f t="shared" si="10"/>
        <v>0</v>
      </c>
      <c r="S24" s="14">
        <f t="shared" si="6"/>
        <v>57.04</v>
      </c>
      <c r="T24" s="14">
        <f t="shared" si="7"/>
        <v>57.04</v>
      </c>
      <c r="U24" s="29">
        <f t="shared" si="8"/>
        <v>0</v>
      </c>
      <c r="V24" s="29">
        <f t="shared" si="9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170</v>
      </c>
      <c r="C25" s="4" t="s">
        <v>137</v>
      </c>
      <c r="D25" s="129" t="s">
        <v>138</v>
      </c>
      <c r="E25" s="54">
        <v>1</v>
      </c>
      <c r="F25" s="15">
        <v>2773.6</v>
      </c>
      <c r="G25" s="38">
        <f t="shared" si="1"/>
        <v>1912.83</v>
      </c>
      <c r="H25" s="39">
        <f t="shared" si="2"/>
        <v>2773.6</v>
      </c>
      <c r="I25" s="42"/>
      <c r="J25" s="88">
        <f t="shared" si="3"/>
        <v>1</v>
      </c>
      <c r="K25" s="38">
        <f t="shared" si="4"/>
        <v>1386.8</v>
      </c>
      <c r="L25" s="38">
        <f t="shared" si="5"/>
        <v>1386.8</v>
      </c>
      <c r="M25" s="132" t="s">
        <v>112</v>
      </c>
      <c r="N25" s="16">
        <v>0.5</v>
      </c>
      <c r="O25" s="51"/>
      <c r="P25" s="1"/>
      <c r="Q25" s="15"/>
      <c r="R25" s="40">
        <f t="shared" si="10"/>
        <v>0</v>
      </c>
      <c r="S25" s="52">
        <f t="shared" si="6"/>
        <v>1386.8</v>
      </c>
      <c r="T25" s="52">
        <f t="shared" si="7"/>
        <v>1386.8</v>
      </c>
      <c r="U25" s="41">
        <f t="shared" si="8"/>
        <v>0</v>
      </c>
      <c r="V25" s="41">
        <f t="shared" si="9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171</v>
      </c>
      <c r="C26" s="6" t="s">
        <v>172</v>
      </c>
      <c r="D26" s="130" t="s">
        <v>138</v>
      </c>
      <c r="E26" s="53">
        <v>1</v>
      </c>
      <c r="F26" s="8">
        <v>505.03</v>
      </c>
      <c r="G26" s="9">
        <f t="shared" si="1"/>
        <v>348.3</v>
      </c>
      <c r="H26" s="10">
        <f t="shared" si="2"/>
        <v>505.03</v>
      </c>
      <c r="I26" s="42"/>
      <c r="J26" s="89">
        <f t="shared" si="3"/>
        <v>1</v>
      </c>
      <c r="K26" s="9">
        <f t="shared" si="4"/>
        <v>252.52</v>
      </c>
      <c r="L26" s="9">
        <f t="shared" si="5"/>
        <v>252.52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6"/>
        <v>252.52</v>
      </c>
      <c r="T26" s="14">
        <f t="shared" si="7"/>
        <v>252.52</v>
      </c>
      <c r="U26" s="29">
        <f t="shared" si="8"/>
        <v>0</v>
      </c>
      <c r="V26" s="29">
        <f t="shared" si="9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173</v>
      </c>
      <c r="C27" s="4" t="s">
        <v>144</v>
      </c>
      <c r="D27" s="129" t="s">
        <v>138</v>
      </c>
      <c r="E27" s="54">
        <v>1</v>
      </c>
      <c r="F27" s="15">
        <v>1708.74</v>
      </c>
      <c r="G27" s="38">
        <f t="shared" si="1"/>
        <v>1178.44</v>
      </c>
      <c r="H27" s="39">
        <f t="shared" si="2"/>
        <v>1708.74</v>
      </c>
      <c r="I27" s="42"/>
      <c r="J27" s="88">
        <f t="shared" si="3"/>
        <v>1</v>
      </c>
      <c r="K27" s="38">
        <f t="shared" si="4"/>
        <v>854.37</v>
      </c>
      <c r="L27" s="38">
        <f t="shared" si="5"/>
        <v>854.37</v>
      </c>
      <c r="M27" s="132" t="s">
        <v>112</v>
      </c>
      <c r="N27" s="16">
        <v>0.5</v>
      </c>
      <c r="O27" s="51"/>
      <c r="P27" s="1"/>
      <c r="Q27" s="15"/>
      <c r="R27" s="40">
        <f t="shared" si="10"/>
        <v>0</v>
      </c>
      <c r="S27" s="52">
        <f t="shared" si="6"/>
        <v>854.37</v>
      </c>
      <c r="T27" s="52">
        <f t="shared" si="7"/>
        <v>854.37</v>
      </c>
      <c r="U27" s="41">
        <f t="shared" si="8"/>
        <v>0</v>
      </c>
      <c r="V27" s="41">
        <f t="shared" si="9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174</v>
      </c>
      <c r="C28" s="6" t="s">
        <v>147</v>
      </c>
      <c r="D28" s="130" t="s">
        <v>138</v>
      </c>
      <c r="E28" s="53">
        <v>1</v>
      </c>
      <c r="F28" s="8">
        <v>4139</v>
      </c>
      <c r="G28" s="9">
        <f t="shared" si="1"/>
        <v>2854.48</v>
      </c>
      <c r="H28" s="10">
        <f t="shared" si="2"/>
        <v>4139</v>
      </c>
      <c r="I28" s="42"/>
      <c r="J28" s="89">
        <f t="shared" si="3"/>
        <v>1</v>
      </c>
      <c r="K28" s="9">
        <f t="shared" si="4"/>
        <v>2069.5</v>
      </c>
      <c r="L28" s="9">
        <f t="shared" si="5"/>
        <v>2069.5</v>
      </c>
      <c r="M28" s="8" t="s">
        <v>112</v>
      </c>
      <c r="N28" s="12">
        <v>0.5</v>
      </c>
      <c r="O28" s="51"/>
      <c r="P28" s="3"/>
      <c r="Q28" s="13"/>
      <c r="R28" s="14">
        <f t="shared" si="10"/>
        <v>0</v>
      </c>
      <c r="S28" s="14">
        <f t="shared" si="6"/>
        <v>2069.5</v>
      </c>
      <c r="T28" s="14">
        <f t="shared" si="7"/>
        <v>2069.5</v>
      </c>
      <c r="U28" s="29">
        <f t="shared" si="8"/>
        <v>0</v>
      </c>
      <c r="V28" s="29">
        <f t="shared" si="9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175</v>
      </c>
      <c r="C29" s="4" t="s">
        <v>149</v>
      </c>
      <c r="D29" s="129" t="s">
        <v>138</v>
      </c>
      <c r="E29" s="54">
        <v>4</v>
      </c>
      <c r="F29" s="15">
        <v>1093.82</v>
      </c>
      <c r="G29" s="38">
        <f>ROUND(IF($F$17="USD $", F29*$E$15,F29*$D$15),2)</f>
        <v>754.36</v>
      </c>
      <c r="H29" s="39">
        <f>ROUND(IF($H$17=$G$17,E29*G29,E29*F29),2)</f>
        <v>4375.28</v>
      </c>
      <c r="I29" s="42"/>
      <c r="J29" s="88">
        <f t="shared" si="3"/>
        <v>4</v>
      </c>
      <c r="K29" s="38">
        <f t="shared" si="4"/>
        <v>765.67</v>
      </c>
      <c r="L29" s="38">
        <f>ROUND((J29*K29),2)</f>
        <v>3062.68</v>
      </c>
      <c r="M29" s="132" t="s">
        <v>112</v>
      </c>
      <c r="N29" s="16">
        <v>0.3</v>
      </c>
      <c r="O29" s="51"/>
      <c r="P29" s="1"/>
      <c r="Q29" s="15"/>
      <c r="R29" s="40">
        <f t="shared" si="10"/>
        <v>0</v>
      </c>
      <c r="S29" s="52">
        <f t="shared" si="6"/>
        <v>765.67</v>
      </c>
      <c r="T29" s="52">
        <f t="shared" si="7"/>
        <v>3062.68</v>
      </c>
      <c r="U29" s="41">
        <f t="shared" si="8"/>
        <v>0</v>
      </c>
      <c r="V29" s="41">
        <f t="shared" si="9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176</v>
      </c>
      <c r="C30" s="6" t="s">
        <v>158</v>
      </c>
      <c r="D30" s="130" t="s">
        <v>138</v>
      </c>
      <c r="E30" s="53">
        <v>1</v>
      </c>
      <c r="F30" s="8">
        <v>308.64</v>
      </c>
      <c r="G30" s="9">
        <f t="shared" si="1"/>
        <v>212.86</v>
      </c>
      <c r="H30" s="10">
        <f t="shared" si="2"/>
        <v>308.64</v>
      </c>
      <c r="I30" s="42"/>
      <c r="J30" s="89">
        <f t="shared" si="3"/>
        <v>1</v>
      </c>
      <c r="K30" s="9">
        <f t="shared" si="4"/>
        <v>169.75</v>
      </c>
      <c r="L30" s="9">
        <f t="shared" si="5"/>
        <v>169.75</v>
      </c>
      <c r="M30" s="8" t="s">
        <v>112</v>
      </c>
      <c r="N30" s="12">
        <v>0.45</v>
      </c>
      <c r="O30" s="51"/>
      <c r="P30" s="3"/>
      <c r="Q30" s="13"/>
      <c r="R30" s="14">
        <f t="shared" si="10"/>
        <v>0</v>
      </c>
      <c r="S30" s="14">
        <f t="shared" si="6"/>
        <v>169.75</v>
      </c>
      <c r="T30" s="14">
        <f t="shared" si="7"/>
        <v>169.75</v>
      </c>
      <c r="U30" s="29">
        <f t="shared" si="8"/>
        <v>0</v>
      </c>
      <c r="V30" s="29">
        <f t="shared" si="9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177</v>
      </c>
      <c r="C31" s="4" t="s">
        <v>178</v>
      </c>
      <c r="D31" s="129" t="s">
        <v>138</v>
      </c>
      <c r="E31" s="54">
        <v>8</v>
      </c>
      <c r="F31" s="15">
        <v>4.6500000000000004</v>
      </c>
      <c r="G31" s="38">
        <f t="shared" si="1"/>
        <v>3.21</v>
      </c>
      <c r="H31" s="39">
        <f t="shared" si="2"/>
        <v>37.200000000000003</v>
      </c>
      <c r="I31" s="42"/>
      <c r="J31" s="88">
        <f t="shared" si="3"/>
        <v>8</v>
      </c>
      <c r="K31" s="38">
        <f t="shared" si="4"/>
        <v>2.56</v>
      </c>
      <c r="L31" s="38">
        <f t="shared" si="5"/>
        <v>20.48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6"/>
        <v>2.56</v>
      </c>
      <c r="T31" s="52">
        <f t="shared" si="7"/>
        <v>20.48</v>
      </c>
      <c r="U31" s="41">
        <f t="shared" si="8"/>
        <v>0</v>
      </c>
      <c r="V31" s="41">
        <f t="shared" si="9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179</v>
      </c>
      <c r="C32" s="6" t="s">
        <v>180</v>
      </c>
      <c r="D32" s="130" t="s">
        <v>138</v>
      </c>
      <c r="E32" s="53">
        <v>8</v>
      </c>
      <c r="F32" s="8">
        <v>8.8699999999999992</v>
      </c>
      <c r="G32" s="9">
        <f t="shared" si="1"/>
        <v>6.12</v>
      </c>
      <c r="H32" s="10">
        <f t="shared" si="2"/>
        <v>70.959999999999994</v>
      </c>
      <c r="I32" s="42"/>
      <c r="J32" s="89">
        <f t="shared" si="3"/>
        <v>8</v>
      </c>
      <c r="K32" s="9">
        <f t="shared" si="4"/>
        <v>4.88</v>
      </c>
      <c r="L32" s="9">
        <f t="shared" si="5"/>
        <v>39.04</v>
      </c>
      <c r="M32" s="8" t="s">
        <v>112</v>
      </c>
      <c r="N32" s="12">
        <v>0.45</v>
      </c>
      <c r="O32" s="51"/>
      <c r="P32" s="3"/>
      <c r="Q32" s="13"/>
      <c r="R32" s="14">
        <f t="shared" si="10"/>
        <v>0</v>
      </c>
      <c r="S32" s="14">
        <f t="shared" si="6"/>
        <v>4.88</v>
      </c>
      <c r="T32" s="14">
        <f t="shared" si="7"/>
        <v>39.04</v>
      </c>
      <c r="U32" s="29">
        <f t="shared" si="8"/>
        <v>0</v>
      </c>
      <c r="V32" s="29">
        <f t="shared" si="9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3"/>
        <v>0</v>
      </c>
      <c r="K33" s="38">
        <f t="shared" si="4"/>
        <v>0</v>
      </c>
      <c r="L33" s="38">
        <f t="shared" si="5"/>
        <v>0</v>
      </c>
      <c r="M33" s="132" t="s">
        <v>112</v>
      </c>
      <c r="N33" s="16"/>
      <c r="O33" s="51"/>
      <c r="P33" s="1"/>
      <c r="Q33" s="15"/>
      <c r="R33" s="40">
        <f t="shared" si="10"/>
        <v>0</v>
      </c>
      <c r="S33" s="52">
        <f t="shared" si="6"/>
        <v>0</v>
      </c>
      <c r="T33" s="52">
        <f t="shared" si="7"/>
        <v>0</v>
      </c>
      <c r="U33" s="41">
        <f t="shared" si="8"/>
        <v>0</v>
      </c>
      <c r="V33" s="41">
        <f t="shared" si="9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181</v>
      </c>
      <c r="C34" s="6" t="s">
        <v>182</v>
      </c>
      <c r="D34" s="130" t="s">
        <v>138</v>
      </c>
      <c r="E34" s="53">
        <v>1</v>
      </c>
      <c r="F34" s="8">
        <v>22584.78</v>
      </c>
      <c r="G34" s="9">
        <f t="shared" si="1"/>
        <v>15575.71</v>
      </c>
      <c r="H34" s="10">
        <f t="shared" si="2"/>
        <v>22584.78</v>
      </c>
      <c r="I34" s="42"/>
      <c r="J34" s="89">
        <f t="shared" si="3"/>
        <v>1</v>
      </c>
      <c r="K34" s="9">
        <f t="shared" si="4"/>
        <v>12421.63</v>
      </c>
      <c r="L34" s="9">
        <f t="shared" si="5"/>
        <v>12421.63</v>
      </c>
      <c r="M34" s="8" t="s">
        <v>112</v>
      </c>
      <c r="N34" s="12">
        <v>0.45</v>
      </c>
      <c r="O34" s="51"/>
      <c r="P34" s="3"/>
      <c r="Q34" s="13"/>
      <c r="R34" s="14">
        <f t="shared" si="10"/>
        <v>0</v>
      </c>
      <c r="S34" s="14">
        <f t="shared" si="6"/>
        <v>12421.63</v>
      </c>
      <c r="T34" s="14">
        <f t="shared" si="7"/>
        <v>12421.63</v>
      </c>
      <c r="U34" s="29">
        <f t="shared" si="8"/>
        <v>0</v>
      </c>
      <c r="V34" s="29">
        <f t="shared" si="9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3"/>
        <v>0</v>
      </c>
      <c r="K35" s="38">
        <f t="shared" si="4"/>
        <v>0</v>
      </c>
      <c r="L35" s="38">
        <f t="shared" si="5"/>
        <v>0</v>
      </c>
      <c r="M35" s="132" t="s">
        <v>112</v>
      </c>
      <c r="N35" s="16"/>
      <c r="O35" s="51"/>
      <c r="P35" s="1"/>
      <c r="Q35" s="15"/>
      <c r="R35" s="40">
        <f t="shared" si="10"/>
        <v>0</v>
      </c>
      <c r="S35" s="52">
        <f t="shared" si="6"/>
        <v>0</v>
      </c>
      <c r="T35" s="52">
        <f t="shared" si="7"/>
        <v>0</v>
      </c>
      <c r="U35" s="41">
        <f t="shared" si="8"/>
        <v>0</v>
      </c>
      <c r="V35" s="41">
        <f t="shared" si="9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3"/>
        <v>0</v>
      </c>
      <c r="K36" s="9">
        <f t="shared" si="4"/>
        <v>0</v>
      </c>
      <c r="L36" s="9">
        <f t="shared" si="5"/>
        <v>0</v>
      </c>
      <c r="M36" s="8" t="s">
        <v>112</v>
      </c>
      <c r="N36" s="12"/>
      <c r="O36" s="51"/>
      <c r="P36" s="3"/>
      <c r="Q36" s="13"/>
      <c r="R36" s="14">
        <f t="shared" si="10"/>
        <v>0</v>
      </c>
      <c r="S36" s="14">
        <f t="shared" si="6"/>
        <v>0</v>
      </c>
      <c r="T36" s="14">
        <f t="shared" si="7"/>
        <v>0</v>
      </c>
      <c r="U36" s="29">
        <f t="shared" si="8"/>
        <v>0</v>
      </c>
      <c r="V36" s="29">
        <f t="shared" si="9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3"/>
        <v>0</v>
      </c>
      <c r="K37" s="38">
        <f t="shared" si="4"/>
        <v>0</v>
      </c>
      <c r="L37" s="38">
        <f t="shared" si="5"/>
        <v>0</v>
      </c>
      <c r="M37" s="132" t="s">
        <v>112</v>
      </c>
      <c r="N37" s="16"/>
      <c r="O37" s="51"/>
      <c r="P37" s="1"/>
      <c r="Q37" s="15"/>
      <c r="R37" s="40">
        <f t="shared" si="10"/>
        <v>0</v>
      </c>
      <c r="S37" s="52">
        <f t="shared" si="6"/>
        <v>0</v>
      </c>
      <c r="T37" s="52">
        <f t="shared" si="7"/>
        <v>0</v>
      </c>
      <c r="U37" s="41">
        <f t="shared" si="8"/>
        <v>0</v>
      </c>
      <c r="V37" s="41">
        <f t="shared" si="9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ref="G38:G48" si="11">ROUND(IF($F$17="USD $", F38*$E$15,F38*$D$15),2)</f>
        <v>0</v>
      </c>
      <c r="H38" s="10">
        <f t="shared" ref="H38:H48" si="12">ROUND(IF($H$17=$G$17,E38*G38,E38*F38),2)</f>
        <v>0</v>
      </c>
      <c r="I38" s="42"/>
      <c r="J38" s="89">
        <f t="shared" ref="J38:J48" si="13">E38</f>
        <v>0</v>
      </c>
      <c r="K38" s="9">
        <f t="shared" si="4"/>
        <v>0</v>
      </c>
      <c r="L38" s="9">
        <f t="shared" ref="L38:L48" si="14">ROUND((J38*K38),2)</f>
        <v>0</v>
      </c>
      <c r="M38" s="8" t="s">
        <v>112</v>
      </c>
      <c r="N38" s="12"/>
      <c r="O38" s="51"/>
      <c r="P38" s="3"/>
      <c r="Q38" s="13"/>
      <c r="R38" s="14">
        <f t="shared" ref="R38:R48" si="15">ROUND(IF($R$17=$Q$17,Q38,IF($R$17="USD $",Q38*$D$15,Q38*$E$15))*E38,2)</f>
        <v>0</v>
      </c>
      <c r="S38" s="14">
        <f t="shared" ref="S38:S48" si="16">IFERROR(ROUND(T38/E38,2),0)</f>
        <v>0</v>
      </c>
      <c r="T38" s="14">
        <f t="shared" si="7"/>
        <v>0</v>
      </c>
      <c r="U38" s="29">
        <f t="shared" ref="U38:U48" si="17">IFERROR(((K38-(R38/J38))/(R38/J38)),0)</f>
        <v>0</v>
      </c>
      <c r="V38" s="29">
        <f t="shared" ref="V38:V48" si="18">IFERROR(((K38-(R38/J38))/K38),0)</f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1"/>
        <v>0</v>
      </c>
      <c r="H39" s="39">
        <f t="shared" si="12"/>
        <v>0</v>
      </c>
      <c r="I39" s="42"/>
      <c r="J39" s="88">
        <f t="shared" si="13"/>
        <v>0</v>
      </c>
      <c r="K39" s="38">
        <f t="shared" si="4"/>
        <v>0</v>
      </c>
      <c r="L39" s="38">
        <f t="shared" si="14"/>
        <v>0</v>
      </c>
      <c r="M39" s="132" t="s">
        <v>112</v>
      </c>
      <c r="N39" s="16"/>
      <c r="O39" s="51"/>
      <c r="P39" s="1"/>
      <c r="Q39" s="15"/>
      <c r="R39" s="40">
        <f t="shared" si="15"/>
        <v>0</v>
      </c>
      <c r="S39" s="52">
        <f t="shared" si="16"/>
        <v>0</v>
      </c>
      <c r="T39" s="52">
        <f t="shared" si="7"/>
        <v>0</v>
      </c>
      <c r="U39" s="41">
        <f t="shared" si="17"/>
        <v>0</v>
      </c>
      <c r="V39" s="41">
        <f t="shared" si="1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1"/>
        <v>0</v>
      </c>
      <c r="H40" s="10">
        <f t="shared" si="12"/>
        <v>0</v>
      </c>
      <c r="I40" s="42"/>
      <c r="J40" s="89">
        <f t="shared" si="13"/>
        <v>0</v>
      </c>
      <c r="K40" s="9">
        <f t="shared" si="4"/>
        <v>0</v>
      </c>
      <c r="L40" s="9">
        <f t="shared" si="14"/>
        <v>0</v>
      </c>
      <c r="M40" s="8" t="s">
        <v>112</v>
      </c>
      <c r="N40" s="12"/>
      <c r="O40" s="51"/>
      <c r="P40" s="3"/>
      <c r="Q40" s="13"/>
      <c r="R40" s="14">
        <f t="shared" si="15"/>
        <v>0</v>
      </c>
      <c r="S40" s="14">
        <f t="shared" si="16"/>
        <v>0</v>
      </c>
      <c r="T40" s="14">
        <f t="shared" si="7"/>
        <v>0</v>
      </c>
      <c r="U40" s="29">
        <f t="shared" si="17"/>
        <v>0</v>
      </c>
      <c r="V40" s="29">
        <f t="shared" si="1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4"/>
        <v>0</v>
      </c>
      <c r="L41" s="38">
        <f t="shared" si="14"/>
        <v>0</v>
      </c>
      <c r="M41" s="132" t="s">
        <v>112</v>
      </c>
      <c r="N41" s="16"/>
      <c r="O41" s="51"/>
      <c r="P41" s="1"/>
      <c r="Q41" s="15"/>
      <c r="R41" s="40">
        <f t="shared" si="15"/>
        <v>0</v>
      </c>
      <c r="S41" s="52">
        <f t="shared" si="16"/>
        <v>0</v>
      </c>
      <c r="T41" s="52">
        <f t="shared" si="7"/>
        <v>0</v>
      </c>
      <c r="U41" s="41">
        <f t="shared" si="17"/>
        <v>0</v>
      </c>
      <c r="V41" s="41">
        <f t="shared" si="1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1"/>
        <v>0</v>
      </c>
      <c r="H42" s="10">
        <f t="shared" si="12"/>
        <v>0</v>
      </c>
      <c r="I42" s="42"/>
      <c r="J42" s="89">
        <f t="shared" si="13"/>
        <v>0</v>
      </c>
      <c r="K42" s="9">
        <f t="shared" si="4"/>
        <v>0</v>
      </c>
      <c r="L42" s="9">
        <f t="shared" si="14"/>
        <v>0</v>
      </c>
      <c r="M42" s="8" t="s">
        <v>112</v>
      </c>
      <c r="N42" s="12"/>
      <c r="O42" s="51"/>
      <c r="P42" s="3"/>
      <c r="Q42" s="13"/>
      <c r="R42" s="14">
        <f t="shared" si="15"/>
        <v>0</v>
      </c>
      <c r="S42" s="14">
        <f t="shared" si="16"/>
        <v>0</v>
      </c>
      <c r="T42" s="14">
        <f t="shared" si="7"/>
        <v>0</v>
      </c>
      <c r="U42" s="29">
        <f t="shared" si="17"/>
        <v>0</v>
      </c>
      <c r="V42" s="29">
        <f t="shared" si="1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4"/>
        <v>0</v>
      </c>
      <c r="L43" s="38">
        <f t="shared" si="14"/>
        <v>0</v>
      </c>
      <c r="M43" s="132" t="s">
        <v>112</v>
      </c>
      <c r="N43" s="16"/>
      <c r="O43" s="51"/>
      <c r="P43" s="1"/>
      <c r="Q43" s="15"/>
      <c r="R43" s="40">
        <f t="shared" si="15"/>
        <v>0</v>
      </c>
      <c r="S43" s="52">
        <f t="shared" si="16"/>
        <v>0</v>
      </c>
      <c r="T43" s="52">
        <f t="shared" si="7"/>
        <v>0</v>
      </c>
      <c r="U43" s="41">
        <f t="shared" si="17"/>
        <v>0</v>
      </c>
      <c r="V43" s="41">
        <f t="shared" si="1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4"/>
        <v>0</v>
      </c>
      <c r="L44" s="9">
        <f t="shared" si="14"/>
        <v>0</v>
      </c>
      <c r="M44" s="8" t="s">
        <v>112</v>
      </c>
      <c r="N44" s="12"/>
      <c r="O44" s="51"/>
      <c r="P44" s="3"/>
      <c r="Q44" s="13"/>
      <c r="R44" s="14">
        <f t="shared" si="15"/>
        <v>0</v>
      </c>
      <c r="S44" s="14">
        <f t="shared" si="16"/>
        <v>0</v>
      </c>
      <c r="T44" s="14">
        <f t="shared" si="7"/>
        <v>0</v>
      </c>
      <c r="U44" s="29">
        <f t="shared" si="17"/>
        <v>0</v>
      </c>
      <c r="V44" s="29">
        <f t="shared" si="1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1"/>
        <v>0</v>
      </c>
      <c r="H45" s="39">
        <f t="shared" si="12"/>
        <v>0</v>
      </c>
      <c r="I45" s="42"/>
      <c r="J45" s="88">
        <f t="shared" si="13"/>
        <v>0</v>
      </c>
      <c r="K45" s="38">
        <f t="shared" si="4"/>
        <v>0</v>
      </c>
      <c r="L45" s="38">
        <f t="shared" si="14"/>
        <v>0</v>
      </c>
      <c r="M45" s="132" t="s">
        <v>112</v>
      </c>
      <c r="N45" s="16"/>
      <c r="O45" s="51"/>
      <c r="P45" s="1"/>
      <c r="Q45" s="15"/>
      <c r="R45" s="40">
        <f t="shared" si="15"/>
        <v>0</v>
      </c>
      <c r="S45" s="52">
        <f t="shared" si="16"/>
        <v>0</v>
      </c>
      <c r="T45" s="52">
        <f t="shared" si="7"/>
        <v>0</v>
      </c>
      <c r="U45" s="41">
        <f t="shared" si="17"/>
        <v>0</v>
      </c>
      <c r="V45" s="41">
        <f t="shared" si="1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1"/>
        <v>0</v>
      </c>
      <c r="H46" s="10">
        <f t="shared" si="12"/>
        <v>0</v>
      </c>
      <c r="I46" s="42"/>
      <c r="J46" s="89">
        <f t="shared" si="13"/>
        <v>0</v>
      </c>
      <c r="K46" s="9">
        <f t="shared" si="4"/>
        <v>0</v>
      </c>
      <c r="L46" s="9">
        <f t="shared" si="14"/>
        <v>0</v>
      </c>
      <c r="M46" s="8" t="s">
        <v>112</v>
      </c>
      <c r="N46" s="12"/>
      <c r="O46" s="51"/>
      <c r="P46" s="3"/>
      <c r="Q46" s="13"/>
      <c r="R46" s="14">
        <f t="shared" si="15"/>
        <v>0</v>
      </c>
      <c r="S46" s="14">
        <f t="shared" si="16"/>
        <v>0</v>
      </c>
      <c r="T46" s="14">
        <f t="shared" si="7"/>
        <v>0</v>
      </c>
      <c r="U46" s="29">
        <f t="shared" si="17"/>
        <v>0</v>
      </c>
      <c r="V46" s="29">
        <f t="shared" si="1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1"/>
        <v>0</v>
      </c>
      <c r="H47" s="39">
        <f t="shared" si="12"/>
        <v>0</v>
      </c>
      <c r="I47" s="42"/>
      <c r="J47" s="88">
        <f t="shared" si="13"/>
        <v>0</v>
      </c>
      <c r="K47" s="38">
        <f t="shared" si="4"/>
        <v>0</v>
      </c>
      <c r="L47" s="38">
        <f t="shared" si="14"/>
        <v>0</v>
      </c>
      <c r="M47" s="132" t="s">
        <v>112</v>
      </c>
      <c r="N47" s="16"/>
      <c r="O47" s="51"/>
      <c r="P47" s="1"/>
      <c r="Q47" s="15"/>
      <c r="R47" s="40">
        <f t="shared" si="15"/>
        <v>0</v>
      </c>
      <c r="S47" s="52">
        <f t="shared" si="16"/>
        <v>0</v>
      </c>
      <c r="T47" s="52">
        <f t="shared" si="7"/>
        <v>0</v>
      </c>
      <c r="U47" s="41">
        <f t="shared" si="17"/>
        <v>0</v>
      </c>
      <c r="V47" s="41">
        <f t="shared" si="1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1"/>
        <v>0</v>
      </c>
      <c r="H48" s="10">
        <f t="shared" si="12"/>
        <v>0</v>
      </c>
      <c r="I48" s="42"/>
      <c r="J48" s="89">
        <f t="shared" si="13"/>
        <v>0</v>
      </c>
      <c r="K48" s="9">
        <f t="shared" si="4"/>
        <v>0</v>
      </c>
      <c r="L48" s="9">
        <f t="shared" si="14"/>
        <v>0</v>
      </c>
      <c r="M48" s="8" t="s">
        <v>112</v>
      </c>
      <c r="N48" s="12"/>
      <c r="O48" s="51"/>
      <c r="P48" s="3"/>
      <c r="Q48" s="13"/>
      <c r="R48" s="14">
        <f t="shared" si="15"/>
        <v>0</v>
      </c>
      <c r="S48" s="14">
        <f t="shared" si="16"/>
        <v>0</v>
      </c>
      <c r="T48" s="14">
        <f t="shared" si="7"/>
        <v>0</v>
      </c>
      <c r="U48" s="29">
        <f t="shared" si="17"/>
        <v>0</v>
      </c>
      <c r="V48" s="29">
        <f t="shared" si="1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33</v>
      </c>
      <c r="F49" s="78">
        <f>SUM(F18:F48)</f>
        <v>33684.769999999997</v>
      </c>
      <c r="G49" s="79">
        <f>SUM(G18:G48)</f>
        <v>23230.89</v>
      </c>
      <c r="H49" s="80">
        <f>SUM(H18:H48)</f>
        <v>37060.869999999995</v>
      </c>
      <c r="I49" s="81"/>
      <c r="J49" s="82">
        <f>SUM(J18:J48)</f>
        <v>33</v>
      </c>
      <c r="K49" s="79">
        <f>SUM(K18:K48)</f>
        <v>18256.580000000002</v>
      </c>
      <c r="L49" s="80">
        <f>SUM(L18:L48)</f>
        <v>20605.669999999998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18256.580000000002</v>
      </c>
      <c r="T49" s="80">
        <f>SUM(T18:T48)</f>
        <v>20605.669999999998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L1:O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S2:T2"/>
    <mergeCell ref="S3:T3"/>
    <mergeCell ref="S4:T4"/>
    <mergeCell ref="S5:T5"/>
    <mergeCell ref="S6:T6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L2:N2"/>
    <mergeCell ref="L3:N3"/>
    <mergeCell ref="L4:N4"/>
    <mergeCell ref="L5:N5"/>
    <mergeCell ref="L7:N7"/>
    <mergeCell ref="H5:J5"/>
    <mergeCell ref="H8:J8"/>
    <mergeCell ref="F7:G7"/>
    <mergeCell ref="F8:G8"/>
    <mergeCell ref="F5:G5"/>
    <mergeCell ref="F6:G6"/>
    <mergeCell ref="H6:J6"/>
    <mergeCell ref="H7:J7"/>
    <mergeCell ref="B1:C1"/>
    <mergeCell ref="H1:K1"/>
    <mergeCell ref="H2:J2"/>
    <mergeCell ref="H3:J3"/>
    <mergeCell ref="H4:J4"/>
    <mergeCell ref="F2:G2"/>
    <mergeCell ref="F3:G3"/>
    <mergeCell ref="F4:G4"/>
    <mergeCell ref="B16:B17"/>
    <mergeCell ref="C16:C17"/>
    <mergeCell ref="B11:C15"/>
    <mergeCell ref="D11:E13"/>
    <mergeCell ref="F9:G9"/>
    <mergeCell ref="F11:H12"/>
    <mergeCell ref="D16:D17"/>
    <mergeCell ref="E16:E17"/>
    <mergeCell ref="D6:E6"/>
    <mergeCell ref="D7:E7"/>
    <mergeCell ref="D8:E8"/>
    <mergeCell ref="D9:E9"/>
    <mergeCell ref="D1:G1"/>
    <mergeCell ref="D2:E2"/>
    <mergeCell ref="D3:E3"/>
    <mergeCell ref="D4:E4"/>
    <mergeCell ref="D5:E5"/>
  </mergeCells>
  <conditionalFormatting sqref="U9:U10">
    <cfRule type="expression" dxfId="227" priority="3" stopIfTrue="1">
      <formula>$U$9&gt;100%</formula>
    </cfRule>
    <cfRule type="expression" dxfId="226" priority="4">
      <formula>$U$9&lt;50%</formula>
    </cfRule>
  </conditionalFormatting>
  <conditionalFormatting sqref="V9:V10">
    <cfRule type="expression" dxfId="225" priority="1">
      <formula>$V$9&lt;50%</formula>
    </cfRule>
    <cfRule type="expression" dxfId="224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48" xr:uid="{E782CD85-4032-40AD-9140-9B6A8B6C0855}">
      <formula1>$Z$18:$Z$29</formula1>
    </dataValidation>
    <dataValidation type="list" allowBlank="1" showInputMessage="1" showErrorMessage="1" sqref="M18:M48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C9AF-8C0E-4945-94A9-D3B1B66AA7C6}">
  <sheetPr>
    <pageSetUpPr fitToPage="1"/>
  </sheetPr>
  <dimension ref="A1:AB51"/>
  <sheetViews>
    <sheetView zoomScale="85" zoomScaleNormal="85" workbookViewId="0">
      <selection activeCell="F2" sqref="F2:G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638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37060.869999999995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20605.669999999998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162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16455.199999999997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>
        <v>255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0.4440046874236897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183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20605.669999999998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19155.669999999998</v>
      </c>
      <c r="U9" s="235">
        <f>IFERROR(((P3-S9)/S9),0)</f>
        <v>13.210806896551723</v>
      </c>
      <c r="V9" s="235">
        <f>IFERROR(T9/P3,0)</f>
        <v>0.92963101903505196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33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126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163</v>
      </c>
      <c r="C18" s="5" t="s">
        <v>111</v>
      </c>
      <c r="D18" s="128">
        <v>500</v>
      </c>
      <c r="E18" s="53">
        <v>1</v>
      </c>
      <c r="F18" s="8">
        <v>95.35</v>
      </c>
      <c r="G18" s="9">
        <f>ROUND(IF($F$17="USD $", F18*$E$15,F18*$D$15),2)</f>
        <v>65.760000000000005</v>
      </c>
      <c r="H18" s="10">
        <f>ROUND(IF($H$17=$G$17,E18*G18,E18*F18),2)</f>
        <v>95.35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61.98</v>
      </c>
      <c r="L18" s="9">
        <f>ROUND((J18*K18),2)</f>
        <v>61.98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61.98</v>
      </c>
      <c r="T18" s="14">
        <f>ROUND(L18-R18,2)</f>
        <v>61.98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164</v>
      </c>
      <c r="C19" s="4" t="s">
        <v>117</v>
      </c>
      <c r="D19" s="129">
        <v>500</v>
      </c>
      <c r="E19" s="54">
        <v>1</v>
      </c>
      <c r="F19" s="15">
        <v>71.010000000000005</v>
      </c>
      <c r="G19" s="38">
        <f t="shared" ref="G19:G48" si="1">ROUND(IF($F$17="USD $", F19*$E$15,F19*$D$15),2)</f>
        <v>48.97</v>
      </c>
      <c r="H19" s="39">
        <f t="shared" ref="H19:H48" si="2">ROUND(IF($H$17=$G$17,E19*G19,E19*F19),2)</f>
        <v>71.010000000000005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46.16</v>
      </c>
      <c r="L19" s="38">
        <f t="shared" ref="L19:L48" si="4">ROUND((J19*K19),2)</f>
        <v>46.16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46.16</v>
      </c>
      <c r="T19" s="52">
        <f t="shared" ref="T19:T48" si="6">ROUND(L19-R19,2)</f>
        <v>46.16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165</v>
      </c>
      <c r="C20" s="6" t="s">
        <v>128</v>
      </c>
      <c r="D20" s="130">
        <v>500</v>
      </c>
      <c r="E20" s="53">
        <v>1</v>
      </c>
      <c r="F20" s="8">
        <v>77.34</v>
      </c>
      <c r="G20" s="9">
        <f t="shared" si="1"/>
        <v>53.34</v>
      </c>
      <c r="H20" s="10">
        <f t="shared" si="2"/>
        <v>77.34</v>
      </c>
      <c r="I20" s="42"/>
      <c r="J20" s="89">
        <f t="shared" si="0"/>
        <v>1</v>
      </c>
      <c r="K20" s="9">
        <f t="shared" si="3"/>
        <v>38.67</v>
      </c>
      <c r="L20" s="9">
        <f t="shared" si="4"/>
        <v>38.67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38.67</v>
      </c>
      <c r="T20" s="14">
        <f t="shared" si="6"/>
        <v>38.67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166</v>
      </c>
      <c r="C21" s="4" t="s">
        <v>131</v>
      </c>
      <c r="D21" s="129">
        <v>1000</v>
      </c>
      <c r="E21" s="54">
        <v>1</v>
      </c>
      <c r="F21" s="15">
        <v>91.89</v>
      </c>
      <c r="G21" s="38">
        <f t="shared" si="1"/>
        <v>63.37</v>
      </c>
      <c r="H21" s="39">
        <f t="shared" si="2"/>
        <v>91.89</v>
      </c>
      <c r="I21" s="42"/>
      <c r="J21" s="88">
        <f t="shared" si="0"/>
        <v>1</v>
      </c>
      <c r="K21" s="38">
        <f t="shared" si="3"/>
        <v>45.95</v>
      </c>
      <c r="L21" s="38">
        <f t="shared" si="4"/>
        <v>45.95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45.95</v>
      </c>
      <c r="T21" s="52">
        <f t="shared" si="6"/>
        <v>45.95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167</v>
      </c>
      <c r="C22" s="6" t="s">
        <v>122</v>
      </c>
      <c r="D22" s="130">
        <v>500</v>
      </c>
      <c r="E22" s="53">
        <v>1</v>
      </c>
      <c r="F22" s="8">
        <v>54.67</v>
      </c>
      <c r="G22" s="9">
        <f t="shared" si="1"/>
        <v>37.700000000000003</v>
      </c>
      <c r="H22" s="10">
        <f t="shared" si="2"/>
        <v>54.67</v>
      </c>
      <c r="I22" s="42"/>
      <c r="J22" s="89">
        <f t="shared" si="0"/>
        <v>1</v>
      </c>
      <c r="K22" s="9">
        <f t="shared" si="3"/>
        <v>27.34</v>
      </c>
      <c r="L22" s="9">
        <f t="shared" si="4"/>
        <v>27.34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27.34</v>
      </c>
      <c r="T22" s="14">
        <f t="shared" si="6"/>
        <v>27.34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168</v>
      </c>
      <c r="C23" s="4" t="s">
        <v>114</v>
      </c>
      <c r="D23" s="129">
        <v>500</v>
      </c>
      <c r="E23" s="54">
        <v>1</v>
      </c>
      <c r="F23" s="15">
        <v>79.63</v>
      </c>
      <c r="G23" s="38">
        <f t="shared" si="1"/>
        <v>54.92</v>
      </c>
      <c r="H23" s="39">
        <f t="shared" si="2"/>
        <v>79.63</v>
      </c>
      <c r="I23" s="42"/>
      <c r="J23" s="88">
        <f t="shared" si="0"/>
        <v>1</v>
      </c>
      <c r="K23" s="38">
        <f t="shared" si="3"/>
        <v>51.76</v>
      </c>
      <c r="L23" s="38">
        <f t="shared" si="4"/>
        <v>51.76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51.76</v>
      </c>
      <c r="T23" s="52">
        <f t="shared" si="6"/>
        <v>51.76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169</v>
      </c>
      <c r="C24" s="6" t="s">
        <v>114</v>
      </c>
      <c r="D24" s="130">
        <v>500</v>
      </c>
      <c r="E24" s="53">
        <v>1</v>
      </c>
      <c r="F24" s="8">
        <v>87.75</v>
      </c>
      <c r="G24" s="9">
        <f t="shared" si="1"/>
        <v>60.52</v>
      </c>
      <c r="H24" s="10">
        <f t="shared" si="2"/>
        <v>87.75</v>
      </c>
      <c r="I24" s="42"/>
      <c r="J24" s="89">
        <f t="shared" si="0"/>
        <v>1</v>
      </c>
      <c r="K24" s="9">
        <f t="shared" si="3"/>
        <v>57.04</v>
      </c>
      <c r="L24" s="9">
        <f t="shared" si="4"/>
        <v>57.04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57.04</v>
      </c>
      <c r="T24" s="14">
        <f t="shared" si="6"/>
        <v>57.04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170</v>
      </c>
      <c r="C25" s="4" t="s">
        <v>137</v>
      </c>
      <c r="D25" s="129" t="s">
        <v>138</v>
      </c>
      <c r="E25" s="54">
        <v>1</v>
      </c>
      <c r="F25" s="15">
        <v>2773.6</v>
      </c>
      <c r="G25" s="38">
        <f t="shared" si="1"/>
        <v>1912.83</v>
      </c>
      <c r="H25" s="39">
        <f t="shared" si="2"/>
        <v>2773.6</v>
      </c>
      <c r="I25" s="42"/>
      <c r="J25" s="88">
        <f t="shared" si="0"/>
        <v>1</v>
      </c>
      <c r="K25" s="38">
        <f t="shared" si="3"/>
        <v>1386.8</v>
      </c>
      <c r="L25" s="38">
        <f t="shared" si="4"/>
        <v>1386.8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1386.8</v>
      </c>
      <c r="T25" s="52">
        <f t="shared" si="6"/>
        <v>1386.8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171</v>
      </c>
      <c r="C26" s="6" t="s">
        <v>172</v>
      </c>
      <c r="D26" s="130" t="s">
        <v>138</v>
      </c>
      <c r="E26" s="53">
        <v>1</v>
      </c>
      <c r="F26" s="8">
        <v>505.03</v>
      </c>
      <c r="G26" s="9">
        <f t="shared" si="1"/>
        <v>348.3</v>
      </c>
      <c r="H26" s="10">
        <f t="shared" si="2"/>
        <v>505.03</v>
      </c>
      <c r="I26" s="42"/>
      <c r="J26" s="89">
        <f t="shared" si="0"/>
        <v>1</v>
      </c>
      <c r="K26" s="9">
        <f t="shared" si="3"/>
        <v>252.52</v>
      </c>
      <c r="L26" s="9">
        <f t="shared" si="4"/>
        <v>252.52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252.52</v>
      </c>
      <c r="T26" s="14">
        <f t="shared" si="6"/>
        <v>252.52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173</v>
      </c>
      <c r="C27" s="4" t="s">
        <v>144</v>
      </c>
      <c r="D27" s="129" t="s">
        <v>138</v>
      </c>
      <c r="E27" s="54">
        <v>1</v>
      </c>
      <c r="F27" s="15">
        <v>1708.74</v>
      </c>
      <c r="G27" s="38">
        <f t="shared" si="1"/>
        <v>1178.44</v>
      </c>
      <c r="H27" s="39">
        <f t="shared" si="2"/>
        <v>1708.74</v>
      </c>
      <c r="I27" s="42"/>
      <c r="J27" s="88">
        <f t="shared" si="0"/>
        <v>1</v>
      </c>
      <c r="K27" s="38">
        <f t="shared" si="3"/>
        <v>854.37</v>
      </c>
      <c r="L27" s="38">
        <f t="shared" si="4"/>
        <v>854.37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854.37</v>
      </c>
      <c r="T27" s="52">
        <f t="shared" si="6"/>
        <v>854.37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174</v>
      </c>
      <c r="C28" s="6" t="s">
        <v>147</v>
      </c>
      <c r="D28" s="130" t="s">
        <v>138</v>
      </c>
      <c r="E28" s="53">
        <v>1</v>
      </c>
      <c r="F28" s="8">
        <v>4139</v>
      </c>
      <c r="G28" s="9">
        <f t="shared" si="1"/>
        <v>2854.48</v>
      </c>
      <c r="H28" s="10">
        <f t="shared" si="2"/>
        <v>4139</v>
      </c>
      <c r="I28" s="42"/>
      <c r="J28" s="89">
        <f t="shared" si="0"/>
        <v>1</v>
      </c>
      <c r="K28" s="9">
        <f t="shared" si="3"/>
        <v>2069.5</v>
      </c>
      <c r="L28" s="9">
        <f t="shared" si="4"/>
        <v>2069.5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2069.5</v>
      </c>
      <c r="T28" s="14">
        <f t="shared" si="6"/>
        <v>2069.5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175</v>
      </c>
      <c r="C29" s="4" t="s">
        <v>149</v>
      </c>
      <c r="D29" s="129" t="s">
        <v>138</v>
      </c>
      <c r="E29" s="54">
        <v>4</v>
      </c>
      <c r="F29" s="15">
        <v>1093.82</v>
      </c>
      <c r="G29" s="38">
        <f>ROUND(IF($F$17="USD $", F29*$E$15,F29*$D$15),2)</f>
        <v>754.36</v>
      </c>
      <c r="H29" s="39">
        <f>ROUND(IF($H$17=$G$17,E29*G29,E29*F29),2)</f>
        <v>4375.28</v>
      </c>
      <c r="I29" s="42"/>
      <c r="J29" s="88">
        <f t="shared" si="0"/>
        <v>4</v>
      </c>
      <c r="K29" s="38">
        <f t="shared" si="3"/>
        <v>765.67</v>
      </c>
      <c r="L29" s="38">
        <f>ROUND((J29*K29),2)</f>
        <v>3062.68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765.67</v>
      </c>
      <c r="T29" s="52">
        <f t="shared" si="6"/>
        <v>3062.68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176</v>
      </c>
      <c r="C30" s="6" t="s">
        <v>158</v>
      </c>
      <c r="D30" s="130" t="s">
        <v>138</v>
      </c>
      <c r="E30" s="53">
        <v>1</v>
      </c>
      <c r="F30" s="8">
        <v>308.64</v>
      </c>
      <c r="G30" s="9">
        <f t="shared" si="1"/>
        <v>212.86</v>
      </c>
      <c r="H30" s="10">
        <f t="shared" si="2"/>
        <v>308.64</v>
      </c>
      <c r="I30" s="42"/>
      <c r="J30" s="89">
        <f t="shared" si="0"/>
        <v>1</v>
      </c>
      <c r="K30" s="9">
        <f t="shared" si="3"/>
        <v>169.75</v>
      </c>
      <c r="L30" s="9">
        <f t="shared" si="4"/>
        <v>169.75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169.75</v>
      </c>
      <c r="T30" s="14">
        <f t="shared" si="6"/>
        <v>169.75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177</v>
      </c>
      <c r="C31" s="4" t="s">
        <v>178</v>
      </c>
      <c r="D31" s="129" t="s">
        <v>138</v>
      </c>
      <c r="E31" s="54">
        <v>8</v>
      </c>
      <c r="F31" s="15">
        <v>4.6500000000000004</v>
      </c>
      <c r="G31" s="38">
        <f t="shared" si="1"/>
        <v>3.21</v>
      </c>
      <c r="H31" s="39">
        <f t="shared" si="2"/>
        <v>37.200000000000003</v>
      </c>
      <c r="I31" s="42"/>
      <c r="J31" s="88">
        <f t="shared" si="0"/>
        <v>8</v>
      </c>
      <c r="K31" s="38">
        <f t="shared" si="3"/>
        <v>2.56</v>
      </c>
      <c r="L31" s="38">
        <f t="shared" si="4"/>
        <v>20.48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2.56</v>
      </c>
      <c r="T31" s="52">
        <f t="shared" si="6"/>
        <v>20.48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179</v>
      </c>
      <c r="C32" s="6" t="s">
        <v>180</v>
      </c>
      <c r="D32" s="130" t="s">
        <v>138</v>
      </c>
      <c r="E32" s="53">
        <v>8</v>
      </c>
      <c r="F32" s="8">
        <v>8.8699999999999992</v>
      </c>
      <c r="G32" s="9">
        <f t="shared" si="1"/>
        <v>6.12</v>
      </c>
      <c r="H32" s="10">
        <f t="shared" si="2"/>
        <v>70.959999999999994</v>
      </c>
      <c r="I32" s="42"/>
      <c r="J32" s="89">
        <f t="shared" si="0"/>
        <v>8</v>
      </c>
      <c r="K32" s="9">
        <f t="shared" si="3"/>
        <v>4.88</v>
      </c>
      <c r="L32" s="9">
        <f t="shared" si="4"/>
        <v>39.04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4.88</v>
      </c>
      <c r="T32" s="14">
        <f t="shared" si="6"/>
        <v>39.04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181</v>
      </c>
      <c r="C34" s="6" t="s">
        <v>182</v>
      </c>
      <c r="D34" s="130" t="s">
        <v>138</v>
      </c>
      <c r="E34" s="53">
        <v>1</v>
      </c>
      <c r="F34" s="8">
        <v>22584.78</v>
      </c>
      <c r="G34" s="9">
        <f t="shared" si="1"/>
        <v>15575.71</v>
      </c>
      <c r="H34" s="10">
        <f t="shared" si="2"/>
        <v>22584.78</v>
      </c>
      <c r="I34" s="42"/>
      <c r="J34" s="89">
        <f t="shared" si="0"/>
        <v>1</v>
      </c>
      <c r="K34" s="9">
        <f t="shared" si="3"/>
        <v>12421.63</v>
      </c>
      <c r="L34" s="9">
        <f t="shared" si="4"/>
        <v>12421.63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12421.63</v>
      </c>
      <c r="T34" s="14">
        <f t="shared" si="6"/>
        <v>12421.63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33</v>
      </c>
      <c r="F49" s="78">
        <f>SUM(F18:F48)</f>
        <v>33684.769999999997</v>
      </c>
      <c r="G49" s="79">
        <f>SUM(G18:G48)</f>
        <v>23230.89</v>
      </c>
      <c r="H49" s="80">
        <f>SUM(H18:H48)</f>
        <v>37060.869999999995</v>
      </c>
      <c r="I49" s="81"/>
      <c r="J49" s="82">
        <f>SUM(J18:J48)</f>
        <v>33</v>
      </c>
      <c r="K49" s="79">
        <f>SUM(K18:K48)</f>
        <v>18256.580000000002</v>
      </c>
      <c r="L49" s="80">
        <f>SUM(L18:L48)</f>
        <v>20605.669999999998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18256.580000000002</v>
      </c>
      <c r="T49" s="80">
        <f>SUM(T18:T48)</f>
        <v>20605.669999999998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0">
    <cfRule type="expression" dxfId="221" priority="1">
      <formula>$V$9&lt;50%</formula>
    </cfRule>
    <cfRule type="expression" dxfId="220" priority="2">
      <formula>$V$9&gt;50%</formula>
    </cfRule>
  </conditionalFormatting>
  <dataValidations count="5">
    <dataValidation type="list" allowBlank="1" showInputMessage="1" showErrorMessage="1" sqref="M18:M48" xr:uid="{6C2BE349-6995-4854-B8A6-370529B21F55}">
      <formula1>$Y$31:$Y$32</formula1>
    </dataValidation>
    <dataValidation type="list" showInputMessage="1" showErrorMessage="1" sqref="D18:D48" xr:uid="{59340149-6BE9-48C2-B374-4DDBE8F1ACCD}">
      <formula1>$Z$18:$Z$29</formula1>
    </dataValidation>
    <dataValidation type="list" allowBlank="1" showInputMessage="1" showErrorMessage="1" sqref="I13" xr:uid="{4128E107-86E2-4E24-A4A6-70FB41A2D23F}">
      <formula1>$K$9:$K$9</formula1>
    </dataValidation>
    <dataValidation type="list" allowBlank="1" showInputMessage="1" showErrorMessage="1" sqref="H13" xr:uid="{B23FB225-4E74-442D-9801-A94B14EA6369}">
      <formula1>$Y$13:$Y$14</formula1>
    </dataValidation>
    <dataValidation type="list" allowBlank="1" showInputMessage="1" showErrorMessage="1" sqref="F17 K17 Q17 Q14" xr:uid="{42685FAF-89CB-4AAD-BB99-D8ACA103EDD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A520-275B-460D-B781-676D35716F34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184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100182.41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55499.75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162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44682.66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185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0.44601302763628864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186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55499.75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639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54049.75</v>
      </c>
      <c r="U9" s="235">
        <f>IFERROR(((P3-S9)/S9),0)</f>
        <v>37.275689655172414</v>
      </c>
      <c r="V9" s="235">
        <f>IFERROR(T9/P3,0)</f>
        <v>0.97387375618809091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47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126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114</v>
      </c>
      <c r="D18" s="128">
        <v>500</v>
      </c>
      <c r="E18" s="53">
        <v>1</v>
      </c>
      <c r="F18" s="8">
        <v>82.09</v>
      </c>
      <c r="G18" s="9">
        <f>ROUND(IF($F$17="USD $", F18*$E$15,F18*$D$15),2)</f>
        <v>56.61</v>
      </c>
      <c r="H18" s="10">
        <f>ROUND(IF($H$17=$G$17,E18*G18,E18*F18),2)</f>
        <v>82.09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53.36</v>
      </c>
      <c r="L18" s="9">
        <f>ROUND((J18*K18),2)</f>
        <v>53.36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53.36</v>
      </c>
      <c r="T18" s="14">
        <f>ROUND(L18-R18,2)</f>
        <v>53.36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188</v>
      </c>
      <c r="C19" s="4" t="s">
        <v>111</v>
      </c>
      <c r="D19" s="129">
        <v>1000</v>
      </c>
      <c r="E19" s="54">
        <v>1</v>
      </c>
      <c r="F19" s="15">
        <v>160.11000000000001</v>
      </c>
      <c r="G19" s="38">
        <f t="shared" ref="G19:G48" si="1">ROUND(IF($F$17="USD $", F19*$E$15,F19*$D$15),2)</f>
        <v>110.42</v>
      </c>
      <c r="H19" s="39">
        <f t="shared" ref="H19:H48" si="2">ROUND(IF($H$17=$G$17,E19*G19,E19*F19),2)</f>
        <v>160.11000000000001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104.07</v>
      </c>
      <c r="L19" s="38">
        <f t="shared" ref="L19:L48" si="4">ROUND((J19*K19),2)</f>
        <v>104.07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104.07</v>
      </c>
      <c r="T19" s="52">
        <f t="shared" ref="T19:T48" si="6">ROUND(L19-R19,2)</f>
        <v>104.07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117</v>
      </c>
      <c r="D20" s="130">
        <v>1000</v>
      </c>
      <c r="E20" s="53">
        <v>1</v>
      </c>
      <c r="F20" s="8">
        <v>113.26</v>
      </c>
      <c r="G20" s="9">
        <f t="shared" si="1"/>
        <v>78.11</v>
      </c>
      <c r="H20" s="10">
        <f t="shared" si="2"/>
        <v>113.26</v>
      </c>
      <c r="I20" s="42"/>
      <c r="J20" s="89">
        <f t="shared" si="0"/>
        <v>1</v>
      </c>
      <c r="K20" s="9">
        <f t="shared" si="3"/>
        <v>73.62</v>
      </c>
      <c r="L20" s="9">
        <f t="shared" si="4"/>
        <v>73.62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73.62</v>
      </c>
      <c r="T20" s="14">
        <f t="shared" si="6"/>
        <v>73.62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190</v>
      </c>
      <c r="C21" s="4" t="s">
        <v>122</v>
      </c>
      <c r="D21" s="129">
        <v>500</v>
      </c>
      <c r="E21" s="54">
        <v>1</v>
      </c>
      <c r="F21" s="15">
        <v>42.63</v>
      </c>
      <c r="G21" s="38">
        <f t="shared" si="1"/>
        <v>29.4</v>
      </c>
      <c r="H21" s="39">
        <f t="shared" si="2"/>
        <v>42.63</v>
      </c>
      <c r="I21" s="42"/>
      <c r="J21" s="88">
        <f t="shared" si="0"/>
        <v>1</v>
      </c>
      <c r="K21" s="38">
        <f t="shared" si="3"/>
        <v>21.32</v>
      </c>
      <c r="L21" s="38">
        <f t="shared" si="4"/>
        <v>21.32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21.32</v>
      </c>
      <c r="T21" s="52">
        <f t="shared" si="6"/>
        <v>21.32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191</v>
      </c>
      <c r="C22" s="6" t="s">
        <v>128</v>
      </c>
      <c r="D22" s="130">
        <v>500</v>
      </c>
      <c r="E22" s="53">
        <v>1</v>
      </c>
      <c r="F22" s="8">
        <v>76.150000000000006</v>
      </c>
      <c r="G22" s="9">
        <f t="shared" si="1"/>
        <v>52.52</v>
      </c>
      <c r="H22" s="10">
        <f t="shared" si="2"/>
        <v>76.150000000000006</v>
      </c>
      <c r="I22" s="42"/>
      <c r="J22" s="89">
        <f t="shared" si="0"/>
        <v>1</v>
      </c>
      <c r="K22" s="9">
        <f t="shared" si="3"/>
        <v>38.08</v>
      </c>
      <c r="L22" s="9">
        <f t="shared" si="4"/>
        <v>38.08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38.08</v>
      </c>
      <c r="T22" s="14">
        <f t="shared" si="6"/>
        <v>38.08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192</v>
      </c>
      <c r="C23" s="4" t="s">
        <v>125</v>
      </c>
      <c r="D23" s="129">
        <v>500</v>
      </c>
      <c r="E23" s="54">
        <v>1</v>
      </c>
      <c r="F23" s="15">
        <v>50.09</v>
      </c>
      <c r="G23" s="38">
        <f t="shared" si="1"/>
        <v>34.54</v>
      </c>
      <c r="H23" s="39">
        <f t="shared" si="2"/>
        <v>50.09</v>
      </c>
      <c r="I23" s="42"/>
      <c r="J23" s="88">
        <f t="shared" si="0"/>
        <v>1</v>
      </c>
      <c r="K23" s="38">
        <f t="shared" si="3"/>
        <v>25.05</v>
      </c>
      <c r="L23" s="38">
        <f t="shared" si="4"/>
        <v>25.05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25.05</v>
      </c>
      <c r="T23" s="52">
        <f t="shared" si="6"/>
        <v>25.05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193</v>
      </c>
      <c r="C24" s="6" t="s">
        <v>194</v>
      </c>
      <c r="D24" s="130">
        <v>2000</v>
      </c>
      <c r="E24" s="53">
        <v>1</v>
      </c>
      <c r="F24" s="8">
        <v>221.11</v>
      </c>
      <c r="G24" s="9">
        <f t="shared" si="1"/>
        <v>152.49</v>
      </c>
      <c r="H24" s="10">
        <f t="shared" si="2"/>
        <v>221.11</v>
      </c>
      <c r="I24" s="42"/>
      <c r="J24" s="89">
        <f t="shared" si="0"/>
        <v>1</v>
      </c>
      <c r="K24" s="9">
        <f t="shared" si="3"/>
        <v>110.56</v>
      </c>
      <c r="L24" s="9">
        <f t="shared" si="4"/>
        <v>110.56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110.56</v>
      </c>
      <c r="T24" s="14">
        <f t="shared" si="6"/>
        <v>110.56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195</v>
      </c>
      <c r="C25" s="4" t="s">
        <v>196</v>
      </c>
      <c r="D25" s="129">
        <v>1000</v>
      </c>
      <c r="E25" s="54">
        <v>1</v>
      </c>
      <c r="F25" s="15">
        <v>98.57</v>
      </c>
      <c r="G25" s="38">
        <f t="shared" si="1"/>
        <v>67.98</v>
      </c>
      <c r="H25" s="39">
        <f t="shared" si="2"/>
        <v>98.57</v>
      </c>
      <c r="I25" s="42"/>
      <c r="J25" s="88">
        <f t="shared" si="0"/>
        <v>1</v>
      </c>
      <c r="K25" s="38">
        <f t="shared" si="3"/>
        <v>49.29</v>
      </c>
      <c r="L25" s="38">
        <f t="shared" si="4"/>
        <v>49.29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49.29</v>
      </c>
      <c r="T25" s="52">
        <f t="shared" si="6"/>
        <v>49.29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197</v>
      </c>
      <c r="C26" s="6" t="s">
        <v>198</v>
      </c>
      <c r="D26" s="130">
        <v>1000</v>
      </c>
      <c r="E26" s="53">
        <v>1</v>
      </c>
      <c r="F26" s="8">
        <v>102.89</v>
      </c>
      <c r="G26" s="9">
        <f t="shared" si="1"/>
        <v>70.959999999999994</v>
      </c>
      <c r="H26" s="10">
        <f t="shared" si="2"/>
        <v>102.89</v>
      </c>
      <c r="I26" s="42"/>
      <c r="J26" s="89">
        <f t="shared" si="0"/>
        <v>1</v>
      </c>
      <c r="K26" s="9">
        <f t="shared" si="3"/>
        <v>51.45</v>
      </c>
      <c r="L26" s="9">
        <f t="shared" si="4"/>
        <v>51.45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51.45</v>
      </c>
      <c r="T26" s="14">
        <f t="shared" si="6"/>
        <v>51.45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199</v>
      </c>
      <c r="C27" s="4" t="s">
        <v>137</v>
      </c>
      <c r="D27" s="129" t="s">
        <v>138</v>
      </c>
      <c r="E27" s="54">
        <v>1</v>
      </c>
      <c r="F27" s="15">
        <v>3792.29</v>
      </c>
      <c r="G27" s="38">
        <f t="shared" si="1"/>
        <v>2615.37</v>
      </c>
      <c r="H27" s="39">
        <f t="shared" si="2"/>
        <v>3792.29</v>
      </c>
      <c r="I27" s="42"/>
      <c r="J27" s="88">
        <f t="shared" si="0"/>
        <v>1</v>
      </c>
      <c r="K27" s="38">
        <f t="shared" si="3"/>
        <v>1896.15</v>
      </c>
      <c r="L27" s="38">
        <f t="shared" si="4"/>
        <v>1896.15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1896.15</v>
      </c>
      <c r="T27" s="52">
        <f t="shared" si="6"/>
        <v>1896.15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200</v>
      </c>
      <c r="C28" s="6" t="s">
        <v>201</v>
      </c>
      <c r="D28" s="130" t="s">
        <v>138</v>
      </c>
      <c r="E28" s="53">
        <v>2</v>
      </c>
      <c r="F28" s="8">
        <v>486.48</v>
      </c>
      <c r="G28" s="9">
        <f t="shared" si="1"/>
        <v>335.5</v>
      </c>
      <c r="H28" s="10">
        <f t="shared" si="2"/>
        <v>972.96</v>
      </c>
      <c r="I28" s="42"/>
      <c r="J28" s="89">
        <f t="shared" si="0"/>
        <v>2</v>
      </c>
      <c r="K28" s="9">
        <f t="shared" si="3"/>
        <v>243.24</v>
      </c>
      <c r="L28" s="9">
        <f t="shared" si="4"/>
        <v>486.48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243.24</v>
      </c>
      <c r="T28" s="14">
        <f t="shared" si="6"/>
        <v>486.48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202</v>
      </c>
      <c r="C29" s="4" t="s">
        <v>144</v>
      </c>
      <c r="D29" s="129" t="s">
        <v>138</v>
      </c>
      <c r="E29" s="54">
        <v>1</v>
      </c>
      <c r="F29" s="15">
        <v>1834.21</v>
      </c>
      <c r="G29" s="38">
        <f>ROUND(IF($F$17="USD $", F29*$E$15,F29*$D$15),2)</f>
        <v>1264.97</v>
      </c>
      <c r="H29" s="39">
        <f>ROUND(IF($H$17=$G$17,E29*G29,E29*F29),2)</f>
        <v>1834.21</v>
      </c>
      <c r="I29" s="42"/>
      <c r="J29" s="88">
        <f t="shared" si="0"/>
        <v>1</v>
      </c>
      <c r="K29" s="38">
        <f t="shared" si="3"/>
        <v>917.11</v>
      </c>
      <c r="L29" s="38">
        <f>ROUND((J29*K29),2)</f>
        <v>917.11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917.11</v>
      </c>
      <c r="T29" s="52">
        <f t="shared" si="6"/>
        <v>917.11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203</v>
      </c>
      <c r="C30" s="6" t="s">
        <v>147</v>
      </c>
      <c r="D30" s="130" t="s">
        <v>138</v>
      </c>
      <c r="E30" s="53">
        <v>1</v>
      </c>
      <c r="F30" s="8">
        <v>11151.43</v>
      </c>
      <c r="G30" s="9">
        <f t="shared" si="1"/>
        <v>7690.64</v>
      </c>
      <c r="H30" s="10">
        <f t="shared" si="2"/>
        <v>11151.43</v>
      </c>
      <c r="I30" s="42"/>
      <c r="J30" s="89">
        <f t="shared" si="0"/>
        <v>1</v>
      </c>
      <c r="K30" s="9">
        <f t="shared" si="3"/>
        <v>5575.72</v>
      </c>
      <c r="L30" s="9">
        <f t="shared" si="4"/>
        <v>5575.72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5575.72</v>
      </c>
      <c r="T30" s="14">
        <f t="shared" si="6"/>
        <v>5575.72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204</v>
      </c>
      <c r="C31" s="4" t="s">
        <v>149</v>
      </c>
      <c r="D31" s="129" t="s">
        <v>138</v>
      </c>
      <c r="E31" s="54">
        <v>6</v>
      </c>
      <c r="F31" s="15">
        <v>1423.26</v>
      </c>
      <c r="G31" s="38">
        <f t="shared" si="1"/>
        <v>981.56</v>
      </c>
      <c r="H31" s="39">
        <f t="shared" si="2"/>
        <v>8539.56</v>
      </c>
      <c r="I31" s="42"/>
      <c r="J31" s="88">
        <f t="shared" si="0"/>
        <v>6</v>
      </c>
      <c r="K31" s="38">
        <f t="shared" si="3"/>
        <v>996.28</v>
      </c>
      <c r="L31" s="38">
        <f t="shared" si="4"/>
        <v>5977.68</v>
      </c>
      <c r="M31" s="132" t="s">
        <v>112</v>
      </c>
      <c r="N31" s="16">
        <v>0.3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996.28</v>
      </c>
      <c r="T31" s="52">
        <f t="shared" si="6"/>
        <v>5977.68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205</v>
      </c>
      <c r="C32" s="6" t="s">
        <v>206</v>
      </c>
      <c r="D32" s="130" t="s">
        <v>138</v>
      </c>
      <c r="E32" s="53">
        <v>2</v>
      </c>
      <c r="F32" s="8">
        <v>242.74</v>
      </c>
      <c r="G32" s="9">
        <f t="shared" si="1"/>
        <v>167.41</v>
      </c>
      <c r="H32" s="10">
        <f t="shared" si="2"/>
        <v>485.48</v>
      </c>
      <c r="I32" s="42"/>
      <c r="J32" s="89">
        <f t="shared" si="0"/>
        <v>2</v>
      </c>
      <c r="K32" s="9">
        <f t="shared" si="3"/>
        <v>133.51</v>
      </c>
      <c r="L32" s="9">
        <f t="shared" si="4"/>
        <v>267.02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133.51</v>
      </c>
      <c r="T32" s="14">
        <f t="shared" si="6"/>
        <v>267.02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207</v>
      </c>
      <c r="C33" s="4" t="s">
        <v>180</v>
      </c>
      <c r="D33" s="129" t="s">
        <v>138</v>
      </c>
      <c r="E33" s="54">
        <v>8</v>
      </c>
      <c r="F33" s="15">
        <v>7.97</v>
      </c>
      <c r="G33" s="38">
        <f t="shared" si="1"/>
        <v>5.5</v>
      </c>
      <c r="H33" s="39">
        <f t="shared" si="2"/>
        <v>63.76</v>
      </c>
      <c r="I33" s="42"/>
      <c r="J33" s="88">
        <f t="shared" si="0"/>
        <v>8</v>
      </c>
      <c r="K33" s="38">
        <f t="shared" si="3"/>
        <v>4.38</v>
      </c>
      <c r="L33" s="38">
        <f t="shared" si="4"/>
        <v>35.04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4.38</v>
      </c>
      <c r="T33" s="52">
        <f t="shared" si="6"/>
        <v>35.04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208</v>
      </c>
      <c r="C34" s="6" t="s">
        <v>178</v>
      </c>
      <c r="D34" s="130" t="s">
        <v>138</v>
      </c>
      <c r="E34" s="53">
        <v>8</v>
      </c>
      <c r="F34" s="8">
        <v>10.41</v>
      </c>
      <c r="G34" s="9">
        <f t="shared" si="1"/>
        <v>7.18</v>
      </c>
      <c r="H34" s="10">
        <f t="shared" si="2"/>
        <v>83.28</v>
      </c>
      <c r="I34" s="42"/>
      <c r="J34" s="89">
        <f t="shared" si="0"/>
        <v>8</v>
      </c>
      <c r="K34" s="9">
        <f t="shared" si="3"/>
        <v>5.73</v>
      </c>
      <c r="L34" s="9">
        <f t="shared" si="4"/>
        <v>45.84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5.73</v>
      </c>
      <c r="T34" s="14">
        <f t="shared" si="6"/>
        <v>45.84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209</v>
      </c>
      <c r="C35" s="4" t="s">
        <v>210</v>
      </c>
      <c r="D35" s="129" t="s">
        <v>138</v>
      </c>
      <c r="E35" s="54">
        <v>8</v>
      </c>
      <c r="F35" s="15">
        <v>7.38</v>
      </c>
      <c r="G35" s="38">
        <f t="shared" si="1"/>
        <v>5.09</v>
      </c>
      <c r="H35" s="39">
        <f t="shared" si="2"/>
        <v>59.04</v>
      </c>
      <c r="I35" s="42"/>
      <c r="J35" s="88">
        <f t="shared" si="0"/>
        <v>8</v>
      </c>
      <c r="K35" s="38">
        <f t="shared" si="3"/>
        <v>4.0599999999999996</v>
      </c>
      <c r="L35" s="38">
        <f t="shared" si="4"/>
        <v>32.479999999999997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4.0599999999999996</v>
      </c>
      <c r="T35" s="52">
        <f t="shared" si="6"/>
        <v>32.479999999999997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>
        <v>0</v>
      </c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211</v>
      </c>
      <c r="C37" s="4" t="s">
        <v>212</v>
      </c>
      <c r="D37" s="129" t="s">
        <v>138</v>
      </c>
      <c r="E37" s="54">
        <v>1</v>
      </c>
      <c r="F37" s="15">
        <v>72253.5</v>
      </c>
      <c r="G37" s="38">
        <f t="shared" si="1"/>
        <v>49830</v>
      </c>
      <c r="H37" s="39">
        <f t="shared" si="2"/>
        <v>72253.5</v>
      </c>
      <c r="I37" s="42"/>
      <c r="J37" s="88">
        <f t="shared" si="0"/>
        <v>1</v>
      </c>
      <c r="K37" s="38">
        <f t="shared" si="3"/>
        <v>39739.43</v>
      </c>
      <c r="L37" s="38">
        <f t="shared" si="4"/>
        <v>39739.43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39739.43</v>
      </c>
      <c r="T37" s="52">
        <f t="shared" si="6"/>
        <v>39739.43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47</v>
      </c>
      <c r="F49" s="78">
        <f>SUM(F18:F48)</f>
        <v>92156.57</v>
      </c>
      <c r="G49" s="79">
        <f>SUM(G18:G48)</f>
        <v>63556.25</v>
      </c>
      <c r="H49" s="80">
        <f>SUM(H18:H48)</f>
        <v>100182.41</v>
      </c>
      <c r="I49" s="81"/>
      <c r="J49" s="82">
        <f>SUM(J18:J48)</f>
        <v>47</v>
      </c>
      <c r="K49" s="79">
        <f>SUM(K18:K48)</f>
        <v>50042.41</v>
      </c>
      <c r="L49" s="80">
        <f>SUM(L18:L48)</f>
        <v>55499.75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50042.41</v>
      </c>
      <c r="T49" s="80">
        <f>SUM(T18:T48)</f>
        <v>55499.75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0">
    <cfRule type="expression" dxfId="217" priority="1">
      <formula>$V$9&lt;50%</formula>
    </cfRule>
    <cfRule type="expression" dxfId="216" priority="2">
      <formula>$V$9&gt;50%</formula>
    </cfRule>
  </conditionalFormatting>
  <dataValidations count="5">
    <dataValidation type="list" allowBlank="1" showInputMessage="1" showErrorMessage="1" sqref="M18:M48" xr:uid="{60CCC6C8-75A9-4714-92FF-954E47FE9D25}">
      <formula1>$Y$31:$Y$32</formula1>
    </dataValidation>
    <dataValidation type="list" showInputMessage="1" showErrorMessage="1" sqref="D18:D48" xr:uid="{A55748F1-2CD0-404D-A6DF-89B313F8698D}">
      <formula1>$Z$18:$Z$29</formula1>
    </dataValidation>
    <dataValidation type="list" allowBlank="1" showInputMessage="1" showErrorMessage="1" sqref="I13" xr:uid="{318EF4D9-3B5A-4BB1-9C91-8F18FB2C438E}">
      <formula1>$K$9:$K$9</formula1>
    </dataValidation>
    <dataValidation type="list" allowBlank="1" showInputMessage="1" showErrorMessage="1" sqref="H13" xr:uid="{17F5DFEB-83EA-4FAC-B626-2F10581F74F1}">
      <formula1>$Y$13:$Y$14</formula1>
    </dataValidation>
    <dataValidation type="list" allowBlank="1" showInputMessage="1" showErrorMessage="1" sqref="F17 K17 Q17 Q14" xr:uid="{3D4517C4-329B-4B3A-B764-8D67BE8E61D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4F99-2D3A-4EAE-810E-FEA4C1F7BA61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213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31293.57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16549.03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214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14744.54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215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0.47116835822822389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216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16549.03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640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15099.029999999999</v>
      </c>
      <c r="U9" s="235">
        <f>IFERROR(((P3-S9)/S9),0)</f>
        <v>10.413124137931034</v>
      </c>
      <c r="V9" s="235">
        <f>IFERROR(T9/P3,0)</f>
        <v>0.91238157160872868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18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217</v>
      </c>
      <c r="C18" s="5" t="s">
        <v>111</v>
      </c>
      <c r="D18" s="128">
        <v>1000</v>
      </c>
      <c r="E18" s="53">
        <v>1</v>
      </c>
      <c r="F18" s="8">
        <v>100.67</v>
      </c>
      <c r="G18" s="9">
        <f>ROUND(IF($F$17="USD $", F18*$E$15,F18*$D$15),2)</f>
        <v>69.430000000000007</v>
      </c>
      <c r="H18" s="10">
        <f>ROUND(IF($H$17=$G$17,E18*G18,E18*F18),2)</f>
        <v>100.67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65.44</v>
      </c>
      <c r="L18" s="9">
        <f>ROUND((J18*K18),2)</f>
        <v>65.44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65.44</v>
      </c>
      <c r="T18" s="14">
        <f>ROUND(L18-R18,2)</f>
        <v>65.44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218</v>
      </c>
      <c r="C19" s="4" t="s">
        <v>117</v>
      </c>
      <c r="D19" s="129">
        <v>1000</v>
      </c>
      <c r="E19" s="54">
        <v>1</v>
      </c>
      <c r="F19" s="15">
        <v>80.09</v>
      </c>
      <c r="G19" s="38">
        <f t="shared" ref="G19:G48" si="1">ROUND(IF($F$17="USD $", F19*$E$15,F19*$D$15),2)</f>
        <v>55.23</v>
      </c>
      <c r="H19" s="39">
        <f t="shared" ref="H19:H48" si="2">ROUND(IF($H$17=$G$17,E19*G19,E19*F19),2)</f>
        <v>80.09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52.06</v>
      </c>
      <c r="L19" s="38">
        <f t="shared" ref="L19:L48" si="4">ROUND((J19*K19),2)</f>
        <v>52.06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52.06</v>
      </c>
      <c r="T19" s="52">
        <f t="shared" ref="T19:T48" si="6">ROUND(L19-R19,2)</f>
        <v>52.06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219</v>
      </c>
      <c r="C20" s="6" t="s">
        <v>122</v>
      </c>
      <c r="D20" s="130">
        <v>500</v>
      </c>
      <c r="E20" s="53">
        <v>1</v>
      </c>
      <c r="F20" s="8">
        <v>29.79</v>
      </c>
      <c r="G20" s="9">
        <f t="shared" si="1"/>
        <v>20.54</v>
      </c>
      <c r="H20" s="10">
        <f t="shared" si="2"/>
        <v>29.79</v>
      </c>
      <c r="I20" s="42"/>
      <c r="J20" s="89">
        <f t="shared" si="0"/>
        <v>1</v>
      </c>
      <c r="K20" s="9">
        <f t="shared" si="3"/>
        <v>14.9</v>
      </c>
      <c r="L20" s="9">
        <f t="shared" si="4"/>
        <v>14.9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14.9</v>
      </c>
      <c r="T20" s="14">
        <f t="shared" si="6"/>
        <v>14.9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220</v>
      </c>
      <c r="C21" s="4" t="s">
        <v>221</v>
      </c>
      <c r="D21" s="129">
        <v>2000</v>
      </c>
      <c r="E21" s="54">
        <v>1</v>
      </c>
      <c r="F21" s="15">
        <v>54.46</v>
      </c>
      <c r="G21" s="38">
        <f t="shared" si="1"/>
        <v>37.56</v>
      </c>
      <c r="H21" s="39">
        <f t="shared" si="2"/>
        <v>54.46</v>
      </c>
      <c r="I21" s="42"/>
      <c r="J21" s="88">
        <f t="shared" si="0"/>
        <v>1</v>
      </c>
      <c r="K21" s="38">
        <f t="shared" si="3"/>
        <v>27.23</v>
      </c>
      <c r="L21" s="38">
        <f t="shared" si="4"/>
        <v>27.23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27.23</v>
      </c>
      <c r="T21" s="52">
        <f t="shared" si="6"/>
        <v>27.23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222</v>
      </c>
      <c r="C22" s="6" t="s">
        <v>128</v>
      </c>
      <c r="D22" s="130">
        <v>500</v>
      </c>
      <c r="E22" s="53">
        <v>1</v>
      </c>
      <c r="F22" s="8">
        <v>72.33</v>
      </c>
      <c r="G22" s="9">
        <f t="shared" si="1"/>
        <v>49.88</v>
      </c>
      <c r="H22" s="10">
        <f t="shared" si="2"/>
        <v>72.33</v>
      </c>
      <c r="I22" s="42"/>
      <c r="J22" s="89">
        <f t="shared" si="0"/>
        <v>1</v>
      </c>
      <c r="K22" s="9">
        <f t="shared" si="3"/>
        <v>36.17</v>
      </c>
      <c r="L22" s="9">
        <f t="shared" si="4"/>
        <v>36.17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36.17</v>
      </c>
      <c r="T22" s="14">
        <f t="shared" si="6"/>
        <v>36.17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192</v>
      </c>
      <c r="C23" s="4" t="s">
        <v>125</v>
      </c>
      <c r="D23" s="129">
        <v>500</v>
      </c>
      <c r="E23" s="54">
        <v>1</v>
      </c>
      <c r="F23" s="15">
        <v>50.09</v>
      </c>
      <c r="G23" s="38">
        <f t="shared" si="1"/>
        <v>34.54</v>
      </c>
      <c r="H23" s="39">
        <f t="shared" si="2"/>
        <v>50.09</v>
      </c>
      <c r="I23" s="42"/>
      <c r="J23" s="88">
        <f t="shared" si="0"/>
        <v>1</v>
      </c>
      <c r="K23" s="38">
        <f t="shared" si="3"/>
        <v>25.05</v>
      </c>
      <c r="L23" s="38">
        <f t="shared" si="4"/>
        <v>25.05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25.05</v>
      </c>
      <c r="T23" s="52">
        <f t="shared" si="6"/>
        <v>25.05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223</v>
      </c>
      <c r="C24" s="6" t="s">
        <v>137</v>
      </c>
      <c r="D24" s="130" t="s">
        <v>138</v>
      </c>
      <c r="E24" s="53">
        <v>1</v>
      </c>
      <c r="F24" s="8">
        <v>3328.65</v>
      </c>
      <c r="G24" s="9">
        <f t="shared" si="1"/>
        <v>2295.62</v>
      </c>
      <c r="H24" s="10">
        <f t="shared" si="2"/>
        <v>3328.65</v>
      </c>
      <c r="I24" s="42"/>
      <c r="J24" s="89">
        <f t="shared" si="0"/>
        <v>1</v>
      </c>
      <c r="K24" s="9">
        <f t="shared" si="3"/>
        <v>1664.33</v>
      </c>
      <c r="L24" s="9">
        <f t="shared" si="4"/>
        <v>1664.33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1664.33</v>
      </c>
      <c r="T24" s="14">
        <f t="shared" si="6"/>
        <v>1664.33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224</v>
      </c>
      <c r="C25" s="4" t="s">
        <v>225</v>
      </c>
      <c r="D25" s="129" t="s">
        <v>138</v>
      </c>
      <c r="E25" s="54">
        <v>1</v>
      </c>
      <c r="F25" s="15">
        <v>372.62</v>
      </c>
      <c r="G25" s="38">
        <f t="shared" si="1"/>
        <v>256.98</v>
      </c>
      <c r="H25" s="39">
        <f t="shared" si="2"/>
        <v>372.62</v>
      </c>
      <c r="I25" s="42"/>
      <c r="J25" s="88">
        <f t="shared" si="0"/>
        <v>1</v>
      </c>
      <c r="K25" s="38">
        <f t="shared" si="3"/>
        <v>186.31</v>
      </c>
      <c r="L25" s="38">
        <f t="shared" si="4"/>
        <v>186.31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186.31</v>
      </c>
      <c r="T25" s="52">
        <f t="shared" si="6"/>
        <v>186.31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226</v>
      </c>
      <c r="C26" s="6" t="s">
        <v>144</v>
      </c>
      <c r="D26" s="130" t="s">
        <v>138</v>
      </c>
      <c r="E26" s="53">
        <v>1</v>
      </c>
      <c r="F26" s="8">
        <v>1706.83</v>
      </c>
      <c r="G26" s="9">
        <f t="shared" si="1"/>
        <v>1177.1199999999999</v>
      </c>
      <c r="H26" s="10">
        <f t="shared" si="2"/>
        <v>1706.83</v>
      </c>
      <c r="I26" s="42"/>
      <c r="J26" s="89">
        <f t="shared" si="0"/>
        <v>1</v>
      </c>
      <c r="K26" s="9">
        <f t="shared" si="3"/>
        <v>853.42</v>
      </c>
      <c r="L26" s="9">
        <f t="shared" si="4"/>
        <v>853.42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853.42</v>
      </c>
      <c r="T26" s="14">
        <f t="shared" si="6"/>
        <v>853.42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227</v>
      </c>
      <c r="C27" s="4" t="s">
        <v>147</v>
      </c>
      <c r="D27" s="129" t="s">
        <v>138</v>
      </c>
      <c r="E27" s="54">
        <v>1</v>
      </c>
      <c r="F27" s="15">
        <v>4302.96</v>
      </c>
      <c r="G27" s="38">
        <f t="shared" si="1"/>
        <v>2967.56</v>
      </c>
      <c r="H27" s="39">
        <f t="shared" si="2"/>
        <v>4302.96</v>
      </c>
      <c r="I27" s="42"/>
      <c r="J27" s="88">
        <f t="shared" si="0"/>
        <v>1</v>
      </c>
      <c r="K27" s="38">
        <f t="shared" si="3"/>
        <v>2151.48</v>
      </c>
      <c r="L27" s="38">
        <f t="shared" si="4"/>
        <v>2151.48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2151.48</v>
      </c>
      <c r="T27" s="52">
        <f t="shared" si="6"/>
        <v>2151.48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228</v>
      </c>
      <c r="C28" s="6" t="s">
        <v>149</v>
      </c>
      <c r="D28" s="130" t="s">
        <v>138</v>
      </c>
      <c r="E28" s="53">
        <v>4</v>
      </c>
      <c r="F28" s="8">
        <v>1093.8599999999999</v>
      </c>
      <c r="G28" s="9">
        <f t="shared" si="1"/>
        <v>754.39</v>
      </c>
      <c r="H28" s="10">
        <f t="shared" si="2"/>
        <v>4375.4399999999996</v>
      </c>
      <c r="I28" s="42"/>
      <c r="J28" s="89">
        <f t="shared" si="0"/>
        <v>4</v>
      </c>
      <c r="K28" s="9">
        <f t="shared" si="3"/>
        <v>765.7</v>
      </c>
      <c r="L28" s="9">
        <f t="shared" si="4"/>
        <v>3062.8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765.7</v>
      </c>
      <c r="T28" s="14">
        <f t="shared" si="6"/>
        <v>3062.8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112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229</v>
      </c>
      <c r="C30" s="6" t="s">
        <v>230</v>
      </c>
      <c r="D30" s="130" t="s">
        <v>138</v>
      </c>
      <c r="E30" s="53">
        <v>4</v>
      </c>
      <c r="F30" s="8">
        <v>4204.91</v>
      </c>
      <c r="G30" s="9">
        <f t="shared" si="1"/>
        <v>2899.94</v>
      </c>
      <c r="H30" s="10">
        <f t="shared" si="2"/>
        <v>16819.64</v>
      </c>
      <c r="I30" s="42"/>
      <c r="J30" s="89">
        <f t="shared" si="0"/>
        <v>4</v>
      </c>
      <c r="K30" s="9">
        <f t="shared" si="3"/>
        <v>2102.46</v>
      </c>
      <c r="L30" s="9">
        <f t="shared" si="4"/>
        <v>8409.84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2102.46</v>
      </c>
      <c r="T30" s="14">
        <f t="shared" si="6"/>
        <v>8409.84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112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112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18</v>
      </c>
      <c r="F49" s="78">
        <f>SUM(F18:F48)</f>
        <v>15397.26</v>
      </c>
      <c r="G49" s="79">
        <f>SUM(G18:G48)</f>
        <v>10618.789999999999</v>
      </c>
      <c r="H49" s="80">
        <f>SUM(H18:H48)</f>
        <v>31293.57</v>
      </c>
      <c r="I49" s="81"/>
      <c r="J49" s="82">
        <f>SUM(J18:J48)</f>
        <v>18</v>
      </c>
      <c r="K49" s="79">
        <f>SUM(K18:K48)</f>
        <v>7944.5499999999993</v>
      </c>
      <c r="L49" s="80">
        <f>SUM(L18:L48)</f>
        <v>16549.03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7944.5499999999993</v>
      </c>
      <c r="T49" s="80">
        <f>SUM(T18:T48)</f>
        <v>16549.03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0">
    <cfRule type="expression" dxfId="213" priority="1">
      <formula>$V$9&lt;50%</formula>
    </cfRule>
    <cfRule type="expression" dxfId="212" priority="2">
      <formula>$V$9&gt;50%</formula>
    </cfRule>
  </conditionalFormatting>
  <dataValidations count="5">
    <dataValidation type="list" allowBlank="1" showInputMessage="1" showErrorMessage="1" sqref="M18:M48" xr:uid="{1D2E8E88-98BE-40BC-BAD0-CC652356DA8D}">
      <formula1>$Y$31:$Y$32</formula1>
    </dataValidation>
    <dataValidation type="list" showInputMessage="1" showErrorMessage="1" sqref="D18:D48" xr:uid="{102A2139-1F48-48F4-8E3A-CB3E979A6A5C}">
      <formula1>$Z$18:$Z$29</formula1>
    </dataValidation>
    <dataValidation type="list" allowBlank="1" showInputMessage="1" showErrorMessage="1" sqref="I13" xr:uid="{90D50F7C-1208-4E4A-8A02-AEF83AB8BDA0}">
      <formula1>$K$9:$K$9</formula1>
    </dataValidation>
    <dataValidation type="list" allowBlank="1" showInputMessage="1" showErrorMessage="1" sqref="H13" xr:uid="{750CF54E-70C0-4162-B778-EFC9EE206FE3}">
      <formula1>$Y$13:$Y$14</formula1>
    </dataValidation>
    <dataValidation type="list" allowBlank="1" showInputMessage="1" showErrorMessage="1" sqref="F17 K17 Q17 Q14" xr:uid="{3355E5B9-9D21-4DD1-8E46-98A28092DAE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06A9-20CC-41AF-AB6D-2D183B1D8EB4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231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32627.35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18662.53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232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13964.82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233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0.42800962995768888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234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18662.53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17212.53</v>
      </c>
      <c r="U9" s="235">
        <f>IFERROR(((P3-S9)/S9),0)</f>
        <v>11.870710344827586</v>
      </c>
      <c r="V9" s="235">
        <f>IFERROR(T9/P3,0)</f>
        <v>0.92230421062953416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33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235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236</v>
      </c>
      <c r="C18" s="5" t="s">
        <v>122</v>
      </c>
      <c r="D18" s="128">
        <v>500</v>
      </c>
      <c r="E18" s="53">
        <v>1</v>
      </c>
      <c r="F18" s="8">
        <v>27.669</v>
      </c>
      <c r="G18" s="9">
        <f>ROUND(IF($F$17="USD $", F18*$E$15,F18*$D$15),2)</f>
        <v>19.079999999999998</v>
      </c>
      <c r="H18" s="10">
        <f>ROUND(IF($H$17=$G$17,E18*G18,E18*F18),2)</f>
        <v>27.67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13.83</v>
      </c>
      <c r="L18" s="9">
        <f>ROUND((J18*K18),2)</f>
        <v>13.83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13.83</v>
      </c>
      <c r="T18" s="14">
        <f>ROUND(L18-R18,2)</f>
        <v>13.83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237</v>
      </c>
      <c r="C19" s="4" t="s">
        <v>238</v>
      </c>
      <c r="D19" s="129">
        <v>500</v>
      </c>
      <c r="E19" s="54">
        <v>1</v>
      </c>
      <c r="F19" s="15">
        <v>51.722399999999993</v>
      </c>
      <c r="G19" s="38">
        <f t="shared" ref="G19:G48" si="1">ROUND(IF($F$17="USD $", F19*$E$15,F19*$D$15),2)</f>
        <v>35.67</v>
      </c>
      <c r="H19" s="39">
        <f t="shared" ref="H19:H48" si="2">ROUND(IF($H$17=$G$17,E19*G19,E19*F19),2)</f>
        <v>51.72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25.86</v>
      </c>
      <c r="L19" s="38">
        <f t="shared" ref="L19:L48" si="4">ROUND((J19*K19),2)</f>
        <v>25.86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25.86</v>
      </c>
      <c r="T19" s="52">
        <f t="shared" ref="T19:T48" si="6">ROUND(L19-R19,2)</f>
        <v>25.86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239</v>
      </c>
      <c r="C20" s="6" t="s">
        <v>240</v>
      </c>
      <c r="D20" s="130">
        <v>500</v>
      </c>
      <c r="E20" s="53">
        <v>1</v>
      </c>
      <c r="F20" s="8">
        <v>91.010999999999996</v>
      </c>
      <c r="G20" s="9">
        <f t="shared" si="1"/>
        <v>62.77</v>
      </c>
      <c r="H20" s="10">
        <f t="shared" si="2"/>
        <v>91.01</v>
      </c>
      <c r="I20" s="42"/>
      <c r="J20" s="89">
        <f t="shared" si="0"/>
        <v>1</v>
      </c>
      <c r="K20" s="9">
        <f t="shared" si="3"/>
        <v>45.51</v>
      </c>
      <c r="L20" s="9">
        <f t="shared" si="4"/>
        <v>45.51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45.51</v>
      </c>
      <c r="T20" s="14">
        <f t="shared" si="6"/>
        <v>45.51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241</v>
      </c>
      <c r="C21" s="4" t="s">
        <v>131</v>
      </c>
      <c r="D21" s="129">
        <v>1000</v>
      </c>
      <c r="E21" s="54">
        <v>1</v>
      </c>
      <c r="F21" s="15">
        <v>168.56700000000001</v>
      </c>
      <c r="G21" s="38">
        <f t="shared" si="1"/>
        <v>116.25</v>
      </c>
      <c r="H21" s="39">
        <f t="shared" si="2"/>
        <v>168.57</v>
      </c>
      <c r="I21" s="42"/>
      <c r="J21" s="88">
        <f t="shared" si="0"/>
        <v>1</v>
      </c>
      <c r="K21" s="38">
        <f t="shared" si="3"/>
        <v>84.28</v>
      </c>
      <c r="L21" s="38">
        <f t="shared" si="4"/>
        <v>84.28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84.28</v>
      </c>
      <c r="T21" s="52">
        <f t="shared" si="6"/>
        <v>84.28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242</v>
      </c>
      <c r="C22" s="6" t="s">
        <v>131</v>
      </c>
      <c r="D22" s="130">
        <v>1000</v>
      </c>
      <c r="E22" s="53">
        <v>1</v>
      </c>
      <c r="F22" s="8">
        <v>131.1138</v>
      </c>
      <c r="G22" s="9">
        <f t="shared" si="1"/>
        <v>90.42</v>
      </c>
      <c r="H22" s="10">
        <f t="shared" si="2"/>
        <v>131.11000000000001</v>
      </c>
      <c r="I22" s="42"/>
      <c r="J22" s="89">
        <f t="shared" si="0"/>
        <v>1</v>
      </c>
      <c r="K22" s="9">
        <f t="shared" si="3"/>
        <v>65.56</v>
      </c>
      <c r="L22" s="9">
        <f t="shared" si="4"/>
        <v>65.56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65.56</v>
      </c>
      <c r="T22" s="14">
        <f t="shared" si="6"/>
        <v>65.56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243</v>
      </c>
      <c r="C23" s="4" t="s">
        <v>114</v>
      </c>
      <c r="D23" s="129">
        <v>500</v>
      </c>
      <c r="E23" s="54">
        <v>1</v>
      </c>
      <c r="F23" s="15">
        <v>31.560599999999997</v>
      </c>
      <c r="G23" s="38">
        <f t="shared" si="1"/>
        <v>21.77</v>
      </c>
      <c r="H23" s="39">
        <f t="shared" si="2"/>
        <v>31.56</v>
      </c>
      <c r="I23" s="42"/>
      <c r="J23" s="88">
        <f t="shared" si="0"/>
        <v>1</v>
      </c>
      <c r="K23" s="38">
        <f t="shared" si="3"/>
        <v>20.51</v>
      </c>
      <c r="L23" s="38">
        <f t="shared" si="4"/>
        <v>20.51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20.51</v>
      </c>
      <c r="T23" s="52">
        <f t="shared" si="6"/>
        <v>20.51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244</v>
      </c>
      <c r="C24" s="6" t="s">
        <v>114</v>
      </c>
      <c r="D24" s="130">
        <v>500</v>
      </c>
      <c r="E24" s="53">
        <v>1</v>
      </c>
      <c r="F24" s="8">
        <v>30.484199999999998</v>
      </c>
      <c r="G24" s="9">
        <f t="shared" si="1"/>
        <v>21.02</v>
      </c>
      <c r="H24" s="10">
        <f t="shared" si="2"/>
        <v>30.48</v>
      </c>
      <c r="I24" s="42"/>
      <c r="J24" s="89">
        <f t="shared" si="0"/>
        <v>1</v>
      </c>
      <c r="K24" s="9">
        <f t="shared" si="3"/>
        <v>19.809999999999999</v>
      </c>
      <c r="L24" s="9">
        <f t="shared" si="4"/>
        <v>19.809999999999999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19.809999999999999</v>
      </c>
      <c r="T24" s="14">
        <f t="shared" si="6"/>
        <v>19.809999999999999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245</v>
      </c>
      <c r="C25" s="4" t="s">
        <v>111</v>
      </c>
      <c r="D25" s="129">
        <v>1000</v>
      </c>
      <c r="E25" s="54">
        <v>1</v>
      </c>
      <c r="F25" s="15">
        <v>82.703399999999988</v>
      </c>
      <c r="G25" s="38">
        <f t="shared" si="1"/>
        <v>57.04</v>
      </c>
      <c r="H25" s="39">
        <f t="shared" si="2"/>
        <v>82.7</v>
      </c>
      <c r="I25" s="42"/>
      <c r="J25" s="88">
        <f t="shared" si="0"/>
        <v>1</v>
      </c>
      <c r="K25" s="38">
        <f t="shared" si="3"/>
        <v>53.76</v>
      </c>
      <c r="L25" s="38">
        <f t="shared" si="4"/>
        <v>53.76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53.76</v>
      </c>
      <c r="T25" s="52">
        <f t="shared" si="6"/>
        <v>53.76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246</v>
      </c>
      <c r="C26" s="6" t="s">
        <v>117</v>
      </c>
      <c r="D26" s="130">
        <v>1000</v>
      </c>
      <c r="E26" s="53">
        <v>1</v>
      </c>
      <c r="F26" s="8">
        <v>45.7746</v>
      </c>
      <c r="G26" s="9">
        <f t="shared" si="1"/>
        <v>31.57</v>
      </c>
      <c r="H26" s="10">
        <f t="shared" si="2"/>
        <v>45.77</v>
      </c>
      <c r="I26" s="42"/>
      <c r="J26" s="89">
        <f t="shared" si="0"/>
        <v>1</v>
      </c>
      <c r="K26" s="9">
        <f t="shared" si="3"/>
        <v>29.75</v>
      </c>
      <c r="L26" s="9">
        <f t="shared" si="4"/>
        <v>29.75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29.75</v>
      </c>
      <c r="T26" s="14">
        <f t="shared" si="6"/>
        <v>29.75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247</v>
      </c>
      <c r="C27" s="4" t="s">
        <v>144</v>
      </c>
      <c r="D27" s="129" t="s">
        <v>138</v>
      </c>
      <c r="E27" s="54">
        <v>1</v>
      </c>
      <c r="F27" s="15">
        <v>802.52519999999993</v>
      </c>
      <c r="G27" s="38">
        <f t="shared" si="1"/>
        <v>553.47</v>
      </c>
      <c r="H27" s="39">
        <f t="shared" si="2"/>
        <v>802.53</v>
      </c>
      <c r="I27" s="42"/>
      <c r="J27" s="88">
        <f t="shared" si="0"/>
        <v>1</v>
      </c>
      <c r="K27" s="38">
        <f t="shared" si="3"/>
        <v>401.26</v>
      </c>
      <c r="L27" s="38">
        <f t="shared" si="4"/>
        <v>401.26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401.26</v>
      </c>
      <c r="T27" s="52">
        <f t="shared" si="6"/>
        <v>401.26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248</v>
      </c>
      <c r="C28" s="6" t="s">
        <v>137</v>
      </c>
      <c r="D28" s="130" t="s">
        <v>138</v>
      </c>
      <c r="E28" s="53">
        <v>1</v>
      </c>
      <c r="F28" s="8">
        <v>3111.8723999999997</v>
      </c>
      <c r="G28" s="9">
        <f t="shared" si="1"/>
        <v>2146.12</v>
      </c>
      <c r="H28" s="10">
        <f t="shared" si="2"/>
        <v>3111.87</v>
      </c>
      <c r="I28" s="42"/>
      <c r="J28" s="89">
        <f t="shared" si="0"/>
        <v>1</v>
      </c>
      <c r="K28" s="9">
        <f t="shared" si="3"/>
        <v>1555.94</v>
      </c>
      <c r="L28" s="9">
        <f t="shared" si="4"/>
        <v>1555.94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1555.94</v>
      </c>
      <c r="T28" s="14">
        <f t="shared" si="6"/>
        <v>1555.94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249</v>
      </c>
      <c r="C29" s="4" t="s">
        <v>147</v>
      </c>
      <c r="D29" s="129" t="s">
        <v>138</v>
      </c>
      <c r="E29" s="54">
        <v>1</v>
      </c>
      <c r="F29" s="15">
        <v>1956.4673999999998</v>
      </c>
      <c r="G29" s="38">
        <f>ROUND(IF($F$17="USD $", F29*$E$15,F29*$D$15),2)</f>
        <v>1349.29</v>
      </c>
      <c r="H29" s="39">
        <f>ROUND(IF($H$17=$G$17,E29*G29,E29*F29),2)</f>
        <v>1956.47</v>
      </c>
      <c r="I29" s="42"/>
      <c r="J29" s="88">
        <f t="shared" si="0"/>
        <v>1</v>
      </c>
      <c r="K29" s="38">
        <f t="shared" si="3"/>
        <v>978.23</v>
      </c>
      <c r="L29" s="38">
        <f>ROUND((J29*K29),2)</f>
        <v>978.23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978.23</v>
      </c>
      <c r="T29" s="52">
        <f t="shared" si="6"/>
        <v>978.23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250</v>
      </c>
      <c r="C30" s="6" t="s">
        <v>149</v>
      </c>
      <c r="D30" s="130" t="s">
        <v>138</v>
      </c>
      <c r="E30" s="53">
        <v>4</v>
      </c>
      <c r="F30" s="8">
        <v>1719.0521999999999</v>
      </c>
      <c r="G30" s="9">
        <f t="shared" si="1"/>
        <v>1185.55</v>
      </c>
      <c r="H30" s="10">
        <f t="shared" si="2"/>
        <v>6876.21</v>
      </c>
      <c r="I30" s="42"/>
      <c r="J30" s="89">
        <f t="shared" si="0"/>
        <v>4</v>
      </c>
      <c r="K30" s="9">
        <f t="shared" si="3"/>
        <v>1203.3399999999999</v>
      </c>
      <c r="L30" s="9">
        <f t="shared" si="4"/>
        <v>4813.3599999999997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1203.3399999999999</v>
      </c>
      <c r="T30" s="14">
        <f t="shared" si="6"/>
        <v>4813.3599999999997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251</v>
      </c>
      <c r="C31" s="4" t="s">
        <v>252</v>
      </c>
      <c r="D31" s="129" t="s">
        <v>138</v>
      </c>
      <c r="E31" s="54">
        <v>1</v>
      </c>
      <c r="F31" s="15">
        <v>318.2004</v>
      </c>
      <c r="G31" s="38">
        <f t="shared" si="1"/>
        <v>219.45</v>
      </c>
      <c r="H31" s="39">
        <f t="shared" si="2"/>
        <v>318.2</v>
      </c>
      <c r="I31" s="42"/>
      <c r="J31" s="88">
        <f t="shared" si="0"/>
        <v>1</v>
      </c>
      <c r="K31" s="38">
        <f t="shared" si="3"/>
        <v>159.1</v>
      </c>
      <c r="L31" s="38">
        <f t="shared" si="4"/>
        <v>159.1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159.1</v>
      </c>
      <c r="T31" s="52">
        <f t="shared" si="6"/>
        <v>159.1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253</v>
      </c>
      <c r="C32" s="6" t="s">
        <v>158</v>
      </c>
      <c r="D32" s="130" t="s">
        <v>138</v>
      </c>
      <c r="E32" s="53">
        <v>1</v>
      </c>
      <c r="F32" s="8">
        <v>249.35219999999998</v>
      </c>
      <c r="G32" s="9">
        <f t="shared" si="1"/>
        <v>171.97</v>
      </c>
      <c r="H32" s="10">
        <f t="shared" si="2"/>
        <v>249.35</v>
      </c>
      <c r="I32" s="42"/>
      <c r="J32" s="89">
        <f t="shared" si="0"/>
        <v>1</v>
      </c>
      <c r="K32" s="9">
        <f t="shared" si="3"/>
        <v>137.13999999999999</v>
      </c>
      <c r="L32" s="9">
        <f t="shared" si="4"/>
        <v>137.13999999999999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137.13999999999999</v>
      </c>
      <c r="T32" s="14">
        <f t="shared" si="6"/>
        <v>137.13999999999999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254</v>
      </c>
      <c r="C33" s="4" t="s">
        <v>178</v>
      </c>
      <c r="D33" s="129" t="s">
        <v>138</v>
      </c>
      <c r="E33" s="54">
        <v>7</v>
      </c>
      <c r="F33" s="15">
        <v>6.8585999999999991</v>
      </c>
      <c r="G33" s="38">
        <f t="shared" si="1"/>
        <v>4.7300000000000004</v>
      </c>
      <c r="H33" s="39">
        <f t="shared" si="2"/>
        <v>48.01</v>
      </c>
      <c r="I33" s="42"/>
      <c r="J33" s="88">
        <f t="shared" si="0"/>
        <v>7</v>
      </c>
      <c r="K33" s="38">
        <f t="shared" si="3"/>
        <v>3.77</v>
      </c>
      <c r="L33" s="38">
        <f t="shared" si="4"/>
        <v>26.39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3.77</v>
      </c>
      <c r="T33" s="52">
        <f t="shared" si="6"/>
        <v>26.39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255</v>
      </c>
      <c r="C34" s="6" t="s">
        <v>180</v>
      </c>
      <c r="D34" s="130" t="s">
        <v>138</v>
      </c>
      <c r="E34" s="53">
        <v>7</v>
      </c>
      <c r="F34" s="8">
        <v>4.0434000000000001</v>
      </c>
      <c r="G34" s="9">
        <f t="shared" si="1"/>
        <v>2.79</v>
      </c>
      <c r="H34" s="10">
        <f t="shared" si="2"/>
        <v>28.3</v>
      </c>
      <c r="I34" s="42"/>
      <c r="J34" s="89">
        <f t="shared" si="0"/>
        <v>7</v>
      </c>
      <c r="K34" s="9">
        <f t="shared" si="3"/>
        <v>2.2200000000000002</v>
      </c>
      <c r="L34" s="9">
        <f t="shared" si="4"/>
        <v>15.54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2.2200000000000002</v>
      </c>
      <c r="T34" s="14">
        <f t="shared" si="6"/>
        <v>15.54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>
        <v>0</v>
      </c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256</v>
      </c>
      <c r="C36" s="6" t="s">
        <v>257</v>
      </c>
      <c r="D36" s="130" t="s">
        <v>138</v>
      </c>
      <c r="E36" s="53">
        <v>1</v>
      </c>
      <c r="F36" s="8">
        <v>18575.82</v>
      </c>
      <c r="G36" s="9">
        <f t="shared" si="1"/>
        <v>12810.91</v>
      </c>
      <c r="H36" s="10">
        <f t="shared" si="2"/>
        <v>18575.82</v>
      </c>
      <c r="I36" s="42"/>
      <c r="J36" s="89">
        <f t="shared" si="0"/>
        <v>1</v>
      </c>
      <c r="K36" s="9">
        <f t="shared" si="3"/>
        <v>10216.700000000001</v>
      </c>
      <c r="L36" s="9">
        <f t="shared" si="4"/>
        <v>10216.700000000001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10216.700000000001</v>
      </c>
      <c r="T36" s="14">
        <f t="shared" si="6"/>
        <v>10216.700000000001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33</v>
      </c>
      <c r="F49" s="78">
        <f>SUM(F18:F48)</f>
        <v>27404.7978</v>
      </c>
      <c r="G49" s="79">
        <f>SUM(G18:G48)</f>
        <v>18899.87</v>
      </c>
      <c r="H49" s="80">
        <f>SUM(H18:H48)</f>
        <v>32627.35</v>
      </c>
      <c r="I49" s="81"/>
      <c r="J49" s="82">
        <f>SUM(J18:J48)</f>
        <v>33</v>
      </c>
      <c r="K49" s="79">
        <f>SUM(K18:K48)</f>
        <v>15016.570000000002</v>
      </c>
      <c r="L49" s="80">
        <f>SUM(L18:L48)</f>
        <v>18662.53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15016.570000000002</v>
      </c>
      <c r="T49" s="80">
        <f>SUM(T18:T48)</f>
        <v>18662.53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0">
    <cfRule type="expression" dxfId="209" priority="1">
      <formula>$V$9&lt;50%</formula>
    </cfRule>
    <cfRule type="expression" dxfId="208" priority="2">
      <formula>$V$9&gt;50%</formula>
    </cfRule>
  </conditionalFormatting>
  <dataValidations count="5">
    <dataValidation type="list" allowBlank="1" showInputMessage="1" showErrorMessage="1" sqref="M18:M48" xr:uid="{AC33E88A-F99E-4B11-957F-86AB04AFB9A2}">
      <formula1>$Y$31:$Y$32</formula1>
    </dataValidation>
    <dataValidation type="list" showInputMessage="1" showErrorMessage="1" sqref="D18:D48" xr:uid="{D55D37F3-CF96-4FFD-90F6-D60EC50DEACC}">
      <formula1>$Z$18:$Z$29</formula1>
    </dataValidation>
    <dataValidation type="list" allowBlank="1" showInputMessage="1" showErrorMessage="1" sqref="I13" xr:uid="{3645B4EF-BE54-4094-9DE7-8FED04F7B11F}">
      <formula1>$K$9:$K$9</formula1>
    </dataValidation>
    <dataValidation type="list" allowBlank="1" showInputMessage="1" showErrorMessage="1" sqref="H13" xr:uid="{3093A461-1079-4934-8E11-A4F2AAE50EEC}">
      <formula1>$Y$13:$Y$14</formula1>
    </dataValidation>
    <dataValidation type="list" allowBlank="1" showInputMessage="1" showErrorMessage="1" sqref="F17 K17 Q17 Q14" xr:uid="{4E28E709-AA50-42FB-B115-436A1FDE85A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6141-A6DC-4B91-8136-64A6DF9AC94A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258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157693.57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87456.57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259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70237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260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0.44540180046656308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261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87456.57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86006.57</v>
      </c>
      <c r="U9" s="235">
        <f>IFERROR(((P3-S9)/S9),0)</f>
        <v>59.314875862068973</v>
      </c>
      <c r="V9" s="235">
        <f>IFERROR(T9/P3,0)</f>
        <v>0.98342034223386532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235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262</v>
      </c>
      <c r="C18" s="5" t="s">
        <v>122</v>
      </c>
      <c r="D18" s="128">
        <v>500</v>
      </c>
      <c r="E18" s="53">
        <v>1</v>
      </c>
      <c r="F18" s="8">
        <v>122.91659999999997</v>
      </c>
      <c r="G18" s="9">
        <f>ROUND(IF($F$17="USD $", F18*$E$15,F18*$D$15),2)</f>
        <v>84.77</v>
      </c>
      <c r="H18" s="10">
        <f>ROUND(IF($H$17=$G$17,E18*G18,E18*F18),2)</f>
        <v>122.92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61.46</v>
      </c>
      <c r="L18" s="9">
        <f>ROUND((J18*K18),2)</f>
        <v>61.46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61.46</v>
      </c>
      <c r="T18" s="14">
        <f>ROUND(L18-R18,2)</f>
        <v>61.46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263</v>
      </c>
      <c r="C19" s="4" t="s">
        <v>238</v>
      </c>
      <c r="D19" s="129">
        <v>500</v>
      </c>
      <c r="E19" s="54">
        <v>1</v>
      </c>
      <c r="F19" s="15">
        <v>197.90579999999997</v>
      </c>
      <c r="G19" s="38">
        <f t="shared" ref="G19:G48" si="1">ROUND(IF($F$17="USD $", F19*$E$15,F19*$D$15),2)</f>
        <v>136.49</v>
      </c>
      <c r="H19" s="39">
        <f t="shared" ref="H19:H48" si="2">ROUND(IF($H$17=$G$17,E19*G19,E19*F19),2)</f>
        <v>197.91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98.95</v>
      </c>
      <c r="L19" s="38">
        <f t="shared" ref="L19:L48" si="4">ROUND((J19*K19),2)</f>
        <v>98.95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98.95</v>
      </c>
      <c r="T19" s="52">
        <f t="shared" ref="T19:T48" si="6">ROUND(L19-R19,2)</f>
        <v>98.95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264</v>
      </c>
      <c r="C20" s="6" t="s">
        <v>240</v>
      </c>
      <c r="D20" s="130">
        <v>500</v>
      </c>
      <c r="E20" s="53">
        <v>1</v>
      </c>
      <c r="F20" s="8">
        <v>201.06599999999997</v>
      </c>
      <c r="G20" s="9">
        <f t="shared" si="1"/>
        <v>138.66999999999999</v>
      </c>
      <c r="H20" s="10">
        <f t="shared" si="2"/>
        <v>201.07</v>
      </c>
      <c r="I20" s="42"/>
      <c r="J20" s="89">
        <f t="shared" si="0"/>
        <v>1</v>
      </c>
      <c r="K20" s="9">
        <f t="shared" si="3"/>
        <v>100.53</v>
      </c>
      <c r="L20" s="9">
        <f t="shared" si="4"/>
        <v>100.53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100.53</v>
      </c>
      <c r="T20" s="14">
        <f t="shared" si="6"/>
        <v>100.53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265</v>
      </c>
      <c r="C21" s="4" t="s">
        <v>125</v>
      </c>
      <c r="D21" s="129">
        <v>500</v>
      </c>
      <c r="E21" s="54">
        <v>1</v>
      </c>
      <c r="F21" s="15">
        <v>91.45259999999999</v>
      </c>
      <c r="G21" s="38">
        <f t="shared" si="1"/>
        <v>63.07</v>
      </c>
      <c r="H21" s="39">
        <f t="shared" si="2"/>
        <v>91.45</v>
      </c>
      <c r="I21" s="42"/>
      <c r="J21" s="88">
        <f t="shared" si="0"/>
        <v>1</v>
      </c>
      <c r="K21" s="38">
        <f t="shared" si="3"/>
        <v>45.73</v>
      </c>
      <c r="L21" s="38">
        <f t="shared" si="4"/>
        <v>45.73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45.73</v>
      </c>
      <c r="T21" s="52">
        <f t="shared" si="6"/>
        <v>45.73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266</v>
      </c>
      <c r="C22" s="6" t="s">
        <v>196</v>
      </c>
      <c r="D22" s="130">
        <v>1000</v>
      </c>
      <c r="E22" s="53">
        <v>1</v>
      </c>
      <c r="F22" s="8">
        <v>49.252199999999995</v>
      </c>
      <c r="G22" s="9">
        <f t="shared" si="1"/>
        <v>33.97</v>
      </c>
      <c r="H22" s="10">
        <f t="shared" si="2"/>
        <v>49.25</v>
      </c>
      <c r="I22" s="42"/>
      <c r="J22" s="89">
        <f t="shared" si="0"/>
        <v>1</v>
      </c>
      <c r="K22" s="9">
        <f t="shared" si="3"/>
        <v>24.63</v>
      </c>
      <c r="L22" s="9">
        <f t="shared" si="4"/>
        <v>24.63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24.63</v>
      </c>
      <c r="T22" s="14">
        <f t="shared" si="6"/>
        <v>24.63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>
        <v>4630525</v>
      </c>
      <c r="C23" s="4" t="s">
        <v>267</v>
      </c>
      <c r="D23" s="129">
        <v>1000</v>
      </c>
      <c r="E23" s="54">
        <v>1</v>
      </c>
      <c r="F23" s="15">
        <v>40.640999999999998</v>
      </c>
      <c r="G23" s="38">
        <f t="shared" si="1"/>
        <v>28.03</v>
      </c>
      <c r="H23" s="39">
        <f t="shared" si="2"/>
        <v>40.64</v>
      </c>
      <c r="I23" s="42"/>
      <c r="J23" s="88">
        <f t="shared" si="0"/>
        <v>1</v>
      </c>
      <c r="K23" s="38">
        <f t="shared" si="3"/>
        <v>20.32</v>
      </c>
      <c r="L23" s="38">
        <f t="shared" si="4"/>
        <v>20.32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20.32</v>
      </c>
      <c r="T23" s="52">
        <f t="shared" si="6"/>
        <v>20.32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268</v>
      </c>
      <c r="C24" s="6" t="s">
        <v>111</v>
      </c>
      <c r="D24" s="130">
        <v>1000</v>
      </c>
      <c r="E24" s="53">
        <v>1</v>
      </c>
      <c r="F24" s="8">
        <v>221.559</v>
      </c>
      <c r="G24" s="9">
        <f t="shared" si="1"/>
        <v>152.80000000000001</v>
      </c>
      <c r="H24" s="10">
        <f t="shared" si="2"/>
        <v>221.56</v>
      </c>
      <c r="I24" s="42"/>
      <c r="J24" s="89">
        <f t="shared" si="0"/>
        <v>1</v>
      </c>
      <c r="K24" s="9">
        <f t="shared" si="3"/>
        <v>144.01</v>
      </c>
      <c r="L24" s="9">
        <f t="shared" si="4"/>
        <v>144.01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144.01</v>
      </c>
      <c r="T24" s="14">
        <f t="shared" si="6"/>
        <v>144.01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269</v>
      </c>
      <c r="C25" s="4" t="s">
        <v>117</v>
      </c>
      <c r="D25" s="129">
        <v>1000</v>
      </c>
      <c r="E25" s="54">
        <v>1</v>
      </c>
      <c r="F25" s="15">
        <v>122.9028</v>
      </c>
      <c r="G25" s="38">
        <f t="shared" si="1"/>
        <v>84.76</v>
      </c>
      <c r="H25" s="39">
        <f t="shared" si="2"/>
        <v>122.9</v>
      </c>
      <c r="I25" s="42"/>
      <c r="J25" s="88">
        <f t="shared" si="0"/>
        <v>1</v>
      </c>
      <c r="K25" s="38">
        <f t="shared" si="3"/>
        <v>79.89</v>
      </c>
      <c r="L25" s="38">
        <f t="shared" si="4"/>
        <v>79.89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79.89</v>
      </c>
      <c r="T25" s="52">
        <f t="shared" si="6"/>
        <v>79.89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270</v>
      </c>
      <c r="C26" s="6" t="s">
        <v>114</v>
      </c>
      <c r="D26" s="130" t="s">
        <v>138</v>
      </c>
      <c r="E26" s="53">
        <v>1</v>
      </c>
      <c r="F26" s="8">
        <v>103.0722</v>
      </c>
      <c r="G26" s="9">
        <f t="shared" si="1"/>
        <v>71.08</v>
      </c>
      <c r="H26" s="10">
        <f t="shared" si="2"/>
        <v>103.07</v>
      </c>
      <c r="I26" s="42"/>
      <c r="J26" s="89">
        <f t="shared" si="0"/>
        <v>1</v>
      </c>
      <c r="K26" s="9">
        <f t="shared" si="3"/>
        <v>67</v>
      </c>
      <c r="L26" s="9">
        <f t="shared" si="4"/>
        <v>67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67</v>
      </c>
      <c r="T26" s="14">
        <f t="shared" si="6"/>
        <v>67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271</v>
      </c>
      <c r="C27" s="4" t="s">
        <v>114</v>
      </c>
      <c r="D27" s="129" t="s">
        <v>138</v>
      </c>
      <c r="E27" s="54">
        <v>1</v>
      </c>
      <c r="F27" s="15">
        <v>69.344999999999999</v>
      </c>
      <c r="G27" s="38">
        <f t="shared" si="1"/>
        <v>47.82</v>
      </c>
      <c r="H27" s="39">
        <f t="shared" si="2"/>
        <v>69.349999999999994</v>
      </c>
      <c r="I27" s="42"/>
      <c r="J27" s="88">
        <f t="shared" si="0"/>
        <v>1</v>
      </c>
      <c r="K27" s="38">
        <f t="shared" si="3"/>
        <v>45.07</v>
      </c>
      <c r="L27" s="38">
        <f t="shared" si="4"/>
        <v>45.07</v>
      </c>
      <c r="M27" s="132" t="s">
        <v>112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45.07</v>
      </c>
      <c r="T27" s="52">
        <f t="shared" si="6"/>
        <v>45.07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272</v>
      </c>
      <c r="C28" s="6" t="s">
        <v>149</v>
      </c>
      <c r="D28" s="130" t="s">
        <v>138</v>
      </c>
      <c r="E28" s="53">
        <v>6</v>
      </c>
      <c r="F28" s="8">
        <v>2136.9575999999997</v>
      </c>
      <c r="G28" s="9">
        <f t="shared" si="1"/>
        <v>1473.76</v>
      </c>
      <c r="H28" s="10">
        <f t="shared" si="2"/>
        <v>12821.75</v>
      </c>
      <c r="I28" s="42"/>
      <c r="J28" s="89">
        <f t="shared" si="0"/>
        <v>6</v>
      </c>
      <c r="K28" s="9">
        <f t="shared" si="3"/>
        <v>1495.87</v>
      </c>
      <c r="L28" s="9">
        <f t="shared" si="4"/>
        <v>8975.2199999999993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1495.87</v>
      </c>
      <c r="T28" s="14">
        <f t="shared" si="6"/>
        <v>8975.2199999999993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273</v>
      </c>
      <c r="C29" s="4" t="s">
        <v>147</v>
      </c>
      <c r="D29" s="129" t="s">
        <v>138</v>
      </c>
      <c r="E29" s="54">
        <v>1</v>
      </c>
      <c r="F29" s="15">
        <v>12521.733599999998</v>
      </c>
      <c r="G29" s="38">
        <f>ROUND(IF($F$17="USD $", F29*$E$15,F29*$D$15),2)</f>
        <v>8635.68</v>
      </c>
      <c r="H29" s="39">
        <f>ROUND(IF($H$17=$G$17,E29*G29,E29*F29),2)</f>
        <v>12521.73</v>
      </c>
      <c r="I29" s="42"/>
      <c r="J29" s="88">
        <f t="shared" si="0"/>
        <v>1</v>
      </c>
      <c r="K29" s="38">
        <f t="shared" si="3"/>
        <v>6260.87</v>
      </c>
      <c r="L29" s="38">
        <f>ROUND((J29*K29),2)</f>
        <v>6260.87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6260.87</v>
      </c>
      <c r="T29" s="52">
        <f t="shared" si="6"/>
        <v>6260.87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274</v>
      </c>
      <c r="C30" s="6" t="s">
        <v>137</v>
      </c>
      <c r="D30" s="130" t="s">
        <v>138</v>
      </c>
      <c r="E30" s="53">
        <v>1</v>
      </c>
      <c r="F30" s="8">
        <v>6077.9753999999994</v>
      </c>
      <c r="G30" s="9">
        <f t="shared" si="1"/>
        <v>4191.71</v>
      </c>
      <c r="H30" s="10">
        <f t="shared" si="2"/>
        <v>6077.98</v>
      </c>
      <c r="I30" s="42"/>
      <c r="J30" s="89">
        <f t="shared" si="0"/>
        <v>1</v>
      </c>
      <c r="K30" s="9">
        <f t="shared" si="3"/>
        <v>3038.99</v>
      </c>
      <c r="L30" s="9">
        <f t="shared" si="4"/>
        <v>3038.99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3038.99</v>
      </c>
      <c r="T30" s="14">
        <f t="shared" si="6"/>
        <v>3038.99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275</v>
      </c>
      <c r="C31" s="4" t="s">
        <v>137</v>
      </c>
      <c r="D31" s="129" t="s">
        <v>138</v>
      </c>
      <c r="E31" s="54">
        <v>1</v>
      </c>
      <c r="F31" s="15">
        <v>2617.1561999999999</v>
      </c>
      <c r="G31" s="38">
        <f t="shared" si="1"/>
        <v>1804.94</v>
      </c>
      <c r="H31" s="39">
        <f t="shared" si="2"/>
        <v>2617.16</v>
      </c>
      <c r="I31" s="42"/>
      <c r="J31" s="88">
        <f t="shared" si="0"/>
        <v>1</v>
      </c>
      <c r="K31" s="38">
        <f t="shared" si="3"/>
        <v>1308.58</v>
      </c>
      <c r="L31" s="38">
        <f t="shared" si="4"/>
        <v>1308.58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1308.58</v>
      </c>
      <c r="T31" s="52">
        <f t="shared" si="6"/>
        <v>1308.58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276</v>
      </c>
      <c r="C32" s="6" t="s">
        <v>144</v>
      </c>
      <c r="D32" s="130" t="s">
        <v>138</v>
      </c>
      <c r="E32" s="53">
        <v>1</v>
      </c>
      <c r="F32" s="8">
        <v>1925.9141999999997</v>
      </c>
      <c r="G32" s="9">
        <f t="shared" si="1"/>
        <v>1328.22</v>
      </c>
      <c r="H32" s="10">
        <f t="shared" si="2"/>
        <v>1925.91</v>
      </c>
      <c r="I32" s="42"/>
      <c r="J32" s="89">
        <f t="shared" si="0"/>
        <v>1</v>
      </c>
      <c r="K32" s="9">
        <f t="shared" si="3"/>
        <v>962.96</v>
      </c>
      <c r="L32" s="9">
        <f t="shared" si="4"/>
        <v>962.96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962.96</v>
      </c>
      <c r="T32" s="14">
        <f t="shared" si="6"/>
        <v>962.96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277</v>
      </c>
      <c r="C33" s="4" t="s">
        <v>278</v>
      </c>
      <c r="D33" s="129" t="s">
        <v>138</v>
      </c>
      <c r="E33" s="54">
        <v>2</v>
      </c>
      <c r="F33" s="15">
        <v>575.41859999999997</v>
      </c>
      <c r="G33" s="38">
        <f t="shared" si="1"/>
        <v>396.84</v>
      </c>
      <c r="H33" s="39">
        <f t="shared" si="2"/>
        <v>1150.8399999999999</v>
      </c>
      <c r="I33" s="42"/>
      <c r="J33" s="88">
        <f t="shared" si="0"/>
        <v>2</v>
      </c>
      <c r="K33" s="38">
        <f t="shared" si="3"/>
        <v>287.70999999999998</v>
      </c>
      <c r="L33" s="38">
        <f t="shared" si="4"/>
        <v>575.41999999999996</v>
      </c>
      <c r="M33" s="132" t="s">
        <v>112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287.70999999999998</v>
      </c>
      <c r="T33" s="52">
        <f t="shared" si="6"/>
        <v>575.41999999999996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279</v>
      </c>
      <c r="C34" s="6" t="s">
        <v>280</v>
      </c>
      <c r="D34" s="130" t="s">
        <v>138</v>
      </c>
      <c r="E34" s="53">
        <v>4</v>
      </c>
      <c r="F34" s="8">
        <v>275.91000000000003</v>
      </c>
      <c r="G34" s="9">
        <f t="shared" si="1"/>
        <v>190.28</v>
      </c>
      <c r="H34" s="10">
        <f t="shared" si="2"/>
        <v>1103.6400000000001</v>
      </c>
      <c r="I34" s="42"/>
      <c r="J34" s="89">
        <f t="shared" si="0"/>
        <v>4</v>
      </c>
      <c r="K34" s="9">
        <f t="shared" si="3"/>
        <v>151.75</v>
      </c>
      <c r="L34" s="9">
        <f t="shared" si="4"/>
        <v>607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151.75</v>
      </c>
      <c r="T34" s="14">
        <f t="shared" si="6"/>
        <v>607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>
        <v>0</v>
      </c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281</v>
      </c>
      <c r="C36" s="6" t="s">
        <v>282</v>
      </c>
      <c r="D36" s="130" t="s">
        <v>138</v>
      </c>
      <c r="E36" s="53">
        <v>1</v>
      </c>
      <c r="F36" s="8">
        <v>118254.44</v>
      </c>
      <c r="G36" s="9">
        <f t="shared" si="1"/>
        <v>81554.789999999994</v>
      </c>
      <c r="H36" s="10">
        <f t="shared" si="2"/>
        <v>118254.44</v>
      </c>
      <c r="I36" s="42"/>
      <c r="J36" s="89">
        <f t="shared" si="0"/>
        <v>1</v>
      </c>
      <c r="K36" s="9">
        <f t="shared" si="3"/>
        <v>65039.94</v>
      </c>
      <c r="L36" s="9">
        <f t="shared" si="4"/>
        <v>65039.94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65039.94</v>
      </c>
      <c r="T36" s="14">
        <f t="shared" si="6"/>
        <v>65039.94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27</v>
      </c>
      <c r="F49" s="78">
        <f>SUM(F18:F48)</f>
        <v>145605.6188</v>
      </c>
      <c r="G49" s="79">
        <f>SUM(G18:G48)</f>
        <v>100417.68</v>
      </c>
      <c r="H49" s="80">
        <f>SUM(H18:H48)</f>
        <v>157693.57</v>
      </c>
      <c r="I49" s="81"/>
      <c r="J49" s="82">
        <f>SUM(J18:J48)</f>
        <v>27</v>
      </c>
      <c r="K49" s="79">
        <f>SUM(K18:K48)</f>
        <v>79234.260000000009</v>
      </c>
      <c r="L49" s="80">
        <f>SUM(L18:L48)</f>
        <v>87456.57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79234.260000000009</v>
      </c>
      <c r="T49" s="80">
        <f>SUM(T18:T48)</f>
        <v>87456.57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0">
    <cfRule type="expression" dxfId="205" priority="1">
      <formula>$V$9&lt;50%</formula>
    </cfRule>
    <cfRule type="expression" dxfId="204" priority="2">
      <formula>$V$9&gt;50%</formula>
    </cfRule>
  </conditionalFormatting>
  <dataValidations count="5">
    <dataValidation type="list" allowBlank="1" showInputMessage="1" showErrorMessage="1" sqref="M18:M48" xr:uid="{16A8CD3A-9191-4516-887A-21852F977FA0}">
      <formula1>$Y$31:$Y$32</formula1>
    </dataValidation>
    <dataValidation type="list" showInputMessage="1" showErrorMessage="1" sqref="D18:D48" xr:uid="{1B9825B0-F5F2-44AB-A809-AB109CD9A20A}">
      <formula1>$Z$18:$Z$29</formula1>
    </dataValidation>
    <dataValidation type="list" allowBlank="1" showInputMessage="1" showErrorMessage="1" sqref="I13" xr:uid="{188744EC-DD46-4E9C-8075-7E98C8EC5197}">
      <formula1>$K$9:$K$9</formula1>
    </dataValidation>
    <dataValidation type="list" allowBlank="1" showInputMessage="1" showErrorMessage="1" sqref="H13" xr:uid="{6DBF72EC-286E-4C21-A278-16632FBE4E44}">
      <formula1>$Y$13:$Y$14</formula1>
    </dataValidation>
    <dataValidation type="list" allowBlank="1" showInputMessage="1" showErrorMessage="1" sqref="F17 K17 Q17 Q14" xr:uid="{521288D1-E89E-4B45-A8DA-F4D5F14EC06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17BB-78EB-45B9-A2B6-4AB9A1CF6294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283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28792.190000000002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15582.93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259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13209.260000000002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284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0.45877927312927569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285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15582.93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642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14132.93</v>
      </c>
      <c r="U9" s="235">
        <f>IFERROR(((P3-S9)/S9),0)</f>
        <v>9.7468482758620691</v>
      </c>
      <c r="V9" s="235">
        <f>IFERROR(T9/P3,0)</f>
        <v>0.90694946329092152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55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235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286</v>
      </c>
      <c r="C18" s="5" t="s">
        <v>122</v>
      </c>
      <c r="D18" s="128">
        <v>500</v>
      </c>
      <c r="E18" s="53">
        <v>1</v>
      </c>
      <c r="F18" s="8">
        <v>33.368399999999994</v>
      </c>
      <c r="G18" s="9">
        <f>ROUND(IF($F$17="USD $", F18*$E$15,F18*$D$15),2)</f>
        <v>23.01</v>
      </c>
      <c r="H18" s="10">
        <f>ROUND(IF($H$17=$G$17,E18*G18,E18*F18),2)</f>
        <v>33.369999999999997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16.68</v>
      </c>
      <c r="L18" s="9">
        <f>ROUND((J18*K18),2)</f>
        <v>16.68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16.68</v>
      </c>
      <c r="T18" s="14">
        <f>ROUND(L18-R18,2)</f>
        <v>16.68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287</v>
      </c>
      <c r="C19" s="4" t="s">
        <v>288</v>
      </c>
      <c r="D19" s="129">
        <v>1000</v>
      </c>
      <c r="E19" s="54">
        <v>2</v>
      </c>
      <c r="F19" s="15">
        <v>176.19839999999999</v>
      </c>
      <c r="G19" s="38">
        <f t="shared" ref="G19:G48" si="1">ROUND(IF($F$17="USD $", F19*$E$15,F19*$D$15),2)</f>
        <v>121.52</v>
      </c>
      <c r="H19" s="39">
        <f t="shared" ref="H19:H48" si="2">ROUND(IF($H$17=$G$17,E19*G19,E19*F19),2)</f>
        <v>352.4</v>
      </c>
      <c r="I19" s="42"/>
      <c r="J19" s="88">
        <f t="shared" si="0"/>
        <v>2</v>
      </c>
      <c r="K19" s="38">
        <f t="shared" ref="K19:K48" si="3">IFERROR(IF(M19="OEM DISC %",ROUND(IF($K$17=$F$17,F19*(1-N19),G19*(1-N19)),2),IF(M19="MARKUP %",ROUND(R19/J19*(1+N19),2))),0)</f>
        <v>88.1</v>
      </c>
      <c r="L19" s="38">
        <f t="shared" ref="L19:L48" si="4">ROUND((J19*K19),2)</f>
        <v>176.2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88.1</v>
      </c>
      <c r="T19" s="52">
        <f t="shared" ref="T19:T48" si="6">ROUND(L19-R19,2)</f>
        <v>176.2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289</v>
      </c>
      <c r="C20" s="6" t="s">
        <v>238</v>
      </c>
      <c r="D20" s="130">
        <v>500</v>
      </c>
      <c r="E20" s="53">
        <v>1</v>
      </c>
      <c r="F20" s="8">
        <v>57.463199999999993</v>
      </c>
      <c r="G20" s="9">
        <f t="shared" si="1"/>
        <v>39.630000000000003</v>
      </c>
      <c r="H20" s="10">
        <f t="shared" si="2"/>
        <v>57.46</v>
      </c>
      <c r="I20" s="42"/>
      <c r="J20" s="89">
        <f t="shared" si="0"/>
        <v>1</v>
      </c>
      <c r="K20" s="9">
        <f t="shared" si="3"/>
        <v>28.73</v>
      </c>
      <c r="L20" s="9">
        <f t="shared" si="4"/>
        <v>28.73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28.73</v>
      </c>
      <c r="T20" s="14">
        <f t="shared" si="6"/>
        <v>28.73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290</v>
      </c>
      <c r="C21" s="4" t="s">
        <v>240</v>
      </c>
      <c r="D21" s="129">
        <v>500</v>
      </c>
      <c r="E21" s="54">
        <v>1</v>
      </c>
      <c r="F21" s="15">
        <v>57.490799999999993</v>
      </c>
      <c r="G21" s="38">
        <f t="shared" si="1"/>
        <v>39.65</v>
      </c>
      <c r="H21" s="39">
        <f t="shared" si="2"/>
        <v>57.49</v>
      </c>
      <c r="I21" s="42"/>
      <c r="J21" s="88">
        <f t="shared" si="0"/>
        <v>1</v>
      </c>
      <c r="K21" s="38">
        <f t="shared" si="3"/>
        <v>28.75</v>
      </c>
      <c r="L21" s="38">
        <f t="shared" si="4"/>
        <v>28.75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28.75</v>
      </c>
      <c r="T21" s="52">
        <f t="shared" si="6"/>
        <v>28.75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291</v>
      </c>
      <c r="C22" s="6" t="s">
        <v>128</v>
      </c>
      <c r="D22" s="130">
        <v>500</v>
      </c>
      <c r="E22" s="53">
        <v>1</v>
      </c>
      <c r="F22" s="8">
        <v>72.049799999999991</v>
      </c>
      <c r="G22" s="9">
        <f t="shared" si="1"/>
        <v>49.69</v>
      </c>
      <c r="H22" s="10">
        <f t="shared" si="2"/>
        <v>72.05</v>
      </c>
      <c r="I22" s="42"/>
      <c r="J22" s="89">
        <f t="shared" si="0"/>
        <v>1</v>
      </c>
      <c r="K22" s="9">
        <f t="shared" si="3"/>
        <v>36.020000000000003</v>
      </c>
      <c r="L22" s="9">
        <f t="shared" si="4"/>
        <v>36.020000000000003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36.020000000000003</v>
      </c>
      <c r="T22" s="14">
        <f t="shared" si="6"/>
        <v>36.020000000000003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292</v>
      </c>
      <c r="C23" s="4" t="s">
        <v>293</v>
      </c>
      <c r="D23" s="129">
        <v>500</v>
      </c>
      <c r="E23" s="54">
        <v>1</v>
      </c>
      <c r="F23" s="15">
        <v>18.519599999999997</v>
      </c>
      <c r="G23" s="38">
        <f t="shared" si="1"/>
        <v>12.77</v>
      </c>
      <c r="H23" s="39">
        <f t="shared" si="2"/>
        <v>18.52</v>
      </c>
      <c r="I23" s="42"/>
      <c r="J23" s="88">
        <f t="shared" si="0"/>
        <v>1</v>
      </c>
      <c r="K23" s="38">
        <f t="shared" si="3"/>
        <v>9.26</v>
      </c>
      <c r="L23" s="38">
        <f t="shared" si="4"/>
        <v>9.26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9.26</v>
      </c>
      <c r="T23" s="52">
        <f t="shared" si="6"/>
        <v>9.26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295</v>
      </c>
      <c r="D24" s="130">
        <v>2000</v>
      </c>
      <c r="E24" s="53">
        <v>1</v>
      </c>
      <c r="F24" s="8">
        <v>91.866599999999977</v>
      </c>
      <c r="G24" s="9">
        <f t="shared" si="1"/>
        <v>63.36</v>
      </c>
      <c r="H24" s="10">
        <f t="shared" si="2"/>
        <v>91.87</v>
      </c>
      <c r="I24" s="42"/>
      <c r="J24" s="89">
        <f t="shared" si="0"/>
        <v>1</v>
      </c>
      <c r="K24" s="9">
        <f t="shared" si="3"/>
        <v>45.93</v>
      </c>
      <c r="L24" s="9">
        <f t="shared" si="4"/>
        <v>45.93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45.93</v>
      </c>
      <c r="T24" s="14">
        <f t="shared" si="6"/>
        <v>45.93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296</v>
      </c>
      <c r="C25" s="4" t="s">
        <v>111</v>
      </c>
      <c r="D25" s="129">
        <v>1000</v>
      </c>
      <c r="E25" s="54">
        <v>1</v>
      </c>
      <c r="F25" s="15">
        <v>111.31079999999999</v>
      </c>
      <c r="G25" s="38">
        <f t="shared" si="1"/>
        <v>76.77</v>
      </c>
      <c r="H25" s="39">
        <f t="shared" si="2"/>
        <v>111.31</v>
      </c>
      <c r="I25" s="42"/>
      <c r="J25" s="88">
        <f t="shared" si="0"/>
        <v>1</v>
      </c>
      <c r="K25" s="38">
        <f t="shared" si="3"/>
        <v>72.349999999999994</v>
      </c>
      <c r="L25" s="38">
        <f t="shared" si="4"/>
        <v>72.349999999999994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72.349999999999994</v>
      </c>
      <c r="T25" s="52">
        <f t="shared" si="6"/>
        <v>72.349999999999994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297</v>
      </c>
      <c r="C26" s="6" t="s">
        <v>117</v>
      </c>
      <c r="D26" s="130">
        <v>1000</v>
      </c>
      <c r="E26" s="53">
        <v>1</v>
      </c>
      <c r="F26" s="8">
        <v>69.772800000000004</v>
      </c>
      <c r="G26" s="9">
        <f t="shared" si="1"/>
        <v>48.12</v>
      </c>
      <c r="H26" s="10">
        <f t="shared" si="2"/>
        <v>69.77</v>
      </c>
      <c r="I26" s="42"/>
      <c r="J26" s="89">
        <f t="shared" si="0"/>
        <v>1</v>
      </c>
      <c r="K26" s="9">
        <f t="shared" si="3"/>
        <v>45.35</v>
      </c>
      <c r="L26" s="9">
        <f t="shared" si="4"/>
        <v>45.35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45.35</v>
      </c>
      <c r="T26" s="14">
        <f t="shared" si="6"/>
        <v>45.35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298</v>
      </c>
      <c r="C27" s="4" t="s">
        <v>114</v>
      </c>
      <c r="D27" s="129" t="s">
        <v>138</v>
      </c>
      <c r="E27" s="54">
        <v>1</v>
      </c>
      <c r="F27" s="15">
        <v>28.138199999999998</v>
      </c>
      <c r="G27" s="38">
        <f t="shared" si="1"/>
        <v>19.41</v>
      </c>
      <c r="H27" s="39">
        <f t="shared" si="2"/>
        <v>28.14</v>
      </c>
      <c r="I27" s="42"/>
      <c r="J27" s="88">
        <f t="shared" si="0"/>
        <v>1</v>
      </c>
      <c r="K27" s="38">
        <f t="shared" si="3"/>
        <v>18.29</v>
      </c>
      <c r="L27" s="38">
        <f t="shared" si="4"/>
        <v>18.29</v>
      </c>
      <c r="M27" s="132" t="s">
        <v>112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18.29</v>
      </c>
      <c r="T27" s="52">
        <f t="shared" si="6"/>
        <v>18.29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299</v>
      </c>
      <c r="C28" s="6" t="s">
        <v>114</v>
      </c>
      <c r="D28" s="130" t="s">
        <v>138</v>
      </c>
      <c r="E28" s="53">
        <v>1</v>
      </c>
      <c r="F28" s="8">
        <v>22.300799999999999</v>
      </c>
      <c r="G28" s="9">
        <f t="shared" si="1"/>
        <v>15.38</v>
      </c>
      <c r="H28" s="10">
        <f t="shared" si="2"/>
        <v>22.3</v>
      </c>
      <c r="I28" s="42"/>
      <c r="J28" s="89">
        <f t="shared" si="0"/>
        <v>1</v>
      </c>
      <c r="K28" s="9">
        <f t="shared" si="3"/>
        <v>14.5</v>
      </c>
      <c r="L28" s="9">
        <f t="shared" si="4"/>
        <v>14.5</v>
      </c>
      <c r="M28" s="8" t="s">
        <v>112</v>
      </c>
      <c r="N28" s="12">
        <v>0.35</v>
      </c>
      <c r="O28" s="51"/>
      <c r="P28" s="3"/>
      <c r="Q28" s="13"/>
      <c r="R28" s="14">
        <f t="shared" si="9"/>
        <v>0</v>
      </c>
      <c r="S28" s="14">
        <f t="shared" si="5"/>
        <v>14.5</v>
      </c>
      <c r="T28" s="14">
        <f t="shared" si="6"/>
        <v>14.5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300</v>
      </c>
      <c r="C29" s="4" t="s">
        <v>149</v>
      </c>
      <c r="D29" s="129" t="s">
        <v>138</v>
      </c>
      <c r="E29" s="54">
        <v>6</v>
      </c>
      <c r="F29" s="15">
        <v>896.8205999999999</v>
      </c>
      <c r="G29" s="38">
        <f>ROUND(IF($F$17="USD $", F29*$E$15,F29*$D$15),2)</f>
        <v>618.5</v>
      </c>
      <c r="H29" s="39">
        <f>ROUND(IF($H$17=$G$17,E29*G29,E29*F29),2)</f>
        <v>5380.92</v>
      </c>
      <c r="I29" s="42"/>
      <c r="J29" s="88">
        <f t="shared" si="0"/>
        <v>6</v>
      </c>
      <c r="K29" s="38">
        <f t="shared" si="3"/>
        <v>627.77</v>
      </c>
      <c r="L29" s="38">
        <f>ROUND((J29*K29),2)</f>
        <v>3766.62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627.77</v>
      </c>
      <c r="T29" s="52">
        <f t="shared" si="6"/>
        <v>3766.62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301</v>
      </c>
      <c r="C30" s="6" t="s">
        <v>147</v>
      </c>
      <c r="D30" s="130" t="s">
        <v>138</v>
      </c>
      <c r="E30" s="53">
        <v>1</v>
      </c>
      <c r="F30" s="8">
        <v>5543.6669999999995</v>
      </c>
      <c r="G30" s="9">
        <f t="shared" si="1"/>
        <v>3823.22</v>
      </c>
      <c r="H30" s="10">
        <f t="shared" si="2"/>
        <v>5543.67</v>
      </c>
      <c r="I30" s="42"/>
      <c r="J30" s="89">
        <f t="shared" si="0"/>
        <v>1</v>
      </c>
      <c r="K30" s="9">
        <f t="shared" si="3"/>
        <v>2771.83</v>
      </c>
      <c r="L30" s="9">
        <f t="shared" si="4"/>
        <v>2771.83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2771.83</v>
      </c>
      <c r="T30" s="14">
        <f t="shared" si="6"/>
        <v>2771.83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302</v>
      </c>
      <c r="C31" s="4" t="s">
        <v>144</v>
      </c>
      <c r="D31" s="129" t="s">
        <v>138</v>
      </c>
      <c r="E31" s="54">
        <v>1</v>
      </c>
      <c r="F31" s="15">
        <v>1002.3492</v>
      </c>
      <c r="G31" s="38">
        <f t="shared" si="1"/>
        <v>691.28</v>
      </c>
      <c r="H31" s="39">
        <f t="shared" si="2"/>
        <v>1002.35</v>
      </c>
      <c r="I31" s="42"/>
      <c r="J31" s="88">
        <f t="shared" si="0"/>
        <v>1</v>
      </c>
      <c r="K31" s="38">
        <f t="shared" si="3"/>
        <v>501.17</v>
      </c>
      <c r="L31" s="38">
        <f t="shared" si="4"/>
        <v>501.17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501.17</v>
      </c>
      <c r="T31" s="52">
        <f t="shared" si="6"/>
        <v>501.17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303</v>
      </c>
      <c r="C32" s="6" t="s">
        <v>137</v>
      </c>
      <c r="D32" s="130" t="s">
        <v>138</v>
      </c>
      <c r="E32" s="53">
        <v>1</v>
      </c>
      <c r="F32" s="8">
        <v>4795.7069999999994</v>
      </c>
      <c r="G32" s="9">
        <f t="shared" si="1"/>
        <v>3307.38</v>
      </c>
      <c r="H32" s="10">
        <f t="shared" si="2"/>
        <v>4795.71</v>
      </c>
      <c r="I32" s="42"/>
      <c r="J32" s="89">
        <f t="shared" si="0"/>
        <v>1</v>
      </c>
      <c r="K32" s="9">
        <f t="shared" si="3"/>
        <v>2397.85</v>
      </c>
      <c r="L32" s="9">
        <f t="shared" si="4"/>
        <v>2397.85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2397.85</v>
      </c>
      <c r="T32" s="14">
        <f t="shared" si="6"/>
        <v>2397.85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304</v>
      </c>
      <c r="C33" s="4" t="s">
        <v>305</v>
      </c>
      <c r="D33" s="129" t="s">
        <v>138</v>
      </c>
      <c r="E33" s="54">
        <v>2</v>
      </c>
      <c r="F33" s="15">
        <v>318.2004</v>
      </c>
      <c r="G33" s="38">
        <f t="shared" si="1"/>
        <v>219.45</v>
      </c>
      <c r="H33" s="39">
        <f t="shared" si="2"/>
        <v>636.4</v>
      </c>
      <c r="I33" s="42"/>
      <c r="J33" s="88">
        <f t="shared" si="0"/>
        <v>2</v>
      </c>
      <c r="K33" s="38">
        <f t="shared" si="3"/>
        <v>159.1</v>
      </c>
      <c r="L33" s="38">
        <f t="shared" si="4"/>
        <v>318.2</v>
      </c>
      <c r="M33" s="132" t="s">
        <v>112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159.1</v>
      </c>
      <c r="T33" s="52">
        <f t="shared" si="6"/>
        <v>318.2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306</v>
      </c>
      <c r="C34" s="6" t="s">
        <v>158</v>
      </c>
      <c r="D34" s="130" t="s">
        <v>138</v>
      </c>
      <c r="E34" s="53">
        <v>2</v>
      </c>
      <c r="F34" s="8">
        <v>517.32000000000005</v>
      </c>
      <c r="G34" s="9">
        <f t="shared" si="1"/>
        <v>356.77</v>
      </c>
      <c r="H34" s="10">
        <f t="shared" si="2"/>
        <v>1034.6400000000001</v>
      </c>
      <c r="I34" s="42"/>
      <c r="J34" s="89">
        <f t="shared" si="0"/>
        <v>2</v>
      </c>
      <c r="K34" s="9">
        <f t="shared" si="3"/>
        <v>284.52999999999997</v>
      </c>
      <c r="L34" s="9">
        <f t="shared" si="4"/>
        <v>569.05999999999995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284.52999999999997</v>
      </c>
      <c r="T34" s="14">
        <f t="shared" si="6"/>
        <v>569.05999999999995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307</v>
      </c>
      <c r="C35" s="4" t="s">
        <v>308</v>
      </c>
      <c r="D35" s="129" t="s">
        <v>138</v>
      </c>
      <c r="E35" s="54">
        <v>2</v>
      </c>
      <c r="F35" s="15">
        <v>134.6</v>
      </c>
      <c r="G35" s="38">
        <f t="shared" si="1"/>
        <v>92.83</v>
      </c>
      <c r="H35" s="39">
        <f t="shared" si="2"/>
        <v>269.2</v>
      </c>
      <c r="I35" s="42"/>
      <c r="J35" s="88">
        <f t="shared" si="0"/>
        <v>2</v>
      </c>
      <c r="K35" s="38">
        <f t="shared" si="3"/>
        <v>74.03</v>
      </c>
      <c r="L35" s="38">
        <f t="shared" si="4"/>
        <v>148.06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74.03</v>
      </c>
      <c r="T35" s="52">
        <f t="shared" si="6"/>
        <v>148.06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309</v>
      </c>
      <c r="C36" s="6" t="s">
        <v>178</v>
      </c>
      <c r="D36" s="130" t="s">
        <v>138</v>
      </c>
      <c r="E36" s="53">
        <v>12</v>
      </c>
      <c r="F36" s="8">
        <v>13.399800000000001</v>
      </c>
      <c r="G36" s="9">
        <f t="shared" si="1"/>
        <v>9.24</v>
      </c>
      <c r="H36" s="10">
        <f t="shared" si="2"/>
        <v>160.80000000000001</v>
      </c>
      <c r="I36" s="42"/>
      <c r="J36" s="89">
        <f t="shared" si="0"/>
        <v>12</v>
      </c>
      <c r="K36" s="9">
        <f t="shared" si="3"/>
        <v>7.37</v>
      </c>
      <c r="L36" s="9">
        <f t="shared" si="4"/>
        <v>88.44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7.37</v>
      </c>
      <c r="T36" s="14">
        <f t="shared" si="6"/>
        <v>88.44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310</v>
      </c>
      <c r="C37" s="4" t="s">
        <v>180</v>
      </c>
      <c r="D37" s="129" t="s">
        <v>138</v>
      </c>
      <c r="E37" s="54">
        <v>12</v>
      </c>
      <c r="F37" s="15">
        <v>4.4849999999999994</v>
      </c>
      <c r="G37" s="38">
        <f t="shared" si="1"/>
        <v>3.09</v>
      </c>
      <c r="H37" s="39">
        <f t="shared" si="2"/>
        <v>53.82</v>
      </c>
      <c r="I37" s="42"/>
      <c r="J37" s="88">
        <f t="shared" si="0"/>
        <v>12</v>
      </c>
      <c r="K37" s="38">
        <f t="shared" si="3"/>
        <v>2.4700000000000002</v>
      </c>
      <c r="L37" s="38">
        <f t="shared" si="4"/>
        <v>29.64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2.4700000000000002</v>
      </c>
      <c r="T37" s="52">
        <f t="shared" si="6"/>
        <v>29.64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159</v>
      </c>
      <c r="C38" s="6" t="s">
        <v>311</v>
      </c>
      <c r="D38" s="130" t="s">
        <v>138</v>
      </c>
      <c r="E38" s="53">
        <v>4</v>
      </c>
      <c r="F38" s="8">
        <v>2250</v>
      </c>
      <c r="G38" s="9">
        <f t="shared" si="1"/>
        <v>1551.72</v>
      </c>
      <c r="H38" s="10">
        <f t="shared" si="2"/>
        <v>9000</v>
      </c>
      <c r="I38" s="42"/>
      <c r="J38" s="89">
        <f t="shared" si="0"/>
        <v>4</v>
      </c>
      <c r="K38" s="9">
        <f t="shared" si="3"/>
        <v>1125</v>
      </c>
      <c r="L38" s="9">
        <f t="shared" si="4"/>
        <v>4500</v>
      </c>
      <c r="M38" s="8" t="s">
        <v>112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1125</v>
      </c>
      <c r="T38" s="14">
        <f t="shared" si="6"/>
        <v>4500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55</v>
      </c>
      <c r="F49" s="78">
        <f>SUM(F18:F48)</f>
        <v>16215.028399999997</v>
      </c>
      <c r="G49" s="79">
        <f>SUM(G18:G48)</f>
        <v>11182.789999999999</v>
      </c>
      <c r="H49" s="80">
        <f>SUM(H18:H48)</f>
        <v>28792.190000000002</v>
      </c>
      <c r="I49" s="81"/>
      <c r="J49" s="82">
        <f>SUM(J18:J48)</f>
        <v>55</v>
      </c>
      <c r="K49" s="79">
        <f>SUM(K18:K48)</f>
        <v>8355.08</v>
      </c>
      <c r="L49" s="80">
        <f>SUM(L18:L48)</f>
        <v>15582.93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8355.08</v>
      </c>
      <c r="T49" s="80">
        <f>SUM(T18:T48)</f>
        <v>15582.93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0">
    <cfRule type="expression" dxfId="201" priority="1">
      <formula>$V$9&lt;50%</formula>
    </cfRule>
    <cfRule type="expression" dxfId="200" priority="2">
      <formula>$V$9&gt;50%</formula>
    </cfRule>
  </conditionalFormatting>
  <dataValidations count="5">
    <dataValidation type="list" allowBlank="1" showInputMessage="1" showErrorMessage="1" sqref="F17 K17 Q17 Q14" xr:uid="{7EB801AB-387D-451F-87F8-BBE97BBFC511}">
      <formula1>$Y$11:$Y$12</formula1>
    </dataValidation>
    <dataValidation type="list" allowBlank="1" showInputMessage="1" showErrorMessage="1" sqref="H13" xr:uid="{1AE544CE-A838-4A48-B5CC-2A467D55EC8D}">
      <formula1>$Y$13:$Y$14</formula1>
    </dataValidation>
    <dataValidation type="list" allowBlank="1" showInputMessage="1" showErrorMessage="1" sqref="I13" xr:uid="{0C2D590F-869A-40E2-8F3C-807F77362A85}">
      <formula1>$K$9:$K$9</formula1>
    </dataValidation>
    <dataValidation type="list" showInputMessage="1" showErrorMessage="1" sqref="D18:D48" xr:uid="{9C7FDD07-52EC-4DA6-A8A8-564ECE9EE04A}">
      <formula1>$Z$18:$Z$29</formula1>
    </dataValidation>
    <dataValidation type="list" allowBlank="1" showInputMessage="1" showErrorMessage="1" sqref="M18:M48" xr:uid="{64FF00D2-8214-4955-88FB-BE44C5D1753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D4C8-1558-4C14-B231-73375685D49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312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206353.66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113719.85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259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92633.81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>
        <v>764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0.44890800579936402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313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113719.85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643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112269.85</v>
      </c>
      <c r="U9" s="235">
        <f>IFERROR(((P3-S9)/S9),0)</f>
        <v>77.427482758620698</v>
      </c>
      <c r="V9" s="235">
        <f>IFERROR(T9/P3,0)</f>
        <v>0.98724936763458626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86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 t="s">
        <v>235</v>
      </c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286</v>
      </c>
      <c r="C18" s="5" t="s">
        <v>122</v>
      </c>
      <c r="D18" s="128">
        <v>500</v>
      </c>
      <c r="E18" s="53">
        <v>1</v>
      </c>
      <c r="F18" s="8">
        <v>33.368399999999994</v>
      </c>
      <c r="G18" s="9">
        <f>ROUND(IF($F$17="USD $", F18*$E$15,F18*$D$15),2)</f>
        <v>23.01</v>
      </c>
      <c r="H18" s="10">
        <f>ROUND(IF($H$17=$G$17,E18*G18,E18*F18),2)</f>
        <v>33.369999999999997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16.68</v>
      </c>
      <c r="L18" s="9">
        <f>ROUND((J18*K18),2)</f>
        <v>16.68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16.68</v>
      </c>
      <c r="T18" s="14">
        <f>ROUND(L18-R18,2)</f>
        <v>16.68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289</v>
      </c>
      <c r="C19" s="4" t="s">
        <v>238</v>
      </c>
      <c r="D19" s="129">
        <v>500</v>
      </c>
      <c r="E19" s="54">
        <v>1</v>
      </c>
      <c r="F19" s="15">
        <v>57.463199999999993</v>
      </c>
      <c r="G19" s="38">
        <f t="shared" ref="G19:G48" si="1">ROUND(IF($F$17="USD $", F19*$E$15,F19*$D$15),2)</f>
        <v>39.630000000000003</v>
      </c>
      <c r="H19" s="39">
        <f t="shared" ref="H19:H48" si="2">ROUND(IF($H$17=$G$17,E19*G19,E19*F19),2)</f>
        <v>57.46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28.73</v>
      </c>
      <c r="L19" s="38">
        <f t="shared" ref="L19:L48" si="4">ROUND((J19*K19),2)</f>
        <v>28.73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28.73</v>
      </c>
      <c r="T19" s="52">
        <f t="shared" ref="T19:T48" si="6">ROUND(L19-R19,2)</f>
        <v>28.73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290</v>
      </c>
      <c r="C20" s="6" t="s">
        <v>240</v>
      </c>
      <c r="D20" s="130">
        <v>500</v>
      </c>
      <c r="E20" s="53">
        <v>1</v>
      </c>
      <c r="F20" s="8">
        <v>57.490799999999993</v>
      </c>
      <c r="G20" s="9">
        <f t="shared" si="1"/>
        <v>39.65</v>
      </c>
      <c r="H20" s="10">
        <f t="shared" si="2"/>
        <v>57.49</v>
      </c>
      <c r="I20" s="42"/>
      <c r="J20" s="89">
        <f t="shared" si="0"/>
        <v>1</v>
      </c>
      <c r="K20" s="9">
        <f t="shared" si="3"/>
        <v>28.75</v>
      </c>
      <c r="L20" s="9">
        <f t="shared" si="4"/>
        <v>28.75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28.75</v>
      </c>
      <c r="T20" s="14">
        <f t="shared" si="6"/>
        <v>28.75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314</v>
      </c>
      <c r="C21" s="4" t="s">
        <v>131</v>
      </c>
      <c r="D21" s="129">
        <v>2000</v>
      </c>
      <c r="E21" s="54">
        <v>1</v>
      </c>
      <c r="F21" s="15">
        <v>178.50299999999999</v>
      </c>
      <c r="G21" s="38">
        <f t="shared" si="1"/>
        <v>123.11</v>
      </c>
      <c r="H21" s="39">
        <f t="shared" si="2"/>
        <v>178.5</v>
      </c>
      <c r="I21" s="42"/>
      <c r="J21" s="88">
        <f t="shared" si="0"/>
        <v>1</v>
      </c>
      <c r="K21" s="38">
        <f t="shared" si="3"/>
        <v>89.25</v>
      </c>
      <c r="L21" s="38">
        <f t="shared" si="4"/>
        <v>89.25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89.25</v>
      </c>
      <c r="T21" s="52">
        <f t="shared" si="6"/>
        <v>89.25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296</v>
      </c>
      <c r="C22" s="6" t="s">
        <v>111</v>
      </c>
      <c r="D22" s="130">
        <v>1000</v>
      </c>
      <c r="E22" s="53">
        <v>1</v>
      </c>
      <c r="F22" s="8">
        <v>111.31079999999999</v>
      </c>
      <c r="G22" s="9">
        <f t="shared" si="1"/>
        <v>76.77</v>
      </c>
      <c r="H22" s="10">
        <f t="shared" si="2"/>
        <v>111.31</v>
      </c>
      <c r="I22" s="42"/>
      <c r="J22" s="89">
        <f t="shared" si="0"/>
        <v>1</v>
      </c>
      <c r="K22" s="9">
        <f t="shared" si="3"/>
        <v>72.349999999999994</v>
      </c>
      <c r="L22" s="9">
        <f t="shared" si="4"/>
        <v>72.349999999999994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72.349999999999994</v>
      </c>
      <c r="T22" s="14">
        <f t="shared" si="6"/>
        <v>72.349999999999994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297</v>
      </c>
      <c r="C23" s="4" t="s">
        <v>117</v>
      </c>
      <c r="D23" s="129">
        <v>1000</v>
      </c>
      <c r="E23" s="54">
        <v>1</v>
      </c>
      <c r="F23" s="15">
        <v>69.772800000000004</v>
      </c>
      <c r="G23" s="38">
        <f t="shared" si="1"/>
        <v>48.12</v>
      </c>
      <c r="H23" s="39">
        <f t="shared" si="2"/>
        <v>69.77</v>
      </c>
      <c r="I23" s="42"/>
      <c r="J23" s="88">
        <f t="shared" si="0"/>
        <v>1</v>
      </c>
      <c r="K23" s="38">
        <f t="shared" si="3"/>
        <v>45.35</v>
      </c>
      <c r="L23" s="38">
        <f t="shared" si="4"/>
        <v>45.35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45.35</v>
      </c>
      <c r="T23" s="52">
        <f t="shared" si="6"/>
        <v>45.35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298</v>
      </c>
      <c r="C24" s="6" t="s">
        <v>114</v>
      </c>
      <c r="D24" s="130">
        <v>500</v>
      </c>
      <c r="E24" s="53">
        <v>1</v>
      </c>
      <c r="F24" s="8">
        <v>28.138199999999998</v>
      </c>
      <c r="G24" s="9">
        <f t="shared" si="1"/>
        <v>19.41</v>
      </c>
      <c r="H24" s="10">
        <f t="shared" si="2"/>
        <v>28.14</v>
      </c>
      <c r="I24" s="42"/>
      <c r="J24" s="89">
        <f t="shared" si="0"/>
        <v>1</v>
      </c>
      <c r="K24" s="9">
        <f t="shared" si="3"/>
        <v>18.29</v>
      </c>
      <c r="L24" s="9">
        <f t="shared" si="4"/>
        <v>18.29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18.29</v>
      </c>
      <c r="T24" s="14">
        <f t="shared" si="6"/>
        <v>18.29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299</v>
      </c>
      <c r="C25" s="4" t="s">
        <v>114</v>
      </c>
      <c r="D25" s="129">
        <v>500</v>
      </c>
      <c r="E25" s="54">
        <v>1</v>
      </c>
      <c r="F25" s="15">
        <v>22.300799999999999</v>
      </c>
      <c r="G25" s="38">
        <f t="shared" si="1"/>
        <v>15.38</v>
      </c>
      <c r="H25" s="39">
        <f t="shared" si="2"/>
        <v>22.3</v>
      </c>
      <c r="I25" s="42"/>
      <c r="J25" s="88">
        <f t="shared" si="0"/>
        <v>1</v>
      </c>
      <c r="K25" s="38">
        <f t="shared" si="3"/>
        <v>14.5</v>
      </c>
      <c r="L25" s="38">
        <f t="shared" si="4"/>
        <v>14.5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14.5</v>
      </c>
      <c r="T25" s="52">
        <f t="shared" si="6"/>
        <v>14.5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300</v>
      </c>
      <c r="C26" s="6" t="s">
        <v>149</v>
      </c>
      <c r="D26" s="130" t="s">
        <v>138</v>
      </c>
      <c r="E26" s="53">
        <v>6</v>
      </c>
      <c r="F26" s="8">
        <v>896.8205999999999</v>
      </c>
      <c r="G26" s="9">
        <f t="shared" si="1"/>
        <v>618.5</v>
      </c>
      <c r="H26" s="10">
        <f t="shared" si="2"/>
        <v>5380.92</v>
      </c>
      <c r="I26" s="42"/>
      <c r="J26" s="89">
        <f t="shared" si="0"/>
        <v>6</v>
      </c>
      <c r="K26" s="9">
        <f t="shared" si="3"/>
        <v>627.77</v>
      </c>
      <c r="L26" s="9">
        <f t="shared" si="4"/>
        <v>3766.62</v>
      </c>
      <c r="M26" s="8" t="s">
        <v>112</v>
      </c>
      <c r="N26" s="12">
        <v>0.3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627.77</v>
      </c>
      <c r="T26" s="14">
        <f t="shared" si="6"/>
        <v>3766.62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301</v>
      </c>
      <c r="C27" s="4" t="s">
        <v>147</v>
      </c>
      <c r="D27" s="129" t="s">
        <v>138</v>
      </c>
      <c r="E27" s="54">
        <v>1</v>
      </c>
      <c r="F27" s="15">
        <v>5543.6669999999995</v>
      </c>
      <c r="G27" s="38">
        <f t="shared" si="1"/>
        <v>3823.22</v>
      </c>
      <c r="H27" s="39">
        <f t="shared" si="2"/>
        <v>5543.67</v>
      </c>
      <c r="I27" s="42"/>
      <c r="J27" s="88">
        <f t="shared" si="0"/>
        <v>1</v>
      </c>
      <c r="K27" s="38">
        <f t="shared" si="3"/>
        <v>2771.83</v>
      </c>
      <c r="L27" s="38">
        <f t="shared" si="4"/>
        <v>2771.83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2771.83</v>
      </c>
      <c r="T27" s="52">
        <f t="shared" si="6"/>
        <v>2771.83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302</v>
      </c>
      <c r="C28" s="6" t="s">
        <v>144</v>
      </c>
      <c r="D28" s="130" t="s">
        <v>138</v>
      </c>
      <c r="E28" s="53">
        <v>1</v>
      </c>
      <c r="F28" s="8">
        <v>1002.3492</v>
      </c>
      <c r="G28" s="9">
        <f t="shared" si="1"/>
        <v>691.28</v>
      </c>
      <c r="H28" s="10">
        <f t="shared" si="2"/>
        <v>1002.35</v>
      </c>
      <c r="I28" s="42"/>
      <c r="J28" s="89">
        <f t="shared" si="0"/>
        <v>1</v>
      </c>
      <c r="K28" s="9">
        <f t="shared" si="3"/>
        <v>501.17</v>
      </c>
      <c r="L28" s="9">
        <f t="shared" si="4"/>
        <v>501.17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501.17</v>
      </c>
      <c r="T28" s="14">
        <f t="shared" si="6"/>
        <v>501.17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315</v>
      </c>
      <c r="C29" s="4" t="s">
        <v>137</v>
      </c>
      <c r="D29" s="129" t="s">
        <v>138</v>
      </c>
      <c r="E29" s="54">
        <v>1</v>
      </c>
      <c r="F29" s="15">
        <v>4590.0455999999995</v>
      </c>
      <c r="G29" s="38">
        <f>ROUND(IF($F$17="USD $", F29*$E$15,F29*$D$15),2)</f>
        <v>3165.55</v>
      </c>
      <c r="H29" s="39">
        <f>ROUND(IF($H$17=$G$17,E29*G29,E29*F29),2)</f>
        <v>4590.05</v>
      </c>
      <c r="I29" s="42"/>
      <c r="J29" s="88">
        <f t="shared" si="0"/>
        <v>1</v>
      </c>
      <c r="K29" s="38">
        <f t="shared" si="3"/>
        <v>2295.02</v>
      </c>
      <c r="L29" s="38">
        <f>ROUND((J29*K29),2)</f>
        <v>2295.02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2295.02</v>
      </c>
      <c r="T29" s="52">
        <f t="shared" si="6"/>
        <v>2295.02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304</v>
      </c>
      <c r="C30" s="6" t="s">
        <v>316</v>
      </c>
      <c r="D30" s="130" t="s">
        <v>138</v>
      </c>
      <c r="E30" s="53">
        <v>2</v>
      </c>
      <c r="F30" s="8">
        <v>318.2004</v>
      </c>
      <c r="G30" s="9">
        <f t="shared" si="1"/>
        <v>219.45</v>
      </c>
      <c r="H30" s="10">
        <f t="shared" si="2"/>
        <v>636.4</v>
      </c>
      <c r="I30" s="42"/>
      <c r="J30" s="89">
        <f t="shared" si="0"/>
        <v>2</v>
      </c>
      <c r="K30" s="9">
        <f t="shared" si="3"/>
        <v>159.1</v>
      </c>
      <c r="L30" s="9">
        <f t="shared" si="4"/>
        <v>318.2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159.1</v>
      </c>
      <c r="T30" s="14">
        <f t="shared" si="6"/>
        <v>318.2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317</v>
      </c>
      <c r="C31" s="4" t="s">
        <v>158</v>
      </c>
      <c r="D31" s="129" t="s">
        <v>138</v>
      </c>
      <c r="E31" s="54">
        <v>1</v>
      </c>
      <c r="F31" s="15">
        <v>607.69679999999994</v>
      </c>
      <c r="G31" s="38">
        <f t="shared" si="1"/>
        <v>419.1</v>
      </c>
      <c r="H31" s="39">
        <f t="shared" si="2"/>
        <v>607.70000000000005</v>
      </c>
      <c r="I31" s="42"/>
      <c r="J31" s="88">
        <f t="shared" si="0"/>
        <v>1</v>
      </c>
      <c r="K31" s="38">
        <f t="shared" si="3"/>
        <v>334.23</v>
      </c>
      <c r="L31" s="38">
        <f t="shared" si="4"/>
        <v>334.23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334.23</v>
      </c>
      <c r="T31" s="52">
        <f t="shared" si="6"/>
        <v>334.23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318</v>
      </c>
      <c r="C32" s="6" t="s">
        <v>319</v>
      </c>
      <c r="D32" s="130" t="s">
        <v>138</v>
      </c>
      <c r="E32" s="53">
        <v>1</v>
      </c>
      <c r="F32" s="8">
        <v>133.34</v>
      </c>
      <c r="G32" s="9">
        <f t="shared" si="1"/>
        <v>91.96</v>
      </c>
      <c r="H32" s="10">
        <f t="shared" si="2"/>
        <v>133.34</v>
      </c>
      <c r="I32" s="42"/>
      <c r="J32" s="89">
        <f t="shared" si="0"/>
        <v>1</v>
      </c>
      <c r="K32" s="9">
        <f t="shared" si="3"/>
        <v>73.34</v>
      </c>
      <c r="L32" s="9">
        <f t="shared" si="4"/>
        <v>73.34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73.34</v>
      </c>
      <c r="T32" s="14">
        <f t="shared" si="6"/>
        <v>73.34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320</v>
      </c>
      <c r="C33" s="4" t="s">
        <v>321</v>
      </c>
      <c r="D33" s="129" t="s">
        <v>138</v>
      </c>
      <c r="E33" s="54">
        <v>1</v>
      </c>
      <c r="F33" s="15">
        <v>125.8</v>
      </c>
      <c r="G33" s="38">
        <f t="shared" si="1"/>
        <v>86.76</v>
      </c>
      <c r="H33" s="39">
        <f t="shared" si="2"/>
        <v>125.8</v>
      </c>
      <c r="I33" s="42"/>
      <c r="J33" s="88">
        <f t="shared" si="0"/>
        <v>1</v>
      </c>
      <c r="K33" s="38">
        <f t="shared" si="3"/>
        <v>69.19</v>
      </c>
      <c r="L33" s="38">
        <f t="shared" si="4"/>
        <v>69.19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69.19</v>
      </c>
      <c r="T33" s="52">
        <f t="shared" si="6"/>
        <v>69.19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322</v>
      </c>
      <c r="C34" s="6" t="s">
        <v>178</v>
      </c>
      <c r="D34" s="130" t="s">
        <v>138</v>
      </c>
      <c r="E34" s="53">
        <v>21</v>
      </c>
      <c r="F34" s="8">
        <v>8.5559999999999992</v>
      </c>
      <c r="G34" s="9">
        <f t="shared" si="1"/>
        <v>5.9</v>
      </c>
      <c r="H34" s="10">
        <f t="shared" si="2"/>
        <v>179.68</v>
      </c>
      <c r="I34" s="42"/>
      <c r="J34" s="89">
        <f t="shared" si="0"/>
        <v>21</v>
      </c>
      <c r="K34" s="9">
        <f t="shared" si="3"/>
        <v>4.71</v>
      </c>
      <c r="L34" s="9">
        <f t="shared" si="4"/>
        <v>98.91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4.71</v>
      </c>
      <c r="T34" s="14">
        <f t="shared" si="6"/>
        <v>98.91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323</v>
      </c>
      <c r="C35" s="4" t="s">
        <v>210</v>
      </c>
      <c r="D35" s="129" t="s">
        <v>138</v>
      </c>
      <c r="E35" s="54">
        <v>21</v>
      </c>
      <c r="F35" s="15">
        <v>2.2631999999999999</v>
      </c>
      <c r="G35" s="38">
        <f t="shared" si="1"/>
        <v>1.56</v>
      </c>
      <c r="H35" s="39">
        <f t="shared" si="2"/>
        <v>47.53</v>
      </c>
      <c r="I35" s="42"/>
      <c r="J35" s="88">
        <f t="shared" si="0"/>
        <v>21</v>
      </c>
      <c r="K35" s="38">
        <f t="shared" si="3"/>
        <v>1.24</v>
      </c>
      <c r="L35" s="38">
        <f t="shared" si="4"/>
        <v>26.04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1.24</v>
      </c>
      <c r="T35" s="52">
        <f t="shared" si="6"/>
        <v>26.04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310</v>
      </c>
      <c r="C36" s="6" t="s">
        <v>180</v>
      </c>
      <c r="D36" s="130" t="s">
        <v>138</v>
      </c>
      <c r="E36" s="53">
        <v>21</v>
      </c>
      <c r="F36" s="8">
        <v>4.4849999999999994</v>
      </c>
      <c r="G36" s="9">
        <f t="shared" si="1"/>
        <v>3.09</v>
      </c>
      <c r="H36" s="10">
        <f t="shared" si="2"/>
        <v>94.19</v>
      </c>
      <c r="I36" s="42"/>
      <c r="J36" s="89">
        <f t="shared" si="0"/>
        <v>21</v>
      </c>
      <c r="K36" s="9">
        <f t="shared" si="3"/>
        <v>2.4700000000000002</v>
      </c>
      <c r="L36" s="9">
        <f t="shared" si="4"/>
        <v>51.87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2.4700000000000002</v>
      </c>
      <c r="T36" s="14">
        <f t="shared" si="6"/>
        <v>51.87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>
        <v>0</v>
      </c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324</v>
      </c>
      <c r="C38" s="6" t="s">
        <v>325</v>
      </c>
      <c r="D38" s="130" t="s">
        <v>138</v>
      </c>
      <c r="E38" s="53">
        <v>1</v>
      </c>
      <c r="F38" s="8">
        <v>187453.69</v>
      </c>
      <c r="G38" s="9">
        <f t="shared" si="1"/>
        <v>129278.41</v>
      </c>
      <c r="H38" s="10">
        <f t="shared" si="2"/>
        <v>187453.69</v>
      </c>
      <c r="I38" s="42"/>
      <c r="J38" s="89">
        <f t="shared" si="0"/>
        <v>1</v>
      </c>
      <c r="K38" s="9">
        <f t="shared" si="3"/>
        <v>103099.53</v>
      </c>
      <c r="L38" s="9">
        <f t="shared" si="4"/>
        <v>103099.53</v>
      </c>
      <c r="M38" s="8" t="s">
        <v>112</v>
      </c>
      <c r="N38" s="12">
        <v>0.45</v>
      </c>
      <c r="O38" s="51"/>
      <c r="P38" s="3"/>
      <c r="Q38" s="13"/>
      <c r="R38" s="14">
        <f t="shared" si="9"/>
        <v>0</v>
      </c>
      <c r="S38" s="14">
        <f t="shared" si="5"/>
        <v>103099.53</v>
      </c>
      <c r="T38" s="14">
        <f t="shared" si="6"/>
        <v>103099.53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86</v>
      </c>
      <c r="F49" s="78">
        <f>SUM(F18:F48)</f>
        <v>201245.26180000001</v>
      </c>
      <c r="G49" s="79">
        <f>SUM(G18:G48)</f>
        <v>138789.86000000002</v>
      </c>
      <c r="H49" s="80">
        <f>SUM(H18:H48)</f>
        <v>206353.66</v>
      </c>
      <c r="I49" s="81"/>
      <c r="J49" s="82">
        <f>SUM(J18:J48)</f>
        <v>86</v>
      </c>
      <c r="K49" s="79">
        <f>SUM(K18:K48)</f>
        <v>110253.5</v>
      </c>
      <c r="L49" s="80">
        <f>SUM(L18:L48)</f>
        <v>113719.85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110253.5</v>
      </c>
      <c r="T49" s="80">
        <f>SUM(T18:T48)</f>
        <v>113719.85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0">
    <cfRule type="expression" dxfId="197" priority="1">
      <formula>$V$9&lt;50%</formula>
    </cfRule>
    <cfRule type="expression" dxfId="196" priority="2">
      <formula>$V$9&gt;50%</formula>
    </cfRule>
  </conditionalFormatting>
  <dataValidations count="5">
    <dataValidation type="list" allowBlank="1" showInputMessage="1" showErrorMessage="1" sqref="M18:M48" xr:uid="{9AAF311C-ADD2-453E-8462-49989A0642C6}">
      <formula1>$Y$31:$Y$32</formula1>
    </dataValidation>
    <dataValidation type="list" showInputMessage="1" showErrorMessage="1" sqref="D18:D48" xr:uid="{0FD89D86-5E5B-45D5-8598-7D2D3D0EDC2A}">
      <formula1>$Z$18:$Z$29</formula1>
    </dataValidation>
    <dataValidation type="list" allowBlank="1" showInputMessage="1" showErrorMessage="1" sqref="I13" xr:uid="{8B65492A-2797-466C-A171-03587B420517}">
      <formula1>$K$9:$K$9</formula1>
    </dataValidation>
    <dataValidation type="list" allowBlank="1" showInputMessage="1" showErrorMessage="1" sqref="H13" xr:uid="{9D429E32-70EF-4BF1-BA91-D2F86037FC6A}">
      <formula1>$Y$13:$Y$14</formula1>
    </dataValidation>
    <dataValidation type="list" allowBlank="1" showInputMessage="1" showErrorMessage="1" sqref="F17 K17 Q17 Q14" xr:uid="{3BB808AE-9477-4D87-BEC6-39B04B1ABBF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C337-2374-420E-AF6B-4BEF2A29916C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326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125276.23999999999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69003.37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56272.869999999995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328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0.44919028540447892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329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69003.37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67553.37</v>
      </c>
      <c r="U9" s="235">
        <f>IFERROR(((P3-S9)/S9),0)</f>
        <v>46.588531034482756</v>
      </c>
      <c r="V9" s="235">
        <f>IFERROR(T9/P3,0)</f>
        <v>0.97898653355625964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97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330</v>
      </c>
      <c r="C18" s="5" t="s">
        <v>331</v>
      </c>
      <c r="D18" s="128">
        <v>1000</v>
      </c>
      <c r="E18" s="53">
        <v>1</v>
      </c>
      <c r="F18" s="8">
        <v>148.99859999999998</v>
      </c>
      <c r="G18" s="9">
        <f>ROUND(IF($F$17="USD $", F18*$E$15,F18*$D$15),2)</f>
        <v>102.76</v>
      </c>
      <c r="H18" s="10">
        <f>ROUND(IF($H$17=$G$17,E18*G18,E18*F18),2)</f>
        <v>149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96.85</v>
      </c>
      <c r="L18" s="9">
        <f>ROUND((J18*K18),2)</f>
        <v>96.85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96.85</v>
      </c>
      <c r="T18" s="14">
        <f>ROUND(L18-R18,2)</f>
        <v>96.85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332</v>
      </c>
      <c r="C19" s="4" t="s">
        <v>125</v>
      </c>
      <c r="D19" s="129">
        <v>500</v>
      </c>
      <c r="E19" s="54">
        <v>1</v>
      </c>
      <c r="F19" s="15">
        <v>61.975799999999992</v>
      </c>
      <c r="G19" s="38">
        <f t="shared" ref="G19:G48" si="1">ROUND(IF($F$17="USD $", F19*$E$15,F19*$D$15),2)</f>
        <v>42.74</v>
      </c>
      <c r="H19" s="39">
        <f t="shared" ref="H19:H48" si="2">ROUND(IF($H$17=$G$17,E19*G19,E19*F19),2)</f>
        <v>61.98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30.99</v>
      </c>
      <c r="L19" s="38">
        <f t="shared" ref="L19:L48" si="4">ROUND((J19*K19),2)</f>
        <v>30.99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30.99</v>
      </c>
      <c r="T19" s="52">
        <f t="shared" ref="T19:T48" si="6">ROUND(L19-R19,2)</f>
        <v>30.99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333</v>
      </c>
      <c r="C20" s="6" t="s">
        <v>122</v>
      </c>
      <c r="D20" s="130">
        <v>500</v>
      </c>
      <c r="E20" s="53">
        <v>1</v>
      </c>
      <c r="F20" s="8">
        <v>179.262</v>
      </c>
      <c r="G20" s="9">
        <f t="shared" si="1"/>
        <v>123.63</v>
      </c>
      <c r="H20" s="10">
        <f t="shared" si="2"/>
        <v>179.26</v>
      </c>
      <c r="I20" s="42"/>
      <c r="J20" s="89">
        <f t="shared" si="0"/>
        <v>1</v>
      </c>
      <c r="K20" s="9">
        <f t="shared" si="3"/>
        <v>89.63</v>
      </c>
      <c r="L20" s="9">
        <f t="shared" si="4"/>
        <v>89.63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89.63</v>
      </c>
      <c r="T20" s="14">
        <f t="shared" si="6"/>
        <v>89.63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334</v>
      </c>
      <c r="C21" s="4" t="s">
        <v>125</v>
      </c>
      <c r="D21" s="129">
        <v>500</v>
      </c>
      <c r="E21" s="54">
        <v>1</v>
      </c>
      <c r="F21" s="15">
        <v>275.9862</v>
      </c>
      <c r="G21" s="38">
        <f t="shared" si="1"/>
        <v>190.34</v>
      </c>
      <c r="H21" s="39">
        <f t="shared" si="2"/>
        <v>275.99</v>
      </c>
      <c r="I21" s="42"/>
      <c r="J21" s="88">
        <f t="shared" si="0"/>
        <v>1</v>
      </c>
      <c r="K21" s="38">
        <f t="shared" si="3"/>
        <v>137.99</v>
      </c>
      <c r="L21" s="38">
        <f t="shared" si="4"/>
        <v>137.99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137.99</v>
      </c>
      <c r="T21" s="52">
        <f t="shared" si="6"/>
        <v>137.99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336</v>
      </c>
      <c r="D22" s="130">
        <v>500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337</v>
      </c>
      <c r="C23" s="4" t="s">
        <v>114</v>
      </c>
      <c r="D23" s="129">
        <v>1000</v>
      </c>
      <c r="E23" s="54">
        <v>1</v>
      </c>
      <c r="F23" s="15">
        <v>188.74260000000001</v>
      </c>
      <c r="G23" s="38">
        <f t="shared" si="1"/>
        <v>130.16999999999999</v>
      </c>
      <c r="H23" s="39">
        <f t="shared" si="2"/>
        <v>188.74</v>
      </c>
      <c r="I23" s="42"/>
      <c r="J23" s="88">
        <f t="shared" si="0"/>
        <v>1</v>
      </c>
      <c r="K23" s="38">
        <f t="shared" si="3"/>
        <v>122.68</v>
      </c>
      <c r="L23" s="38">
        <f t="shared" si="4"/>
        <v>122.68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122.68</v>
      </c>
      <c r="T23" s="52">
        <f t="shared" si="6"/>
        <v>122.68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338</v>
      </c>
      <c r="C24" s="6" t="s">
        <v>114</v>
      </c>
      <c r="D24" s="130">
        <v>1000</v>
      </c>
      <c r="E24" s="53">
        <v>1</v>
      </c>
      <c r="F24" s="8">
        <v>164.08199999999999</v>
      </c>
      <c r="G24" s="9">
        <f t="shared" si="1"/>
        <v>113.16</v>
      </c>
      <c r="H24" s="10">
        <f t="shared" si="2"/>
        <v>164.08</v>
      </c>
      <c r="I24" s="42"/>
      <c r="J24" s="89">
        <f t="shared" si="0"/>
        <v>1</v>
      </c>
      <c r="K24" s="9">
        <f t="shared" si="3"/>
        <v>106.65</v>
      </c>
      <c r="L24" s="9">
        <f t="shared" si="4"/>
        <v>106.65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106.65</v>
      </c>
      <c r="T24" s="14">
        <f t="shared" si="6"/>
        <v>106.65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339</v>
      </c>
      <c r="C25" s="4" t="s">
        <v>147</v>
      </c>
      <c r="D25" s="129" t="s">
        <v>138</v>
      </c>
      <c r="E25" s="54">
        <v>1</v>
      </c>
      <c r="F25" s="15">
        <v>2567.5589999999997</v>
      </c>
      <c r="G25" s="38">
        <f t="shared" si="1"/>
        <v>1770.73</v>
      </c>
      <c r="H25" s="39">
        <f t="shared" si="2"/>
        <v>2567.56</v>
      </c>
      <c r="I25" s="42"/>
      <c r="J25" s="88">
        <f t="shared" si="0"/>
        <v>1</v>
      </c>
      <c r="K25" s="38">
        <f t="shared" si="3"/>
        <v>1283.78</v>
      </c>
      <c r="L25" s="38">
        <f t="shared" si="4"/>
        <v>1283.78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1283.78</v>
      </c>
      <c r="T25" s="52">
        <f t="shared" si="6"/>
        <v>1283.78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340</v>
      </c>
      <c r="C26" s="6" t="s">
        <v>144</v>
      </c>
      <c r="D26" s="130" t="s">
        <v>138</v>
      </c>
      <c r="E26" s="53">
        <v>1</v>
      </c>
      <c r="F26" s="8">
        <v>822.86639999999989</v>
      </c>
      <c r="G26" s="9">
        <f t="shared" si="1"/>
        <v>567.49</v>
      </c>
      <c r="H26" s="10">
        <f t="shared" si="2"/>
        <v>822.87</v>
      </c>
      <c r="I26" s="42"/>
      <c r="J26" s="89">
        <f t="shared" si="0"/>
        <v>1</v>
      </c>
      <c r="K26" s="9">
        <f t="shared" si="3"/>
        <v>411.43</v>
      </c>
      <c r="L26" s="9">
        <f t="shared" si="4"/>
        <v>411.43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411.43</v>
      </c>
      <c r="T26" s="14">
        <f t="shared" si="6"/>
        <v>411.43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341</v>
      </c>
      <c r="C27" s="4" t="s">
        <v>137</v>
      </c>
      <c r="D27" s="129" t="s">
        <v>138</v>
      </c>
      <c r="E27" s="54">
        <v>1</v>
      </c>
      <c r="F27" s="15">
        <v>12782.78</v>
      </c>
      <c r="G27" s="38">
        <f t="shared" si="1"/>
        <v>8815.7099999999991</v>
      </c>
      <c r="H27" s="39">
        <f t="shared" si="2"/>
        <v>12782.78</v>
      </c>
      <c r="I27" s="42"/>
      <c r="J27" s="88">
        <f t="shared" si="0"/>
        <v>1</v>
      </c>
      <c r="K27" s="38">
        <f t="shared" si="3"/>
        <v>6391.39</v>
      </c>
      <c r="L27" s="38">
        <f t="shared" si="4"/>
        <v>6391.39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6391.39</v>
      </c>
      <c r="T27" s="52">
        <f t="shared" si="6"/>
        <v>6391.39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342</v>
      </c>
      <c r="C28" s="6" t="s">
        <v>149</v>
      </c>
      <c r="D28" s="130" t="s">
        <v>138</v>
      </c>
      <c r="E28" s="53">
        <v>6</v>
      </c>
      <c r="F28" s="8">
        <v>993.24</v>
      </c>
      <c r="G28" s="9">
        <f t="shared" si="1"/>
        <v>684.99</v>
      </c>
      <c r="H28" s="10">
        <f t="shared" si="2"/>
        <v>5959.44</v>
      </c>
      <c r="I28" s="42"/>
      <c r="J28" s="89">
        <f t="shared" si="0"/>
        <v>6</v>
      </c>
      <c r="K28" s="9">
        <f t="shared" si="3"/>
        <v>695.27</v>
      </c>
      <c r="L28" s="9">
        <f t="shared" si="4"/>
        <v>4171.62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695.27</v>
      </c>
      <c r="T28" s="14">
        <f t="shared" si="6"/>
        <v>4171.62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343</v>
      </c>
      <c r="C29" s="4" t="s">
        <v>321</v>
      </c>
      <c r="D29" s="129" t="s">
        <v>138</v>
      </c>
      <c r="E29" s="54">
        <v>1</v>
      </c>
      <c r="F29" s="15">
        <v>185.79</v>
      </c>
      <c r="G29" s="38">
        <f>ROUND(IF($F$17="USD $", F29*$E$15,F29*$D$15),2)</f>
        <v>128.13</v>
      </c>
      <c r="H29" s="39">
        <f>ROUND(IF($H$17=$G$17,E29*G29,E29*F29),2)</f>
        <v>185.79</v>
      </c>
      <c r="I29" s="42"/>
      <c r="J29" s="88">
        <f t="shared" si="0"/>
        <v>1</v>
      </c>
      <c r="K29" s="38">
        <f t="shared" si="3"/>
        <v>102.18</v>
      </c>
      <c r="L29" s="38">
        <f>ROUND((J29*K29),2)</f>
        <v>102.18</v>
      </c>
      <c r="M29" s="132" t="s">
        <v>112</v>
      </c>
      <c r="N29" s="16">
        <v>0.45</v>
      </c>
      <c r="O29" s="51"/>
      <c r="P29" s="1"/>
      <c r="Q29" s="15"/>
      <c r="R29" s="40">
        <f t="shared" si="9"/>
        <v>0</v>
      </c>
      <c r="S29" s="52">
        <f t="shared" si="5"/>
        <v>102.18</v>
      </c>
      <c r="T29" s="52">
        <f t="shared" si="6"/>
        <v>102.18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344</v>
      </c>
      <c r="C30" s="6" t="s">
        <v>319</v>
      </c>
      <c r="D30" s="130" t="s">
        <v>138</v>
      </c>
      <c r="E30" s="53">
        <v>1</v>
      </c>
      <c r="F30" s="8">
        <v>196.94</v>
      </c>
      <c r="G30" s="9">
        <f t="shared" si="1"/>
        <v>135.82</v>
      </c>
      <c r="H30" s="10">
        <f t="shared" si="2"/>
        <v>196.94</v>
      </c>
      <c r="I30" s="42"/>
      <c r="J30" s="89">
        <f t="shared" si="0"/>
        <v>1</v>
      </c>
      <c r="K30" s="9">
        <f t="shared" si="3"/>
        <v>108.32</v>
      </c>
      <c r="L30" s="9">
        <f t="shared" si="4"/>
        <v>108.32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108.32</v>
      </c>
      <c r="T30" s="14">
        <f t="shared" si="6"/>
        <v>108.32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345</v>
      </c>
      <c r="C31" s="4" t="s">
        <v>158</v>
      </c>
      <c r="D31" s="129" t="s">
        <v>138</v>
      </c>
      <c r="E31" s="54">
        <v>2</v>
      </c>
      <c r="F31" s="15">
        <v>234.92</v>
      </c>
      <c r="G31" s="38">
        <f t="shared" si="1"/>
        <v>162.01</v>
      </c>
      <c r="H31" s="39">
        <f t="shared" si="2"/>
        <v>469.84</v>
      </c>
      <c r="I31" s="42"/>
      <c r="J31" s="88">
        <f t="shared" si="0"/>
        <v>2</v>
      </c>
      <c r="K31" s="38">
        <f t="shared" si="3"/>
        <v>129.21</v>
      </c>
      <c r="L31" s="38">
        <f t="shared" si="4"/>
        <v>258.42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129.21</v>
      </c>
      <c r="T31" s="52">
        <f t="shared" si="6"/>
        <v>258.42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346</v>
      </c>
      <c r="C32" s="6" t="s">
        <v>158</v>
      </c>
      <c r="D32" s="130" t="s">
        <v>138</v>
      </c>
      <c r="E32" s="53">
        <v>1</v>
      </c>
      <c r="F32" s="8">
        <v>325.91000000000003</v>
      </c>
      <c r="G32" s="9">
        <f t="shared" si="1"/>
        <v>224.77</v>
      </c>
      <c r="H32" s="10">
        <f t="shared" si="2"/>
        <v>325.91000000000003</v>
      </c>
      <c r="I32" s="42"/>
      <c r="J32" s="89">
        <f t="shared" si="0"/>
        <v>1</v>
      </c>
      <c r="K32" s="9">
        <f t="shared" si="3"/>
        <v>179.25</v>
      </c>
      <c r="L32" s="9">
        <f t="shared" si="4"/>
        <v>179.25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179.25</v>
      </c>
      <c r="T32" s="14">
        <f t="shared" si="6"/>
        <v>179.25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347</v>
      </c>
      <c r="C33" s="4" t="s">
        <v>348</v>
      </c>
      <c r="D33" s="129" t="s">
        <v>138</v>
      </c>
      <c r="E33" s="54">
        <v>33</v>
      </c>
      <c r="F33" s="15">
        <v>1.87</v>
      </c>
      <c r="G33" s="38">
        <f t="shared" si="1"/>
        <v>1.29</v>
      </c>
      <c r="H33" s="39">
        <f t="shared" si="2"/>
        <v>61.71</v>
      </c>
      <c r="I33" s="42"/>
      <c r="J33" s="88">
        <f t="shared" si="0"/>
        <v>33</v>
      </c>
      <c r="K33" s="38">
        <f t="shared" si="3"/>
        <v>1.03</v>
      </c>
      <c r="L33" s="38">
        <f t="shared" si="4"/>
        <v>33.99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1.03</v>
      </c>
      <c r="T33" s="52">
        <f t="shared" si="6"/>
        <v>33.99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349</v>
      </c>
      <c r="C34" s="6" t="s">
        <v>350</v>
      </c>
      <c r="D34" s="130" t="s">
        <v>138</v>
      </c>
      <c r="E34" s="53">
        <v>33</v>
      </c>
      <c r="F34" s="8">
        <v>0.56999999999999995</v>
      </c>
      <c r="G34" s="9">
        <f t="shared" si="1"/>
        <v>0.39</v>
      </c>
      <c r="H34" s="10">
        <f t="shared" si="2"/>
        <v>18.809999999999999</v>
      </c>
      <c r="I34" s="42"/>
      <c r="J34" s="89">
        <f t="shared" si="0"/>
        <v>33</v>
      </c>
      <c r="K34" s="9">
        <f t="shared" si="3"/>
        <v>0.31</v>
      </c>
      <c r="L34" s="9">
        <f t="shared" si="4"/>
        <v>10.23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0.31</v>
      </c>
      <c r="T34" s="14">
        <f t="shared" si="6"/>
        <v>10.23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351</v>
      </c>
      <c r="C35" s="4" t="s">
        <v>352</v>
      </c>
      <c r="D35" s="129" t="s">
        <v>138</v>
      </c>
      <c r="E35" s="54">
        <v>3</v>
      </c>
      <c r="F35" s="15">
        <v>2046.93</v>
      </c>
      <c r="G35" s="38">
        <f t="shared" si="1"/>
        <v>1411.68</v>
      </c>
      <c r="H35" s="39">
        <f t="shared" si="2"/>
        <v>6140.79</v>
      </c>
      <c r="I35" s="42"/>
      <c r="J35" s="88">
        <f t="shared" si="0"/>
        <v>3</v>
      </c>
      <c r="K35" s="38">
        <f t="shared" si="3"/>
        <v>1125.81</v>
      </c>
      <c r="L35" s="38">
        <f t="shared" si="4"/>
        <v>3377.43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1125.81</v>
      </c>
      <c r="T35" s="52">
        <f t="shared" si="6"/>
        <v>3377.43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353</v>
      </c>
      <c r="C36" s="6" t="s">
        <v>354</v>
      </c>
      <c r="D36" s="130" t="s">
        <v>138</v>
      </c>
      <c r="E36" s="53">
        <v>3</v>
      </c>
      <c r="F36" s="8">
        <v>129.46</v>
      </c>
      <c r="G36" s="9">
        <f t="shared" si="1"/>
        <v>89.28</v>
      </c>
      <c r="H36" s="10">
        <f t="shared" si="2"/>
        <v>388.38</v>
      </c>
      <c r="I36" s="42"/>
      <c r="J36" s="89">
        <f t="shared" si="0"/>
        <v>3</v>
      </c>
      <c r="K36" s="9">
        <f t="shared" si="3"/>
        <v>71.2</v>
      </c>
      <c r="L36" s="9">
        <f t="shared" si="4"/>
        <v>213.6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71.2</v>
      </c>
      <c r="T36" s="14">
        <f t="shared" si="6"/>
        <v>213.6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355</v>
      </c>
      <c r="C37" s="4" t="s">
        <v>356</v>
      </c>
      <c r="D37" s="129" t="s">
        <v>138</v>
      </c>
      <c r="E37" s="54">
        <v>3</v>
      </c>
      <c r="F37" s="15">
        <v>32.15</v>
      </c>
      <c r="G37" s="38">
        <f t="shared" si="1"/>
        <v>22.17</v>
      </c>
      <c r="H37" s="39">
        <f t="shared" si="2"/>
        <v>96.45</v>
      </c>
      <c r="I37" s="42"/>
      <c r="J37" s="88">
        <f t="shared" si="0"/>
        <v>3</v>
      </c>
      <c r="K37" s="38">
        <f t="shared" si="3"/>
        <v>17.68</v>
      </c>
      <c r="L37" s="38">
        <f t="shared" si="4"/>
        <v>53.04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17.68</v>
      </c>
      <c r="T37" s="52">
        <f t="shared" si="6"/>
        <v>53.04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>
        <v>0</v>
      </c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357</v>
      </c>
      <c r="C39" s="4" t="s">
        <v>358</v>
      </c>
      <c r="D39" s="129" t="s">
        <v>138</v>
      </c>
      <c r="E39" s="54">
        <v>1</v>
      </c>
      <c r="F39" s="15">
        <v>94078.760000000009</v>
      </c>
      <c r="G39" s="38">
        <f t="shared" si="1"/>
        <v>64881.9</v>
      </c>
      <c r="H39" s="39">
        <f t="shared" si="2"/>
        <v>94078.76</v>
      </c>
      <c r="I39" s="42"/>
      <c r="J39" s="88">
        <f t="shared" si="0"/>
        <v>1</v>
      </c>
      <c r="K39" s="38">
        <f t="shared" si="3"/>
        <v>51743.32</v>
      </c>
      <c r="L39" s="38">
        <f t="shared" si="4"/>
        <v>51743.32</v>
      </c>
      <c r="M39" s="132" t="s">
        <v>112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51743.32</v>
      </c>
      <c r="T39" s="52">
        <f t="shared" si="6"/>
        <v>51743.32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97</v>
      </c>
      <c r="F49" s="78">
        <f>SUM(F18:F48)</f>
        <v>115579.94900000001</v>
      </c>
      <c r="G49" s="79">
        <f>SUM(G18:G48)</f>
        <v>79710.3</v>
      </c>
      <c r="H49" s="80">
        <f>SUM(H18:H48)</f>
        <v>125276.23999999999</v>
      </c>
      <c r="I49" s="81"/>
      <c r="J49" s="82">
        <f>SUM(J18:J48)</f>
        <v>97</v>
      </c>
      <c r="K49" s="79">
        <f>SUM(K18:K48)</f>
        <v>62925.55</v>
      </c>
      <c r="L49" s="80">
        <f>SUM(L18:L48)</f>
        <v>69003.37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62925.55</v>
      </c>
      <c r="T49" s="80">
        <f>SUM(T18:T48)</f>
        <v>69003.37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0">
    <cfRule type="expression" dxfId="193" priority="1">
      <formula>$V$9&lt;50%</formula>
    </cfRule>
    <cfRule type="expression" dxfId="192" priority="2">
      <formula>$V$9&gt;50%</formula>
    </cfRule>
  </conditionalFormatting>
  <dataValidations count="5">
    <dataValidation type="list" allowBlank="1" showInputMessage="1" showErrorMessage="1" sqref="M18:M48" xr:uid="{0C4CAC6E-FA34-46D6-A562-65711F221DFA}">
      <formula1>$Y$31:$Y$32</formula1>
    </dataValidation>
    <dataValidation type="list" showInputMessage="1" showErrorMessage="1" sqref="D18:D48" xr:uid="{8991FC5D-0272-4D8E-8CC3-5832813FED89}">
      <formula1>$Z$18:$Z$29</formula1>
    </dataValidation>
    <dataValidation type="list" allowBlank="1" showInputMessage="1" showErrorMessage="1" sqref="I13" xr:uid="{9E2956AF-42B6-490D-BC88-F714BF629688}">
      <formula1>$K$9:$K$9</formula1>
    </dataValidation>
    <dataValidation type="list" allowBlank="1" showInputMessage="1" showErrorMessage="1" sqref="H13" xr:uid="{9B4DDDC6-D906-49DE-AD6F-0AE589BEC505}">
      <formula1>$Y$13:$Y$14</formula1>
    </dataValidation>
    <dataValidation type="list" allowBlank="1" showInputMessage="1" showErrorMessage="1" sqref="F17 K17 Q17 Q14" xr:uid="{062442E1-904C-45C5-9FCB-B9BAE6DF8F6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1F02-4868-4AD5-AFCD-7659DF831720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359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125276.23999999999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69003.37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56272.869999999995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328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0.44919028540447892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360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69003.37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67553.37</v>
      </c>
      <c r="U9" s="235">
        <f>IFERROR(((P3-S9)/S9),0)</f>
        <v>46.588531034482756</v>
      </c>
      <c r="V9" s="235">
        <f>IFERROR(T9/P3,0)</f>
        <v>0.97898653355625964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97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330</v>
      </c>
      <c r="C18" s="5" t="s">
        <v>331</v>
      </c>
      <c r="D18" s="128">
        <v>1000</v>
      </c>
      <c r="E18" s="53">
        <v>1</v>
      </c>
      <c r="F18" s="8">
        <v>148.99859999999998</v>
      </c>
      <c r="G18" s="9">
        <f>ROUND(IF($F$17="USD $", F18*$E$15,F18*$D$15),2)</f>
        <v>102.76</v>
      </c>
      <c r="H18" s="10">
        <f>ROUND(IF($H$17=$G$17,E18*G18,E18*F18),2)</f>
        <v>149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96.85</v>
      </c>
      <c r="L18" s="9">
        <f>ROUND((J18*K18),2)</f>
        <v>96.85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96.85</v>
      </c>
      <c r="T18" s="14">
        <f>ROUND(L18-R18,2)</f>
        <v>96.85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332</v>
      </c>
      <c r="C19" s="4" t="s">
        <v>125</v>
      </c>
      <c r="D19" s="129">
        <v>500</v>
      </c>
      <c r="E19" s="54">
        <v>1</v>
      </c>
      <c r="F19" s="15">
        <v>61.975799999999992</v>
      </c>
      <c r="G19" s="38">
        <f t="shared" ref="G19:G48" si="1">ROUND(IF($F$17="USD $", F19*$E$15,F19*$D$15),2)</f>
        <v>42.74</v>
      </c>
      <c r="H19" s="39">
        <f t="shared" ref="H19:H48" si="2">ROUND(IF($H$17=$G$17,E19*G19,E19*F19),2)</f>
        <v>61.98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30.99</v>
      </c>
      <c r="L19" s="38">
        <f t="shared" ref="L19:L48" si="4">ROUND((J19*K19),2)</f>
        <v>30.99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30.99</v>
      </c>
      <c r="T19" s="52">
        <f t="shared" ref="T19:T48" si="6">ROUND(L19-R19,2)</f>
        <v>30.99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333</v>
      </c>
      <c r="C20" s="6" t="s">
        <v>122</v>
      </c>
      <c r="D20" s="130">
        <v>500</v>
      </c>
      <c r="E20" s="53">
        <v>1</v>
      </c>
      <c r="F20" s="8">
        <v>179.262</v>
      </c>
      <c r="G20" s="9">
        <f t="shared" si="1"/>
        <v>123.63</v>
      </c>
      <c r="H20" s="10">
        <f t="shared" si="2"/>
        <v>179.26</v>
      </c>
      <c r="I20" s="42"/>
      <c r="J20" s="89">
        <f t="shared" si="0"/>
        <v>1</v>
      </c>
      <c r="K20" s="9">
        <f t="shared" si="3"/>
        <v>89.63</v>
      </c>
      <c r="L20" s="9">
        <f t="shared" si="4"/>
        <v>89.63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89.63</v>
      </c>
      <c r="T20" s="14">
        <f t="shared" si="6"/>
        <v>89.63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334</v>
      </c>
      <c r="C21" s="4" t="s">
        <v>125</v>
      </c>
      <c r="D21" s="129">
        <v>500</v>
      </c>
      <c r="E21" s="54">
        <v>1</v>
      </c>
      <c r="F21" s="15">
        <v>275.9862</v>
      </c>
      <c r="G21" s="38">
        <f t="shared" si="1"/>
        <v>190.34</v>
      </c>
      <c r="H21" s="39">
        <f t="shared" si="2"/>
        <v>275.99</v>
      </c>
      <c r="I21" s="42"/>
      <c r="J21" s="88">
        <f t="shared" si="0"/>
        <v>1</v>
      </c>
      <c r="K21" s="38">
        <f t="shared" si="3"/>
        <v>137.99</v>
      </c>
      <c r="L21" s="38">
        <f t="shared" si="4"/>
        <v>137.99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137.99</v>
      </c>
      <c r="T21" s="52">
        <f t="shared" si="6"/>
        <v>137.99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336</v>
      </c>
      <c r="D22" s="130">
        <v>500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337</v>
      </c>
      <c r="C23" s="4" t="s">
        <v>114</v>
      </c>
      <c r="D23" s="129">
        <v>1000</v>
      </c>
      <c r="E23" s="54">
        <v>1</v>
      </c>
      <c r="F23" s="15">
        <v>188.74260000000001</v>
      </c>
      <c r="G23" s="38">
        <f t="shared" si="1"/>
        <v>130.16999999999999</v>
      </c>
      <c r="H23" s="39">
        <f t="shared" si="2"/>
        <v>188.74</v>
      </c>
      <c r="I23" s="42"/>
      <c r="J23" s="88">
        <f t="shared" si="0"/>
        <v>1</v>
      </c>
      <c r="K23" s="38">
        <f t="shared" si="3"/>
        <v>122.68</v>
      </c>
      <c r="L23" s="38">
        <f t="shared" si="4"/>
        <v>122.68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122.68</v>
      </c>
      <c r="T23" s="52">
        <f t="shared" si="6"/>
        <v>122.68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338</v>
      </c>
      <c r="C24" s="6" t="s">
        <v>114</v>
      </c>
      <c r="D24" s="130">
        <v>1000</v>
      </c>
      <c r="E24" s="53">
        <v>1</v>
      </c>
      <c r="F24" s="8">
        <v>164.08199999999999</v>
      </c>
      <c r="G24" s="9">
        <f t="shared" si="1"/>
        <v>113.16</v>
      </c>
      <c r="H24" s="10">
        <f t="shared" si="2"/>
        <v>164.08</v>
      </c>
      <c r="I24" s="42"/>
      <c r="J24" s="89">
        <f t="shared" si="0"/>
        <v>1</v>
      </c>
      <c r="K24" s="9">
        <f t="shared" si="3"/>
        <v>106.65</v>
      </c>
      <c r="L24" s="9">
        <f t="shared" si="4"/>
        <v>106.65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106.65</v>
      </c>
      <c r="T24" s="14">
        <f t="shared" si="6"/>
        <v>106.65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339</v>
      </c>
      <c r="C25" s="4" t="s">
        <v>147</v>
      </c>
      <c r="D25" s="129" t="s">
        <v>138</v>
      </c>
      <c r="E25" s="54">
        <v>1</v>
      </c>
      <c r="F25" s="15">
        <v>2567.5589999999997</v>
      </c>
      <c r="G25" s="38">
        <f t="shared" si="1"/>
        <v>1770.73</v>
      </c>
      <c r="H25" s="39">
        <f t="shared" si="2"/>
        <v>2567.56</v>
      </c>
      <c r="I25" s="42"/>
      <c r="J25" s="88">
        <f t="shared" si="0"/>
        <v>1</v>
      </c>
      <c r="K25" s="38">
        <f t="shared" si="3"/>
        <v>1283.78</v>
      </c>
      <c r="L25" s="38">
        <f t="shared" si="4"/>
        <v>1283.78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1283.78</v>
      </c>
      <c r="T25" s="52">
        <f t="shared" si="6"/>
        <v>1283.78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340</v>
      </c>
      <c r="C26" s="6" t="s">
        <v>144</v>
      </c>
      <c r="D26" s="130" t="s">
        <v>138</v>
      </c>
      <c r="E26" s="53">
        <v>1</v>
      </c>
      <c r="F26" s="8">
        <v>822.86639999999989</v>
      </c>
      <c r="G26" s="9">
        <f t="shared" si="1"/>
        <v>567.49</v>
      </c>
      <c r="H26" s="10">
        <f t="shared" si="2"/>
        <v>822.87</v>
      </c>
      <c r="I26" s="42"/>
      <c r="J26" s="89">
        <f t="shared" si="0"/>
        <v>1</v>
      </c>
      <c r="K26" s="9">
        <f t="shared" si="3"/>
        <v>411.43</v>
      </c>
      <c r="L26" s="9">
        <f t="shared" si="4"/>
        <v>411.43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411.43</v>
      </c>
      <c r="T26" s="14">
        <f t="shared" si="6"/>
        <v>411.43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341</v>
      </c>
      <c r="C27" s="4" t="s">
        <v>137</v>
      </c>
      <c r="D27" s="129" t="s">
        <v>138</v>
      </c>
      <c r="E27" s="54">
        <v>1</v>
      </c>
      <c r="F27" s="15">
        <v>12782.78</v>
      </c>
      <c r="G27" s="38">
        <f t="shared" si="1"/>
        <v>8815.7099999999991</v>
      </c>
      <c r="H27" s="39">
        <f t="shared" si="2"/>
        <v>12782.78</v>
      </c>
      <c r="I27" s="42"/>
      <c r="J27" s="88">
        <f t="shared" si="0"/>
        <v>1</v>
      </c>
      <c r="K27" s="38">
        <f t="shared" si="3"/>
        <v>6391.39</v>
      </c>
      <c r="L27" s="38">
        <f t="shared" si="4"/>
        <v>6391.39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6391.39</v>
      </c>
      <c r="T27" s="52">
        <f t="shared" si="6"/>
        <v>6391.39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342</v>
      </c>
      <c r="C28" s="6" t="s">
        <v>149</v>
      </c>
      <c r="D28" s="130" t="s">
        <v>138</v>
      </c>
      <c r="E28" s="53">
        <v>6</v>
      </c>
      <c r="F28" s="8">
        <v>993.24</v>
      </c>
      <c r="G28" s="9">
        <f t="shared" si="1"/>
        <v>684.99</v>
      </c>
      <c r="H28" s="10">
        <f t="shared" si="2"/>
        <v>5959.44</v>
      </c>
      <c r="I28" s="42"/>
      <c r="J28" s="89">
        <f t="shared" si="0"/>
        <v>6</v>
      </c>
      <c r="K28" s="9">
        <f t="shared" si="3"/>
        <v>695.27</v>
      </c>
      <c r="L28" s="9">
        <f t="shared" si="4"/>
        <v>4171.62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695.27</v>
      </c>
      <c r="T28" s="14">
        <f t="shared" si="6"/>
        <v>4171.62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343</v>
      </c>
      <c r="C29" s="4" t="s">
        <v>321</v>
      </c>
      <c r="D29" s="129" t="s">
        <v>138</v>
      </c>
      <c r="E29" s="54">
        <v>1</v>
      </c>
      <c r="F29" s="15">
        <v>185.79</v>
      </c>
      <c r="G29" s="38">
        <f>ROUND(IF($F$17="USD $", F29*$E$15,F29*$D$15),2)</f>
        <v>128.13</v>
      </c>
      <c r="H29" s="39">
        <f>ROUND(IF($H$17=$G$17,E29*G29,E29*F29),2)</f>
        <v>185.79</v>
      </c>
      <c r="I29" s="42"/>
      <c r="J29" s="88">
        <f t="shared" si="0"/>
        <v>1</v>
      </c>
      <c r="K29" s="38">
        <f t="shared" si="3"/>
        <v>102.18</v>
      </c>
      <c r="L29" s="38">
        <f>ROUND((J29*K29),2)</f>
        <v>102.18</v>
      </c>
      <c r="M29" s="132" t="s">
        <v>112</v>
      </c>
      <c r="N29" s="16">
        <v>0.45</v>
      </c>
      <c r="O29" s="51"/>
      <c r="P29" s="1"/>
      <c r="Q29" s="15"/>
      <c r="R29" s="40">
        <f t="shared" si="9"/>
        <v>0</v>
      </c>
      <c r="S29" s="52">
        <f t="shared" si="5"/>
        <v>102.18</v>
      </c>
      <c r="T29" s="52">
        <f t="shared" si="6"/>
        <v>102.18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344</v>
      </c>
      <c r="C30" s="6" t="s">
        <v>319</v>
      </c>
      <c r="D30" s="130" t="s">
        <v>138</v>
      </c>
      <c r="E30" s="53">
        <v>1</v>
      </c>
      <c r="F30" s="8">
        <v>196.94</v>
      </c>
      <c r="G30" s="9">
        <f t="shared" si="1"/>
        <v>135.82</v>
      </c>
      <c r="H30" s="10">
        <f t="shared" si="2"/>
        <v>196.94</v>
      </c>
      <c r="I30" s="42"/>
      <c r="J30" s="89">
        <f t="shared" si="0"/>
        <v>1</v>
      </c>
      <c r="K30" s="9">
        <f t="shared" si="3"/>
        <v>108.32</v>
      </c>
      <c r="L30" s="9">
        <f t="shared" si="4"/>
        <v>108.32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108.32</v>
      </c>
      <c r="T30" s="14">
        <f t="shared" si="6"/>
        <v>108.32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345</v>
      </c>
      <c r="C31" s="4" t="s">
        <v>158</v>
      </c>
      <c r="D31" s="129" t="s">
        <v>138</v>
      </c>
      <c r="E31" s="54">
        <v>2</v>
      </c>
      <c r="F31" s="15">
        <v>234.92</v>
      </c>
      <c r="G31" s="38">
        <f t="shared" si="1"/>
        <v>162.01</v>
      </c>
      <c r="H31" s="39">
        <f t="shared" si="2"/>
        <v>469.84</v>
      </c>
      <c r="I31" s="42"/>
      <c r="J31" s="88">
        <f t="shared" si="0"/>
        <v>2</v>
      </c>
      <c r="K31" s="38">
        <f t="shared" si="3"/>
        <v>129.21</v>
      </c>
      <c r="L31" s="38">
        <f t="shared" si="4"/>
        <v>258.42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129.21</v>
      </c>
      <c r="T31" s="52">
        <f t="shared" si="6"/>
        <v>258.42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346</v>
      </c>
      <c r="C32" s="6" t="s">
        <v>158</v>
      </c>
      <c r="D32" s="130" t="s">
        <v>138</v>
      </c>
      <c r="E32" s="53">
        <v>1</v>
      </c>
      <c r="F32" s="8">
        <v>325.91000000000003</v>
      </c>
      <c r="G32" s="9">
        <f t="shared" si="1"/>
        <v>224.77</v>
      </c>
      <c r="H32" s="10">
        <f t="shared" si="2"/>
        <v>325.91000000000003</v>
      </c>
      <c r="I32" s="42"/>
      <c r="J32" s="89">
        <f t="shared" si="0"/>
        <v>1</v>
      </c>
      <c r="K32" s="9">
        <f t="shared" si="3"/>
        <v>179.25</v>
      </c>
      <c r="L32" s="9">
        <f t="shared" si="4"/>
        <v>179.25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179.25</v>
      </c>
      <c r="T32" s="14">
        <f t="shared" si="6"/>
        <v>179.25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347</v>
      </c>
      <c r="C33" s="4" t="s">
        <v>348</v>
      </c>
      <c r="D33" s="129" t="s">
        <v>138</v>
      </c>
      <c r="E33" s="54">
        <v>33</v>
      </c>
      <c r="F33" s="15">
        <v>1.87</v>
      </c>
      <c r="G33" s="38">
        <f t="shared" si="1"/>
        <v>1.29</v>
      </c>
      <c r="H33" s="39">
        <f t="shared" si="2"/>
        <v>61.71</v>
      </c>
      <c r="I33" s="42"/>
      <c r="J33" s="88">
        <f t="shared" si="0"/>
        <v>33</v>
      </c>
      <c r="K33" s="38">
        <f t="shared" si="3"/>
        <v>1.03</v>
      </c>
      <c r="L33" s="38">
        <f t="shared" si="4"/>
        <v>33.99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1.03</v>
      </c>
      <c r="T33" s="52">
        <f t="shared" si="6"/>
        <v>33.99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349</v>
      </c>
      <c r="C34" s="6" t="s">
        <v>350</v>
      </c>
      <c r="D34" s="130" t="s">
        <v>138</v>
      </c>
      <c r="E34" s="53">
        <v>33</v>
      </c>
      <c r="F34" s="8">
        <v>0.56999999999999995</v>
      </c>
      <c r="G34" s="9">
        <f t="shared" si="1"/>
        <v>0.39</v>
      </c>
      <c r="H34" s="10">
        <f t="shared" si="2"/>
        <v>18.809999999999999</v>
      </c>
      <c r="I34" s="42"/>
      <c r="J34" s="89">
        <f t="shared" si="0"/>
        <v>33</v>
      </c>
      <c r="K34" s="9">
        <f t="shared" si="3"/>
        <v>0.31</v>
      </c>
      <c r="L34" s="9">
        <f t="shared" si="4"/>
        <v>10.23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0.31</v>
      </c>
      <c r="T34" s="14">
        <f t="shared" si="6"/>
        <v>10.23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351</v>
      </c>
      <c r="C35" s="4" t="s">
        <v>352</v>
      </c>
      <c r="D35" s="129" t="s">
        <v>138</v>
      </c>
      <c r="E35" s="54">
        <v>3</v>
      </c>
      <c r="F35" s="15">
        <v>2046.93</v>
      </c>
      <c r="G35" s="38">
        <f t="shared" si="1"/>
        <v>1411.68</v>
      </c>
      <c r="H35" s="39">
        <f t="shared" si="2"/>
        <v>6140.79</v>
      </c>
      <c r="I35" s="42"/>
      <c r="J35" s="88">
        <f t="shared" si="0"/>
        <v>3</v>
      </c>
      <c r="K35" s="38">
        <f t="shared" si="3"/>
        <v>1125.81</v>
      </c>
      <c r="L35" s="38">
        <f t="shared" si="4"/>
        <v>3377.43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1125.81</v>
      </c>
      <c r="T35" s="52">
        <f t="shared" si="6"/>
        <v>3377.43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353</v>
      </c>
      <c r="C36" s="6" t="s">
        <v>354</v>
      </c>
      <c r="D36" s="130" t="s">
        <v>138</v>
      </c>
      <c r="E36" s="53">
        <v>3</v>
      </c>
      <c r="F36" s="8">
        <v>129.46</v>
      </c>
      <c r="G36" s="9">
        <f t="shared" si="1"/>
        <v>89.28</v>
      </c>
      <c r="H36" s="10">
        <f t="shared" si="2"/>
        <v>388.38</v>
      </c>
      <c r="I36" s="42"/>
      <c r="J36" s="89">
        <f t="shared" si="0"/>
        <v>3</v>
      </c>
      <c r="K36" s="9">
        <f t="shared" si="3"/>
        <v>71.2</v>
      </c>
      <c r="L36" s="9">
        <f t="shared" si="4"/>
        <v>213.6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71.2</v>
      </c>
      <c r="T36" s="14">
        <f t="shared" si="6"/>
        <v>213.6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355</v>
      </c>
      <c r="C37" s="4" t="s">
        <v>356</v>
      </c>
      <c r="D37" s="129" t="s">
        <v>138</v>
      </c>
      <c r="E37" s="54">
        <v>3</v>
      </c>
      <c r="F37" s="15">
        <v>32.15</v>
      </c>
      <c r="G37" s="38">
        <f t="shared" si="1"/>
        <v>22.17</v>
      </c>
      <c r="H37" s="39">
        <f t="shared" si="2"/>
        <v>96.45</v>
      </c>
      <c r="I37" s="42"/>
      <c r="J37" s="88">
        <f t="shared" si="0"/>
        <v>3</v>
      </c>
      <c r="K37" s="38">
        <f t="shared" si="3"/>
        <v>17.68</v>
      </c>
      <c r="L37" s="38">
        <f t="shared" si="4"/>
        <v>53.04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17.68</v>
      </c>
      <c r="T37" s="52">
        <f t="shared" si="6"/>
        <v>53.04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>
        <v>0</v>
      </c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357</v>
      </c>
      <c r="C39" s="4" t="s">
        <v>358</v>
      </c>
      <c r="D39" s="129" t="s">
        <v>138</v>
      </c>
      <c r="E39" s="54">
        <v>1</v>
      </c>
      <c r="F39" s="15">
        <v>94078.760000000009</v>
      </c>
      <c r="G39" s="38">
        <f t="shared" si="1"/>
        <v>64881.9</v>
      </c>
      <c r="H39" s="39">
        <f t="shared" si="2"/>
        <v>94078.76</v>
      </c>
      <c r="I39" s="42"/>
      <c r="J39" s="88">
        <f t="shared" si="0"/>
        <v>1</v>
      </c>
      <c r="K39" s="38">
        <f t="shared" si="3"/>
        <v>51743.32</v>
      </c>
      <c r="L39" s="38">
        <f t="shared" si="4"/>
        <v>51743.32</v>
      </c>
      <c r="M39" s="132" t="s">
        <v>112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51743.32</v>
      </c>
      <c r="T39" s="52">
        <f t="shared" si="6"/>
        <v>51743.32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97</v>
      </c>
      <c r="F49" s="78">
        <f>SUM(F18:F48)</f>
        <v>115579.94900000001</v>
      </c>
      <c r="G49" s="79">
        <f>SUM(G18:G48)</f>
        <v>79710.3</v>
      </c>
      <c r="H49" s="80">
        <f>SUM(H18:H48)</f>
        <v>125276.23999999999</v>
      </c>
      <c r="I49" s="81"/>
      <c r="J49" s="82">
        <f>SUM(J18:J48)</f>
        <v>97</v>
      </c>
      <c r="K49" s="79">
        <f>SUM(K18:K48)</f>
        <v>62925.55</v>
      </c>
      <c r="L49" s="80">
        <f>SUM(L18:L48)</f>
        <v>69003.37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62925.55</v>
      </c>
      <c r="T49" s="80">
        <f>SUM(T18:T48)</f>
        <v>69003.37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0">
    <cfRule type="expression" dxfId="189" priority="1">
      <formula>$V$9&lt;50%</formula>
    </cfRule>
    <cfRule type="expression" dxfId="188" priority="2">
      <formula>$V$9&gt;50%</formula>
    </cfRule>
  </conditionalFormatting>
  <dataValidations count="5">
    <dataValidation type="list" allowBlank="1" showInputMessage="1" showErrorMessage="1" sqref="F17 K17 Q17 Q14" xr:uid="{03496175-0521-4005-B28B-95B10224C9A6}">
      <formula1>$Y$11:$Y$12</formula1>
    </dataValidation>
    <dataValidation type="list" allowBlank="1" showInputMessage="1" showErrorMessage="1" sqref="H13" xr:uid="{7720EA4C-EAAE-439B-B8A0-D9F153EF4E18}">
      <formula1>$Y$13:$Y$14</formula1>
    </dataValidation>
    <dataValidation type="list" allowBlank="1" showInputMessage="1" showErrorMessage="1" sqref="I13" xr:uid="{E8AC3EE4-3BCE-4864-AF08-8D8D49010802}">
      <formula1>$K$9:$K$9</formula1>
    </dataValidation>
    <dataValidation type="list" showInputMessage="1" showErrorMessage="1" sqref="D18:D48" xr:uid="{DD23DC8F-5172-4B6F-A291-D15B7DB5F126}">
      <formula1>$Z$18:$Z$29</formula1>
    </dataValidation>
    <dataValidation type="list" allowBlank="1" showInputMessage="1" showErrorMessage="1" sqref="M18:M48" xr:uid="{1AB2603C-DCB3-4E90-8530-37BE00DC8636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FC74-5D3F-482A-9052-F0355AF78573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361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125276.23999999999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69003.37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56272.869999999995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328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0.44919028540447892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362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69003.37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67553.37</v>
      </c>
      <c r="U9" s="235">
        <f>IFERROR(((P3-S9)/S9),0)</f>
        <v>46.588531034482756</v>
      </c>
      <c r="V9" s="235">
        <f>IFERROR(T9/P3,0)</f>
        <v>0.97898653355625964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97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330</v>
      </c>
      <c r="C18" s="5" t="s">
        <v>331</v>
      </c>
      <c r="D18" s="128">
        <v>1000</v>
      </c>
      <c r="E18" s="53">
        <v>1</v>
      </c>
      <c r="F18" s="8">
        <v>148.99859999999998</v>
      </c>
      <c r="G18" s="9">
        <f>ROUND(IF($F$17="USD $", F18*$E$15,F18*$D$15),2)</f>
        <v>102.76</v>
      </c>
      <c r="H18" s="10">
        <f>ROUND(IF($H$17=$G$17,E18*G18,E18*F18),2)</f>
        <v>149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96.85</v>
      </c>
      <c r="L18" s="9">
        <f>ROUND((J18*K18),2)</f>
        <v>96.85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96.85</v>
      </c>
      <c r="T18" s="14">
        <f>ROUND(L18-R18,2)</f>
        <v>96.85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332</v>
      </c>
      <c r="C19" s="4" t="s">
        <v>125</v>
      </c>
      <c r="D19" s="129">
        <v>500</v>
      </c>
      <c r="E19" s="54">
        <v>1</v>
      </c>
      <c r="F19" s="15">
        <v>61.975799999999992</v>
      </c>
      <c r="G19" s="38">
        <f t="shared" ref="G19:G48" si="1">ROUND(IF($F$17="USD $", F19*$E$15,F19*$D$15),2)</f>
        <v>42.74</v>
      </c>
      <c r="H19" s="39">
        <f t="shared" ref="H19:H48" si="2">ROUND(IF($H$17=$G$17,E19*G19,E19*F19),2)</f>
        <v>61.98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30.99</v>
      </c>
      <c r="L19" s="38">
        <f t="shared" ref="L19:L48" si="4">ROUND((J19*K19),2)</f>
        <v>30.99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30.99</v>
      </c>
      <c r="T19" s="52">
        <f t="shared" ref="T19:T48" si="6">ROUND(L19-R19,2)</f>
        <v>30.99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333</v>
      </c>
      <c r="C20" s="6" t="s">
        <v>122</v>
      </c>
      <c r="D20" s="130">
        <v>500</v>
      </c>
      <c r="E20" s="53">
        <v>1</v>
      </c>
      <c r="F20" s="8">
        <v>179.262</v>
      </c>
      <c r="G20" s="9">
        <f t="shared" si="1"/>
        <v>123.63</v>
      </c>
      <c r="H20" s="10">
        <f t="shared" si="2"/>
        <v>179.26</v>
      </c>
      <c r="I20" s="42"/>
      <c r="J20" s="89">
        <f t="shared" si="0"/>
        <v>1</v>
      </c>
      <c r="K20" s="9">
        <f t="shared" si="3"/>
        <v>89.63</v>
      </c>
      <c r="L20" s="9">
        <f t="shared" si="4"/>
        <v>89.63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89.63</v>
      </c>
      <c r="T20" s="14">
        <f t="shared" si="6"/>
        <v>89.63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334</v>
      </c>
      <c r="C21" s="4" t="s">
        <v>125</v>
      </c>
      <c r="D21" s="129">
        <v>500</v>
      </c>
      <c r="E21" s="54">
        <v>1</v>
      </c>
      <c r="F21" s="15">
        <v>275.9862</v>
      </c>
      <c r="G21" s="38">
        <f t="shared" si="1"/>
        <v>190.34</v>
      </c>
      <c r="H21" s="39">
        <f t="shared" si="2"/>
        <v>275.99</v>
      </c>
      <c r="I21" s="42"/>
      <c r="J21" s="88">
        <f t="shared" si="0"/>
        <v>1</v>
      </c>
      <c r="K21" s="38">
        <f t="shared" si="3"/>
        <v>137.99</v>
      </c>
      <c r="L21" s="38">
        <f t="shared" si="4"/>
        <v>137.99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137.99</v>
      </c>
      <c r="T21" s="52">
        <f t="shared" si="6"/>
        <v>137.99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336</v>
      </c>
      <c r="D22" s="130">
        <v>500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337</v>
      </c>
      <c r="C23" s="4" t="s">
        <v>114</v>
      </c>
      <c r="D23" s="129">
        <v>1000</v>
      </c>
      <c r="E23" s="54">
        <v>1</v>
      </c>
      <c r="F23" s="15">
        <v>188.74260000000001</v>
      </c>
      <c r="G23" s="38">
        <f t="shared" si="1"/>
        <v>130.16999999999999</v>
      </c>
      <c r="H23" s="39">
        <f t="shared" si="2"/>
        <v>188.74</v>
      </c>
      <c r="I23" s="42"/>
      <c r="J23" s="88">
        <f t="shared" si="0"/>
        <v>1</v>
      </c>
      <c r="K23" s="38">
        <f t="shared" si="3"/>
        <v>122.68</v>
      </c>
      <c r="L23" s="38">
        <f t="shared" si="4"/>
        <v>122.68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122.68</v>
      </c>
      <c r="T23" s="52">
        <f t="shared" si="6"/>
        <v>122.68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338</v>
      </c>
      <c r="C24" s="6" t="s">
        <v>114</v>
      </c>
      <c r="D24" s="130">
        <v>1000</v>
      </c>
      <c r="E24" s="53">
        <v>1</v>
      </c>
      <c r="F24" s="8">
        <v>164.08199999999999</v>
      </c>
      <c r="G24" s="9">
        <f t="shared" si="1"/>
        <v>113.16</v>
      </c>
      <c r="H24" s="10">
        <f t="shared" si="2"/>
        <v>164.08</v>
      </c>
      <c r="I24" s="42"/>
      <c r="J24" s="89">
        <f t="shared" si="0"/>
        <v>1</v>
      </c>
      <c r="K24" s="9">
        <f t="shared" si="3"/>
        <v>106.65</v>
      </c>
      <c r="L24" s="9">
        <f t="shared" si="4"/>
        <v>106.65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106.65</v>
      </c>
      <c r="T24" s="14">
        <f t="shared" si="6"/>
        <v>106.65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339</v>
      </c>
      <c r="C25" s="4" t="s">
        <v>147</v>
      </c>
      <c r="D25" s="129" t="s">
        <v>138</v>
      </c>
      <c r="E25" s="54">
        <v>1</v>
      </c>
      <c r="F25" s="15">
        <v>2567.5589999999997</v>
      </c>
      <c r="G25" s="38">
        <f t="shared" si="1"/>
        <v>1770.73</v>
      </c>
      <c r="H25" s="39">
        <f t="shared" si="2"/>
        <v>2567.56</v>
      </c>
      <c r="I25" s="42"/>
      <c r="J25" s="88">
        <f t="shared" si="0"/>
        <v>1</v>
      </c>
      <c r="K25" s="38">
        <f t="shared" si="3"/>
        <v>1283.78</v>
      </c>
      <c r="L25" s="38">
        <f t="shared" si="4"/>
        <v>1283.78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1283.78</v>
      </c>
      <c r="T25" s="52">
        <f t="shared" si="6"/>
        <v>1283.78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340</v>
      </c>
      <c r="C26" s="6" t="s">
        <v>144</v>
      </c>
      <c r="D26" s="130" t="s">
        <v>138</v>
      </c>
      <c r="E26" s="53">
        <v>1</v>
      </c>
      <c r="F26" s="8">
        <v>822.86639999999989</v>
      </c>
      <c r="G26" s="9">
        <f t="shared" si="1"/>
        <v>567.49</v>
      </c>
      <c r="H26" s="10">
        <f t="shared" si="2"/>
        <v>822.87</v>
      </c>
      <c r="I26" s="42"/>
      <c r="J26" s="89">
        <f t="shared" si="0"/>
        <v>1</v>
      </c>
      <c r="K26" s="9">
        <f t="shared" si="3"/>
        <v>411.43</v>
      </c>
      <c r="L26" s="9">
        <f t="shared" si="4"/>
        <v>411.43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411.43</v>
      </c>
      <c r="T26" s="14">
        <f t="shared" si="6"/>
        <v>411.43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341</v>
      </c>
      <c r="C27" s="4" t="s">
        <v>137</v>
      </c>
      <c r="D27" s="129" t="s">
        <v>138</v>
      </c>
      <c r="E27" s="54">
        <v>1</v>
      </c>
      <c r="F27" s="15">
        <v>12782.78</v>
      </c>
      <c r="G27" s="38">
        <f t="shared" si="1"/>
        <v>8815.7099999999991</v>
      </c>
      <c r="H27" s="39">
        <f t="shared" si="2"/>
        <v>12782.78</v>
      </c>
      <c r="I27" s="42"/>
      <c r="J27" s="88">
        <f t="shared" si="0"/>
        <v>1</v>
      </c>
      <c r="K27" s="38">
        <f t="shared" si="3"/>
        <v>6391.39</v>
      </c>
      <c r="L27" s="38">
        <f t="shared" si="4"/>
        <v>6391.39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6391.39</v>
      </c>
      <c r="T27" s="52">
        <f t="shared" si="6"/>
        <v>6391.39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342</v>
      </c>
      <c r="C28" s="6" t="s">
        <v>149</v>
      </c>
      <c r="D28" s="130" t="s">
        <v>138</v>
      </c>
      <c r="E28" s="53">
        <v>6</v>
      </c>
      <c r="F28" s="8">
        <v>993.24</v>
      </c>
      <c r="G28" s="9">
        <f t="shared" si="1"/>
        <v>684.99</v>
      </c>
      <c r="H28" s="10">
        <f t="shared" si="2"/>
        <v>5959.44</v>
      </c>
      <c r="I28" s="42"/>
      <c r="J28" s="89">
        <f t="shared" si="0"/>
        <v>6</v>
      </c>
      <c r="K28" s="9">
        <f t="shared" si="3"/>
        <v>695.27</v>
      </c>
      <c r="L28" s="9">
        <f t="shared" si="4"/>
        <v>4171.62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695.27</v>
      </c>
      <c r="T28" s="14">
        <f t="shared" si="6"/>
        <v>4171.62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343</v>
      </c>
      <c r="C29" s="4" t="s">
        <v>321</v>
      </c>
      <c r="D29" s="129" t="s">
        <v>138</v>
      </c>
      <c r="E29" s="54">
        <v>1</v>
      </c>
      <c r="F29" s="15">
        <v>185.79</v>
      </c>
      <c r="G29" s="38">
        <f>ROUND(IF($F$17="USD $", F29*$E$15,F29*$D$15),2)</f>
        <v>128.13</v>
      </c>
      <c r="H29" s="39">
        <f>ROUND(IF($H$17=$G$17,E29*G29,E29*F29),2)</f>
        <v>185.79</v>
      </c>
      <c r="I29" s="42"/>
      <c r="J29" s="88">
        <f t="shared" si="0"/>
        <v>1</v>
      </c>
      <c r="K29" s="38">
        <f t="shared" si="3"/>
        <v>102.18</v>
      </c>
      <c r="L29" s="38">
        <f>ROUND((J29*K29),2)</f>
        <v>102.18</v>
      </c>
      <c r="M29" s="132" t="s">
        <v>112</v>
      </c>
      <c r="N29" s="16">
        <v>0.45</v>
      </c>
      <c r="O29" s="51"/>
      <c r="P29" s="1"/>
      <c r="Q29" s="15"/>
      <c r="R29" s="40">
        <f t="shared" si="9"/>
        <v>0</v>
      </c>
      <c r="S29" s="52">
        <f t="shared" si="5"/>
        <v>102.18</v>
      </c>
      <c r="T29" s="52">
        <f t="shared" si="6"/>
        <v>102.18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344</v>
      </c>
      <c r="C30" s="6" t="s">
        <v>319</v>
      </c>
      <c r="D30" s="130" t="s">
        <v>138</v>
      </c>
      <c r="E30" s="53">
        <v>1</v>
      </c>
      <c r="F30" s="8">
        <v>196.94</v>
      </c>
      <c r="G30" s="9">
        <f t="shared" si="1"/>
        <v>135.82</v>
      </c>
      <c r="H30" s="10">
        <f t="shared" si="2"/>
        <v>196.94</v>
      </c>
      <c r="I30" s="42"/>
      <c r="J30" s="89">
        <f t="shared" si="0"/>
        <v>1</v>
      </c>
      <c r="K30" s="9">
        <f t="shared" si="3"/>
        <v>108.32</v>
      </c>
      <c r="L30" s="9">
        <f t="shared" si="4"/>
        <v>108.32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108.32</v>
      </c>
      <c r="T30" s="14">
        <f t="shared" si="6"/>
        <v>108.32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345</v>
      </c>
      <c r="C31" s="4" t="s">
        <v>158</v>
      </c>
      <c r="D31" s="129" t="s">
        <v>138</v>
      </c>
      <c r="E31" s="54">
        <v>2</v>
      </c>
      <c r="F31" s="15">
        <v>234.92</v>
      </c>
      <c r="G31" s="38">
        <f t="shared" si="1"/>
        <v>162.01</v>
      </c>
      <c r="H31" s="39">
        <f t="shared" si="2"/>
        <v>469.84</v>
      </c>
      <c r="I31" s="42"/>
      <c r="J31" s="88">
        <f t="shared" si="0"/>
        <v>2</v>
      </c>
      <c r="K31" s="38">
        <f t="shared" si="3"/>
        <v>129.21</v>
      </c>
      <c r="L31" s="38">
        <f t="shared" si="4"/>
        <v>258.42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129.21</v>
      </c>
      <c r="T31" s="52">
        <f t="shared" si="6"/>
        <v>258.42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346</v>
      </c>
      <c r="C32" s="6" t="s">
        <v>158</v>
      </c>
      <c r="D32" s="130" t="s">
        <v>138</v>
      </c>
      <c r="E32" s="53">
        <v>1</v>
      </c>
      <c r="F32" s="8">
        <v>325.91000000000003</v>
      </c>
      <c r="G32" s="9">
        <f t="shared" si="1"/>
        <v>224.77</v>
      </c>
      <c r="H32" s="10">
        <f t="shared" si="2"/>
        <v>325.91000000000003</v>
      </c>
      <c r="I32" s="42"/>
      <c r="J32" s="89">
        <f t="shared" si="0"/>
        <v>1</v>
      </c>
      <c r="K32" s="9">
        <f t="shared" si="3"/>
        <v>179.25</v>
      </c>
      <c r="L32" s="9">
        <f t="shared" si="4"/>
        <v>179.25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179.25</v>
      </c>
      <c r="T32" s="14">
        <f t="shared" si="6"/>
        <v>179.25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347</v>
      </c>
      <c r="C33" s="4" t="s">
        <v>348</v>
      </c>
      <c r="D33" s="129" t="s">
        <v>138</v>
      </c>
      <c r="E33" s="54">
        <v>33</v>
      </c>
      <c r="F33" s="15">
        <v>1.87</v>
      </c>
      <c r="G33" s="38">
        <f t="shared" si="1"/>
        <v>1.29</v>
      </c>
      <c r="H33" s="39">
        <f t="shared" si="2"/>
        <v>61.71</v>
      </c>
      <c r="I33" s="42"/>
      <c r="J33" s="88">
        <f t="shared" si="0"/>
        <v>33</v>
      </c>
      <c r="K33" s="38">
        <f t="shared" si="3"/>
        <v>1.03</v>
      </c>
      <c r="L33" s="38">
        <f t="shared" si="4"/>
        <v>33.99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1.03</v>
      </c>
      <c r="T33" s="52">
        <f t="shared" si="6"/>
        <v>33.99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349</v>
      </c>
      <c r="C34" s="6" t="s">
        <v>350</v>
      </c>
      <c r="D34" s="130" t="s">
        <v>138</v>
      </c>
      <c r="E34" s="53">
        <v>33</v>
      </c>
      <c r="F34" s="8">
        <v>0.56999999999999995</v>
      </c>
      <c r="G34" s="9">
        <f t="shared" si="1"/>
        <v>0.39</v>
      </c>
      <c r="H34" s="10">
        <f t="shared" si="2"/>
        <v>18.809999999999999</v>
      </c>
      <c r="I34" s="42"/>
      <c r="J34" s="89">
        <f t="shared" si="0"/>
        <v>33</v>
      </c>
      <c r="K34" s="9">
        <f t="shared" si="3"/>
        <v>0.31</v>
      </c>
      <c r="L34" s="9">
        <f t="shared" si="4"/>
        <v>10.23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0.31</v>
      </c>
      <c r="T34" s="14">
        <f t="shared" si="6"/>
        <v>10.23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351</v>
      </c>
      <c r="C35" s="4" t="s">
        <v>352</v>
      </c>
      <c r="D35" s="129" t="s">
        <v>138</v>
      </c>
      <c r="E35" s="54">
        <v>3</v>
      </c>
      <c r="F35" s="15">
        <v>2046.93</v>
      </c>
      <c r="G35" s="38">
        <f t="shared" si="1"/>
        <v>1411.68</v>
      </c>
      <c r="H35" s="39">
        <f t="shared" si="2"/>
        <v>6140.79</v>
      </c>
      <c r="I35" s="42"/>
      <c r="J35" s="88">
        <f t="shared" si="0"/>
        <v>3</v>
      </c>
      <c r="K35" s="38">
        <f t="shared" si="3"/>
        <v>1125.81</v>
      </c>
      <c r="L35" s="38">
        <f t="shared" si="4"/>
        <v>3377.43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1125.81</v>
      </c>
      <c r="T35" s="52">
        <f t="shared" si="6"/>
        <v>3377.43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353</v>
      </c>
      <c r="C36" s="6" t="s">
        <v>354</v>
      </c>
      <c r="D36" s="130" t="s">
        <v>138</v>
      </c>
      <c r="E36" s="53">
        <v>3</v>
      </c>
      <c r="F36" s="8">
        <v>129.46</v>
      </c>
      <c r="G36" s="9">
        <f t="shared" si="1"/>
        <v>89.28</v>
      </c>
      <c r="H36" s="10">
        <f t="shared" si="2"/>
        <v>388.38</v>
      </c>
      <c r="I36" s="42"/>
      <c r="J36" s="89">
        <f t="shared" si="0"/>
        <v>3</v>
      </c>
      <c r="K36" s="9">
        <f t="shared" si="3"/>
        <v>71.2</v>
      </c>
      <c r="L36" s="9">
        <f t="shared" si="4"/>
        <v>213.6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71.2</v>
      </c>
      <c r="T36" s="14">
        <f t="shared" si="6"/>
        <v>213.6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355</v>
      </c>
      <c r="C37" s="4" t="s">
        <v>356</v>
      </c>
      <c r="D37" s="129" t="s">
        <v>138</v>
      </c>
      <c r="E37" s="54">
        <v>3</v>
      </c>
      <c r="F37" s="15">
        <v>32.15</v>
      </c>
      <c r="G37" s="38">
        <f t="shared" si="1"/>
        <v>22.17</v>
      </c>
      <c r="H37" s="39">
        <f t="shared" si="2"/>
        <v>96.45</v>
      </c>
      <c r="I37" s="42"/>
      <c r="J37" s="88">
        <f t="shared" si="0"/>
        <v>3</v>
      </c>
      <c r="K37" s="38">
        <f t="shared" si="3"/>
        <v>17.68</v>
      </c>
      <c r="L37" s="38">
        <f t="shared" si="4"/>
        <v>53.04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17.68</v>
      </c>
      <c r="T37" s="52">
        <f t="shared" si="6"/>
        <v>53.04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>
        <v>0</v>
      </c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357</v>
      </c>
      <c r="C39" s="4" t="s">
        <v>358</v>
      </c>
      <c r="D39" s="129" t="s">
        <v>138</v>
      </c>
      <c r="E39" s="54">
        <v>1</v>
      </c>
      <c r="F39" s="15">
        <v>94078.760000000009</v>
      </c>
      <c r="G39" s="38">
        <f t="shared" si="1"/>
        <v>64881.9</v>
      </c>
      <c r="H39" s="39">
        <f t="shared" si="2"/>
        <v>94078.76</v>
      </c>
      <c r="I39" s="42"/>
      <c r="J39" s="88">
        <f t="shared" si="0"/>
        <v>1</v>
      </c>
      <c r="K39" s="38">
        <f t="shared" si="3"/>
        <v>51743.32</v>
      </c>
      <c r="L39" s="38">
        <f t="shared" si="4"/>
        <v>51743.32</v>
      </c>
      <c r="M39" s="132" t="s">
        <v>112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51743.32</v>
      </c>
      <c r="T39" s="52">
        <f t="shared" si="6"/>
        <v>51743.32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97</v>
      </c>
      <c r="F49" s="78">
        <f>SUM(F18:F48)</f>
        <v>115579.94900000001</v>
      </c>
      <c r="G49" s="79">
        <f>SUM(G18:G48)</f>
        <v>79710.3</v>
      </c>
      <c r="H49" s="80">
        <f>SUM(H18:H48)</f>
        <v>125276.23999999999</v>
      </c>
      <c r="I49" s="81"/>
      <c r="J49" s="82">
        <f>SUM(J18:J48)</f>
        <v>97</v>
      </c>
      <c r="K49" s="79">
        <f>SUM(K18:K48)</f>
        <v>62925.55</v>
      </c>
      <c r="L49" s="80">
        <f>SUM(L18:L48)</f>
        <v>69003.37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62925.55</v>
      </c>
      <c r="T49" s="80">
        <f>SUM(T18:T48)</f>
        <v>69003.37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0">
    <cfRule type="expression" dxfId="185" priority="1">
      <formula>$V$9&lt;50%</formula>
    </cfRule>
    <cfRule type="expression" dxfId="184" priority="2">
      <formula>$V$9&gt;50%</formula>
    </cfRule>
  </conditionalFormatting>
  <dataValidations count="5">
    <dataValidation type="list" allowBlank="1" showInputMessage="1" showErrorMessage="1" sqref="M18:M48" xr:uid="{241B635C-D6F9-4E69-A8D8-747D5AE4A997}">
      <formula1>$Y$31:$Y$32</formula1>
    </dataValidation>
    <dataValidation type="list" showInputMessage="1" showErrorMessage="1" sqref="D18:D48" xr:uid="{D776566F-1784-42F9-A648-36AEBB325FE3}">
      <formula1>$Z$18:$Z$29</formula1>
    </dataValidation>
    <dataValidation type="list" allowBlank="1" showInputMessage="1" showErrorMessage="1" sqref="I13" xr:uid="{35AC6E87-B63B-457B-8615-C3A543759FCF}">
      <formula1>$K$9:$K$9</formula1>
    </dataValidation>
    <dataValidation type="list" allowBlank="1" showInputMessage="1" showErrorMessage="1" sqref="H13" xr:uid="{92EA0B98-0CFD-425A-BF73-C2941BB6976E}">
      <formula1>$Y$13:$Y$14</formula1>
    </dataValidation>
    <dataValidation type="list" allowBlank="1" showInputMessage="1" showErrorMessage="1" sqref="F17 K17 Q17 Q14" xr:uid="{14D17058-9BAB-4E8D-8BEA-935E78CC750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D882-CF13-461E-8FA8-BD080E88573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363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125276.23999999999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69003.37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56272.869999999995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328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0.44919028540447892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364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69003.37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67553.37</v>
      </c>
      <c r="U9" s="235">
        <f>IFERROR(((P3-S9)/S9),0)</f>
        <v>46.588531034482756</v>
      </c>
      <c r="V9" s="235">
        <f>IFERROR(T9/P3,0)</f>
        <v>0.97898653355625964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97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330</v>
      </c>
      <c r="C18" s="5" t="s">
        <v>331</v>
      </c>
      <c r="D18" s="128">
        <v>1000</v>
      </c>
      <c r="E18" s="53">
        <v>1</v>
      </c>
      <c r="F18" s="8">
        <v>148.99859999999998</v>
      </c>
      <c r="G18" s="9">
        <f>ROUND(IF($F$17="USD $", F18*$E$15,F18*$D$15),2)</f>
        <v>102.76</v>
      </c>
      <c r="H18" s="10">
        <f>ROUND(IF($H$17=$G$17,E18*G18,E18*F18),2)</f>
        <v>149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96.85</v>
      </c>
      <c r="L18" s="9">
        <f>ROUND((J18*K18),2)</f>
        <v>96.85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96.85</v>
      </c>
      <c r="T18" s="14">
        <f>ROUND(L18-R18,2)</f>
        <v>96.85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332</v>
      </c>
      <c r="C19" s="4" t="s">
        <v>125</v>
      </c>
      <c r="D19" s="129">
        <v>500</v>
      </c>
      <c r="E19" s="54">
        <v>1</v>
      </c>
      <c r="F19" s="15">
        <v>61.975799999999992</v>
      </c>
      <c r="G19" s="38">
        <f t="shared" ref="G19:G48" si="1">ROUND(IF($F$17="USD $", F19*$E$15,F19*$D$15),2)</f>
        <v>42.74</v>
      </c>
      <c r="H19" s="39">
        <f t="shared" ref="H19:H48" si="2">ROUND(IF($H$17=$G$17,E19*G19,E19*F19),2)</f>
        <v>61.98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30.99</v>
      </c>
      <c r="L19" s="38">
        <f t="shared" ref="L19:L48" si="4">ROUND((J19*K19),2)</f>
        <v>30.99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30.99</v>
      </c>
      <c r="T19" s="52">
        <f t="shared" ref="T19:T48" si="6">ROUND(L19-R19,2)</f>
        <v>30.99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333</v>
      </c>
      <c r="C20" s="6" t="s">
        <v>122</v>
      </c>
      <c r="D20" s="130">
        <v>500</v>
      </c>
      <c r="E20" s="53">
        <v>1</v>
      </c>
      <c r="F20" s="8">
        <v>179.262</v>
      </c>
      <c r="G20" s="9">
        <f t="shared" si="1"/>
        <v>123.63</v>
      </c>
      <c r="H20" s="10">
        <f t="shared" si="2"/>
        <v>179.26</v>
      </c>
      <c r="I20" s="42"/>
      <c r="J20" s="89">
        <f t="shared" si="0"/>
        <v>1</v>
      </c>
      <c r="K20" s="9">
        <f t="shared" si="3"/>
        <v>89.63</v>
      </c>
      <c r="L20" s="9">
        <f t="shared" si="4"/>
        <v>89.63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89.63</v>
      </c>
      <c r="T20" s="14">
        <f t="shared" si="6"/>
        <v>89.63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334</v>
      </c>
      <c r="C21" s="4" t="s">
        <v>125</v>
      </c>
      <c r="D21" s="129">
        <v>500</v>
      </c>
      <c r="E21" s="54">
        <v>1</v>
      </c>
      <c r="F21" s="15">
        <v>275.9862</v>
      </c>
      <c r="G21" s="38">
        <f t="shared" si="1"/>
        <v>190.34</v>
      </c>
      <c r="H21" s="39">
        <f t="shared" si="2"/>
        <v>275.99</v>
      </c>
      <c r="I21" s="42"/>
      <c r="J21" s="88">
        <f t="shared" si="0"/>
        <v>1</v>
      </c>
      <c r="K21" s="38">
        <f t="shared" si="3"/>
        <v>137.99</v>
      </c>
      <c r="L21" s="38">
        <f t="shared" si="4"/>
        <v>137.99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137.99</v>
      </c>
      <c r="T21" s="52">
        <f t="shared" si="6"/>
        <v>137.99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336</v>
      </c>
      <c r="D22" s="130">
        <v>500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337</v>
      </c>
      <c r="C23" s="4" t="s">
        <v>114</v>
      </c>
      <c r="D23" s="129">
        <v>1000</v>
      </c>
      <c r="E23" s="54">
        <v>1</v>
      </c>
      <c r="F23" s="15">
        <v>188.74260000000001</v>
      </c>
      <c r="G23" s="38">
        <f t="shared" si="1"/>
        <v>130.16999999999999</v>
      </c>
      <c r="H23" s="39">
        <f t="shared" si="2"/>
        <v>188.74</v>
      </c>
      <c r="I23" s="42"/>
      <c r="J23" s="88">
        <f t="shared" si="0"/>
        <v>1</v>
      </c>
      <c r="K23" s="38">
        <f t="shared" si="3"/>
        <v>122.68</v>
      </c>
      <c r="L23" s="38">
        <f t="shared" si="4"/>
        <v>122.68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122.68</v>
      </c>
      <c r="T23" s="52">
        <f t="shared" si="6"/>
        <v>122.68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338</v>
      </c>
      <c r="C24" s="6" t="s">
        <v>114</v>
      </c>
      <c r="D24" s="130">
        <v>1000</v>
      </c>
      <c r="E24" s="53">
        <v>1</v>
      </c>
      <c r="F24" s="8">
        <v>164.08199999999999</v>
      </c>
      <c r="G24" s="9">
        <f t="shared" si="1"/>
        <v>113.16</v>
      </c>
      <c r="H24" s="10">
        <f t="shared" si="2"/>
        <v>164.08</v>
      </c>
      <c r="I24" s="42"/>
      <c r="J24" s="89">
        <f t="shared" si="0"/>
        <v>1</v>
      </c>
      <c r="K24" s="9">
        <f t="shared" si="3"/>
        <v>106.65</v>
      </c>
      <c r="L24" s="9">
        <f t="shared" si="4"/>
        <v>106.65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106.65</v>
      </c>
      <c r="T24" s="14">
        <f t="shared" si="6"/>
        <v>106.65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339</v>
      </c>
      <c r="C25" s="4" t="s">
        <v>147</v>
      </c>
      <c r="D25" s="129" t="s">
        <v>138</v>
      </c>
      <c r="E25" s="54">
        <v>1</v>
      </c>
      <c r="F25" s="15">
        <v>2567.5589999999997</v>
      </c>
      <c r="G25" s="38">
        <f t="shared" si="1"/>
        <v>1770.73</v>
      </c>
      <c r="H25" s="39">
        <f t="shared" si="2"/>
        <v>2567.56</v>
      </c>
      <c r="I25" s="42"/>
      <c r="J25" s="88">
        <f t="shared" si="0"/>
        <v>1</v>
      </c>
      <c r="K25" s="38">
        <f t="shared" si="3"/>
        <v>1283.78</v>
      </c>
      <c r="L25" s="38">
        <f t="shared" si="4"/>
        <v>1283.78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1283.78</v>
      </c>
      <c r="T25" s="52">
        <f t="shared" si="6"/>
        <v>1283.78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340</v>
      </c>
      <c r="C26" s="6" t="s">
        <v>144</v>
      </c>
      <c r="D26" s="130" t="s">
        <v>138</v>
      </c>
      <c r="E26" s="53">
        <v>1</v>
      </c>
      <c r="F26" s="8">
        <v>822.86639999999989</v>
      </c>
      <c r="G26" s="9">
        <f t="shared" si="1"/>
        <v>567.49</v>
      </c>
      <c r="H26" s="10">
        <f t="shared" si="2"/>
        <v>822.87</v>
      </c>
      <c r="I26" s="42"/>
      <c r="J26" s="89">
        <f t="shared" si="0"/>
        <v>1</v>
      </c>
      <c r="K26" s="9">
        <f t="shared" si="3"/>
        <v>411.43</v>
      </c>
      <c r="L26" s="9">
        <f t="shared" si="4"/>
        <v>411.43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411.43</v>
      </c>
      <c r="T26" s="14">
        <f t="shared" si="6"/>
        <v>411.43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341</v>
      </c>
      <c r="C27" s="4" t="s">
        <v>137</v>
      </c>
      <c r="D27" s="129" t="s">
        <v>138</v>
      </c>
      <c r="E27" s="54">
        <v>1</v>
      </c>
      <c r="F27" s="15">
        <v>12782.78</v>
      </c>
      <c r="G27" s="38">
        <f t="shared" si="1"/>
        <v>8815.7099999999991</v>
      </c>
      <c r="H27" s="39">
        <f t="shared" si="2"/>
        <v>12782.78</v>
      </c>
      <c r="I27" s="42"/>
      <c r="J27" s="88">
        <f t="shared" si="0"/>
        <v>1</v>
      </c>
      <c r="K27" s="38">
        <f t="shared" si="3"/>
        <v>6391.39</v>
      </c>
      <c r="L27" s="38">
        <f t="shared" si="4"/>
        <v>6391.39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6391.39</v>
      </c>
      <c r="T27" s="52">
        <f t="shared" si="6"/>
        <v>6391.39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342</v>
      </c>
      <c r="C28" s="6" t="s">
        <v>149</v>
      </c>
      <c r="D28" s="130" t="s">
        <v>138</v>
      </c>
      <c r="E28" s="53">
        <v>6</v>
      </c>
      <c r="F28" s="8">
        <v>993.24</v>
      </c>
      <c r="G28" s="9">
        <f t="shared" si="1"/>
        <v>684.99</v>
      </c>
      <c r="H28" s="10">
        <f t="shared" si="2"/>
        <v>5959.44</v>
      </c>
      <c r="I28" s="42"/>
      <c r="J28" s="89">
        <f t="shared" si="0"/>
        <v>6</v>
      </c>
      <c r="K28" s="9">
        <f t="shared" si="3"/>
        <v>695.27</v>
      </c>
      <c r="L28" s="9">
        <f t="shared" si="4"/>
        <v>4171.62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695.27</v>
      </c>
      <c r="T28" s="14">
        <f t="shared" si="6"/>
        <v>4171.62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343</v>
      </c>
      <c r="C29" s="4" t="s">
        <v>321</v>
      </c>
      <c r="D29" s="129" t="s">
        <v>138</v>
      </c>
      <c r="E29" s="54">
        <v>1</v>
      </c>
      <c r="F29" s="15">
        <v>185.79</v>
      </c>
      <c r="G29" s="38">
        <f>ROUND(IF($F$17="USD $", F29*$E$15,F29*$D$15),2)</f>
        <v>128.13</v>
      </c>
      <c r="H29" s="39">
        <f>ROUND(IF($H$17=$G$17,E29*G29,E29*F29),2)</f>
        <v>185.79</v>
      </c>
      <c r="I29" s="42"/>
      <c r="J29" s="88">
        <f t="shared" si="0"/>
        <v>1</v>
      </c>
      <c r="K29" s="38">
        <f t="shared" si="3"/>
        <v>102.18</v>
      </c>
      <c r="L29" s="38">
        <f>ROUND((J29*K29),2)</f>
        <v>102.18</v>
      </c>
      <c r="M29" s="132" t="s">
        <v>112</v>
      </c>
      <c r="N29" s="16">
        <v>0.45</v>
      </c>
      <c r="O29" s="51"/>
      <c r="P29" s="1"/>
      <c r="Q29" s="15"/>
      <c r="R29" s="40">
        <f t="shared" si="9"/>
        <v>0</v>
      </c>
      <c r="S29" s="52">
        <f t="shared" si="5"/>
        <v>102.18</v>
      </c>
      <c r="T29" s="52">
        <f t="shared" si="6"/>
        <v>102.18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344</v>
      </c>
      <c r="C30" s="6" t="s">
        <v>319</v>
      </c>
      <c r="D30" s="130" t="s">
        <v>138</v>
      </c>
      <c r="E30" s="53">
        <v>1</v>
      </c>
      <c r="F30" s="8">
        <v>196.94</v>
      </c>
      <c r="G30" s="9">
        <f t="shared" si="1"/>
        <v>135.82</v>
      </c>
      <c r="H30" s="10">
        <f t="shared" si="2"/>
        <v>196.94</v>
      </c>
      <c r="I30" s="42"/>
      <c r="J30" s="89">
        <f t="shared" si="0"/>
        <v>1</v>
      </c>
      <c r="K30" s="9">
        <f t="shared" si="3"/>
        <v>108.32</v>
      </c>
      <c r="L30" s="9">
        <f t="shared" si="4"/>
        <v>108.32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108.32</v>
      </c>
      <c r="T30" s="14">
        <f t="shared" si="6"/>
        <v>108.32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345</v>
      </c>
      <c r="C31" s="4" t="s">
        <v>158</v>
      </c>
      <c r="D31" s="129" t="s">
        <v>138</v>
      </c>
      <c r="E31" s="54">
        <v>2</v>
      </c>
      <c r="F31" s="15">
        <v>234.92</v>
      </c>
      <c r="G31" s="38">
        <f t="shared" si="1"/>
        <v>162.01</v>
      </c>
      <c r="H31" s="39">
        <f t="shared" si="2"/>
        <v>469.84</v>
      </c>
      <c r="I31" s="42"/>
      <c r="J31" s="88">
        <f t="shared" si="0"/>
        <v>2</v>
      </c>
      <c r="K31" s="38">
        <f t="shared" si="3"/>
        <v>129.21</v>
      </c>
      <c r="L31" s="38">
        <f t="shared" si="4"/>
        <v>258.42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129.21</v>
      </c>
      <c r="T31" s="52">
        <f t="shared" si="6"/>
        <v>258.42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346</v>
      </c>
      <c r="C32" s="6" t="s">
        <v>158</v>
      </c>
      <c r="D32" s="130" t="s">
        <v>138</v>
      </c>
      <c r="E32" s="53">
        <v>1</v>
      </c>
      <c r="F32" s="8">
        <v>325.91000000000003</v>
      </c>
      <c r="G32" s="9">
        <f t="shared" si="1"/>
        <v>224.77</v>
      </c>
      <c r="H32" s="10">
        <f t="shared" si="2"/>
        <v>325.91000000000003</v>
      </c>
      <c r="I32" s="42"/>
      <c r="J32" s="89">
        <f t="shared" si="0"/>
        <v>1</v>
      </c>
      <c r="K32" s="9">
        <f t="shared" si="3"/>
        <v>179.25</v>
      </c>
      <c r="L32" s="9">
        <f t="shared" si="4"/>
        <v>179.25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179.25</v>
      </c>
      <c r="T32" s="14">
        <f t="shared" si="6"/>
        <v>179.25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347</v>
      </c>
      <c r="C33" s="4" t="s">
        <v>348</v>
      </c>
      <c r="D33" s="129" t="s">
        <v>138</v>
      </c>
      <c r="E33" s="54">
        <v>33</v>
      </c>
      <c r="F33" s="15">
        <v>1.87</v>
      </c>
      <c r="G33" s="38">
        <f t="shared" si="1"/>
        <v>1.29</v>
      </c>
      <c r="H33" s="39">
        <f t="shared" si="2"/>
        <v>61.71</v>
      </c>
      <c r="I33" s="42"/>
      <c r="J33" s="88">
        <f t="shared" si="0"/>
        <v>33</v>
      </c>
      <c r="K33" s="38">
        <f t="shared" si="3"/>
        <v>1.03</v>
      </c>
      <c r="L33" s="38">
        <f t="shared" si="4"/>
        <v>33.99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1.03</v>
      </c>
      <c r="T33" s="52">
        <f t="shared" si="6"/>
        <v>33.99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349</v>
      </c>
      <c r="C34" s="6" t="s">
        <v>350</v>
      </c>
      <c r="D34" s="130" t="s">
        <v>138</v>
      </c>
      <c r="E34" s="53">
        <v>33</v>
      </c>
      <c r="F34" s="8">
        <v>0.56999999999999995</v>
      </c>
      <c r="G34" s="9">
        <f t="shared" si="1"/>
        <v>0.39</v>
      </c>
      <c r="H34" s="10">
        <f t="shared" si="2"/>
        <v>18.809999999999999</v>
      </c>
      <c r="I34" s="42"/>
      <c r="J34" s="89">
        <f t="shared" si="0"/>
        <v>33</v>
      </c>
      <c r="K34" s="9">
        <f t="shared" si="3"/>
        <v>0.31</v>
      </c>
      <c r="L34" s="9">
        <f t="shared" si="4"/>
        <v>10.23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0.31</v>
      </c>
      <c r="T34" s="14">
        <f t="shared" si="6"/>
        <v>10.23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351</v>
      </c>
      <c r="C35" s="4" t="s">
        <v>352</v>
      </c>
      <c r="D35" s="129" t="s">
        <v>138</v>
      </c>
      <c r="E35" s="54">
        <v>3</v>
      </c>
      <c r="F35" s="15">
        <v>2046.93</v>
      </c>
      <c r="G35" s="38">
        <f t="shared" si="1"/>
        <v>1411.68</v>
      </c>
      <c r="H35" s="39">
        <f t="shared" si="2"/>
        <v>6140.79</v>
      </c>
      <c r="I35" s="42"/>
      <c r="J35" s="88">
        <f t="shared" si="0"/>
        <v>3</v>
      </c>
      <c r="K35" s="38">
        <f t="shared" si="3"/>
        <v>1125.81</v>
      </c>
      <c r="L35" s="38">
        <f t="shared" si="4"/>
        <v>3377.43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1125.81</v>
      </c>
      <c r="T35" s="52">
        <f t="shared" si="6"/>
        <v>3377.43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353</v>
      </c>
      <c r="C36" s="6" t="s">
        <v>354</v>
      </c>
      <c r="D36" s="130" t="s">
        <v>138</v>
      </c>
      <c r="E36" s="53">
        <v>3</v>
      </c>
      <c r="F36" s="8">
        <v>129.46</v>
      </c>
      <c r="G36" s="9">
        <f t="shared" si="1"/>
        <v>89.28</v>
      </c>
      <c r="H36" s="10">
        <f t="shared" si="2"/>
        <v>388.38</v>
      </c>
      <c r="I36" s="42"/>
      <c r="J36" s="89">
        <f t="shared" si="0"/>
        <v>3</v>
      </c>
      <c r="K36" s="9">
        <f t="shared" si="3"/>
        <v>71.2</v>
      </c>
      <c r="L36" s="9">
        <f t="shared" si="4"/>
        <v>213.6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71.2</v>
      </c>
      <c r="T36" s="14">
        <f t="shared" si="6"/>
        <v>213.6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355</v>
      </c>
      <c r="C37" s="4" t="s">
        <v>356</v>
      </c>
      <c r="D37" s="129" t="s">
        <v>138</v>
      </c>
      <c r="E37" s="54">
        <v>3</v>
      </c>
      <c r="F37" s="15">
        <v>32.15</v>
      </c>
      <c r="G37" s="38">
        <f t="shared" si="1"/>
        <v>22.17</v>
      </c>
      <c r="H37" s="39">
        <f t="shared" si="2"/>
        <v>96.45</v>
      </c>
      <c r="I37" s="42"/>
      <c r="J37" s="88">
        <f t="shared" si="0"/>
        <v>3</v>
      </c>
      <c r="K37" s="38">
        <f t="shared" si="3"/>
        <v>17.68</v>
      </c>
      <c r="L37" s="38">
        <f t="shared" si="4"/>
        <v>53.04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17.68</v>
      </c>
      <c r="T37" s="52">
        <f t="shared" si="6"/>
        <v>53.04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>
        <v>0</v>
      </c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357</v>
      </c>
      <c r="C39" s="4" t="s">
        <v>358</v>
      </c>
      <c r="D39" s="129" t="s">
        <v>138</v>
      </c>
      <c r="E39" s="54">
        <v>1</v>
      </c>
      <c r="F39" s="15">
        <v>94078.760000000009</v>
      </c>
      <c r="G39" s="38">
        <f t="shared" si="1"/>
        <v>64881.9</v>
      </c>
      <c r="H39" s="39">
        <f t="shared" si="2"/>
        <v>94078.76</v>
      </c>
      <c r="I39" s="42"/>
      <c r="J39" s="88">
        <f t="shared" si="0"/>
        <v>1</v>
      </c>
      <c r="K39" s="38">
        <f t="shared" si="3"/>
        <v>51743.32</v>
      </c>
      <c r="L39" s="38">
        <f t="shared" si="4"/>
        <v>51743.32</v>
      </c>
      <c r="M39" s="132" t="s">
        <v>112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51743.32</v>
      </c>
      <c r="T39" s="52">
        <f t="shared" si="6"/>
        <v>51743.32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97</v>
      </c>
      <c r="F49" s="78">
        <f>SUM(F18:F48)</f>
        <v>115579.94900000001</v>
      </c>
      <c r="G49" s="79">
        <f>SUM(G18:G48)</f>
        <v>79710.3</v>
      </c>
      <c r="H49" s="80">
        <f>SUM(H18:H48)</f>
        <v>125276.23999999999</v>
      </c>
      <c r="I49" s="81"/>
      <c r="J49" s="82">
        <f>SUM(J18:J48)</f>
        <v>97</v>
      </c>
      <c r="K49" s="79">
        <f>SUM(K18:K48)</f>
        <v>62925.55</v>
      </c>
      <c r="L49" s="80">
        <f>SUM(L18:L48)</f>
        <v>69003.37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62925.55</v>
      </c>
      <c r="T49" s="80">
        <f>SUM(T18:T48)</f>
        <v>69003.37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0">
    <cfRule type="expression" dxfId="181" priority="1">
      <formula>$V$9&lt;50%</formula>
    </cfRule>
    <cfRule type="expression" dxfId="180" priority="2">
      <formula>$V$9&gt;50%</formula>
    </cfRule>
  </conditionalFormatting>
  <dataValidations count="5">
    <dataValidation type="list" allowBlank="1" showInputMessage="1" showErrorMessage="1" sqref="F17 K17 Q17 Q14" xr:uid="{CC989759-0478-4030-B4EF-6FBA83D293F8}">
      <formula1>$Y$11:$Y$12</formula1>
    </dataValidation>
    <dataValidation type="list" allowBlank="1" showInputMessage="1" showErrorMessage="1" sqref="H13" xr:uid="{5DB3FE7C-8398-4CDB-8298-3CF4082C5506}">
      <formula1>$Y$13:$Y$14</formula1>
    </dataValidation>
    <dataValidation type="list" allowBlank="1" showInputMessage="1" showErrorMessage="1" sqref="I13" xr:uid="{7DD65E15-2436-4755-AE1F-9F437E1BEFD1}">
      <formula1>$K$9:$K$9</formula1>
    </dataValidation>
    <dataValidation type="list" showInputMessage="1" showErrorMessage="1" sqref="D18:D48" xr:uid="{6400A9D2-FB74-43A8-A2A6-3CD90A8F4743}">
      <formula1>$Z$18:$Z$29</formula1>
    </dataValidation>
    <dataValidation type="list" allowBlank="1" showInputMessage="1" showErrorMessage="1" sqref="M18:M48" xr:uid="{4F8BC2B7-EF91-45CD-AE5A-733378584E94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1C18-1062-4EC4-A94B-85D6279C7E87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365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125276.23999999999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69003.37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56272.869999999995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328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0.44919028540447892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366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69003.37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67553.37</v>
      </c>
      <c r="U9" s="235">
        <f>IFERROR(((P3-S9)/S9),0)</f>
        <v>46.588531034482756</v>
      </c>
      <c r="V9" s="235">
        <f>IFERROR(T9/P3,0)</f>
        <v>0.97898653355625964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97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330</v>
      </c>
      <c r="C18" s="5" t="s">
        <v>331</v>
      </c>
      <c r="D18" s="128">
        <v>1000</v>
      </c>
      <c r="E18" s="53">
        <v>1</v>
      </c>
      <c r="F18" s="8">
        <v>148.99859999999998</v>
      </c>
      <c r="G18" s="9">
        <f>ROUND(IF($F$17="USD $", F18*$E$15,F18*$D$15),2)</f>
        <v>102.76</v>
      </c>
      <c r="H18" s="10">
        <f>ROUND(IF($H$17=$G$17,E18*G18,E18*F18),2)</f>
        <v>149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96.85</v>
      </c>
      <c r="L18" s="9">
        <f>ROUND((J18*K18),2)</f>
        <v>96.85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96.85</v>
      </c>
      <c r="T18" s="14">
        <f>ROUND(L18-R18,2)</f>
        <v>96.85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332</v>
      </c>
      <c r="C19" s="4" t="s">
        <v>125</v>
      </c>
      <c r="D19" s="129">
        <v>500</v>
      </c>
      <c r="E19" s="54">
        <v>1</v>
      </c>
      <c r="F19" s="15">
        <v>61.975799999999992</v>
      </c>
      <c r="G19" s="38">
        <f t="shared" ref="G19:G48" si="1">ROUND(IF($F$17="USD $", F19*$E$15,F19*$D$15),2)</f>
        <v>42.74</v>
      </c>
      <c r="H19" s="39">
        <f t="shared" ref="H19:H48" si="2">ROUND(IF($H$17=$G$17,E19*G19,E19*F19),2)</f>
        <v>61.98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30.99</v>
      </c>
      <c r="L19" s="38">
        <f t="shared" ref="L19:L48" si="4">ROUND((J19*K19),2)</f>
        <v>30.99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30.99</v>
      </c>
      <c r="T19" s="52">
        <f t="shared" ref="T19:T48" si="6">ROUND(L19-R19,2)</f>
        <v>30.99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333</v>
      </c>
      <c r="C20" s="6" t="s">
        <v>122</v>
      </c>
      <c r="D20" s="130">
        <v>500</v>
      </c>
      <c r="E20" s="53">
        <v>1</v>
      </c>
      <c r="F20" s="8">
        <v>179.262</v>
      </c>
      <c r="G20" s="9">
        <f t="shared" si="1"/>
        <v>123.63</v>
      </c>
      <c r="H20" s="10">
        <f t="shared" si="2"/>
        <v>179.26</v>
      </c>
      <c r="I20" s="42"/>
      <c r="J20" s="89">
        <f t="shared" si="0"/>
        <v>1</v>
      </c>
      <c r="K20" s="9">
        <f t="shared" si="3"/>
        <v>89.63</v>
      </c>
      <c r="L20" s="9">
        <f t="shared" si="4"/>
        <v>89.63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89.63</v>
      </c>
      <c r="T20" s="14">
        <f t="shared" si="6"/>
        <v>89.63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334</v>
      </c>
      <c r="C21" s="4" t="s">
        <v>125</v>
      </c>
      <c r="D21" s="129">
        <v>500</v>
      </c>
      <c r="E21" s="54">
        <v>1</v>
      </c>
      <c r="F21" s="15">
        <v>275.9862</v>
      </c>
      <c r="G21" s="38">
        <f t="shared" si="1"/>
        <v>190.34</v>
      </c>
      <c r="H21" s="39">
        <f t="shared" si="2"/>
        <v>275.99</v>
      </c>
      <c r="I21" s="42"/>
      <c r="J21" s="88">
        <f t="shared" si="0"/>
        <v>1</v>
      </c>
      <c r="K21" s="38">
        <f t="shared" si="3"/>
        <v>137.99</v>
      </c>
      <c r="L21" s="38">
        <f t="shared" si="4"/>
        <v>137.99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137.99</v>
      </c>
      <c r="T21" s="52">
        <f t="shared" si="6"/>
        <v>137.99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336</v>
      </c>
      <c r="D22" s="130">
        <v>500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337</v>
      </c>
      <c r="C23" s="4" t="s">
        <v>114</v>
      </c>
      <c r="D23" s="129">
        <v>1000</v>
      </c>
      <c r="E23" s="54">
        <v>1</v>
      </c>
      <c r="F23" s="15">
        <v>188.74260000000001</v>
      </c>
      <c r="G23" s="38">
        <f t="shared" si="1"/>
        <v>130.16999999999999</v>
      </c>
      <c r="H23" s="39">
        <f t="shared" si="2"/>
        <v>188.74</v>
      </c>
      <c r="I23" s="42"/>
      <c r="J23" s="88">
        <f t="shared" si="0"/>
        <v>1</v>
      </c>
      <c r="K23" s="38">
        <f t="shared" si="3"/>
        <v>122.68</v>
      </c>
      <c r="L23" s="38">
        <f t="shared" si="4"/>
        <v>122.68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122.68</v>
      </c>
      <c r="T23" s="52">
        <f t="shared" si="6"/>
        <v>122.68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338</v>
      </c>
      <c r="C24" s="6" t="s">
        <v>114</v>
      </c>
      <c r="D24" s="130">
        <v>1000</v>
      </c>
      <c r="E24" s="53">
        <v>1</v>
      </c>
      <c r="F24" s="8">
        <v>164.08199999999999</v>
      </c>
      <c r="G24" s="9">
        <f t="shared" si="1"/>
        <v>113.16</v>
      </c>
      <c r="H24" s="10">
        <f t="shared" si="2"/>
        <v>164.08</v>
      </c>
      <c r="I24" s="42"/>
      <c r="J24" s="89">
        <f t="shared" si="0"/>
        <v>1</v>
      </c>
      <c r="K24" s="9">
        <f t="shared" si="3"/>
        <v>106.65</v>
      </c>
      <c r="L24" s="9">
        <f t="shared" si="4"/>
        <v>106.65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106.65</v>
      </c>
      <c r="T24" s="14">
        <f t="shared" si="6"/>
        <v>106.65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339</v>
      </c>
      <c r="C25" s="4" t="s">
        <v>147</v>
      </c>
      <c r="D25" s="129" t="s">
        <v>138</v>
      </c>
      <c r="E25" s="54">
        <v>1</v>
      </c>
      <c r="F25" s="15">
        <v>2567.5589999999997</v>
      </c>
      <c r="G25" s="38">
        <f t="shared" si="1"/>
        <v>1770.73</v>
      </c>
      <c r="H25" s="39">
        <f t="shared" si="2"/>
        <v>2567.56</v>
      </c>
      <c r="I25" s="42"/>
      <c r="J25" s="88">
        <f t="shared" si="0"/>
        <v>1</v>
      </c>
      <c r="K25" s="38">
        <f t="shared" si="3"/>
        <v>1283.78</v>
      </c>
      <c r="L25" s="38">
        <f t="shared" si="4"/>
        <v>1283.78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1283.78</v>
      </c>
      <c r="T25" s="52">
        <f t="shared" si="6"/>
        <v>1283.78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340</v>
      </c>
      <c r="C26" s="6" t="s">
        <v>144</v>
      </c>
      <c r="D26" s="130" t="s">
        <v>138</v>
      </c>
      <c r="E26" s="53">
        <v>1</v>
      </c>
      <c r="F26" s="8">
        <v>822.86639999999989</v>
      </c>
      <c r="G26" s="9">
        <f t="shared" si="1"/>
        <v>567.49</v>
      </c>
      <c r="H26" s="10">
        <f t="shared" si="2"/>
        <v>822.87</v>
      </c>
      <c r="I26" s="42"/>
      <c r="J26" s="89">
        <f t="shared" si="0"/>
        <v>1</v>
      </c>
      <c r="K26" s="9">
        <f t="shared" si="3"/>
        <v>411.43</v>
      </c>
      <c r="L26" s="9">
        <f t="shared" si="4"/>
        <v>411.43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411.43</v>
      </c>
      <c r="T26" s="14">
        <f t="shared" si="6"/>
        <v>411.43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341</v>
      </c>
      <c r="C27" s="4" t="s">
        <v>137</v>
      </c>
      <c r="D27" s="129" t="s">
        <v>138</v>
      </c>
      <c r="E27" s="54">
        <v>1</v>
      </c>
      <c r="F27" s="15">
        <v>12782.78</v>
      </c>
      <c r="G27" s="38">
        <f t="shared" si="1"/>
        <v>8815.7099999999991</v>
      </c>
      <c r="H27" s="39">
        <f t="shared" si="2"/>
        <v>12782.78</v>
      </c>
      <c r="I27" s="42"/>
      <c r="J27" s="88">
        <f t="shared" si="0"/>
        <v>1</v>
      </c>
      <c r="K27" s="38">
        <f t="shared" si="3"/>
        <v>6391.39</v>
      </c>
      <c r="L27" s="38">
        <f t="shared" si="4"/>
        <v>6391.39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6391.39</v>
      </c>
      <c r="T27" s="52">
        <f t="shared" si="6"/>
        <v>6391.39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342</v>
      </c>
      <c r="C28" s="6" t="s">
        <v>149</v>
      </c>
      <c r="D28" s="130" t="s">
        <v>138</v>
      </c>
      <c r="E28" s="53">
        <v>6</v>
      </c>
      <c r="F28" s="8">
        <v>993.24</v>
      </c>
      <c r="G28" s="9">
        <f t="shared" si="1"/>
        <v>684.99</v>
      </c>
      <c r="H28" s="10">
        <f t="shared" si="2"/>
        <v>5959.44</v>
      </c>
      <c r="I28" s="42"/>
      <c r="J28" s="89">
        <f t="shared" si="0"/>
        <v>6</v>
      </c>
      <c r="K28" s="9">
        <f t="shared" si="3"/>
        <v>695.27</v>
      </c>
      <c r="L28" s="9">
        <f t="shared" si="4"/>
        <v>4171.62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695.27</v>
      </c>
      <c r="T28" s="14">
        <f t="shared" si="6"/>
        <v>4171.62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343</v>
      </c>
      <c r="C29" s="4" t="s">
        <v>321</v>
      </c>
      <c r="D29" s="129" t="s">
        <v>138</v>
      </c>
      <c r="E29" s="54">
        <v>1</v>
      </c>
      <c r="F29" s="15">
        <v>185.79</v>
      </c>
      <c r="G29" s="38">
        <f>ROUND(IF($F$17="USD $", F29*$E$15,F29*$D$15),2)</f>
        <v>128.13</v>
      </c>
      <c r="H29" s="39">
        <f>ROUND(IF($H$17=$G$17,E29*G29,E29*F29),2)</f>
        <v>185.79</v>
      </c>
      <c r="I29" s="42"/>
      <c r="J29" s="88">
        <f t="shared" si="0"/>
        <v>1</v>
      </c>
      <c r="K29" s="38">
        <f t="shared" si="3"/>
        <v>102.18</v>
      </c>
      <c r="L29" s="38">
        <f>ROUND((J29*K29),2)</f>
        <v>102.18</v>
      </c>
      <c r="M29" s="132" t="s">
        <v>112</v>
      </c>
      <c r="N29" s="16">
        <v>0.45</v>
      </c>
      <c r="O29" s="51"/>
      <c r="P29" s="1"/>
      <c r="Q29" s="15"/>
      <c r="R29" s="40">
        <f t="shared" si="9"/>
        <v>0</v>
      </c>
      <c r="S29" s="52">
        <f t="shared" si="5"/>
        <v>102.18</v>
      </c>
      <c r="T29" s="52">
        <f t="shared" si="6"/>
        <v>102.18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344</v>
      </c>
      <c r="C30" s="6" t="s">
        <v>319</v>
      </c>
      <c r="D30" s="130" t="s">
        <v>138</v>
      </c>
      <c r="E30" s="53">
        <v>1</v>
      </c>
      <c r="F30" s="8">
        <v>196.94</v>
      </c>
      <c r="G30" s="9">
        <f t="shared" si="1"/>
        <v>135.82</v>
      </c>
      <c r="H30" s="10">
        <f t="shared" si="2"/>
        <v>196.94</v>
      </c>
      <c r="I30" s="42"/>
      <c r="J30" s="89">
        <f t="shared" si="0"/>
        <v>1</v>
      </c>
      <c r="K30" s="9">
        <f t="shared" si="3"/>
        <v>108.32</v>
      </c>
      <c r="L30" s="9">
        <f t="shared" si="4"/>
        <v>108.32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108.32</v>
      </c>
      <c r="T30" s="14">
        <f t="shared" si="6"/>
        <v>108.32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345</v>
      </c>
      <c r="C31" s="4" t="s">
        <v>158</v>
      </c>
      <c r="D31" s="129" t="s">
        <v>138</v>
      </c>
      <c r="E31" s="54">
        <v>2</v>
      </c>
      <c r="F31" s="15">
        <v>234.92</v>
      </c>
      <c r="G31" s="38">
        <f t="shared" si="1"/>
        <v>162.01</v>
      </c>
      <c r="H31" s="39">
        <f t="shared" si="2"/>
        <v>469.84</v>
      </c>
      <c r="I31" s="42"/>
      <c r="J31" s="88">
        <f t="shared" si="0"/>
        <v>2</v>
      </c>
      <c r="K31" s="38">
        <f t="shared" si="3"/>
        <v>129.21</v>
      </c>
      <c r="L31" s="38">
        <f t="shared" si="4"/>
        <v>258.42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129.21</v>
      </c>
      <c r="T31" s="52">
        <f t="shared" si="6"/>
        <v>258.42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346</v>
      </c>
      <c r="C32" s="6" t="s">
        <v>158</v>
      </c>
      <c r="D32" s="130" t="s">
        <v>138</v>
      </c>
      <c r="E32" s="53">
        <v>1</v>
      </c>
      <c r="F32" s="8">
        <v>325.91000000000003</v>
      </c>
      <c r="G32" s="9">
        <f t="shared" si="1"/>
        <v>224.77</v>
      </c>
      <c r="H32" s="10">
        <f t="shared" si="2"/>
        <v>325.91000000000003</v>
      </c>
      <c r="I32" s="42"/>
      <c r="J32" s="89">
        <f t="shared" si="0"/>
        <v>1</v>
      </c>
      <c r="K32" s="9">
        <f t="shared" si="3"/>
        <v>179.25</v>
      </c>
      <c r="L32" s="9">
        <f t="shared" si="4"/>
        <v>179.25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179.25</v>
      </c>
      <c r="T32" s="14">
        <f t="shared" si="6"/>
        <v>179.25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347</v>
      </c>
      <c r="C33" s="4" t="s">
        <v>348</v>
      </c>
      <c r="D33" s="129" t="s">
        <v>138</v>
      </c>
      <c r="E33" s="54">
        <v>33</v>
      </c>
      <c r="F33" s="15">
        <v>1.87</v>
      </c>
      <c r="G33" s="38">
        <f t="shared" si="1"/>
        <v>1.29</v>
      </c>
      <c r="H33" s="39">
        <f t="shared" si="2"/>
        <v>61.71</v>
      </c>
      <c r="I33" s="42"/>
      <c r="J33" s="88">
        <f t="shared" si="0"/>
        <v>33</v>
      </c>
      <c r="K33" s="38">
        <f t="shared" si="3"/>
        <v>1.03</v>
      </c>
      <c r="L33" s="38">
        <f t="shared" si="4"/>
        <v>33.99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1.03</v>
      </c>
      <c r="T33" s="52">
        <f t="shared" si="6"/>
        <v>33.99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349</v>
      </c>
      <c r="C34" s="6" t="s">
        <v>350</v>
      </c>
      <c r="D34" s="130" t="s">
        <v>138</v>
      </c>
      <c r="E34" s="53">
        <v>33</v>
      </c>
      <c r="F34" s="8">
        <v>0.56999999999999995</v>
      </c>
      <c r="G34" s="9">
        <f t="shared" si="1"/>
        <v>0.39</v>
      </c>
      <c r="H34" s="10">
        <f t="shared" si="2"/>
        <v>18.809999999999999</v>
      </c>
      <c r="I34" s="42"/>
      <c r="J34" s="89">
        <f t="shared" si="0"/>
        <v>33</v>
      </c>
      <c r="K34" s="9">
        <f t="shared" si="3"/>
        <v>0.31</v>
      </c>
      <c r="L34" s="9">
        <f t="shared" si="4"/>
        <v>10.23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0.31</v>
      </c>
      <c r="T34" s="14">
        <f t="shared" si="6"/>
        <v>10.23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351</v>
      </c>
      <c r="C35" s="4" t="s">
        <v>352</v>
      </c>
      <c r="D35" s="129" t="s">
        <v>138</v>
      </c>
      <c r="E35" s="54">
        <v>3</v>
      </c>
      <c r="F35" s="15">
        <v>2046.93</v>
      </c>
      <c r="G35" s="38">
        <f t="shared" si="1"/>
        <v>1411.68</v>
      </c>
      <c r="H35" s="39">
        <f t="shared" si="2"/>
        <v>6140.79</v>
      </c>
      <c r="I35" s="42"/>
      <c r="J35" s="88">
        <f t="shared" si="0"/>
        <v>3</v>
      </c>
      <c r="K35" s="38">
        <f t="shared" si="3"/>
        <v>1125.81</v>
      </c>
      <c r="L35" s="38">
        <f t="shared" si="4"/>
        <v>3377.43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1125.81</v>
      </c>
      <c r="T35" s="52">
        <f t="shared" si="6"/>
        <v>3377.43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353</v>
      </c>
      <c r="C36" s="6" t="s">
        <v>354</v>
      </c>
      <c r="D36" s="130" t="s">
        <v>138</v>
      </c>
      <c r="E36" s="53">
        <v>3</v>
      </c>
      <c r="F36" s="8">
        <v>129.46</v>
      </c>
      <c r="G36" s="9">
        <f t="shared" si="1"/>
        <v>89.28</v>
      </c>
      <c r="H36" s="10">
        <f t="shared" si="2"/>
        <v>388.38</v>
      </c>
      <c r="I36" s="42"/>
      <c r="J36" s="89">
        <f t="shared" si="0"/>
        <v>3</v>
      </c>
      <c r="K36" s="9">
        <f t="shared" si="3"/>
        <v>71.2</v>
      </c>
      <c r="L36" s="9">
        <f t="shared" si="4"/>
        <v>213.6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71.2</v>
      </c>
      <c r="T36" s="14">
        <f t="shared" si="6"/>
        <v>213.6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355</v>
      </c>
      <c r="C37" s="4" t="s">
        <v>356</v>
      </c>
      <c r="D37" s="129" t="s">
        <v>138</v>
      </c>
      <c r="E37" s="54">
        <v>3</v>
      </c>
      <c r="F37" s="15">
        <v>32.15</v>
      </c>
      <c r="G37" s="38">
        <f t="shared" si="1"/>
        <v>22.17</v>
      </c>
      <c r="H37" s="39">
        <f t="shared" si="2"/>
        <v>96.45</v>
      </c>
      <c r="I37" s="42"/>
      <c r="J37" s="88">
        <f t="shared" si="0"/>
        <v>3</v>
      </c>
      <c r="K37" s="38">
        <f t="shared" si="3"/>
        <v>17.68</v>
      </c>
      <c r="L37" s="38">
        <f t="shared" si="4"/>
        <v>53.04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17.68</v>
      </c>
      <c r="T37" s="52">
        <f t="shared" si="6"/>
        <v>53.04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>
        <v>0</v>
      </c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357</v>
      </c>
      <c r="C39" s="4" t="s">
        <v>358</v>
      </c>
      <c r="D39" s="129" t="s">
        <v>138</v>
      </c>
      <c r="E39" s="54">
        <v>1</v>
      </c>
      <c r="F39" s="15">
        <v>94078.760000000009</v>
      </c>
      <c r="G39" s="38">
        <f t="shared" si="1"/>
        <v>64881.9</v>
      </c>
      <c r="H39" s="39">
        <f t="shared" si="2"/>
        <v>94078.76</v>
      </c>
      <c r="I39" s="42"/>
      <c r="J39" s="88">
        <f t="shared" si="0"/>
        <v>1</v>
      </c>
      <c r="K39" s="38">
        <f t="shared" si="3"/>
        <v>51743.32</v>
      </c>
      <c r="L39" s="38">
        <f t="shared" si="4"/>
        <v>51743.32</v>
      </c>
      <c r="M39" s="132" t="s">
        <v>112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51743.32</v>
      </c>
      <c r="T39" s="52">
        <f t="shared" si="6"/>
        <v>51743.32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97</v>
      </c>
      <c r="F49" s="78">
        <f>SUM(F18:F48)</f>
        <v>115579.94900000001</v>
      </c>
      <c r="G49" s="79">
        <f>SUM(G18:G48)</f>
        <v>79710.3</v>
      </c>
      <c r="H49" s="80">
        <f>SUM(H18:H48)</f>
        <v>125276.23999999999</v>
      </c>
      <c r="I49" s="81"/>
      <c r="J49" s="82">
        <f>SUM(J18:J48)</f>
        <v>97</v>
      </c>
      <c r="K49" s="79">
        <f>SUM(K18:K48)</f>
        <v>62925.55</v>
      </c>
      <c r="L49" s="80">
        <f>SUM(L18:L48)</f>
        <v>69003.37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62925.55</v>
      </c>
      <c r="T49" s="80">
        <f>SUM(T18:T48)</f>
        <v>69003.37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5">
    <dataValidation type="list" allowBlank="1" showInputMessage="1" showErrorMessage="1" sqref="M18:M48" xr:uid="{169F8099-60AB-4D46-AD88-C917B02F4506}">
      <formula1>$Y$31:$Y$32</formula1>
    </dataValidation>
    <dataValidation type="list" showInputMessage="1" showErrorMessage="1" sqref="D18:D48" xr:uid="{B9F6DCB2-AD5B-45D8-AD68-2A193FB19116}">
      <formula1>$Z$18:$Z$29</formula1>
    </dataValidation>
    <dataValidation type="list" allowBlank="1" showInputMessage="1" showErrorMessage="1" sqref="I13" xr:uid="{EA3A5DCF-7F41-4B7A-960E-75D7E9B8D469}">
      <formula1>$K$9:$K$9</formula1>
    </dataValidation>
    <dataValidation type="list" allowBlank="1" showInputMessage="1" showErrorMessage="1" sqref="H13" xr:uid="{7104C382-0560-4B77-91A3-E1F91D65FCB0}">
      <formula1>$Y$13:$Y$14</formula1>
    </dataValidation>
    <dataValidation type="list" allowBlank="1" showInputMessage="1" showErrorMessage="1" sqref="F17 K17 Q17 Q14" xr:uid="{0BCBD4E3-1BF4-40B4-A97C-247CB56DC50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823A-3130-4B4C-9A56-FC5FC182B2B2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367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125276.23999999999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69003.37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56272.869999999995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328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0.44919028540447892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368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69003.37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67553.37</v>
      </c>
      <c r="U9" s="235">
        <f>IFERROR(((P3-S9)/S9),0)</f>
        <v>46.588531034482756</v>
      </c>
      <c r="V9" s="235">
        <f>IFERROR(T9/P3,0)</f>
        <v>0.97898653355625964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97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330</v>
      </c>
      <c r="C18" s="5" t="s">
        <v>331</v>
      </c>
      <c r="D18" s="128">
        <v>1000</v>
      </c>
      <c r="E18" s="53">
        <v>1</v>
      </c>
      <c r="F18" s="8">
        <v>148.99859999999998</v>
      </c>
      <c r="G18" s="9">
        <f>ROUND(IF($F$17="USD $", F18*$E$15,F18*$D$15),2)</f>
        <v>102.76</v>
      </c>
      <c r="H18" s="10">
        <f>ROUND(IF($H$17=$G$17,E18*G18,E18*F18),2)</f>
        <v>149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96.85</v>
      </c>
      <c r="L18" s="9">
        <f>ROUND((J18*K18),2)</f>
        <v>96.85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96.85</v>
      </c>
      <c r="T18" s="14">
        <f>ROUND(L18-R18,2)</f>
        <v>96.85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332</v>
      </c>
      <c r="C19" s="4" t="s">
        <v>125</v>
      </c>
      <c r="D19" s="129">
        <v>500</v>
      </c>
      <c r="E19" s="54">
        <v>1</v>
      </c>
      <c r="F19" s="15">
        <v>61.975799999999992</v>
      </c>
      <c r="G19" s="38">
        <f t="shared" ref="G19:G48" si="1">ROUND(IF($F$17="USD $", F19*$E$15,F19*$D$15),2)</f>
        <v>42.74</v>
      </c>
      <c r="H19" s="39">
        <f t="shared" ref="H19:H48" si="2">ROUND(IF($H$17=$G$17,E19*G19,E19*F19),2)</f>
        <v>61.98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30.99</v>
      </c>
      <c r="L19" s="38">
        <f t="shared" ref="L19:L48" si="4">ROUND((J19*K19),2)</f>
        <v>30.99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30.99</v>
      </c>
      <c r="T19" s="52">
        <f t="shared" ref="T19:T48" si="6">ROUND(L19-R19,2)</f>
        <v>30.99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333</v>
      </c>
      <c r="C20" s="6" t="s">
        <v>122</v>
      </c>
      <c r="D20" s="130">
        <v>500</v>
      </c>
      <c r="E20" s="53">
        <v>1</v>
      </c>
      <c r="F20" s="8">
        <v>179.262</v>
      </c>
      <c r="G20" s="9">
        <f t="shared" si="1"/>
        <v>123.63</v>
      </c>
      <c r="H20" s="10">
        <f t="shared" si="2"/>
        <v>179.26</v>
      </c>
      <c r="I20" s="42"/>
      <c r="J20" s="89">
        <f t="shared" si="0"/>
        <v>1</v>
      </c>
      <c r="K20" s="9">
        <f t="shared" si="3"/>
        <v>89.63</v>
      </c>
      <c r="L20" s="9">
        <f t="shared" si="4"/>
        <v>89.63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89.63</v>
      </c>
      <c r="T20" s="14">
        <f t="shared" si="6"/>
        <v>89.63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334</v>
      </c>
      <c r="C21" s="4" t="s">
        <v>125</v>
      </c>
      <c r="D21" s="129">
        <v>500</v>
      </c>
      <c r="E21" s="54">
        <v>1</v>
      </c>
      <c r="F21" s="15">
        <v>275.9862</v>
      </c>
      <c r="G21" s="38">
        <f t="shared" si="1"/>
        <v>190.34</v>
      </c>
      <c r="H21" s="39">
        <f t="shared" si="2"/>
        <v>275.99</v>
      </c>
      <c r="I21" s="42"/>
      <c r="J21" s="88">
        <f t="shared" si="0"/>
        <v>1</v>
      </c>
      <c r="K21" s="38">
        <f t="shared" si="3"/>
        <v>137.99</v>
      </c>
      <c r="L21" s="38">
        <f t="shared" si="4"/>
        <v>137.99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137.99</v>
      </c>
      <c r="T21" s="52">
        <f t="shared" si="6"/>
        <v>137.99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336</v>
      </c>
      <c r="D22" s="130">
        <v>500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337</v>
      </c>
      <c r="C23" s="4" t="s">
        <v>114</v>
      </c>
      <c r="D23" s="129">
        <v>1000</v>
      </c>
      <c r="E23" s="54">
        <v>1</v>
      </c>
      <c r="F23" s="15">
        <v>188.74260000000001</v>
      </c>
      <c r="G23" s="38">
        <f t="shared" si="1"/>
        <v>130.16999999999999</v>
      </c>
      <c r="H23" s="39">
        <f t="shared" si="2"/>
        <v>188.74</v>
      </c>
      <c r="I23" s="42"/>
      <c r="J23" s="88">
        <f t="shared" si="0"/>
        <v>1</v>
      </c>
      <c r="K23" s="38">
        <f t="shared" si="3"/>
        <v>122.68</v>
      </c>
      <c r="L23" s="38">
        <f t="shared" si="4"/>
        <v>122.68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122.68</v>
      </c>
      <c r="T23" s="52">
        <f t="shared" si="6"/>
        <v>122.68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338</v>
      </c>
      <c r="C24" s="6" t="s">
        <v>114</v>
      </c>
      <c r="D24" s="130">
        <v>1000</v>
      </c>
      <c r="E24" s="53">
        <v>1</v>
      </c>
      <c r="F24" s="8">
        <v>164.08199999999999</v>
      </c>
      <c r="G24" s="9">
        <f t="shared" si="1"/>
        <v>113.16</v>
      </c>
      <c r="H24" s="10">
        <f t="shared" si="2"/>
        <v>164.08</v>
      </c>
      <c r="I24" s="42"/>
      <c r="J24" s="89">
        <f t="shared" si="0"/>
        <v>1</v>
      </c>
      <c r="K24" s="9">
        <f t="shared" si="3"/>
        <v>106.65</v>
      </c>
      <c r="L24" s="9">
        <f t="shared" si="4"/>
        <v>106.65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106.65</v>
      </c>
      <c r="T24" s="14">
        <f t="shared" si="6"/>
        <v>106.65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339</v>
      </c>
      <c r="C25" s="4" t="s">
        <v>147</v>
      </c>
      <c r="D25" s="129" t="s">
        <v>138</v>
      </c>
      <c r="E25" s="54">
        <v>1</v>
      </c>
      <c r="F25" s="15">
        <v>2567.5589999999997</v>
      </c>
      <c r="G25" s="38">
        <f t="shared" si="1"/>
        <v>1770.73</v>
      </c>
      <c r="H25" s="39">
        <f t="shared" si="2"/>
        <v>2567.56</v>
      </c>
      <c r="I25" s="42"/>
      <c r="J25" s="88">
        <f t="shared" si="0"/>
        <v>1</v>
      </c>
      <c r="K25" s="38">
        <f t="shared" si="3"/>
        <v>1283.78</v>
      </c>
      <c r="L25" s="38">
        <f t="shared" si="4"/>
        <v>1283.78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1283.78</v>
      </c>
      <c r="T25" s="52">
        <f t="shared" si="6"/>
        <v>1283.78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340</v>
      </c>
      <c r="C26" s="6" t="s">
        <v>144</v>
      </c>
      <c r="D26" s="130" t="s">
        <v>138</v>
      </c>
      <c r="E26" s="53">
        <v>1</v>
      </c>
      <c r="F26" s="8">
        <v>822.86639999999989</v>
      </c>
      <c r="G26" s="9">
        <f t="shared" si="1"/>
        <v>567.49</v>
      </c>
      <c r="H26" s="10">
        <f t="shared" si="2"/>
        <v>822.87</v>
      </c>
      <c r="I26" s="42"/>
      <c r="J26" s="89">
        <f t="shared" si="0"/>
        <v>1</v>
      </c>
      <c r="K26" s="9">
        <f t="shared" si="3"/>
        <v>411.43</v>
      </c>
      <c r="L26" s="9">
        <f t="shared" si="4"/>
        <v>411.43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411.43</v>
      </c>
      <c r="T26" s="14">
        <f t="shared" si="6"/>
        <v>411.43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341</v>
      </c>
      <c r="C27" s="4" t="s">
        <v>137</v>
      </c>
      <c r="D27" s="129" t="s">
        <v>138</v>
      </c>
      <c r="E27" s="54">
        <v>1</v>
      </c>
      <c r="F27" s="15">
        <v>12782.78</v>
      </c>
      <c r="G27" s="38">
        <f t="shared" si="1"/>
        <v>8815.7099999999991</v>
      </c>
      <c r="H27" s="39">
        <f t="shared" si="2"/>
        <v>12782.78</v>
      </c>
      <c r="I27" s="42"/>
      <c r="J27" s="88">
        <f t="shared" si="0"/>
        <v>1</v>
      </c>
      <c r="K27" s="38">
        <f t="shared" si="3"/>
        <v>6391.39</v>
      </c>
      <c r="L27" s="38">
        <f t="shared" si="4"/>
        <v>6391.39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6391.39</v>
      </c>
      <c r="T27" s="52">
        <f t="shared" si="6"/>
        <v>6391.39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342</v>
      </c>
      <c r="C28" s="6" t="s">
        <v>149</v>
      </c>
      <c r="D28" s="130" t="s">
        <v>138</v>
      </c>
      <c r="E28" s="53">
        <v>6</v>
      </c>
      <c r="F28" s="8">
        <v>993.24</v>
      </c>
      <c r="G28" s="9">
        <f t="shared" si="1"/>
        <v>684.99</v>
      </c>
      <c r="H28" s="10">
        <f t="shared" si="2"/>
        <v>5959.44</v>
      </c>
      <c r="I28" s="42"/>
      <c r="J28" s="89">
        <f t="shared" si="0"/>
        <v>6</v>
      </c>
      <c r="K28" s="9">
        <f t="shared" si="3"/>
        <v>695.27</v>
      </c>
      <c r="L28" s="9">
        <f t="shared" si="4"/>
        <v>4171.62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695.27</v>
      </c>
      <c r="T28" s="14">
        <f t="shared" si="6"/>
        <v>4171.62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343</v>
      </c>
      <c r="C29" s="4" t="s">
        <v>321</v>
      </c>
      <c r="D29" s="129" t="s">
        <v>138</v>
      </c>
      <c r="E29" s="54">
        <v>1</v>
      </c>
      <c r="F29" s="15">
        <v>185.79</v>
      </c>
      <c r="G29" s="38">
        <f>ROUND(IF($F$17="USD $", F29*$E$15,F29*$D$15),2)</f>
        <v>128.13</v>
      </c>
      <c r="H29" s="39">
        <f>ROUND(IF($H$17=$G$17,E29*G29,E29*F29),2)</f>
        <v>185.79</v>
      </c>
      <c r="I29" s="42"/>
      <c r="J29" s="88">
        <f t="shared" si="0"/>
        <v>1</v>
      </c>
      <c r="K29" s="38">
        <f t="shared" si="3"/>
        <v>102.18</v>
      </c>
      <c r="L29" s="38">
        <f>ROUND((J29*K29),2)</f>
        <v>102.18</v>
      </c>
      <c r="M29" s="132" t="s">
        <v>112</v>
      </c>
      <c r="N29" s="16">
        <v>0.45</v>
      </c>
      <c r="O29" s="51"/>
      <c r="P29" s="1"/>
      <c r="Q29" s="15"/>
      <c r="R29" s="40">
        <f t="shared" si="9"/>
        <v>0</v>
      </c>
      <c r="S29" s="52">
        <f t="shared" si="5"/>
        <v>102.18</v>
      </c>
      <c r="T29" s="52">
        <f t="shared" si="6"/>
        <v>102.18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344</v>
      </c>
      <c r="C30" s="6" t="s">
        <v>319</v>
      </c>
      <c r="D30" s="130" t="s">
        <v>138</v>
      </c>
      <c r="E30" s="53">
        <v>1</v>
      </c>
      <c r="F30" s="8">
        <v>196.94</v>
      </c>
      <c r="G30" s="9">
        <f t="shared" si="1"/>
        <v>135.82</v>
      </c>
      <c r="H30" s="10">
        <f t="shared" si="2"/>
        <v>196.94</v>
      </c>
      <c r="I30" s="42"/>
      <c r="J30" s="89">
        <f t="shared" si="0"/>
        <v>1</v>
      </c>
      <c r="K30" s="9">
        <f t="shared" si="3"/>
        <v>108.32</v>
      </c>
      <c r="L30" s="9">
        <f t="shared" si="4"/>
        <v>108.32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108.32</v>
      </c>
      <c r="T30" s="14">
        <f t="shared" si="6"/>
        <v>108.32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345</v>
      </c>
      <c r="C31" s="4" t="s">
        <v>158</v>
      </c>
      <c r="D31" s="129" t="s">
        <v>138</v>
      </c>
      <c r="E31" s="54">
        <v>2</v>
      </c>
      <c r="F31" s="15">
        <v>234.92</v>
      </c>
      <c r="G31" s="38">
        <f t="shared" si="1"/>
        <v>162.01</v>
      </c>
      <c r="H31" s="39">
        <f t="shared" si="2"/>
        <v>469.84</v>
      </c>
      <c r="I31" s="42"/>
      <c r="J31" s="88">
        <f t="shared" si="0"/>
        <v>2</v>
      </c>
      <c r="K31" s="38">
        <f t="shared" si="3"/>
        <v>129.21</v>
      </c>
      <c r="L31" s="38">
        <f t="shared" si="4"/>
        <v>258.42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129.21</v>
      </c>
      <c r="T31" s="52">
        <f t="shared" si="6"/>
        <v>258.42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346</v>
      </c>
      <c r="C32" s="6" t="s">
        <v>158</v>
      </c>
      <c r="D32" s="130" t="s">
        <v>138</v>
      </c>
      <c r="E32" s="53">
        <v>1</v>
      </c>
      <c r="F32" s="8">
        <v>325.91000000000003</v>
      </c>
      <c r="G32" s="9">
        <f t="shared" si="1"/>
        <v>224.77</v>
      </c>
      <c r="H32" s="10">
        <f t="shared" si="2"/>
        <v>325.91000000000003</v>
      </c>
      <c r="I32" s="42"/>
      <c r="J32" s="89">
        <f t="shared" si="0"/>
        <v>1</v>
      </c>
      <c r="K32" s="9">
        <f t="shared" si="3"/>
        <v>179.25</v>
      </c>
      <c r="L32" s="9">
        <f t="shared" si="4"/>
        <v>179.25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179.25</v>
      </c>
      <c r="T32" s="14">
        <f t="shared" si="6"/>
        <v>179.25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347</v>
      </c>
      <c r="C33" s="4" t="s">
        <v>348</v>
      </c>
      <c r="D33" s="129" t="s">
        <v>138</v>
      </c>
      <c r="E33" s="54">
        <v>33</v>
      </c>
      <c r="F33" s="15">
        <v>1.87</v>
      </c>
      <c r="G33" s="38">
        <f t="shared" si="1"/>
        <v>1.29</v>
      </c>
      <c r="H33" s="39">
        <f t="shared" si="2"/>
        <v>61.71</v>
      </c>
      <c r="I33" s="42"/>
      <c r="J33" s="88">
        <f t="shared" si="0"/>
        <v>33</v>
      </c>
      <c r="K33" s="38">
        <f t="shared" si="3"/>
        <v>1.03</v>
      </c>
      <c r="L33" s="38">
        <f t="shared" si="4"/>
        <v>33.99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1.03</v>
      </c>
      <c r="T33" s="52">
        <f t="shared" si="6"/>
        <v>33.99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349</v>
      </c>
      <c r="C34" s="6" t="s">
        <v>350</v>
      </c>
      <c r="D34" s="130" t="s">
        <v>138</v>
      </c>
      <c r="E34" s="53">
        <v>33</v>
      </c>
      <c r="F34" s="8">
        <v>0.56999999999999995</v>
      </c>
      <c r="G34" s="9">
        <f t="shared" si="1"/>
        <v>0.39</v>
      </c>
      <c r="H34" s="10">
        <f t="shared" si="2"/>
        <v>18.809999999999999</v>
      </c>
      <c r="I34" s="42"/>
      <c r="J34" s="89">
        <f t="shared" si="0"/>
        <v>33</v>
      </c>
      <c r="K34" s="9">
        <f t="shared" si="3"/>
        <v>0.31</v>
      </c>
      <c r="L34" s="9">
        <f t="shared" si="4"/>
        <v>10.23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0.31</v>
      </c>
      <c r="T34" s="14">
        <f t="shared" si="6"/>
        <v>10.23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351</v>
      </c>
      <c r="C35" s="4" t="s">
        <v>352</v>
      </c>
      <c r="D35" s="129" t="s">
        <v>138</v>
      </c>
      <c r="E35" s="54">
        <v>3</v>
      </c>
      <c r="F35" s="15">
        <v>2046.93</v>
      </c>
      <c r="G35" s="38">
        <f t="shared" si="1"/>
        <v>1411.68</v>
      </c>
      <c r="H35" s="39">
        <f t="shared" si="2"/>
        <v>6140.79</v>
      </c>
      <c r="I35" s="42"/>
      <c r="J35" s="88">
        <f t="shared" si="0"/>
        <v>3</v>
      </c>
      <c r="K35" s="38">
        <f t="shared" si="3"/>
        <v>1125.81</v>
      </c>
      <c r="L35" s="38">
        <f t="shared" si="4"/>
        <v>3377.43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1125.81</v>
      </c>
      <c r="T35" s="52">
        <f t="shared" si="6"/>
        <v>3377.43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353</v>
      </c>
      <c r="C36" s="6" t="s">
        <v>354</v>
      </c>
      <c r="D36" s="130" t="s">
        <v>138</v>
      </c>
      <c r="E36" s="53">
        <v>3</v>
      </c>
      <c r="F36" s="8">
        <v>129.46</v>
      </c>
      <c r="G36" s="9">
        <f t="shared" si="1"/>
        <v>89.28</v>
      </c>
      <c r="H36" s="10">
        <f t="shared" si="2"/>
        <v>388.38</v>
      </c>
      <c r="I36" s="42"/>
      <c r="J36" s="89">
        <f t="shared" si="0"/>
        <v>3</v>
      </c>
      <c r="K36" s="9">
        <f t="shared" si="3"/>
        <v>71.2</v>
      </c>
      <c r="L36" s="9">
        <f t="shared" si="4"/>
        <v>213.6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71.2</v>
      </c>
      <c r="T36" s="14">
        <f t="shared" si="6"/>
        <v>213.6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355</v>
      </c>
      <c r="C37" s="4" t="s">
        <v>356</v>
      </c>
      <c r="D37" s="129" t="s">
        <v>138</v>
      </c>
      <c r="E37" s="54">
        <v>3</v>
      </c>
      <c r="F37" s="15">
        <v>32.15</v>
      </c>
      <c r="G37" s="38">
        <f t="shared" si="1"/>
        <v>22.17</v>
      </c>
      <c r="H37" s="39">
        <f t="shared" si="2"/>
        <v>96.45</v>
      </c>
      <c r="I37" s="42"/>
      <c r="J37" s="88">
        <f t="shared" si="0"/>
        <v>3</v>
      </c>
      <c r="K37" s="38">
        <f t="shared" si="3"/>
        <v>17.68</v>
      </c>
      <c r="L37" s="38">
        <f t="shared" si="4"/>
        <v>53.04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17.68</v>
      </c>
      <c r="T37" s="52">
        <f t="shared" si="6"/>
        <v>53.04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>
        <v>0</v>
      </c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357</v>
      </c>
      <c r="C39" s="4" t="s">
        <v>358</v>
      </c>
      <c r="D39" s="129" t="s">
        <v>138</v>
      </c>
      <c r="E39" s="54">
        <v>1</v>
      </c>
      <c r="F39" s="15">
        <v>94078.760000000009</v>
      </c>
      <c r="G39" s="38">
        <f t="shared" si="1"/>
        <v>64881.9</v>
      </c>
      <c r="H39" s="39">
        <f t="shared" si="2"/>
        <v>94078.76</v>
      </c>
      <c r="I39" s="42"/>
      <c r="J39" s="88">
        <f t="shared" si="0"/>
        <v>1</v>
      </c>
      <c r="K39" s="38">
        <f t="shared" si="3"/>
        <v>51743.32</v>
      </c>
      <c r="L39" s="38">
        <f t="shared" si="4"/>
        <v>51743.32</v>
      </c>
      <c r="M39" s="132" t="s">
        <v>112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51743.32</v>
      </c>
      <c r="T39" s="52">
        <f t="shared" si="6"/>
        <v>51743.32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97</v>
      </c>
      <c r="F49" s="78">
        <f>SUM(F18:F48)</f>
        <v>115579.94900000001</v>
      </c>
      <c r="G49" s="79">
        <f>SUM(G18:G48)</f>
        <v>79710.3</v>
      </c>
      <c r="H49" s="80">
        <f>SUM(H18:H48)</f>
        <v>125276.23999999999</v>
      </c>
      <c r="I49" s="81"/>
      <c r="J49" s="82">
        <f>SUM(J18:J48)</f>
        <v>97</v>
      </c>
      <c r="K49" s="79">
        <f>SUM(K18:K48)</f>
        <v>62925.55</v>
      </c>
      <c r="L49" s="80">
        <f>SUM(L18:L48)</f>
        <v>69003.37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62925.55</v>
      </c>
      <c r="T49" s="80">
        <f>SUM(T18:T48)</f>
        <v>69003.37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F17 K17 Q17 Q14" xr:uid="{4DF64DF6-6829-44E0-B385-E163FB9B8E51}">
      <formula1>$Y$11:$Y$12</formula1>
    </dataValidation>
    <dataValidation type="list" allowBlank="1" showInputMessage="1" showErrorMessage="1" sqref="H13" xr:uid="{AF1D47A7-25EB-425A-B79A-32E04BF76D1B}">
      <formula1>$Y$13:$Y$14</formula1>
    </dataValidation>
    <dataValidation type="list" allowBlank="1" showInputMessage="1" showErrorMessage="1" sqref="I13" xr:uid="{0969A9E4-0EF6-4C79-90C8-8F06BFF15A79}">
      <formula1>$K$9:$K$9</formula1>
    </dataValidation>
    <dataValidation type="list" showInputMessage="1" showErrorMessage="1" sqref="D18:D48" xr:uid="{895CD68E-FA6F-438B-A5A2-EE7E4D841ABA}">
      <formula1>$Z$18:$Z$29</formula1>
    </dataValidation>
    <dataValidation type="list" allowBlank="1" showInputMessage="1" showErrorMessage="1" sqref="M18:M48" xr:uid="{29F16B63-BBE2-40D9-BC10-BB773974BD89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64D6-42FF-4369-9DDF-2C151351D3A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369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125276.23999999999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69003.37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56272.869999999995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328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0.44919028540447892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370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69003.37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67553.37</v>
      </c>
      <c r="U9" s="235">
        <f>IFERROR(((P3-S9)/S9),0)</f>
        <v>46.588531034482756</v>
      </c>
      <c r="V9" s="235">
        <f>IFERROR(T9/P3,0)</f>
        <v>0.97898653355625964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97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330</v>
      </c>
      <c r="C18" s="5" t="s">
        <v>331</v>
      </c>
      <c r="D18" s="128">
        <v>1000</v>
      </c>
      <c r="E18" s="53">
        <v>1</v>
      </c>
      <c r="F18" s="8">
        <v>148.99859999999998</v>
      </c>
      <c r="G18" s="9">
        <f>ROUND(IF($F$17="USD $", F18*$E$15,F18*$D$15),2)</f>
        <v>102.76</v>
      </c>
      <c r="H18" s="10">
        <f>ROUND(IF($H$17=$G$17,E18*G18,E18*F18),2)</f>
        <v>149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96.85</v>
      </c>
      <c r="L18" s="9">
        <f>ROUND((J18*K18),2)</f>
        <v>96.85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96.85</v>
      </c>
      <c r="T18" s="14">
        <f>ROUND(L18-R18,2)</f>
        <v>96.85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332</v>
      </c>
      <c r="C19" s="4" t="s">
        <v>125</v>
      </c>
      <c r="D19" s="129">
        <v>500</v>
      </c>
      <c r="E19" s="54">
        <v>1</v>
      </c>
      <c r="F19" s="15">
        <v>61.975799999999992</v>
      </c>
      <c r="G19" s="38">
        <f t="shared" ref="G19:G48" si="1">ROUND(IF($F$17="USD $", F19*$E$15,F19*$D$15),2)</f>
        <v>42.74</v>
      </c>
      <c r="H19" s="39">
        <f t="shared" ref="H19:H48" si="2">ROUND(IF($H$17=$G$17,E19*G19,E19*F19),2)</f>
        <v>61.98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30.99</v>
      </c>
      <c r="L19" s="38">
        <f t="shared" ref="L19:L48" si="4">ROUND((J19*K19),2)</f>
        <v>30.99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30.99</v>
      </c>
      <c r="T19" s="52">
        <f t="shared" ref="T19:T48" si="6">ROUND(L19-R19,2)</f>
        <v>30.99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333</v>
      </c>
      <c r="C20" s="6" t="s">
        <v>122</v>
      </c>
      <c r="D20" s="130">
        <v>500</v>
      </c>
      <c r="E20" s="53">
        <v>1</v>
      </c>
      <c r="F20" s="8">
        <v>179.262</v>
      </c>
      <c r="G20" s="9">
        <f t="shared" si="1"/>
        <v>123.63</v>
      </c>
      <c r="H20" s="10">
        <f t="shared" si="2"/>
        <v>179.26</v>
      </c>
      <c r="I20" s="42"/>
      <c r="J20" s="89">
        <f t="shared" si="0"/>
        <v>1</v>
      </c>
      <c r="K20" s="9">
        <f t="shared" si="3"/>
        <v>89.63</v>
      </c>
      <c r="L20" s="9">
        <f t="shared" si="4"/>
        <v>89.63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89.63</v>
      </c>
      <c r="T20" s="14">
        <f t="shared" si="6"/>
        <v>89.63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334</v>
      </c>
      <c r="C21" s="4" t="s">
        <v>125</v>
      </c>
      <c r="D21" s="129">
        <v>500</v>
      </c>
      <c r="E21" s="54">
        <v>1</v>
      </c>
      <c r="F21" s="15">
        <v>275.9862</v>
      </c>
      <c r="G21" s="38">
        <f t="shared" si="1"/>
        <v>190.34</v>
      </c>
      <c r="H21" s="39">
        <f t="shared" si="2"/>
        <v>275.99</v>
      </c>
      <c r="I21" s="42"/>
      <c r="J21" s="88">
        <f t="shared" si="0"/>
        <v>1</v>
      </c>
      <c r="K21" s="38">
        <f t="shared" si="3"/>
        <v>137.99</v>
      </c>
      <c r="L21" s="38">
        <f t="shared" si="4"/>
        <v>137.99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137.99</v>
      </c>
      <c r="T21" s="52">
        <f t="shared" si="6"/>
        <v>137.99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336</v>
      </c>
      <c r="D22" s="130">
        <v>500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337</v>
      </c>
      <c r="C23" s="4" t="s">
        <v>114</v>
      </c>
      <c r="D23" s="129">
        <v>1000</v>
      </c>
      <c r="E23" s="54">
        <v>1</v>
      </c>
      <c r="F23" s="15">
        <v>188.74260000000001</v>
      </c>
      <c r="G23" s="38">
        <f t="shared" si="1"/>
        <v>130.16999999999999</v>
      </c>
      <c r="H23" s="39">
        <f t="shared" si="2"/>
        <v>188.74</v>
      </c>
      <c r="I23" s="42"/>
      <c r="J23" s="88">
        <f t="shared" si="0"/>
        <v>1</v>
      </c>
      <c r="K23" s="38">
        <f t="shared" si="3"/>
        <v>122.68</v>
      </c>
      <c r="L23" s="38">
        <f t="shared" si="4"/>
        <v>122.68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122.68</v>
      </c>
      <c r="T23" s="52">
        <f t="shared" si="6"/>
        <v>122.68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338</v>
      </c>
      <c r="C24" s="6" t="s">
        <v>114</v>
      </c>
      <c r="D24" s="130">
        <v>1000</v>
      </c>
      <c r="E24" s="53">
        <v>1</v>
      </c>
      <c r="F24" s="8">
        <v>164.08199999999999</v>
      </c>
      <c r="G24" s="9">
        <f t="shared" si="1"/>
        <v>113.16</v>
      </c>
      <c r="H24" s="10">
        <f t="shared" si="2"/>
        <v>164.08</v>
      </c>
      <c r="I24" s="42"/>
      <c r="J24" s="89">
        <f t="shared" si="0"/>
        <v>1</v>
      </c>
      <c r="K24" s="9">
        <f t="shared" si="3"/>
        <v>106.65</v>
      </c>
      <c r="L24" s="9">
        <f t="shared" si="4"/>
        <v>106.65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106.65</v>
      </c>
      <c r="T24" s="14">
        <f t="shared" si="6"/>
        <v>106.65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339</v>
      </c>
      <c r="C25" s="4" t="s">
        <v>147</v>
      </c>
      <c r="D25" s="129" t="s">
        <v>138</v>
      </c>
      <c r="E25" s="54">
        <v>1</v>
      </c>
      <c r="F25" s="15">
        <v>2567.5589999999997</v>
      </c>
      <c r="G25" s="38">
        <f t="shared" si="1"/>
        <v>1770.73</v>
      </c>
      <c r="H25" s="39">
        <f t="shared" si="2"/>
        <v>2567.56</v>
      </c>
      <c r="I25" s="42"/>
      <c r="J25" s="88">
        <f t="shared" si="0"/>
        <v>1</v>
      </c>
      <c r="K25" s="38">
        <f t="shared" si="3"/>
        <v>1283.78</v>
      </c>
      <c r="L25" s="38">
        <f t="shared" si="4"/>
        <v>1283.78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1283.78</v>
      </c>
      <c r="T25" s="52">
        <f t="shared" si="6"/>
        <v>1283.78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340</v>
      </c>
      <c r="C26" s="6" t="s">
        <v>144</v>
      </c>
      <c r="D26" s="130" t="s">
        <v>138</v>
      </c>
      <c r="E26" s="53">
        <v>1</v>
      </c>
      <c r="F26" s="8">
        <v>822.86639999999989</v>
      </c>
      <c r="G26" s="9">
        <f t="shared" si="1"/>
        <v>567.49</v>
      </c>
      <c r="H26" s="10">
        <f t="shared" si="2"/>
        <v>822.87</v>
      </c>
      <c r="I26" s="42"/>
      <c r="J26" s="89">
        <f t="shared" si="0"/>
        <v>1</v>
      </c>
      <c r="K26" s="9">
        <f t="shared" si="3"/>
        <v>411.43</v>
      </c>
      <c r="L26" s="9">
        <f t="shared" si="4"/>
        <v>411.43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411.43</v>
      </c>
      <c r="T26" s="14">
        <f t="shared" si="6"/>
        <v>411.43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341</v>
      </c>
      <c r="C27" s="4" t="s">
        <v>137</v>
      </c>
      <c r="D27" s="129" t="s">
        <v>138</v>
      </c>
      <c r="E27" s="54">
        <v>1</v>
      </c>
      <c r="F27" s="15">
        <v>12782.78</v>
      </c>
      <c r="G27" s="38">
        <f t="shared" si="1"/>
        <v>8815.7099999999991</v>
      </c>
      <c r="H27" s="39">
        <f t="shared" si="2"/>
        <v>12782.78</v>
      </c>
      <c r="I27" s="42"/>
      <c r="J27" s="88">
        <f t="shared" si="0"/>
        <v>1</v>
      </c>
      <c r="K27" s="38">
        <f t="shared" si="3"/>
        <v>6391.39</v>
      </c>
      <c r="L27" s="38">
        <f t="shared" si="4"/>
        <v>6391.39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6391.39</v>
      </c>
      <c r="T27" s="52">
        <f t="shared" si="6"/>
        <v>6391.39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342</v>
      </c>
      <c r="C28" s="6" t="s">
        <v>149</v>
      </c>
      <c r="D28" s="130" t="s">
        <v>138</v>
      </c>
      <c r="E28" s="53">
        <v>6</v>
      </c>
      <c r="F28" s="8">
        <v>993.24</v>
      </c>
      <c r="G28" s="9">
        <f t="shared" si="1"/>
        <v>684.99</v>
      </c>
      <c r="H28" s="10">
        <f t="shared" si="2"/>
        <v>5959.44</v>
      </c>
      <c r="I28" s="42"/>
      <c r="J28" s="89">
        <f t="shared" si="0"/>
        <v>6</v>
      </c>
      <c r="K28" s="9">
        <f t="shared" si="3"/>
        <v>695.27</v>
      </c>
      <c r="L28" s="9">
        <f t="shared" si="4"/>
        <v>4171.62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695.27</v>
      </c>
      <c r="T28" s="14">
        <f t="shared" si="6"/>
        <v>4171.62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343</v>
      </c>
      <c r="C29" s="4" t="s">
        <v>321</v>
      </c>
      <c r="D29" s="129" t="s">
        <v>138</v>
      </c>
      <c r="E29" s="54">
        <v>1</v>
      </c>
      <c r="F29" s="15">
        <v>185.79</v>
      </c>
      <c r="G29" s="38">
        <f>ROUND(IF($F$17="USD $", F29*$E$15,F29*$D$15),2)</f>
        <v>128.13</v>
      </c>
      <c r="H29" s="39">
        <f>ROUND(IF($H$17=$G$17,E29*G29,E29*F29),2)</f>
        <v>185.79</v>
      </c>
      <c r="I29" s="42"/>
      <c r="J29" s="88">
        <f t="shared" si="0"/>
        <v>1</v>
      </c>
      <c r="K29" s="38">
        <f t="shared" si="3"/>
        <v>102.18</v>
      </c>
      <c r="L29" s="38">
        <f>ROUND((J29*K29),2)</f>
        <v>102.18</v>
      </c>
      <c r="M29" s="132" t="s">
        <v>112</v>
      </c>
      <c r="N29" s="16">
        <v>0.45</v>
      </c>
      <c r="O29" s="51"/>
      <c r="P29" s="1"/>
      <c r="Q29" s="15"/>
      <c r="R29" s="40">
        <f t="shared" si="9"/>
        <v>0</v>
      </c>
      <c r="S29" s="52">
        <f t="shared" si="5"/>
        <v>102.18</v>
      </c>
      <c r="T29" s="52">
        <f t="shared" si="6"/>
        <v>102.18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344</v>
      </c>
      <c r="C30" s="6" t="s">
        <v>319</v>
      </c>
      <c r="D30" s="130" t="s">
        <v>138</v>
      </c>
      <c r="E30" s="53">
        <v>1</v>
      </c>
      <c r="F30" s="8">
        <v>196.94</v>
      </c>
      <c r="G30" s="9">
        <f t="shared" si="1"/>
        <v>135.82</v>
      </c>
      <c r="H30" s="10">
        <f t="shared" si="2"/>
        <v>196.94</v>
      </c>
      <c r="I30" s="42"/>
      <c r="J30" s="89">
        <f t="shared" si="0"/>
        <v>1</v>
      </c>
      <c r="K30" s="9">
        <f t="shared" si="3"/>
        <v>108.32</v>
      </c>
      <c r="L30" s="9">
        <f t="shared" si="4"/>
        <v>108.32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108.32</v>
      </c>
      <c r="T30" s="14">
        <f t="shared" si="6"/>
        <v>108.32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345</v>
      </c>
      <c r="C31" s="4" t="s">
        <v>158</v>
      </c>
      <c r="D31" s="129" t="s">
        <v>138</v>
      </c>
      <c r="E31" s="54">
        <v>2</v>
      </c>
      <c r="F31" s="15">
        <v>234.92</v>
      </c>
      <c r="G31" s="38">
        <f t="shared" si="1"/>
        <v>162.01</v>
      </c>
      <c r="H31" s="39">
        <f t="shared" si="2"/>
        <v>469.84</v>
      </c>
      <c r="I31" s="42"/>
      <c r="J31" s="88">
        <f t="shared" si="0"/>
        <v>2</v>
      </c>
      <c r="K31" s="38">
        <f t="shared" si="3"/>
        <v>129.21</v>
      </c>
      <c r="L31" s="38">
        <f t="shared" si="4"/>
        <v>258.42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129.21</v>
      </c>
      <c r="T31" s="52">
        <f t="shared" si="6"/>
        <v>258.42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346</v>
      </c>
      <c r="C32" s="6" t="s">
        <v>158</v>
      </c>
      <c r="D32" s="130" t="s">
        <v>138</v>
      </c>
      <c r="E32" s="53">
        <v>1</v>
      </c>
      <c r="F32" s="8">
        <v>325.91000000000003</v>
      </c>
      <c r="G32" s="9">
        <f t="shared" si="1"/>
        <v>224.77</v>
      </c>
      <c r="H32" s="10">
        <f t="shared" si="2"/>
        <v>325.91000000000003</v>
      </c>
      <c r="I32" s="42"/>
      <c r="J32" s="89">
        <f t="shared" si="0"/>
        <v>1</v>
      </c>
      <c r="K32" s="9">
        <f t="shared" si="3"/>
        <v>179.25</v>
      </c>
      <c r="L32" s="9">
        <f t="shared" si="4"/>
        <v>179.25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179.25</v>
      </c>
      <c r="T32" s="14">
        <f t="shared" si="6"/>
        <v>179.25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347</v>
      </c>
      <c r="C33" s="4" t="s">
        <v>348</v>
      </c>
      <c r="D33" s="129" t="s">
        <v>138</v>
      </c>
      <c r="E33" s="54">
        <v>33</v>
      </c>
      <c r="F33" s="15">
        <v>1.87</v>
      </c>
      <c r="G33" s="38">
        <f t="shared" si="1"/>
        <v>1.29</v>
      </c>
      <c r="H33" s="39">
        <f t="shared" si="2"/>
        <v>61.71</v>
      </c>
      <c r="I33" s="42"/>
      <c r="J33" s="88">
        <f t="shared" si="0"/>
        <v>33</v>
      </c>
      <c r="K33" s="38">
        <f t="shared" si="3"/>
        <v>1.03</v>
      </c>
      <c r="L33" s="38">
        <f t="shared" si="4"/>
        <v>33.99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1.03</v>
      </c>
      <c r="T33" s="52">
        <f t="shared" si="6"/>
        <v>33.99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349</v>
      </c>
      <c r="C34" s="6" t="s">
        <v>350</v>
      </c>
      <c r="D34" s="130" t="s">
        <v>138</v>
      </c>
      <c r="E34" s="53">
        <v>33</v>
      </c>
      <c r="F34" s="8">
        <v>0.56999999999999995</v>
      </c>
      <c r="G34" s="9">
        <f t="shared" si="1"/>
        <v>0.39</v>
      </c>
      <c r="H34" s="10">
        <f t="shared" si="2"/>
        <v>18.809999999999999</v>
      </c>
      <c r="I34" s="42"/>
      <c r="J34" s="89">
        <f t="shared" si="0"/>
        <v>33</v>
      </c>
      <c r="K34" s="9">
        <f t="shared" si="3"/>
        <v>0.31</v>
      </c>
      <c r="L34" s="9">
        <f t="shared" si="4"/>
        <v>10.23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0.31</v>
      </c>
      <c r="T34" s="14">
        <f t="shared" si="6"/>
        <v>10.23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351</v>
      </c>
      <c r="C35" s="4" t="s">
        <v>352</v>
      </c>
      <c r="D35" s="129" t="s">
        <v>138</v>
      </c>
      <c r="E35" s="54">
        <v>3</v>
      </c>
      <c r="F35" s="15">
        <v>2046.93</v>
      </c>
      <c r="G35" s="38">
        <f t="shared" si="1"/>
        <v>1411.68</v>
      </c>
      <c r="H35" s="39">
        <f t="shared" si="2"/>
        <v>6140.79</v>
      </c>
      <c r="I35" s="42"/>
      <c r="J35" s="88">
        <f t="shared" si="0"/>
        <v>3</v>
      </c>
      <c r="K35" s="38">
        <f t="shared" si="3"/>
        <v>1125.81</v>
      </c>
      <c r="L35" s="38">
        <f t="shared" si="4"/>
        <v>3377.43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1125.81</v>
      </c>
      <c r="T35" s="52">
        <f t="shared" si="6"/>
        <v>3377.43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353</v>
      </c>
      <c r="C36" s="6" t="s">
        <v>354</v>
      </c>
      <c r="D36" s="130" t="s">
        <v>138</v>
      </c>
      <c r="E36" s="53">
        <v>3</v>
      </c>
      <c r="F36" s="8">
        <v>129.46</v>
      </c>
      <c r="G36" s="9">
        <f t="shared" si="1"/>
        <v>89.28</v>
      </c>
      <c r="H36" s="10">
        <f t="shared" si="2"/>
        <v>388.38</v>
      </c>
      <c r="I36" s="42"/>
      <c r="J36" s="89">
        <f t="shared" si="0"/>
        <v>3</v>
      </c>
      <c r="K36" s="9">
        <f t="shared" si="3"/>
        <v>71.2</v>
      </c>
      <c r="L36" s="9">
        <f t="shared" si="4"/>
        <v>213.6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71.2</v>
      </c>
      <c r="T36" s="14">
        <f t="shared" si="6"/>
        <v>213.6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355</v>
      </c>
      <c r="C37" s="4" t="s">
        <v>356</v>
      </c>
      <c r="D37" s="129" t="s">
        <v>138</v>
      </c>
      <c r="E37" s="54">
        <v>3</v>
      </c>
      <c r="F37" s="15">
        <v>32.15</v>
      </c>
      <c r="G37" s="38">
        <f t="shared" si="1"/>
        <v>22.17</v>
      </c>
      <c r="H37" s="39">
        <f t="shared" si="2"/>
        <v>96.45</v>
      </c>
      <c r="I37" s="42"/>
      <c r="J37" s="88">
        <f t="shared" si="0"/>
        <v>3</v>
      </c>
      <c r="K37" s="38">
        <f t="shared" si="3"/>
        <v>17.68</v>
      </c>
      <c r="L37" s="38">
        <f t="shared" si="4"/>
        <v>53.04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17.68</v>
      </c>
      <c r="T37" s="52">
        <f t="shared" si="6"/>
        <v>53.04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>
        <v>0</v>
      </c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357</v>
      </c>
      <c r="C39" s="4" t="s">
        <v>358</v>
      </c>
      <c r="D39" s="129" t="s">
        <v>138</v>
      </c>
      <c r="E39" s="54">
        <v>1</v>
      </c>
      <c r="F39" s="15">
        <v>94078.760000000009</v>
      </c>
      <c r="G39" s="38">
        <f t="shared" si="1"/>
        <v>64881.9</v>
      </c>
      <c r="H39" s="39">
        <f t="shared" si="2"/>
        <v>94078.76</v>
      </c>
      <c r="I39" s="42"/>
      <c r="J39" s="88">
        <f t="shared" si="0"/>
        <v>1</v>
      </c>
      <c r="K39" s="38">
        <f t="shared" si="3"/>
        <v>51743.32</v>
      </c>
      <c r="L39" s="38">
        <f t="shared" si="4"/>
        <v>51743.32</v>
      </c>
      <c r="M39" s="132" t="s">
        <v>112</v>
      </c>
      <c r="N39" s="16">
        <v>0.45</v>
      </c>
      <c r="O39" s="51"/>
      <c r="P39" s="1"/>
      <c r="Q39" s="15"/>
      <c r="R39" s="40">
        <f t="shared" si="9"/>
        <v>0</v>
      </c>
      <c r="S39" s="52">
        <f t="shared" si="5"/>
        <v>51743.32</v>
      </c>
      <c r="T39" s="52">
        <f t="shared" si="6"/>
        <v>51743.32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97</v>
      </c>
      <c r="F49" s="78">
        <f>SUM(F18:F48)</f>
        <v>115579.94900000001</v>
      </c>
      <c r="G49" s="79">
        <f>SUM(G18:G48)</f>
        <v>79710.3</v>
      </c>
      <c r="H49" s="80">
        <f>SUM(H18:H48)</f>
        <v>125276.23999999999</v>
      </c>
      <c r="I49" s="81"/>
      <c r="J49" s="82">
        <f>SUM(J18:J48)</f>
        <v>97</v>
      </c>
      <c r="K49" s="79">
        <f>SUM(K18:K48)</f>
        <v>62925.55</v>
      </c>
      <c r="L49" s="80">
        <f>SUM(L18:L48)</f>
        <v>69003.37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62925.55</v>
      </c>
      <c r="T49" s="80">
        <f>SUM(T18:T48)</f>
        <v>69003.37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M18:M48" xr:uid="{F76B2AF6-F261-416D-BFA4-4E7DE0762D82}">
      <formula1>$Y$31:$Y$32</formula1>
    </dataValidation>
    <dataValidation type="list" showInputMessage="1" showErrorMessage="1" sqref="D18:D48" xr:uid="{B8B476FC-8CDE-45BE-B0C4-7FBAEA3E4348}">
      <formula1>$Z$18:$Z$29</formula1>
    </dataValidation>
    <dataValidation type="list" allowBlank="1" showInputMessage="1" showErrorMessage="1" sqref="I13" xr:uid="{48FEF988-C528-4399-BC84-50211F79F28C}">
      <formula1>$K$9:$K$9</formula1>
    </dataValidation>
    <dataValidation type="list" allowBlank="1" showInputMessage="1" showErrorMessage="1" sqref="H13" xr:uid="{4745A69F-5FD3-43BA-B39F-4B52B56AEEF0}">
      <formula1>$Y$13:$Y$14</formula1>
    </dataValidation>
    <dataValidation type="list" allowBlank="1" showInputMessage="1" showErrorMessage="1" sqref="F17 K17 Q17 Q14" xr:uid="{AA62C4E0-828C-48AB-B2DE-206B30EB90B2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6282-5475-4475-81D3-11265D5E1251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371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373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M18:M48" xr:uid="{053049D2-9219-4E0F-8736-9CBC25574EFA}">
      <formula1>$Y$31:$Y$32</formula1>
    </dataValidation>
    <dataValidation type="list" showInputMessage="1" showErrorMessage="1" sqref="D18:D48" xr:uid="{8F149C87-9FAB-4E77-A06D-0E28BC2F61F0}">
      <formula1>$Z$18:$Z$29</formula1>
    </dataValidation>
    <dataValidation type="list" allowBlank="1" showInputMessage="1" showErrorMessage="1" sqref="I13" xr:uid="{C5C057C1-C317-4B19-ACB7-940F4B353744}">
      <formula1>$K$9:$K$9</formula1>
    </dataValidation>
    <dataValidation type="list" allowBlank="1" showInputMessage="1" showErrorMessage="1" sqref="H13" xr:uid="{F1AFDDD7-837E-4928-813B-156131E76186}">
      <formula1>$Y$13:$Y$14</formula1>
    </dataValidation>
    <dataValidation type="list" allowBlank="1" showInputMessage="1" showErrorMessage="1" sqref="F17 K17 Q17 Q14" xr:uid="{D92EF855-6367-4B4D-9E74-E9AF8A2423B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EBDC-7CB2-43C7-8565-08D0073062E6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392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393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disablePrompts="1" count="5">
    <dataValidation type="list" allowBlank="1" showInputMessage="1" showErrorMessage="1" sqref="F17 K17 Q17 Q14" xr:uid="{692E0F6A-9924-4A66-B5DF-0CA181D8A7CD}">
      <formula1>$Y$11:$Y$12</formula1>
    </dataValidation>
    <dataValidation type="list" allowBlank="1" showInputMessage="1" showErrorMessage="1" sqref="H13" xr:uid="{43A7321D-4CBE-4834-999D-276CC4BFFA27}">
      <formula1>$Y$13:$Y$14</formula1>
    </dataValidation>
    <dataValidation type="list" allowBlank="1" showInputMessage="1" showErrorMessage="1" sqref="I13" xr:uid="{0F95F44C-4B3D-4FA7-A3D8-E77B07501CFF}">
      <formula1>$K$9:$K$9</formula1>
    </dataValidation>
    <dataValidation type="list" showInputMessage="1" showErrorMessage="1" sqref="D18:D48" xr:uid="{68A0ABA7-A025-4E5F-A0DD-FE8805CAA366}">
      <formula1>$Z$18:$Z$29</formula1>
    </dataValidation>
    <dataValidation type="list" allowBlank="1" showInputMessage="1" showErrorMessage="1" sqref="M18:M48" xr:uid="{8C530807-07F2-46E3-8560-8052BBFE6C72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05B1-D6DF-4351-BE94-6D1783156F98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394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395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M18:M48" xr:uid="{5D0B7007-A899-4589-8AE7-59BF45411F99}">
      <formula1>$Y$31:$Y$32</formula1>
    </dataValidation>
    <dataValidation type="list" showInputMessage="1" showErrorMessage="1" sqref="D18:D48" xr:uid="{02F2FA0B-20D2-4363-8441-B2F075EC44B3}">
      <formula1>$Z$18:$Z$29</formula1>
    </dataValidation>
    <dataValidation type="list" allowBlank="1" showInputMessage="1" showErrorMessage="1" sqref="I13" xr:uid="{8B5EF40E-53B2-47CC-8FF4-A8ED8A20061B}">
      <formula1>$K$9:$K$9</formula1>
    </dataValidation>
    <dataValidation type="list" allowBlank="1" showInputMessage="1" showErrorMessage="1" sqref="H13" xr:uid="{C6DE3969-4437-4325-819C-602DB93B20A4}">
      <formula1>$Y$13:$Y$14</formula1>
    </dataValidation>
    <dataValidation type="list" allowBlank="1" showInputMessage="1" showErrorMessage="1" sqref="F17 K17 Q17 Q14" xr:uid="{63C310BB-CA0B-4862-96A2-E4933DFA94B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F94E-D925-4F09-9EE4-2E84A4A50FB5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396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397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M18:M48" xr:uid="{5DF013CB-1284-4FBF-9308-DFF9C5BEC303}">
      <formula1>$Y$31:$Y$32</formula1>
    </dataValidation>
    <dataValidation type="list" showInputMessage="1" showErrorMessage="1" sqref="D18:D48" xr:uid="{91AB0679-66BF-4798-BFF8-3E2FB6DBB9BE}">
      <formula1>$Z$18:$Z$29</formula1>
    </dataValidation>
    <dataValidation type="list" allowBlank="1" showInputMessage="1" showErrorMessage="1" sqref="I13" xr:uid="{D41BE3EF-DC46-4E21-BD8A-1163A29BD9D4}">
      <formula1>$K$9:$K$9</formula1>
    </dataValidation>
    <dataValidation type="list" allowBlank="1" showInputMessage="1" showErrorMessage="1" sqref="H13" xr:uid="{19A3948F-BFF5-4049-889E-56E28FA166A7}">
      <formula1>$Y$13:$Y$14</formula1>
    </dataValidation>
    <dataValidation type="list" allowBlank="1" showInputMessage="1" showErrorMessage="1" sqref="F17 K17 Q17 Q14" xr:uid="{1DBD0AD2-D489-43B3-B420-733128CDD32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1755-C5A1-4E7D-9A97-4A0593704385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398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399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F17 K17 Q17 Q14" xr:uid="{04E4A0B7-DBB8-4B81-BFF7-3B64F038314F}">
      <formula1>$Y$11:$Y$12</formula1>
    </dataValidation>
    <dataValidation type="list" allowBlank="1" showInputMessage="1" showErrorMessage="1" sqref="H13" xr:uid="{F49A2517-BA59-4169-9607-40823CFE7B23}">
      <formula1>$Y$13:$Y$14</formula1>
    </dataValidation>
    <dataValidation type="list" allowBlank="1" showInputMessage="1" showErrorMessage="1" sqref="I13" xr:uid="{0D716295-8A1D-4B69-B829-22EEAC13E98B}">
      <formula1>$K$9:$K$9</formula1>
    </dataValidation>
    <dataValidation type="list" showInputMessage="1" showErrorMessage="1" sqref="D18:D48" xr:uid="{2B085958-2CC3-41AD-B96E-317296E33D01}">
      <formula1>$Z$18:$Z$29</formula1>
    </dataValidation>
    <dataValidation type="list" allowBlank="1" showInputMessage="1" showErrorMessage="1" sqref="M18:M48" xr:uid="{028FC531-094E-41BE-A7A9-C61F5A7A1C5D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769A3-B315-408A-A918-05FCCB97E1B2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400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401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M18:M48" xr:uid="{34943AEC-5AD4-4A99-85AE-9D9A9D10B842}">
      <formula1>$Y$31:$Y$32</formula1>
    </dataValidation>
    <dataValidation type="list" showInputMessage="1" showErrorMessage="1" sqref="D18:D48" xr:uid="{D1D36468-3017-47F3-8A0E-2CF9AFE218B9}">
      <formula1>$Z$18:$Z$29</formula1>
    </dataValidation>
    <dataValidation type="list" allowBlank="1" showInputMessage="1" showErrorMessage="1" sqref="I13" xr:uid="{ED426C8A-4DD2-42D9-9D6A-BE05D569AF3D}">
      <formula1>$K$9:$K$9</formula1>
    </dataValidation>
    <dataValidation type="list" allowBlank="1" showInputMessage="1" showErrorMessage="1" sqref="H13" xr:uid="{AEC24EE3-C216-4975-AFC2-A73D15A5C5F5}">
      <formula1>$Y$13:$Y$14</formula1>
    </dataValidation>
    <dataValidation type="list" allowBlank="1" showInputMessage="1" showErrorMessage="1" sqref="F17 K17 Q17 Q14" xr:uid="{1FB0E5C0-DAFA-428C-B9F7-805DC9FD671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38D7-E85C-4E6E-B1FE-8726D85CE12D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402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403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F17 K17 Q17 Q14" xr:uid="{DE2372BC-BE3C-484F-81D6-700A38650684}">
      <formula1>$Y$11:$Y$12</formula1>
    </dataValidation>
    <dataValidation type="list" allowBlank="1" showInputMessage="1" showErrorMessage="1" sqref="H13" xr:uid="{AA0A7F33-D504-411A-ACE3-77679EC8542D}">
      <formula1>$Y$13:$Y$14</formula1>
    </dataValidation>
    <dataValidation type="list" allowBlank="1" showInputMessage="1" showErrorMessage="1" sqref="I13" xr:uid="{AFE9ED20-660B-4F19-A636-DB4695C85C88}">
      <formula1>$K$9:$K$9</formula1>
    </dataValidation>
    <dataValidation type="list" showInputMessage="1" showErrorMessage="1" sqref="D18:D48" xr:uid="{B3B301FC-5B9B-42F6-A42C-3300FE2E7376}">
      <formula1>$Z$18:$Z$29</formula1>
    </dataValidation>
    <dataValidation type="list" allowBlank="1" showInputMessage="1" showErrorMessage="1" sqref="M18:M48" xr:uid="{CCB1F42A-C6A3-439A-9784-171E7C1735F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1C46-0315-463D-AEFD-75A734872F6B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404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405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F17 K17 Q17 Q14" xr:uid="{639B7FDB-CF0E-4DA8-9D90-83F7DF95BE8B}">
      <formula1>$Y$11:$Y$12</formula1>
    </dataValidation>
    <dataValidation type="list" allowBlank="1" showInputMessage="1" showErrorMessage="1" sqref="H13" xr:uid="{C1E1D867-2E5B-4EAF-BE48-BEA66CBAD502}">
      <formula1>$Y$13:$Y$14</formula1>
    </dataValidation>
    <dataValidation type="list" allowBlank="1" showInputMessage="1" showErrorMessage="1" sqref="I13" xr:uid="{3A7B1991-013B-4599-B96B-FCC83A0B748D}">
      <formula1>$K$9:$K$9</formula1>
    </dataValidation>
    <dataValidation type="list" showInputMessage="1" showErrorMessage="1" sqref="D18:D48" xr:uid="{9807215F-7DBE-44A7-9E7E-97E397637E89}">
      <formula1>$Z$18:$Z$29</formula1>
    </dataValidation>
    <dataValidation type="list" allowBlank="1" showInputMessage="1" showErrorMessage="1" sqref="M18:M48" xr:uid="{52067136-0DD8-4969-A4E3-0A352DFF6B0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40E7-CA81-4676-BD17-979B742FA5F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406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407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M18:M48" xr:uid="{A0D22EDA-9EEB-4063-BD46-45166E06446B}">
      <formula1>$Y$31:$Y$32</formula1>
    </dataValidation>
    <dataValidation type="list" showInputMessage="1" showErrorMessage="1" sqref="D18:D48" xr:uid="{4CD3C67D-D93E-4471-A3BB-B289E8E1F8C2}">
      <formula1>$Z$18:$Z$29</formula1>
    </dataValidation>
    <dataValidation type="list" allowBlank="1" showInputMessage="1" showErrorMessage="1" sqref="I13" xr:uid="{F5E9C6D7-F5F4-445B-9D4B-6B374814134B}">
      <formula1>$K$9:$K$9</formula1>
    </dataValidation>
    <dataValidation type="list" allowBlank="1" showInputMessage="1" showErrorMessage="1" sqref="H13" xr:uid="{BB61B109-4CF4-4893-AA12-64023391093F}">
      <formula1>$Y$13:$Y$14</formula1>
    </dataValidation>
    <dataValidation type="list" allowBlank="1" showInputMessage="1" showErrorMessage="1" sqref="F17 K17 Q17 Q14" xr:uid="{F3C103D8-577E-4EC6-A594-30BAD2C1C36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AC14-FF8A-43B5-8D13-7C05DD85C8E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408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409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F17 K17 Q17 Q14" xr:uid="{260B9FBE-390A-49A1-94FE-4C64D18096DF}">
      <formula1>$Y$11:$Y$12</formula1>
    </dataValidation>
    <dataValidation type="list" allowBlank="1" showInputMessage="1" showErrorMessage="1" sqref="H13" xr:uid="{17FE8CDB-6AE7-4071-BE5B-CF26F4E5178D}">
      <formula1>$Y$13:$Y$14</formula1>
    </dataValidation>
    <dataValidation type="list" allowBlank="1" showInputMessage="1" showErrorMessage="1" sqref="I13" xr:uid="{FD3248C1-EFE8-4B1E-9CED-7D5814457154}">
      <formula1>$K$9:$K$9</formula1>
    </dataValidation>
    <dataValidation type="list" showInputMessage="1" showErrorMessage="1" sqref="D18:D48" xr:uid="{3BE69263-C832-409E-9696-81E7D55737B2}">
      <formula1>$Z$18:$Z$29</formula1>
    </dataValidation>
    <dataValidation type="list" allowBlank="1" showInputMessage="1" showErrorMessage="1" sqref="M18:M48" xr:uid="{31CDECBE-A850-42D0-A994-C8401C34430B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EE97-FE65-4C1A-9B7B-5B92E7E9E3F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410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411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412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M18:M48" xr:uid="{51DC7AD5-981C-4AF8-BA78-FEE51E180EE2}">
      <formula1>$Y$31:$Y$32</formula1>
    </dataValidation>
    <dataValidation type="list" showInputMessage="1" showErrorMessage="1" sqref="D18:D48" xr:uid="{6D605091-F595-4F4C-B92F-9031C04F6975}">
      <formula1>$Z$18:$Z$29</formula1>
    </dataValidation>
    <dataValidation type="list" allowBlank="1" showInputMessage="1" showErrorMessage="1" sqref="I13" xr:uid="{07585CBA-269A-4E84-8C53-8C8E95651605}">
      <formula1>$K$9:$K$9</formula1>
    </dataValidation>
    <dataValidation type="list" allowBlank="1" showInputMessage="1" showErrorMessage="1" sqref="H13" xr:uid="{44830EA6-7BF1-4AF0-82F6-63AD3242B376}">
      <formula1>$Y$13:$Y$14</formula1>
    </dataValidation>
    <dataValidation type="list" allowBlank="1" showInputMessage="1" showErrorMessage="1" sqref="F17 K17 Q17 Q14" xr:uid="{D9289865-C7A0-473D-929A-19F593CFB2E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1153-117F-4C89-81B2-351FAF46958F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413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411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414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F17 K17 Q17 Q14" xr:uid="{CA082B26-295A-4095-AA24-1B70B1E20223}">
      <formula1>$Y$11:$Y$12</formula1>
    </dataValidation>
    <dataValidation type="list" allowBlank="1" showInputMessage="1" showErrorMessage="1" sqref="H13" xr:uid="{E117669D-E364-4CCE-9984-2E75AA527B8C}">
      <formula1>$Y$13:$Y$14</formula1>
    </dataValidation>
    <dataValidation type="list" allowBlank="1" showInputMessage="1" showErrorMessage="1" sqref="I13" xr:uid="{04F2385C-1A8E-452C-A0B3-DF21E5AD9304}">
      <formula1>$K$9:$K$9</formula1>
    </dataValidation>
    <dataValidation type="list" showInputMessage="1" showErrorMessage="1" sqref="D18:D48" xr:uid="{E5581B4C-7AFD-4177-83B8-FE7D7D6BF369}">
      <formula1>$Z$18:$Z$29</formula1>
    </dataValidation>
    <dataValidation type="list" allowBlank="1" showInputMessage="1" showErrorMessage="1" sqref="M18:M48" xr:uid="{3A0ACDBD-9199-4F51-B733-29B0E6DCA3EC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A2CD-927D-4865-8EA9-2ADE890CB88F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415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411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416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M18:M48" xr:uid="{666D99F5-BA43-48E9-9079-6856424F0399}">
      <formula1>$Y$31:$Y$32</formula1>
    </dataValidation>
    <dataValidation type="list" showInputMessage="1" showErrorMessage="1" sqref="D18:D48" xr:uid="{552EA29D-6B73-45E4-BEA1-A2F63BFD9646}">
      <formula1>$Z$18:$Z$29</formula1>
    </dataValidation>
    <dataValidation type="list" allowBlank="1" showInputMessage="1" showErrorMessage="1" sqref="I13" xr:uid="{5E781145-BAF9-403F-8F60-8E1C8A9CAA76}">
      <formula1>$K$9:$K$9</formula1>
    </dataValidation>
    <dataValidation type="list" allowBlank="1" showInputMessage="1" showErrorMessage="1" sqref="H13" xr:uid="{3FA00840-A68A-4C60-8C92-E7FA6AFDB0C6}">
      <formula1>$Y$13:$Y$14</formula1>
    </dataValidation>
    <dataValidation type="list" allowBlank="1" showInputMessage="1" showErrorMessage="1" sqref="F17 K17 Q17 Q14" xr:uid="{8F15BBB4-60AB-4689-9418-4097A62E353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B6D7-E05C-437E-8C67-314E9229AC59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417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107639.42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55300.22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52339.199999999997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372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0.48624565238274231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418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55300.22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53850.22</v>
      </c>
      <c r="U9" s="235">
        <f>IFERROR(((P3-S9)/S9),0)</f>
        <v>37.138082758620691</v>
      </c>
      <c r="V9" s="235">
        <f>IFERROR(T9/P3,0)</f>
        <v>0.97377948948485193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374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375</v>
      </c>
      <c r="C19" s="4" t="s">
        <v>125</v>
      </c>
      <c r="D19" s="129">
        <v>500</v>
      </c>
      <c r="E19" s="54">
        <v>1</v>
      </c>
      <c r="F19" s="15">
        <v>198.95</v>
      </c>
      <c r="G19" s="38">
        <f t="shared" ref="G19:G48" si="1">ROUND(IF($F$17="USD $", F19*$E$15,F19*$D$15),2)</f>
        <v>137.21</v>
      </c>
      <c r="H19" s="39">
        <f t="shared" ref="H19:H48" si="2">ROUND(IF($H$17=$G$17,E19*G19,E19*F19),2)</f>
        <v>198.95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99.48</v>
      </c>
      <c r="L19" s="38">
        <f t="shared" ref="L19:L48" si="4">ROUND((J19*K19),2)</f>
        <v>99.48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99.48</v>
      </c>
      <c r="T19" s="52">
        <f t="shared" ref="T19:T48" si="6">ROUND(L19-R19,2)</f>
        <v>99.48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376</v>
      </c>
      <c r="C20" s="6" t="s">
        <v>125</v>
      </c>
      <c r="D20" s="130">
        <v>500</v>
      </c>
      <c r="E20" s="53">
        <v>1</v>
      </c>
      <c r="F20" s="8">
        <v>233.62</v>
      </c>
      <c r="G20" s="9">
        <f t="shared" si="1"/>
        <v>161.12</v>
      </c>
      <c r="H20" s="10">
        <f t="shared" si="2"/>
        <v>233.62</v>
      </c>
      <c r="I20" s="42"/>
      <c r="J20" s="89">
        <f t="shared" si="0"/>
        <v>1</v>
      </c>
      <c r="K20" s="9">
        <f t="shared" si="3"/>
        <v>116.81</v>
      </c>
      <c r="L20" s="9">
        <f t="shared" si="4"/>
        <v>116.81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116.81</v>
      </c>
      <c r="T20" s="14">
        <f t="shared" si="6"/>
        <v>116.81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377</v>
      </c>
      <c r="C21" s="4" t="s">
        <v>221</v>
      </c>
      <c r="D21" s="129">
        <v>2000</v>
      </c>
      <c r="E21" s="54">
        <v>1</v>
      </c>
      <c r="F21" s="15">
        <v>126.77</v>
      </c>
      <c r="G21" s="38">
        <f t="shared" si="1"/>
        <v>87.43</v>
      </c>
      <c r="H21" s="39">
        <f t="shared" si="2"/>
        <v>126.77</v>
      </c>
      <c r="I21" s="42"/>
      <c r="J21" s="88">
        <f t="shared" si="0"/>
        <v>1</v>
      </c>
      <c r="K21" s="38">
        <f t="shared" si="3"/>
        <v>63.39</v>
      </c>
      <c r="L21" s="38">
        <f t="shared" si="4"/>
        <v>63.39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63.39</v>
      </c>
      <c r="T21" s="52">
        <f t="shared" si="6"/>
        <v>63.39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378</v>
      </c>
      <c r="C22" s="6" t="s">
        <v>114</v>
      </c>
      <c r="D22" s="130">
        <v>1000</v>
      </c>
      <c r="E22" s="53">
        <v>1</v>
      </c>
      <c r="F22" s="8">
        <v>131.29</v>
      </c>
      <c r="G22" s="9">
        <f t="shared" si="1"/>
        <v>90.54</v>
      </c>
      <c r="H22" s="10">
        <f t="shared" si="2"/>
        <v>131.29</v>
      </c>
      <c r="I22" s="42"/>
      <c r="J22" s="89">
        <f t="shared" si="0"/>
        <v>1</v>
      </c>
      <c r="K22" s="9">
        <f t="shared" si="3"/>
        <v>85.34</v>
      </c>
      <c r="L22" s="9">
        <f t="shared" si="4"/>
        <v>85.34</v>
      </c>
      <c r="M22" s="8" t="s">
        <v>112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85.34</v>
      </c>
      <c r="T22" s="14">
        <f t="shared" si="6"/>
        <v>85.34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336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380</v>
      </c>
      <c r="C24" s="6" t="s">
        <v>381</v>
      </c>
      <c r="D24" s="130">
        <v>1000</v>
      </c>
      <c r="E24" s="53">
        <v>1</v>
      </c>
      <c r="F24" s="8">
        <v>259.43</v>
      </c>
      <c r="G24" s="9">
        <f t="shared" si="1"/>
        <v>178.92</v>
      </c>
      <c r="H24" s="10">
        <f t="shared" si="2"/>
        <v>259.43</v>
      </c>
      <c r="I24" s="42"/>
      <c r="J24" s="89">
        <f t="shared" si="0"/>
        <v>1</v>
      </c>
      <c r="K24" s="9">
        <f t="shared" si="3"/>
        <v>129.72</v>
      </c>
      <c r="L24" s="9">
        <f t="shared" si="4"/>
        <v>129.72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129.72</v>
      </c>
      <c r="T24" s="14">
        <f t="shared" si="6"/>
        <v>129.72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382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383</v>
      </c>
      <c r="C26" s="6" t="s">
        <v>111</v>
      </c>
      <c r="D26" s="130">
        <v>1000</v>
      </c>
      <c r="E26" s="53">
        <v>1</v>
      </c>
      <c r="F26" s="8">
        <v>128.5</v>
      </c>
      <c r="G26" s="9">
        <f t="shared" si="1"/>
        <v>88.62</v>
      </c>
      <c r="H26" s="10">
        <f t="shared" si="2"/>
        <v>128.5</v>
      </c>
      <c r="I26" s="42"/>
      <c r="J26" s="89">
        <f t="shared" si="0"/>
        <v>1</v>
      </c>
      <c r="K26" s="9">
        <f t="shared" si="3"/>
        <v>83.53</v>
      </c>
      <c r="L26" s="9">
        <f t="shared" si="4"/>
        <v>83.53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83.53</v>
      </c>
      <c r="T26" s="14">
        <f t="shared" si="6"/>
        <v>83.53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384</v>
      </c>
      <c r="C27" s="4" t="s">
        <v>149</v>
      </c>
      <c r="D27" s="129" t="s">
        <v>138</v>
      </c>
      <c r="E27" s="54">
        <v>6</v>
      </c>
      <c r="F27" s="15">
        <v>1189.99</v>
      </c>
      <c r="G27" s="38">
        <f t="shared" si="1"/>
        <v>820.68</v>
      </c>
      <c r="H27" s="39">
        <f t="shared" si="2"/>
        <v>7139.94</v>
      </c>
      <c r="I27" s="42"/>
      <c r="J27" s="88">
        <f t="shared" si="0"/>
        <v>6</v>
      </c>
      <c r="K27" s="38">
        <f t="shared" si="3"/>
        <v>832.99</v>
      </c>
      <c r="L27" s="38">
        <f t="shared" si="4"/>
        <v>4997.9399999999996</v>
      </c>
      <c r="M27" s="132" t="s">
        <v>112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832.99</v>
      </c>
      <c r="T27" s="52">
        <f t="shared" si="6"/>
        <v>4997.9399999999996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385</v>
      </c>
      <c r="C28" s="6" t="s">
        <v>137</v>
      </c>
      <c r="D28" s="130" t="s">
        <v>138</v>
      </c>
      <c r="E28" s="53">
        <v>1</v>
      </c>
      <c r="F28" s="8">
        <v>18264.490000000002</v>
      </c>
      <c r="G28" s="9">
        <f t="shared" si="1"/>
        <v>12596.2</v>
      </c>
      <c r="H28" s="10">
        <f t="shared" si="2"/>
        <v>18264.490000000002</v>
      </c>
      <c r="I28" s="42"/>
      <c r="J28" s="89">
        <f t="shared" si="0"/>
        <v>1</v>
      </c>
      <c r="K28" s="9">
        <f t="shared" si="3"/>
        <v>9132.25</v>
      </c>
      <c r="L28" s="9">
        <f t="shared" si="4"/>
        <v>9132.25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9132.25</v>
      </c>
      <c r="T28" s="14">
        <f t="shared" si="6"/>
        <v>9132.25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386</v>
      </c>
      <c r="C29" s="4" t="s">
        <v>147</v>
      </c>
      <c r="D29" s="129" t="s">
        <v>138</v>
      </c>
      <c r="E29" s="54">
        <v>1</v>
      </c>
      <c r="F29" s="15">
        <v>16696.43</v>
      </c>
      <c r="G29" s="38">
        <f>ROUND(IF($F$17="USD $", F29*$E$15,F29*$D$15),2)</f>
        <v>11514.78</v>
      </c>
      <c r="H29" s="39">
        <f>ROUND(IF($H$17=$G$17,E29*G29,E29*F29),2)</f>
        <v>16696.43</v>
      </c>
      <c r="I29" s="42"/>
      <c r="J29" s="88">
        <f t="shared" si="0"/>
        <v>1</v>
      </c>
      <c r="K29" s="38">
        <f t="shared" si="3"/>
        <v>8348.2199999999993</v>
      </c>
      <c r="L29" s="38">
        <f>ROUND((J29*K29),2)</f>
        <v>8348.2199999999993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8348.2199999999993</v>
      </c>
      <c r="T29" s="52">
        <f t="shared" si="6"/>
        <v>8348.2199999999993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387</v>
      </c>
      <c r="C30" s="6" t="s">
        <v>144</v>
      </c>
      <c r="D30" s="130" t="s">
        <v>138</v>
      </c>
      <c r="E30" s="53">
        <v>1</v>
      </c>
      <c r="F30" s="8">
        <v>6442.61</v>
      </c>
      <c r="G30" s="9">
        <f t="shared" si="1"/>
        <v>4443.18</v>
      </c>
      <c r="H30" s="10">
        <f t="shared" si="2"/>
        <v>6442.61</v>
      </c>
      <c r="I30" s="42"/>
      <c r="J30" s="89">
        <f t="shared" si="0"/>
        <v>1</v>
      </c>
      <c r="K30" s="9">
        <f t="shared" si="3"/>
        <v>3221.31</v>
      </c>
      <c r="L30" s="9">
        <f t="shared" si="4"/>
        <v>3221.31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3221.31</v>
      </c>
      <c r="T30" s="14">
        <f t="shared" si="6"/>
        <v>3221.31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388</v>
      </c>
      <c r="C31" s="4" t="s">
        <v>389</v>
      </c>
      <c r="D31" s="129" t="s">
        <v>138</v>
      </c>
      <c r="E31" s="54">
        <v>2</v>
      </c>
      <c r="F31" s="15">
        <v>583.87</v>
      </c>
      <c r="G31" s="38">
        <f t="shared" si="1"/>
        <v>402.67</v>
      </c>
      <c r="H31" s="39">
        <f t="shared" si="2"/>
        <v>1167.74</v>
      </c>
      <c r="I31" s="42"/>
      <c r="J31" s="88">
        <f t="shared" si="0"/>
        <v>2</v>
      </c>
      <c r="K31" s="38">
        <f t="shared" si="3"/>
        <v>291.94</v>
      </c>
      <c r="L31" s="38">
        <f t="shared" si="4"/>
        <v>583.88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291.94</v>
      </c>
      <c r="T31" s="52">
        <f t="shared" si="6"/>
        <v>583.88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390</v>
      </c>
      <c r="C32" s="6" t="s">
        <v>391</v>
      </c>
      <c r="D32" s="130" t="s">
        <v>138</v>
      </c>
      <c r="E32" s="53">
        <v>6</v>
      </c>
      <c r="F32" s="8">
        <v>9401.44</v>
      </c>
      <c r="G32" s="9">
        <f t="shared" si="1"/>
        <v>6483.75</v>
      </c>
      <c r="H32" s="10">
        <f t="shared" si="2"/>
        <v>56408.639999999999</v>
      </c>
      <c r="I32" s="42"/>
      <c r="J32" s="89">
        <f t="shared" si="0"/>
        <v>6</v>
      </c>
      <c r="K32" s="9">
        <f t="shared" si="3"/>
        <v>4700.72</v>
      </c>
      <c r="L32" s="9">
        <f t="shared" si="4"/>
        <v>28204.32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4700.72</v>
      </c>
      <c r="T32" s="14">
        <f t="shared" si="6"/>
        <v>28204.32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54098.400000000009</v>
      </c>
      <c r="G49" s="79">
        <f>SUM(G18:G48)</f>
        <v>37309.24</v>
      </c>
      <c r="H49" s="80">
        <f>SUM(H18:H48)</f>
        <v>107639.42</v>
      </c>
      <c r="I49" s="81"/>
      <c r="J49" s="82">
        <f>SUM(J18:J48)</f>
        <v>26</v>
      </c>
      <c r="K49" s="79">
        <f>SUM(K18:K48)</f>
        <v>27339.730000000003</v>
      </c>
      <c r="L49" s="80">
        <f>SUM(L18:L48)</f>
        <v>55300.22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27339.730000000003</v>
      </c>
      <c r="T49" s="80">
        <f>SUM(T18:T48)</f>
        <v>55300.22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F17 K17 Q17 Q14" xr:uid="{2547D786-6E0A-41A3-A897-36C5821BC3D3}">
      <formula1>$Y$11:$Y$12</formula1>
    </dataValidation>
    <dataValidation type="list" allowBlank="1" showInputMessage="1" showErrorMessage="1" sqref="H13" xr:uid="{FF6C779C-A6BD-42E7-8325-ED84720DBB3D}">
      <formula1>$Y$13:$Y$14</formula1>
    </dataValidation>
    <dataValidation type="list" allowBlank="1" showInputMessage="1" showErrorMessage="1" sqref="I13" xr:uid="{7A8FC35A-3A27-4E3E-A0A4-30426CCA12B1}">
      <formula1>$K$9:$K$9</formula1>
    </dataValidation>
    <dataValidation type="list" showInputMessage="1" showErrorMessage="1" sqref="D18:D48" xr:uid="{AF2F8C08-81E2-4218-A4FC-364C46509CB0}">
      <formula1>$Z$18:$Z$29</formula1>
    </dataValidation>
    <dataValidation type="list" allowBlank="1" showInputMessage="1" showErrorMessage="1" sqref="M18:M48" xr:uid="{4AC59B62-3791-4820-869F-6A77592F505D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4592-FE52-4E58-B262-4850D2D87A8B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419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67312.78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37155.350000000006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30157.429999999993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420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0.44801938056933605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421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37155.350000000006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35705.350000000006</v>
      </c>
      <c r="U9" s="235">
        <f>IFERROR(((P3-S9)/S9),0)</f>
        <v>24.624379310344832</v>
      </c>
      <c r="V9" s="235">
        <f>IFERROR(T9/P3,0)</f>
        <v>0.96097466448304214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24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422</v>
      </c>
      <c r="C18" s="5" t="s">
        <v>122</v>
      </c>
      <c r="D18" s="128">
        <v>500</v>
      </c>
      <c r="E18" s="53">
        <v>1</v>
      </c>
      <c r="F18" s="8">
        <v>27.53</v>
      </c>
      <c r="G18" s="9">
        <f>ROUND(IF($F$17="USD $", F18*$E$15,F18*$D$15),2)</f>
        <v>18.989999999999998</v>
      </c>
      <c r="H18" s="10">
        <f>ROUND(IF($H$17=$G$17,E18*G18,E18*F18),2)</f>
        <v>27.53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423</v>
      </c>
      <c r="C19" s="4" t="s">
        <v>125</v>
      </c>
      <c r="D19" s="129">
        <v>500</v>
      </c>
      <c r="E19" s="54">
        <v>1</v>
      </c>
      <c r="F19" s="15">
        <v>81.8</v>
      </c>
      <c r="G19" s="38">
        <f t="shared" ref="G19:G48" si="1">ROUND(IF($F$17="USD $", F19*$E$15,F19*$D$15),2)</f>
        <v>56.41</v>
      </c>
      <c r="H19" s="39">
        <f t="shared" ref="H19:H48" si="2">ROUND(IF($H$17=$G$17,E19*G19,E19*F19),2)</f>
        <v>81.8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40.9</v>
      </c>
      <c r="L19" s="38">
        <f t="shared" ref="L19:L48" si="4">ROUND((J19*K19),2)</f>
        <v>40.9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40.9</v>
      </c>
      <c r="T19" s="52">
        <f t="shared" ref="T19:T48" si="6">ROUND(L19-R19,2)</f>
        <v>40.9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425</v>
      </c>
      <c r="C21" s="4" t="s">
        <v>114</v>
      </c>
      <c r="D21" s="129">
        <v>1000</v>
      </c>
      <c r="E21" s="54">
        <v>1</v>
      </c>
      <c r="F21" s="15">
        <v>107.11</v>
      </c>
      <c r="G21" s="38">
        <f t="shared" si="1"/>
        <v>73.87</v>
      </c>
      <c r="H21" s="39">
        <f t="shared" si="2"/>
        <v>107.11</v>
      </c>
      <c r="I21" s="42"/>
      <c r="J21" s="88">
        <f t="shared" si="0"/>
        <v>1</v>
      </c>
      <c r="K21" s="38">
        <f t="shared" si="3"/>
        <v>69.62</v>
      </c>
      <c r="L21" s="38">
        <f t="shared" si="4"/>
        <v>69.62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69.62</v>
      </c>
      <c r="T21" s="52">
        <f t="shared" si="6"/>
        <v>69.62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426</v>
      </c>
      <c r="C22" s="6" t="s">
        <v>131</v>
      </c>
      <c r="D22" s="130">
        <v>1000</v>
      </c>
      <c r="E22" s="53">
        <v>1</v>
      </c>
      <c r="F22" s="8">
        <v>164.32</v>
      </c>
      <c r="G22" s="9">
        <f t="shared" si="1"/>
        <v>113.32</v>
      </c>
      <c r="H22" s="10">
        <f t="shared" si="2"/>
        <v>164.32</v>
      </c>
      <c r="I22" s="42"/>
      <c r="J22" s="89">
        <f t="shared" si="0"/>
        <v>1</v>
      </c>
      <c r="K22" s="9">
        <f t="shared" si="3"/>
        <v>82.16</v>
      </c>
      <c r="L22" s="9">
        <f t="shared" si="4"/>
        <v>82.16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82.16</v>
      </c>
      <c r="T22" s="14">
        <f t="shared" si="6"/>
        <v>82.16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427</v>
      </c>
      <c r="C23" s="4" t="s">
        <v>111</v>
      </c>
      <c r="D23" s="129">
        <v>500</v>
      </c>
      <c r="E23" s="54">
        <v>1</v>
      </c>
      <c r="F23" s="15">
        <v>70.44</v>
      </c>
      <c r="G23" s="38">
        <f t="shared" si="1"/>
        <v>48.58</v>
      </c>
      <c r="H23" s="39">
        <f t="shared" si="2"/>
        <v>70.44</v>
      </c>
      <c r="I23" s="42"/>
      <c r="J23" s="88">
        <f t="shared" si="0"/>
        <v>1</v>
      </c>
      <c r="K23" s="38">
        <f t="shared" si="3"/>
        <v>45.79</v>
      </c>
      <c r="L23" s="38">
        <f t="shared" si="4"/>
        <v>45.79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45.79</v>
      </c>
      <c r="T23" s="52">
        <f t="shared" si="6"/>
        <v>45.79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428</v>
      </c>
      <c r="C24" s="6" t="s">
        <v>117</v>
      </c>
      <c r="D24" s="130">
        <v>1000</v>
      </c>
      <c r="E24" s="53">
        <v>1</v>
      </c>
      <c r="F24" s="8">
        <v>51.65</v>
      </c>
      <c r="G24" s="9">
        <f t="shared" si="1"/>
        <v>35.619999999999997</v>
      </c>
      <c r="H24" s="10">
        <f t="shared" si="2"/>
        <v>51.65</v>
      </c>
      <c r="I24" s="42"/>
      <c r="J24" s="89">
        <f t="shared" si="0"/>
        <v>1</v>
      </c>
      <c r="K24" s="9">
        <f t="shared" si="3"/>
        <v>33.57</v>
      </c>
      <c r="L24" s="9">
        <f t="shared" si="4"/>
        <v>33.57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33.57</v>
      </c>
      <c r="T24" s="14">
        <f t="shared" si="6"/>
        <v>33.57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429</v>
      </c>
      <c r="C25" s="4" t="s">
        <v>125</v>
      </c>
      <c r="D25" s="129">
        <v>500</v>
      </c>
      <c r="E25" s="54">
        <v>1</v>
      </c>
      <c r="F25" s="15">
        <v>78.06</v>
      </c>
      <c r="G25" s="38">
        <f t="shared" si="1"/>
        <v>53.83</v>
      </c>
      <c r="H25" s="39">
        <f t="shared" si="2"/>
        <v>78.06</v>
      </c>
      <c r="I25" s="42"/>
      <c r="J25" s="88">
        <f t="shared" si="0"/>
        <v>1</v>
      </c>
      <c r="K25" s="38">
        <f t="shared" si="3"/>
        <v>39.03</v>
      </c>
      <c r="L25" s="38">
        <f t="shared" si="4"/>
        <v>39.03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39.03</v>
      </c>
      <c r="T25" s="52">
        <f t="shared" si="6"/>
        <v>39.03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430</v>
      </c>
      <c r="C26" s="6" t="s">
        <v>137</v>
      </c>
      <c r="D26" s="130" t="s">
        <v>138</v>
      </c>
      <c r="E26" s="53">
        <v>1</v>
      </c>
      <c r="F26" s="8">
        <v>6007.95</v>
      </c>
      <c r="G26" s="9">
        <f t="shared" si="1"/>
        <v>4143.41</v>
      </c>
      <c r="H26" s="10">
        <f t="shared" si="2"/>
        <v>6007.95</v>
      </c>
      <c r="I26" s="42"/>
      <c r="J26" s="89">
        <f t="shared" si="0"/>
        <v>1</v>
      </c>
      <c r="K26" s="9">
        <f t="shared" si="3"/>
        <v>3003.98</v>
      </c>
      <c r="L26" s="9">
        <f t="shared" si="4"/>
        <v>3003.98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3003.98</v>
      </c>
      <c r="T26" s="14">
        <f t="shared" si="6"/>
        <v>3003.98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431</v>
      </c>
      <c r="C27" s="4" t="s">
        <v>147</v>
      </c>
      <c r="D27" s="129" t="s">
        <v>138</v>
      </c>
      <c r="E27" s="54">
        <v>1</v>
      </c>
      <c r="F27" s="15">
        <v>3547.2</v>
      </c>
      <c r="G27" s="38">
        <f t="shared" si="1"/>
        <v>2446.34</v>
      </c>
      <c r="H27" s="39">
        <f t="shared" si="2"/>
        <v>3547.2</v>
      </c>
      <c r="I27" s="42"/>
      <c r="J27" s="88">
        <f t="shared" si="0"/>
        <v>1</v>
      </c>
      <c r="K27" s="38">
        <f t="shared" si="3"/>
        <v>1773.6</v>
      </c>
      <c r="L27" s="38">
        <f t="shared" si="4"/>
        <v>1773.6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1773.6</v>
      </c>
      <c r="T27" s="52">
        <f t="shared" si="6"/>
        <v>1773.6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432</v>
      </c>
      <c r="C28" s="6" t="s">
        <v>144</v>
      </c>
      <c r="D28" s="130" t="s">
        <v>138</v>
      </c>
      <c r="E28" s="53">
        <v>1</v>
      </c>
      <c r="F28" s="8">
        <v>1575.55</v>
      </c>
      <c r="G28" s="9">
        <f t="shared" si="1"/>
        <v>1086.5899999999999</v>
      </c>
      <c r="H28" s="10">
        <f t="shared" si="2"/>
        <v>1575.55</v>
      </c>
      <c r="I28" s="42"/>
      <c r="J28" s="89">
        <f t="shared" si="0"/>
        <v>1</v>
      </c>
      <c r="K28" s="9">
        <f t="shared" si="3"/>
        <v>787.78</v>
      </c>
      <c r="L28" s="9">
        <f t="shared" si="4"/>
        <v>787.78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787.78</v>
      </c>
      <c r="T28" s="14">
        <f t="shared" si="6"/>
        <v>787.78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433</v>
      </c>
      <c r="C29" s="4" t="s">
        <v>149</v>
      </c>
      <c r="D29" s="129" t="s">
        <v>138</v>
      </c>
      <c r="E29" s="54">
        <v>4</v>
      </c>
      <c r="F29" s="15">
        <v>1218.3</v>
      </c>
      <c r="G29" s="38">
        <f>ROUND(IF($F$17="USD $", F29*$E$15,F29*$D$15),2)</f>
        <v>840.21</v>
      </c>
      <c r="H29" s="39">
        <f>ROUND(IF($H$17=$G$17,E29*G29,E29*F29),2)</f>
        <v>4873.2</v>
      </c>
      <c r="I29" s="42"/>
      <c r="J29" s="88">
        <f t="shared" si="0"/>
        <v>4</v>
      </c>
      <c r="K29" s="38">
        <f t="shared" si="3"/>
        <v>852.81</v>
      </c>
      <c r="L29" s="38">
        <f>ROUND((J29*K29),2)</f>
        <v>3411.24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852.81</v>
      </c>
      <c r="T29" s="52">
        <f t="shared" si="6"/>
        <v>3411.24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434</v>
      </c>
      <c r="C30" s="6" t="s">
        <v>389</v>
      </c>
      <c r="D30" s="130" t="s">
        <v>138</v>
      </c>
      <c r="E30" s="53">
        <v>2</v>
      </c>
      <c r="F30" s="8">
        <v>532.45000000000005</v>
      </c>
      <c r="G30" s="9">
        <f t="shared" si="1"/>
        <v>367.21</v>
      </c>
      <c r="H30" s="10">
        <f t="shared" si="2"/>
        <v>1064.9000000000001</v>
      </c>
      <c r="I30" s="42"/>
      <c r="J30" s="89">
        <f t="shared" si="0"/>
        <v>2</v>
      </c>
      <c r="K30" s="9">
        <f t="shared" si="3"/>
        <v>266.23</v>
      </c>
      <c r="L30" s="9">
        <f t="shared" si="4"/>
        <v>532.46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266.23</v>
      </c>
      <c r="T30" s="14">
        <f t="shared" si="6"/>
        <v>532.46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435</v>
      </c>
      <c r="C31" s="4" t="s">
        <v>436</v>
      </c>
      <c r="D31" s="129" t="s">
        <v>138</v>
      </c>
      <c r="E31" s="54">
        <v>3</v>
      </c>
      <c r="F31" s="15">
        <v>141.79</v>
      </c>
      <c r="G31" s="38">
        <f t="shared" si="1"/>
        <v>97.79</v>
      </c>
      <c r="H31" s="39">
        <f t="shared" si="2"/>
        <v>425.37</v>
      </c>
      <c r="I31" s="42"/>
      <c r="J31" s="88">
        <f t="shared" si="0"/>
        <v>3</v>
      </c>
      <c r="K31" s="38">
        <f t="shared" si="3"/>
        <v>77.98</v>
      </c>
      <c r="L31" s="38">
        <f t="shared" si="4"/>
        <v>233.94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77.98</v>
      </c>
      <c r="T31" s="52">
        <f t="shared" si="6"/>
        <v>233.94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437</v>
      </c>
      <c r="C32" s="6" t="s">
        <v>438</v>
      </c>
      <c r="D32" s="130" t="s">
        <v>138</v>
      </c>
      <c r="E32" s="53">
        <v>3</v>
      </c>
      <c r="F32" s="8">
        <v>62.19</v>
      </c>
      <c r="G32" s="9">
        <f t="shared" si="1"/>
        <v>42.89</v>
      </c>
      <c r="H32" s="10">
        <f t="shared" si="2"/>
        <v>186.57</v>
      </c>
      <c r="I32" s="42"/>
      <c r="J32" s="89">
        <f t="shared" si="0"/>
        <v>3</v>
      </c>
      <c r="K32" s="9">
        <f t="shared" si="3"/>
        <v>34.200000000000003</v>
      </c>
      <c r="L32" s="9">
        <f t="shared" si="4"/>
        <v>102.6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34.200000000000003</v>
      </c>
      <c r="T32" s="14">
        <f t="shared" si="6"/>
        <v>102.6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439</v>
      </c>
      <c r="C34" s="6" t="s">
        <v>440</v>
      </c>
      <c r="D34" s="130" t="s">
        <v>138</v>
      </c>
      <c r="E34" s="53">
        <v>1</v>
      </c>
      <c r="F34" s="8">
        <v>48983.26</v>
      </c>
      <c r="G34" s="9">
        <f t="shared" si="1"/>
        <v>33781.56</v>
      </c>
      <c r="H34" s="10">
        <f t="shared" si="2"/>
        <v>48983.26</v>
      </c>
      <c r="I34" s="42"/>
      <c r="J34" s="89">
        <f t="shared" si="0"/>
        <v>1</v>
      </c>
      <c r="K34" s="9">
        <f t="shared" si="3"/>
        <v>26940.79</v>
      </c>
      <c r="L34" s="9">
        <f t="shared" si="4"/>
        <v>26940.79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26940.79</v>
      </c>
      <c r="T34" s="14">
        <f t="shared" si="6"/>
        <v>26940.79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24</v>
      </c>
      <c r="F49" s="78">
        <f>SUM(F18:F48)</f>
        <v>62717.47</v>
      </c>
      <c r="G49" s="79">
        <f>SUM(G18:G48)</f>
        <v>43253.429999999993</v>
      </c>
      <c r="H49" s="80">
        <f>SUM(H18:H48)</f>
        <v>67312.78</v>
      </c>
      <c r="I49" s="81"/>
      <c r="J49" s="82">
        <f>SUM(J18:J48)</f>
        <v>24</v>
      </c>
      <c r="K49" s="79">
        <f>SUM(K18:K48)</f>
        <v>34106.33</v>
      </c>
      <c r="L49" s="80">
        <f>SUM(L18:L48)</f>
        <v>37155.350000000006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34106.33</v>
      </c>
      <c r="T49" s="80">
        <f>SUM(T18:T48)</f>
        <v>37155.350000000006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F17 K17 Q17 Q14" xr:uid="{C01E90A4-B449-4499-975D-A75469E47BCD}">
      <formula1>$Y$11:$Y$12</formula1>
    </dataValidation>
    <dataValidation type="list" allowBlank="1" showInputMessage="1" showErrorMessage="1" sqref="H13" xr:uid="{C58D416E-0849-4648-A123-E4268290ABEE}">
      <formula1>$Y$13:$Y$14</formula1>
    </dataValidation>
    <dataValidation type="list" allowBlank="1" showInputMessage="1" showErrorMessage="1" sqref="I13" xr:uid="{FC181F35-1E07-4181-BA85-CF363E7EFDD7}">
      <formula1>$K$9:$K$9</formula1>
    </dataValidation>
    <dataValidation type="list" showInputMessage="1" showErrorMessage="1" sqref="D18:D48" xr:uid="{A57E8F0B-F00A-4EA1-A40C-9C7A5DD5837C}">
      <formula1>$Z$18:$Z$29</formula1>
    </dataValidation>
    <dataValidation type="list" allowBlank="1" showInputMessage="1" showErrorMessage="1" sqref="M18:M48" xr:uid="{BFE7A8AF-CCD9-45F8-AB91-71D525B9AEE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EC8B-5D78-424C-AF78-D04DE7713BBA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441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59566.42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32894.86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26671.559999999998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442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0.44776167511829651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443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32894.86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31444.86</v>
      </c>
      <c r="U9" s="235">
        <f>IFERROR(((P3-S9)/S9),0)</f>
        <v>21.686110344827586</v>
      </c>
      <c r="V9" s="235">
        <f>IFERROR(T9/P3,0)</f>
        <v>0.95592016503490207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24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422</v>
      </c>
      <c r="C18" s="5" t="s">
        <v>122</v>
      </c>
      <c r="D18" s="128">
        <v>500</v>
      </c>
      <c r="E18" s="53">
        <v>1</v>
      </c>
      <c r="F18" s="8">
        <v>27.53</v>
      </c>
      <c r="G18" s="9">
        <f>ROUND(IF($F$17="USD $", F18*$E$15,F18*$D$15),2)</f>
        <v>18.989999999999998</v>
      </c>
      <c r="H18" s="10">
        <f>ROUND(IF($H$17=$G$17,E18*G18,E18*F18),2)</f>
        <v>27.53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423</v>
      </c>
      <c r="C19" s="4" t="s">
        <v>125</v>
      </c>
      <c r="D19" s="129">
        <v>500</v>
      </c>
      <c r="E19" s="54">
        <v>1</v>
      </c>
      <c r="F19" s="15">
        <v>81.8</v>
      </c>
      <c r="G19" s="38">
        <f t="shared" ref="G19:G48" si="1">ROUND(IF($F$17="USD $", F19*$E$15,F19*$D$15),2)</f>
        <v>56.41</v>
      </c>
      <c r="H19" s="39">
        <f t="shared" ref="H19:H48" si="2">ROUND(IF($H$17=$G$17,E19*G19,E19*F19),2)</f>
        <v>81.8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40.9</v>
      </c>
      <c r="L19" s="38">
        <f t="shared" ref="L19:L48" si="4">ROUND((J19*K19),2)</f>
        <v>40.9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40.9</v>
      </c>
      <c r="T19" s="52">
        <f t="shared" ref="T19:T48" si="6">ROUND(L19-R19,2)</f>
        <v>40.9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425</v>
      </c>
      <c r="C21" s="4" t="s">
        <v>114</v>
      </c>
      <c r="D21" s="129">
        <v>1000</v>
      </c>
      <c r="E21" s="54">
        <v>1</v>
      </c>
      <c r="F21" s="15">
        <v>107.11</v>
      </c>
      <c r="G21" s="38">
        <f t="shared" si="1"/>
        <v>73.87</v>
      </c>
      <c r="H21" s="39">
        <f t="shared" si="2"/>
        <v>107.11</v>
      </c>
      <c r="I21" s="42"/>
      <c r="J21" s="88">
        <f t="shared" si="0"/>
        <v>1</v>
      </c>
      <c r="K21" s="38">
        <f t="shared" si="3"/>
        <v>69.62</v>
      </c>
      <c r="L21" s="38">
        <f t="shared" si="4"/>
        <v>69.62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69.62</v>
      </c>
      <c r="T21" s="52">
        <f t="shared" si="6"/>
        <v>69.62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426</v>
      </c>
      <c r="C22" s="6" t="s">
        <v>131</v>
      </c>
      <c r="D22" s="130">
        <v>1000</v>
      </c>
      <c r="E22" s="53">
        <v>1</v>
      </c>
      <c r="F22" s="8">
        <v>164.32</v>
      </c>
      <c r="G22" s="9">
        <f t="shared" si="1"/>
        <v>113.32</v>
      </c>
      <c r="H22" s="10">
        <f t="shared" si="2"/>
        <v>164.32</v>
      </c>
      <c r="I22" s="42"/>
      <c r="J22" s="89">
        <f t="shared" si="0"/>
        <v>1</v>
      </c>
      <c r="K22" s="9">
        <f t="shared" si="3"/>
        <v>82.16</v>
      </c>
      <c r="L22" s="9">
        <f t="shared" si="4"/>
        <v>82.16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82.16</v>
      </c>
      <c r="T22" s="14">
        <f t="shared" si="6"/>
        <v>82.16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427</v>
      </c>
      <c r="C23" s="4" t="s">
        <v>111</v>
      </c>
      <c r="D23" s="129">
        <v>500</v>
      </c>
      <c r="E23" s="54">
        <v>1</v>
      </c>
      <c r="F23" s="15">
        <v>70.44</v>
      </c>
      <c r="G23" s="38">
        <f t="shared" si="1"/>
        <v>48.58</v>
      </c>
      <c r="H23" s="39">
        <f t="shared" si="2"/>
        <v>70.44</v>
      </c>
      <c r="I23" s="42"/>
      <c r="J23" s="88">
        <f t="shared" si="0"/>
        <v>1</v>
      </c>
      <c r="K23" s="38">
        <f t="shared" si="3"/>
        <v>45.79</v>
      </c>
      <c r="L23" s="38">
        <f t="shared" si="4"/>
        <v>45.79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45.79</v>
      </c>
      <c r="T23" s="52">
        <f t="shared" si="6"/>
        <v>45.79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428</v>
      </c>
      <c r="C24" s="6" t="s">
        <v>117</v>
      </c>
      <c r="D24" s="130">
        <v>1000</v>
      </c>
      <c r="E24" s="53">
        <v>1</v>
      </c>
      <c r="F24" s="8">
        <v>51.65</v>
      </c>
      <c r="G24" s="9">
        <f t="shared" si="1"/>
        <v>35.619999999999997</v>
      </c>
      <c r="H24" s="10">
        <f t="shared" si="2"/>
        <v>51.65</v>
      </c>
      <c r="I24" s="42"/>
      <c r="J24" s="89">
        <f t="shared" si="0"/>
        <v>1</v>
      </c>
      <c r="K24" s="9">
        <f t="shared" si="3"/>
        <v>33.57</v>
      </c>
      <c r="L24" s="9">
        <f t="shared" si="4"/>
        <v>33.57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33.57</v>
      </c>
      <c r="T24" s="14">
        <f t="shared" si="6"/>
        <v>33.57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429</v>
      </c>
      <c r="C25" s="4" t="s">
        <v>125</v>
      </c>
      <c r="D25" s="129">
        <v>500</v>
      </c>
      <c r="E25" s="54">
        <v>1</v>
      </c>
      <c r="F25" s="15">
        <v>78.06</v>
      </c>
      <c r="G25" s="38">
        <f t="shared" si="1"/>
        <v>53.83</v>
      </c>
      <c r="H25" s="39">
        <f t="shared" si="2"/>
        <v>78.06</v>
      </c>
      <c r="I25" s="42"/>
      <c r="J25" s="88">
        <f t="shared" si="0"/>
        <v>1</v>
      </c>
      <c r="K25" s="38">
        <f t="shared" si="3"/>
        <v>39.03</v>
      </c>
      <c r="L25" s="38">
        <f t="shared" si="4"/>
        <v>39.03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39.03</v>
      </c>
      <c r="T25" s="52">
        <f t="shared" si="6"/>
        <v>39.03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430</v>
      </c>
      <c r="C26" s="6" t="s">
        <v>137</v>
      </c>
      <c r="D26" s="130" t="s">
        <v>138</v>
      </c>
      <c r="E26" s="53">
        <v>1</v>
      </c>
      <c r="F26" s="8">
        <v>6007.95</v>
      </c>
      <c r="G26" s="9">
        <f t="shared" si="1"/>
        <v>4143.41</v>
      </c>
      <c r="H26" s="10">
        <f t="shared" si="2"/>
        <v>6007.95</v>
      </c>
      <c r="I26" s="42"/>
      <c r="J26" s="89">
        <f t="shared" si="0"/>
        <v>1</v>
      </c>
      <c r="K26" s="9">
        <f t="shared" si="3"/>
        <v>3003.98</v>
      </c>
      <c r="L26" s="9">
        <f t="shared" si="4"/>
        <v>3003.98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3003.98</v>
      </c>
      <c r="T26" s="14">
        <f t="shared" si="6"/>
        <v>3003.98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431</v>
      </c>
      <c r="C27" s="4" t="s">
        <v>147</v>
      </c>
      <c r="D27" s="129" t="s">
        <v>138</v>
      </c>
      <c r="E27" s="54">
        <v>1</v>
      </c>
      <c r="F27" s="15">
        <v>3547.2</v>
      </c>
      <c r="G27" s="38">
        <f t="shared" si="1"/>
        <v>2446.34</v>
      </c>
      <c r="H27" s="39">
        <f t="shared" si="2"/>
        <v>3547.2</v>
      </c>
      <c r="I27" s="42"/>
      <c r="J27" s="88">
        <f t="shared" si="0"/>
        <v>1</v>
      </c>
      <c r="K27" s="38">
        <f t="shared" si="3"/>
        <v>1773.6</v>
      </c>
      <c r="L27" s="38">
        <f t="shared" si="4"/>
        <v>1773.6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1773.6</v>
      </c>
      <c r="T27" s="52">
        <f t="shared" si="6"/>
        <v>1773.6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432</v>
      </c>
      <c r="C28" s="6" t="s">
        <v>144</v>
      </c>
      <c r="D28" s="130" t="s">
        <v>138</v>
      </c>
      <c r="E28" s="53">
        <v>1</v>
      </c>
      <c r="F28" s="8">
        <v>1575.55</v>
      </c>
      <c r="G28" s="9">
        <f t="shared" si="1"/>
        <v>1086.5899999999999</v>
      </c>
      <c r="H28" s="10">
        <f t="shared" si="2"/>
        <v>1575.55</v>
      </c>
      <c r="I28" s="42"/>
      <c r="J28" s="89">
        <f t="shared" si="0"/>
        <v>1</v>
      </c>
      <c r="K28" s="9">
        <f t="shared" si="3"/>
        <v>787.78</v>
      </c>
      <c r="L28" s="9">
        <f t="shared" si="4"/>
        <v>787.78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787.78</v>
      </c>
      <c r="T28" s="14">
        <f t="shared" si="6"/>
        <v>787.78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433</v>
      </c>
      <c r="C29" s="4" t="s">
        <v>149</v>
      </c>
      <c r="D29" s="129" t="s">
        <v>138</v>
      </c>
      <c r="E29" s="54">
        <v>4</v>
      </c>
      <c r="F29" s="15">
        <v>1218.3</v>
      </c>
      <c r="G29" s="38">
        <f>ROUND(IF($F$17="USD $", F29*$E$15,F29*$D$15),2)</f>
        <v>840.21</v>
      </c>
      <c r="H29" s="39">
        <f>ROUND(IF($H$17=$G$17,E29*G29,E29*F29),2)</f>
        <v>4873.2</v>
      </c>
      <c r="I29" s="42"/>
      <c r="J29" s="88">
        <f t="shared" si="0"/>
        <v>4</v>
      </c>
      <c r="K29" s="38">
        <f t="shared" si="3"/>
        <v>852.81</v>
      </c>
      <c r="L29" s="38">
        <f>ROUND((J29*K29),2)</f>
        <v>3411.24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852.81</v>
      </c>
      <c r="T29" s="52">
        <f t="shared" si="6"/>
        <v>3411.24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434</v>
      </c>
      <c r="C30" s="6" t="s">
        <v>389</v>
      </c>
      <c r="D30" s="130" t="s">
        <v>138</v>
      </c>
      <c r="E30" s="53">
        <v>2</v>
      </c>
      <c r="F30" s="8">
        <v>532.45000000000005</v>
      </c>
      <c r="G30" s="9">
        <f t="shared" si="1"/>
        <v>367.21</v>
      </c>
      <c r="H30" s="10">
        <f t="shared" si="2"/>
        <v>1064.9000000000001</v>
      </c>
      <c r="I30" s="42"/>
      <c r="J30" s="89">
        <f t="shared" si="0"/>
        <v>2</v>
      </c>
      <c r="K30" s="9">
        <f t="shared" si="3"/>
        <v>266.23</v>
      </c>
      <c r="L30" s="9">
        <f t="shared" si="4"/>
        <v>532.46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266.23</v>
      </c>
      <c r="T30" s="14">
        <f t="shared" si="6"/>
        <v>532.46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435</v>
      </c>
      <c r="C31" s="4" t="s">
        <v>436</v>
      </c>
      <c r="D31" s="129" t="s">
        <v>138</v>
      </c>
      <c r="E31" s="54">
        <v>3</v>
      </c>
      <c r="F31" s="15">
        <v>141.79</v>
      </c>
      <c r="G31" s="38">
        <f t="shared" si="1"/>
        <v>97.79</v>
      </c>
      <c r="H31" s="39">
        <f t="shared" si="2"/>
        <v>425.37</v>
      </c>
      <c r="I31" s="42"/>
      <c r="J31" s="88">
        <f t="shared" si="0"/>
        <v>3</v>
      </c>
      <c r="K31" s="38">
        <f t="shared" si="3"/>
        <v>77.98</v>
      </c>
      <c r="L31" s="38">
        <f t="shared" si="4"/>
        <v>233.94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77.98</v>
      </c>
      <c r="T31" s="52">
        <f t="shared" si="6"/>
        <v>233.94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437</v>
      </c>
      <c r="C32" s="6" t="s">
        <v>438</v>
      </c>
      <c r="D32" s="130" t="s">
        <v>138</v>
      </c>
      <c r="E32" s="53">
        <v>3</v>
      </c>
      <c r="F32" s="8">
        <v>62.19</v>
      </c>
      <c r="G32" s="9">
        <f t="shared" si="1"/>
        <v>42.89</v>
      </c>
      <c r="H32" s="10">
        <f t="shared" si="2"/>
        <v>186.57</v>
      </c>
      <c r="I32" s="42"/>
      <c r="J32" s="89">
        <f t="shared" si="0"/>
        <v>3</v>
      </c>
      <c r="K32" s="9">
        <f t="shared" si="3"/>
        <v>34.200000000000003</v>
      </c>
      <c r="L32" s="9">
        <f t="shared" si="4"/>
        <v>102.6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34.200000000000003</v>
      </c>
      <c r="T32" s="14">
        <f t="shared" si="6"/>
        <v>102.6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444</v>
      </c>
      <c r="C34" s="6" t="s">
        <v>445</v>
      </c>
      <c r="D34" s="130" t="s">
        <v>138</v>
      </c>
      <c r="E34" s="53">
        <v>1</v>
      </c>
      <c r="F34" s="8">
        <v>41236.9</v>
      </c>
      <c r="G34" s="9">
        <f t="shared" si="1"/>
        <v>28439.24</v>
      </c>
      <c r="H34" s="10">
        <f t="shared" si="2"/>
        <v>41236.9</v>
      </c>
      <c r="I34" s="42"/>
      <c r="J34" s="89">
        <f t="shared" si="0"/>
        <v>1</v>
      </c>
      <c r="K34" s="9">
        <f t="shared" si="3"/>
        <v>22680.3</v>
      </c>
      <c r="L34" s="9">
        <f t="shared" si="4"/>
        <v>22680.3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22680.3</v>
      </c>
      <c r="T34" s="14">
        <f t="shared" si="6"/>
        <v>22680.3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24</v>
      </c>
      <c r="F49" s="78">
        <f>SUM(F18:F48)</f>
        <v>54971.11</v>
      </c>
      <c r="G49" s="79">
        <f>SUM(G18:G48)</f>
        <v>37911.11</v>
      </c>
      <c r="H49" s="80">
        <f>SUM(H18:H48)</f>
        <v>59566.42</v>
      </c>
      <c r="I49" s="81"/>
      <c r="J49" s="82">
        <f>SUM(J18:J48)</f>
        <v>24</v>
      </c>
      <c r="K49" s="79">
        <f>SUM(K18:K48)</f>
        <v>29845.839999999997</v>
      </c>
      <c r="L49" s="80">
        <f>SUM(L18:L48)</f>
        <v>32894.86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29845.839999999997</v>
      </c>
      <c r="T49" s="80">
        <f>SUM(T18:T48)</f>
        <v>32894.86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M18:M48" xr:uid="{98EEA737-1837-4EDA-82FA-2132B42A96F3}">
      <formula1>$Y$31:$Y$32</formula1>
    </dataValidation>
    <dataValidation type="list" showInputMessage="1" showErrorMessage="1" sqref="D18:D48" xr:uid="{421327E7-DB4D-469C-932C-563E1C435344}">
      <formula1>$Z$18:$Z$29</formula1>
    </dataValidation>
    <dataValidation type="list" allowBlank="1" showInputMessage="1" showErrorMessage="1" sqref="I13" xr:uid="{2F8521D3-7D87-4A36-8950-5270DFB1355E}">
      <formula1>$K$9:$K$9</formula1>
    </dataValidation>
    <dataValidation type="list" allowBlank="1" showInputMessage="1" showErrorMessage="1" sqref="H13" xr:uid="{FAD5CE09-C421-41AA-AE76-8D2B17DBE5A2}">
      <formula1>$Y$13:$Y$14</formula1>
    </dataValidation>
    <dataValidation type="list" allowBlank="1" showInputMessage="1" showErrorMessage="1" sqref="F17 K17 Q17 Q14" xr:uid="{B2ED2006-DC97-417C-9BD9-D929B99943A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2D25-1CC2-4510-B7DF-50873959EA34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446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62122.92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34201.910000000003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27921.009999999995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442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0.44944780444962978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447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34201.910000000003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32751.910000000003</v>
      </c>
      <c r="U9" s="235">
        <f>IFERROR(((P3-S9)/S9),0)</f>
        <v>22.587524137931037</v>
      </c>
      <c r="V9" s="235">
        <f>IFERROR(T9/P3,0)</f>
        <v>0.95760470687163379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19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448</v>
      </c>
      <c r="C18" s="5" t="s">
        <v>111</v>
      </c>
      <c r="D18" s="128">
        <v>500</v>
      </c>
      <c r="E18" s="53">
        <v>1</v>
      </c>
      <c r="F18" s="8">
        <v>94.52</v>
      </c>
      <c r="G18" s="9">
        <f>ROUND(IF($F$17="USD $", F18*$E$15,F18*$D$15),2)</f>
        <v>65.19</v>
      </c>
      <c r="H18" s="10">
        <f>ROUND(IF($H$17=$G$17,E18*G18,E18*F18),2)</f>
        <v>94.52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61.44</v>
      </c>
      <c r="L18" s="9">
        <f>ROUND((J18*K18),2)</f>
        <v>61.44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61.44</v>
      </c>
      <c r="T18" s="14">
        <f>ROUND(L18-R18,2)</f>
        <v>61.44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449</v>
      </c>
      <c r="C19" s="4" t="s">
        <v>117</v>
      </c>
      <c r="D19" s="129">
        <v>1000</v>
      </c>
      <c r="E19" s="54">
        <v>1</v>
      </c>
      <c r="F19" s="15">
        <v>60.42</v>
      </c>
      <c r="G19" s="38">
        <f t="shared" ref="G19:G48" si="1">ROUND(IF($F$17="USD $", F19*$E$15,F19*$D$15),2)</f>
        <v>41.67</v>
      </c>
      <c r="H19" s="39">
        <f t="shared" ref="H19:H48" si="2">ROUND(IF($H$17=$G$17,E19*G19,E19*F19),2)</f>
        <v>60.42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39.270000000000003</v>
      </c>
      <c r="L19" s="38">
        <f t="shared" ref="L19:L48" si="4">ROUND((J19*K19),2)</f>
        <v>39.270000000000003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39.270000000000003</v>
      </c>
      <c r="T19" s="52">
        <f t="shared" ref="T19:T48" si="6">ROUND(L19-R19,2)</f>
        <v>39.270000000000003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334</v>
      </c>
      <c r="C20" s="6" t="s">
        <v>125</v>
      </c>
      <c r="D20" s="130">
        <v>500</v>
      </c>
      <c r="E20" s="53">
        <v>1</v>
      </c>
      <c r="F20" s="8">
        <v>275.9862</v>
      </c>
      <c r="G20" s="9">
        <f t="shared" si="1"/>
        <v>190.34</v>
      </c>
      <c r="H20" s="10">
        <f t="shared" si="2"/>
        <v>275.99</v>
      </c>
      <c r="I20" s="42"/>
      <c r="J20" s="89">
        <f t="shared" si="0"/>
        <v>1</v>
      </c>
      <c r="K20" s="9">
        <f t="shared" si="3"/>
        <v>137.99</v>
      </c>
      <c r="L20" s="9">
        <f t="shared" si="4"/>
        <v>137.99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137.99</v>
      </c>
      <c r="T20" s="14">
        <f t="shared" si="6"/>
        <v>137.99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450</v>
      </c>
      <c r="C21" s="4" t="s">
        <v>122</v>
      </c>
      <c r="D21" s="129">
        <v>500</v>
      </c>
      <c r="E21" s="54">
        <v>1</v>
      </c>
      <c r="F21" s="15">
        <v>38.229999999999997</v>
      </c>
      <c r="G21" s="38">
        <f t="shared" si="1"/>
        <v>26.37</v>
      </c>
      <c r="H21" s="39">
        <f t="shared" si="2"/>
        <v>38.229999999999997</v>
      </c>
      <c r="I21" s="42"/>
      <c r="J21" s="88">
        <f t="shared" si="0"/>
        <v>1</v>
      </c>
      <c r="K21" s="38">
        <f t="shared" si="3"/>
        <v>19.12</v>
      </c>
      <c r="L21" s="38">
        <f t="shared" si="4"/>
        <v>19.12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19.12</v>
      </c>
      <c r="T21" s="52">
        <f t="shared" si="6"/>
        <v>19.12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332</v>
      </c>
      <c r="C22" s="6" t="s">
        <v>125</v>
      </c>
      <c r="D22" s="130">
        <v>500</v>
      </c>
      <c r="E22" s="53">
        <v>1</v>
      </c>
      <c r="F22" s="8">
        <v>61.975799999999992</v>
      </c>
      <c r="G22" s="9">
        <f t="shared" si="1"/>
        <v>42.74</v>
      </c>
      <c r="H22" s="10">
        <f t="shared" si="2"/>
        <v>61.98</v>
      </c>
      <c r="I22" s="42"/>
      <c r="J22" s="89">
        <f t="shared" si="0"/>
        <v>1</v>
      </c>
      <c r="K22" s="9">
        <f t="shared" si="3"/>
        <v>30.99</v>
      </c>
      <c r="L22" s="9">
        <f t="shared" si="4"/>
        <v>30.99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30.99</v>
      </c>
      <c r="T22" s="14">
        <f t="shared" si="6"/>
        <v>30.99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131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451</v>
      </c>
      <c r="C24" s="6" t="s">
        <v>114</v>
      </c>
      <c r="D24" s="130">
        <v>1000</v>
      </c>
      <c r="E24" s="53">
        <v>1</v>
      </c>
      <c r="F24" s="8">
        <v>107.11</v>
      </c>
      <c r="G24" s="9">
        <f t="shared" si="1"/>
        <v>73.87</v>
      </c>
      <c r="H24" s="10">
        <f t="shared" si="2"/>
        <v>107.11</v>
      </c>
      <c r="I24" s="42"/>
      <c r="J24" s="89">
        <f t="shared" si="0"/>
        <v>1</v>
      </c>
      <c r="K24" s="9">
        <f t="shared" si="3"/>
        <v>69.62</v>
      </c>
      <c r="L24" s="9">
        <f t="shared" si="4"/>
        <v>69.62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69.62</v>
      </c>
      <c r="T24" s="14">
        <f t="shared" si="6"/>
        <v>69.62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452</v>
      </c>
      <c r="C25" s="4" t="s">
        <v>137</v>
      </c>
      <c r="D25" s="129" t="s">
        <v>138</v>
      </c>
      <c r="E25" s="54">
        <v>1</v>
      </c>
      <c r="F25" s="15">
        <v>9876.7800000000007</v>
      </c>
      <c r="G25" s="38">
        <f t="shared" si="1"/>
        <v>6811.57</v>
      </c>
      <c r="H25" s="39">
        <f t="shared" si="2"/>
        <v>9876.7800000000007</v>
      </c>
      <c r="I25" s="42"/>
      <c r="J25" s="88">
        <f t="shared" si="0"/>
        <v>1</v>
      </c>
      <c r="K25" s="38">
        <f t="shared" si="3"/>
        <v>4938.3900000000003</v>
      </c>
      <c r="L25" s="38">
        <f t="shared" si="4"/>
        <v>4938.3900000000003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4938.3900000000003</v>
      </c>
      <c r="T25" s="52">
        <f t="shared" si="6"/>
        <v>4938.3900000000003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453</v>
      </c>
      <c r="C26" s="6" t="s">
        <v>147</v>
      </c>
      <c r="D26" s="130" t="s">
        <v>138</v>
      </c>
      <c r="E26" s="53">
        <v>1</v>
      </c>
      <c r="F26" s="8">
        <v>2859.5</v>
      </c>
      <c r="G26" s="9">
        <f t="shared" si="1"/>
        <v>1972.07</v>
      </c>
      <c r="H26" s="10">
        <f t="shared" si="2"/>
        <v>2859.5</v>
      </c>
      <c r="I26" s="42"/>
      <c r="J26" s="89">
        <f t="shared" si="0"/>
        <v>1</v>
      </c>
      <c r="K26" s="9">
        <f t="shared" si="3"/>
        <v>1429.75</v>
      </c>
      <c r="L26" s="9">
        <f t="shared" si="4"/>
        <v>1429.75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1429.75</v>
      </c>
      <c r="T26" s="14">
        <f t="shared" si="6"/>
        <v>1429.75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454</v>
      </c>
      <c r="C27" s="4" t="s">
        <v>144</v>
      </c>
      <c r="D27" s="129" t="s">
        <v>138</v>
      </c>
      <c r="E27" s="54">
        <v>1</v>
      </c>
      <c r="F27" s="15">
        <v>1236.57</v>
      </c>
      <c r="G27" s="38">
        <f t="shared" si="1"/>
        <v>852.81</v>
      </c>
      <c r="H27" s="39">
        <f t="shared" si="2"/>
        <v>1236.57</v>
      </c>
      <c r="I27" s="42"/>
      <c r="J27" s="88">
        <f t="shared" si="0"/>
        <v>1</v>
      </c>
      <c r="K27" s="38">
        <f t="shared" si="3"/>
        <v>618.29</v>
      </c>
      <c r="L27" s="38">
        <f t="shared" si="4"/>
        <v>618.29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618.29</v>
      </c>
      <c r="T27" s="52">
        <f t="shared" si="6"/>
        <v>618.29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455</v>
      </c>
      <c r="C28" s="6" t="s">
        <v>149</v>
      </c>
      <c r="D28" s="130" t="s">
        <v>138</v>
      </c>
      <c r="E28" s="53">
        <v>6</v>
      </c>
      <c r="F28" s="8">
        <v>866.09</v>
      </c>
      <c r="G28" s="9">
        <f t="shared" si="1"/>
        <v>597.29999999999995</v>
      </c>
      <c r="H28" s="10">
        <f t="shared" si="2"/>
        <v>5196.54</v>
      </c>
      <c r="I28" s="42"/>
      <c r="J28" s="89">
        <f t="shared" si="0"/>
        <v>6</v>
      </c>
      <c r="K28" s="9">
        <f t="shared" si="3"/>
        <v>606.26</v>
      </c>
      <c r="L28" s="9">
        <f t="shared" si="4"/>
        <v>3637.56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606.26</v>
      </c>
      <c r="T28" s="14">
        <f t="shared" si="6"/>
        <v>3637.56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456</v>
      </c>
      <c r="C29" s="4" t="s">
        <v>389</v>
      </c>
      <c r="D29" s="129" t="s">
        <v>138</v>
      </c>
      <c r="E29" s="54">
        <v>2</v>
      </c>
      <c r="F29" s="15">
        <v>444.7</v>
      </c>
      <c r="G29" s="38">
        <f>ROUND(IF($F$17="USD $", F29*$E$15,F29*$D$15),2)</f>
        <v>306.69</v>
      </c>
      <c r="H29" s="39">
        <f>ROUND(IF($H$17=$G$17,E29*G29,E29*F29),2)</f>
        <v>889.4</v>
      </c>
      <c r="I29" s="42"/>
      <c r="J29" s="88">
        <f t="shared" si="0"/>
        <v>2</v>
      </c>
      <c r="K29" s="38">
        <f t="shared" si="3"/>
        <v>222.35</v>
      </c>
      <c r="L29" s="38">
        <f>ROUND((J29*K29),2)</f>
        <v>444.7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222.35</v>
      </c>
      <c r="T29" s="52">
        <f t="shared" si="6"/>
        <v>444.7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/>
      <c r="C30" s="6" t="s">
        <v>457</v>
      </c>
      <c r="D30" s="130"/>
      <c r="E30" s="53"/>
      <c r="F30" s="8">
        <v>0</v>
      </c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444</v>
      </c>
      <c r="C32" s="6" t="s">
        <v>445</v>
      </c>
      <c r="D32" s="130" t="s">
        <v>138</v>
      </c>
      <c r="E32" s="53">
        <v>1</v>
      </c>
      <c r="F32" s="8">
        <v>41236.9</v>
      </c>
      <c r="G32" s="9">
        <f t="shared" si="1"/>
        <v>28439.24</v>
      </c>
      <c r="H32" s="10">
        <f t="shared" si="2"/>
        <v>41236.9</v>
      </c>
      <c r="I32" s="42"/>
      <c r="J32" s="89">
        <f t="shared" si="0"/>
        <v>1</v>
      </c>
      <c r="K32" s="9">
        <f t="shared" si="3"/>
        <v>22680.3</v>
      </c>
      <c r="L32" s="9">
        <f t="shared" si="4"/>
        <v>22680.3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22680.3</v>
      </c>
      <c r="T32" s="14">
        <f t="shared" si="6"/>
        <v>22680.3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19</v>
      </c>
      <c r="F49" s="78">
        <f>SUM(F18:F48)</f>
        <v>57347.762000000002</v>
      </c>
      <c r="G49" s="79">
        <f>SUM(G18:G48)</f>
        <v>39550.19</v>
      </c>
      <c r="H49" s="80">
        <f>SUM(H18:H48)</f>
        <v>62122.92</v>
      </c>
      <c r="I49" s="81"/>
      <c r="J49" s="82">
        <f>SUM(J18:J48)</f>
        <v>19</v>
      </c>
      <c r="K49" s="79">
        <f>SUM(K18:K48)</f>
        <v>30948.260000000002</v>
      </c>
      <c r="L49" s="80">
        <f>SUM(L18:L48)</f>
        <v>34201.910000000003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30948.260000000002</v>
      </c>
      <c r="T49" s="80">
        <f>SUM(T18:T48)</f>
        <v>34201.910000000003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F17 K17 Q17 Q14" xr:uid="{2914F631-2CEC-46BE-9DEE-F5A393228FC1}">
      <formula1>$Y$11:$Y$12</formula1>
    </dataValidation>
    <dataValidation type="list" allowBlank="1" showInputMessage="1" showErrorMessage="1" sqref="H13" xr:uid="{957874DE-AF6F-4A44-ADEF-5DAF6651FEFE}">
      <formula1>$Y$13:$Y$14</formula1>
    </dataValidation>
    <dataValidation type="list" allowBlank="1" showInputMessage="1" showErrorMessage="1" sqref="I13" xr:uid="{86D65ABE-AB6D-43EF-AB51-1B72EA6402BC}">
      <formula1>$K$9:$K$9</formula1>
    </dataValidation>
    <dataValidation type="list" showInputMessage="1" showErrorMessage="1" sqref="D18:D48" xr:uid="{3FA4A724-104E-454A-B012-43FD659886FF}">
      <formula1>$Z$18:$Z$29</formula1>
    </dataValidation>
    <dataValidation type="list" allowBlank="1" showInputMessage="1" showErrorMessage="1" sqref="M18:M48" xr:uid="{556F6A85-0FBA-4F3A-AEEF-12166BD79DB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3F1E-6DA9-4C7B-9DAA-61B1953AAE51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458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22405.539999999997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12412.03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9993.5099999999966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459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0.44602852687326427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460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12412.03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642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10962.03</v>
      </c>
      <c r="U9" s="235">
        <f>IFERROR(((P3-S9)/S9),0)</f>
        <v>7.5600206896551727</v>
      </c>
      <c r="V9" s="235">
        <f>IFERROR(T9/P3,0)</f>
        <v>0.88317785245443337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65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461</v>
      </c>
      <c r="C18" s="5" t="s">
        <v>111</v>
      </c>
      <c r="D18" s="128">
        <v>500</v>
      </c>
      <c r="E18" s="53">
        <v>1</v>
      </c>
      <c r="F18" s="8">
        <v>64.540000000000006</v>
      </c>
      <c r="G18" s="9">
        <f>ROUND(IF($F$17="USD $", F18*$E$15,F18*$D$15),2)</f>
        <v>44.51</v>
      </c>
      <c r="H18" s="10">
        <f>ROUND(IF($H$17=$G$17,E18*G18,E18*F18),2)</f>
        <v>64.540000000000006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41.95</v>
      </c>
      <c r="L18" s="9">
        <f>ROUND((J18*K18),2)</f>
        <v>41.95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41.95</v>
      </c>
      <c r="T18" s="14">
        <f>ROUND(L18-R18,2)</f>
        <v>41.95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462</v>
      </c>
      <c r="C19" s="4" t="s">
        <v>117</v>
      </c>
      <c r="D19" s="129">
        <v>1000</v>
      </c>
      <c r="E19" s="54">
        <v>1</v>
      </c>
      <c r="F19" s="15">
        <v>59.85</v>
      </c>
      <c r="G19" s="38">
        <f t="shared" ref="G19:G48" si="1">ROUND(IF($F$17="USD $", F19*$E$15,F19*$D$15),2)</f>
        <v>41.28</v>
      </c>
      <c r="H19" s="39">
        <f t="shared" ref="H19:H48" si="2">ROUND(IF($H$17=$G$17,E19*G19,E19*F19),2)</f>
        <v>59.85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38.9</v>
      </c>
      <c r="L19" s="38">
        <f t="shared" ref="L19:L48" si="4">ROUND((J19*K19),2)</f>
        <v>38.9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38.9</v>
      </c>
      <c r="T19" s="52">
        <f t="shared" ref="T19:T48" si="6">ROUND(L19-R19,2)</f>
        <v>38.9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334</v>
      </c>
      <c r="C20" s="6" t="s">
        <v>125</v>
      </c>
      <c r="D20" s="130">
        <v>500</v>
      </c>
      <c r="E20" s="53">
        <v>1</v>
      </c>
      <c r="F20" s="8">
        <v>275.9862</v>
      </c>
      <c r="G20" s="9">
        <f t="shared" si="1"/>
        <v>190.34</v>
      </c>
      <c r="H20" s="10">
        <f t="shared" si="2"/>
        <v>275.99</v>
      </c>
      <c r="I20" s="42"/>
      <c r="J20" s="89">
        <f t="shared" si="0"/>
        <v>1</v>
      </c>
      <c r="K20" s="9">
        <f t="shared" si="3"/>
        <v>137.99</v>
      </c>
      <c r="L20" s="9">
        <f t="shared" si="4"/>
        <v>137.99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137.99</v>
      </c>
      <c r="T20" s="14">
        <f t="shared" si="6"/>
        <v>137.99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463</v>
      </c>
      <c r="C21" s="4" t="s">
        <v>221</v>
      </c>
      <c r="D21" s="129">
        <v>1000</v>
      </c>
      <c r="E21" s="54">
        <v>1</v>
      </c>
      <c r="F21" s="15">
        <v>415.83</v>
      </c>
      <c r="G21" s="38">
        <f t="shared" si="1"/>
        <v>286.77999999999997</v>
      </c>
      <c r="H21" s="39">
        <f t="shared" si="2"/>
        <v>415.83</v>
      </c>
      <c r="I21" s="42"/>
      <c r="J21" s="88">
        <f t="shared" si="0"/>
        <v>1</v>
      </c>
      <c r="K21" s="38">
        <f t="shared" si="3"/>
        <v>207.92</v>
      </c>
      <c r="L21" s="38">
        <f t="shared" si="4"/>
        <v>207.92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207.92</v>
      </c>
      <c r="T21" s="52">
        <f t="shared" si="6"/>
        <v>207.92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131</v>
      </c>
      <c r="D22" s="130">
        <v>1000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464</v>
      </c>
      <c r="C23" s="4" t="s">
        <v>114</v>
      </c>
      <c r="D23" s="129">
        <v>1000</v>
      </c>
      <c r="E23" s="54">
        <v>2</v>
      </c>
      <c r="F23" s="15">
        <v>152.87</v>
      </c>
      <c r="G23" s="38">
        <f t="shared" si="1"/>
        <v>105.43</v>
      </c>
      <c r="H23" s="39">
        <f t="shared" si="2"/>
        <v>305.74</v>
      </c>
      <c r="I23" s="42"/>
      <c r="J23" s="88">
        <f t="shared" si="0"/>
        <v>2</v>
      </c>
      <c r="K23" s="38">
        <f t="shared" si="3"/>
        <v>99.37</v>
      </c>
      <c r="L23" s="38">
        <f t="shared" si="4"/>
        <v>198.74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99.37</v>
      </c>
      <c r="T23" s="52">
        <f t="shared" si="6"/>
        <v>198.74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450</v>
      </c>
      <c r="C24" s="6" t="s">
        <v>122</v>
      </c>
      <c r="D24" s="130">
        <v>500</v>
      </c>
      <c r="E24" s="53">
        <v>1</v>
      </c>
      <c r="F24" s="8">
        <v>38.229999999999997</v>
      </c>
      <c r="G24" s="9">
        <f t="shared" si="1"/>
        <v>26.37</v>
      </c>
      <c r="H24" s="10">
        <f t="shared" si="2"/>
        <v>38.229999999999997</v>
      </c>
      <c r="I24" s="42"/>
      <c r="J24" s="89">
        <f t="shared" si="0"/>
        <v>1</v>
      </c>
      <c r="K24" s="9">
        <f t="shared" si="3"/>
        <v>19.12</v>
      </c>
      <c r="L24" s="9">
        <f t="shared" si="4"/>
        <v>19.12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19.12</v>
      </c>
      <c r="T24" s="14">
        <f t="shared" si="6"/>
        <v>19.12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332</v>
      </c>
      <c r="C25" s="4" t="s">
        <v>125</v>
      </c>
      <c r="D25" s="129">
        <v>500</v>
      </c>
      <c r="E25" s="54">
        <v>1</v>
      </c>
      <c r="F25" s="15">
        <v>61.975799999999992</v>
      </c>
      <c r="G25" s="38">
        <f t="shared" si="1"/>
        <v>42.74</v>
      </c>
      <c r="H25" s="39">
        <f t="shared" si="2"/>
        <v>61.98</v>
      </c>
      <c r="I25" s="42"/>
      <c r="J25" s="88">
        <f t="shared" si="0"/>
        <v>1</v>
      </c>
      <c r="K25" s="38">
        <f t="shared" si="3"/>
        <v>30.99</v>
      </c>
      <c r="L25" s="38">
        <f t="shared" si="4"/>
        <v>30.99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30.99</v>
      </c>
      <c r="T25" s="52">
        <f t="shared" si="6"/>
        <v>30.99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453</v>
      </c>
      <c r="C26" s="6" t="s">
        <v>147</v>
      </c>
      <c r="D26" s="130" t="s">
        <v>138</v>
      </c>
      <c r="E26" s="53">
        <v>1</v>
      </c>
      <c r="F26" s="8">
        <v>2859.5</v>
      </c>
      <c r="G26" s="9">
        <f t="shared" si="1"/>
        <v>1972.07</v>
      </c>
      <c r="H26" s="10">
        <f t="shared" si="2"/>
        <v>2859.5</v>
      </c>
      <c r="I26" s="42"/>
      <c r="J26" s="89">
        <f t="shared" si="0"/>
        <v>1</v>
      </c>
      <c r="K26" s="9">
        <f t="shared" si="3"/>
        <v>1429.75</v>
      </c>
      <c r="L26" s="9">
        <f t="shared" si="4"/>
        <v>1429.75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1429.75</v>
      </c>
      <c r="T26" s="14">
        <f t="shared" si="6"/>
        <v>1429.75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454</v>
      </c>
      <c r="C27" s="4" t="s">
        <v>144</v>
      </c>
      <c r="D27" s="129" t="s">
        <v>138</v>
      </c>
      <c r="E27" s="54">
        <v>1</v>
      </c>
      <c r="F27" s="15">
        <v>1236.57</v>
      </c>
      <c r="G27" s="38">
        <f t="shared" si="1"/>
        <v>852.81</v>
      </c>
      <c r="H27" s="39">
        <f t="shared" si="2"/>
        <v>1236.57</v>
      </c>
      <c r="I27" s="42"/>
      <c r="J27" s="88">
        <f t="shared" si="0"/>
        <v>1</v>
      </c>
      <c r="K27" s="38">
        <f t="shared" si="3"/>
        <v>618.29</v>
      </c>
      <c r="L27" s="38">
        <f t="shared" si="4"/>
        <v>618.29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618.29</v>
      </c>
      <c r="T27" s="52">
        <f t="shared" si="6"/>
        <v>618.29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455</v>
      </c>
      <c r="C28" s="6" t="s">
        <v>149</v>
      </c>
      <c r="D28" s="130" t="s">
        <v>138</v>
      </c>
      <c r="E28" s="53">
        <v>6</v>
      </c>
      <c r="F28" s="8">
        <v>866.09</v>
      </c>
      <c r="G28" s="9">
        <f t="shared" si="1"/>
        <v>597.29999999999995</v>
      </c>
      <c r="H28" s="10">
        <f t="shared" si="2"/>
        <v>5196.54</v>
      </c>
      <c r="I28" s="42"/>
      <c r="J28" s="89">
        <f t="shared" si="0"/>
        <v>6</v>
      </c>
      <c r="K28" s="9">
        <f t="shared" si="3"/>
        <v>606.26</v>
      </c>
      <c r="L28" s="9">
        <f t="shared" si="4"/>
        <v>3637.56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606.26</v>
      </c>
      <c r="T28" s="14">
        <f t="shared" si="6"/>
        <v>3637.56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465</v>
      </c>
      <c r="C29" s="4" t="s">
        <v>389</v>
      </c>
      <c r="D29" s="129" t="s">
        <v>138</v>
      </c>
      <c r="E29" s="54">
        <v>2</v>
      </c>
      <c r="F29" s="15">
        <v>483.17</v>
      </c>
      <c r="G29" s="38">
        <f>ROUND(IF($F$17="USD $", F29*$E$15,F29*$D$15),2)</f>
        <v>333.22</v>
      </c>
      <c r="H29" s="39">
        <f>ROUND(IF($H$17=$G$17,E29*G29,E29*F29),2)</f>
        <v>966.34</v>
      </c>
      <c r="I29" s="42"/>
      <c r="J29" s="88">
        <f t="shared" si="0"/>
        <v>2</v>
      </c>
      <c r="K29" s="38">
        <f t="shared" si="3"/>
        <v>241.59</v>
      </c>
      <c r="L29" s="38">
        <f>ROUND((J29*K29),2)</f>
        <v>483.18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241.59</v>
      </c>
      <c r="T29" s="52">
        <f t="shared" si="6"/>
        <v>483.18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466</v>
      </c>
      <c r="C30" s="6" t="s">
        <v>137</v>
      </c>
      <c r="D30" s="130" t="s">
        <v>138</v>
      </c>
      <c r="E30" s="53">
        <v>1</v>
      </c>
      <c r="F30" s="8">
        <v>8656.94</v>
      </c>
      <c r="G30" s="9">
        <f t="shared" si="1"/>
        <v>5970.3</v>
      </c>
      <c r="H30" s="10">
        <f t="shared" si="2"/>
        <v>8656.94</v>
      </c>
      <c r="I30" s="42"/>
      <c r="J30" s="89">
        <f t="shared" si="0"/>
        <v>1</v>
      </c>
      <c r="K30" s="9">
        <f t="shared" si="3"/>
        <v>4328.47</v>
      </c>
      <c r="L30" s="9">
        <f t="shared" si="4"/>
        <v>4328.47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4328.47</v>
      </c>
      <c r="T30" s="14">
        <f t="shared" si="6"/>
        <v>4328.47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467</v>
      </c>
      <c r="C31" s="4" t="s">
        <v>158</v>
      </c>
      <c r="D31" s="129" t="s">
        <v>138</v>
      </c>
      <c r="E31" s="54">
        <v>1</v>
      </c>
      <c r="F31" s="15">
        <v>1133.8699999999999</v>
      </c>
      <c r="G31" s="38">
        <f t="shared" si="1"/>
        <v>781.98</v>
      </c>
      <c r="H31" s="39">
        <f t="shared" si="2"/>
        <v>1133.8699999999999</v>
      </c>
      <c r="I31" s="42"/>
      <c r="J31" s="88">
        <f t="shared" si="0"/>
        <v>1</v>
      </c>
      <c r="K31" s="38">
        <f t="shared" si="3"/>
        <v>623.63</v>
      </c>
      <c r="L31" s="38">
        <f t="shared" si="4"/>
        <v>623.63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623.63</v>
      </c>
      <c r="T31" s="52">
        <f t="shared" si="6"/>
        <v>623.63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468</v>
      </c>
      <c r="C32" s="6" t="s">
        <v>158</v>
      </c>
      <c r="D32" s="130" t="s">
        <v>138</v>
      </c>
      <c r="E32" s="53">
        <v>2</v>
      </c>
      <c r="F32" s="8">
        <v>396.35</v>
      </c>
      <c r="G32" s="9">
        <f t="shared" si="1"/>
        <v>273.33999999999997</v>
      </c>
      <c r="H32" s="10">
        <f t="shared" si="2"/>
        <v>792.7</v>
      </c>
      <c r="I32" s="42"/>
      <c r="J32" s="89">
        <f t="shared" si="0"/>
        <v>2</v>
      </c>
      <c r="K32" s="9">
        <f t="shared" si="3"/>
        <v>217.99</v>
      </c>
      <c r="L32" s="9">
        <f t="shared" si="4"/>
        <v>435.98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217.99</v>
      </c>
      <c r="T32" s="14">
        <f t="shared" si="6"/>
        <v>435.98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469</v>
      </c>
      <c r="C33" s="4" t="s">
        <v>178</v>
      </c>
      <c r="D33" s="129" t="s">
        <v>138</v>
      </c>
      <c r="E33" s="54">
        <v>14</v>
      </c>
      <c r="F33" s="15">
        <v>6.1</v>
      </c>
      <c r="G33" s="38">
        <f t="shared" si="1"/>
        <v>4.21</v>
      </c>
      <c r="H33" s="39">
        <f t="shared" si="2"/>
        <v>85.4</v>
      </c>
      <c r="I33" s="42"/>
      <c r="J33" s="88">
        <f t="shared" si="0"/>
        <v>14</v>
      </c>
      <c r="K33" s="38">
        <f t="shared" si="3"/>
        <v>3.36</v>
      </c>
      <c r="L33" s="38">
        <f t="shared" si="4"/>
        <v>47.04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3.36</v>
      </c>
      <c r="T33" s="52">
        <f t="shared" si="6"/>
        <v>47.04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470</v>
      </c>
      <c r="C34" s="6" t="s">
        <v>180</v>
      </c>
      <c r="D34" s="130" t="s">
        <v>138</v>
      </c>
      <c r="E34" s="53">
        <v>14</v>
      </c>
      <c r="F34" s="8">
        <v>0.9</v>
      </c>
      <c r="G34" s="9">
        <f t="shared" si="1"/>
        <v>0.62</v>
      </c>
      <c r="H34" s="10">
        <f t="shared" si="2"/>
        <v>12.6</v>
      </c>
      <c r="I34" s="42"/>
      <c r="J34" s="89">
        <f t="shared" si="0"/>
        <v>14</v>
      </c>
      <c r="K34" s="9">
        <f t="shared" si="3"/>
        <v>0.5</v>
      </c>
      <c r="L34" s="9">
        <f t="shared" si="4"/>
        <v>7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0.5</v>
      </c>
      <c r="T34" s="14">
        <f t="shared" si="6"/>
        <v>7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471</v>
      </c>
      <c r="C35" s="4" t="s">
        <v>210</v>
      </c>
      <c r="D35" s="129" t="s">
        <v>138</v>
      </c>
      <c r="E35" s="54">
        <v>14</v>
      </c>
      <c r="F35" s="15">
        <v>5.84</v>
      </c>
      <c r="G35" s="38">
        <f t="shared" si="1"/>
        <v>4.03</v>
      </c>
      <c r="H35" s="39">
        <f t="shared" si="2"/>
        <v>81.760000000000005</v>
      </c>
      <c r="I35" s="42"/>
      <c r="J35" s="88">
        <f t="shared" si="0"/>
        <v>14</v>
      </c>
      <c r="K35" s="38">
        <f t="shared" si="3"/>
        <v>3.21</v>
      </c>
      <c r="L35" s="38">
        <f t="shared" si="4"/>
        <v>44.94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3.21</v>
      </c>
      <c r="T35" s="52">
        <f t="shared" si="6"/>
        <v>44.94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65</v>
      </c>
      <c r="F49" s="78">
        <f>SUM(F18:F48)</f>
        <v>16875.768399999997</v>
      </c>
      <c r="G49" s="79">
        <f>SUM(G18:G48)</f>
        <v>11638.470000000001</v>
      </c>
      <c r="H49" s="80">
        <f>SUM(H18:H48)</f>
        <v>22405.539999999997</v>
      </c>
      <c r="I49" s="81"/>
      <c r="J49" s="82">
        <f>SUM(J18:J48)</f>
        <v>65</v>
      </c>
      <c r="K49" s="79">
        <f>SUM(K18:K48)</f>
        <v>8729.869999999999</v>
      </c>
      <c r="L49" s="80">
        <f>SUM(L18:L48)</f>
        <v>12412.03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8729.869999999999</v>
      </c>
      <c r="T49" s="80">
        <f>SUM(T18:T48)</f>
        <v>12412.03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F17 K17 Q17 Q14" xr:uid="{BB14EFB7-E7FC-45A7-84A1-E95D0F67DB60}">
      <formula1>$Y$11:$Y$12</formula1>
    </dataValidation>
    <dataValidation type="list" allowBlank="1" showInputMessage="1" showErrorMessage="1" sqref="H13" xr:uid="{DE8ADA26-E2E3-4959-8B3D-4C974C83B8C3}">
      <formula1>$Y$13:$Y$14</formula1>
    </dataValidation>
    <dataValidation type="list" allowBlank="1" showInputMessage="1" showErrorMessage="1" sqref="I13" xr:uid="{87B8463F-0C45-4D75-A10D-DA42074308DE}">
      <formula1>$K$9:$K$9</formula1>
    </dataValidation>
    <dataValidation type="list" showInputMessage="1" showErrorMessage="1" sqref="D18:D48" xr:uid="{489C75A4-0C7E-4B5F-93AD-15E24E882784}">
      <formula1>$Z$18:$Z$29</formula1>
    </dataValidation>
    <dataValidation type="list" allowBlank="1" showInputMessage="1" showErrorMessage="1" sqref="M18:M48" xr:uid="{D3C3019E-DE0A-4499-8B4B-B6E48B40DFB9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95D0-EA7D-4C3A-862D-CAB85E6320B6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472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22405.539999999997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12412.03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9993.5099999999966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459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0.44602852687326427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473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12412.03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642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10962.03</v>
      </c>
      <c r="U9" s="235">
        <f>IFERROR(((P3-S9)/S9),0)</f>
        <v>7.5600206896551727</v>
      </c>
      <c r="V9" s="235">
        <f>IFERROR(T9/P3,0)</f>
        <v>0.88317785245443337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65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461</v>
      </c>
      <c r="C18" s="5" t="s">
        <v>111</v>
      </c>
      <c r="D18" s="128">
        <v>500</v>
      </c>
      <c r="E18" s="53">
        <v>1</v>
      </c>
      <c r="F18" s="8">
        <v>64.540000000000006</v>
      </c>
      <c r="G18" s="9">
        <f>ROUND(IF($F$17="USD $", F18*$E$15,F18*$D$15),2)</f>
        <v>44.51</v>
      </c>
      <c r="H18" s="10">
        <f>ROUND(IF($H$17=$G$17,E18*G18,E18*F18),2)</f>
        <v>64.540000000000006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41.95</v>
      </c>
      <c r="L18" s="9">
        <f>ROUND((J18*K18),2)</f>
        <v>41.95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41.95</v>
      </c>
      <c r="T18" s="14">
        <f>ROUND(L18-R18,2)</f>
        <v>41.95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462</v>
      </c>
      <c r="C19" s="4" t="s">
        <v>117</v>
      </c>
      <c r="D19" s="129">
        <v>1000</v>
      </c>
      <c r="E19" s="54">
        <v>1</v>
      </c>
      <c r="F19" s="15">
        <v>59.85</v>
      </c>
      <c r="G19" s="38">
        <f t="shared" ref="G19:G48" si="1">ROUND(IF($F$17="USD $", F19*$E$15,F19*$D$15),2)</f>
        <v>41.28</v>
      </c>
      <c r="H19" s="39">
        <f t="shared" ref="H19:H48" si="2">ROUND(IF($H$17=$G$17,E19*G19,E19*F19),2)</f>
        <v>59.85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38.9</v>
      </c>
      <c r="L19" s="38">
        <f t="shared" ref="L19:L48" si="4">ROUND((J19*K19),2)</f>
        <v>38.9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38.9</v>
      </c>
      <c r="T19" s="52">
        <f t="shared" ref="T19:T48" si="6">ROUND(L19-R19,2)</f>
        <v>38.9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334</v>
      </c>
      <c r="C20" s="6" t="s">
        <v>125</v>
      </c>
      <c r="D20" s="130">
        <v>500</v>
      </c>
      <c r="E20" s="53">
        <v>1</v>
      </c>
      <c r="F20" s="8">
        <v>275.9862</v>
      </c>
      <c r="G20" s="9">
        <f t="shared" si="1"/>
        <v>190.34</v>
      </c>
      <c r="H20" s="10">
        <f t="shared" si="2"/>
        <v>275.99</v>
      </c>
      <c r="I20" s="42"/>
      <c r="J20" s="89">
        <f t="shared" si="0"/>
        <v>1</v>
      </c>
      <c r="K20" s="9">
        <f t="shared" si="3"/>
        <v>137.99</v>
      </c>
      <c r="L20" s="9">
        <f t="shared" si="4"/>
        <v>137.99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137.99</v>
      </c>
      <c r="T20" s="14">
        <f t="shared" si="6"/>
        <v>137.99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463</v>
      </c>
      <c r="C21" s="4" t="s">
        <v>221</v>
      </c>
      <c r="D21" s="129">
        <v>1000</v>
      </c>
      <c r="E21" s="54">
        <v>1</v>
      </c>
      <c r="F21" s="15">
        <v>415.83</v>
      </c>
      <c r="G21" s="38">
        <f t="shared" si="1"/>
        <v>286.77999999999997</v>
      </c>
      <c r="H21" s="39">
        <f t="shared" si="2"/>
        <v>415.83</v>
      </c>
      <c r="I21" s="42"/>
      <c r="J21" s="88">
        <f t="shared" si="0"/>
        <v>1</v>
      </c>
      <c r="K21" s="38">
        <f t="shared" si="3"/>
        <v>207.92</v>
      </c>
      <c r="L21" s="38">
        <f t="shared" si="4"/>
        <v>207.92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207.92</v>
      </c>
      <c r="T21" s="52">
        <f t="shared" si="6"/>
        <v>207.92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335</v>
      </c>
      <c r="C22" s="6" t="s">
        <v>131</v>
      </c>
      <c r="D22" s="130">
        <v>1000</v>
      </c>
      <c r="E22" s="53">
        <v>1</v>
      </c>
      <c r="F22" s="8">
        <v>161.15639999999999</v>
      </c>
      <c r="G22" s="9">
        <f t="shared" si="1"/>
        <v>111.14</v>
      </c>
      <c r="H22" s="10">
        <f t="shared" si="2"/>
        <v>161.16</v>
      </c>
      <c r="I22" s="42"/>
      <c r="J22" s="89">
        <f t="shared" si="0"/>
        <v>1</v>
      </c>
      <c r="K22" s="9">
        <f t="shared" si="3"/>
        <v>80.58</v>
      </c>
      <c r="L22" s="9">
        <f t="shared" si="4"/>
        <v>80.58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80.58</v>
      </c>
      <c r="T22" s="14">
        <f t="shared" si="6"/>
        <v>80.58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464</v>
      </c>
      <c r="C23" s="4" t="s">
        <v>114</v>
      </c>
      <c r="D23" s="129">
        <v>1000</v>
      </c>
      <c r="E23" s="54">
        <v>2</v>
      </c>
      <c r="F23" s="15">
        <v>152.87</v>
      </c>
      <c r="G23" s="38">
        <f t="shared" si="1"/>
        <v>105.43</v>
      </c>
      <c r="H23" s="39">
        <f t="shared" si="2"/>
        <v>305.74</v>
      </c>
      <c r="I23" s="42"/>
      <c r="J23" s="88">
        <f t="shared" si="0"/>
        <v>2</v>
      </c>
      <c r="K23" s="38">
        <f t="shared" si="3"/>
        <v>99.37</v>
      </c>
      <c r="L23" s="38">
        <f t="shared" si="4"/>
        <v>198.74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99.37</v>
      </c>
      <c r="T23" s="52">
        <f t="shared" si="6"/>
        <v>198.74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450</v>
      </c>
      <c r="C24" s="6" t="s">
        <v>122</v>
      </c>
      <c r="D24" s="130">
        <v>500</v>
      </c>
      <c r="E24" s="53">
        <v>1</v>
      </c>
      <c r="F24" s="8">
        <v>38.229999999999997</v>
      </c>
      <c r="G24" s="9">
        <f t="shared" si="1"/>
        <v>26.37</v>
      </c>
      <c r="H24" s="10">
        <f t="shared" si="2"/>
        <v>38.229999999999997</v>
      </c>
      <c r="I24" s="42"/>
      <c r="J24" s="89">
        <f t="shared" si="0"/>
        <v>1</v>
      </c>
      <c r="K24" s="9">
        <f t="shared" si="3"/>
        <v>19.12</v>
      </c>
      <c r="L24" s="9">
        <f t="shared" si="4"/>
        <v>19.12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19.12</v>
      </c>
      <c r="T24" s="14">
        <f t="shared" si="6"/>
        <v>19.12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332</v>
      </c>
      <c r="C25" s="4" t="s">
        <v>125</v>
      </c>
      <c r="D25" s="129">
        <v>500</v>
      </c>
      <c r="E25" s="54">
        <v>1</v>
      </c>
      <c r="F25" s="15">
        <v>61.975799999999992</v>
      </c>
      <c r="G25" s="38">
        <f t="shared" si="1"/>
        <v>42.74</v>
      </c>
      <c r="H25" s="39">
        <f t="shared" si="2"/>
        <v>61.98</v>
      </c>
      <c r="I25" s="42"/>
      <c r="J25" s="88">
        <f t="shared" si="0"/>
        <v>1</v>
      </c>
      <c r="K25" s="38">
        <f t="shared" si="3"/>
        <v>30.99</v>
      </c>
      <c r="L25" s="38">
        <f t="shared" si="4"/>
        <v>30.99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30.99</v>
      </c>
      <c r="T25" s="52">
        <f t="shared" si="6"/>
        <v>30.99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453</v>
      </c>
      <c r="C26" s="6" t="s">
        <v>147</v>
      </c>
      <c r="D26" s="130" t="s">
        <v>138</v>
      </c>
      <c r="E26" s="53">
        <v>1</v>
      </c>
      <c r="F26" s="8">
        <v>2859.5</v>
      </c>
      <c r="G26" s="9">
        <f t="shared" si="1"/>
        <v>1972.07</v>
      </c>
      <c r="H26" s="10">
        <f t="shared" si="2"/>
        <v>2859.5</v>
      </c>
      <c r="I26" s="42"/>
      <c r="J26" s="89">
        <f t="shared" si="0"/>
        <v>1</v>
      </c>
      <c r="K26" s="9">
        <f t="shared" si="3"/>
        <v>1429.75</v>
      </c>
      <c r="L26" s="9">
        <f t="shared" si="4"/>
        <v>1429.75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1429.75</v>
      </c>
      <c r="T26" s="14">
        <f t="shared" si="6"/>
        <v>1429.75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454</v>
      </c>
      <c r="C27" s="4" t="s">
        <v>144</v>
      </c>
      <c r="D27" s="129" t="s">
        <v>138</v>
      </c>
      <c r="E27" s="54">
        <v>1</v>
      </c>
      <c r="F27" s="15">
        <v>1236.57</v>
      </c>
      <c r="G27" s="38">
        <f t="shared" si="1"/>
        <v>852.81</v>
      </c>
      <c r="H27" s="39">
        <f t="shared" si="2"/>
        <v>1236.57</v>
      </c>
      <c r="I27" s="42"/>
      <c r="J27" s="88">
        <f t="shared" si="0"/>
        <v>1</v>
      </c>
      <c r="K27" s="38">
        <f t="shared" si="3"/>
        <v>618.29</v>
      </c>
      <c r="L27" s="38">
        <f t="shared" si="4"/>
        <v>618.29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618.29</v>
      </c>
      <c r="T27" s="52">
        <f t="shared" si="6"/>
        <v>618.29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455</v>
      </c>
      <c r="C28" s="6" t="s">
        <v>149</v>
      </c>
      <c r="D28" s="130" t="s">
        <v>138</v>
      </c>
      <c r="E28" s="53">
        <v>6</v>
      </c>
      <c r="F28" s="8">
        <v>866.09</v>
      </c>
      <c r="G28" s="9">
        <f t="shared" si="1"/>
        <v>597.29999999999995</v>
      </c>
      <c r="H28" s="10">
        <f t="shared" si="2"/>
        <v>5196.54</v>
      </c>
      <c r="I28" s="42"/>
      <c r="J28" s="89">
        <f t="shared" si="0"/>
        <v>6</v>
      </c>
      <c r="K28" s="9">
        <f t="shared" si="3"/>
        <v>606.26</v>
      </c>
      <c r="L28" s="9">
        <f t="shared" si="4"/>
        <v>3637.56</v>
      </c>
      <c r="M28" s="8" t="s">
        <v>112</v>
      </c>
      <c r="N28" s="12">
        <v>0.3</v>
      </c>
      <c r="O28" s="51"/>
      <c r="P28" s="3"/>
      <c r="Q28" s="13"/>
      <c r="R28" s="14">
        <f t="shared" si="9"/>
        <v>0</v>
      </c>
      <c r="S28" s="14">
        <f t="shared" si="5"/>
        <v>606.26</v>
      </c>
      <c r="T28" s="14">
        <f t="shared" si="6"/>
        <v>3637.56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465</v>
      </c>
      <c r="C29" s="4" t="s">
        <v>389</v>
      </c>
      <c r="D29" s="129" t="s">
        <v>138</v>
      </c>
      <c r="E29" s="54">
        <v>2</v>
      </c>
      <c r="F29" s="15">
        <v>483.17</v>
      </c>
      <c r="G29" s="38">
        <f>ROUND(IF($F$17="USD $", F29*$E$15,F29*$D$15),2)</f>
        <v>333.22</v>
      </c>
      <c r="H29" s="39">
        <f>ROUND(IF($H$17=$G$17,E29*G29,E29*F29),2)</f>
        <v>966.34</v>
      </c>
      <c r="I29" s="42"/>
      <c r="J29" s="88">
        <f t="shared" si="0"/>
        <v>2</v>
      </c>
      <c r="K29" s="38">
        <f t="shared" si="3"/>
        <v>241.59</v>
      </c>
      <c r="L29" s="38">
        <f>ROUND((J29*K29),2)</f>
        <v>483.18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241.59</v>
      </c>
      <c r="T29" s="52">
        <f t="shared" si="6"/>
        <v>483.18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466</v>
      </c>
      <c r="C30" s="6" t="s">
        <v>137</v>
      </c>
      <c r="D30" s="130" t="s">
        <v>138</v>
      </c>
      <c r="E30" s="53">
        <v>1</v>
      </c>
      <c r="F30" s="8">
        <v>8656.94</v>
      </c>
      <c r="G30" s="9">
        <f t="shared" si="1"/>
        <v>5970.3</v>
      </c>
      <c r="H30" s="10">
        <f t="shared" si="2"/>
        <v>8656.94</v>
      </c>
      <c r="I30" s="42"/>
      <c r="J30" s="89">
        <f t="shared" si="0"/>
        <v>1</v>
      </c>
      <c r="K30" s="9">
        <f t="shared" si="3"/>
        <v>4328.47</v>
      </c>
      <c r="L30" s="9">
        <f t="shared" si="4"/>
        <v>4328.47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4328.47</v>
      </c>
      <c r="T30" s="14">
        <f t="shared" si="6"/>
        <v>4328.47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467</v>
      </c>
      <c r="C31" s="4" t="s">
        <v>158</v>
      </c>
      <c r="D31" s="129" t="s">
        <v>138</v>
      </c>
      <c r="E31" s="54">
        <v>1</v>
      </c>
      <c r="F31" s="15">
        <v>1133.8699999999999</v>
      </c>
      <c r="G31" s="38">
        <f t="shared" si="1"/>
        <v>781.98</v>
      </c>
      <c r="H31" s="39">
        <f t="shared" si="2"/>
        <v>1133.8699999999999</v>
      </c>
      <c r="I31" s="42"/>
      <c r="J31" s="88">
        <f t="shared" si="0"/>
        <v>1</v>
      </c>
      <c r="K31" s="38">
        <f t="shared" si="3"/>
        <v>623.63</v>
      </c>
      <c r="L31" s="38">
        <f t="shared" si="4"/>
        <v>623.63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623.63</v>
      </c>
      <c r="T31" s="52">
        <f t="shared" si="6"/>
        <v>623.63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468</v>
      </c>
      <c r="C32" s="6" t="s">
        <v>158</v>
      </c>
      <c r="D32" s="130" t="s">
        <v>138</v>
      </c>
      <c r="E32" s="53">
        <v>2</v>
      </c>
      <c r="F32" s="8">
        <v>396.35</v>
      </c>
      <c r="G32" s="9">
        <f t="shared" si="1"/>
        <v>273.33999999999997</v>
      </c>
      <c r="H32" s="10">
        <f t="shared" si="2"/>
        <v>792.7</v>
      </c>
      <c r="I32" s="42"/>
      <c r="J32" s="89">
        <f t="shared" si="0"/>
        <v>2</v>
      </c>
      <c r="K32" s="9">
        <f t="shared" si="3"/>
        <v>217.99</v>
      </c>
      <c r="L32" s="9">
        <f t="shared" si="4"/>
        <v>435.98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217.99</v>
      </c>
      <c r="T32" s="14">
        <f t="shared" si="6"/>
        <v>435.98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469</v>
      </c>
      <c r="C33" s="4" t="s">
        <v>178</v>
      </c>
      <c r="D33" s="129" t="s">
        <v>138</v>
      </c>
      <c r="E33" s="54">
        <v>14</v>
      </c>
      <c r="F33" s="15">
        <v>6.1</v>
      </c>
      <c r="G33" s="38">
        <f t="shared" si="1"/>
        <v>4.21</v>
      </c>
      <c r="H33" s="39">
        <f t="shared" si="2"/>
        <v>85.4</v>
      </c>
      <c r="I33" s="42"/>
      <c r="J33" s="88">
        <f t="shared" si="0"/>
        <v>14</v>
      </c>
      <c r="K33" s="38">
        <f t="shared" si="3"/>
        <v>3.36</v>
      </c>
      <c r="L33" s="38">
        <f t="shared" si="4"/>
        <v>47.04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3.36</v>
      </c>
      <c r="T33" s="52">
        <f t="shared" si="6"/>
        <v>47.04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470</v>
      </c>
      <c r="C34" s="6" t="s">
        <v>180</v>
      </c>
      <c r="D34" s="130" t="s">
        <v>138</v>
      </c>
      <c r="E34" s="53">
        <v>14</v>
      </c>
      <c r="F34" s="8">
        <v>0.9</v>
      </c>
      <c r="G34" s="9">
        <f t="shared" si="1"/>
        <v>0.62</v>
      </c>
      <c r="H34" s="10">
        <f t="shared" si="2"/>
        <v>12.6</v>
      </c>
      <c r="I34" s="42"/>
      <c r="J34" s="89">
        <f t="shared" si="0"/>
        <v>14</v>
      </c>
      <c r="K34" s="9">
        <f t="shared" si="3"/>
        <v>0.5</v>
      </c>
      <c r="L34" s="9">
        <f t="shared" si="4"/>
        <v>7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0.5</v>
      </c>
      <c r="T34" s="14">
        <f t="shared" si="6"/>
        <v>7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471</v>
      </c>
      <c r="C35" s="4" t="s">
        <v>210</v>
      </c>
      <c r="D35" s="129" t="s">
        <v>138</v>
      </c>
      <c r="E35" s="54">
        <v>14</v>
      </c>
      <c r="F35" s="15">
        <v>5.84</v>
      </c>
      <c r="G35" s="38">
        <f t="shared" si="1"/>
        <v>4.03</v>
      </c>
      <c r="H35" s="39">
        <f t="shared" si="2"/>
        <v>81.760000000000005</v>
      </c>
      <c r="I35" s="42"/>
      <c r="J35" s="88">
        <f t="shared" si="0"/>
        <v>14</v>
      </c>
      <c r="K35" s="38">
        <f t="shared" si="3"/>
        <v>3.21</v>
      </c>
      <c r="L35" s="38">
        <f t="shared" si="4"/>
        <v>44.94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3.21</v>
      </c>
      <c r="T35" s="52">
        <f t="shared" si="6"/>
        <v>44.94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65</v>
      </c>
      <c r="F49" s="78">
        <f>SUM(F18:F48)</f>
        <v>16875.768399999997</v>
      </c>
      <c r="G49" s="79">
        <f>SUM(G18:G48)</f>
        <v>11638.470000000001</v>
      </c>
      <c r="H49" s="80">
        <f>SUM(H18:H48)</f>
        <v>22405.539999999997</v>
      </c>
      <c r="I49" s="81"/>
      <c r="J49" s="82">
        <f>SUM(J18:J48)</f>
        <v>65</v>
      </c>
      <c r="K49" s="79">
        <f>SUM(K18:K48)</f>
        <v>8729.869999999999</v>
      </c>
      <c r="L49" s="80">
        <f>SUM(L18:L48)</f>
        <v>12412.03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8729.869999999999</v>
      </c>
      <c r="T49" s="80">
        <f>SUM(T18:T48)</f>
        <v>12412.03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M18:M48" xr:uid="{645B7D8B-0D38-4BF7-BC64-8301DE7B011D}">
      <formula1>$Y$31:$Y$32</formula1>
    </dataValidation>
    <dataValidation type="list" showInputMessage="1" showErrorMessage="1" sqref="D18:D48" xr:uid="{F5321C12-17DB-4656-97EA-BEEDE38BB603}">
      <formula1>$Z$18:$Z$29</formula1>
    </dataValidation>
    <dataValidation type="list" allowBlank="1" showInputMessage="1" showErrorMessage="1" sqref="I13" xr:uid="{6525DFF1-3ED1-4EF9-BCDD-F7C641C2A92A}">
      <formula1>$K$9:$K$9</formula1>
    </dataValidation>
    <dataValidation type="list" allowBlank="1" showInputMessage="1" showErrorMessage="1" sqref="H13" xr:uid="{C623B8CA-611D-426C-9FA3-06648CEE3BFF}">
      <formula1>$Y$13:$Y$14</formula1>
    </dataValidation>
    <dataValidation type="list" allowBlank="1" showInputMessage="1" showErrorMessage="1" sqref="F17 K17 Q17 Q14" xr:uid="{4628AB51-AE74-4059-9B5E-193590A71DC0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2A6D-D987-4C16-80E8-152112CFB84C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474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476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M18:M48" xr:uid="{9FB69B4E-0ECC-400A-92B7-0F1A874E749B}">
      <formula1>$Y$31:$Y$32</formula1>
    </dataValidation>
    <dataValidation type="list" showInputMessage="1" showErrorMessage="1" sqref="D18:D48" xr:uid="{7611B80B-22E6-438A-A70E-A686777E9094}">
      <formula1>$Z$18:$Z$29</formula1>
    </dataValidation>
    <dataValidation type="list" allowBlank="1" showInputMessage="1" showErrorMessage="1" sqref="I13" xr:uid="{779BD36A-7CF8-4206-8E7A-11D4DC3D30A6}">
      <formula1>$K$9:$K$9</formula1>
    </dataValidation>
    <dataValidation type="list" allowBlank="1" showInputMessage="1" showErrorMessage="1" sqref="H13" xr:uid="{FDAD8F42-E317-4AE3-816B-961DA310099D}">
      <formula1>$Y$13:$Y$14</formula1>
    </dataValidation>
    <dataValidation type="list" allowBlank="1" showInputMessage="1" showErrorMessage="1" sqref="F17 K17 Q17 Q14" xr:uid="{64CEFD15-E575-45EC-B956-064A2FC80BE2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444B-B19C-4216-A165-5559A388BF16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490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491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F17 K17 Q17 Q14" xr:uid="{5A9127FE-1787-4798-814B-79CC083ED95B}">
      <formula1>$Y$11:$Y$12</formula1>
    </dataValidation>
    <dataValidation type="list" allowBlank="1" showInputMessage="1" showErrorMessage="1" sqref="H13" xr:uid="{ACFBD48E-7ED8-4BB8-9434-A16DF0AF42B7}">
      <formula1>$Y$13:$Y$14</formula1>
    </dataValidation>
    <dataValidation type="list" allowBlank="1" showInputMessage="1" showErrorMessage="1" sqref="I13" xr:uid="{7ECF5FAB-EFC7-41AB-99BD-F0978D4D5B9C}">
      <formula1>$K$9:$K$9</formula1>
    </dataValidation>
    <dataValidation type="list" showInputMessage="1" showErrorMessage="1" sqref="D18:D48" xr:uid="{B8A1DF70-D698-4147-B7FF-103BD9DFDDB2}">
      <formula1>$Z$18:$Z$29</formula1>
    </dataValidation>
    <dataValidation type="list" allowBlank="1" showInputMessage="1" showErrorMessage="1" sqref="M18:M48" xr:uid="{41FD5253-BB61-4894-BF13-43F2579BCAD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D3D6-9E2A-4C8F-BF7E-C727036C7BA4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492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493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M18:M48" xr:uid="{8E8D6670-240E-4535-95DE-D08C0A546955}">
      <formula1>$Y$31:$Y$32</formula1>
    </dataValidation>
    <dataValidation type="list" showInputMessage="1" showErrorMessage="1" sqref="D18:D48" xr:uid="{46239DD7-9838-45A9-84C9-950FA6695860}">
      <formula1>$Z$18:$Z$29</formula1>
    </dataValidation>
    <dataValidation type="list" allowBlank="1" showInputMessage="1" showErrorMessage="1" sqref="I13" xr:uid="{FF406624-7CD8-4A40-959E-65035432B8FB}">
      <formula1>$K$9:$K$9</formula1>
    </dataValidation>
    <dataValidation type="list" allowBlank="1" showInputMessage="1" showErrorMessage="1" sqref="H13" xr:uid="{EC76E6B5-FC05-4EF3-AFEB-2194DD4A765A}">
      <formula1>$Y$13:$Y$14</formula1>
    </dataValidation>
    <dataValidation type="list" allowBlank="1" showInputMessage="1" showErrorMessage="1" sqref="F17 K17 Q17 Q14" xr:uid="{8E3F9084-34B8-4AEB-AF87-C7C572FB4D4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DE46-ECCE-4295-84C9-E2A3D67C1CB4}">
  <sheetPr>
    <pageSetUpPr fitToPage="1"/>
  </sheetPr>
  <dimension ref="A1:AB51"/>
  <sheetViews>
    <sheetView zoomScale="85" zoomScaleNormal="85" workbookViewId="0">
      <selection activeCell="F6" sqref="F6:G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646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647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F17 K17 Q17 Q14" xr:uid="{8BE8F919-D64A-4C25-A322-19725266EBDB}">
      <formula1>$Y$11:$Y$12</formula1>
    </dataValidation>
    <dataValidation type="list" allowBlank="1" showInputMessage="1" showErrorMessage="1" sqref="H13" xr:uid="{FE3AE5F6-B653-4CCB-A180-A42DBAF41C8D}">
      <formula1>$Y$13:$Y$14</formula1>
    </dataValidation>
    <dataValidation type="list" allowBlank="1" showInputMessage="1" showErrorMessage="1" sqref="I13" xr:uid="{843958DC-8D8F-4399-BE5D-72297167297F}">
      <formula1>$K$9:$K$9</formula1>
    </dataValidation>
    <dataValidation type="list" showInputMessage="1" showErrorMessage="1" sqref="D18:D48" xr:uid="{81834DCD-DFCB-4455-8BEB-05FD624F7D26}">
      <formula1>$Z$18:$Z$29</formula1>
    </dataValidation>
    <dataValidation type="list" allowBlank="1" showInputMessage="1" showErrorMessage="1" sqref="M18:M48" xr:uid="{80B520A5-9B66-40F2-B76F-D48D6BA8017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4FBF-20E3-4710-BA94-556BEE49F063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>
        <v>411385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494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M18:M48" xr:uid="{F59403C3-1C5B-42BE-B3B5-B9A44969418F}">
      <formula1>$Y$31:$Y$32</formula1>
    </dataValidation>
    <dataValidation type="list" showInputMessage="1" showErrorMessage="1" sqref="D18:D48" xr:uid="{0C204302-FE32-470C-8032-5A1EA0F4E342}">
      <formula1>$Z$18:$Z$29</formula1>
    </dataValidation>
    <dataValidation type="list" allowBlank="1" showInputMessage="1" showErrorMessage="1" sqref="I13" xr:uid="{82793D29-A14C-44E5-B662-3BCED4571C8E}">
      <formula1>$K$9:$K$9</formula1>
    </dataValidation>
    <dataValidation type="list" allowBlank="1" showInputMessage="1" showErrorMessage="1" sqref="H13" xr:uid="{830FBC5D-79E0-4FD2-A339-C40D377C09D3}">
      <formula1>$Y$13:$Y$14</formula1>
    </dataValidation>
    <dataValidation type="list" allowBlank="1" showInputMessage="1" showErrorMessage="1" sqref="F17 K17 Q17 Q14" xr:uid="{5B7A495C-2F62-447D-91FC-F5A8870A4ED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1FF3-88BE-439D-A5CE-370A8FBE55A9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495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496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M18:M48" xr:uid="{1CB73CF8-5B94-425F-8D54-D8D4A12EBF65}">
      <formula1>$Y$31:$Y$32</formula1>
    </dataValidation>
    <dataValidation type="list" showInputMessage="1" showErrorMessage="1" sqref="D18:D48" xr:uid="{A58EDF10-980E-4AA7-B942-DE6830A8FC02}">
      <formula1>$Z$18:$Z$29</formula1>
    </dataValidation>
    <dataValidation type="list" allowBlank="1" showInputMessage="1" showErrorMessage="1" sqref="I13" xr:uid="{76A0693D-229F-499A-97ED-5AD6ED7DCEEE}">
      <formula1>$K$9:$K$9</formula1>
    </dataValidation>
    <dataValidation type="list" allowBlank="1" showInputMessage="1" showErrorMessage="1" sqref="H13" xr:uid="{821D302D-B042-451E-AECA-C05DB967FEB0}">
      <formula1>$Y$13:$Y$14</formula1>
    </dataValidation>
    <dataValidation type="list" allowBlank="1" showInputMessage="1" showErrorMessage="1" sqref="F17 K17 Q17 Q14" xr:uid="{7F952B08-2538-4262-9378-1607FE17F7B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55D1-C844-48A1-AFB5-3986F3DA18F4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497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498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F17 K17 Q17 Q14" xr:uid="{17062FAE-C6C0-4B7B-9D04-6D92E8038439}">
      <formula1>$Y$11:$Y$12</formula1>
    </dataValidation>
    <dataValidation type="list" allowBlank="1" showInputMessage="1" showErrorMessage="1" sqref="H13" xr:uid="{45DB8A33-753A-4886-A019-93FBC6E0BBB6}">
      <formula1>$Y$13:$Y$14</formula1>
    </dataValidation>
    <dataValidation type="list" allowBlank="1" showInputMessage="1" showErrorMessage="1" sqref="I13" xr:uid="{E7D74A5C-1C1F-4C08-AC03-C6B8909E6803}">
      <formula1>$K$9:$K$9</formula1>
    </dataValidation>
    <dataValidation type="list" showInputMessage="1" showErrorMessage="1" sqref="D18:D48" xr:uid="{F3057E63-0B9F-4F2D-90BF-F970C733665A}">
      <formula1>$Z$18:$Z$29</formula1>
    </dataValidation>
    <dataValidation type="list" allowBlank="1" showInputMessage="1" showErrorMessage="1" sqref="M18:M48" xr:uid="{446B57D7-36D5-4565-9FC2-1CF7D60C0D1C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35A2-EE20-4131-92D4-3F0378F43906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499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500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M18:M48" xr:uid="{30368B55-B4EC-47A4-8A65-B4F8292E153B}">
      <formula1>$Y$31:$Y$32</formula1>
    </dataValidation>
    <dataValidation type="list" showInputMessage="1" showErrorMessage="1" sqref="D18:D48" xr:uid="{CD778E78-0E99-4BB9-9F19-5EA5CE04B7F1}">
      <formula1>$Z$18:$Z$29</formula1>
    </dataValidation>
    <dataValidation type="list" allowBlank="1" showInputMessage="1" showErrorMessage="1" sqref="I13" xr:uid="{9F6E645B-3988-457A-9DF4-3DF3CC5F9018}">
      <formula1>$K$9:$K$9</formula1>
    </dataValidation>
    <dataValidation type="list" allowBlank="1" showInputMessage="1" showErrorMessage="1" sqref="H13" xr:uid="{A942BB4E-B796-45C5-B154-7A6D1052D40C}">
      <formula1>$Y$13:$Y$14</formula1>
    </dataValidation>
    <dataValidation type="list" allowBlank="1" showInputMessage="1" showErrorMessage="1" sqref="F17 K17 Q17 Q14" xr:uid="{64D40E9D-2CBA-4691-A58C-07ACE06E2FA0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4790-6DF9-443A-81DD-7BBA80A8ABD6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501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145287.43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79132.56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66154.87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475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0.45533787747501625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502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79132.56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77682.559999999998</v>
      </c>
      <c r="U9" s="235">
        <f>IFERROR(((P3-S9)/S9),0)</f>
        <v>53.574179310344825</v>
      </c>
      <c r="V9" s="235">
        <f>IFERROR(T9/P3,0)</f>
        <v>0.98167631629761509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477</v>
      </c>
      <c r="C18" s="5" t="s">
        <v>122</v>
      </c>
      <c r="D18" s="128">
        <v>500</v>
      </c>
      <c r="E18" s="53">
        <v>1</v>
      </c>
      <c r="F18" s="8">
        <v>161.84</v>
      </c>
      <c r="G18" s="9">
        <f>ROUND(IF($F$17="USD $", F18*$E$15,F18*$D$15),2)</f>
        <v>111.61</v>
      </c>
      <c r="H18" s="10">
        <f>ROUND(IF($H$17=$G$17,E18*G18,E18*F18),2)</f>
        <v>161.84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80.92</v>
      </c>
      <c r="L18" s="9">
        <f>ROUND((J18*K18),2)</f>
        <v>80.92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80.92</v>
      </c>
      <c r="T18" s="14">
        <f>ROUND(L18-R18,2)</f>
        <v>80.92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478</v>
      </c>
      <c r="C19" s="4" t="s">
        <v>125</v>
      </c>
      <c r="D19" s="129">
        <v>500</v>
      </c>
      <c r="E19" s="54">
        <v>1</v>
      </c>
      <c r="F19" s="15">
        <v>69.17</v>
      </c>
      <c r="G19" s="38">
        <f t="shared" ref="G19:G48" si="1">ROUND(IF($F$17="USD $", F19*$E$15,F19*$D$15),2)</f>
        <v>47.7</v>
      </c>
      <c r="H19" s="39">
        <f t="shared" ref="H19:H48" si="2">ROUND(IF($H$17=$G$17,E19*G19,E19*F19),2)</f>
        <v>69.17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34.590000000000003</v>
      </c>
      <c r="L19" s="38">
        <f t="shared" ref="L19:L48" si="4">ROUND((J19*K19),2)</f>
        <v>34.590000000000003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34.590000000000003</v>
      </c>
      <c r="T19" s="52">
        <f t="shared" ref="T19:T48" si="6">ROUND(L19-R19,2)</f>
        <v>34.590000000000003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380</v>
      </c>
      <c r="C22" s="6" t="s">
        <v>131</v>
      </c>
      <c r="D22" s="130">
        <v>1000</v>
      </c>
      <c r="E22" s="53">
        <v>1</v>
      </c>
      <c r="F22" s="8">
        <v>259.43</v>
      </c>
      <c r="G22" s="9">
        <f t="shared" si="1"/>
        <v>178.92</v>
      </c>
      <c r="H22" s="10">
        <f t="shared" si="2"/>
        <v>259.43</v>
      </c>
      <c r="I22" s="42"/>
      <c r="J22" s="89">
        <f t="shared" si="0"/>
        <v>1</v>
      </c>
      <c r="K22" s="9">
        <f t="shared" si="3"/>
        <v>129.72</v>
      </c>
      <c r="L22" s="9">
        <f t="shared" si="4"/>
        <v>129.72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129.72</v>
      </c>
      <c r="T22" s="14">
        <f t="shared" si="6"/>
        <v>129.72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375</v>
      </c>
      <c r="C23" s="4" t="s">
        <v>125</v>
      </c>
      <c r="D23" s="129">
        <v>1000</v>
      </c>
      <c r="E23" s="54">
        <v>1</v>
      </c>
      <c r="F23" s="15">
        <v>198.95</v>
      </c>
      <c r="G23" s="38">
        <f t="shared" si="1"/>
        <v>137.21</v>
      </c>
      <c r="H23" s="39">
        <f t="shared" si="2"/>
        <v>198.95</v>
      </c>
      <c r="I23" s="42"/>
      <c r="J23" s="88">
        <f t="shared" si="0"/>
        <v>1</v>
      </c>
      <c r="K23" s="38">
        <f t="shared" si="3"/>
        <v>99.48</v>
      </c>
      <c r="L23" s="38">
        <f t="shared" si="4"/>
        <v>99.48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99.48</v>
      </c>
      <c r="T23" s="52">
        <f t="shared" si="6"/>
        <v>99.48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383</v>
      </c>
      <c r="C24" s="6" t="s">
        <v>111</v>
      </c>
      <c r="D24" s="130">
        <v>500</v>
      </c>
      <c r="E24" s="53">
        <v>1</v>
      </c>
      <c r="F24" s="8">
        <v>128.5</v>
      </c>
      <c r="G24" s="9">
        <f t="shared" si="1"/>
        <v>88.62</v>
      </c>
      <c r="H24" s="10">
        <f t="shared" si="2"/>
        <v>128.5</v>
      </c>
      <c r="I24" s="42"/>
      <c r="J24" s="89">
        <f t="shared" si="0"/>
        <v>1</v>
      </c>
      <c r="K24" s="9">
        <f t="shared" si="3"/>
        <v>83.53</v>
      </c>
      <c r="L24" s="9">
        <f t="shared" si="4"/>
        <v>83.53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83.53</v>
      </c>
      <c r="T24" s="14">
        <f t="shared" si="6"/>
        <v>83.53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480</v>
      </c>
      <c r="C25" s="4" t="s">
        <v>117</v>
      </c>
      <c r="D25" s="129">
        <v>1000</v>
      </c>
      <c r="E25" s="54">
        <v>1</v>
      </c>
      <c r="F25" s="15">
        <v>90.19</v>
      </c>
      <c r="G25" s="38">
        <f t="shared" si="1"/>
        <v>62.2</v>
      </c>
      <c r="H25" s="39">
        <f t="shared" si="2"/>
        <v>90.19</v>
      </c>
      <c r="I25" s="42"/>
      <c r="J25" s="88">
        <f t="shared" si="0"/>
        <v>1</v>
      </c>
      <c r="K25" s="38">
        <f t="shared" si="3"/>
        <v>58.62</v>
      </c>
      <c r="L25" s="38">
        <f t="shared" si="4"/>
        <v>58.62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58.62</v>
      </c>
      <c r="T25" s="52">
        <f t="shared" si="6"/>
        <v>58.62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481</v>
      </c>
      <c r="C26" s="6" t="s">
        <v>147</v>
      </c>
      <c r="D26" s="130" t="s">
        <v>138</v>
      </c>
      <c r="E26" s="53">
        <v>1</v>
      </c>
      <c r="F26" s="8">
        <v>11348.37</v>
      </c>
      <c r="G26" s="9">
        <f t="shared" si="1"/>
        <v>7826.46</v>
      </c>
      <c r="H26" s="10">
        <f t="shared" si="2"/>
        <v>11348.37</v>
      </c>
      <c r="I26" s="42"/>
      <c r="J26" s="89">
        <f t="shared" si="0"/>
        <v>1</v>
      </c>
      <c r="K26" s="9">
        <f t="shared" si="3"/>
        <v>5674.19</v>
      </c>
      <c r="L26" s="9">
        <f t="shared" si="4"/>
        <v>5674.19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5674.19</v>
      </c>
      <c r="T26" s="14">
        <f t="shared" si="6"/>
        <v>5674.19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482</v>
      </c>
      <c r="C27" s="4" t="s">
        <v>144</v>
      </c>
      <c r="D27" s="129" t="s">
        <v>138</v>
      </c>
      <c r="E27" s="54">
        <v>1</v>
      </c>
      <c r="F27" s="15">
        <v>3603.77</v>
      </c>
      <c r="G27" s="38">
        <f t="shared" si="1"/>
        <v>2485.36</v>
      </c>
      <c r="H27" s="39">
        <f t="shared" si="2"/>
        <v>3603.77</v>
      </c>
      <c r="I27" s="42"/>
      <c r="J27" s="88">
        <f t="shared" si="0"/>
        <v>1</v>
      </c>
      <c r="K27" s="38">
        <f t="shared" si="3"/>
        <v>1801.89</v>
      </c>
      <c r="L27" s="38">
        <f t="shared" si="4"/>
        <v>1801.89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1801.89</v>
      </c>
      <c r="T27" s="52">
        <f t="shared" si="6"/>
        <v>1801.89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483</v>
      </c>
      <c r="C28" s="6" t="s">
        <v>137</v>
      </c>
      <c r="D28" s="130" t="s">
        <v>138</v>
      </c>
      <c r="E28" s="53">
        <v>1</v>
      </c>
      <c r="F28" s="8">
        <v>15534.64</v>
      </c>
      <c r="G28" s="9">
        <f t="shared" si="1"/>
        <v>10713.54</v>
      </c>
      <c r="H28" s="10">
        <f t="shared" si="2"/>
        <v>15534.64</v>
      </c>
      <c r="I28" s="42"/>
      <c r="J28" s="89">
        <f t="shared" si="0"/>
        <v>1</v>
      </c>
      <c r="K28" s="9">
        <f t="shared" si="3"/>
        <v>7767.32</v>
      </c>
      <c r="L28" s="9">
        <f t="shared" si="4"/>
        <v>7767.32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7767.32</v>
      </c>
      <c r="T28" s="14">
        <f t="shared" si="6"/>
        <v>7767.32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484</v>
      </c>
      <c r="C29" s="4" t="s">
        <v>149</v>
      </c>
      <c r="D29" s="129" t="s">
        <v>138</v>
      </c>
      <c r="E29" s="54">
        <v>6</v>
      </c>
      <c r="F29" s="15">
        <v>901.07</v>
      </c>
      <c r="G29" s="38">
        <f>ROUND(IF($F$17="USD $", F29*$E$15,F29*$D$15),2)</f>
        <v>621.42999999999995</v>
      </c>
      <c r="H29" s="39">
        <f>ROUND(IF($H$17=$G$17,E29*G29,E29*F29),2)</f>
        <v>5406.42</v>
      </c>
      <c r="I29" s="42"/>
      <c r="J29" s="88">
        <f t="shared" si="0"/>
        <v>6</v>
      </c>
      <c r="K29" s="38">
        <f t="shared" si="3"/>
        <v>630.75</v>
      </c>
      <c r="L29" s="38">
        <f>ROUND((J29*K29),2)</f>
        <v>3784.5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630.75</v>
      </c>
      <c r="T29" s="52">
        <f t="shared" si="6"/>
        <v>3784.5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485</v>
      </c>
      <c r="C30" s="6" t="s">
        <v>278</v>
      </c>
      <c r="D30" s="130" t="s">
        <v>138</v>
      </c>
      <c r="E30" s="53">
        <v>2</v>
      </c>
      <c r="F30" s="8">
        <v>632.66</v>
      </c>
      <c r="G30" s="9">
        <f t="shared" si="1"/>
        <v>436.32</v>
      </c>
      <c r="H30" s="10">
        <f t="shared" si="2"/>
        <v>1265.32</v>
      </c>
      <c r="I30" s="42"/>
      <c r="J30" s="89">
        <f t="shared" si="0"/>
        <v>2</v>
      </c>
      <c r="K30" s="9">
        <f t="shared" si="3"/>
        <v>316.33</v>
      </c>
      <c r="L30" s="9">
        <f t="shared" si="4"/>
        <v>632.66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316.33</v>
      </c>
      <c r="T30" s="14">
        <f t="shared" si="6"/>
        <v>632.66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486</v>
      </c>
      <c r="C31" s="4" t="s">
        <v>436</v>
      </c>
      <c r="D31" s="129" t="s">
        <v>138</v>
      </c>
      <c r="E31" s="54">
        <v>3</v>
      </c>
      <c r="F31" s="15">
        <v>378.83</v>
      </c>
      <c r="G31" s="38">
        <f t="shared" si="1"/>
        <v>261.26</v>
      </c>
      <c r="H31" s="39">
        <f t="shared" si="2"/>
        <v>1136.49</v>
      </c>
      <c r="I31" s="42"/>
      <c r="J31" s="88">
        <f t="shared" si="0"/>
        <v>3</v>
      </c>
      <c r="K31" s="38">
        <f t="shared" si="3"/>
        <v>208.36</v>
      </c>
      <c r="L31" s="38">
        <f t="shared" si="4"/>
        <v>625.08000000000004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208.36</v>
      </c>
      <c r="T31" s="52">
        <f t="shared" si="6"/>
        <v>625.08000000000004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487</v>
      </c>
      <c r="C32" s="6" t="s">
        <v>438</v>
      </c>
      <c r="D32" s="130" t="s">
        <v>138</v>
      </c>
      <c r="E32" s="53">
        <v>3</v>
      </c>
      <c r="F32" s="8">
        <v>149.11000000000001</v>
      </c>
      <c r="G32" s="9">
        <f t="shared" si="1"/>
        <v>102.83</v>
      </c>
      <c r="H32" s="10">
        <f t="shared" si="2"/>
        <v>447.33</v>
      </c>
      <c r="I32" s="42"/>
      <c r="J32" s="89">
        <f t="shared" si="0"/>
        <v>3</v>
      </c>
      <c r="K32" s="9">
        <f t="shared" si="3"/>
        <v>82.01</v>
      </c>
      <c r="L32" s="9">
        <f t="shared" si="4"/>
        <v>246.03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82.01</v>
      </c>
      <c r="T32" s="14">
        <f t="shared" si="6"/>
        <v>246.03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488</v>
      </c>
      <c r="C34" s="6" t="s">
        <v>489</v>
      </c>
      <c r="D34" s="130" t="s">
        <v>138</v>
      </c>
      <c r="E34" s="53">
        <v>1</v>
      </c>
      <c r="F34" s="8">
        <v>105500.36</v>
      </c>
      <c r="G34" s="9">
        <f t="shared" si="1"/>
        <v>72758.87</v>
      </c>
      <c r="H34" s="10">
        <f t="shared" si="2"/>
        <v>105500.36</v>
      </c>
      <c r="I34" s="42"/>
      <c r="J34" s="89">
        <f t="shared" si="0"/>
        <v>1</v>
      </c>
      <c r="K34" s="9">
        <f t="shared" si="3"/>
        <v>58025.2</v>
      </c>
      <c r="L34" s="9">
        <f t="shared" si="4"/>
        <v>58025.2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58025.2</v>
      </c>
      <c r="T34" s="14">
        <f t="shared" si="6"/>
        <v>58025.2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139093.54</v>
      </c>
      <c r="G49" s="79">
        <f>SUM(G18:G48)</f>
        <v>95926.569999999992</v>
      </c>
      <c r="H49" s="80">
        <f>SUM(H18:H48)</f>
        <v>145287.43</v>
      </c>
      <c r="I49" s="81"/>
      <c r="J49" s="82">
        <f>SUM(J18:J48)</f>
        <v>26</v>
      </c>
      <c r="K49" s="79">
        <f>SUM(K18:K48)</f>
        <v>75081.739999999991</v>
      </c>
      <c r="L49" s="80">
        <f>SUM(L18:L48)</f>
        <v>79132.56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75081.739999999991</v>
      </c>
      <c r="T49" s="80">
        <f>SUM(T18:T48)</f>
        <v>79132.56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F17 K17 Q17 Q14" xr:uid="{94112389-065C-48AB-8E81-EB8D630FA9CE}">
      <formula1>$Y$11:$Y$12</formula1>
    </dataValidation>
    <dataValidation type="list" allowBlank="1" showInputMessage="1" showErrorMessage="1" sqref="H13" xr:uid="{368B8C27-063F-4418-9A85-F17D22F035CF}">
      <formula1>$Y$13:$Y$14</formula1>
    </dataValidation>
    <dataValidation type="list" allowBlank="1" showInputMessage="1" showErrorMessage="1" sqref="I13" xr:uid="{29546AAF-A7F3-466A-9035-006DDD29CCC2}">
      <formula1>$K$9:$K$9</formula1>
    </dataValidation>
    <dataValidation type="list" showInputMessage="1" showErrorMessage="1" sqref="D18:D48" xr:uid="{7B1DEFF1-E6FA-4EE2-9DDD-6927514030CB}">
      <formula1>$Z$18:$Z$29</formula1>
    </dataValidation>
    <dataValidation type="list" allowBlank="1" showInputMessage="1" showErrorMessage="1" sqref="M18:M48" xr:uid="{81DCD248-EB30-4876-903E-62FCFF3FA80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F1C9-F71F-4FD2-B87B-E7F5D5A38588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503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37129.39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20512.900000000001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16616.489999999998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504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0.44752930225893822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505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20512.900000000001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642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19062.900000000001</v>
      </c>
      <c r="U9" s="235">
        <f>IFERROR(((P3-S9)/S9),0)</f>
        <v>13.146827586206898</v>
      </c>
      <c r="V9" s="235">
        <f>IFERROR(T9/P3,0)</f>
        <v>0.92931277391300104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51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461</v>
      </c>
      <c r="C18" s="5" t="s">
        <v>111</v>
      </c>
      <c r="D18" s="128">
        <v>500</v>
      </c>
      <c r="E18" s="53">
        <v>1</v>
      </c>
      <c r="F18" s="8">
        <v>64.540000000000006</v>
      </c>
      <c r="G18" s="9">
        <f>ROUND(IF($F$17="USD $", F18*$E$15,F18*$D$15),2)</f>
        <v>44.51</v>
      </c>
      <c r="H18" s="10">
        <f>ROUND(IF($H$17=$G$17,E18*G18,E18*F18),2)</f>
        <v>64.540000000000006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41.95</v>
      </c>
      <c r="L18" s="9">
        <f>ROUND((J18*K18),2)</f>
        <v>41.95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41.95</v>
      </c>
      <c r="T18" s="14">
        <f>ROUND(L18-R18,2)</f>
        <v>41.95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462</v>
      </c>
      <c r="C19" s="4" t="s">
        <v>117</v>
      </c>
      <c r="D19" s="129">
        <v>1000</v>
      </c>
      <c r="E19" s="54">
        <v>1</v>
      </c>
      <c r="F19" s="15">
        <v>59.85</v>
      </c>
      <c r="G19" s="38">
        <f t="shared" ref="G19:G48" si="1">ROUND(IF($F$17="USD $", F19*$E$15,F19*$D$15),2)</f>
        <v>41.28</v>
      </c>
      <c r="H19" s="39">
        <f t="shared" ref="H19:H48" si="2">ROUND(IF($H$17=$G$17,E19*G19,E19*F19),2)</f>
        <v>59.85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38.9</v>
      </c>
      <c r="L19" s="38">
        <f t="shared" ref="L19:L48" si="4">ROUND((J19*K19),2)</f>
        <v>38.9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38.9</v>
      </c>
      <c r="T19" s="52">
        <f t="shared" ref="T19:T48" si="6">ROUND(L19-R19,2)</f>
        <v>38.9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334</v>
      </c>
      <c r="C20" s="6" t="s">
        <v>125</v>
      </c>
      <c r="D20" s="130">
        <v>500</v>
      </c>
      <c r="E20" s="53">
        <v>1</v>
      </c>
      <c r="F20" s="8">
        <v>275.9862</v>
      </c>
      <c r="G20" s="9">
        <f t="shared" si="1"/>
        <v>190.34</v>
      </c>
      <c r="H20" s="10">
        <f t="shared" si="2"/>
        <v>275.99</v>
      </c>
      <c r="I20" s="42"/>
      <c r="J20" s="89">
        <f t="shared" si="0"/>
        <v>1</v>
      </c>
      <c r="K20" s="9">
        <f t="shared" si="3"/>
        <v>137.99</v>
      </c>
      <c r="L20" s="9">
        <f t="shared" si="4"/>
        <v>137.99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137.99</v>
      </c>
      <c r="T20" s="14">
        <f t="shared" si="6"/>
        <v>137.99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506</v>
      </c>
      <c r="C21" s="4" t="s">
        <v>221</v>
      </c>
      <c r="D21" s="129">
        <v>1000</v>
      </c>
      <c r="E21" s="54">
        <v>1</v>
      </c>
      <c r="F21" s="15">
        <v>106.91</v>
      </c>
      <c r="G21" s="38">
        <f t="shared" si="1"/>
        <v>73.73</v>
      </c>
      <c r="H21" s="39">
        <f t="shared" si="2"/>
        <v>106.91</v>
      </c>
      <c r="I21" s="42"/>
      <c r="J21" s="88">
        <f t="shared" si="0"/>
        <v>1</v>
      </c>
      <c r="K21" s="38">
        <f t="shared" si="3"/>
        <v>53.46</v>
      </c>
      <c r="L21" s="38">
        <f t="shared" si="4"/>
        <v>53.46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53.46</v>
      </c>
      <c r="T21" s="52">
        <f t="shared" si="6"/>
        <v>53.46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507</v>
      </c>
      <c r="C22" s="6" t="s">
        <v>131</v>
      </c>
      <c r="D22" s="130">
        <v>1000</v>
      </c>
      <c r="E22" s="53">
        <v>1</v>
      </c>
      <c r="F22" s="8">
        <v>197.46</v>
      </c>
      <c r="G22" s="9">
        <f t="shared" si="1"/>
        <v>136.18</v>
      </c>
      <c r="H22" s="10">
        <f t="shared" si="2"/>
        <v>197.46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464</v>
      </c>
      <c r="C23" s="4" t="s">
        <v>508</v>
      </c>
      <c r="D23" s="129">
        <v>1000</v>
      </c>
      <c r="E23" s="54">
        <v>1</v>
      </c>
      <c r="F23" s="15">
        <v>152.87</v>
      </c>
      <c r="G23" s="38">
        <f t="shared" si="1"/>
        <v>105.43</v>
      </c>
      <c r="H23" s="39">
        <f t="shared" si="2"/>
        <v>152.87</v>
      </c>
      <c r="I23" s="42"/>
      <c r="J23" s="88">
        <f t="shared" si="0"/>
        <v>1</v>
      </c>
      <c r="K23" s="38">
        <f t="shared" si="3"/>
        <v>99.37</v>
      </c>
      <c r="L23" s="38">
        <f t="shared" si="4"/>
        <v>99.37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99.37</v>
      </c>
      <c r="T23" s="52">
        <f t="shared" si="6"/>
        <v>99.37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509</v>
      </c>
      <c r="C24" s="6" t="s">
        <v>508</v>
      </c>
      <c r="D24" s="130">
        <v>1000</v>
      </c>
      <c r="E24" s="53">
        <v>1</v>
      </c>
      <c r="F24" s="8">
        <v>162.04</v>
      </c>
      <c r="G24" s="9">
        <f t="shared" si="1"/>
        <v>111.75</v>
      </c>
      <c r="H24" s="10">
        <f t="shared" si="2"/>
        <v>162.04</v>
      </c>
      <c r="I24" s="42"/>
      <c r="J24" s="89">
        <f t="shared" si="0"/>
        <v>1</v>
      </c>
      <c r="K24" s="9">
        <f t="shared" si="3"/>
        <v>105.33</v>
      </c>
      <c r="L24" s="9">
        <f t="shared" si="4"/>
        <v>105.33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105.33</v>
      </c>
      <c r="T24" s="14">
        <f t="shared" si="6"/>
        <v>105.33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450</v>
      </c>
      <c r="C25" s="4" t="s">
        <v>122</v>
      </c>
      <c r="D25" s="129">
        <v>500</v>
      </c>
      <c r="E25" s="54">
        <v>1</v>
      </c>
      <c r="F25" s="15">
        <v>38.229999999999997</v>
      </c>
      <c r="G25" s="38">
        <f t="shared" si="1"/>
        <v>26.37</v>
      </c>
      <c r="H25" s="39">
        <f t="shared" si="2"/>
        <v>38.229999999999997</v>
      </c>
      <c r="I25" s="42"/>
      <c r="J25" s="88">
        <f t="shared" si="0"/>
        <v>1</v>
      </c>
      <c r="K25" s="38">
        <f t="shared" si="3"/>
        <v>19.12</v>
      </c>
      <c r="L25" s="38">
        <f t="shared" si="4"/>
        <v>19.12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19.12</v>
      </c>
      <c r="T25" s="52">
        <f t="shared" si="6"/>
        <v>19.12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332</v>
      </c>
      <c r="C26" s="6" t="s">
        <v>125</v>
      </c>
      <c r="D26" s="130">
        <v>500</v>
      </c>
      <c r="E26" s="53">
        <v>1</v>
      </c>
      <c r="F26" s="8">
        <v>61.975799999999992</v>
      </c>
      <c r="G26" s="9">
        <f t="shared" si="1"/>
        <v>42.74</v>
      </c>
      <c r="H26" s="10">
        <f t="shared" si="2"/>
        <v>61.98</v>
      </c>
      <c r="I26" s="42"/>
      <c r="J26" s="89">
        <f t="shared" si="0"/>
        <v>1</v>
      </c>
      <c r="K26" s="9">
        <f t="shared" si="3"/>
        <v>30.99</v>
      </c>
      <c r="L26" s="9">
        <f t="shared" si="4"/>
        <v>30.99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30.99</v>
      </c>
      <c r="T26" s="14">
        <f t="shared" si="6"/>
        <v>30.99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466</v>
      </c>
      <c r="C27" s="4" t="s">
        <v>137</v>
      </c>
      <c r="D27" s="129" t="s">
        <v>138</v>
      </c>
      <c r="E27" s="54">
        <v>1</v>
      </c>
      <c r="F27" s="15">
        <v>8656.94</v>
      </c>
      <c r="G27" s="38">
        <f t="shared" si="1"/>
        <v>5970.3</v>
      </c>
      <c r="H27" s="39">
        <f t="shared" si="2"/>
        <v>8656.94</v>
      </c>
      <c r="I27" s="42"/>
      <c r="J27" s="88">
        <f t="shared" si="0"/>
        <v>1</v>
      </c>
      <c r="K27" s="38">
        <f t="shared" si="3"/>
        <v>4328.47</v>
      </c>
      <c r="L27" s="38">
        <f t="shared" si="4"/>
        <v>4328.47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4328.47</v>
      </c>
      <c r="T27" s="52">
        <f t="shared" si="6"/>
        <v>4328.47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453</v>
      </c>
      <c r="C28" s="6" t="s">
        <v>147</v>
      </c>
      <c r="D28" s="130" t="s">
        <v>138</v>
      </c>
      <c r="E28" s="53">
        <v>1</v>
      </c>
      <c r="F28" s="8">
        <v>2859.5</v>
      </c>
      <c r="G28" s="9">
        <f t="shared" si="1"/>
        <v>1972.07</v>
      </c>
      <c r="H28" s="10">
        <f t="shared" si="2"/>
        <v>2859.5</v>
      </c>
      <c r="I28" s="42"/>
      <c r="J28" s="89">
        <f t="shared" si="0"/>
        <v>1</v>
      </c>
      <c r="K28" s="9">
        <f t="shared" si="3"/>
        <v>1429.75</v>
      </c>
      <c r="L28" s="9">
        <f t="shared" si="4"/>
        <v>1429.75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1429.75</v>
      </c>
      <c r="T28" s="14">
        <f t="shared" si="6"/>
        <v>1429.75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454</v>
      </c>
      <c r="C29" s="4" t="s">
        <v>144</v>
      </c>
      <c r="D29" s="129" t="s">
        <v>138</v>
      </c>
      <c r="E29" s="54">
        <v>1</v>
      </c>
      <c r="F29" s="15">
        <v>1236.57</v>
      </c>
      <c r="G29" s="38">
        <f>ROUND(IF($F$17="USD $", F29*$E$15,F29*$D$15),2)</f>
        <v>852.81</v>
      </c>
      <c r="H29" s="39">
        <f>ROUND(IF($H$17=$G$17,E29*G29,E29*F29),2)</f>
        <v>1236.57</v>
      </c>
      <c r="I29" s="42"/>
      <c r="J29" s="88">
        <f t="shared" si="0"/>
        <v>1</v>
      </c>
      <c r="K29" s="38">
        <f t="shared" si="3"/>
        <v>618.29</v>
      </c>
      <c r="L29" s="38">
        <f>ROUND((J29*K29),2)</f>
        <v>618.29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618.29</v>
      </c>
      <c r="T29" s="52">
        <f t="shared" si="6"/>
        <v>618.29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455</v>
      </c>
      <c r="C30" s="6" t="s">
        <v>149</v>
      </c>
      <c r="D30" s="130" t="s">
        <v>138</v>
      </c>
      <c r="E30" s="53">
        <v>6</v>
      </c>
      <c r="F30" s="8">
        <v>866.09</v>
      </c>
      <c r="G30" s="9">
        <f t="shared" si="1"/>
        <v>597.29999999999995</v>
      </c>
      <c r="H30" s="10">
        <f t="shared" si="2"/>
        <v>5196.54</v>
      </c>
      <c r="I30" s="42"/>
      <c r="J30" s="89">
        <f t="shared" si="0"/>
        <v>6</v>
      </c>
      <c r="K30" s="9">
        <f t="shared" si="3"/>
        <v>606.26</v>
      </c>
      <c r="L30" s="9">
        <f t="shared" si="4"/>
        <v>3637.56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606.26</v>
      </c>
      <c r="T30" s="14">
        <f t="shared" si="6"/>
        <v>3637.56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510</v>
      </c>
      <c r="C31" s="4" t="s">
        <v>389</v>
      </c>
      <c r="D31" s="129" t="s">
        <v>138</v>
      </c>
      <c r="E31" s="54">
        <v>2</v>
      </c>
      <c r="F31" s="15">
        <v>600.03</v>
      </c>
      <c r="G31" s="38">
        <f t="shared" si="1"/>
        <v>413.81</v>
      </c>
      <c r="H31" s="39">
        <f t="shared" si="2"/>
        <v>1200.06</v>
      </c>
      <c r="I31" s="42"/>
      <c r="J31" s="88">
        <f t="shared" si="0"/>
        <v>2</v>
      </c>
      <c r="K31" s="38">
        <f t="shared" si="3"/>
        <v>300.02</v>
      </c>
      <c r="L31" s="38">
        <f t="shared" si="4"/>
        <v>600.04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300.02</v>
      </c>
      <c r="T31" s="52">
        <f t="shared" si="6"/>
        <v>600.04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511</v>
      </c>
      <c r="C32" s="6" t="s">
        <v>158</v>
      </c>
      <c r="D32" s="130" t="s">
        <v>138</v>
      </c>
      <c r="E32" s="53">
        <v>1</v>
      </c>
      <c r="F32" s="8">
        <v>1105.51</v>
      </c>
      <c r="G32" s="9">
        <f t="shared" si="1"/>
        <v>762.42</v>
      </c>
      <c r="H32" s="10">
        <f t="shared" si="2"/>
        <v>1105.51</v>
      </c>
      <c r="I32" s="42"/>
      <c r="J32" s="89">
        <f t="shared" si="0"/>
        <v>1</v>
      </c>
      <c r="K32" s="9">
        <f t="shared" si="3"/>
        <v>608.03</v>
      </c>
      <c r="L32" s="9">
        <f t="shared" si="4"/>
        <v>608.03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608.03</v>
      </c>
      <c r="T32" s="14">
        <f t="shared" si="6"/>
        <v>608.03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512</v>
      </c>
      <c r="C33" s="4" t="s">
        <v>158</v>
      </c>
      <c r="D33" s="129" t="s">
        <v>138</v>
      </c>
      <c r="E33" s="54">
        <v>2</v>
      </c>
      <c r="F33" s="15">
        <v>414.98</v>
      </c>
      <c r="G33" s="38">
        <f t="shared" si="1"/>
        <v>286.19</v>
      </c>
      <c r="H33" s="39">
        <f t="shared" si="2"/>
        <v>829.96</v>
      </c>
      <c r="I33" s="42"/>
      <c r="J33" s="88">
        <f t="shared" si="0"/>
        <v>2</v>
      </c>
      <c r="K33" s="38">
        <f t="shared" si="3"/>
        <v>228.24</v>
      </c>
      <c r="L33" s="38">
        <f t="shared" si="4"/>
        <v>456.48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228.24</v>
      </c>
      <c r="T33" s="52">
        <f t="shared" si="6"/>
        <v>456.48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513</v>
      </c>
      <c r="C34" s="6" t="s">
        <v>178</v>
      </c>
      <c r="D34" s="130" t="s">
        <v>138</v>
      </c>
      <c r="E34" s="53">
        <v>8</v>
      </c>
      <c r="F34" s="8">
        <v>8.81</v>
      </c>
      <c r="G34" s="9">
        <f t="shared" si="1"/>
        <v>6.08</v>
      </c>
      <c r="H34" s="10">
        <f t="shared" si="2"/>
        <v>70.48</v>
      </c>
      <c r="I34" s="42"/>
      <c r="J34" s="89">
        <f t="shared" si="0"/>
        <v>8</v>
      </c>
      <c r="K34" s="9">
        <f t="shared" si="3"/>
        <v>4.8499999999999996</v>
      </c>
      <c r="L34" s="9">
        <f t="shared" si="4"/>
        <v>38.799999999999997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4.8499999999999996</v>
      </c>
      <c r="T34" s="14">
        <f t="shared" si="6"/>
        <v>38.799999999999997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514</v>
      </c>
      <c r="C35" s="4" t="s">
        <v>180</v>
      </c>
      <c r="D35" s="129" t="s">
        <v>138</v>
      </c>
      <c r="E35" s="54">
        <v>8</v>
      </c>
      <c r="F35" s="15">
        <v>1.39</v>
      </c>
      <c r="G35" s="38">
        <f t="shared" si="1"/>
        <v>0.96</v>
      </c>
      <c r="H35" s="39">
        <f t="shared" si="2"/>
        <v>11.12</v>
      </c>
      <c r="I35" s="42"/>
      <c r="J35" s="88">
        <f t="shared" si="0"/>
        <v>8</v>
      </c>
      <c r="K35" s="38">
        <f t="shared" si="3"/>
        <v>0.76</v>
      </c>
      <c r="L35" s="38">
        <f t="shared" si="4"/>
        <v>6.08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0.76</v>
      </c>
      <c r="T35" s="52">
        <f t="shared" si="6"/>
        <v>6.08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515</v>
      </c>
      <c r="C36" s="6" t="s">
        <v>210</v>
      </c>
      <c r="D36" s="130" t="s">
        <v>138</v>
      </c>
      <c r="E36" s="53">
        <v>8</v>
      </c>
      <c r="F36" s="8">
        <v>8.27</v>
      </c>
      <c r="G36" s="9">
        <f t="shared" si="1"/>
        <v>5.7</v>
      </c>
      <c r="H36" s="10">
        <f t="shared" si="2"/>
        <v>66.16</v>
      </c>
      <c r="I36" s="42"/>
      <c r="J36" s="89">
        <f t="shared" si="0"/>
        <v>8</v>
      </c>
      <c r="K36" s="9">
        <f t="shared" si="3"/>
        <v>4.55</v>
      </c>
      <c r="L36" s="9">
        <f t="shared" si="4"/>
        <v>36.4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4.55</v>
      </c>
      <c r="T36" s="14">
        <f t="shared" si="6"/>
        <v>36.4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516</v>
      </c>
      <c r="C37" s="4" t="s">
        <v>311</v>
      </c>
      <c r="D37" s="129" t="s">
        <v>138</v>
      </c>
      <c r="E37" s="54">
        <v>4</v>
      </c>
      <c r="F37" s="15">
        <v>3694.17</v>
      </c>
      <c r="G37" s="38">
        <f t="shared" si="1"/>
        <v>2547.6999999999998</v>
      </c>
      <c r="H37" s="39">
        <f t="shared" si="2"/>
        <v>14776.68</v>
      </c>
      <c r="I37" s="42"/>
      <c r="J37" s="88">
        <f t="shared" si="0"/>
        <v>4</v>
      </c>
      <c r="K37" s="38">
        <f t="shared" si="3"/>
        <v>2031.79</v>
      </c>
      <c r="L37" s="38">
        <f t="shared" si="4"/>
        <v>8127.16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2031.79</v>
      </c>
      <c r="T37" s="52">
        <f t="shared" si="6"/>
        <v>8127.16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51</v>
      </c>
      <c r="F49" s="78">
        <f>SUM(F18:F48)</f>
        <v>20572.122000000003</v>
      </c>
      <c r="G49" s="79">
        <f>SUM(G18:G48)</f>
        <v>14187.669999999998</v>
      </c>
      <c r="H49" s="80">
        <f>SUM(H18:H48)</f>
        <v>37129.39</v>
      </c>
      <c r="I49" s="81"/>
      <c r="J49" s="82">
        <f>SUM(J18:J48)</f>
        <v>51</v>
      </c>
      <c r="K49" s="79">
        <f>SUM(K18:K48)</f>
        <v>10786.850000000002</v>
      </c>
      <c r="L49" s="80">
        <f>SUM(L18:L48)</f>
        <v>20512.900000000001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10786.850000000002</v>
      </c>
      <c r="T49" s="80">
        <f>SUM(T18:T48)</f>
        <v>20512.900000000001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M18:M48" xr:uid="{F0FCC106-8457-4072-AFF1-397D9B04966E}">
      <formula1>$Y$31:$Y$32</formula1>
    </dataValidation>
    <dataValidation type="list" showInputMessage="1" showErrorMessage="1" sqref="D18:D48" xr:uid="{FAC6F455-A66A-449A-AEED-EB2530B2D731}">
      <formula1>$Z$18:$Z$29</formula1>
    </dataValidation>
    <dataValidation type="list" allowBlank="1" showInputMessage="1" showErrorMessage="1" sqref="I13" xr:uid="{B5A3A8DD-C3E1-401C-8DD5-E7CB58AFB95C}">
      <formula1>$K$9:$K$9</formula1>
    </dataValidation>
    <dataValidation type="list" allowBlank="1" showInputMessage="1" showErrorMessage="1" sqref="H13" xr:uid="{CDD2DB87-D275-45B5-BC10-CF762CF40D5D}">
      <formula1>$Y$13:$Y$14</formula1>
    </dataValidation>
    <dataValidation type="list" allowBlank="1" showInputMessage="1" showErrorMessage="1" sqref="F17 K17 Q17 Q14" xr:uid="{044001B9-53E9-49C6-A645-07371CF89E4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68A3-E41D-4320-B3EC-6BB32565E9EC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517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37129.39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20512.900000000001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16616.489999999998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518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0.44752930225893822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519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20512.900000000001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642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19062.900000000001</v>
      </c>
      <c r="U9" s="235">
        <f>IFERROR(((P3-S9)/S9),0)</f>
        <v>13.146827586206898</v>
      </c>
      <c r="V9" s="235">
        <f>IFERROR(T9/P3,0)</f>
        <v>0.92931277391300104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51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461</v>
      </c>
      <c r="C18" s="5" t="s">
        <v>111</v>
      </c>
      <c r="D18" s="128">
        <v>500</v>
      </c>
      <c r="E18" s="53">
        <v>1</v>
      </c>
      <c r="F18" s="8">
        <v>64.540000000000006</v>
      </c>
      <c r="G18" s="9">
        <f>ROUND(IF($F$17="USD $", F18*$E$15,F18*$D$15),2)</f>
        <v>44.51</v>
      </c>
      <c r="H18" s="10">
        <f>ROUND(IF($H$17=$G$17,E18*G18,E18*F18),2)</f>
        <v>64.540000000000006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41.95</v>
      </c>
      <c r="L18" s="9">
        <f>ROUND((J18*K18),2)</f>
        <v>41.95</v>
      </c>
      <c r="M18" s="8" t="s">
        <v>112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41.95</v>
      </c>
      <c r="T18" s="14">
        <f>ROUND(L18-R18,2)</f>
        <v>41.95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462</v>
      </c>
      <c r="C19" s="4" t="s">
        <v>117</v>
      </c>
      <c r="D19" s="129">
        <v>1000</v>
      </c>
      <c r="E19" s="54">
        <v>1</v>
      </c>
      <c r="F19" s="15">
        <v>59.85</v>
      </c>
      <c r="G19" s="38">
        <f t="shared" ref="G19:G48" si="1">ROUND(IF($F$17="USD $", F19*$E$15,F19*$D$15),2)</f>
        <v>41.28</v>
      </c>
      <c r="H19" s="39">
        <f t="shared" ref="H19:H48" si="2">ROUND(IF($H$17=$G$17,E19*G19,E19*F19),2)</f>
        <v>59.85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38.9</v>
      </c>
      <c r="L19" s="38">
        <f t="shared" ref="L19:L48" si="4">ROUND((J19*K19),2)</f>
        <v>38.9</v>
      </c>
      <c r="M19" s="132" t="s">
        <v>112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38.9</v>
      </c>
      <c r="T19" s="52">
        <f t="shared" ref="T19:T48" si="6">ROUND(L19-R19,2)</f>
        <v>38.9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334</v>
      </c>
      <c r="C20" s="6" t="s">
        <v>125</v>
      </c>
      <c r="D20" s="130">
        <v>500</v>
      </c>
      <c r="E20" s="53">
        <v>1</v>
      </c>
      <c r="F20" s="8">
        <v>275.9862</v>
      </c>
      <c r="G20" s="9">
        <f t="shared" si="1"/>
        <v>190.34</v>
      </c>
      <c r="H20" s="10">
        <f t="shared" si="2"/>
        <v>275.99</v>
      </c>
      <c r="I20" s="42"/>
      <c r="J20" s="89">
        <f t="shared" si="0"/>
        <v>1</v>
      </c>
      <c r="K20" s="9">
        <f t="shared" si="3"/>
        <v>137.99</v>
      </c>
      <c r="L20" s="9">
        <f t="shared" si="4"/>
        <v>137.99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137.99</v>
      </c>
      <c r="T20" s="14">
        <f t="shared" si="6"/>
        <v>137.99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506</v>
      </c>
      <c r="C21" s="4" t="s">
        <v>221</v>
      </c>
      <c r="D21" s="129">
        <v>1000</v>
      </c>
      <c r="E21" s="54">
        <v>1</v>
      </c>
      <c r="F21" s="15">
        <v>106.91</v>
      </c>
      <c r="G21" s="38">
        <f t="shared" si="1"/>
        <v>73.73</v>
      </c>
      <c r="H21" s="39">
        <f t="shared" si="2"/>
        <v>106.91</v>
      </c>
      <c r="I21" s="42"/>
      <c r="J21" s="88">
        <f t="shared" si="0"/>
        <v>1</v>
      </c>
      <c r="K21" s="38">
        <f t="shared" si="3"/>
        <v>53.46</v>
      </c>
      <c r="L21" s="38">
        <f t="shared" si="4"/>
        <v>53.46</v>
      </c>
      <c r="M21" s="132" t="s">
        <v>112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53.46</v>
      </c>
      <c r="T21" s="52">
        <f t="shared" si="6"/>
        <v>53.46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507</v>
      </c>
      <c r="C22" s="6" t="s">
        <v>131</v>
      </c>
      <c r="D22" s="130">
        <v>1000</v>
      </c>
      <c r="E22" s="53">
        <v>1</v>
      </c>
      <c r="F22" s="8">
        <v>197.46</v>
      </c>
      <c r="G22" s="9">
        <f t="shared" si="1"/>
        <v>136.18</v>
      </c>
      <c r="H22" s="10">
        <f t="shared" si="2"/>
        <v>197.46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464</v>
      </c>
      <c r="C23" s="4" t="s">
        <v>508</v>
      </c>
      <c r="D23" s="129">
        <v>1000</v>
      </c>
      <c r="E23" s="54">
        <v>1</v>
      </c>
      <c r="F23" s="15">
        <v>152.87</v>
      </c>
      <c r="G23" s="38">
        <f t="shared" si="1"/>
        <v>105.43</v>
      </c>
      <c r="H23" s="39">
        <f t="shared" si="2"/>
        <v>152.87</v>
      </c>
      <c r="I23" s="42"/>
      <c r="J23" s="88">
        <f t="shared" si="0"/>
        <v>1</v>
      </c>
      <c r="K23" s="38">
        <f t="shared" si="3"/>
        <v>99.37</v>
      </c>
      <c r="L23" s="38">
        <f t="shared" si="4"/>
        <v>99.37</v>
      </c>
      <c r="M23" s="132" t="s">
        <v>112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99.37</v>
      </c>
      <c r="T23" s="52">
        <f t="shared" si="6"/>
        <v>99.37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509</v>
      </c>
      <c r="C24" s="6" t="s">
        <v>508</v>
      </c>
      <c r="D24" s="130">
        <v>1000</v>
      </c>
      <c r="E24" s="53">
        <v>1</v>
      </c>
      <c r="F24" s="8">
        <v>162.04</v>
      </c>
      <c r="G24" s="9">
        <f t="shared" si="1"/>
        <v>111.75</v>
      </c>
      <c r="H24" s="10">
        <f t="shared" si="2"/>
        <v>162.04</v>
      </c>
      <c r="I24" s="42"/>
      <c r="J24" s="89">
        <f t="shared" si="0"/>
        <v>1</v>
      </c>
      <c r="K24" s="9">
        <f t="shared" si="3"/>
        <v>105.33</v>
      </c>
      <c r="L24" s="9">
        <f t="shared" si="4"/>
        <v>105.33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105.33</v>
      </c>
      <c r="T24" s="14">
        <f t="shared" si="6"/>
        <v>105.33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450</v>
      </c>
      <c r="C25" s="4" t="s">
        <v>122</v>
      </c>
      <c r="D25" s="129">
        <v>500</v>
      </c>
      <c r="E25" s="54">
        <v>1</v>
      </c>
      <c r="F25" s="15">
        <v>38.229999999999997</v>
      </c>
      <c r="G25" s="38">
        <f t="shared" si="1"/>
        <v>26.37</v>
      </c>
      <c r="H25" s="39">
        <f t="shared" si="2"/>
        <v>38.229999999999997</v>
      </c>
      <c r="I25" s="42"/>
      <c r="J25" s="88">
        <f t="shared" si="0"/>
        <v>1</v>
      </c>
      <c r="K25" s="38">
        <f t="shared" si="3"/>
        <v>19.12</v>
      </c>
      <c r="L25" s="38">
        <f t="shared" si="4"/>
        <v>19.12</v>
      </c>
      <c r="M25" s="132" t="s">
        <v>112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19.12</v>
      </c>
      <c r="T25" s="52">
        <f t="shared" si="6"/>
        <v>19.12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332</v>
      </c>
      <c r="C26" s="6" t="s">
        <v>125</v>
      </c>
      <c r="D26" s="130">
        <v>500</v>
      </c>
      <c r="E26" s="53">
        <v>1</v>
      </c>
      <c r="F26" s="8">
        <v>61.975799999999992</v>
      </c>
      <c r="G26" s="9">
        <f t="shared" si="1"/>
        <v>42.74</v>
      </c>
      <c r="H26" s="10">
        <f t="shared" si="2"/>
        <v>61.98</v>
      </c>
      <c r="I26" s="42"/>
      <c r="J26" s="89">
        <f t="shared" si="0"/>
        <v>1</v>
      </c>
      <c r="K26" s="9">
        <f t="shared" si="3"/>
        <v>30.99</v>
      </c>
      <c r="L26" s="9">
        <f t="shared" si="4"/>
        <v>30.99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30.99</v>
      </c>
      <c r="T26" s="14">
        <f t="shared" si="6"/>
        <v>30.99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466</v>
      </c>
      <c r="C27" s="4" t="s">
        <v>137</v>
      </c>
      <c r="D27" s="129" t="s">
        <v>138</v>
      </c>
      <c r="E27" s="54">
        <v>1</v>
      </c>
      <c r="F27" s="15">
        <v>8656.94</v>
      </c>
      <c r="G27" s="38">
        <f t="shared" si="1"/>
        <v>5970.3</v>
      </c>
      <c r="H27" s="39">
        <f t="shared" si="2"/>
        <v>8656.94</v>
      </c>
      <c r="I27" s="42"/>
      <c r="J27" s="88">
        <f t="shared" si="0"/>
        <v>1</v>
      </c>
      <c r="K27" s="38">
        <f t="shared" si="3"/>
        <v>4328.47</v>
      </c>
      <c r="L27" s="38">
        <f t="shared" si="4"/>
        <v>4328.47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4328.47</v>
      </c>
      <c r="T27" s="52">
        <f t="shared" si="6"/>
        <v>4328.47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453</v>
      </c>
      <c r="C28" s="6" t="s">
        <v>147</v>
      </c>
      <c r="D28" s="130" t="s">
        <v>138</v>
      </c>
      <c r="E28" s="53">
        <v>1</v>
      </c>
      <c r="F28" s="8">
        <v>2859.5</v>
      </c>
      <c r="G28" s="9">
        <f t="shared" si="1"/>
        <v>1972.07</v>
      </c>
      <c r="H28" s="10">
        <f t="shared" si="2"/>
        <v>2859.5</v>
      </c>
      <c r="I28" s="42"/>
      <c r="J28" s="89">
        <f t="shared" si="0"/>
        <v>1</v>
      </c>
      <c r="K28" s="9">
        <f t="shared" si="3"/>
        <v>1429.75</v>
      </c>
      <c r="L28" s="9">
        <f t="shared" si="4"/>
        <v>1429.75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1429.75</v>
      </c>
      <c r="T28" s="14">
        <f t="shared" si="6"/>
        <v>1429.75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454</v>
      </c>
      <c r="C29" s="4" t="s">
        <v>144</v>
      </c>
      <c r="D29" s="129" t="s">
        <v>138</v>
      </c>
      <c r="E29" s="54">
        <v>1</v>
      </c>
      <c r="F29" s="15">
        <v>1236.57</v>
      </c>
      <c r="G29" s="38">
        <f>ROUND(IF($F$17="USD $", F29*$E$15,F29*$D$15),2)</f>
        <v>852.81</v>
      </c>
      <c r="H29" s="39">
        <f>ROUND(IF($H$17=$G$17,E29*G29,E29*F29),2)</f>
        <v>1236.57</v>
      </c>
      <c r="I29" s="42"/>
      <c r="J29" s="88">
        <f t="shared" si="0"/>
        <v>1</v>
      </c>
      <c r="K29" s="38">
        <f t="shared" si="3"/>
        <v>618.29</v>
      </c>
      <c r="L29" s="38">
        <f>ROUND((J29*K29),2)</f>
        <v>618.29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618.29</v>
      </c>
      <c r="T29" s="52">
        <f t="shared" si="6"/>
        <v>618.29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455</v>
      </c>
      <c r="C30" s="6" t="s">
        <v>149</v>
      </c>
      <c r="D30" s="130" t="s">
        <v>138</v>
      </c>
      <c r="E30" s="53">
        <v>6</v>
      </c>
      <c r="F30" s="8">
        <v>866.09</v>
      </c>
      <c r="G30" s="9">
        <f t="shared" si="1"/>
        <v>597.29999999999995</v>
      </c>
      <c r="H30" s="10">
        <f t="shared" si="2"/>
        <v>5196.54</v>
      </c>
      <c r="I30" s="42"/>
      <c r="J30" s="89">
        <f t="shared" si="0"/>
        <v>6</v>
      </c>
      <c r="K30" s="9">
        <f t="shared" si="3"/>
        <v>606.26</v>
      </c>
      <c r="L30" s="9">
        <f t="shared" si="4"/>
        <v>3637.56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606.26</v>
      </c>
      <c r="T30" s="14">
        <f t="shared" si="6"/>
        <v>3637.56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510</v>
      </c>
      <c r="C31" s="4" t="s">
        <v>389</v>
      </c>
      <c r="D31" s="129" t="s">
        <v>138</v>
      </c>
      <c r="E31" s="54">
        <v>2</v>
      </c>
      <c r="F31" s="15">
        <v>600.03</v>
      </c>
      <c r="G31" s="38">
        <f t="shared" si="1"/>
        <v>413.81</v>
      </c>
      <c r="H31" s="39">
        <f t="shared" si="2"/>
        <v>1200.06</v>
      </c>
      <c r="I31" s="42"/>
      <c r="J31" s="88">
        <f t="shared" si="0"/>
        <v>2</v>
      </c>
      <c r="K31" s="38">
        <f t="shared" si="3"/>
        <v>300.02</v>
      </c>
      <c r="L31" s="38">
        <f t="shared" si="4"/>
        <v>600.04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300.02</v>
      </c>
      <c r="T31" s="52">
        <f t="shared" si="6"/>
        <v>600.04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511</v>
      </c>
      <c r="C32" s="6" t="s">
        <v>158</v>
      </c>
      <c r="D32" s="130" t="s">
        <v>138</v>
      </c>
      <c r="E32" s="53">
        <v>1</v>
      </c>
      <c r="F32" s="8">
        <v>1105.51</v>
      </c>
      <c r="G32" s="9">
        <f t="shared" si="1"/>
        <v>762.42</v>
      </c>
      <c r="H32" s="10">
        <f t="shared" si="2"/>
        <v>1105.51</v>
      </c>
      <c r="I32" s="42"/>
      <c r="J32" s="89">
        <f t="shared" si="0"/>
        <v>1</v>
      </c>
      <c r="K32" s="9">
        <f t="shared" si="3"/>
        <v>608.03</v>
      </c>
      <c r="L32" s="9">
        <f t="shared" si="4"/>
        <v>608.03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608.03</v>
      </c>
      <c r="T32" s="14">
        <f t="shared" si="6"/>
        <v>608.03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512</v>
      </c>
      <c r="C33" s="4" t="s">
        <v>158</v>
      </c>
      <c r="D33" s="129" t="s">
        <v>138</v>
      </c>
      <c r="E33" s="54">
        <v>2</v>
      </c>
      <c r="F33" s="15">
        <v>414.98</v>
      </c>
      <c r="G33" s="38">
        <f t="shared" si="1"/>
        <v>286.19</v>
      </c>
      <c r="H33" s="39">
        <f t="shared" si="2"/>
        <v>829.96</v>
      </c>
      <c r="I33" s="42"/>
      <c r="J33" s="88">
        <f t="shared" si="0"/>
        <v>2</v>
      </c>
      <c r="K33" s="38">
        <f t="shared" si="3"/>
        <v>228.24</v>
      </c>
      <c r="L33" s="38">
        <f t="shared" si="4"/>
        <v>456.48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228.24</v>
      </c>
      <c r="T33" s="52">
        <f t="shared" si="6"/>
        <v>456.48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513</v>
      </c>
      <c r="C34" s="6" t="s">
        <v>178</v>
      </c>
      <c r="D34" s="130" t="s">
        <v>138</v>
      </c>
      <c r="E34" s="53">
        <v>8</v>
      </c>
      <c r="F34" s="8">
        <v>8.81</v>
      </c>
      <c r="G34" s="9">
        <f t="shared" si="1"/>
        <v>6.08</v>
      </c>
      <c r="H34" s="10">
        <f t="shared" si="2"/>
        <v>70.48</v>
      </c>
      <c r="I34" s="42"/>
      <c r="J34" s="89">
        <f t="shared" si="0"/>
        <v>8</v>
      </c>
      <c r="K34" s="9">
        <f t="shared" si="3"/>
        <v>4.8499999999999996</v>
      </c>
      <c r="L34" s="9">
        <f t="shared" si="4"/>
        <v>38.799999999999997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4.8499999999999996</v>
      </c>
      <c r="T34" s="14">
        <f t="shared" si="6"/>
        <v>38.799999999999997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514</v>
      </c>
      <c r="C35" s="4" t="s">
        <v>180</v>
      </c>
      <c r="D35" s="129" t="s">
        <v>138</v>
      </c>
      <c r="E35" s="54">
        <v>8</v>
      </c>
      <c r="F35" s="15">
        <v>1.39</v>
      </c>
      <c r="G35" s="38">
        <f t="shared" si="1"/>
        <v>0.96</v>
      </c>
      <c r="H35" s="39">
        <f t="shared" si="2"/>
        <v>11.12</v>
      </c>
      <c r="I35" s="42"/>
      <c r="J35" s="88">
        <f t="shared" si="0"/>
        <v>8</v>
      </c>
      <c r="K35" s="38">
        <f t="shared" si="3"/>
        <v>0.76</v>
      </c>
      <c r="L35" s="38">
        <f t="shared" si="4"/>
        <v>6.08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0.76</v>
      </c>
      <c r="T35" s="52">
        <f t="shared" si="6"/>
        <v>6.08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515</v>
      </c>
      <c r="C36" s="6" t="s">
        <v>210</v>
      </c>
      <c r="D36" s="130" t="s">
        <v>138</v>
      </c>
      <c r="E36" s="53">
        <v>8</v>
      </c>
      <c r="F36" s="8">
        <v>8.27</v>
      </c>
      <c r="G36" s="9">
        <f t="shared" si="1"/>
        <v>5.7</v>
      </c>
      <c r="H36" s="10">
        <f t="shared" si="2"/>
        <v>66.16</v>
      </c>
      <c r="I36" s="42"/>
      <c r="J36" s="89">
        <f t="shared" si="0"/>
        <v>8</v>
      </c>
      <c r="K36" s="9">
        <f t="shared" si="3"/>
        <v>4.55</v>
      </c>
      <c r="L36" s="9">
        <f t="shared" si="4"/>
        <v>36.4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4.55</v>
      </c>
      <c r="T36" s="14">
        <f t="shared" si="6"/>
        <v>36.4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516</v>
      </c>
      <c r="C37" s="4" t="s">
        <v>311</v>
      </c>
      <c r="D37" s="129" t="s">
        <v>138</v>
      </c>
      <c r="E37" s="54">
        <v>4</v>
      </c>
      <c r="F37" s="15">
        <v>3694.17</v>
      </c>
      <c r="G37" s="38">
        <f t="shared" si="1"/>
        <v>2547.6999999999998</v>
      </c>
      <c r="H37" s="39">
        <f t="shared" si="2"/>
        <v>14776.68</v>
      </c>
      <c r="I37" s="42"/>
      <c r="J37" s="88">
        <f t="shared" si="0"/>
        <v>4</v>
      </c>
      <c r="K37" s="38">
        <f t="shared" si="3"/>
        <v>2031.79</v>
      </c>
      <c r="L37" s="38">
        <f t="shared" si="4"/>
        <v>8127.16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2031.79</v>
      </c>
      <c r="T37" s="52">
        <f t="shared" si="6"/>
        <v>8127.16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51</v>
      </c>
      <c r="F49" s="78">
        <f>SUM(F18:F48)</f>
        <v>20572.122000000003</v>
      </c>
      <c r="G49" s="79">
        <f>SUM(G18:G48)</f>
        <v>14187.669999999998</v>
      </c>
      <c r="H49" s="80">
        <f>SUM(H18:H48)</f>
        <v>37129.39</v>
      </c>
      <c r="I49" s="81"/>
      <c r="J49" s="82">
        <f>SUM(J18:J48)</f>
        <v>51</v>
      </c>
      <c r="K49" s="79">
        <f>SUM(K18:K48)</f>
        <v>10786.850000000002</v>
      </c>
      <c r="L49" s="80">
        <f>SUM(L18:L48)</f>
        <v>20512.900000000001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10786.850000000002</v>
      </c>
      <c r="T49" s="80">
        <f>SUM(T18:T48)</f>
        <v>20512.900000000001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F17 K17 Q17 Q14" xr:uid="{8C916B7A-31CB-4942-B756-9F39C56E1E92}">
      <formula1>$Y$11:$Y$12</formula1>
    </dataValidation>
    <dataValidation type="list" allowBlank="1" showInputMessage="1" showErrorMessage="1" sqref="H13" xr:uid="{BA6A6FD1-E8EB-4AFD-8DDB-74615D850C78}">
      <formula1>$Y$13:$Y$14</formula1>
    </dataValidation>
    <dataValidation type="list" allowBlank="1" showInputMessage="1" showErrorMessage="1" sqref="I13" xr:uid="{12766839-77FC-4F2E-B513-102785E76735}">
      <formula1>$K$9:$K$9</formula1>
    </dataValidation>
    <dataValidation type="list" showInputMessage="1" showErrorMessage="1" sqref="D18:D48" xr:uid="{3943170D-0E25-42FD-9FF4-BDCE4DCF8AC8}">
      <formula1>$Z$18:$Z$29</formula1>
    </dataValidation>
    <dataValidation type="list" allowBlank="1" showInputMessage="1" showErrorMessage="1" sqref="M18:M48" xr:uid="{B5423F47-3D65-4211-872C-98173AE887AE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F488-7688-4E9E-AC14-22FE1D5CD692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520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78938.549999999988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43423.62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35514.929999999986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521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0.44990603450405398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522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43423.62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41973.62</v>
      </c>
      <c r="U9" s="235">
        <f>IFERROR(((P3-S9)/S9),0)</f>
        <v>28.947324137931037</v>
      </c>
      <c r="V9" s="235">
        <f>IFERROR(T9/P3,0)</f>
        <v>0.96660803498188308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333</v>
      </c>
      <c r="C18" s="5" t="s">
        <v>122</v>
      </c>
      <c r="D18" s="128">
        <v>500</v>
      </c>
      <c r="E18" s="53">
        <v>1</v>
      </c>
      <c r="F18" s="8">
        <v>179.262</v>
      </c>
      <c r="G18" s="9">
        <f>ROUND(IF($F$17="USD $", F18*$E$15,F18*$D$15),2)</f>
        <v>123.63</v>
      </c>
      <c r="H18" s="10">
        <f>ROUND(IF($H$17=$G$17,E18*G18,E18*F18),2)</f>
        <v>179.26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89.63</v>
      </c>
      <c r="L18" s="9">
        <f>ROUND((J18*K18),2)</f>
        <v>89.63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89.63</v>
      </c>
      <c r="T18" s="14">
        <f>ROUND(L18-R18,2)</f>
        <v>89.63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334</v>
      </c>
      <c r="C19" s="4" t="s">
        <v>125</v>
      </c>
      <c r="D19" s="129">
        <v>500</v>
      </c>
      <c r="E19" s="54">
        <v>1</v>
      </c>
      <c r="F19" s="15">
        <v>275.9862</v>
      </c>
      <c r="G19" s="38">
        <f t="shared" ref="G19:G48" si="1">ROUND(IF($F$17="USD $", F19*$E$15,F19*$D$15),2)</f>
        <v>190.34</v>
      </c>
      <c r="H19" s="39">
        <f t="shared" ref="H19:H48" si="2">ROUND(IF($H$17=$G$17,E19*G19,E19*F19),2)</f>
        <v>275.99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137.99</v>
      </c>
      <c r="L19" s="38">
        <f t="shared" ref="L19:L48" si="4">ROUND((J19*K19),2)</f>
        <v>137.99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137.99</v>
      </c>
      <c r="T19" s="52">
        <f t="shared" ref="T19:T48" si="6">ROUND(L19-R19,2)</f>
        <v>137.99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332</v>
      </c>
      <c r="C22" s="6" t="s">
        <v>125</v>
      </c>
      <c r="D22" s="130">
        <v>1000</v>
      </c>
      <c r="E22" s="53">
        <v>1</v>
      </c>
      <c r="F22" s="8">
        <v>61.975799999999992</v>
      </c>
      <c r="G22" s="9">
        <f t="shared" si="1"/>
        <v>42.74</v>
      </c>
      <c r="H22" s="10">
        <f t="shared" si="2"/>
        <v>61.98</v>
      </c>
      <c r="I22" s="42"/>
      <c r="J22" s="89">
        <f t="shared" si="0"/>
        <v>1</v>
      </c>
      <c r="K22" s="9">
        <f t="shared" si="3"/>
        <v>30.99</v>
      </c>
      <c r="L22" s="9">
        <f t="shared" si="4"/>
        <v>30.99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30.99</v>
      </c>
      <c r="T22" s="14">
        <f t="shared" si="6"/>
        <v>30.99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131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523</v>
      </c>
      <c r="C24" s="6" t="s">
        <v>111</v>
      </c>
      <c r="D24" s="130">
        <v>500</v>
      </c>
      <c r="E24" s="53">
        <v>1</v>
      </c>
      <c r="F24" s="8">
        <v>95.67</v>
      </c>
      <c r="G24" s="9">
        <f t="shared" si="1"/>
        <v>65.98</v>
      </c>
      <c r="H24" s="10">
        <f t="shared" si="2"/>
        <v>95.67</v>
      </c>
      <c r="I24" s="42"/>
      <c r="J24" s="89">
        <f t="shared" si="0"/>
        <v>1</v>
      </c>
      <c r="K24" s="9">
        <f t="shared" si="3"/>
        <v>62.19</v>
      </c>
      <c r="L24" s="9">
        <f t="shared" si="4"/>
        <v>62.19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62.19</v>
      </c>
      <c r="T24" s="14">
        <f t="shared" si="6"/>
        <v>62.19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524</v>
      </c>
      <c r="C25" s="4" t="s">
        <v>117</v>
      </c>
      <c r="D25" s="129">
        <v>1000</v>
      </c>
      <c r="E25" s="54">
        <v>1</v>
      </c>
      <c r="F25" s="15">
        <v>81.97</v>
      </c>
      <c r="G25" s="38">
        <f t="shared" si="1"/>
        <v>56.53</v>
      </c>
      <c r="H25" s="39">
        <f t="shared" si="2"/>
        <v>81.97</v>
      </c>
      <c r="I25" s="42"/>
      <c r="J25" s="88">
        <f t="shared" si="0"/>
        <v>1</v>
      </c>
      <c r="K25" s="38">
        <f t="shared" si="3"/>
        <v>53.28</v>
      </c>
      <c r="L25" s="38">
        <f t="shared" si="4"/>
        <v>53.28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53.28</v>
      </c>
      <c r="T25" s="52">
        <f t="shared" si="6"/>
        <v>53.28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525</v>
      </c>
      <c r="C26" s="6" t="s">
        <v>131</v>
      </c>
      <c r="D26" s="130">
        <v>1000</v>
      </c>
      <c r="E26" s="53">
        <v>1</v>
      </c>
      <c r="F26" s="8">
        <v>198.35</v>
      </c>
      <c r="G26" s="9">
        <f t="shared" si="1"/>
        <v>136.79</v>
      </c>
      <c r="H26" s="10">
        <f t="shared" si="2"/>
        <v>198.35</v>
      </c>
      <c r="I26" s="42"/>
      <c r="J26" s="89">
        <f t="shared" si="0"/>
        <v>1</v>
      </c>
      <c r="K26" s="9">
        <f t="shared" si="3"/>
        <v>99.18</v>
      </c>
      <c r="L26" s="9">
        <f t="shared" si="4"/>
        <v>99.18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99.18</v>
      </c>
      <c r="T26" s="14">
        <f t="shared" si="6"/>
        <v>99.18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526</v>
      </c>
      <c r="C27" s="4" t="s">
        <v>137</v>
      </c>
      <c r="D27" s="129" t="s">
        <v>138</v>
      </c>
      <c r="E27" s="54">
        <v>1</v>
      </c>
      <c r="F27" s="15">
        <v>12799.25</v>
      </c>
      <c r="G27" s="38">
        <f t="shared" si="1"/>
        <v>8827.07</v>
      </c>
      <c r="H27" s="39">
        <f t="shared" si="2"/>
        <v>12799.25</v>
      </c>
      <c r="I27" s="42"/>
      <c r="J27" s="88">
        <f t="shared" si="0"/>
        <v>1</v>
      </c>
      <c r="K27" s="38">
        <f t="shared" si="3"/>
        <v>6399.63</v>
      </c>
      <c r="L27" s="38">
        <f t="shared" si="4"/>
        <v>6399.63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6399.63</v>
      </c>
      <c r="T27" s="52">
        <f t="shared" si="6"/>
        <v>6399.63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339</v>
      </c>
      <c r="C28" s="6" t="s">
        <v>147</v>
      </c>
      <c r="D28" s="130" t="s">
        <v>138</v>
      </c>
      <c r="E28" s="53">
        <v>1</v>
      </c>
      <c r="F28" s="8">
        <v>2567.5589999999997</v>
      </c>
      <c r="G28" s="9">
        <f t="shared" si="1"/>
        <v>1770.73</v>
      </c>
      <c r="H28" s="10">
        <f t="shared" si="2"/>
        <v>2567.56</v>
      </c>
      <c r="I28" s="42"/>
      <c r="J28" s="89">
        <f t="shared" si="0"/>
        <v>1</v>
      </c>
      <c r="K28" s="9">
        <f t="shared" si="3"/>
        <v>1283.78</v>
      </c>
      <c r="L28" s="9">
        <f t="shared" si="4"/>
        <v>1283.78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1283.78</v>
      </c>
      <c r="T28" s="14">
        <f t="shared" si="6"/>
        <v>1283.78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340</v>
      </c>
      <c r="C29" s="4" t="s">
        <v>144</v>
      </c>
      <c r="D29" s="129" t="s">
        <v>138</v>
      </c>
      <c r="E29" s="54">
        <v>1</v>
      </c>
      <c r="F29" s="15">
        <v>822.86639999999989</v>
      </c>
      <c r="G29" s="38">
        <f>ROUND(IF($F$17="USD $", F29*$E$15,F29*$D$15),2)</f>
        <v>567.49</v>
      </c>
      <c r="H29" s="39">
        <f>ROUND(IF($H$17=$G$17,E29*G29,E29*F29),2)</f>
        <v>822.87</v>
      </c>
      <c r="I29" s="42"/>
      <c r="J29" s="88">
        <f t="shared" si="0"/>
        <v>1</v>
      </c>
      <c r="K29" s="38">
        <f t="shared" si="3"/>
        <v>411.43</v>
      </c>
      <c r="L29" s="38">
        <f>ROUND((J29*K29),2)</f>
        <v>411.43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411.43</v>
      </c>
      <c r="T29" s="52">
        <f t="shared" si="6"/>
        <v>411.43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342</v>
      </c>
      <c r="C30" s="6" t="s">
        <v>149</v>
      </c>
      <c r="D30" s="130" t="s">
        <v>138</v>
      </c>
      <c r="E30" s="53">
        <v>6</v>
      </c>
      <c r="F30" s="8">
        <v>993.24</v>
      </c>
      <c r="G30" s="9">
        <f t="shared" si="1"/>
        <v>684.99</v>
      </c>
      <c r="H30" s="10">
        <f t="shared" si="2"/>
        <v>5959.44</v>
      </c>
      <c r="I30" s="42"/>
      <c r="J30" s="89">
        <f t="shared" si="0"/>
        <v>6</v>
      </c>
      <c r="K30" s="9">
        <f t="shared" si="3"/>
        <v>695.27</v>
      </c>
      <c r="L30" s="9">
        <f t="shared" si="4"/>
        <v>4171.62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695.27</v>
      </c>
      <c r="T30" s="14">
        <f t="shared" si="6"/>
        <v>4171.62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485</v>
      </c>
      <c r="C31" s="4" t="s">
        <v>278</v>
      </c>
      <c r="D31" s="129" t="s">
        <v>138</v>
      </c>
      <c r="E31" s="54">
        <v>2</v>
      </c>
      <c r="F31" s="15">
        <v>632.66</v>
      </c>
      <c r="G31" s="38">
        <f t="shared" si="1"/>
        <v>436.32</v>
      </c>
      <c r="H31" s="39">
        <f t="shared" si="2"/>
        <v>1265.32</v>
      </c>
      <c r="I31" s="42"/>
      <c r="J31" s="88">
        <f t="shared" si="0"/>
        <v>2</v>
      </c>
      <c r="K31" s="38">
        <f t="shared" si="3"/>
        <v>316.33</v>
      </c>
      <c r="L31" s="38">
        <f t="shared" si="4"/>
        <v>632.66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316.33</v>
      </c>
      <c r="T31" s="52">
        <f t="shared" si="6"/>
        <v>632.66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527</v>
      </c>
      <c r="C32" s="6" t="s">
        <v>436</v>
      </c>
      <c r="D32" s="130" t="s">
        <v>138</v>
      </c>
      <c r="E32" s="53">
        <v>3</v>
      </c>
      <c r="F32" s="8">
        <v>338.5</v>
      </c>
      <c r="G32" s="9">
        <f t="shared" si="1"/>
        <v>233.45</v>
      </c>
      <c r="H32" s="10">
        <f t="shared" si="2"/>
        <v>1015.5</v>
      </c>
      <c r="I32" s="42"/>
      <c r="J32" s="89">
        <f t="shared" si="0"/>
        <v>3</v>
      </c>
      <c r="K32" s="9">
        <f t="shared" si="3"/>
        <v>186.18</v>
      </c>
      <c r="L32" s="9">
        <f t="shared" si="4"/>
        <v>558.54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186.18</v>
      </c>
      <c r="T32" s="14">
        <f t="shared" si="6"/>
        <v>558.54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528</v>
      </c>
      <c r="C33" s="4" t="s">
        <v>529</v>
      </c>
      <c r="D33" s="129" t="s">
        <v>138</v>
      </c>
      <c r="E33" s="54">
        <v>3</v>
      </c>
      <c r="F33" s="15">
        <v>124.34</v>
      </c>
      <c r="G33" s="38">
        <f t="shared" si="1"/>
        <v>85.75</v>
      </c>
      <c r="H33" s="39">
        <f t="shared" si="2"/>
        <v>373.02</v>
      </c>
      <c r="I33" s="42"/>
      <c r="J33" s="88">
        <f t="shared" si="0"/>
        <v>3</v>
      </c>
      <c r="K33" s="38">
        <f t="shared" si="3"/>
        <v>68.39</v>
      </c>
      <c r="L33" s="38">
        <f t="shared" si="4"/>
        <v>205.17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68.39</v>
      </c>
      <c r="T33" s="52">
        <f t="shared" si="6"/>
        <v>205.17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>
        <v>0</v>
      </c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530</v>
      </c>
      <c r="C35" s="4" t="s">
        <v>531</v>
      </c>
      <c r="D35" s="129" t="s">
        <v>138</v>
      </c>
      <c r="E35" s="54">
        <v>1</v>
      </c>
      <c r="F35" s="15">
        <v>52916.74</v>
      </c>
      <c r="G35" s="38">
        <f t="shared" si="1"/>
        <v>36494.300000000003</v>
      </c>
      <c r="H35" s="39">
        <f t="shared" si="2"/>
        <v>52916.74</v>
      </c>
      <c r="I35" s="42"/>
      <c r="J35" s="88">
        <f t="shared" si="0"/>
        <v>1</v>
      </c>
      <c r="K35" s="38">
        <f t="shared" si="3"/>
        <v>29104.21</v>
      </c>
      <c r="L35" s="38">
        <f t="shared" si="4"/>
        <v>29104.21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29104.21</v>
      </c>
      <c r="T35" s="52">
        <f t="shared" si="6"/>
        <v>29104.21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27</v>
      </c>
      <c r="F49" s="78">
        <f>SUM(F18:F48)</f>
        <v>72413.999400000001</v>
      </c>
      <c r="G49" s="79">
        <f>SUM(G18:G48)</f>
        <v>49940.68</v>
      </c>
      <c r="H49" s="80">
        <f>SUM(H18:H48)</f>
        <v>78938.549999999988</v>
      </c>
      <c r="I49" s="81"/>
      <c r="J49" s="82">
        <f>SUM(J18:J48)</f>
        <v>27</v>
      </c>
      <c r="K49" s="79">
        <f>SUM(K18:K48)</f>
        <v>39121.800000000003</v>
      </c>
      <c r="L49" s="80">
        <f>SUM(L18:L48)</f>
        <v>43423.62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39121.800000000003</v>
      </c>
      <c r="T49" s="80">
        <f>SUM(T18:T48)</f>
        <v>43423.62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F17 K17 Q17 Q14" xr:uid="{09BDC316-215C-4C45-A5CF-B4B8F2B6FDF9}">
      <formula1>$Y$11:$Y$12</formula1>
    </dataValidation>
    <dataValidation type="list" allowBlank="1" showInputMessage="1" showErrorMessage="1" sqref="H13" xr:uid="{80A489AE-94CC-4C66-BEFD-03158BAFEF4E}">
      <formula1>$Y$13:$Y$14</formula1>
    </dataValidation>
    <dataValidation type="list" allowBlank="1" showInputMessage="1" showErrorMessage="1" sqref="I13" xr:uid="{264CB630-A6D3-4773-A09E-26DA2733C980}">
      <formula1>$K$9:$K$9</formula1>
    </dataValidation>
    <dataValidation type="list" showInputMessage="1" showErrorMessage="1" sqref="D18:D48" xr:uid="{085AD623-A2E5-4D0C-B5A1-576C6DC56F49}">
      <formula1>$Z$18:$Z$29</formula1>
    </dataValidation>
    <dataValidation type="list" allowBlank="1" showInputMessage="1" showErrorMessage="1" sqref="M18:M48" xr:uid="{F37941B3-7360-4C53-8180-B2C04A5EEFF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8B59-E911-41CF-B0BE-5FD7C989D320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532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78938.549999999988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43423.62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35514.929999999986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521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0.44990603450405398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533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43423.62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41973.62</v>
      </c>
      <c r="U9" s="235">
        <f>IFERROR(((P3-S9)/S9),0)</f>
        <v>28.947324137931037</v>
      </c>
      <c r="V9" s="235">
        <f>IFERROR(T9/P3,0)</f>
        <v>0.96660803498188308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333</v>
      </c>
      <c r="C18" s="5" t="s">
        <v>122</v>
      </c>
      <c r="D18" s="128">
        <v>500</v>
      </c>
      <c r="E18" s="53">
        <v>1</v>
      </c>
      <c r="F18" s="8">
        <v>179.262</v>
      </c>
      <c r="G18" s="9">
        <f>ROUND(IF($F$17="USD $", F18*$E$15,F18*$D$15),2)</f>
        <v>123.63</v>
      </c>
      <c r="H18" s="10">
        <f>ROUND(IF($H$17=$G$17,E18*G18,E18*F18),2)</f>
        <v>179.26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89.63</v>
      </c>
      <c r="L18" s="9">
        <f>ROUND((J18*K18),2)</f>
        <v>89.63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89.63</v>
      </c>
      <c r="T18" s="14">
        <f>ROUND(L18-R18,2)</f>
        <v>89.63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334</v>
      </c>
      <c r="C19" s="4" t="s">
        <v>125</v>
      </c>
      <c r="D19" s="129">
        <v>500</v>
      </c>
      <c r="E19" s="54">
        <v>1</v>
      </c>
      <c r="F19" s="15">
        <v>275.9862</v>
      </c>
      <c r="G19" s="38">
        <f t="shared" ref="G19:G48" si="1">ROUND(IF($F$17="USD $", F19*$E$15,F19*$D$15),2)</f>
        <v>190.34</v>
      </c>
      <c r="H19" s="39">
        <f t="shared" ref="H19:H48" si="2">ROUND(IF($H$17=$G$17,E19*G19,E19*F19),2)</f>
        <v>275.99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137.99</v>
      </c>
      <c r="L19" s="38">
        <f t="shared" ref="L19:L48" si="4">ROUND((J19*K19),2)</f>
        <v>137.99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137.99</v>
      </c>
      <c r="T19" s="52">
        <f t="shared" ref="T19:T48" si="6">ROUND(L19-R19,2)</f>
        <v>137.99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332</v>
      </c>
      <c r="C22" s="6" t="s">
        <v>125</v>
      </c>
      <c r="D22" s="130">
        <v>1000</v>
      </c>
      <c r="E22" s="53">
        <v>1</v>
      </c>
      <c r="F22" s="8">
        <v>61.975799999999992</v>
      </c>
      <c r="G22" s="9">
        <f t="shared" si="1"/>
        <v>42.74</v>
      </c>
      <c r="H22" s="10">
        <f t="shared" si="2"/>
        <v>61.98</v>
      </c>
      <c r="I22" s="42"/>
      <c r="J22" s="89">
        <f t="shared" si="0"/>
        <v>1</v>
      </c>
      <c r="K22" s="9">
        <f t="shared" si="3"/>
        <v>30.99</v>
      </c>
      <c r="L22" s="9">
        <f t="shared" si="4"/>
        <v>30.99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30.99</v>
      </c>
      <c r="T22" s="14">
        <f t="shared" si="6"/>
        <v>30.99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131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523</v>
      </c>
      <c r="C24" s="6" t="s">
        <v>111</v>
      </c>
      <c r="D24" s="130">
        <v>500</v>
      </c>
      <c r="E24" s="53">
        <v>1</v>
      </c>
      <c r="F24" s="8">
        <v>95.67</v>
      </c>
      <c r="G24" s="9">
        <f t="shared" si="1"/>
        <v>65.98</v>
      </c>
      <c r="H24" s="10">
        <f t="shared" si="2"/>
        <v>95.67</v>
      </c>
      <c r="I24" s="42"/>
      <c r="J24" s="89">
        <f t="shared" si="0"/>
        <v>1</v>
      </c>
      <c r="K24" s="9">
        <f t="shared" si="3"/>
        <v>62.19</v>
      </c>
      <c r="L24" s="9">
        <f t="shared" si="4"/>
        <v>62.19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62.19</v>
      </c>
      <c r="T24" s="14">
        <f t="shared" si="6"/>
        <v>62.19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524</v>
      </c>
      <c r="C25" s="4" t="s">
        <v>117</v>
      </c>
      <c r="D25" s="129">
        <v>1000</v>
      </c>
      <c r="E25" s="54">
        <v>1</v>
      </c>
      <c r="F25" s="15">
        <v>81.97</v>
      </c>
      <c r="G25" s="38">
        <f t="shared" si="1"/>
        <v>56.53</v>
      </c>
      <c r="H25" s="39">
        <f t="shared" si="2"/>
        <v>81.97</v>
      </c>
      <c r="I25" s="42"/>
      <c r="J25" s="88">
        <f t="shared" si="0"/>
        <v>1</v>
      </c>
      <c r="K25" s="38">
        <f t="shared" si="3"/>
        <v>53.28</v>
      </c>
      <c r="L25" s="38">
        <f t="shared" si="4"/>
        <v>53.28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53.28</v>
      </c>
      <c r="T25" s="52">
        <f t="shared" si="6"/>
        <v>53.28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525</v>
      </c>
      <c r="C26" s="6" t="s">
        <v>131</v>
      </c>
      <c r="D26" s="130">
        <v>1000</v>
      </c>
      <c r="E26" s="53">
        <v>1</v>
      </c>
      <c r="F26" s="8">
        <v>198.35</v>
      </c>
      <c r="G26" s="9">
        <f t="shared" si="1"/>
        <v>136.79</v>
      </c>
      <c r="H26" s="10">
        <f t="shared" si="2"/>
        <v>198.35</v>
      </c>
      <c r="I26" s="42"/>
      <c r="J26" s="89">
        <f t="shared" si="0"/>
        <v>1</v>
      </c>
      <c r="K26" s="9">
        <f t="shared" si="3"/>
        <v>99.18</v>
      </c>
      <c r="L26" s="9">
        <f t="shared" si="4"/>
        <v>99.18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99.18</v>
      </c>
      <c r="T26" s="14">
        <f t="shared" si="6"/>
        <v>99.18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526</v>
      </c>
      <c r="C27" s="4" t="s">
        <v>137</v>
      </c>
      <c r="D27" s="129" t="s">
        <v>138</v>
      </c>
      <c r="E27" s="54">
        <v>1</v>
      </c>
      <c r="F27" s="15">
        <v>12799.25</v>
      </c>
      <c r="G27" s="38">
        <f t="shared" si="1"/>
        <v>8827.07</v>
      </c>
      <c r="H27" s="39">
        <f t="shared" si="2"/>
        <v>12799.25</v>
      </c>
      <c r="I27" s="42"/>
      <c r="J27" s="88">
        <f t="shared" si="0"/>
        <v>1</v>
      </c>
      <c r="K27" s="38">
        <f t="shared" si="3"/>
        <v>6399.63</v>
      </c>
      <c r="L27" s="38">
        <f t="shared" si="4"/>
        <v>6399.63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6399.63</v>
      </c>
      <c r="T27" s="52">
        <f t="shared" si="6"/>
        <v>6399.63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339</v>
      </c>
      <c r="C28" s="6" t="s">
        <v>147</v>
      </c>
      <c r="D28" s="130" t="s">
        <v>138</v>
      </c>
      <c r="E28" s="53">
        <v>1</v>
      </c>
      <c r="F28" s="8">
        <v>2567.5589999999997</v>
      </c>
      <c r="G28" s="9">
        <f t="shared" si="1"/>
        <v>1770.73</v>
      </c>
      <c r="H28" s="10">
        <f t="shared" si="2"/>
        <v>2567.56</v>
      </c>
      <c r="I28" s="42"/>
      <c r="J28" s="89">
        <f t="shared" si="0"/>
        <v>1</v>
      </c>
      <c r="K28" s="9">
        <f t="shared" si="3"/>
        <v>1283.78</v>
      </c>
      <c r="L28" s="9">
        <f t="shared" si="4"/>
        <v>1283.78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1283.78</v>
      </c>
      <c r="T28" s="14">
        <f t="shared" si="6"/>
        <v>1283.78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340</v>
      </c>
      <c r="C29" s="4" t="s">
        <v>144</v>
      </c>
      <c r="D29" s="129" t="s">
        <v>138</v>
      </c>
      <c r="E29" s="54">
        <v>1</v>
      </c>
      <c r="F29" s="15">
        <v>822.86639999999989</v>
      </c>
      <c r="G29" s="38">
        <f>ROUND(IF($F$17="USD $", F29*$E$15,F29*$D$15),2)</f>
        <v>567.49</v>
      </c>
      <c r="H29" s="39">
        <f>ROUND(IF($H$17=$G$17,E29*G29,E29*F29),2)</f>
        <v>822.87</v>
      </c>
      <c r="I29" s="42"/>
      <c r="J29" s="88">
        <f t="shared" si="0"/>
        <v>1</v>
      </c>
      <c r="K29" s="38">
        <f t="shared" si="3"/>
        <v>411.43</v>
      </c>
      <c r="L29" s="38">
        <f>ROUND((J29*K29),2)</f>
        <v>411.43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411.43</v>
      </c>
      <c r="T29" s="52">
        <f t="shared" si="6"/>
        <v>411.43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342</v>
      </c>
      <c r="C30" s="6" t="s">
        <v>149</v>
      </c>
      <c r="D30" s="130" t="s">
        <v>138</v>
      </c>
      <c r="E30" s="53">
        <v>6</v>
      </c>
      <c r="F30" s="8">
        <v>993.24</v>
      </c>
      <c r="G30" s="9">
        <f t="shared" si="1"/>
        <v>684.99</v>
      </c>
      <c r="H30" s="10">
        <f t="shared" si="2"/>
        <v>5959.44</v>
      </c>
      <c r="I30" s="42"/>
      <c r="J30" s="89">
        <f t="shared" si="0"/>
        <v>6</v>
      </c>
      <c r="K30" s="9">
        <f t="shared" si="3"/>
        <v>695.27</v>
      </c>
      <c r="L30" s="9">
        <f t="shared" si="4"/>
        <v>4171.62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695.27</v>
      </c>
      <c r="T30" s="14">
        <f t="shared" si="6"/>
        <v>4171.62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485</v>
      </c>
      <c r="C31" s="4" t="s">
        <v>278</v>
      </c>
      <c r="D31" s="129" t="s">
        <v>138</v>
      </c>
      <c r="E31" s="54">
        <v>2</v>
      </c>
      <c r="F31" s="15">
        <v>632.66</v>
      </c>
      <c r="G31" s="38">
        <f t="shared" si="1"/>
        <v>436.32</v>
      </c>
      <c r="H31" s="39">
        <f t="shared" si="2"/>
        <v>1265.32</v>
      </c>
      <c r="I31" s="42"/>
      <c r="J31" s="88">
        <f t="shared" si="0"/>
        <v>2</v>
      </c>
      <c r="K31" s="38">
        <f t="shared" si="3"/>
        <v>316.33</v>
      </c>
      <c r="L31" s="38">
        <f t="shared" si="4"/>
        <v>632.66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316.33</v>
      </c>
      <c r="T31" s="52">
        <f t="shared" si="6"/>
        <v>632.66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527</v>
      </c>
      <c r="C32" s="6" t="s">
        <v>436</v>
      </c>
      <c r="D32" s="130" t="s">
        <v>138</v>
      </c>
      <c r="E32" s="53">
        <v>3</v>
      </c>
      <c r="F32" s="8">
        <v>338.5</v>
      </c>
      <c r="G32" s="9">
        <f t="shared" si="1"/>
        <v>233.45</v>
      </c>
      <c r="H32" s="10">
        <f t="shared" si="2"/>
        <v>1015.5</v>
      </c>
      <c r="I32" s="42"/>
      <c r="J32" s="89">
        <f t="shared" si="0"/>
        <v>3</v>
      </c>
      <c r="K32" s="9">
        <f t="shared" si="3"/>
        <v>186.18</v>
      </c>
      <c r="L32" s="9">
        <f t="shared" si="4"/>
        <v>558.54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186.18</v>
      </c>
      <c r="T32" s="14">
        <f t="shared" si="6"/>
        <v>558.54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528</v>
      </c>
      <c r="C33" s="4" t="s">
        <v>529</v>
      </c>
      <c r="D33" s="129" t="s">
        <v>138</v>
      </c>
      <c r="E33" s="54">
        <v>3</v>
      </c>
      <c r="F33" s="15">
        <v>124.34</v>
      </c>
      <c r="G33" s="38">
        <f t="shared" si="1"/>
        <v>85.75</v>
      </c>
      <c r="H33" s="39">
        <f t="shared" si="2"/>
        <v>373.02</v>
      </c>
      <c r="I33" s="42"/>
      <c r="J33" s="88">
        <f t="shared" si="0"/>
        <v>3</v>
      </c>
      <c r="K33" s="38">
        <f t="shared" si="3"/>
        <v>68.39</v>
      </c>
      <c r="L33" s="38">
        <f t="shared" si="4"/>
        <v>205.17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68.39</v>
      </c>
      <c r="T33" s="52">
        <f t="shared" si="6"/>
        <v>205.17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>
        <v>0</v>
      </c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530</v>
      </c>
      <c r="C35" s="4" t="s">
        <v>531</v>
      </c>
      <c r="D35" s="129" t="s">
        <v>138</v>
      </c>
      <c r="E35" s="54">
        <v>1</v>
      </c>
      <c r="F35" s="15">
        <v>52916.74</v>
      </c>
      <c r="G35" s="38">
        <f t="shared" si="1"/>
        <v>36494.300000000003</v>
      </c>
      <c r="H35" s="39">
        <f t="shared" si="2"/>
        <v>52916.74</v>
      </c>
      <c r="I35" s="42"/>
      <c r="J35" s="88">
        <f t="shared" si="0"/>
        <v>1</v>
      </c>
      <c r="K35" s="38">
        <f t="shared" si="3"/>
        <v>29104.21</v>
      </c>
      <c r="L35" s="38">
        <f t="shared" si="4"/>
        <v>29104.21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29104.21</v>
      </c>
      <c r="T35" s="52">
        <f t="shared" si="6"/>
        <v>29104.21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27</v>
      </c>
      <c r="F49" s="78">
        <f>SUM(F18:F48)</f>
        <v>72413.999400000001</v>
      </c>
      <c r="G49" s="79">
        <f>SUM(G18:G48)</f>
        <v>49940.68</v>
      </c>
      <c r="H49" s="80">
        <f>SUM(H18:H48)</f>
        <v>78938.549999999988</v>
      </c>
      <c r="I49" s="81"/>
      <c r="J49" s="82">
        <f>SUM(J18:J48)</f>
        <v>27</v>
      </c>
      <c r="K49" s="79">
        <f>SUM(K18:K48)</f>
        <v>39121.800000000003</v>
      </c>
      <c r="L49" s="80">
        <f>SUM(L18:L48)</f>
        <v>43423.62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39121.800000000003</v>
      </c>
      <c r="T49" s="80">
        <f>SUM(T18:T48)</f>
        <v>43423.62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M18:M48" xr:uid="{DC4BE4AC-EEE3-420F-982E-FE10F892F69A}">
      <formula1>$Y$31:$Y$32</formula1>
    </dataValidation>
    <dataValidation type="list" showInputMessage="1" showErrorMessage="1" sqref="D18:D48" xr:uid="{4C46B6EC-0E9C-4C74-8077-2354746F1D7B}">
      <formula1>$Z$18:$Z$29</formula1>
    </dataValidation>
    <dataValidation type="list" allowBlank="1" showInputMessage="1" showErrorMessage="1" sqref="I13" xr:uid="{99EDDF6F-8A7C-4638-8392-CF3934F02E09}">
      <formula1>$K$9:$K$9</formula1>
    </dataValidation>
    <dataValidation type="list" allowBlank="1" showInputMessage="1" showErrorMessage="1" sqref="H13" xr:uid="{627BC82E-0816-4A15-8ED0-99107FB5F76E}">
      <formula1>$Y$13:$Y$14</formula1>
    </dataValidation>
    <dataValidation type="list" allowBlank="1" showInputMessage="1" showErrorMessage="1" sqref="F17 K17 Q17 Q14" xr:uid="{0FA3B840-6922-4BEA-A136-D8BED7FB1A6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12BE-BF1B-40C9-8CC2-DD73CAFE7685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534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78938.549999999988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43423.62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35514.929999999986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521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0.44990603450405398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535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43423.62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41973.62</v>
      </c>
      <c r="U9" s="235">
        <f>IFERROR(((P3-S9)/S9),0)</f>
        <v>28.947324137931037</v>
      </c>
      <c r="V9" s="235">
        <f>IFERROR(T9/P3,0)</f>
        <v>0.96660803498188308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27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333</v>
      </c>
      <c r="C18" s="5" t="s">
        <v>122</v>
      </c>
      <c r="D18" s="128">
        <v>500</v>
      </c>
      <c r="E18" s="53">
        <v>1</v>
      </c>
      <c r="F18" s="8">
        <v>179.262</v>
      </c>
      <c r="G18" s="9">
        <f>ROUND(IF($F$17="USD $", F18*$E$15,F18*$D$15),2)</f>
        <v>123.63</v>
      </c>
      <c r="H18" s="10">
        <f>ROUND(IF($H$17=$G$17,E18*G18,E18*F18),2)</f>
        <v>179.26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89.63</v>
      </c>
      <c r="L18" s="9">
        <f>ROUND((J18*K18),2)</f>
        <v>89.63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89.63</v>
      </c>
      <c r="T18" s="14">
        <f>ROUND(L18-R18,2)</f>
        <v>89.63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334</v>
      </c>
      <c r="C19" s="4" t="s">
        <v>125</v>
      </c>
      <c r="D19" s="129">
        <v>500</v>
      </c>
      <c r="E19" s="54">
        <v>1</v>
      </c>
      <c r="F19" s="15">
        <v>275.9862</v>
      </c>
      <c r="G19" s="38">
        <f t="shared" ref="G19:G48" si="1">ROUND(IF($F$17="USD $", F19*$E$15,F19*$D$15),2)</f>
        <v>190.34</v>
      </c>
      <c r="H19" s="39">
        <f t="shared" ref="H19:H48" si="2">ROUND(IF($H$17=$G$17,E19*G19,E19*F19),2)</f>
        <v>275.99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137.99</v>
      </c>
      <c r="L19" s="38">
        <f t="shared" ref="L19:L48" si="4">ROUND((J19*K19),2)</f>
        <v>137.99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137.99</v>
      </c>
      <c r="T19" s="52">
        <f t="shared" ref="T19:T48" si="6">ROUND(L19-R19,2)</f>
        <v>137.99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332</v>
      </c>
      <c r="C22" s="6" t="s">
        <v>125</v>
      </c>
      <c r="D22" s="130">
        <v>1000</v>
      </c>
      <c r="E22" s="53">
        <v>1</v>
      </c>
      <c r="F22" s="8">
        <v>61.975799999999992</v>
      </c>
      <c r="G22" s="9">
        <f t="shared" si="1"/>
        <v>42.74</v>
      </c>
      <c r="H22" s="10">
        <f t="shared" si="2"/>
        <v>61.98</v>
      </c>
      <c r="I22" s="42"/>
      <c r="J22" s="89">
        <f t="shared" si="0"/>
        <v>1</v>
      </c>
      <c r="K22" s="9">
        <f t="shared" si="3"/>
        <v>30.99</v>
      </c>
      <c r="L22" s="9">
        <f t="shared" si="4"/>
        <v>30.99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30.99</v>
      </c>
      <c r="T22" s="14">
        <f t="shared" si="6"/>
        <v>30.99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131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523</v>
      </c>
      <c r="C24" s="6" t="s">
        <v>111</v>
      </c>
      <c r="D24" s="130">
        <v>500</v>
      </c>
      <c r="E24" s="53">
        <v>1</v>
      </c>
      <c r="F24" s="8">
        <v>95.67</v>
      </c>
      <c r="G24" s="9">
        <f t="shared" si="1"/>
        <v>65.98</v>
      </c>
      <c r="H24" s="10">
        <f t="shared" si="2"/>
        <v>95.67</v>
      </c>
      <c r="I24" s="42"/>
      <c r="J24" s="89">
        <f t="shared" si="0"/>
        <v>1</v>
      </c>
      <c r="K24" s="9">
        <f t="shared" si="3"/>
        <v>62.19</v>
      </c>
      <c r="L24" s="9">
        <f t="shared" si="4"/>
        <v>62.19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62.19</v>
      </c>
      <c r="T24" s="14">
        <f t="shared" si="6"/>
        <v>62.19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524</v>
      </c>
      <c r="C25" s="4" t="s">
        <v>117</v>
      </c>
      <c r="D25" s="129">
        <v>1000</v>
      </c>
      <c r="E25" s="54">
        <v>1</v>
      </c>
      <c r="F25" s="15">
        <v>81.97</v>
      </c>
      <c r="G25" s="38">
        <f t="shared" si="1"/>
        <v>56.53</v>
      </c>
      <c r="H25" s="39">
        <f t="shared" si="2"/>
        <v>81.97</v>
      </c>
      <c r="I25" s="42"/>
      <c r="J25" s="88">
        <f t="shared" si="0"/>
        <v>1</v>
      </c>
      <c r="K25" s="38">
        <f t="shared" si="3"/>
        <v>53.28</v>
      </c>
      <c r="L25" s="38">
        <f t="shared" si="4"/>
        <v>53.28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53.28</v>
      </c>
      <c r="T25" s="52">
        <f t="shared" si="6"/>
        <v>53.28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525</v>
      </c>
      <c r="C26" s="6" t="s">
        <v>131</v>
      </c>
      <c r="D26" s="130">
        <v>1000</v>
      </c>
      <c r="E26" s="53">
        <v>1</v>
      </c>
      <c r="F26" s="8">
        <v>198.35</v>
      </c>
      <c r="G26" s="9">
        <f t="shared" si="1"/>
        <v>136.79</v>
      </c>
      <c r="H26" s="10">
        <f t="shared" si="2"/>
        <v>198.35</v>
      </c>
      <c r="I26" s="42"/>
      <c r="J26" s="89">
        <f t="shared" si="0"/>
        <v>1</v>
      </c>
      <c r="K26" s="9">
        <f t="shared" si="3"/>
        <v>99.18</v>
      </c>
      <c r="L26" s="9">
        <f t="shared" si="4"/>
        <v>99.18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99.18</v>
      </c>
      <c r="T26" s="14">
        <f t="shared" si="6"/>
        <v>99.18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526</v>
      </c>
      <c r="C27" s="4" t="s">
        <v>137</v>
      </c>
      <c r="D27" s="129" t="s">
        <v>138</v>
      </c>
      <c r="E27" s="54">
        <v>1</v>
      </c>
      <c r="F27" s="15">
        <v>12799.25</v>
      </c>
      <c r="G27" s="38">
        <f t="shared" si="1"/>
        <v>8827.07</v>
      </c>
      <c r="H27" s="39">
        <f t="shared" si="2"/>
        <v>12799.25</v>
      </c>
      <c r="I27" s="42"/>
      <c r="J27" s="88">
        <f t="shared" si="0"/>
        <v>1</v>
      </c>
      <c r="K27" s="38">
        <f t="shared" si="3"/>
        <v>6399.63</v>
      </c>
      <c r="L27" s="38">
        <f t="shared" si="4"/>
        <v>6399.63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6399.63</v>
      </c>
      <c r="T27" s="52">
        <f t="shared" si="6"/>
        <v>6399.63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339</v>
      </c>
      <c r="C28" s="6" t="s">
        <v>147</v>
      </c>
      <c r="D28" s="130" t="s">
        <v>138</v>
      </c>
      <c r="E28" s="53">
        <v>1</v>
      </c>
      <c r="F28" s="8">
        <v>2567.5589999999997</v>
      </c>
      <c r="G28" s="9">
        <f t="shared" si="1"/>
        <v>1770.73</v>
      </c>
      <c r="H28" s="10">
        <f t="shared" si="2"/>
        <v>2567.56</v>
      </c>
      <c r="I28" s="42"/>
      <c r="J28" s="89">
        <f t="shared" si="0"/>
        <v>1</v>
      </c>
      <c r="K28" s="9">
        <f t="shared" si="3"/>
        <v>1283.78</v>
      </c>
      <c r="L28" s="9">
        <f t="shared" si="4"/>
        <v>1283.78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1283.78</v>
      </c>
      <c r="T28" s="14">
        <f t="shared" si="6"/>
        <v>1283.78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340</v>
      </c>
      <c r="C29" s="4" t="s">
        <v>144</v>
      </c>
      <c r="D29" s="129" t="s">
        <v>138</v>
      </c>
      <c r="E29" s="54">
        <v>1</v>
      </c>
      <c r="F29" s="15">
        <v>822.86639999999989</v>
      </c>
      <c r="G29" s="38">
        <f>ROUND(IF($F$17="USD $", F29*$E$15,F29*$D$15),2)</f>
        <v>567.49</v>
      </c>
      <c r="H29" s="39">
        <f>ROUND(IF($H$17=$G$17,E29*G29,E29*F29),2)</f>
        <v>822.87</v>
      </c>
      <c r="I29" s="42"/>
      <c r="J29" s="88">
        <f t="shared" si="0"/>
        <v>1</v>
      </c>
      <c r="K29" s="38">
        <f t="shared" si="3"/>
        <v>411.43</v>
      </c>
      <c r="L29" s="38">
        <f>ROUND((J29*K29),2)</f>
        <v>411.43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411.43</v>
      </c>
      <c r="T29" s="52">
        <f t="shared" si="6"/>
        <v>411.43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342</v>
      </c>
      <c r="C30" s="6" t="s">
        <v>149</v>
      </c>
      <c r="D30" s="130" t="s">
        <v>138</v>
      </c>
      <c r="E30" s="53">
        <v>6</v>
      </c>
      <c r="F30" s="8">
        <v>993.24</v>
      </c>
      <c r="G30" s="9">
        <f t="shared" si="1"/>
        <v>684.99</v>
      </c>
      <c r="H30" s="10">
        <f t="shared" si="2"/>
        <v>5959.44</v>
      </c>
      <c r="I30" s="42"/>
      <c r="J30" s="89">
        <f t="shared" si="0"/>
        <v>6</v>
      </c>
      <c r="K30" s="9">
        <f t="shared" si="3"/>
        <v>695.27</v>
      </c>
      <c r="L30" s="9">
        <f t="shared" si="4"/>
        <v>4171.62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695.27</v>
      </c>
      <c r="T30" s="14">
        <f t="shared" si="6"/>
        <v>4171.62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485</v>
      </c>
      <c r="C31" s="4" t="s">
        <v>278</v>
      </c>
      <c r="D31" s="129" t="s">
        <v>138</v>
      </c>
      <c r="E31" s="54">
        <v>2</v>
      </c>
      <c r="F31" s="15">
        <v>632.66</v>
      </c>
      <c r="G31" s="38">
        <f t="shared" si="1"/>
        <v>436.32</v>
      </c>
      <c r="H31" s="39">
        <f t="shared" si="2"/>
        <v>1265.32</v>
      </c>
      <c r="I31" s="42"/>
      <c r="J31" s="88">
        <f t="shared" si="0"/>
        <v>2</v>
      </c>
      <c r="K31" s="38">
        <f t="shared" si="3"/>
        <v>316.33</v>
      </c>
      <c r="L31" s="38">
        <f t="shared" si="4"/>
        <v>632.66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316.33</v>
      </c>
      <c r="T31" s="52">
        <f t="shared" si="6"/>
        <v>632.66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527</v>
      </c>
      <c r="C32" s="6" t="s">
        <v>436</v>
      </c>
      <c r="D32" s="130" t="s">
        <v>138</v>
      </c>
      <c r="E32" s="53">
        <v>3</v>
      </c>
      <c r="F32" s="8">
        <v>338.5</v>
      </c>
      <c r="G32" s="9">
        <f t="shared" si="1"/>
        <v>233.45</v>
      </c>
      <c r="H32" s="10">
        <f t="shared" si="2"/>
        <v>1015.5</v>
      </c>
      <c r="I32" s="42"/>
      <c r="J32" s="89">
        <f t="shared" si="0"/>
        <v>3</v>
      </c>
      <c r="K32" s="9">
        <f t="shared" si="3"/>
        <v>186.18</v>
      </c>
      <c r="L32" s="9">
        <f t="shared" si="4"/>
        <v>558.54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186.18</v>
      </c>
      <c r="T32" s="14">
        <f t="shared" si="6"/>
        <v>558.54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528</v>
      </c>
      <c r="C33" s="4" t="s">
        <v>529</v>
      </c>
      <c r="D33" s="129" t="s">
        <v>138</v>
      </c>
      <c r="E33" s="54">
        <v>3</v>
      </c>
      <c r="F33" s="15">
        <v>124.34</v>
      </c>
      <c r="G33" s="38">
        <f t="shared" si="1"/>
        <v>85.75</v>
      </c>
      <c r="H33" s="39">
        <f t="shared" si="2"/>
        <v>373.02</v>
      </c>
      <c r="I33" s="42"/>
      <c r="J33" s="88">
        <f t="shared" si="0"/>
        <v>3</v>
      </c>
      <c r="K33" s="38">
        <f t="shared" si="3"/>
        <v>68.39</v>
      </c>
      <c r="L33" s="38">
        <f t="shared" si="4"/>
        <v>205.17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68.39</v>
      </c>
      <c r="T33" s="52">
        <f t="shared" si="6"/>
        <v>205.17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>
        <v>0</v>
      </c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530</v>
      </c>
      <c r="C35" s="4" t="s">
        <v>531</v>
      </c>
      <c r="D35" s="129" t="s">
        <v>138</v>
      </c>
      <c r="E35" s="54">
        <v>1</v>
      </c>
      <c r="F35" s="15">
        <v>52916.74</v>
      </c>
      <c r="G35" s="38">
        <f t="shared" si="1"/>
        <v>36494.300000000003</v>
      </c>
      <c r="H35" s="39">
        <f t="shared" si="2"/>
        <v>52916.74</v>
      </c>
      <c r="I35" s="42"/>
      <c r="J35" s="88">
        <f t="shared" si="0"/>
        <v>1</v>
      </c>
      <c r="K35" s="38">
        <f t="shared" si="3"/>
        <v>29104.21</v>
      </c>
      <c r="L35" s="38">
        <f t="shared" si="4"/>
        <v>29104.21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29104.21</v>
      </c>
      <c r="T35" s="52">
        <f t="shared" si="6"/>
        <v>29104.21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27</v>
      </c>
      <c r="F49" s="78">
        <f>SUM(F18:F48)</f>
        <v>72413.999400000001</v>
      </c>
      <c r="G49" s="79">
        <f>SUM(G18:G48)</f>
        <v>49940.68</v>
      </c>
      <c r="H49" s="80">
        <f>SUM(H18:H48)</f>
        <v>78938.549999999988</v>
      </c>
      <c r="I49" s="81"/>
      <c r="J49" s="82">
        <f>SUM(J18:J48)</f>
        <v>27</v>
      </c>
      <c r="K49" s="79">
        <f>SUM(K18:K48)</f>
        <v>39121.800000000003</v>
      </c>
      <c r="L49" s="80">
        <f>SUM(L18:L48)</f>
        <v>43423.62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39121.800000000003</v>
      </c>
      <c r="T49" s="80">
        <f>SUM(T18:T48)</f>
        <v>43423.62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F17 K17 Q17 Q14" xr:uid="{A6A5EE78-6235-4E1F-BDFB-9C01B61E6FFB}">
      <formula1>$Y$11:$Y$12</formula1>
    </dataValidation>
    <dataValidation type="list" allowBlank="1" showInputMessage="1" showErrorMessage="1" sqref="H13" xr:uid="{B5AA8765-5B59-4A52-B777-DA17FB7607FB}">
      <formula1>$Y$13:$Y$14</formula1>
    </dataValidation>
    <dataValidation type="list" allowBlank="1" showInputMessage="1" showErrorMessage="1" sqref="I13" xr:uid="{733C76D4-1F04-4DB6-96B7-AA98DB9CB062}">
      <formula1>$K$9:$K$9</formula1>
    </dataValidation>
    <dataValidation type="list" showInputMessage="1" showErrorMessage="1" sqref="D18:D48" xr:uid="{F5E6A2E5-79D7-4EB3-9F79-F95CFD647137}">
      <formula1>$Z$18:$Z$29</formula1>
    </dataValidation>
    <dataValidation type="list" allowBlank="1" showInputMessage="1" showErrorMessage="1" sqref="M18:M48" xr:uid="{76ACEA14-0A51-4CF8-B9D1-715466AC8B7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92B3-F4BE-4D1E-8327-8D3CB1444AE6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536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56925.83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29744.299999999996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27181.530000000006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537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0.47749027111242831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538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29744.299999999996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642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28294.299999999996</v>
      </c>
      <c r="U9" s="235">
        <f>IFERROR(((P3-S9)/S9),0)</f>
        <v>19.513310344827584</v>
      </c>
      <c r="V9" s="235">
        <f>IFERROR(T9/P3,0)</f>
        <v>0.95125116408858168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82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539</v>
      </c>
      <c r="C18" s="5" t="s">
        <v>125</v>
      </c>
      <c r="D18" s="128">
        <v>500</v>
      </c>
      <c r="E18" s="53">
        <v>1</v>
      </c>
      <c r="F18" s="8">
        <v>69.17</v>
      </c>
      <c r="G18" s="9">
        <f>ROUND(IF($F$17="USD $", F18*$E$15,F18*$D$15),2)</f>
        <v>47.7</v>
      </c>
      <c r="H18" s="10">
        <f>ROUND(IF($H$17=$G$17,E18*G18,E18*F18),2)</f>
        <v>69.17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34.590000000000003</v>
      </c>
      <c r="L18" s="9">
        <f>ROUND((J18*K18),2)</f>
        <v>34.590000000000003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34.590000000000003</v>
      </c>
      <c r="T18" s="14">
        <f>ROUND(L18-R18,2)</f>
        <v>34.590000000000003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540</v>
      </c>
      <c r="C19" s="4" t="s">
        <v>221</v>
      </c>
      <c r="D19" s="129">
        <v>1000</v>
      </c>
      <c r="E19" s="54">
        <v>1</v>
      </c>
      <c r="F19" s="15">
        <v>200.94</v>
      </c>
      <c r="G19" s="38">
        <f t="shared" ref="G19:G48" si="1">ROUND(IF($F$17="USD $", F19*$E$15,F19*$D$15),2)</f>
        <v>138.58000000000001</v>
      </c>
      <c r="H19" s="39">
        <f t="shared" ref="H19:H48" si="2">ROUND(IF($H$17=$G$17,E19*G19,E19*F19),2)</f>
        <v>200.94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100.47</v>
      </c>
      <c r="L19" s="38">
        <f t="shared" ref="L19:L48" si="4">ROUND((J19*K19),2)</f>
        <v>100.47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100.47</v>
      </c>
      <c r="T19" s="52">
        <f t="shared" ref="T19:T48" si="6">ROUND(L19-R19,2)</f>
        <v>100.47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379</v>
      </c>
      <c r="C20" s="6" t="s">
        <v>131</v>
      </c>
      <c r="D20" s="130">
        <v>1000</v>
      </c>
      <c r="E20" s="53">
        <v>1</v>
      </c>
      <c r="F20" s="8">
        <v>188.98</v>
      </c>
      <c r="G20" s="9">
        <f t="shared" si="1"/>
        <v>130.33000000000001</v>
      </c>
      <c r="H20" s="10">
        <f t="shared" si="2"/>
        <v>188.98</v>
      </c>
      <c r="I20" s="42"/>
      <c r="J20" s="89">
        <f t="shared" si="0"/>
        <v>1</v>
      </c>
      <c r="K20" s="9">
        <f t="shared" si="3"/>
        <v>94.49</v>
      </c>
      <c r="L20" s="9">
        <f t="shared" si="4"/>
        <v>94.49</v>
      </c>
      <c r="M20" s="8" t="s">
        <v>112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94.49</v>
      </c>
      <c r="T20" s="14">
        <f t="shared" si="6"/>
        <v>94.49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541</v>
      </c>
      <c r="C21" s="4" t="s">
        <v>114</v>
      </c>
      <c r="D21" s="129">
        <v>1000</v>
      </c>
      <c r="E21" s="54">
        <v>1</v>
      </c>
      <c r="F21" s="15">
        <v>134.66999999999999</v>
      </c>
      <c r="G21" s="38">
        <f t="shared" si="1"/>
        <v>92.88</v>
      </c>
      <c r="H21" s="39">
        <f t="shared" si="2"/>
        <v>134.66999999999999</v>
      </c>
      <c r="I21" s="42"/>
      <c r="J21" s="88">
        <f t="shared" si="0"/>
        <v>1</v>
      </c>
      <c r="K21" s="38">
        <f t="shared" si="3"/>
        <v>87.54</v>
      </c>
      <c r="L21" s="38">
        <f t="shared" si="4"/>
        <v>87.54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87.54</v>
      </c>
      <c r="T21" s="52">
        <f t="shared" si="6"/>
        <v>87.54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377</v>
      </c>
      <c r="C22" s="6" t="s">
        <v>131</v>
      </c>
      <c r="D22" s="130">
        <v>1000</v>
      </c>
      <c r="E22" s="53">
        <v>1</v>
      </c>
      <c r="F22" s="8">
        <v>126.77</v>
      </c>
      <c r="G22" s="9">
        <f t="shared" si="1"/>
        <v>87.43</v>
      </c>
      <c r="H22" s="10">
        <f t="shared" si="2"/>
        <v>126.77</v>
      </c>
      <c r="I22" s="42"/>
      <c r="J22" s="89">
        <f t="shared" si="0"/>
        <v>1</v>
      </c>
      <c r="K22" s="9">
        <f t="shared" si="3"/>
        <v>63.39</v>
      </c>
      <c r="L22" s="9">
        <f t="shared" si="4"/>
        <v>63.39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63.39</v>
      </c>
      <c r="T22" s="14">
        <f t="shared" si="6"/>
        <v>63.39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477</v>
      </c>
      <c r="C23" s="4" t="s">
        <v>122</v>
      </c>
      <c r="D23" s="129">
        <v>500</v>
      </c>
      <c r="E23" s="54">
        <v>1</v>
      </c>
      <c r="F23" s="15">
        <v>161.84</v>
      </c>
      <c r="G23" s="38">
        <f t="shared" si="1"/>
        <v>111.61</v>
      </c>
      <c r="H23" s="39">
        <f t="shared" si="2"/>
        <v>161.84</v>
      </c>
      <c r="I23" s="42"/>
      <c r="J23" s="88">
        <f t="shared" si="0"/>
        <v>1</v>
      </c>
      <c r="K23" s="38">
        <f t="shared" si="3"/>
        <v>80.92</v>
      </c>
      <c r="L23" s="38">
        <f t="shared" si="4"/>
        <v>80.92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80.92</v>
      </c>
      <c r="T23" s="52">
        <f t="shared" si="6"/>
        <v>80.92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375</v>
      </c>
      <c r="C24" s="6" t="s">
        <v>125</v>
      </c>
      <c r="D24" s="130">
        <v>500</v>
      </c>
      <c r="E24" s="53">
        <v>1</v>
      </c>
      <c r="F24" s="8">
        <v>198.95</v>
      </c>
      <c r="G24" s="9">
        <f t="shared" si="1"/>
        <v>137.21</v>
      </c>
      <c r="H24" s="10">
        <f t="shared" si="2"/>
        <v>198.95</v>
      </c>
      <c r="I24" s="42"/>
      <c r="J24" s="89">
        <f t="shared" si="0"/>
        <v>1</v>
      </c>
      <c r="K24" s="9">
        <f t="shared" si="3"/>
        <v>99.48</v>
      </c>
      <c r="L24" s="9">
        <f t="shared" si="4"/>
        <v>99.48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99.48</v>
      </c>
      <c r="T24" s="14">
        <f t="shared" si="6"/>
        <v>99.48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523</v>
      </c>
      <c r="C25" s="4" t="s">
        <v>111</v>
      </c>
      <c r="D25" s="129">
        <v>500</v>
      </c>
      <c r="E25" s="54">
        <v>1</v>
      </c>
      <c r="F25" s="15">
        <v>95.67</v>
      </c>
      <c r="G25" s="38">
        <f t="shared" si="1"/>
        <v>65.98</v>
      </c>
      <c r="H25" s="39">
        <f t="shared" si="2"/>
        <v>95.67</v>
      </c>
      <c r="I25" s="42"/>
      <c r="J25" s="88">
        <f t="shared" si="0"/>
        <v>1</v>
      </c>
      <c r="K25" s="38">
        <f t="shared" si="3"/>
        <v>62.19</v>
      </c>
      <c r="L25" s="38">
        <f t="shared" si="4"/>
        <v>62.19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62.19</v>
      </c>
      <c r="T25" s="52">
        <f t="shared" si="6"/>
        <v>62.19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524</v>
      </c>
      <c r="C26" s="6" t="s">
        <v>117</v>
      </c>
      <c r="D26" s="130">
        <v>1000</v>
      </c>
      <c r="E26" s="53">
        <v>1</v>
      </c>
      <c r="F26" s="8">
        <v>81.97</v>
      </c>
      <c r="G26" s="9">
        <f t="shared" si="1"/>
        <v>56.53</v>
      </c>
      <c r="H26" s="10">
        <f t="shared" si="2"/>
        <v>81.97</v>
      </c>
      <c r="I26" s="42"/>
      <c r="J26" s="89">
        <f t="shared" si="0"/>
        <v>1</v>
      </c>
      <c r="K26" s="9">
        <f t="shared" si="3"/>
        <v>53.28</v>
      </c>
      <c r="L26" s="9">
        <f t="shared" si="4"/>
        <v>53.28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53.28</v>
      </c>
      <c r="T26" s="14">
        <f t="shared" si="6"/>
        <v>53.28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481</v>
      </c>
      <c r="C27" s="4" t="s">
        <v>147</v>
      </c>
      <c r="D27" s="129" t="s">
        <v>138</v>
      </c>
      <c r="E27" s="54">
        <v>1</v>
      </c>
      <c r="F27" s="15">
        <v>11348.37</v>
      </c>
      <c r="G27" s="38">
        <f t="shared" si="1"/>
        <v>7826.46</v>
      </c>
      <c r="H27" s="39">
        <f t="shared" si="2"/>
        <v>11348.37</v>
      </c>
      <c r="I27" s="42"/>
      <c r="J27" s="88">
        <f t="shared" si="0"/>
        <v>1</v>
      </c>
      <c r="K27" s="38">
        <f t="shared" si="3"/>
        <v>5674.19</v>
      </c>
      <c r="L27" s="38">
        <f t="shared" si="4"/>
        <v>5674.19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5674.19</v>
      </c>
      <c r="T27" s="52">
        <f t="shared" si="6"/>
        <v>5674.19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482</v>
      </c>
      <c r="C28" s="6" t="s">
        <v>144</v>
      </c>
      <c r="D28" s="130" t="s">
        <v>138</v>
      </c>
      <c r="E28" s="53">
        <v>1</v>
      </c>
      <c r="F28" s="8">
        <v>3603.77</v>
      </c>
      <c r="G28" s="9">
        <f t="shared" si="1"/>
        <v>2485.36</v>
      </c>
      <c r="H28" s="10">
        <f t="shared" si="2"/>
        <v>3603.77</v>
      </c>
      <c r="I28" s="42"/>
      <c r="J28" s="89">
        <f t="shared" si="0"/>
        <v>1</v>
      </c>
      <c r="K28" s="9">
        <f t="shared" si="3"/>
        <v>1801.89</v>
      </c>
      <c r="L28" s="9">
        <f t="shared" si="4"/>
        <v>1801.89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1801.89</v>
      </c>
      <c r="T28" s="14">
        <f t="shared" si="6"/>
        <v>1801.89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542</v>
      </c>
      <c r="C29" s="4" t="s">
        <v>137</v>
      </c>
      <c r="D29" s="129" t="s">
        <v>138</v>
      </c>
      <c r="E29" s="54">
        <v>1</v>
      </c>
      <c r="F29" s="15">
        <v>18281.09</v>
      </c>
      <c r="G29" s="38">
        <f>ROUND(IF($F$17="USD $", F29*$E$15,F29*$D$15),2)</f>
        <v>12607.65</v>
      </c>
      <c r="H29" s="39">
        <f>ROUND(IF($H$17=$G$17,E29*G29,E29*F29),2)</f>
        <v>18281.09</v>
      </c>
      <c r="I29" s="42"/>
      <c r="J29" s="88">
        <f t="shared" si="0"/>
        <v>1</v>
      </c>
      <c r="K29" s="38">
        <f t="shared" si="3"/>
        <v>9140.5499999999993</v>
      </c>
      <c r="L29" s="38">
        <f>ROUND((J29*K29),2)</f>
        <v>9140.5499999999993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9140.5499999999993</v>
      </c>
      <c r="T29" s="52">
        <f t="shared" si="6"/>
        <v>9140.5499999999993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484</v>
      </c>
      <c r="C30" s="6" t="s">
        <v>149</v>
      </c>
      <c r="D30" s="130" t="s">
        <v>138</v>
      </c>
      <c r="E30" s="53">
        <v>6</v>
      </c>
      <c r="F30" s="8">
        <v>901.07</v>
      </c>
      <c r="G30" s="9">
        <f t="shared" si="1"/>
        <v>621.42999999999995</v>
      </c>
      <c r="H30" s="10">
        <f t="shared" si="2"/>
        <v>5406.42</v>
      </c>
      <c r="I30" s="42"/>
      <c r="J30" s="89">
        <f t="shared" si="0"/>
        <v>6</v>
      </c>
      <c r="K30" s="9">
        <f t="shared" si="3"/>
        <v>630.75</v>
      </c>
      <c r="L30" s="9">
        <f t="shared" si="4"/>
        <v>3784.5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630.75</v>
      </c>
      <c r="T30" s="14">
        <f t="shared" si="6"/>
        <v>3784.5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465</v>
      </c>
      <c r="C31" s="4" t="s">
        <v>389</v>
      </c>
      <c r="D31" s="129" t="s">
        <v>138</v>
      </c>
      <c r="E31" s="54">
        <v>2</v>
      </c>
      <c r="F31" s="15">
        <v>483.17</v>
      </c>
      <c r="G31" s="38">
        <f t="shared" si="1"/>
        <v>333.22</v>
      </c>
      <c r="H31" s="39">
        <f t="shared" si="2"/>
        <v>966.34</v>
      </c>
      <c r="I31" s="42"/>
      <c r="J31" s="88">
        <f t="shared" si="0"/>
        <v>2</v>
      </c>
      <c r="K31" s="38">
        <f t="shared" si="3"/>
        <v>241.59</v>
      </c>
      <c r="L31" s="38">
        <f t="shared" si="4"/>
        <v>483.18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241.59</v>
      </c>
      <c r="T31" s="52">
        <f t="shared" si="6"/>
        <v>483.18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543</v>
      </c>
      <c r="C32" s="6" t="s">
        <v>158</v>
      </c>
      <c r="D32" s="130" t="s">
        <v>138</v>
      </c>
      <c r="E32" s="53">
        <v>2</v>
      </c>
      <c r="F32" s="8">
        <v>1014.34</v>
      </c>
      <c r="G32" s="9">
        <f t="shared" si="1"/>
        <v>699.54</v>
      </c>
      <c r="H32" s="10">
        <f t="shared" si="2"/>
        <v>2028.68</v>
      </c>
      <c r="I32" s="42"/>
      <c r="J32" s="89">
        <f t="shared" si="0"/>
        <v>2</v>
      </c>
      <c r="K32" s="9">
        <f t="shared" si="3"/>
        <v>557.89</v>
      </c>
      <c r="L32" s="9">
        <f t="shared" si="4"/>
        <v>1115.78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557.89</v>
      </c>
      <c r="T32" s="14">
        <f t="shared" si="6"/>
        <v>1115.78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544</v>
      </c>
      <c r="C33" s="4" t="s">
        <v>545</v>
      </c>
      <c r="D33" s="129" t="s">
        <v>138</v>
      </c>
      <c r="E33" s="54">
        <v>2</v>
      </c>
      <c r="F33" s="15">
        <v>400.54</v>
      </c>
      <c r="G33" s="38">
        <f t="shared" si="1"/>
        <v>276.23</v>
      </c>
      <c r="H33" s="39">
        <f t="shared" si="2"/>
        <v>801.08</v>
      </c>
      <c r="I33" s="42"/>
      <c r="J33" s="88">
        <f t="shared" si="0"/>
        <v>2</v>
      </c>
      <c r="K33" s="38">
        <f t="shared" si="3"/>
        <v>220.3</v>
      </c>
      <c r="L33" s="38">
        <f t="shared" si="4"/>
        <v>440.6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220.3</v>
      </c>
      <c r="T33" s="52">
        <f t="shared" si="6"/>
        <v>440.6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469</v>
      </c>
      <c r="C34" s="6" t="s">
        <v>546</v>
      </c>
      <c r="D34" s="130" t="s">
        <v>138</v>
      </c>
      <c r="E34" s="53">
        <v>18</v>
      </c>
      <c r="F34" s="8">
        <v>6.1</v>
      </c>
      <c r="G34" s="9">
        <f t="shared" si="1"/>
        <v>4.21</v>
      </c>
      <c r="H34" s="10">
        <f t="shared" si="2"/>
        <v>109.8</v>
      </c>
      <c r="I34" s="42"/>
      <c r="J34" s="89">
        <f t="shared" si="0"/>
        <v>18</v>
      </c>
      <c r="K34" s="9">
        <f t="shared" si="3"/>
        <v>3.36</v>
      </c>
      <c r="L34" s="9">
        <f t="shared" si="4"/>
        <v>60.48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3.36</v>
      </c>
      <c r="T34" s="14">
        <f t="shared" si="6"/>
        <v>60.48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470</v>
      </c>
      <c r="C35" s="4" t="s">
        <v>180</v>
      </c>
      <c r="D35" s="129" t="s">
        <v>138</v>
      </c>
      <c r="E35" s="54">
        <v>18</v>
      </c>
      <c r="F35" s="15">
        <v>0.9</v>
      </c>
      <c r="G35" s="38">
        <f t="shared" si="1"/>
        <v>0.62</v>
      </c>
      <c r="H35" s="39">
        <f t="shared" si="2"/>
        <v>16.2</v>
      </c>
      <c r="I35" s="42"/>
      <c r="J35" s="88">
        <f t="shared" si="0"/>
        <v>18</v>
      </c>
      <c r="K35" s="38">
        <f t="shared" si="3"/>
        <v>0.5</v>
      </c>
      <c r="L35" s="38">
        <f t="shared" si="4"/>
        <v>9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0.5</v>
      </c>
      <c r="T35" s="52">
        <f t="shared" si="6"/>
        <v>9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471</v>
      </c>
      <c r="C36" s="6" t="s">
        <v>210</v>
      </c>
      <c r="D36" s="130" t="s">
        <v>138</v>
      </c>
      <c r="E36" s="53">
        <v>18</v>
      </c>
      <c r="F36" s="8">
        <v>5.84</v>
      </c>
      <c r="G36" s="9">
        <f t="shared" si="1"/>
        <v>4.03</v>
      </c>
      <c r="H36" s="10">
        <f t="shared" si="2"/>
        <v>105.12</v>
      </c>
      <c r="I36" s="42"/>
      <c r="J36" s="89">
        <f t="shared" si="0"/>
        <v>18</v>
      </c>
      <c r="K36" s="9">
        <f t="shared" si="3"/>
        <v>3.21</v>
      </c>
      <c r="L36" s="9">
        <f t="shared" si="4"/>
        <v>57.78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3.21</v>
      </c>
      <c r="T36" s="14">
        <f t="shared" si="6"/>
        <v>57.78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547</v>
      </c>
      <c r="C37" s="4" t="s">
        <v>548</v>
      </c>
      <c r="D37" s="129" t="s">
        <v>138</v>
      </c>
      <c r="E37" s="54">
        <v>4</v>
      </c>
      <c r="F37" s="15">
        <v>3250</v>
      </c>
      <c r="G37" s="38">
        <f t="shared" si="1"/>
        <v>2241.38</v>
      </c>
      <c r="H37" s="39">
        <f t="shared" si="2"/>
        <v>13000</v>
      </c>
      <c r="I37" s="42"/>
      <c r="J37" s="88">
        <f t="shared" si="0"/>
        <v>4</v>
      </c>
      <c r="K37" s="38">
        <f t="shared" si="3"/>
        <v>1625</v>
      </c>
      <c r="L37" s="38">
        <f t="shared" si="4"/>
        <v>6500</v>
      </c>
      <c r="M37" s="132" t="s">
        <v>112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1625</v>
      </c>
      <c r="T37" s="52">
        <f t="shared" si="6"/>
        <v>6500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82</v>
      </c>
      <c r="F49" s="78">
        <f>SUM(F18:F48)</f>
        <v>40554.149999999994</v>
      </c>
      <c r="G49" s="79">
        <f>SUM(G18:G48)</f>
        <v>27968.38</v>
      </c>
      <c r="H49" s="80">
        <f>SUM(H18:H48)</f>
        <v>56925.83</v>
      </c>
      <c r="I49" s="81"/>
      <c r="J49" s="82">
        <f>SUM(J18:J48)</f>
        <v>82</v>
      </c>
      <c r="K49" s="79">
        <f>SUM(K18:K48)</f>
        <v>20575.579999999998</v>
      </c>
      <c r="L49" s="80">
        <f>SUM(L18:L48)</f>
        <v>29744.299999999996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20575.579999999998</v>
      </c>
      <c r="T49" s="80">
        <f>SUM(T18:T48)</f>
        <v>29744.299999999996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F17 K17 Q17 Q14" xr:uid="{41FA1AB6-6A9A-420F-905D-0DA057EA2494}">
      <formula1>$Y$11:$Y$12</formula1>
    </dataValidation>
    <dataValidation type="list" allowBlank="1" showInputMessage="1" showErrorMessage="1" sqref="H13" xr:uid="{B29EBF98-9867-4C13-B548-7E8A457A9B05}">
      <formula1>$Y$13:$Y$14</formula1>
    </dataValidation>
    <dataValidation type="list" allowBlank="1" showInputMessage="1" showErrorMessage="1" sqref="I13" xr:uid="{76B670A5-DEFE-477F-B024-809056EEE0D9}">
      <formula1>$K$9:$K$9</formula1>
    </dataValidation>
    <dataValidation type="list" showInputMessage="1" showErrorMessage="1" sqref="D18:D48" xr:uid="{C244AF9F-28F0-4345-AFA8-92EB329B6221}">
      <formula1>$Z$18:$Z$29</formula1>
    </dataValidation>
    <dataValidation type="list" allowBlank="1" showInputMessage="1" showErrorMessage="1" sqref="M18:M48" xr:uid="{2D94FD7D-DFB5-4D76-9497-4CAA4E1D1A8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D18F-3ED9-417A-84C6-5EF2B5081F6E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549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70033.989999999991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38549.089999999997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31484.899999999994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550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0.44956598931461705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551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38549.089999999997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641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37099.089999999997</v>
      </c>
      <c r="U9" s="235">
        <f>IFERROR(((P3-S9)/S9),0)</f>
        <v>25.585579310344826</v>
      </c>
      <c r="V9" s="235">
        <f>IFERROR(T9/P3,0)</f>
        <v>0.9623856231106882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26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122</v>
      </c>
      <c r="D18" s="128">
        <v>500</v>
      </c>
      <c r="E18" s="53">
        <v>1</v>
      </c>
      <c r="F18" s="8">
        <v>38.229999999999997</v>
      </c>
      <c r="G18" s="9">
        <f>ROUND(IF($F$17="USD $", F18*$E$15,F18*$D$15),2)</f>
        <v>26.37</v>
      </c>
      <c r="H18" s="10">
        <f>ROUND(IF($H$17=$G$17,E18*G18,E18*F18),2)</f>
        <v>38.229999999999997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19.12</v>
      </c>
      <c r="L18" s="9">
        <f>ROUND((J18*K18),2)</f>
        <v>19.12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19.12</v>
      </c>
      <c r="T18" s="14">
        <f>ROUND(L18-R18,2)</f>
        <v>19.12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334</v>
      </c>
      <c r="C19" s="4" t="s">
        <v>125</v>
      </c>
      <c r="D19" s="129">
        <v>500</v>
      </c>
      <c r="E19" s="54">
        <v>1</v>
      </c>
      <c r="F19" s="15">
        <v>275.9862</v>
      </c>
      <c r="G19" s="38">
        <f t="shared" ref="G19:G48" si="1">ROUND(IF($F$17="USD $", F19*$E$15,F19*$D$15),2)</f>
        <v>190.34</v>
      </c>
      <c r="H19" s="39">
        <f t="shared" ref="H19:H48" si="2">ROUND(IF($H$17=$G$17,E19*G19,E19*F19),2)</f>
        <v>275.99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137.99</v>
      </c>
      <c r="L19" s="38">
        <f t="shared" ref="L19:L48" si="4">ROUND((J19*K19),2)</f>
        <v>137.99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137.99</v>
      </c>
      <c r="T19" s="52">
        <f t="shared" ref="T19:T48" si="6">ROUND(L19-R19,2)</f>
        <v>137.99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424</v>
      </c>
      <c r="C20" s="6" t="s">
        <v>114</v>
      </c>
      <c r="D20" s="130">
        <v>500</v>
      </c>
      <c r="E20" s="53">
        <v>1</v>
      </c>
      <c r="F20" s="8">
        <v>67.87</v>
      </c>
      <c r="G20" s="9">
        <f t="shared" si="1"/>
        <v>46.81</v>
      </c>
      <c r="H20" s="10">
        <f t="shared" si="2"/>
        <v>67.87</v>
      </c>
      <c r="I20" s="42"/>
      <c r="J20" s="89">
        <f t="shared" si="0"/>
        <v>1</v>
      </c>
      <c r="K20" s="9">
        <f t="shared" si="3"/>
        <v>44.12</v>
      </c>
      <c r="L20" s="9">
        <f t="shared" si="4"/>
        <v>44.12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44.12</v>
      </c>
      <c r="T20" s="14">
        <f t="shared" si="6"/>
        <v>44.12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479</v>
      </c>
      <c r="C21" s="4" t="s">
        <v>114</v>
      </c>
      <c r="D21" s="129">
        <v>500</v>
      </c>
      <c r="E21" s="54">
        <v>1</v>
      </c>
      <c r="F21" s="15">
        <v>68.78</v>
      </c>
      <c r="G21" s="38">
        <f t="shared" si="1"/>
        <v>47.43</v>
      </c>
      <c r="H21" s="39">
        <f t="shared" si="2"/>
        <v>68.78</v>
      </c>
      <c r="I21" s="42"/>
      <c r="J21" s="88">
        <f t="shared" si="0"/>
        <v>1</v>
      </c>
      <c r="K21" s="38">
        <f t="shared" si="3"/>
        <v>44.71</v>
      </c>
      <c r="L21" s="38">
        <f t="shared" si="4"/>
        <v>44.71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44.71</v>
      </c>
      <c r="T21" s="52">
        <f t="shared" si="6"/>
        <v>44.71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332</v>
      </c>
      <c r="C22" s="6" t="s">
        <v>125</v>
      </c>
      <c r="D22" s="130">
        <v>1000</v>
      </c>
      <c r="E22" s="53">
        <v>1</v>
      </c>
      <c r="F22" s="8">
        <v>61.975799999999992</v>
      </c>
      <c r="G22" s="9">
        <f t="shared" si="1"/>
        <v>42.74</v>
      </c>
      <c r="H22" s="10">
        <f t="shared" si="2"/>
        <v>61.98</v>
      </c>
      <c r="I22" s="42"/>
      <c r="J22" s="89">
        <f t="shared" si="0"/>
        <v>1</v>
      </c>
      <c r="K22" s="9">
        <f t="shared" si="3"/>
        <v>30.99</v>
      </c>
      <c r="L22" s="9">
        <f t="shared" si="4"/>
        <v>30.99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30.99</v>
      </c>
      <c r="T22" s="14">
        <f t="shared" si="6"/>
        <v>30.99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379</v>
      </c>
      <c r="C23" s="4" t="s">
        <v>131</v>
      </c>
      <c r="D23" s="129">
        <v>1000</v>
      </c>
      <c r="E23" s="54">
        <v>1</v>
      </c>
      <c r="F23" s="15">
        <v>188.98</v>
      </c>
      <c r="G23" s="38">
        <f t="shared" si="1"/>
        <v>130.33000000000001</v>
      </c>
      <c r="H23" s="39">
        <f t="shared" si="2"/>
        <v>188.98</v>
      </c>
      <c r="I23" s="42"/>
      <c r="J23" s="88">
        <f t="shared" si="0"/>
        <v>1</v>
      </c>
      <c r="K23" s="38">
        <f t="shared" si="3"/>
        <v>94.49</v>
      </c>
      <c r="L23" s="38">
        <f t="shared" si="4"/>
        <v>94.49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94.49</v>
      </c>
      <c r="T23" s="52">
        <f t="shared" si="6"/>
        <v>94.49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461</v>
      </c>
      <c r="C24" s="6" t="s">
        <v>111</v>
      </c>
      <c r="D24" s="130">
        <v>500</v>
      </c>
      <c r="E24" s="53">
        <v>1</v>
      </c>
      <c r="F24" s="8">
        <v>64.540000000000006</v>
      </c>
      <c r="G24" s="9">
        <f t="shared" si="1"/>
        <v>44.51</v>
      </c>
      <c r="H24" s="10">
        <f t="shared" si="2"/>
        <v>64.540000000000006</v>
      </c>
      <c r="I24" s="42"/>
      <c r="J24" s="89">
        <f t="shared" si="0"/>
        <v>1</v>
      </c>
      <c r="K24" s="9">
        <f t="shared" si="3"/>
        <v>41.95</v>
      </c>
      <c r="L24" s="9">
        <f t="shared" si="4"/>
        <v>41.95</v>
      </c>
      <c r="M24" s="8" t="s">
        <v>112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41.95</v>
      </c>
      <c r="T24" s="14">
        <f t="shared" si="6"/>
        <v>41.95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462</v>
      </c>
      <c r="C25" s="4" t="s">
        <v>117</v>
      </c>
      <c r="D25" s="129">
        <v>1000</v>
      </c>
      <c r="E25" s="54">
        <v>1</v>
      </c>
      <c r="F25" s="15">
        <v>59.85</v>
      </c>
      <c r="G25" s="38">
        <f t="shared" si="1"/>
        <v>41.28</v>
      </c>
      <c r="H25" s="39">
        <f t="shared" si="2"/>
        <v>59.85</v>
      </c>
      <c r="I25" s="42"/>
      <c r="J25" s="88">
        <f t="shared" si="0"/>
        <v>1</v>
      </c>
      <c r="K25" s="38">
        <f t="shared" si="3"/>
        <v>38.9</v>
      </c>
      <c r="L25" s="38">
        <f t="shared" si="4"/>
        <v>38.9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38.9</v>
      </c>
      <c r="T25" s="52">
        <f t="shared" si="6"/>
        <v>38.9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452</v>
      </c>
      <c r="C26" s="6" t="s">
        <v>137</v>
      </c>
      <c r="D26" s="130" t="s">
        <v>138</v>
      </c>
      <c r="E26" s="53">
        <v>1</v>
      </c>
      <c r="F26" s="8">
        <v>9876.7800000000007</v>
      </c>
      <c r="G26" s="9">
        <f t="shared" si="1"/>
        <v>6811.57</v>
      </c>
      <c r="H26" s="10">
        <f t="shared" si="2"/>
        <v>9876.7800000000007</v>
      </c>
      <c r="I26" s="42"/>
      <c r="J26" s="89">
        <f t="shared" si="0"/>
        <v>1</v>
      </c>
      <c r="K26" s="9">
        <f t="shared" si="3"/>
        <v>4938.3900000000003</v>
      </c>
      <c r="L26" s="9">
        <f t="shared" si="4"/>
        <v>4938.3900000000003</v>
      </c>
      <c r="M26" s="8" t="s">
        <v>112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4938.3900000000003</v>
      </c>
      <c r="T26" s="14">
        <f t="shared" si="6"/>
        <v>4938.3900000000003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453</v>
      </c>
      <c r="C27" s="4" t="s">
        <v>147</v>
      </c>
      <c r="D27" s="129" t="s">
        <v>138</v>
      </c>
      <c r="E27" s="54">
        <v>1</v>
      </c>
      <c r="F27" s="15">
        <v>2859.5</v>
      </c>
      <c r="G27" s="38">
        <f t="shared" si="1"/>
        <v>1972.07</v>
      </c>
      <c r="H27" s="39">
        <f t="shared" si="2"/>
        <v>2859.5</v>
      </c>
      <c r="I27" s="42"/>
      <c r="J27" s="88">
        <f t="shared" si="0"/>
        <v>1</v>
      </c>
      <c r="K27" s="38">
        <f t="shared" si="3"/>
        <v>1429.75</v>
      </c>
      <c r="L27" s="38">
        <f t="shared" si="4"/>
        <v>1429.75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1429.75</v>
      </c>
      <c r="T27" s="52">
        <f t="shared" si="6"/>
        <v>1429.75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454</v>
      </c>
      <c r="C28" s="6" t="s">
        <v>144</v>
      </c>
      <c r="D28" s="130" t="s">
        <v>138</v>
      </c>
      <c r="E28" s="53">
        <v>1</v>
      </c>
      <c r="F28" s="8">
        <v>1236.57</v>
      </c>
      <c r="G28" s="9">
        <f t="shared" si="1"/>
        <v>852.81</v>
      </c>
      <c r="H28" s="10">
        <f t="shared" si="2"/>
        <v>1236.57</v>
      </c>
      <c r="I28" s="42"/>
      <c r="J28" s="89">
        <f t="shared" si="0"/>
        <v>1</v>
      </c>
      <c r="K28" s="9">
        <f t="shared" si="3"/>
        <v>618.29</v>
      </c>
      <c r="L28" s="9">
        <f t="shared" si="4"/>
        <v>618.29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618.29</v>
      </c>
      <c r="T28" s="14">
        <f t="shared" si="6"/>
        <v>618.29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455</v>
      </c>
      <c r="C29" s="4" t="s">
        <v>149</v>
      </c>
      <c r="D29" s="129" t="s">
        <v>138</v>
      </c>
      <c r="E29" s="54">
        <v>6</v>
      </c>
      <c r="F29" s="15">
        <v>866.09</v>
      </c>
      <c r="G29" s="38">
        <f>ROUND(IF($F$17="USD $", F29*$E$15,F29*$D$15),2)</f>
        <v>597.29999999999995</v>
      </c>
      <c r="H29" s="39">
        <f>ROUND(IF($H$17=$G$17,E29*G29,E29*F29),2)</f>
        <v>5196.54</v>
      </c>
      <c r="I29" s="42"/>
      <c r="J29" s="88">
        <f t="shared" si="0"/>
        <v>6</v>
      </c>
      <c r="K29" s="38">
        <f t="shared" si="3"/>
        <v>606.26</v>
      </c>
      <c r="L29" s="38">
        <f>ROUND((J29*K29),2)</f>
        <v>3637.56</v>
      </c>
      <c r="M29" s="132" t="s">
        <v>112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606.26</v>
      </c>
      <c r="T29" s="52">
        <f t="shared" si="6"/>
        <v>3637.56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527</v>
      </c>
      <c r="C30" s="6" t="s">
        <v>436</v>
      </c>
      <c r="D30" s="130" t="s">
        <v>138</v>
      </c>
      <c r="E30" s="53">
        <v>3</v>
      </c>
      <c r="F30" s="8">
        <v>338.5</v>
      </c>
      <c r="G30" s="9">
        <f t="shared" si="1"/>
        <v>233.45</v>
      </c>
      <c r="H30" s="10">
        <f t="shared" si="2"/>
        <v>1015.5</v>
      </c>
      <c r="I30" s="42"/>
      <c r="J30" s="89">
        <f t="shared" si="0"/>
        <v>3</v>
      </c>
      <c r="K30" s="9">
        <f t="shared" si="3"/>
        <v>186.18</v>
      </c>
      <c r="L30" s="9">
        <f t="shared" si="4"/>
        <v>558.54</v>
      </c>
      <c r="M30" s="8" t="s">
        <v>112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186.18</v>
      </c>
      <c r="T30" s="14">
        <f t="shared" si="6"/>
        <v>558.54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528</v>
      </c>
      <c r="C31" s="4" t="s">
        <v>529</v>
      </c>
      <c r="D31" s="129" t="s">
        <v>138</v>
      </c>
      <c r="E31" s="54">
        <v>3</v>
      </c>
      <c r="F31" s="15">
        <v>124.34</v>
      </c>
      <c r="G31" s="38">
        <f t="shared" si="1"/>
        <v>85.75</v>
      </c>
      <c r="H31" s="39">
        <f t="shared" si="2"/>
        <v>373.02</v>
      </c>
      <c r="I31" s="42"/>
      <c r="J31" s="88">
        <f t="shared" si="0"/>
        <v>3</v>
      </c>
      <c r="K31" s="38">
        <f t="shared" si="3"/>
        <v>68.39</v>
      </c>
      <c r="L31" s="38">
        <f t="shared" si="4"/>
        <v>205.17</v>
      </c>
      <c r="M31" s="132" t="s">
        <v>112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68.39</v>
      </c>
      <c r="T31" s="52">
        <f t="shared" si="6"/>
        <v>205.17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465</v>
      </c>
      <c r="C32" s="6" t="s">
        <v>278</v>
      </c>
      <c r="D32" s="130" t="s">
        <v>138</v>
      </c>
      <c r="E32" s="53">
        <v>2</v>
      </c>
      <c r="F32" s="8">
        <v>483.17</v>
      </c>
      <c r="G32" s="9">
        <f t="shared" si="1"/>
        <v>333.22</v>
      </c>
      <c r="H32" s="10">
        <f t="shared" si="2"/>
        <v>966.34</v>
      </c>
      <c r="I32" s="42"/>
      <c r="J32" s="89">
        <f t="shared" si="0"/>
        <v>2</v>
      </c>
      <c r="K32" s="9">
        <f t="shared" si="3"/>
        <v>241.59</v>
      </c>
      <c r="L32" s="9">
        <f t="shared" si="4"/>
        <v>483.18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241.59</v>
      </c>
      <c r="T32" s="14">
        <f t="shared" si="6"/>
        <v>483.18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>
        <v>0</v>
      </c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552</v>
      </c>
      <c r="C34" s="6" t="s">
        <v>553</v>
      </c>
      <c r="D34" s="130" t="s">
        <v>138</v>
      </c>
      <c r="E34" s="53">
        <v>1</v>
      </c>
      <c r="F34" s="8">
        <v>47683.519999999997</v>
      </c>
      <c r="G34" s="9">
        <f t="shared" si="1"/>
        <v>32885.19</v>
      </c>
      <c r="H34" s="10">
        <f t="shared" si="2"/>
        <v>47683.519999999997</v>
      </c>
      <c r="I34" s="42"/>
      <c r="J34" s="89">
        <f t="shared" si="0"/>
        <v>1</v>
      </c>
      <c r="K34" s="9">
        <f t="shared" si="3"/>
        <v>26225.94</v>
      </c>
      <c r="L34" s="9">
        <f t="shared" si="4"/>
        <v>26225.94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26225.94</v>
      </c>
      <c r="T34" s="14">
        <f t="shared" si="6"/>
        <v>26225.94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26</v>
      </c>
      <c r="F49" s="78">
        <f>SUM(F18:F48)</f>
        <v>64294.682000000001</v>
      </c>
      <c r="G49" s="79">
        <f>SUM(G18:G48)</f>
        <v>44341.17</v>
      </c>
      <c r="H49" s="80">
        <f>SUM(H18:H48)</f>
        <v>70033.989999999991</v>
      </c>
      <c r="I49" s="81"/>
      <c r="J49" s="82">
        <f>SUM(J18:J48)</f>
        <v>26</v>
      </c>
      <c r="K49" s="79">
        <f>SUM(K18:K48)</f>
        <v>34767.06</v>
      </c>
      <c r="L49" s="80">
        <f>SUM(L18:L48)</f>
        <v>38549.089999999997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34767.06</v>
      </c>
      <c r="T49" s="80">
        <f>SUM(T18:T48)</f>
        <v>38549.089999999997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M18:M48" xr:uid="{3B0ED8D5-33A7-4E2A-93DC-3F777E3C802E}">
      <formula1>$Y$31:$Y$32</formula1>
    </dataValidation>
    <dataValidation type="list" showInputMessage="1" showErrorMessage="1" sqref="D18:D48" xr:uid="{B73D0091-B744-40E5-8A52-A48335228BCA}">
      <formula1>$Z$18:$Z$29</formula1>
    </dataValidation>
    <dataValidation type="list" allowBlank="1" showInputMessage="1" showErrorMessage="1" sqref="I13" xr:uid="{B96F81FC-9354-4A03-B9AF-581DBB582DF0}">
      <formula1>$K$9:$K$9</formula1>
    </dataValidation>
    <dataValidation type="list" allowBlank="1" showInputMessage="1" showErrorMessage="1" sqref="H13" xr:uid="{B80C0D40-BA90-48CE-802E-F00EC5981518}">
      <formula1>$Y$13:$Y$14</formula1>
    </dataValidation>
    <dataValidation type="list" allowBlank="1" showInputMessage="1" showErrorMessage="1" sqref="F17 K17 Q17 Q14" xr:uid="{380F3C49-98F6-4F7B-A5AD-70104ED11FD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3224-EF67-4ADD-9C1A-88D791EDB3AC}">
  <sheetPr>
    <pageSetUpPr fitToPage="1"/>
  </sheetPr>
  <dimension ref="A1:AB51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 t="s">
        <v>554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H49</f>
        <v>90233.71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39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L49</f>
        <v>49683.33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327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40550.380000000005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50</v>
      </c>
      <c r="C5" s="4"/>
      <c r="D5" s="244" t="s">
        <v>51</v>
      </c>
      <c r="E5" s="245"/>
      <c r="F5" s="246" t="s">
        <v>555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0.44939280452948238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556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T49</f>
        <v>49683.33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R49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1450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644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1450</v>
      </c>
      <c r="T9" s="233">
        <f>P3-S9</f>
        <v>48233.33</v>
      </c>
      <c r="U9" s="235">
        <f>IFERROR(((P3-S9)/S9),0)</f>
        <v>33.26436551724138</v>
      </c>
      <c r="V9" s="235">
        <f>IFERROR(T9/P3,0)</f>
        <v>0.97081516073902452</v>
      </c>
      <c r="W9" s="237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E49</f>
        <v>76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82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>
        <v>1000</v>
      </c>
      <c r="S14" s="101" t="s">
        <v>90</v>
      </c>
      <c r="T14" s="46">
        <v>2.5000000000000001E-2</v>
      </c>
      <c r="U14" s="101" t="s">
        <v>91</v>
      </c>
      <c r="V14" s="100">
        <f>ROUND(R49*T14,2)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122</v>
      </c>
      <c r="D18" s="128">
        <v>500</v>
      </c>
      <c r="E18" s="53">
        <v>1</v>
      </c>
      <c r="F18" s="8">
        <v>38.229999999999997</v>
      </c>
      <c r="G18" s="9">
        <f>ROUND(IF($F$17="USD $", F18*$E$15,F18*$D$15),2)</f>
        <v>26.37</v>
      </c>
      <c r="H18" s="10">
        <f>ROUND(IF($H$17=$G$17,E18*G18,E18*F18),2)</f>
        <v>38.229999999999997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19.12</v>
      </c>
      <c r="L18" s="9">
        <f>ROUND((J18*K18),2)</f>
        <v>19.12</v>
      </c>
      <c r="M18" s="8" t="s">
        <v>112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19.12</v>
      </c>
      <c r="T18" s="14">
        <f>ROUND(L18-R18,2)</f>
        <v>19.12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334</v>
      </c>
      <c r="C19" s="4" t="s">
        <v>125</v>
      </c>
      <c r="D19" s="129">
        <v>500</v>
      </c>
      <c r="E19" s="54">
        <v>1</v>
      </c>
      <c r="F19" s="15">
        <v>275.9862</v>
      </c>
      <c r="G19" s="38">
        <f t="shared" ref="G19:G48" si="1">ROUND(IF($F$17="USD $", F19*$E$15,F19*$D$15),2)</f>
        <v>190.34</v>
      </c>
      <c r="H19" s="39">
        <f t="shared" ref="H19:H48" si="2">ROUND(IF($H$17=$G$17,E19*G19,E19*F19),2)</f>
        <v>275.99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137.99</v>
      </c>
      <c r="L19" s="38">
        <f t="shared" ref="L19:L48" si="4">ROUND((J19*K19),2)</f>
        <v>137.99</v>
      </c>
      <c r="M19" s="132" t="s">
        <v>112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137.99</v>
      </c>
      <c r="T19" s="52">
        <f t="shared" ref="T19:T48" si="6">ROUND(L19-R19,2)</f>
        <v>137.99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 t="s">
        <v>337</v>
      </c>
      <c r="C20" s="6" t="s">
        <v>114</v>
      </c>
      <c r="D20" s="130">
        <v>500</v>
      </c>
      <c r="E20" s="53">
        <v>1</v>
      </c>
      <c r="F20" s="8">
        <v>188.74260000000001</v>
      </c>
      <c r="G20" s="9">
        <f t="shared" si="1"/>
        <v>130.16999999999999</v>
      </c>
      <c r="H20" s="10">
        <f t="shared" si="2"/>
        <v>188.74</v>
      </c>
      <c r="I20" s="42"/>
      <c r="J20" s="89">
        <f t="shared" si="0"/>
        <v>1</v>
      </c>
      <c r="K20" s="9">
        <f t="shared" si="3"/>
        <v>122.68</v>
      </c>
      <c r="L20" s="9">
        <f t="shared" si="4"/>
        <v>122.68</v>
      </c>
      <c r="M20" s="8" t="s">
        <v>112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122.68</v>
      </c>
      <c r="T20" s="14">
        <f t="shared" si="6"/>
        <v>122.68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 t="s">
        <v>338</v>
      </c>
      <c r="C21" s="4" t="s">
        <v>114</v>
      </c>
      <c r="D21" s="129">
        <v>500</v>
      </c>
      <c r="E21" s="54">
        <v>1</v>
      </c>
      <c r="F21" s="15">
        <v>164.08199999999999</v>
      </c>
      <c r="G21" s="38">
        <f t="shared" si="1"/>
        <v>113.16</v>
      </c>
      <c r="H21" s="39">
        <f t="shared" si="2"/>
        <v>164.08</v>
      </c>
      <c r="I21" s="42"/>
      <c r="J21" s="88">
        <f t="shared" si="0"/>
        <v>1</v>
      </c>
      <c r="K21" s="38">
        <f t="shared" si="3"/>
        <v>106.65</v>
      </c>
      <c r="L21" s="38">
        <f t="shared" si="4"/>
        <v>106.65</v>
      </c>
      <c r="M21" s="132" t="s">
        <v>112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106.65</v>
      </c>
      <c r="T21" s="52">
        <f t="shared" si="6"/>
        <v>106.65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 t="s">
        <v>332</v>
      </c>
      <c r="C22" s="6" t="s">
        <v>125</v>
      </c>
      <c r="D22" s="130">
        <v>1000</v>
      </c>
      <c r="E22" s="53">
        <v>1</v>
      </c>
      <c r="F22" s="8">
        <v>61.975799999999992</v>
      </c>
      <c r="G22" s="9">
        <f t="shared" si="1"/>
        <v>42.74</v>
      </c>
      <c r="H22" s="10">
        <f t="shared" si="2"/>
        <v>61.98</v>
      </c>
      <c r="I22" s="42"/>
      <c r="J22" s="89">
        <f t="shared" si="0"/>
        <v>1</v>
      </c>
      <c r="K22" s="9">
        <f t="shared" si="3"/>
        <v>30.99</v>
      </c>
      <c r="L22" s="9">
        <f t="shared" si="4"/>
        <v>30.99</v>
      </c>
      <c r="M22" s="8" t="s">
        <v>112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30.99</v>
      </c>
      <c r="T22" s="14">
        <f t="shared" si="6"/>
        <v>30.99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 t="s">
        <v>557</v>
      </c>
      <c r="C23" s="4" t="s">
        <v>131</v>
      </c>
      <c r="D23" s="129">
        <v>2000</v>
      </c>
      <c r="E23" s="54">
        <v>1</v>
      </c>
      <c r="F23" s="15">
        <v>220.88</v>
      </c>
      <c r="G23" s="38">
        <f t="shared" si="1"/>
        <v>152.33000000000001</v>
      </c>
      <c r="H23" s="39">
        <f t="shared" si="2"/>
        <v>220.88</v>
      </c>
      <c r="I23" s="42"/>
      <c r="J23" s="88">
        <f t="shared" si="0"/>
        <v>1</v>
      </c>
      <c r="K23" s="38">
        <f t="shared" si="3"/>
        <v>110.44</v>
      </c>
      <c r="L23" s="38">
        <f t="shared" si="4"/>
        <v>110.44</v>
      </c>
      <c r="M23" s="132" t="s">
        <v>112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110.44</v>
      </c>
      <c r="T23" s="52">
        <f t="shared" si="6"/>
        <v>110.44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 t="s">
        <v>558</v>
      </c>
      <c r="C24" s="6" t="s">
        <v>131</v>
      </c>
      <c r="D24" s="130">
        <v>2000</v>
      </c>
      <c r="E24" s="53">
        <v>1</v>
      </c>
      <c r="F24" s="8">
        <v>370.6</v>
      </c>
      <c r="G24" s="9">
        <f t="shared" si="1"/>
        <v>255.59</v>
      </c>
      <c r="H24" s="10">
        <f t="shared" si="2"/>
        <v>370.6</v>
      </c>
      <c r="I24" s="42"/>
      <c r="J24" s="89">
        <f t="shared" si="0"/>
        <v>1</v>
      </c>
      <c r="K24" s="9">
        <f t="shared" si="3"/>
        <v>185.3</v>
      </c>
      <c r="L24" s="9">
        <f t="shared" si="4"/>
        <v>185.3</v>
      </c>
      <c r="M24" s="8" t="s">
        <v>112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185.3</v>
      </c>
      <c r="T24" s="14">
        <f t="shared" si="6"/>
        <v>185.3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 t="s">
        <v>461</v>
      </c>
      <c r="C25" s="4" t="s">
        <v>111</v>
      </c>
      <c r="D25" s="129">
        <v>500</v>
      </c>
      <c r="E25" s="54">
        <v>1</v>
      </c>
      <c r="F25" s="15">
        <v>64.540000000000006</v>
      </c>
      <c r="G25" s="38">
        <f t="shared" si="1"/>
        <v>44.51</v>
      </c>
      <c r="H25" s="39">
        <f t="shared" si="2"/>
        <v>64.540000000000006</v>
      </c>
      <c r="I25" s="42"/>
      <c r="J25" s="88">
        <f t="shared" si="0"/>
        <v>1</v>
      </c>
      <c r="K25" s="38">
        <f t="shared" si="3"/>
        <v>41.95</v>
      </c>
      <c r="L25" s="38">
        <f t="shared" si="4"/>
        <v>41.95</v>
      </c>
      <c r="M25" s="132" t="s">
        <v>112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41.95</v>
      </c>
      <c r="T25" s="52">
        <f t="shared" si="6"/>
        <v>41.95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 t="s">
        <v>462</v>
      </c>
      <c r="C26" s="6" t="s">
        <v>117</v>
      </c>
      <c r="D26" s="130">
        <v>1000</v>
      </c>
      <c r="E26" s="53">
        <v>1</v>
      </c>
      <c r="F26" s="8">
        <v>59.85</v>
      </c>
      <c r="G26" s="9">
        <f t="shared" si="1"/>
        <v>41.28</v>
      </c>
      <c r="H26" s="10">
        <f t="shared" si="2"/>
        <v>59.85</v>
      </c>
      <c r="I26" s="42"/>
      <c r="J26" s="89">
        <f t="shared" si="0"/>
        <v>1</v>
      </c>
      <c r="K26" s="9">
        <f t="shared" si="3"/>
        <v>38.9</v>
      </c>
      <c r="L26" s="9">
        <f t="shared" si="4"/>
        <v>38.9</v>
      </c>
      <c r="M26" s="8" t="s">
        <v>112</v>
      </c>
      <c r="N26" s="12">
        <v>0.35</v>
      </c>
      <c r="O26" s="51"/>
      <c r="P26" s="3"/>
      <c r="Q26" s="13"/>
      <c r="R26" s="14">
        <f>ROUND(IF($R$17=$Q$17,Q26,IF($R$17="USD $",Q26*$D$15,Q26*$E$15))*E26,2)</f>
        <v>0</v>
      </c>
      <c r="S26" s="14">
        <f t="shared" si="5"/>
        <v>38.9</v>
      </c>
      <c r="T26" s="14">
        <f t="shared" si="6"/>
        <v>38.9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 t="s">
        <v>559</v>
      </c>
      <c r="C27" s="4" t="s">
        <v>137</v>
      </c>
      <c r="D27" s="129" t="s">
        <v>138</v>
      </c>
      <c r="E27" s="54">
        <v>1</v>
      </c>
      <c r="F27" s="15">
        <v>9117.02</v>
      </c>
      <c r="G27" s="38">
        <f t="shared" si="1"/>
        <v>6287.6</v>
      </c>
      <c r="H27" s="39">
        <f t="shared" si="2"/>
        <v>9117.02</v>
      </c>
      <c r="I27" s="42"/>
      <c r="J27" s="88">
        <f t="shared" si="0"/>
        <v>1</v>
      </c>
      <c r="K27" s="38">
        <f t="shared" si="3"/>
        <v>4558.51</v>
      </c>
      <c r="L27" s="38">
        <f t="shared" si="4"/>
        <v>4558.51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4558.51</v>
      </c>
      <c r="T27" s="52">
        <f t="shared" si="6"/>
        <v>4558.51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 t="s">
        <v>453</v>
      </c>
      <c r="C28" s="6" t="s">
        <v>147</v>
      </c>
      <c r="D28" s="130" t="s">
        <v>138</v>
      </c>
      <c r="E28" s="53">
        <v>1</v>
      </c>
      <c r="F28" s="8">
        <v>2859.5</v>
      </c>
      <c r="G28" s="9">
        <f t="shared" si="1"/>
        <v>1972.07</v>
      </c>
      <c r="H28" s="10">
        <f t="shared" si="2"/>
        <v>2859.5</v>
      </c>
      <c r="I28" s="42"/>
      <c r="J28" s="89">
        <f t="shared" si="0"/>
        <v>1</v>
      </c>
      <c r="K28" s="9">
        <f t="shared" si="3"/>
        <v>1429.75</v>
      </c>
      <c r="L28" s="9">
        <f t="shared" si="4"/>
        <v>1429.75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1429.75</v>
      </c>
      <c r="T28" s="14">
        <f t="shared" si="6"/>
        <v>1429.75</v>
      </c>
      <c r="U28" s="29">
        <f t="shared" si="7"/>
        <v>0</v>
      </c>
      <c r="V28" s="29">
        <f t="shared" si="8"/>
        <v>1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 t="s">
        <v>454</v>
      </c>
      <c r="C29" s="4" t="s">
        <v>144</v>
      </c>
      <c r="D29" s="129" t="s">
        <v>138</v>
      </c>
      <c r="E29" s="54">
        <v>1</v>
      </c>
      <c r="F29" s="15">
        <v>1236.57</v>
      </c>
      <c r="G29" s="38">
        <f>ROUND(IF($F$17="USD $", F29*$E$15,F29*$D$15),2)</f>
        <v>852.81</v>
      </c>
      <c r="H29" s="39">
        <f>ROUND(IF($H$17=$G$17,E29*G29,E29*F29),2)</f>
        <v>1236.57</v>
      </c>
      <c r="I29" s="42"/>
      <c r="J29" s="88">
        <f t="shared" si="0"/>
        <v>1</v>
      </c>
      <c r="K29" s="38">
        <f t="shared" si="3"/>
        <v>618.29</v>
      </c>
      <c r="L29" s="38">
        <f>ROUND((J29*K29),2)</f>
        <v>618.29</v>
      </c>
      <c r="M29" s="132" t="s">
        <v>112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618.29</v>
      </c>
      <c r="T29" s="52">
        <f t="shared" si="6"/>
        <v>618.29</v>
      </c>
      <c r="U29" s="41">
        <f t="shared" si="7"/>
        <v>0</v>
      </c>
      <c r="V29" s="41">
        <f t="shared" si="8"/>
        <v>1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 t="s">
        <v>455</v>
      </c>
      <c r="C30" s="6" t="s">
        <v>149</v>
      </c>
      <c r="D30" s="130" t="s">
        <v>138</v>
      </c>
      <c r="E30" s="53">
        <v>6</v>
      </c>
      <c r="F30" s="8">
        <v>866.09</v>
      </c>
      <c r="G30" s="9">
        <f t="shared" si="1"/>
        <v>597.29999999999995</v>
      </c>
      <c r="H30" s="10">
        <f t="shared" si="2"/>
        <v>5196.54</v>
      </c>
      <c r="I30" s="42"/>
      <c r="J30" s="89">
        <f t="shared" si="0"/>
        <v>6</v>
      </c>
      <c r="K30" s="9">
        <f t="shared" si="3"/>
        <v>606.26</v>
      </c>
      <c r="L30" s="9">
        <f t="shared" si="4"/>
        <v>3637.56</v>
      </c>
      <c r="M30" s="8" t="s">
        <v>112</v>
      </c>
      <c r="N30" s="12">
        <v>0.3</v>
      </c>
      <c r="O30" s="51"/>
      <c r="P30" s="3"/>
      <c r="Q30" s="13"/>
      <c r="R30" s="14">
        <f t="shared" si="9"/>
        <v>0</v>
      </c>
      <c r="S30" s="14">
        <f t="shared" si="5"/>
        <v>606.26</v>
      </c>
      <c r="T30" s="14">
        <f t="shared" si="6"/>
        <v>3637.56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560</v>
      </c>
      <c r="C31" s="4" t="s">
        <v>278</v>
      </c>
      <c r="D31" s="129" t="s">
        <v>138</v>
      </c>
      <c r="E31" s="54">
        <v>2</v>
      </c>
      <c r="F31" s="15">
        <v>631.66</v>
      </c>
      <c r="G31" s="38">
        <f t="shared" si="1"/>
        <v>435.63</v>
      </c>
      <c r="H31" s="39">
        <f t="shared" si="2"/>
        <v>1263.32</v>
      </c>
      <c r="I31" s="42"/>
      <c r="J31" s="88">
        <f t="shared" si="0"/>
        <v>2</v>
      </c>
      <c r="K31" s="38">
        <f t="shared" si="3"/>
        <v>315.83</v>
      </c>
      <c r="L31" s="38">
        <f t="shared" si="4"/>
        <v>631.66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315.83</v>
      </c>
      <c r="T31" s="52">
        <f t="shared" si="6"/>
        <v>631.66</v>
      </c>
      <c r="U31" s="41">
        <f t="shared" si="7"/>
        <v>0</v>
      </c>
      <c r="V31" s="41">
        <f t="shared" si="8"/>
        <v>1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 t="s">
        <v>561</v>
      </c>
      <c r="C32" s="6" t="s">
        <v>158</v>
      </c>
      <c r="D32" s="130" t="s">
        <v>138</v>
      </c>
      <c r="E32" s="53">
        <v>1</v>
      </c>
      <c r="F32" s="8">
        <v>344.77</v>
      </c>
      <c r="G32" s="9">
        <f t="shared" si="1"/>
        <v>237.77</v>
      </c>
      <c r="H32" s="10">
        <f t="shared" si="2"/>
        <v>344.77</v>
      </c>
      <c r="I32" s="42"/>
      <c r="J32" s="89">
        <f t="shared" si="0"/>
        <v>1</v>
      </c>
      <c r="K32" s="9">
        <f t="shared" si="3"/>
        <v>189.62</v>
      </c>
      <c r="L32" s="9">
        <f t="shared" si="4"/>
        <v>189.62</v>
      </c>
      <c r="M32" s="8" t="s">
        <v>112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189.62</v>
      </c>
      <c r="T32" s="14">
        <f t="shared" si="6"/>
        <v>189.62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 t="s">
        <v>562</v>
      </c>
      <c r="C33" s="4" t="s">
        <v>158</v>
      </c>
      <c r="D33" s="129" t="s">
        <v>138</v>
      </c>
      <c r="E33" s="54">
        <v>2</v>
      </c>
      <c r="F33" s="15">
        <v>270.64</v>
      </c>
      <c r="G33" s="38">
        <f t="shared" si="1"/>
        <v>186.65</v>
      </c>
      <c r="H33" s="39">
        <f t="shared" si="2"/>
        <v>541.28</v>
      </c>
      <c r="I33" s="42"/>
      <c r="J33" s="88">
        <f t="shared" si="0"/>
        <v>2</v>
      </c>
      <c r="K33" s="38">
        <f t="shared" si="3"/>
        <v>148.85</v>
      </c>
      <c r="L33" s="38">
        <f t="shared" si="4"/>
        <v>297.7</v>
      </c>
      <c r="M33" s="132" t="s">
        <v>112</v>
      </c>
      <c r="N33" s="16">
        <v>0.45</v>
      </c>
      <c r="O33" s="51"/>
      <c r="P33" s="1"/>
      <c r="Q33" s="15"/>
      <c r="R33" s="40">
        <f t="shared" si="9"/>
        <v>0</v>
      </c>
      <c r="S33" s="52">
        <f t="shared" si="5"/>
        <v>148.85</v>
      </c>
      <c r="T33" s="52">
        <f t="shared" si="6"/>
        <v>297.7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563</v>
      </c>
      <c r="C34" s="6" t="s">
        <v>178</v>
      </c>
      <c r="D34" s="130" t="s">
        <v>138</v>
      </c>
      <c r="E34" s="53">
        <v>26</v>
      </c>
      <c r="F34" s="8">
        <v>4.37</v>
      </c>
      <c r="G34" s="9">
        <f t="shared" si="1"/>
        <v>3.01</v>
      </c>
      <c r="H34" s="10">
        <f t="shared" si="2"/>
        <v>113.62</v>
      </c>
      <c r="I34" s="42"/>
      <c r="J34" s="89">
        <f t="shared" si="0"/>
        <v>26</v>
      </c>
      <c r="K34" s="9">
        <f t="shared" si="3"/>
        <v>2.4</v>
      </c>
      <c r="L34" s="9">
        <f t="shared" si="4"/>
        <v>62.4</v>
      </c>
      <c r="M34" s="8" t="s">
        <v>112</v>
      </c>
      <c r="N34" s="12">
        <v>0.45</v>
      </c>
      <c r="O34" s="51"/>
      <c r="P34" s="3"/>
      <c r="Q34" s="13"/>
      <c r="R34" s="14">
        <f t="shared" si="9"/>
        <v>0</v>
      </c>
      <c r="S34" s="14">
        <f t="shared" si="5"/>
        <v>2.4</v>
      </c>
      <c r="T34" s="14">
        <f t="shared" si="6"/>
        <v>62.4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564</v>
      </c>
      <c r="C35" s="4" t="s">
        <v>180</v>
      </c>
      <c r="D35" s="129" t="s">
        <v>138</v>
      </c>
      <c r="E35" s="54">
        <v>26</v>
      </c>
      <c r="F35" s="15">
        <v>0.56999999999999995</v>
      </c>
      <c r="G35" s="38">
        <f t="shared" si="1"/>
        <v>0.39</v>
      </c>
      <c r="H35" s="39">
        <f t="shared" si="2"/>
        <v>14.82</v>
      </c>
      <c r="I35" s="42"/>
      <c r="J35" s="88">
        <f t="shared" si="0"/>
        <v>26</v>
      </c>
      <c r="K35" s="38">
        <f t="shared" si="3"/>
        <v>0.31</v>
      </c>
      <c r="L35" s="38">
        <f t="shared" si="4"/>
        <v>8.06</v>
      </c>
      <c r="M35" s="132" t="s">
        <v>112</v>
      </c>
      <c r="N35" s="16">
        <v>0.45</v>
      </c>
      <c r="O35" s="51"/>
      <c r="P35" s="1"/>
      <c r="Q35" s="15"/>
      <c r="R35" s="40">
        <f t="shared" si="9"/>
        <v>0</v>
      </c>
      <c r="S35" s="52">
        <f t="shared" si="5"/>
        <v>0.31</v>
      </c>
      <c r="T35" s="52">
        <f t="shared" si="6"/>
        <v>8.06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>
        <v>0</v>
      </c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>
        <v>0.45</v>
      </c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565</v>
      </c>
      <c r="C37" s="4" t="s">
        <v>566</v>
      </c>
      <c r="D37" s="129" t="s">
        <v>138</v>
      </c>
      <c r="E37" s="54">
        <v>1</v>
      </c>
      <c r="F37" s="15">
        <v>68101.38</v>
      </c>
      <c r="G37" s="38">
        <f t="shared" si="1"/>
        <v>46966.47</v>
      </c>
      <c r="H37" s="39">
        <f t="shared" si="2"/>
        <v>68101.38</v>
      </c>
      <c r="I37" s="42"/>
      <c r="J37" s="88">
        <f t="shared" si="0"/>
        <v>1</v>
      </c>
      <c r="K37" s="38">
        <f t="shared" si="3"/>
        <v>37455.760000000002</v>
      </c>
      <c r="L37" s="38">
        <f t="shared" si="4"/>
        <v>37455.760000000002</v>
      </c>
      <c r="M37" s="132" t="s">
        <v>112</v>
      </c>
      <c r="N37" s="16">
        <v>0.45</v>
      </c>
      <c r="O37" s="51"/>
      <c r="P37" s="1"/>
      <c r="Q37" s="15"/>
      <c r="R37" s="40">
        <f t="shared" si="9"/>
        <v>0</v>
      </c>
      <c r="S37" s="52">
        <f t="shared" si="5"/>
        <v>37455.760000000002</v>
      </c>
      <c r="T37" s="52">
        <f t="shared" si="6"/>
        <v>37455.760000000002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31" t="s">
        <v>161</v>
      </c>
      <c r="E49" s="77">
        <f>SUM(E18:E48)</f>
        <v>76</v>
      </c>
      <c r="F49" s="78">
        <f>SUM(F18:F48)</f>
        <v>84877.456600000005</v>
      </c>
      <c r="G49" s="79">
        <f>SUM(G18:G48)</f>
        <v>58536.19</v>
      </c>
      <c r="H49" s="80">
        <f>SUM(H18:H48)</f>
        <v>90233.71</v>
      </c>
      <c r="I49" s="81"/>
      <c r="J49" s="82">
        <f>SUM(J18:J48)</f>
        <v>76</v>
      </c>
      <c r="K49" s="79">
        <f>SUM(K18:K48)</f>
        <v>46119.600000000006</v>
      </c>
      <c r="L49" s="80">
        <f>SUM(L18:L48)</f>
        <v>49683.33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46119.600000000006</v>
      </c>
      <c r="T49" s="80">
        <f>SUM(T18:T48)</f>
        <v>49683.33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M18:M48" xr:uid="{7DE5A51F-2C0C-4AE2-9B7A-CE8C0EB9E1B4}">
      <formula1>$Y$31:$Y$32</formula1>
    </dataValidation>
    <dataValidation type="list" showInputMessage="1" showErrorMessage="1" sqref="D18:D48" xr:uid="{7B529780-2479-42B7-874D-5314FD837DF8}">
      <formula1>$Z$18:$Z$29</formula1>
    </dataValidation>
    <dataValidation type="list" allowBlank="1" showInputMessage="1" showErrorMessage="1" sqref="I13" xr:uid="{9CE87D5A-E367-4F32-B66C-4DE252159FC8}">
      <formula1>$K$9:$K$9</formula1>
    </dataValidation>
    <dataValidation type="list" allowBlank="1" showInputMessage="1" showErrorMessage="1" sqref="H13" xr:uid="{63080166-C347-487E-8AF4-F8C0446F6F3D}">
      <formula1>$Y$13:$Y$14</formula1>
    </dataValidation>
    <dataValidation type="list" allowBlank="1" showInputMessage="1" showErrorMessage="1" sqref="F17 K17 Q17 Q14" xr:uid="{DDAE9CDA-845E-4882-AC94-6C71F1920B7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C874-7C61-4255-86AA-9EC1D7255A3B}">
  <sheetPr>
    <pageSetUpPr fitToPage="1"/>
  </sheetPr>
  <dimension ref="A1:AB83"/>
  <sheetViews>
    <sheetView zoomScale="85" zoomScaleNormal="85" workbookViewId="0">
      <selection activeCell="E19" sqref="E19:E51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/>
      <c r="D2" s="279" t="s">
        <v>34</v>
      </c>
      <c r="E2" s="280"/>
      <c r="F2" s="281"/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H81</f>
        <v>35.090000000000003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/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L81</f>
        <v>35.090000000000003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567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0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x14ac:dyDescent="0.25">
      <c r="A5" s="55"/>
      <c r="B5" s="118" t="s">
        <v>50</v>
      </c>
      <c r="C5" s="4"/>
      <c r="D5" s="244" t="s">
        <v>51</v>
      </c>
      <c r="E5" s="245"/>
      <c r="F5" s="246" t="s">
        <v>568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569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T81</f>
        <v>35.090000000000003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R81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648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0</v>
      </c>
      <c r="T9" s="233">
        <f>P3-S9</f>
        <v>35.090000000000003</v>
      </c>
      <c r="U9" s="235">
        <f>IFERROR(((P3-S9)/S9),0)</f>
        <v>0</v>
      </c>
      <c r="V9" s="235">
        <f>IFERROR(T9/P3,0)</f>
        <v>1</v>
      </c>
      <c r="W9" s="237"/>
      <c r="X9" s="64"/>
      <c r="Y9" s="61"/>
      <c r="Z9" s="61"/>
      <c r="AA9" s="61"/>
      <c r="AB9" s="61"/>
    </row>
    <row r="10" spans="1:28" ht="15" customHeight="1" x14ac:dyDescent="0.2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E81</f>
        <v>68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83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/>
      <c r="S14" s="101" t="s">
        <v>90</v>
      </c>
      <c r="T14" s="46">
        <v>2.5000000000000001E-2</v>
      </c>
      <c r="U14" s="101" t="s">
        <v>91</v>
      </c>
      <c r="V14" s="100">
        <f>ROUND(R81*T14,2)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0.70422535211267612</v>
      </c>
      <c r="E15" s="7">
        <v>1.42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80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5710640</v>
      </c>
      <c r="C18" s="5" t="s">
        <v>122</v>
      </c>
      <c r="D18" s="128"/>
      <c r="E18" s="53">
        <v>1</v>
      </c>
      <c r="F18" s="134">
        <v>35.090000000000003</v>
      </c>
      <c r="G18" s="135">
        <f>ROUND(IF($F$17="USD $", F18*$E$15,F18*$D$15),2)</f>
        <v>24.71</v>
      </c>
      <c r="H18" s="136">
        <f>ROUND(IF($H$17=$G$17,E18*G18,E18*F18),2)</f>
        <v>35.090000000000003</v>
      </c>
      <c r="I18" s="137"/>
      <c r="J18" s="89">
        <f t="shared" ref="J18:J80" si="0">E18</f>
        <v>1</v>
      </c>
      <c r="K18" s="135">
        <f>IFERROR(IF(M18="OEM DISC %",ROUND(IF($K$17=$F$17,F18*(1-N18),G18*(1-N18)),2),IF(M18="MARKUP %",ROUND(R18/J18*(1+N18),2))),0)</f>
        <v>35.090000000000003</v>
      </c>
      <c r="L18" s="135">
        <f>ROUND((J18*K18),2)</f>
        <v>35.090000000000003</v>
      </c>
      <c r="M18" s="134" t="s">
        <v>112</v>
      </c>
      <c r="N18" s="138"/>
      <c r="O18" s="139"/>
      <c r="P18" s="2"/>
      <c r="Q18" s="140"/>
      <c r="R18" s="141">
        <f>ROUND(IF($R$17=$Q$17,Q18,IF($R$17="USD $",Q18*$D$15,Q18*$E$15))*E18,2)</f>
        <v>0</v>
      </c>
      <c r="S18" s="141">
        <f>IFERROR(ROUND(T18/E18,2),0)</f>
        <v>35.090000000000003</v>
      </c>
      <c r="T18" s="141">
        <f>ROUND(L18-R18,2)</f>
        <v>35.090000000000003</v>
      </c>
      <c r="U18" s="142">
        <f>IFERROR(((K18-(R18/J18))/(R18/J18)),0)</f>
        <v>0</v>
      </c>
      <c r="V18" s="142">
        <f>IFERROR(((K18-(R18/J18))/K18),0)</f>
        <v>1</v>
      </c>
      <c r="W18" s="143"/>
      <c r="X18" s="144"/>
      <c r="Y18" s="61"/>
      <c r="Z18" s="61">
        <v>250</v>
      </c>
      <c r="AA18" s="71"/>
      <c r="AB18" s="72"/>
    </row>
    <row r="19" spans="1:28" x14ac:dyDescent="0.25">
      <c r="A19" s="55"/>
      <c r="B19" s="1">
        <v>5825010</v>
      </c>
      <c r="C19" s="4" t="s">
        <v>570</v>
      </c>
      <c r="D19" s="129"/>
      <c r="E19" s="54">
        <v>1</v>
      </c>
      <c r="F19" s="145"/>
      <c r="G19" s="146">
        <f t="shared" ref="G19:G80" si="1">ROUND(IF($F$17="USD $", F19*$E$15,F19*$D$15),2)</f>
        <v>0</v>
      </c>
      <c r="H19" s="147">
        <f t="shared" ref="H19:H80" si="2">ROUND(IF($H$17=$G$17,E19*G19,E19*F19),2)</f>
        <v>0</v>
      </c>
      <c r="I19" s="148"/>
      <c r="J19" s="88">
        <f t="shared" si="0"/>
        <v>1</v>
      </c>
      <c r="K19" s="146">
        <f t="shared" ref="K19:K80" si="3">IFERROR(IF(M19="OEM DISC %",ROUND(IF($K$17=$F$17,F19*(1-N19),G19*(1-N19)),2),IF(M19="MARKUP %",ROUND(R19/J19*(1+N19),2))),0)</f>
        <v>0</v>
      </c>
      <c r="L19" s="146">
        <f t="shared" ref="L19:L80" si="4">ROUND((J19*K19),2)</f>
        <v>0</v>
      </c>
      <c r="M19" s="149" t="s">
        <v>112</v>
      </c>
      <c r="N19" s="150"/>
      <c r="O19" s="139"/>
      <c r="P19" s="1"/>
      <c r="Q19" s="145"/>
      <c r="R19" s="151">
        <f>ROUND(IF($R$17=$Q$17,Q19,IF($R$17="USD $",Q19*$D$15,Q19*$E$15))*E19,2)</f>
        <v>0</v>
      </c>
      <c r="S19" s="152">
        <f t="shared" ref="S19:S80" si="5">IFERROR(ROUND(T19/E19,2),0)</f>
        <v>0</v>
      </c>
      <c r="T19" s="152">
        <f t="shared" ref="T19:T80" si="6">ROUND(L19-R19,2)</f>
        <v>0</v>
      </c>
      <c r="U19" s="153">
        <f t="shared" ref="U19:U80" si="7">IFERROR(((K19-(R19/J19))/(R19/J19)),0)</f>
        <v>0</v>
      </c>
      <c r="V19" s="153">
        <f t="shared" ref="V19:V80" si="8">IFERROR(((K19-(R19/J19))/K19),0)</f>
        <v>0</v>
      </c>
      <c r="W19" s="154"/>
      <c r="X19" s="144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>
        <v>5716779</v>
      </c>
      <c r="C20" s="6" t="s">
        <v>571</v>
      </c>
      <c r="D20" s="130"/>
      <c r="E20" s="53">
        <v>1</v>
      </c>
      <c r="F20" s="134"/>
      <c r="G20" s="135">
        <f t="shared" si="1"/>
        <v>0</v>
      </c>
      <c r="H20" s="136">
        <f t="shared" si="2"/>
        <v>0</v>
      </c>
      <c r="I20" s="148"/>
      <c r="J20" s="89">
        <f t="shared" si="0"/>
        <v>1</v>
      </c>
      <c r="K20" s="135">
        <f t="shared" si="3"/>
        <v>0</v>
      </c>
      <c r="L20" s="135">
        <f t="shared" si="4"/>
        <v>0</v>
      </c>
      <c r="M20" s="134" t="s">
        <v>112</v>
      </c>
      <c r="N20" s="155"/>
      <c r="O20" s="139"/>
      <c r="P20" s="3"/>
      <c r="Q20" s="140"/>
      <c r="R20" s="141">
        <f t="shared" ref="R20:R80" si="9">ROUND(IF($R$17=$Q$17,Q20,IF($R$17="USD $",Q20*$D$15,Q20*$E$15))*E20,2)</f>
        <v>0</v>
      </c>
      <c r="S20" s="141">
        <f t="shared" si="5"/>
        <v>0</v>
      </c>
      <c r="T20" s="141">
        <f t="shared" si="6"/>
        <v>0</v>
      </c>
      <c r="U20" s="142">
        <f t="shared" si="7"/>
        <v>0</v>
      </c>
      <c r="V20" s="142">
        <f t="shared" si="8"/>
        <v>0</v>
      </c>
      <c r="W20" s="143"/>
      <c r="X20" s="144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>
        <v>7993014</v>
      </c>
      <c r="C21" s="4" t="s">
        <v>572</v>
      </c>
      <c r="D21" s="129"/>
      <c r="E21" s="54">
        <v>1</v>
      </c>
      <c r="F21" s="145"/>
      <c r="G21" s="146">
        <f t="shared" si="1"/>
        <v>0</v>
      </c>
      <c r="H21" s="147">
        <f t="shared" si="2"/>
        <v>0</v>
      </c>
      <c r="I21" s="148"/>
      <c r="J21" s="88">
        <f t="shared" si="0"/>
        <v>1</v>
      </c>
      <c r="K21" s="146">
        <f t="shared" si="3"/>
        <v>0</v>
      </c>
      <c r="L21" s="146">
        <f t="shared" si="4"/>
        <v>0</v>
      </c>
      <c r="M21" s="149" t="s">
        <v>112</v>
      </c>
      <c r="N21" s="150"/>
      <c r="O21" s="139"/>
      <c r="P21" s="1"/>
      <c r="Q21" s="145"/>
      <c r="R21" s="151">
        <f t="shared" si="9"/>
        <v>0</v>
      </c>
      <c r="S21" s="152">
        <f t="shared" si="5"/>
        <v>0</v>
      </c>
      <c r="T21" s="152">
        <f t="shared" si="6"/>
        <v>0</v>
      </c>
      <c r="U21" s="153">
        <f t="shared" si="7"/>
        <v>0</v>
      </c>
      <c r="V21" s="153">
        <f t="shared" si="8"/>
        <v>0</v>
      </c>
      <c r="W21" s="154"/>
      <c r="X21" s="144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>
        <v>5821147</v>
      </c>
      <c r="C22" s="6" t="s">
        <v>111</v>
      </c>
      <c r="D22" s="130"/>
      <c r="E22" s="53">
        <v>1</v>
      </c>
      <c r="F22" s="134"/>
      <c r="G22" s="135">
        <f t="shared" si="1"/>
        <v>0</v>
      </c>
      <c r="H22" s="136">
        <f t="shared" si="2"/>
        <v>0</v>
      </c>
      <c r="I22" s="148"/>
      <c r="J22" s="89">
        <f t="shared" si="0"/>
        <v>1</v>
      </c>
      <c r="K22" s="135">
        <f t="shared" si="3"/>
        <v>0</v>
      </c>
      <c r="L22" s="135">
        <f t="shared" si="4"/>
        <v>0</v>
      </c>
      <c r="M22" s="134" t="s">
        <v>112</v>
      </c>
      <c r="N22" s="155"/>
      <c r="O22" s="139"/>
      <c r="P22" s="3"/>
      <c r="Q22" s="140"/>
      <c r="R22" s="141">
        <f t="shared" si="9"/>
        <v>0</v>
      </c>
      <c r="S22" s="141">
        <f t="shared" si="5"/>
        <v>0</v>
      </c>
      <c r="T22" s="141">
        <f t="shared" si="6"/>
        <v>0</v>
      </c>
      <c r="U22" s="142">
        <f t="shared" si="7"/>
        <v>0</v>
      </c>
      <c r="V22" s="142">
        <f t="shared" si="8"/>
        <v>0</v>
      </c>
      <c r="W22" s="143"/>
      <c r="X22" s="144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>
        <v>5821148</v>
      </c>
      <c r="C23" s="4" t="s">
        <v>117</v>
      </c>
      <c r="D23" s="129"/>
      <c r="E23" s="54">
        <v>1</v>
      </c>
      <c r="F23" s="145"/>
      <c r="G23" s="146">
        <f t="shared" si="1"/>
        <v>0</v>
      </c>
      <c r="H23" s="147">
        <f t="shared" si="2"/>
        <v>0</v>
      </c>
      <c r="I23" s="148"/>
      <c r="J23" s="88">
        <f t="shared" si="0"/>
        <v>1</v>
      </c>
      <c r="K23" s="146">
        <f t="shared" si="3"/>
        <v>0</v>
      </c>
      <c r="L23" s="146">
        <f t="shared" si="4"/>
        <v>0</v>
      </c>
      <c r="M23" s="149" t="s">
        <v>112</v>
      </c>
      <c r="N23" s="150"/>
      <c r="O23" s="139"/>
      <c r="P23" s="1"/>
      <c r="Q23" s="145"/>
      <c r="R23" s="151">
        <f t="shared" si="9"/>
        <v>0</v>
      </c>
      <c r="S23" s="152">
        <f t="shared" si="5"/>
        <v>0</v>
      </c>
      <c r="T23" s="152">
        <f t="shared" si="6"/>
        <v>0</v>
      </c>
      <c r="U23" s="153">
        <f t="shared" si="7"/>
        <v>0</v>
      </c>
      <c r="V23" s="153">
        <f t="shared" si="8"/>
        <v>0</v>
      </c>
      <c r="W23" s="154"/>
      <c r="X23" s="144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>
        <v>5570176</v>
      </c>
      <c r="C24" s="6" t="s">
        <v>573</v>
      </c>
      <c r="D24" s="130"/>
      <c r="E24" s="53">
        <v>1</v>
      </c>
      <c r="F24" s="134"/>
      <c r="G24" s="135">
        <f t="shared" si="1"/>
        <v>0</v>
      </c>
      <c r="H24" s="136">
        <f t="shared" si="2"/>
        <v>0</v>
      </c>
      <c r="I24" s="148"/>
      <c r="J24" s="89">
        <f t="shared" si="0"/>
        <v>1</v>
      </c>
      <c r="K24" s="135">
        <f t="shared" si="3"/>
        <v>0</v>
      </c>
      <c r="L24" s="135">
        <f t="shared" si="4"/>
        <v>0</v>
      </c>
      <c r="M24" s="134" t="s">
        <v>112</v>
      </c>
      <c r="N24" s="155"/>
      <c r="O24" s="139"/>
      <c r="P24" s="3"/>
      <c r="Q24" s="140"/>
      <c r="R24" s="141">
        <f t="shared" si="9"/>
        <v>0</v>
      </c>
      <c r="S24" s="141">
        <f t="shared" si="5"/>
        <v>0</v>
      </c>
      <c r="T24" s="141">
        <f t="shared" si="6"/>
        <v>0</v>
      </c>
      <c r="U24" s="142">
        <f t="shared" si="7"/>
        <v>0</v>
      </c>
      <c r="V24" s="142">
        <f t="shared" si="8"/>
        <v>0</v>
      </c>
      <c r="W24" s="143"/>
      <c r="X24" s="144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>
        <v>5753229</v>
      </c>
      <c r="C25" s="4" t="s">
        <v>574</v>
      </c>
      <c r="D25" s="129"/>
      <c r="E25" s="54">
        <v>2</v>
      </c>
      <c r="F25" s="145"/>
      <c r="G25" s="146">
        <f t="shared" si="1"/>
        <v>0</v>
      </c>
      <c r="H25" s="147">
        <f t="shared" si="2"/>
        <v>0</v>
      </c>
      <c r="I25" s="148"/>
      <c r="J25" s="88">
        <f t="shared" si="0"/>
        <v>2</v>
      </c>
      <c r="K25" s="146">
        <f t="shared" si="3"/>
        <v>0</v>
      </c>
      <c r="L25" s="146">
        <f t="shared" si="4"/>
        <v>0</v>
      </c>
      <c r="M25" s="149" t="s">
        <v>112</v>
      </c>
      <c r="N25" s="150"/>
      <c r="O25" s="139"/>
      <c r="P25" s="1"/>
      <c r="Q25" s="145"/>
      <c r="R25" s="151">
        <f t="shared" si="9"/>
        <v>0</v>
      </c>
      <c r="S25" s="152">
        <f t="shared" si="5"/>
        <v>0</v>
      </c>
      <c r="T25" s="152">
        <f t="shared" si="6"/>
        <v>0</v>
      </c>
      <c r="U25" s="153">
        <f t="shared" si="7"/>
        <v>0</v>
      </c>
      <c r="V25" s="153">
        <f t="shared" si="8"/>
        <v>0</v>
      </c>
      <c r="W25" s="154"/>
      <c r="X25" s="144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>
        <v>5717025</v>
      </c>
      <c r="C26" s="6" t="s">
        <v>137</v>
      </c>
      <c r="D26" s="130"/>
      <c r="E26" s="53">
        <v>1</v>
      </c>
      <c r="F26" s="134"/>
      <c r="G26" s="135">
        <f t="shared" si="1"/>
        <v>0</v>
      </c>
      <c r="H26" s="136">
        <f t="shared" si="2"/>
        <v>0</v>
      </c>
      <c r="I26" s="148"/>
      <c r="J26" s="89">
        <f t="shared" si="0"/>
        <v>1</v>
      </c>
      <c r="K26" s="135">
        <f t="shared" si="3"/>
        <v>0</v>
      </c>
      <c r="L26" s="135">
        <f t="shared" si="4"/>
        <v>0</v>
      </c>
      <c r="M26" s="134" t="s">
        <v>112</v>
      </c>
      <c r="N26" s="155"/>
      <c r="O26" s="139"/>
      <c r="P26" s="3"/>
      <c r="Q26" s="140"/>
      <c r="R26" s="141">
        <f t="shared" si="9"/>
        <v>0</v>
      </c>
      <c r="S26" s="141">
        <f t="shared" si="5"/>
        <v>0</v>
      </c>
      <c r="T26" s="141">
        <f t="shared" si="6"/>
        <v>0</v>
      </c>
      <c r="U26" s="142">
        <f t="shared" si="7"/>
        <v>0</v>
      </c>
      <c r="V26" s="142">
        <f t="shared" si="8"/>
        <v>0</v>
      </c>
      <c r="W26" s="143"/>
      <c r="X26" s="144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>
        <v>5716654</v>
      </c>
      <c r="C27" s="4" t="s">
        <v>575</v>
      </c>
      <c r="D27" s="129"/>
      <c r="E27" s="54">
        <v>4</v>
      </c>
      <c r="F27" s="145"/>
      <c r="G27" s="146">
        <f t="shared" si="1"/>
        <v>0</v>
      </c>
      <c r="H27" s="147">
        <f t="shared" si="2"/>
        <v>0</v>
      </c>
      <c r="I27" s="148"/>
      <c r="J27" s="88">
        <f t="shared" si="0"/>
        <v>4</v>
      </c>
      <c r="K27" s="146">
        <f t="shared" si="3"/>
        <v>0</v>
      </c>
      <c r="L27" s="146">
        <f t="shared" si="4"/>
        <v>0</v>
      </c>
      <c r="M27" s="149" t="s">
        <v>112</v>
      </c>
      <c r="N27" s="150"/>
      <c r="O27" s="139"/>
      <c r="P27" s="1"/>
      <c r="Q27" s="145"/>
      <c r="R27" s="151">
        <f t="shared" si="9"/>
        <v>0</v>
      </c>
      <c r="S27" s="152">
        <f t="shared" si="5"/>
        <v>0</v>
      </c>
      <c r="T27" s="152">
        <f t="shared" si="6"/>
        <v>0</v>
      </c>
      <c r="U27" s="153">
        <f t="shared" si="7"/>
        <v>0</v>
      </c>
      <c r="V27" s="153">
        <f t="shared" si="8"/>
        <v>0</v>
      </c>
      <c r="W27" s="154"/>
      <c r="X27" s="144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2">
        <v>5717590</v>
      </c>
      <c r="C28" s="6" t="s">
        <v>576</v>
      </c>
      <c r="D28" s="130"/>
      <c r="E28" s="53">
        <v>1</v>
      </c>
      <c r="F28" s="134"/>
      <c r="G28" s="135">
        <f t="shared" si="1"/>
        <v>0</v>
      </c>
      <c r="H28" s="136">
        <f t="shared" si="2"/>
        <v>0</v>
      </c>
      <c r="I28" s="148"/>
      <c r="J28" s="89">
        <f t="shared" si="0"/>
        <v>1</v>
      </c>
      <c r="K28" s="135">
        <f t="shared" si="3"/>
        <v>0</v>
      </c>
      <c r="L28" s="135">
        <f t="shared" si="4"/>
        <v>0</v>
      </c>
      <c r="M28" s="134" t="s">
        <v>112</v>
      </c>
      <c r="N28" s="155"/>
      <c r="O28" s="139"/>
      <c r="P28" s="3"/>
      <c r="Q28" s="140"/>
      <c r="R28" s="141">
        <f t="shared" si="9"/>
        <v>0</v>
      </c>
      <c r="S28" s="141">
        <f t="shared" si="5"/>
        <v>0</v>
      </c>
      <c r="T28" s="141">
        <f t="shared" si="6"/>
        <v>0</v>
      </c>
      <c r="U28" s="142">
        <f t="shared" si="7"/>
        <v>0</v>
      </c>
      <c r="V28" s="142">
        <f t="shared" si="8"/>
        <v>0</v>
      </c>
      <c r="W28" s="143"/>
      <c r="X28" s="144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>
        <v>5718087</v>
      </c>
      <c r="C29" s="4" t="s">
        <v>144</v>
      </c>
      <c r="D29" s="129"/>
      <c r="E29" s="54">
        <v>1</v>
      </c>
      <c r="F29" s="145"/>
      <c r="G29" s="146">
        <f>ROUND(IF($F$17="USD $", F29*$E$15,F29*$D$15),2)</f>
        <v>0</v>
      </c>
      <c r="H29" s="147">
        <f>ROUND(IF($H$17=$G$17,E29*G29,E29*F29),2)</f>
        <v>0</v>
      </c>
      <c r="I29" s="148"/>
      <c r="J29" s="88">
        <f t="shared" si="0"/>
        <v>1</v>
      </c>
      <c r="K29" s="146">
        <f t="shared" si="3"/>
        <v>0</v>
      </c>
      <c r="L29" s="146">
        <f>ROUND((J29*K29),2)</f>
        <v>0</v>
      </c>
      <c r="M29" s="149" t="s">
        <v>112</v>
      </c>
      <c r="N29" s="150"/>
      <c r="O29" s="139"/>
      <c r="P29" s="1"/>
      <c r="Q29" s="145"/>
      <c r="R29" s="151">
        <f t="shared" si="9"/>
        <v>0</v>
      </c>
      <c r="S29" s="152">
        <f t="shared" si="5"/>
        <v>0</v>
      </c>
      <c r="T29" s="152">
        <f t="shared" si="6"/>
        <v>0</v>
      </c>
      <c r="U29" s="153">
        <f t="shared" si="7"/>
        <v>0</v>
      </c>
      <c r="V29" s="153">
        <f t="shared" si="8"/>
        <v>0</v>
      </c>
      <c r="W29" s="154"/>
      <c r="X29" s="144"/>
      <c r="Y29" s="61" t="s">
        <v>145</v>
      </c>
      <c r="Z29" s="61"/>
      <c r="AA29" s="61"/>
      <c r="AB29" s="61"/>
    </row>
    <row r="30" spans="1:28" x14ac:dyDescent="0.25">
      <c r="A30" s="55"/>
      <c r="B30" s="2">
        <v>5717587</v>
      </c>
      <c r="C30" s="6" t="s">
        <v>147</v>
      </c>
      <c r="D30" s="130"/>
      <c r="E30" s="53">
        <v>1</v>
      </c>
      <c r="F30" s="134"/>
      <c r="G30" s="135">
        <f t="shared" si="1"/>
        <v>0</v>
      </c>
      <c r="H30" s="136">
        <f t="shared" si="2"/>
        <v>0</v>
      </c>
      <c r="I30" s="148"/>
      <c r="J30" s="89">
        <f t="shared" si="0"/>
        <v>1</v>
      </c>
      <c r="K30" s="135">
        <f t="shared" si="3"/>
        <v>0</v>
      </c>
      <c r="L30" s="135">
        <f t="shared" si="4"/>
        <v>0</v>
      </c>
      <c r="M30" s="134" t="s">
        <v>112</v>
      </c>
      <c r="N30" s="155"/>
      <c r="O30" s="139"/>
      <c r="P30" s="3"/>
      <c r="Q30" s="140"/>
      <c r="R30" s="141">
        <f t="shared" si="9"/>
        <v>0</v>
      </c>
      <c r="S30" s="141">
        <f t="shared" si="5"/>
        <v>0</v>
      </c>
      <c r="T30" s="141">
        <f t="shared" si="6"/>
        <v>0</v>
      </c>
      <c r="U30" s="142">
        <f t="shared" si="7"/>
        <v>0</v>
      </c>
      <c r="V30" s="142">
        <f t="shared" si="8"/>
        <v>0</v>
      </c>
      <c r="W30" s="143"/>
      <c r="X30" s="144"/>
      <c r="Y30" s="61"/>
      <c r="Z30" s="61"/>
      <c r="AA30" s="61"/>
      <c r="AB30" s="61"/>
    </row>
    <row r="31" spans="1:28" x14ac:dyDescent="0.25">
      <c r="A31" s="55"/>
      <c r="B31" s="1">
        <v>6704138</v>
      </c>
      <c r="C31" s="4" t="s">
        <v>577</v>
      </c>
      <c r="D31" s="129"/>
      <c r="E31" s="54">
        <v>2</v>
      </c>
      <c r="F31" s="145"/>
      <c r="G31" s="146">
        <f t="shared" si="1"/>
        <v>0</v>
      </c>
      <c r="H31" s="147">
        <f t="shared" si="2"/>
        <v>0</v>
      </c>
      <c r="I31" s="148"/>
      <c r="J31" s="88">
        <f t="shared" si="0"/>
        <v>2</v>
      </c>
      <c r="K31" s="146">
        <f t="shared" si="3"/>
        <v>0</v>
      </c>
      <c r="L31" s="146">
        <f t="shared" si="4"/>
        <v>0</v>
      </c>
      <c r="M31" s="149" t="s">
        <v>112</v>
      </c>
      <c r="N31" s="150"/>
      <c r="O31" s="139"/>
      <c r="P31" s="1"/>
      <c r="Q31" s="145"/>
      <c r="R31" s="151">
        <f>ROUND(IF($R$17=$Q$17,Q31,IF($R$17="USD $",Q31*$D$15,Q31*$E$15))*E31,2)</f>
        <v>0</v>
      </c>
      <c r="S31" s="152">
        <f t="shared" si="5"/>
        <v>0</v>
      </c>
      <c r="T31" s="152">
        <f t="shared" si="6"/>
        <v>0</v>
      </c>
      <c r="U31" s="153">
        <f t="shared" si="7"/>
        <v>0</v>
      </c>
      <c r="V31" s="153">
        <f t="shared" si="8"/>
        <v>0</v>
      </c>
      <c r="W31" s="154"/>
      <c r="X31" s="144"/>
      <c r="Y31" s="61" t="s">
        <v>112</v>
      </c>
      <c r="Z31" s="61"/>
      <c r="AA31" s="61"/>
      <c r="AB31" s="61"/>
    </row>
    <row r="32" spans="1:28" x14ac:dyDescent="0.25">
      <c r="A32" s="55"/>
      <c r="B32" s="2">
        <v>5716247</v>
      </c>
      <c r="C32" s="6" t="s">
        <v>578</v>
      </c>
      <c r="D32" s="130"/>
      <c r="E32" s="53">
        <v>1</v>
      </c>
      <c r="F32" s="134"/>
      <c r="G32" s="135">
        <f t="shared" si="1"/>
        <v>0</v>
      </c>
      <c r="H32" s="136">
        <f t="shared" si="2"/>
        <v>0</v>
      </c>
      <c r="I32" s="148"/>
      <c r="J32" s="89">
        <f t="shared" si="0"/>
        <v>1</v>
      </c>
      <c r="K32" s="135">
        <f t="shared" si="3"/>
        <v>0</v>
      </c>
      <c r="L32" s="135">
        <f t="shared" si="4"/>
        <v>0</v>
      </c>
      <c r="M32" s="134" t="s">
        <v>112</v>
      </c>
      <c r="N32" s="155"/>
      <c r="O32" s="139"/>
      <c r="P32" s="3"/>
      <c r="Q32" s="140"/>
      <c r="R32" s="141">
        <f t="shared" si="9"/>
        <v>0</v>
      </c>
      <c r="S32" s="141">
        <f t="shared" si="5"/>
        <v>0</v>
      </c>
      <c r="T32" s="141">
        <f t="shared" si="6"/>
        <v>0</v>
      </c>
      <c r="U32" s="142">
        <f t="shared" si="7"/>
        <v>0</v>
      </c>
      <c r="V32" s="142">
        <f t="shared" si="8"/>
        <v>0</v>
      </c>
      <c r="W32" s="143"/>
      <c r="X32" s="144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45"/>
      <c r="G33" s="146">
        <f t="shared" si="1"/>
        <v>0</v>
      </c>
      <c r="H33" s="147">
        <f t="shared" si="2"/>
        <v>0</v>
      </c>
      <c r="I33" s="148"/>
      <c r="J33" s="88">
        <f t="shared" si="0"/>
        <v>0</v>
      </c>
      <c r="K33" s="146">
        <f t="shared" si="3"/>
        <v>0</v>
      </c>
      <c r="L33" s="146">
        <f t="shared" si="4"/>
        <v>0</v>
      </c>
      <c r="M33" s="149" t="s">
        <v>112</v>
      </c>
      <c r="N33" s="150"/>
      <c r="O33" s="139"/>
      <c r="P33" s="1"/>
      <c r="Q33" s="145"/>
      <c r="R33" s="151">
        <f t="shared" si="9"/>
        <v>0</v>
      </c>
      <c r="S33" s="152">
        <f t="shared" si="5"/>
        <v>0</v>
      </c>
      <c r="T33" s="152">
        <f t="shared" si="6"/>
        <v>0</v>
      </c>
      <c r="U33" s="153">
        <f t="shared" si="7"/>
        <v>0</v>
      </c>
      <c r="V33" s="153">
        <f t="shared" si="8"/>
        <v>0</v>
      </c>
      <c r="W33" s="154"/>
      <c r="X33" s="144"/>
      <c r="Y33" s="61"/>
      <c r="Z33" s="61"/>
      <c r="AA33" s="61"/>
      <c r="AB33" s="61"/>
    </row>
    <row r="34" spans="1:28" x14ac:dyDescent="0.25">
      <c r="A34" s="55"/>
      <c r="B34" s="2" t="s">
        <v>579</v>
      </c>
      <c r="C34" s="6"/>
      <c r="D34" s="130"/>
      <c r="E34" s="53"/>
      <c r="F34" s="134"/>
      <c r="G34" s="135">
        <f t="shared" si="1"/>
        <v>0</v>
      </c>
      <c r="H34" s="136">
        <f t="shared" si="2"/>
        <v>0</v>
      </c>
      <c r="I34" s="148"/>
      <c r="J34" s="89">
        <f t="shared" si="0"/>
        <v>0</v>
      </c>
      <c r="K34" s="135">
        <f t="shared" si="3"/>
        <v>0</v>
      </c>
      <c r="L34" s="135">
        <f t="shared" si="4"/>
        <v>0</v>
      </c>
      <c r="M34" s="134" t="s">
        <v>112</v>
      </c>
      <c r="N34" s="155"/>
      <c r="O34" s="139"/>
      <c r="P34" s="3"/>
      <c r="Q34" s="140"/>
      <c r="R34" s="141">
        <f t="shared" si="9"/>
        <v>0</v>
      </c>
      <c r="S34" s="141">
        <f t="shared" si="5"/>
        <v>0</v>
      </c>
      <c r="T34" s="141">
        <f t="shared" si="6"/>
        <v>0</v>
      </c>
      <c r="U34" s="142">
        <f t="shared" si="7"/>
        <v>0</v>
      </c>
      <c r="V34" s="142">
        <f t="shared" si="8"/>
        <v>0</v>
      </c>
      <c r="W34" s="143"/>
      <c r="X34" s="144"/>
      <c r="Y34" s="61"/>
      <c r="Z34" s="61"/>
      <c r="AA34" s="61"/>
      <c r="AB34" s="61"/>
    </row>
    <row r="35" spans="1:28" x14ac:dyDescent="0.25">
      <c r="A35" s="55"/>
      <c r="B35" s="1">
        <v>5716247</v>
      </c>
      <c r="C35" s="4" t="s">
        <v>578</v>
      </c>
      <c r="D35" s="129"/>
      <c r="E35" s="54">
        <v>1</v>
      </c>
      <c r="F35" s="145"/>
      <c r="G35" s="146">
        <f t="shared" si="1"/>
        <v>0</v>
      </c>
      <c r="H35" s="147">
        <f t="shared" si="2"/>
        <v>0</v>
      </c>
      <c r="I35" s="148"/>
      <c r="J35" s="88">
        <f t="shared" si="0"/>
        <v>1</v>
      </c>
      <c r="K35" s="146">
        <f t="shared" si="3"/>
        <v>0</v>
      </c>
      <c r="L35" s="146">
        <f t="shared" si="4"/>
        <v>0</v>
      </c>
      <c r="M35" s="149" t="s">
        <v>112</v>
      </c>
      <c r="N35" s="150"/>
      <c r="O35" s="139"/>
      <c r="P35" s="1"/>
      <c r="Q35" s="145"/>
      <c r="R35" s="151">
        <f t="shared" si="9"/>
        <v>0</v>
      </c>
      <c r="S35" s="152">
        <f t="shared" si="5"/>
        <v>0</v>
      </c>
      <c r="T35" s="152">
        <f t="shared" si="6"/>
        <v>0</v>
      </c>
      <c r="U35" s="153">
        <f t="shared" si="7"/>
        <v>0</v>
      </c>
      <c r="V35" s="153">
        <f t="shared" si="8"/>
        <v>0</v>
      </c>
      <c r="W35" s="154"/>
      <c r="X35" s="144"/>
      <c r="Y35" s="61"/>
      <c r="Z35" s="61"/>
      <c r="AA35" s="61"/>
      <c r="AB35" s="61"/>
    </row>
    <row r="36" spans="1:28" x14ac:dyDescent="0.25">
      <c r="A36" s="55"/>
      <c r="B36" s="2">
        <v>5716217</v>
      </c>
      <c r="C36" s="6" t="s">
        <v>580</v>
      </c>
      <c r="D36" s="130"/>
      <c r="E36" s="53">
        <v>4</v>
      </c>
      <c r="F36" s="134"/>
      <c r="G36" s="135">
        <f t="shared" si="1"/>
        <v>0</v>
      </c>
      <c r="H36" s="136">
        <f t="shared" si="2"/>
        <v>0</v>
      </c>
      <c r="I36" s="148"/>
      <c r="J36" s="89">
        <f t="shared" si="0"/>
        <v>4</v>
      </c>
      <c r="K36" s="135">
        <f t="shared" si="3"/>
        <v>0</v>
      </c>
      <c r="L36" s="135">
        <f t="shared" si="4"/>
        <v>0</v>
      </c>
      <c r="M36" s="134" t="s">
        <v>112</v>
      </c>
      <c r="N36" s="155"/>
      <c r="O36" s="139"/>
      <c r="P36" s="3"/>
      <c r="Q36" s="140"/>
      <c r="R36" s="141">
        <f t="shared" si="9"/>
        <v>0</v>
      </c>
      <c r="S36" s="141">
        <f t="shared" si="5"/>
        <v>0</v>
      </c>
      <c r="T36" s="141">
        <f t="shared" si="6"/>
        <v>0</v>
      </c>
      <c r="U36" s="142">
        <f t="shared" si="7"/>
        <v>0</v>
      </c>
      <c r="V36" s="142">
        <f t="shared" si="8"/>
        <v>0</v>
      </c>
      <c r="W36" s="143"/>
      <c r="X36" s="144"/>
      <c r="Y36" s="61"/>
      <c r="Z36" s="61"/>
      <c r="AA36" s="61"/>
      <c r="AB36" s="61"/>
    </row>
    <row r="37" spans="1:28" x14ac:dyDescent="0.25">
      <c r="A37" s="55"/>
      <c r="B37" s="1">
        <v>5717588</v>
      </c>
      <c r="C37" s="4" t="s">
        <v>581</v>
      </c>
      <c r="D37" s="129"/>
      <c r="E37" s="54">
        <v>4</v>
      </c>
      <c r="F37" s="145"/>
      <c r="G37" s="146">
        <f t="shared" si="1"/>
        <v>0</v>
      </c>
      <c r="H37" s="147">
        <f t="shared" si="2"/>
        <v>0</v>
      </c>
      <c r="I37" s="148"/>
      <c r="J37" s="88">
        <f t="shared" si="0"/>
        <v>4</v>
      </c>
      <c r="K37" s="146">
        <f t="shared" si="3"/>
        <v>0</v>
      </c>
      <c r="L37" s="146">
        <f t="shared" si="4"/>
        <v>0</v>
      </c>
      <c r="M37" s="149" t="s">
        <v>112</v>
      </c>
      <c r="N37" s="150"/>
      <c r="O37" s="139"/>
      <c r="P37" s="1"/>
      <c r="Q37" s="145"/>
      <c r="R37" s="151">
        <f t="shared" si="9"/>
        <v>0</v>
      </c>
      <c r="S37" s="152">
        <f t="shared" si="5"/>
        <v>0</v>
      </c>
      <c r="T37" s="152">
        <f t="shared" si="6"/>
        <v>0</v>
      </c>
      <c r="U37" s="153">
        <f t="shared" si="7"/>
        <v>0</v>
      </c>
      <c r="V37" s="153">
        <f t="shared" si="8"/>
        <v>0</v>
      </c>
      <c r="W37" s="154"/>
      <c r="X37" s="144"/>
      <c r="Y37" s="61"/>
      <c r="Z37" s="61"/>
      <c r="AA37" s="61"/>
      <c r="AB37" s="61"/>
    </row>
    <row r="38" spans="1:28" x14ac:dyDescent="0.25">
      <c r="A38" s="55"/>
      <c r="B38" s="2">
        <v>5716212</v>
      </c>
      <c r="C38" s="6" t="s">
        <v>582</v>
      </c>
      <c r="D38" s="130"/>
      <c r="E38" s="53">
        <v>4</v>
      </c>
      <c r="F38" s="134"/>
      <c r="G38" s="135">
        <f t="shared" si="1"/>
        <v>0</v>
      </c>
      <c r="H38" s="136">
        <f t="shared" si="2"/>
        <v>0</v>
      </c>
      <c r="I38" s="148"/>
      <c r="J38" s="89">
        <f t="shared" si="0"/>
        <v>4</v>
      </c>
      <c r="K38" s="135">
        <f t="shared" si="3"/>
        <v>0</v>
      </c>
      <c r="L38" s="135">
        <f t="shared" si="4"/>
        <v>0</v>
      </c>
      <c r="M38" s="134" t="s">
        <v>112</v>
      </c>
      <c r="N38" s="155"/>
      <c r="O38" s="139"/>
      <c r="P38" s="3"/>
      <c r="Q38" s="140"/>
      <c r="R38" s="141">
        <f t="shared" si="9"/>
        <v>0</v>
      </c>
      <c r="S38" s="141">
        <f t="shared" si="5"/>
        <v>0</v>
      </c>
      <c r="T38" s="141">
        <f t="shared" si="6"/>
        <v>0</v>
      </c>
      <c r="U38" s="142">
        <f t="shared" si="7"/>
        <v>0</v>
      </c>
      <c r="V38" s="142">
        <f t="shared" si="8"/>
        <v>0</v>
      </c>
      <c r="W38" s="154"/>
      <c r="X38" s="144"/>
      <c r="Y38" s="61"/>
      <c r="Z38" s="61"/>
      <c r="AA38" s="61"/>
      <c r="AB38" s="61"/>
    </row>
    <row r="39" spans="1:28" x14ac:dyDescent="0.25">
      <c r="A39" s="55"/>
      <c r="B39" s="1">
        <v>5717589</v>
      </c>
      <c r="C39" s="4" t="s">
        <v>583</v>
      </c>
      <c r="D39" s="129"/>
      <c r="E39" s="54">
        <v>4</v>
      </c>
      <c r="F39" s="145"/>
      <c r="G39" s="146">
        <f t="shared" si="1"/>
        <v>0</v>
      </c>
      <c r="H39" s="147">
        <f t="shared" si="2"/>
        <v>0</v>
      </c>
      <c r="I39" s="148"/>
      <c r="J39" s="88">
        <f t="shared" si="0"/>
        <v>4</v>
      </c>
      <c r="K39" s="146">
        <f t="shared" si="3"/>
        <v>0</v>
      </c>
      <c r="L39" s="146">
        <f t="shared" si="4"/>
        <v>0</v>
      </c>
      <c r="M39" s="149" t="s">
        <v>112</v>
      </c>
      <c r="N39" s="150"/>
      <c r="O39" s="139"/>
      <c r="P39" s="1"/>
      <c r="Q39" s="145"/>
      <c r="R39" s="151">
        <f t="shared" si="9"/>
        <v>0</v>
      </c>
      <c r="S39" s="152">
        <f t="shared" si="5"/>
        <v>0</v>
      </c>
      <c r="T39" s="152">
        <f t="shared" si="6"/>
        <v>0</v>
      </c>
      <c r="U39" s="153">
        <f t="shared" si="7"/>
        <v>0</v>
      </c>
      <c r="V39" s="153">
        <f t="shared" si="8"/>
        <v>0</v>
      </c>
      <c r="W39" s="154"/>
      <c r="X39" s="144"/>
      <c r="Y39" s="61"/>
      <c r="Z39" s="61"/>
      <c r="AA39" s="61"/>
      <c r="AB39" s="61"/>
    </row>
    <row r="40" spans="1:28" x14ac:dyDescent="0.25">
      <c r="A40" s="55"/>
      <c r="B40" s="2">
        <v>5717591</v>
      </c>
      <c r="C40" s="6" t="s">
        <v>584</v>
      </c>
      <c r="D40" s="130"/>
      <c r="E40" s="53">
        <v>1</v>
      </c>
      <c r="F40" s="134"/>
      <c r="G40" s="135">
        <f t="shared" si="1"/>
        <v>0</v>
      </c>
      <c r="H40" s="136">
        <f t="shared" si="2"/>
        <v>0</v>
      </c>
      <c r="I40" s="148"/>
      <c r="J40" s="89">
        <f t="shared" si="0"/>
        <v>1</v>
      </c>
      <c r="K40" s="135">
        <f t="shared" si="3"/>
        <v>0</v>
      </c>
      <c r="L40" s="135">
        <f t="shared" si="4"/>
        <v>0</v>
      </c>
      <c r="M40" s="134" t="s">
        <v>112</v>
      </c>
      <c r="N40" s="155"/>
      <c r="O40" s="139"/>
      <c r="P40" s="3"/>
      <c r="Q40" s="140"/>
      <c r="R40" s="141">
        <f t="shared" si="9"/>
        <v>0</v>
      </c>
      <c r="S40" s="141">
        <f t="shared" si="5"/>
        <v>0</v>
      </c>
      <c r="T40" s="141">
        <f t="shared" si="6"/>
        <v>0</v>
      </c>
      <c r="U40" s="142">
        <f t="shared" si="7"/>
        <v>0</v>
      </c>
      <c r="V40" s="142">
        <f t="shared" si="8"/>
        <v>0</v>
      </c>
      <c r="W40" s="154"/>
      <c r="X40" s="144"/>
      <c r="Y40" s="61"/>
      <c r="Z40" s="61"/>
      <c r="AA40" s="61"/>
      <c r="AB40" s="61"/>
    </row>
    <row r="41" spans="1:28" x14ac:dyDescent="0.25">
      <c r="A41" s="55"/>
      <c r="B41" s="1">
        <v>5717592</v>
      </c>
      <c r="C41" s="4" t="s">
        <v>585</v>
      </c>
      <c r="D41" s="129"/>
      <c r="E41" s="54">
        <v>4</v>
      </c>
      <c r="F41" s="145"/>
      <c r="G41" s="146">
        <f t="shared" si="1"/>
        <v>0</v>
      </c>
      <c r="H41" s="147">
        <f t="shared" si="2"/>
        <v>0</v>
      </c>
      <c r="I41" s="148"/>
      <c r="J41" s="88">
        <f t="shared" si="0"/>
        <v>4</v>
      </c>
      <c r="K41" s="146">
        <f t="shared" si="3"/>
        <v>0</v>
      </c>
      <c r="L41" s="146">
        <f t="shared" si="4"/>
        <v>0</v>
      </c>
      <c r="M41" s="149" t="s">
        <v>112</v>
      </c>
      <c r="N41" s="150"/>
      <c r="O41" s="139"/>
      <c r="P41" s="1"/>
      <c r="Q41" s="145"/>
      <c r="R41" s="151">
        <f t="shared" si="9"/>
        <v>0</v>
      </c>
      <c r="S41" s="152">
        <f t="shared" si="5"/>
        <v>0</v>
      </c>
      <c r="T41" s="152">
        <f t="shared" si="6"/>
        <v>0</v>
      </c>
      <c r="U41" s="153">
        <f t="shared" si="7"/>
        <v>0</v>
      </c>
      <c r="V41" s="153">
        <f t="shared" si="8"/>
        <v>0</v>
      </c>
      <c r="W41" s="154"/>
      <c r="X41" s="144"/>
      <c r="Y41" s="61"/>
      <c r="Z41" s="61"/>
      <c r="AA41" s="61"/>
      <c r="AB41" s="61"/>
    </row>
    <row r="42" spans="1:28" x14ac:dyDescent="0.25">
      <c r="A42" s="55"/>
      <c r="B42" s="2">
        <v>5717593</v>
      </c>
      <c r="C42" s="6" t="s">
        <v>586</v>
      </c>
      <c r="D42" s="130"/>
      <c r="E42" s="53">
        <v>1</v>
      </c>
      <c r="F42" s="134"/>
      <c r="G42" s="135">
        <f t="shared" si="1"/>
        <v>0</v>
      </c>
      <c r="H42" s="136">
        <f t="shared" si="2"/>
        <v>0</v>
      </c>
      <c r="I42" s="148"/>
      <c r="J42" s="89">
        <f t="shared" si="0"/>
        <v>1</v>
      </c>
      <c r="K42" s="135">
        <f t="shared" si="3"/>
        <v>0</v>
      </c>
      <c r="L42" s="135">
        <f t="shared" si="4"/>
        <v>0</v>
      </c>
      <c r="M42" s="134" t="s">
        <v>112</v>
      </c>
      <c r="N42" s="155"/>
      <c r="O42" s="139"/>
      <c r="P42" s="3"/>
      <c r="Q42" s="140"/>
      <c r="R42" s="141">
        <f t="shared" si="9"/>
        <v>0</v>
      </c>
      <c r="S42" s="141">
        <f t="shared" si="5"/>
        <v>0</v>
      </c>
      <c r="T42" s="141">
        <f t="shared" si="6"/>
        <v>0</v>
      </c>
      <c r="U42" s="142">
        <f t="shared" si="7"/>
        <v>0</v>
      </c>
      <c r="V42" s="142">
        <f t="shared" si="8"/>
        <v>0</v>
      </c>
      <c r="W42" s="154"/>
      <c r="X42" s="144"/>
      <c r="Y42" s="61"/>
      <c r="Z42" s="61"/>
      <c r="AA42" s="61"/>
      <c r="AB42" s="61"/>
    </row>
    <row r="43" spans="1:28" x14ac:dyDescent="0.25">
      <c r="A43" s="55"/>
      <c r="B43" s="1">
        <v>5718087</v>
      </c>
      <c r="C43" s="4" t="s">
        <v>144</v>
      </c>
      <c r="D43" s="129"/>
      <c r="E43" s="54">
        <v>1</v>
      </c>
      <c r="F43" s="145"/>
      <c r="G43" s="146">
        <f t="shared" si="1"/>
        <v>0</v>
      </c>
      <c r="H43" s="147">
        <f t="shared" si="2"/>
        <v>0</v>
      </c>
      <c r="I43" s="148"/>
      <c r="J43" s="88">
        <f t="shared" si="0"/>
        <v>1</v>
      </c>
      <c r="K43" s="146">
        <f t="shared" si="3"/>
        <v>0</v>
      </c>
      <c r="L43" s="146">
        <f t="shared" si="4"/>
        <v>0</v>
      </c>
      <c r="M43" s="149" t="s">
        <v>112</v>
      </c>
      <c r="N43" s="150"/>
      <c r="O43" s="139"/>
      <c r="P43" s="1"/>
      <c r="Q43" s="145"/>
      <c r="R43" s="151">
        <f t="shared" si="9"/>
        <v>0</v>
      </c>
      <c r="S43" s="152">
        <f t="shared" si="5"/>
        <v>0</v>
      </c>
      <c r="T43" s="152">
        <f t="shared" si="6"/>
        <v>0</v>
      </c>
      <c r="U43" s="153">
        <f t="shared" si="7"/>
        <v>0</v>
      </c>
      <c r="V43" s="153">
        <f t="shared" si="8"/>
        <v>0</v>
      </c>
      <c r="W43" s="154"/>
      <c r="X43" s="144"/>
      <c r="Y43" s="61"/>
      <c r="Z43" s="61"/>
      <c r="AA43" s="61"/>
      <c r="AB43" s="61"/>
    </row>
    <row r="44" spans="1:28" x14ac:dyDescent="0.25">
      <c r="A44" s="55"/>
      <c r="B44" s="2">
        <v>5717587</v>
      </c>
      <c r="C44" s="6" t="s">
        <v>147</v>
      </c>
      <c r="D44" s="130"/>
      <c r="E44" s="53">
        <v>1</v>
      </c>
      <c r="F44" s="134"/>
      <c r="G44" s="135">
        <f t="shared" si="1"/>
        <v>0</v>
      </c>
      <c r="H44" s="136">
        <f t="shared" si="2"/>
        <v>0</v>
      </c>
      <c r="I44" s="148"/>
      <c r="J44" s="89">
        <f t="shared" si="0"/>
        <v>1</v>
      </c>
      <c r="K44" s="135">
        <f t="shared" si="3"/>
        <v>0</v>
      </c>
      <c r="L44" s="135">
        <f t="shared" si="4"/>
        <v>0</v>
      </c>
      <c r="M44" s="134" t="s">
        <v>112</v>
      </c>
      <c r="N44" s="155"/>
      <c r="O44" s="139"/>
      <c r="P44" s="3"/>
      <c r="Q44" s="140"/>
      <c r="R44" s="141">
        <f t="shared" si="9"/>
        <v>0</v>
      </c>
      <c r="S44" s="141">
        <f t="shared" si="5"/>
        <v>0</v>
      </c>
      <c r="T44" s="141">
        <f t="shared" si="6"/>
        <v>0</v>
      </c>
      <c r="U44" s="142">
        <f t="shared" si="7"/>
        <v>0</v>
      </c>
      <c r="V44" s="142">
        <f t="shared" si="8"/>
        <v>0</v>
      </c>
      <c r="W44" s="154"/>
      <c r="X44" s="144"/>
      <c r="Y44" s="61"/>
      <c r="Z44" s="61"/>
      <c r="AA44" s="61"/>
      <c r="AB44" s="61"/>
    </row>
    <row r="45" spans="1:28" x14ac:dyDescent="0.25">
      <c r="A45" s="55"/>
      <c r="B45" s="1">
        <v>5717590</v>
      </c>
      <c r="C45" s="4" t="s">
        <v>587</v>
      </c>
      <c r="D45" s="129"/>
      <c r="E45" s="54">
        <v>1</v>
      </c>
      <c r="F45" s="145"/>
      <c r="G45" s="146">
        <f t="shared" si="1"/>
        <v>0</v>
      </c>
      <c r="H45" s="147">
        <f t="shared" si="2"/>
        <v>0</v>
      </c>
      <c r="I45" s="148"/>
      <c r="J45" s="88">
        <f t="shared" si="0"/>
        <v>1</v>
      </c>
      <c r="K45" s="146">
        <f t="shared" si="3"/>
        <v>0</v>
      </c>
      <c r="L45" s="146">
        <f t="shared" si="4"/>
        <v>0</v>
      </c>
      <c r="M45" s="149" t="s">
        <v>112</v>
      </c>
      <c r="N45" s="150"/>
      <c r="O45" s="139"/>
      <c r="P45" s="1"/>
      <c r="Q45" s="145"/>
      <c r="R45" s="151">
        <f t="shared" si="9"/>
        <v>0</v>
      </c>
      <c r="S45" s="152">
        <f t="shared" si="5"/>
        <v>0</v>
      </c>
      <c r="T45" s="152">
        <f t="shared" si="6"/>
        <v>0</v>
      </c>
      <c r="U45" s="153">
        <f t="shared" si="7"/>
        <v>0</v>
      </c>
      <c r="V45" s="153">
        <f t="shared" si="8"/>
        <v>0</v>
      </c>
      <c r="W45" s="154"/>
      <c r="X45" s="144"/>
      <c r="Y45" s="61"/>
      <c r="Z45" s="61"/>
      <c r="AA45" s="61"/>
      <c r="AB45" s="61"/>
    </row>
    <row r="46" spans="1:28" x14ac:dyDescent="0.25">
      <c r="A46" s="55"/>
      <c r="B46" s="2">
        <v>5716942</v>
      </c>
      <c r="C46" s="6" t="s">
        <v>588</v>
      </c>
      <c r="D46" s="130"/>
      <c r="E46" s="53">
        <v>4</v>
      </c>
      <c r="F46" s="134"/>
      <c r="G46" s="135">
        <f t="shared" si="1"/>
        <v>0</v>
      </c>
      <c r="H46" s="136">
        <f t="shared" si="2"/>
        <v>0</v>
      </c>
      <c r="I46" s="148"/>
      <c r="J46" s="89">
        <f t="shared" si="0"/>
        <v>4</v>
      </c>
      <c r="K46" s="135">
        <f t="shared" si="3"/>
        <v>0</v>
      </c>
      <c r="L46" s="135">
        <f t="shared" si="4"/>
        <v>0</v>
      </c>
      <c r="M46" s="134" t="s">
        <v>112</v>
      </c>
      <c r="N46" s="155"/>
      <c r="O46" s="139"/>
      <c r="P46" s="3"/>
      <c r="Q46" s="140"/>
      <c r="R46" s="141">
        <f t="shared" si="9"/>
        <v>0</v>
      </c>
      <c r="S46" s="141">
        <f t="shared" si="5"/>
        <v>0</v>
      </c>
      <c r="T46" s="141">
        <f t="shared" si="6"/>
        <v>0</v>
      </c>
      <c r="U46" s="142">
        <f t="shared" si="7"/>
        <v>0</v>
      </c>
      <c r="V46" s="142">
        <f t="shared" si="8"/>
        <v>0</v>
      </c>
      <c r="W46" s="154"/>
      <c r="X46" s="144"/>
      <c r="Y46" s="61"/>
      <c r="Z46" s="61"/>
      <c r="AA46" s="61"/>
      <c r="AB46" s="61"/>
    </row>
    <row r="47" spans="1:28" x14ac:dyDescent="0.25">
      <c r="A47" s="55"/>
      <c r="B47" s="1">
        <v>5716943</v>
      </c>
      <c r="C47" s="4" t="s">
        <v>589</v>
      </c>
      <c r="D47" s="129"/>
      <c r="E47" s="54">
        <v>4</v>
      </c>
      <c r="F47" s="145"/>
      <c r="G47" s="146">
        <f t="shared" si="1"/>
        <v>0</v>
      </c>
      <c r="H47" s="147">
        <f t="shared" si="2"/>
        <v>0</v>
      </c>
      <c r="I47" s="148"/>
      <c r="J47" s="88">
        <f t="shared" si="0"/>
        <v>4</v>
      </c>
      <c r="K47" s="146">
        <f t="shared" si="3"/>
        <v>0</v>
      </c>
      <c r="L47" s="146">
        <f t="shared" si="4"/>
        <v>0</v>
      </c>
      <c r="M47" s="149" t="s">
        <v>112</v>
      </c>
      <c r="N47" s="150"/>
      <c r="O47" s="139"/>
      <c r="P47" s="1"/>
      <c r="Q47" s="145"/>
      <c r="R47" s="151">
        <f t="shared" si="9"/>
        <v>0</v>
      </c>
      <c r="S47" s="152">
        <f t="shared" si="5"/>
        <v>0</v>
      </c>
      <c r="T47" s="152">
        <f t="shared" si="6"/>
        <v>0</v>
      </c>
      <c r="U47" s="153">
        <f t="shared" si="7"/>
        <v>0</v>
      </c>
      <c r="V47" s="153">
        <f t="shared" si="8"/>
        <v>0</v>
      </c>
      <c r="W47" s="154"/>
      <c r="X47" s="144"/>
      <c r="Y47" s="61"/>
      <c r="Z47" s="61"/>
      <c r="AA47" s="61"/>
      <c r="AB47" s="61"/>
    </row>
    <row r="48" spans="1:28" x14ac:dyDescent="0.25">
      <c r="A48" s="55"/>
      <c r="B48" s="2">
        <v>5716944</v>
      </c>
      <c r="C48" s="6" t="s">
        <v>590</v>
      </c>
      <c r="D48" s="130"/>
      <c r="E48" s="53">
        <v>8</v>
      </c>
      <c r="F48" s="134"/>
      <c r="G48" s="135">
        <f t="shared" si="1"/>
        <v>0</v>
      </c>
      <c r="H48" s="136">
        <f t="shared" si="2"/>
        <v>0</v>
      </c>
      <c r="I48" s="148"/>
      <c r="J48" s="89">
        <f t="shared" si="0"/>
        <v>8</v>
      </c>
      <c r="K48" s="135">
        <f t="shared" si="3"/>
        <v>0</v>
      </c>
      <c r="L48" s="135">
        <f t="shared" si="4"/>
        <v>0</v>
      </c>
      <c r="M48" s="134" t="s">
        <v>112</v>
      </c>
      <c r="N48" s="155"/>
      <c r="O48" s="139"/>
      <c r="P48" s="3"/>
      <c r="Q48" s="140"/>
      <c r="R48" s="141">
        <f t="shared" si="9"/>
        <v>0</v>
      </c>
      <c r="S48" s="141">
        <f t="shared" si="5"/>
        <v>0</v>
      </c>
      <c r="T48" s="141">
        <f t="shared" si="6"/>
        <v>0</v>
      </c>
      <c r="U48" s="142">
        <f t="shared" si="7"/>
        <v>0</v>
      </c>
      <c r="V48" s="142">
        <f t="shared" si="8"/>
        <v>0</v>
      </c>
      <c r="W48" s="154"/>
      <c r="X48" s="144"/>
      <c r="Y48" s="61"/>
      <c r="Z48" s="61"/>
      <c r="AA48" s="61"/>
      <c r="AB48" s="61"/>
    </row>
    <row r="49" spans="1:28" x14ac:dyDescent="0.25">
      <c r="A49" s="55"/>
      <c r="B49" s="1">
        <v>5716654</v>
      </c>
      <c r="C49" s="4" t="s">
        <v>591</v>
      </c>
      <c r="D49" s="129"/>
      <c r="E49" s="54">
        <v>4</v>
      </c>
      <c r="F49" s="145"/>
      <c r="G49" s="146">
        <f t="shared" si="1"/>
        <v>0</v>
      </c>
      <c r="H49" s="147">
        <f t="shared" si="2"/>
        <v>0</v>
      </c>
      <c r="I49" s="148"/>
      <c r="J49" s="88">
        <f t="shared" si="0"/>
        <v>4</v>
      </c>
      <c r="K49" s="146">
        <f t="shared" si="3"/>
        <v>0</v>
      </c>
      <c r="L49" s="146">
        <f t="shared" si="4"/>
        <v>0</v>
      </c>
      <c r="M49" s="149" t="s">
        <v>112</v>
      </c>
      <c r="N49" s="150"/>
      <c r="O49" s="139"/>
      <c r="P49" s="1"/>
      <c r="Q49" s="145"/>
      <c r="R49" s="151">
        <f t="shared" si="9"/>
        <v>0</v>
      </c>
      <c r="S49" s="152">
        <f t="shared" si="5"/>
        <v>0</v>
      </c>
      <c r="T49" s="152">
        <f t="shared" si="6"/>
        <v>0</v>
      </c>
      <c r="U49" s="153">
        <f t="shared" si="7"/>
        <v>0</v>
      </c>
      <c r="V49" s="153">
        <f t="shared" si="8"/>
        <v>0</v>
      </c>
      <c r="W49" s="154"/>
      <c r="X49" s="144"/>
      <c r="Y49" s="61"/>
      <c r="Z49" s="61"/>
      <c r="AA49" s="61"/>
      <c r="AB49" s="61"/>
    </row>
    <row r="50" spans="1:28" x14ac:dyDescent="0.25">
      <c r="A50" s="55"/>
      <c r="B50" s="2">
        <v>5716240</v>
      </c>
      <c r="C50" s="6" t="s">
        <v>592</v>
      </c>
      <c r="D50" s="130"/>
      <c r="E50" s="53">
        <v>1</v>
      </c>
      <c r="F50" s="134"/>
      <c r="G50" s="135">
        <f t="shared" si="1"/>
        <v>0</v>
      </c>
      <c r="H50" s="136">
        <f t="shared" si="2"/>
        <v>0</v>
      </c>
      <c r="I50" s="148"/>
      <c r="J50" s="89">
        <f t="shared" si="0"/>
        <v>1</v>
      </c>
      <c r="K50" s="135">
        <f t="shared" si="3"/>
        <v>0</v>
      </c>
      <c r="L50" s="135">
        <f t="shared" si="4"/>
        <v>0</v>
      </c>
      <c r="M50" s="134" t="s">
        <v>112</v>
      </c>
      <c r="N50" s="155"/>
      <c r="O50" s="139"/>
      <c r="P50" s="3"/>
      <c r="Q50" s="140"/>
      <c r="R50" s="141">
        <f t="shared" si="9"/>
        <v>0</v>
      </c>
      <c r="S50" s="141">
        <f t="shared" si="5"/>
        <v>0</v>
      </c>
      <c r="T50" s="141">
        <f t="shared" si="6"/>
        <v>0</v>
      </c>
      <c r="U50" s="142">
        <f t="shared" si="7"/>
        <v>0</v>
      </c>
      <c r="V50" s="142">
        <f t="shared" si="8"/>
        <v>0</v>
      </c>
      <c r="W50" s="154"/>
      <c r="X50" s="144"/>
      <c r="Y50" s="61"/>
      <c r="Z50" s="61"/>
      <c r="AA50" s="61"/>
      <c r="AB50" s="61"/>
    </row>
    <row r="51" spans="1:28" x14ac:dyDescent="0.25">
      <c r="A51" s="55"/>
      <c r="B51" s="1">
        <v>5717025</v>
      </c>
      <c r="C51" s="4" t="s">
        <v>137</v>
      </c>
      <c r="D51" s="129"/>
      <c r="E51" s="54">
        <v>1</v>
      </c>
      <c r="F51" s="145"/>
      <c r="G51" s="146">
        <f t="shared" si="1"/>
        <v>0</v>
      </c>
      <c r="H51" s="147">
        <f t="shared" si="2"/>
        <v>0</v>
      </c>
      <c r="I51" s="148"/>
      <c r="J51" s="88">
        <f t="shared" si="0"/>
        <v>1</v>
      </c>
      <c r="K51" s="146">
        <f t="shared" si="3"/>
        <v>0</v>
      </c>
      <c r="L51" s="146">
        <f t="shared" si="4"/>
        <v>0</v>
      </c>
      <c r="M51" s="149" t="s">
        <v>112</v>
      </c>
      <c r="N51" s="150"/>
      <c r="O51" s="139"/>
      <c r="P51" s="1"/>
      <c r="Q51" s="145"/>
      <c r="R51" s="151">
        <f t="shared" si="9"/>
        <v>0</v>
      </c>
      <c r="S51" s="152">
        <f t="shared" si="5"/>
        <v>0</v>
      </c>
      <c r="T51" s="152">
        <f t="shared" si="6"/>
        <v>0</v>
      </c>
      <c r="U51" s="153">
        <f t="shared" si="7"/>
        <v>0</v>
      </c>
      <c r="V51" s="153">
        <f t="shared" si="8"/>
        <v>0</v>
      </c>
      <c r="W51" s="154"/>
      <c r="X51" s="144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134"/>
      <c r="G52" s="135">
        <f t="shared" si="1"/>
        <v>0</v>
      </c>
      <c r="H52" s="136">
        <f t="shared" si="2"/>
        <v>0</v>
      </c>
      <c r="I52" s="148"/>
      <c r="J52" s="89">
        <f t="shared" si="0"/>
        <v>0</v>
      </c>
      <c r="K52" s="135">
        <f t="shared" si="3"/>
        <v>0</v>
      </c>
      <c r="L52" s="135">
        <f t="shared" si="4"/>
        <v>0</v>
      </c>
      <c r="M52" s="134" t="s">
        <v>112</v>
      </c>
      <c r="N52" s="155"/>
      <c r="O52" s="139"/>
      <c r="P52" s="3"/>
      <c r="Q52" s="140"/>
      <c r="R52" s="141">
        <f t="shared" si="9"/>
        <v>0</v>
      </c>
      <c r="S52" s="141">
        <f t="shared" si="5"/>
        <v>0</v>
      </c>
      <c r="T52" s="141">
        <f t="shared" si="6"/>
        <v>0</v>
      </c>
      <c r="U52" s="142">
        <f t="shared" si="7"/>
        <v>0</v>
      </c>
      <c r="V52" s="142">
        <f t="shared" si="8"/>
        <v>0</v>
      </c>
      <c r="W52" s="154"/>
      <c r="X52" s="144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45"/>
      <c r="G53" s="146">
        <f t="shared" si="1"/>
        <v>0</v>
      </c>
      <c r="H53" s="147">
        <f t="shared" si="2"/>
        <v>0</v>
      </c>
      <c r="I53" s="148"/>
      <c r="J53" s="88">
        <f t="shared" si="0"/>
        <v>0</v>
      </c>
      <c r="K53" s="146">
        <f t="shared" si="3"/>
        <v>0</v>
      </c>
      <c r="L53" s="146">
        <f t="shared" si="4"/>
        <v>0</v>
      </c>
      <c r="M53" s="149" t="s">
        <v>112</v>
      </c>
      <c r="N53" s="150"/>
      <c r="O53" s="139"/>
      <c r="P53" s="1"/>
      <c r="Q53" s="145"/>
      <c r="R53" s="151">
        <f t="shared" si="9"/>
        <v>0</v>
      </c>
      <c r="S53" s="152">
        <f t="shared" si="5"/>
        <v>0</v>
      </c>
      <c r="T53" s="152">
        <f t="shared" si="6"/>
        <v>0</v>
      </c>
      <c r="U53" s="153">
        <f t="shared" si="7"/>
        <v>0</v>
      </c>
      <c r="V53" s="153">
        <f t="shared" si="8"/>
        <v>0</v>
      </c>
      <c r="W53" s="154"/>
      <c r="X53" s="144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134"/>
      <c r="G54" s="135">
        <f t="shared" si="1"/>
        <v>0</v>
      </c>
      <c r="H54" s="136">
        <f t="shared" si="2"/>
        <v>0</v>
      </c>
      <c r="I54" s="148"/>
      <c r="J54" s="89">
        <f t="shared" si="0"/>
        <v>0</v>
      </c>
      <c r="K54" s="135">
        <f t="shared" si="3"/>
        <v>0</v>
      </c>
      <c r="L54" s="135">
        <f t="shared" si="4"/>
        <v>0</v>
      </c>
      <c r="M54" s="134" t="s">
        <v>112</v>
      </c>
      <c r="N54" s="155"/>
      <c r="O54" s="139"/>
      <c r="P54" s="3"/>
      <c r="Q54" s="140"/>
      <c r="R54" s="141">
        <f t="shared" si="9"/>
        <v>0</v>
      </c>
      <c r="S54" s="141">
        <f t="shared" si="5"/>
        <v>0</v>
      </c>
      <c r="T54" s="141">
        <f t="shared" si="6"/>
        <v>0</v>
      </c>
      <c r="U54" s="142">
        <f t="shared" si="7"/>
        <v>0</v>
      </c>
      <c r="V54" s="142">
        <f t="shared" si="8"/>
        <v>0</v>
      </c>
      <c r="W54" s="154"/>
      <c r="X54" s="144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45"/>
      <c r="G55" s="146">
        <f t="shared" si="1"/>
        <v>0</v>
      </c>
      <c r="H55" s="147">
        <f t="shared" si="2"/>
        <v>0</v>
      </c>
      <c r="I55" s="148"/>
      <c r="J55" s="88">
        <f t="shared" si="0"/>
        <v>0</v>
      </c>
      <c r="K55" s="146">
        <f t="shared" si="3"/>
        <v>0</v>
      </c>
      <c r="L55" s="146">
        <f t="shared" si="4"/>
        <v>0</v>
      </c>
      <c r="M55" s="149" t="s">
        <v>112</v>
      </c>
      <c r="N55" s="150"/>
      <c r="O55" s="139"/>
      <c r="P55" s="1"/>
      <c r="Q55" s="145"/>
      <c r="R55" s="151">
        <f t="shared" si="9"/>
        <v>0</v>
      </c>
      <c r="S55" s="152">
        <f t="shared" si="5"/>
        <v>0</v>
      </c>
      <c r="T55" s="152">
        <f t="shared" si="6"/>
        <v>0</v>
      </c>
      <c r="U55" s="153">
        <f t="shared" si="7"/>
        <v>0</v>
      </c>
      <c r="V55" s="153">
        <f t="shared" si="8"/>
        <v>0</v>
      </c>
      <c r="W55" s="154"/>
      <c r="X55" s="144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134"/>
      <c r="G56" s="135">
        <f t="shared" si="1"/>
        <v>0</v>
      </c>
      <c r="H56" s="136">
        <f t="shared" si="2"/>
        <v>0</v>
      </c>
      <c r="I56" s="148"/>
      <c r="J56" s="89">
        <f t="shared" si="0"/>
        <v>0</v>
      </c>
      <c r="K56" s="135">
        <f t="shared" si="3"/>
        <v>0</v>
      </c>
      <c r="L56" s="135">
        <f t="shared" si="4"/>
        <v>0</v>
      </c>
      <c r="M56" s="134" t="s">
        <v>112</v>
      </c>
      <c r="N56" s="155"/>
      <c r="O56" s="139"/>
      <c r="P56" s="3"/>
      <c r="Q56" s="140"/>
      <c r="R56" s="141">
        <f t="shared" si="9"/>
        <v>0</v>
      </c>
      <c r="S56" s="141">
        <f t="shared" si="5"/>
        <v>0</v>
      </c>
      <c r="T56" s="141">
        <f t="shared" si="6"/>
        <v>0</v>
      </c>
      <c r="U56" s="142">
        <f t="shared" si="7"/>
        <v>0</v>
      </c>
      <c r="V56" s="142">
        <f t="shared" si="8"/>
        <v>0</v>
      </c>
      <c r="W56" s="154"/>
      <c r="X56" s="144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45"/>
      <c r="G57" s="146">
        <f t="shared" si="1"/>
        <v>0</v>
      </c>
      <c r="H57" s="147">
        <f t="shared" si="2"/>
        <v>0</v>
      </c>
      <c r="I57" s="148"/>
      <c r="J57" s="88">
        <f t="shared" si="0"/>
        <v>0</v>
      </c>
      <c r="K57" s="146">
        <f t="shared" si="3"/>
        <v>0</v>
      </c>
      <c r="L57" s="146">
        <f t="shared" si="4"/>
        <v>0</v>
      </c>
      <c r="M57" s="149" t="s">
        <v>112</v>
      </c>
      <c r="N57" s="150"/>
      <c r="O57" s="139"/>
      <c r="P57" s="1"/>
      <c r="Q57" s="145"/>
      <c r="R57" s="151">
        <f t="shared" si="9"/>
        <v>0</v>
      </c>
      <c r="S57" s="152">
        <f t="shared" si="5"/>
        <v>0</v>
      </c>
      <c r="T57" s="152">
        <f t="shared" si="6"/>
        <v>0</v>
      </c>
      <c r="U57" s="153">
        <f t="shared" si="7"/>
        <v>0</v>
      </c>
      <c r="V57" s="153">
        <f t="shared" si="8"/>
        <v>0</v>
      </c>
      <c r="W57" s="154"/>
      <c r="X57" s="144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134"/>
      <c r="G58" s="135">
        <f t="shared" si="1"/>
        <v>0</v>
      </c>
      <c r="H58" s="136">
        <f t="shared" si="2"/>
        <v>0</v>
      </c>
      <c r="I58" s="148"/>
      <c r="J58" s="89">
        <f t="shared" si="0"/>
        <v>0</v>
      </c>
      <c r="K58" s="135">
        <f t="shared" si="3"/>
        <v>0</v>
      </c>
      <c r="L58" s="135">
        <f t="shared" si="4"/>
        <v>0</v>
      </c>
      <c r="M58" s="134" t="s">
        <v>112</v>
      </c>
      <c r="N58" s="155"/>
      <c r="O58" s="139"/>
      <c r="P58" s="3"/>
      <c r="Q58" s="140"/>
      <c r="R58" s="141">
        <f t="shared" si="9"/>
        <v>0</v>
      </c>
      <c r="S58" s="141">
        <f t="shared" si="5"/>
        <v>0</v>
      </c>
      <c r="T58" s="141">
        <f t="shared" si="6"/>
        <v>0</v>
      </c>
      <c r="U58" s="142">
        <f t="shared" si="7"/>
        <v>0</v>
      </c>
      <c r="V58" s="142">
        <f t="shared" si="8"/>
        <v>0</v>
      </c>
      <c r="W58" s="154"/>
      <c r="X58" s="144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45"/>
      <c r="G59" s="146">
        <f t="shared" si="1"/>
        <v>0</v>
      </c>
      <c r="H59" s="147">
        <f t="shared" si="2"/>
        <v>0</v>
      </c>
      <c r="I59" s="148"/>
      <c r="J59" s="88">
        <f t="shared" si="0"/>
        <v>0</v>
      </c>
      <c r="K59" s="146">
        <f t="shared" si="3"/>
        <v>0</v>
      </c>
      <c r="L59" s="146">
        <f t="shared" si="4"/>
        <v>0</v>
      </c>
      <c r="M59" s="149" t="s">
        <v>112</v>
      </c>
      <c r="N59" s="150"/>
      <c r="O59" s="139"/>
      <c r="P59" s="1"/>
      <c r="Q59" s="145"/>
      <c r="R59" s="151">
        <f t="shared" si="9"/>
        <v>0</v>
      </c>
      <c r="S59" s="152">
        <f t="shared" si="5"/>
        <v>0</v>
      </c>
      <c r="T59" s="152">
        <f t="shared" si="6"/>
        <v>0</v>
      </c>
      <c r="U59" s="153">
        <f t="shared" si="7"/>
        <v>0</v>
      </c>
      <c r="V59" s="153">
        <f t="shared" si="8"/>
        <v>0</v>
      </c>
      <c r="W59" s="154"/>
      <c r="X59" s="144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134"/>
      <c r="G60" s="135">
        <f t="shared" si="1"/>
        <v>0</v>
      </c>
      <c r="H60" s="136">
        <f t="shared" si="2"/>
        <v>0</v>
      </c>
      <c r="I60" s="148"/>
      <c r="J60" s="89">
        <f t="shared" si="0"/>
        <v>0</v>
      </c>
      <c r="K60" s="135">
        <f t="shared" si="3"/>
        <v>0</v>
      </c>
      <c r="L60" s="135">
        <f t="shared" si="4"/>
        <v>0</v>
      </c>
      <c r="M60" s="134" t="s">
        <v>112</v>
      </c>
      <c r="N60" s="155"/>
      <c r="O60" s="139"/>
      <c r="P60" s="3"/>
      <c r="Q60" s="140"/>
      <c r="R60" s="141">
        <f t="shared" si="9"/>
        <v>0</v>
      </c>
      <c r="S60" s="141">
        <f t="shared" si="5"/>
        <v>0</v>
      </c>
      <c r="T60" s="141">
        <f t="shared" si="6"/>
        <v>0</v>
      </c>
      <c r="U60" s="142">
        <f t="shared" si="7"/>
        <v>0</v>
      </c>
      <c r="V60" s="142">
        <f t="shared" si="8"/>
        <v>0</v>
      </c>
      <c r="W60" s="154"/>
      <c r="X60" s="144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45"/>
      <c r="G61" s="146">
        <f t="shared" si="1"/>
        <v>0</v>
      </c>
      <c r="H61" s="147">
        <f t="shared" si="2"/>
        <v>0</v>
      </c>
      <c r="I61" s="148"/>
      <c r="J61" s="88">
        <f t="shared" si="0"/>
        <v>0</v>
      </c>
      <c r="K61" s="146">
        <f t="shared" si="3"/>
        <v>0</v>
      </c>
      <c r="L61" s="146">
        <f t="shared" si="4"/>
        <v>0</v>
      </c>
      <c r="M61" s="149" t="s">
        <v>112</v>
      </c>
      <c r="N61" s="150"/>
      <c r="O61" s="139"/>
      <c r="P61" s="1"/>
      <c r="Q61" s="145"/>
      <c r="R61" s="151">
        <f t="shared" si="9"/>
        <v>0</v>
      </c>
      <c r="S61" s="152">
        <f t="shared" si="5"/>
        <v>0</v>
      </c>
      <c r="T61" s="152">
        <f t="shared" si="6"/>
        <v>0</v>
      </c>
      <c r="U61" s="153">
        <f t="shared" si="7"/>
        <v>0</v>
      </c>
      <c r="V61" s="153">
        <f t="shared" si="8"/>
        <v>0</v>
      </c>
      <c r="W61" s="154"/>
      <c r="X61" s="144"/>
      <c r="Y61" s="61"/>
      <c r="Z61" s="61"/>
      <c r="AA61" s="61"/>
      <c r="AB61" s="61"/>
    </row>
    <row r="62" spans="1:28" x14ac:dyDescent="0.25">
      <c r="A62" s="55"/>
      <c r="B62" s="2"/>
      <c r="C62" s="6"/>
      <c r="D62" s="130"/>
      <c r="E62" s="53"/>
      <c r="F62" s="134"/>
      <c r="G62" s="135">
        <f t="shared" si="1"/>
        <v>0</v>
      </c>
      <c r="H62" s="136">
        <f t="shared" si="2"/>
        <v>0</v>
      </c>
      <c r="I62" s="148"/>
      <c r="J62" s="89">
        <f t="shared" si="0"/>
        <v>0</v>
      </c>
      <c r="K62" s="135">
        <f t="shared" si="3"/>
        <v>0</v>
      </c>
      <c r="L62" s="135">
        <f t="shared" si="4"/>
        <v>0</v>
      </c>
      <c r="M62" s="134" t="s">
        <v>112</v>
      </c>
      <c r="N62" s="155"/>
      <c r="O62" s="139"/>
      <c r="P62" s="3"/>
      <c r="Q62" s="140"/>
      <c r="R62" s="141">
        <f t="shared" si="9"/>
        <v>0</v>
      </c>
      <c r="S62" s="141">
        <f t="shared" si="5"/>
        <v>0</v>
      </c>
      <c r="T62" s="141">
        <f t="shared" si="6"/>
        <v>0</v>
      </c>
      <c r="U62" s="142">
        <f t="shared" si="7"/>
        <v>0</v>
      </c>
      <c r="V62" s="142">
        <f t="shared" si="8"/>
        <v>0</v>
      </c>
      <c r="W62" s="154"/>
      <c r="X62" s="144"/>
      <c r="Y62" s="61"/>
      <c r="Z62" s="61"/>
      <c r="AA62" s="61"/>
      <c r="AB62" s="61"/>
    </row>
    <row r="63" spans="1:28" x14ac:dyDescent="0.25">
      <c r="A63" s="55"/>
      <c r="B63" s="1"/>
      <c r="C63" s="4"/>
      <c r="D63" s="129"/>
      <c r="E63" s="54"/>
      <c r="F63" s="145"/>
      <c r="G63" s="146">
        <f t="shared" si="1"/>
        <v>0</v>
      </c>
      <c r="H63" s="147">
        <f t="shared" si="2"/>
        <v>0</v>
      </c>
      <c r="I63" s="148"/>
      <c r="J63" s="88">
        <f t="shared" si="0"/>
        <v>0</v>
      </c>
      <c r="K63" s="146">
        <f t="shared" si="3"/>
        <v>0</v>
      </c>
      <c r="L63" s="146">
        <f t="shared" si="4"/>
        <v>0</v>
      </c>
      <c r="M63" s="149" t="s">
        <v>112</v>
      </c>
      <c r="N63" s="150"/>
      <c r="O63" s="139"/>
      <c r="P63" s="1"/>
      <c r="Q63" s="145"/>
      <c r="R63" s="151">
        <f t="shared" si="9"/>
        <v>0</v>
      </c>
      <c r="S63" s="152">
        <f t="shared" si="5"/>
        <v>0</v>
      </c>
      <c r="T63" s="152">
        <f t="shared" si="6"/>
        <v>0</v>
      </c>
      <c r="U63" s="153">
        <f t="shared" si="7"/>
        <v>0</v>
      </c>
      <c r="V63" s="153">
        <f t="shared" si="8"/>
        <v>0</v>
      </c>
      <c r="W63" s="154"/>
      <c r="X63" s="144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134"/>
      <c r="G64" s="135">
        <f t="shared" si="1"/>
        <v>0</v>
      </c>
      <c r="H64" s="136">
        <f t="shared" si="2"/>
        <v>0</v>
      </c>
      <c r="I64" s="148"/>
      <c r="J64" s="89">
        <f t="shared" si="0"/>
        <v>0</v>
      </c>
      <c r="K64" s="135">
        <f t="shared" si="3"/>
        <v>0</v>
      </c>
      <c r="L64" s="135">
        <f t="shared" si="4"/>
        <v>0</v>
      </c>
      <c r="M64" s="134" t="s">
        <v>112</v>
      </c>
      <c r="N64" s="155"/>
      <c r="O64" s="139"/>
      <c r="P64" s="3"/>
      <c r="Q64" s="140"/>
      <c r="R64" s="141">
        <f t="shared" si="9"/>
        <v>0</v>
      </c>
      <c r="S64" s="141">
        <f t="shared" si="5"/>
        <v>0</v>
      </c>
      <c r="T64" s="141">
        <f t="shared" si="6"/>
        <v>0</v>
      </c>
      <c r="U64" s="142">
        <f t="shared" si="7"/>
        <v>0</v>
      </c>
      <c r="V64" s="142">
        <f t="shared" si="8"/>
        <v>0</v>
      </c>
      <c r="W64" s="154"/>
      <c r="X64" s="144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45"/>
      <c r="G65" s="146">
        <f t="shared" si="1"/>
        <v>0</v>
      </c>
      <c r="H65" s="147">
        <f t="shared" si="2"/>
        <v>0</v>
      </c>
      <c r="I65" s="148"/>
      <c r="J65" s="88">
        <f t="shared" si="0"/>
        <v>0</v>
      </c>
      <c r="K65" s="146">
        <f t="shared" si="3"/>
        <v>0</v>
      </c>
      <c r="L65" s="146">
        <f t="shared" si="4"/>
        <v>0</v>
      </c>
      <c r="M65" s="149" t="s">
        <v>112</v>
      </c>
      <c r="N65" s="150"/>
      <c r="O65" s="139"/>
      <c r="P65" s="1"/>
      <c r="Q65" s="145"/>
      <c r="R65" s="151">
        <f t="shared" si="9"/>
        <v>0</v>
      </c>
      <c r="S65" s="152">
        <f t="shared" si="5"/>
        <v>0</v>
      </c>
      <c r="T65" s="152">
        <f t="shared" si="6"/>
        <v>0</v>
      </c>
      <c r="U65" s="153">
        <f t="shared" si="7"/>
        <v>0</v>
      </c>
      <c r="V65" s="153">
        <f t="shared" si="8"/>
        <v>0</v>
      </c>
      <c r="W65" s="154"/>
      <c r="X65" s="144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134"/>
      <c r="G66" s="135">
        <f t="shared" si="1"/>
        <v>0</v>
      </c>
      <c r="H66" s="136">
        <f t="shared" si="2"/>
        <v>0</v>
      </c>
      <c r="I66" s="148"/>
      <c r="J66" s="89">
        <f t="shared" si="0"/>
        <v>0</v>
      </c>
      <c r="K66" s="135">
        <f t="shared" si="3"/>
        <v>0</v>
      </c>
      <c r="L66" s="135">
        <f t="shared" si="4"/>
        <v>0</v>
      </c>
      <c r="M66" s="134" t="s">
        <v>112</v>
      </c>
      <c r="N66" s="155"/>
      <c r="O66" s="139"/>
      <c r="P66" s="3"/>
      <c r="Q66" s="140"/>
      <c r="R66" s="141">
        <f t="shared" si="9"/>
        <v>0</v>
      </c>
      <c r="S66" s="141">
        <f t="shared" si="5"/>
        <v>0</v>
      </c>
      <c r="T66" s="141">
        <f t="shared" si="6"/>
        <v>0</v>
      </c>
      <c r="U66" s="142">
        <f t="shared" si="7"/>
        <v>0</v>
      </c>
      <c r="V66" s="142">
        <f t="shared" si="8"/>
        <v>0</v>
      </c>
      <c r="W66" s="154"/>
      <c r="X66" s="144"/>
      <c r="Y66" s="61"/>
      <c r="Z66" s="61"/>
      <c r="AA66" s="61"/>
      <c r="AB66" s="61"/>
    </row>
    <row r="67" spans="1:28" x14ac:dyDescent="0.25">
      <c r="A67" s="55"/>
      <c r="B67" s="1"/>
      <c r="C67" s="4"/>
      <c r="D67" s="129"/>
      <c r="E67" s="54"/>
      <c r="F67" s="145"/>
      <c r="G67" s="146">
        <f t="shared" si="1"/>
        <v>0</v>
      </c>
      <c r="H67" s="147">
        <f t="shared" si="2"/>
        <v>0</v>
      </c>
      <c r="I67" s="148"/>
      <c r="J67" s="88">
        <f t="shared" si="0"/>
        <v>0</v>
      </c>
      <c r="K67" s="146">
        <f t="shared" si="3"/>
        <v>0</v>
      </c>
      <c r="L67" s="146">
        <f t="shared" si="4"/>
        <v>0</v>
      </c>
      <c r="M67" s="149" t="s">
        <v>112</v>
      </c>
      <c r="N67" s="150"/>
      <c r="O67" s="139"/>
      <c r="P67" s="1"/>
      <c r="Q67" s="145"/>
      <c r="R67" s="151">
        <f t="shared" si="9"/>
        <v>0</v>
      </c>
      <c r="S67" s="152">
        <f t="shared" si="5"/>
        <v>0</v>
      </c>
      <c r="T67" s="152">
        <f t="shared" si="6"/>
        <v>0</v>
      </c>
      <c r="U67" s="153">
        <f t="shared" si="7"/>
        <v>0</v>
      </c>
      <c r="V67" s="153">
        <f t="shared" si="8"/>
        <v>0</v>
      </c>
      <c r="W67" s="154"/>
      <c r="X67" s="144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134"/>
      <c r="G68" s="135">
        <f t="shared" si="1"/>
        <v>0</v>
      </c>
      <c r="H68" s="136">
        <f t="shared" si="2"/>
        <v>0</v>
      </c>
      <c r="I68" s="148"/>
      <c r="J68" s="89">
        <f t="shared" si="0"/>
        <v>0</v>
      </c>
      <c r="K68" s="135">
        <f t="shared" si="3"/>
        <v>0</v>
      </c>
      <c r="L68" s="135">
        <f t="shared" si="4"/>
        <v>0</v>
      </c>
      <c r="M68" s="134" t="s">
        <v>112</v>
      </c>
      <c r="N68" s="155"/>
      <c r="O68" s="139"/>
      <c r="P68" s="3"/>
      <c r="Q68" s="140"/>
      <c r="R68" s="141">
        <f t="shared" si="9"/>
        <v>0</v>
      </c>
      <c r="S68" s="141">
        <f t="shared" si="5"/>
        <v>0</v>
      </c>
      <c r="T68" s="141">
        <f t="shared" si="6"/>
        <v>0</v>
      </c>
      <c r="U68" s="142">
        <f t="shared" si="7"/>
        <v>0</v>
      </c>
      <c r="V68" s="142">
        <f t="shared" si="8"/>
        <v>0</v>
      </c>
      <c r="W68" s="154"/>
      <c r="X68" s="144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45"/>
      <c r="G69" s="146">
        <f t="shared" si="1"/>
        <v>0</v>
      </c>
      <c r="H69" s="147">
        <f t="shared" si="2"/>
        <v>0</v>
      </c>
      <c r="I69" s="148"/>
      <c r="J69" s="88">
        <f t="shared" si="0"/>
        <v>0</v>
      </c>
      <c r="K69" s="146">
        <f t="shared" si="3"/>
        <v>0</v>
      </c>
      <c r="L69" s="146">
        <f t="shared" si="4"/>
        <v>0</v>
      </c>
      <c r="M69" s="149" t="s">
        <v>112</v>
      </c>
      <c r="N69" s="150"/>
      <c r="O69" s="139"/>
      <c r="P69" s="1"/>
      <c r="Q69" s="145"/>
      <c r="R69" s="151">
        <f t="shared" si="9"/>
        <v>0</v>
      </c>
      <c r="S69" s="152">
        <f t="shared" si="5"/>
        <v>0</v>
      </c>
      <c r="T69" s="152">
        <f t="shared" si="6"/>
        <v>0</v>
      </c>
      <c r="U69" s="153">
        <f t="shared" si="7"/>
        <v>0</v>
      </c>
      <c r="V69" s="153">
        <f t="shared" si="8"/>
        <v>0</v>
      </c>
      <c r="W69" s="154"/>
      <c r="X69" s="144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134"/>
      <c r="G70" s="135">
        <f t="shared" si="1"/>
        <v>0</v>
      </c>
      <c r="H70" s="136">
        <f t="shared" si="2"/>
        <v>0</v>
      </c>
      <c r="I70" s="148"/>
      <c r="J70" s="89">
        <f t="shared" si="0"/>
        <v>0</v>
      </c>
      <c r="K70" s="135">
        <f t="shared" si="3"/>
        <v>0</v>
      </c>
      <c r="L70" s="135">
        <f t="shared" si="4"/>
        <v>0</v>
      </c>
      <c r="M70" s="134" t="s">
        <v>112</v>
      </c>
      <c r="N70" s="155"/>
      <c r="O70" s="139"/>
      <c r="P70" s="3"/>
      <c r="Q70" s="140"/>
      <c r="R70" s="141">
        <f t="shared" si="9"/>
        <v>0</v>
      </c>
      <c r="S70" s="141">
        <f t="shared" si="5"/>
        <v>0</v>
      </c>
      <c r="T70" s="141">
        <f t="shared" si="6"/>
        <v>0</v>
      </c>
      <c r="U70" s="142">
        <f t="shared" si="7"/>
        <v>0</v>
      </c>
      <c r="V70" s="142">
        <f t="shared" si="8"/>
        <v>0</v>
      </c>
      <c r="W70" s="154"/>
      <c r="X70" s="144"/>
      <c r="Y70" s="61"/>
      <c r="Z70" s="61"/>
      <c r="AA70" s="61"/>
      <c r="AB70" s="61"/>
    </row>
    <row r="71" spans="1:28" x14ac:dyDescent="0.25">
      <c r="A71" s="55"/>
      <c r="B71" s="1"/>
      <c r="C71" s="4"/>
      <c r="D71" s="129"/>
      <c r="E71" s="54"/>
      <c r="F71" s="145"/>
      <c r="G71" s="146">
        <f t="shared" si="1"/>
        <v>0</v>
      </c>
      <c r="H71" s="147">
        <f t="shared" si="2"/>
        <v>0</v>
      </c>
      <c r="I71" s="148"/>
      <c r="J71" s="88">
        <f t="shared" si="0"/>
        <v>0</v>
      </c>
      <c r="K71" s="146">
        <f t="shared" si="3"/>
        <v>0</v>
      </c>
      <c r="L71" s="146">
        <f t="shared" si="4"/>
        <v>0</v>
      </c>
      <c r="M71" s="149" t="s">
        <v>112</v>
      </c>
      <c r="N71" s="150"/>
      <c r="O71" s="139"/>
      <c r="P71" s="1"/>
      <c r="Q71" s="145"/>
      <c r="R71" s="151">
        <f t="shared" si="9"/>
        <v>0</v>
      </c>
      <c r="S71" s="152">
        <f t="shared" si="5"/>
        <v>0</v>
      </c>
      <c r="T71" s="152">
        <f t="shared" si="6"/>
        <v>0</v>
      </c>
      <c r="U71" s="153">
        <f t="shared" si="7"/>
        <v>0</v>
      </c>
      <c r="V71" s="153">
        <f t="shared" si="8"/>
        <v>0</v>
      </c>
      <c r="W71" s="154"/>
      <c r="X71" s="144"/>
      <c r="Y71" s="61"/>
      <c r="Z71" s="61"/>
      <c r="AA71" s="61"/>
      <c r="AB71" s="61"/>
    </row>
    <row r="72" spans="1:28" x14ac:dyDescent="0.25">
      <c r="A72" s="55"/>
      <c r="B72" s="2"/>
      <c r="C72" s="6"/>
      <c r="D72" s="130"/>
      <c r="E72" s="53"/>
      <c r="F72" s="134"/>
      <c r="G72" s="135">
        <f t="shared" si="1"/>
        <v>0</v>
      </c>
      <c r="H72" s="136">
        <f t="shared" si="2"/>
        <v>0</v>
      </c>
      <c r="I72" s="148"/>
      <c r="J72" s="89">
        <f t="shared" si="0"/>
        <v>0</v>
      </c>
      <c r="K72" s="135">
        <f t="shared" si="3"/>
        <v>0</v>
      </c>
      <c r="L72" s="135">
        <f t="shared" si="4"/>
        <v>0</v>
      </c>
      <c r="M72" s="134" t="s">
        <v>112</v>
      </c>
      <c r="N72" s="155"/>
      <c r="O72" s="139"/>
      <c r="P72" s="3"/>
      <c r="Q72" s="140"/>
      <c r="R72" s="141">
        <f t="shared" si="9"/>
        <v>0</v>
      </c>
      <c r="S72" s="141">
        <f t="shared" si="5"/>
        <v>0</v>
      </c>
      <c r="T72" s="141">
        <f t="shared" si="6"/>
        <v>0</v>
      </c>
      <c r="U72" s="142">
        <f t="shared" si="7"/>
        <v>0</v>
      </c>
      <c r="V72" s="142">
        <f t="shared" si="8"/>
        <v>0</v>
      </c>
      <c r="W72" s="154"/>
      <c r="X72" s="144"/>
      <c r="Y72" s="61"/>
      <c r="Z72" s="61"/>
      <c r="AA72" s="61"/>
      <c r="AB72" s="61"/>
    </row>
    <row r="73" spans="1:28" x14ac:dyDescent="0.25">
      <c r="A73" s="55"/>
      <c r="B73" s="1"/>
      <c r="C73" s="4"/>
      <c r="D73" s="129"/>
      <c r="E73" s="54"/>
      <c r="F73" s="145"/>
      <c r="G73" s="146">
        <f t="shared" si="1"/>
        <v>0</v>
      </c>
      <c r="H73" s="147">
        <f t="shared" si="2"/>
        <v>0</v>
      </c>
      <c r="I73" s="148"/>
      <c r="J73" s="88">
        <f t="shared" si="0"/>
        <v>0</v>
      </c>
      <c r="K73" s="146">
        <f t="shared" si="3"/>
        <v>0</v>
      </c>
      <c r="L73" s="146">
        <f t="shared" si="4"/>
        <v>0</v>
      </c>
      <c r="M73" s="149" t="s">
        <v>112</v>
      </c>
      <c r="N73" s="150"/>
      <c r="O73" s="139"/>
      <c r="P73" s="1"/>
      <c r="Q73" s="145"/>
      <c r="R73" s="151">
        <f t="shared" si="9"/>
        <v>0</v>
      </c>
      <c r="S73" s="152">
        <f t="shared" si="5"/>
        <v>0</v>
      </c>
      <c r="T73" s="152">
        <f t="shared" si="6"/>
        <v>0</v>
      </c>
      <c r="U73" s="153">
        <f t="shared" si="7"/>
        <v>0</v>
      </c>
      <c r="V73" s="153">
        <f t="shared" si="8"/>
        <v>0</v>
      </c>
      <c r="W73" s="154"/>
      <c r="X73" s="144"/>
      <c r="Y73" s="61"/>
      <c r="Z73" s="61"/>
      <c r="AA73" s="61"/>
      <c r="AB73" s="61"/>
    </row>
    <row r="74" spans="1:28" x14ac:dyDescent="0.25">
      <c r="A74" s="55"/>
      <c r="B74" s="2"/>
      <c r="C74" s="6"/>
      <c r="D74" s="130"/>
      <c r="E74" s="53"/>
      <c r="F74" s="134"/>
      <c r="G74" s="135">
        <f t="shared" si="1"/>
        <v>0</v>
      </c>
      <c r="H74" s="136">
        <f t="shared" si="2"/>
        <v>0</v>
      </c>
      <c r="I74" s="148"/>
      <c r="J74" s="89">
        <f t="shared" si="0"/>
        <v>0</v>
      </c>
      <c r="K74" s="135">
        <f t="shared" si="3"/>
        <v>0</v>
      </c>
      <c r="L74" s="135">
        <f t="shared" si="4"/>
        <v>0</v>
      </c>
      <c r="M74" s="134" t="s">
        <v>112</v>
      </c>
      <c r="N74" s="155"/>
      <c r="O74" s="139"/>
      <c r="P74" s="3"/>
      <c r="Q74" s="140"/>
      <c r="R74" s="141">
        <f t="shared" si="9"/>
        <v>0</v>
      </c>
      <c r="S74" s="141">
        <f t="shared" si="5"/>
        <v>0</v>
      </c>
      <c r="T74" s="141">
        <f t="shared" si="6"/>
        <v>0</v>
      </c>
      <c r="U74" s="142">
        <f t="shared" si="7"/>
        <v>0</v>
      </c>
      <c r="V74" s="142">
        <f t="shared" si="8"/>
        <v>0</v>
      </c>
      <c r="W74" s="154"/>
      <c r="X74" s="144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45"/>
      <c r="G75" s="146">
        <f t="shared" si="1"/>
        <v>0</v>
      </c>
      <c r="H75" s="147">
        <f t="shared" si="2"/>
        <v>0</v>
      </c>
      <c r="I75" s="148"/>
      <c r="J75" s="88">
        <f t="shared" si="0"/>
        <v>0</v>
      </c>
      <c r="K75" s="146">
        <f t="shared" si="3"/>
        <v>0</v>
      </c>
      <c r="L75" s="146">
        <f t="shared" si="4"/>
        <v>0</v>
      </c>
      <c r="M75" s="149" t="s">
        <v>112</v>
      </c>
      <c r="N75" s="150"/>
      <c r="O75" s="139"/>
      <c r="P75" s="1"/>
      <c r="Q75" s="145"/>
      <c r="R75" s="151">
        <f t="shared" si="9"/>
        <v>0</v>
      </c>
      <c r="S75" s="152">
        <f t="shared" si="5"/>
        <v>0</v>
      </c>
      <c r="T75" s="152">
        <f t="shared" si="6"/>
        <v>0</v>
      </c>
      <c r="U75" s="153">
        <f t="shared" si="7"/>
        <v>0</v>
      </c>
      <c r="V75" s="153">
        <f t="shared" si="8"/>
        <v>0</v>
      </c>
      <c r="W75" s="154"/>
      <c r="X75" s="144"/>
      <c r="Y75" s="61"/>
      <c r="Z75" s="61"/>
      <c r="AA75" s="61"/>
      <c r="AB75" s="61"/>
    </row>
    <row r="76" spans="1:28" x14ac:dyDescent="0.25">
      <c r="A76" s="55"/>
      <c r="B76" s="2"/>
      <c r="C76" s="6"/>
      <c r="D76" s="130"/>
      <c r="E76" s="53"/>
      <c r="F76" s="134"/>
      <c r="G76" s="135">
        <f t="shared" si="1"/>
        <v>0</v>
      </c>
      <c r="H76" s="136">
        <f t="shared" si="2"/>
        <v>0</v>
      </c>
      <c r="I76" s="148"/>
      <c r="J76" s="89">
        <f t="shared" si="0"/>
        <v>0</v>
      </c>
      <c r="K76" s="135">
        <f t="shared" si="3"/>
        <v>0</v>
      </c>
      <c r="L76" s="135">
        <f t="shared" si="4"/>
        <v>0</v>
      </c>
      <c r="M76" s="134" t="s">
        <v>112</v>
      </c>
      <c r="N76" s="155"/>
      <c r="O76" s="139"/>
      <c r="P76" s="3"/>
      <c r="Q76" s="140"/>
      <c r="R76" s="141">
        <f t="shared" si="9"/>
        <v>0</v>
      </c>
      <c r="S76" s="141">
        <f t="shared" si="5"/>
        <v>0</v>
      </c>
      <c r="T76" s="141">
        <f t="shared" si="6"/>
        <v>0</v>
      </c>
      <c r="U76" s="142">
        <f t="shared" si="7"/>
        <v>0</v>
      </c>
      <c r="V76" s="142">
        <f t="shared" si="8"/>
        <v>0</v>
      </c>
      <c r="W76" s="154"/>
      <c r="X76" s="144"/>
      <c r="Y76" s="61"/>
      <c r="Z76" s="61"/>
      <c r="AA76" s="61"/>
      <c r="AB76" s="61"/>
    </row>
    <row r="77" spans="1:28" x14ac:dyDescent="0.25">
      <c r="A77" s="55"/>
      <c r="B77" s="1"/>
      <c r="C77" s="4"/>
      <c r="D77" s="129"/>
      <c r="E77" s="54"/>
      <c r="F77" s="145"/>
      <c r="G77" s="146">
        <f t="shared" si="1"/>
        <v>0</v>
      </c>
      <c r="H77" s="147">
        <f t="shared" si="2"/>
        <v>0</v>
      </c>
      <c r="I77" s="148"/>
      <c r="J77" s="88">
        <f t="shared" si="0"/>
        <v>0</v>
      </c>
      <c r="K77" s="146">
        <f t="shared" si="3"/>
        <v>0</v>
      </c>
      <c r="L77" s="146">
        <f t="shared" si="4"/>
        <v>0</v>
      </c>
      <c r="M77" s="149" t="s">
        <v>112</v>
      </c>
      <c r="N77" s="150"/>
      <c r="O77" s="139"/>
      <c r="P77" s="1"/>
      <c r="Q77" s="145"/>
      <c r="R77" s="151">
        <f t="shared" si="9"/>
        <v>0</v>
      </c>
      <c r="S77" s="152">
        <f t="shared" si="5"/>
        <v>0</v>
      </c>
      <c r="T77" s="152">
        <f t="shared" si="6"/>
        <v>0</v>
      </c>
      <c r="U77" s="153">
        <f t="shared" si="7"/>
        <v>0</v>
      </c>
      <c r="V77" s="153">
        <f t="shared" si="8"/>
        <v>0</v>
      </c>
      <c r="W77" s="154"/>
      <c r="X77" s="144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134"/>
      <c r="G78" s="135">
        <f t="shared" si="1"/>
        <v>0</v>
      </c>
      <c r="H78" s="136">
        <f t="shared" si="2"/>
        <v>0</v>
      </c>
      <c r="I78" s="148"/>
      <c r="J78" s="89">
        <f t="shared" si="0"/>
        <v>0</v>
      </c>
      <c r="K78" s="135">
        <f t="shared" si="3"/>
        <v>0</v>
      </c>
      <c r="L78" s="135">
        <f t="shared" si="4"/>
        <v>0</v>
      </c>
      <c r="M78" s="134" t="s">
        <v>112</v>
      </c>
      <c r="N78" s="155"/>
      <c r="O78" s="139"/>
      <c r="P78" s="3"/>
      <c r="Q78" s="140"/>
      <c r="R78" s="141">
        <f t="shared" si="9"/>
        <v>0</v>
      </c>
      <c r="S78" s="141">
        <f t="shared" si="5"/>
        <v>0</v>
      </c>
      <c r="T78" s="141">
        <f t="shared" si="6"/>
        <v>0</v>
      </c>
      <c r="U78" s="142">
        <f t="shared" si="7"/>
        <v>0</v>
      </c>
      <c r="V78" s="142">
        <f t="shared" si="8"/>
        <v>0</v>
      </c>
      <c r="W78" s="154"/>
      <c r="X78" s="144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45"/>
      <c r="G79" s="146">
        <f t="shared" si="1"/>
        <v>0</v>
      </c>
      <c r="H79" s="147">
        <f t="shared" si="2"/>
        <v>0</v>
      </c>
      <c r="I79" s="148"/>
      <c r="J79" s="88">
        <f t="shared" si="0"/>
        <v>0</v>
      </c>
      <c r="K79" s="146">
        <f t="shared" si="3"/>
        <v>0</v>
      </c>
      <c r="L79" s="146">
        <f t="shared" si="4"/>
        <v>0</v>
      </c>
      <c r="M79" s="149" t="s">
        <v>112</v>
      </c>
      <c r="N79" s="150"/>
      <c r="O79" s="139"/>
      <c r="P79" s="1"/>
      <c r="Q79" s="145"/>
      <c r="R79" s="151">
        <f t="shared" si="9"/>
        <v>0</v>
      </c>
      <c r="S79" s="152">
        <f t="shared" si="5"/>
        <v>0</v>
      </c>
      <c r="T79" s="152">
        <f t="shared" si="6"/>
        <v>0</v>
      </c>
      <c r="U79" s="153">
        <f t="shared" si="7"/>
        <v>0</v>
      </c>
      <c r="V79" s="153">
        <f t="shared" si="8"/>
        <v>0</v>
      </c>
      <c r="W79" s="154"/>
      <c r="X79" s="144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134"/>
      <c r="G80" s="135">
        <f t="shared" si="1"/>
        <v>0</v>
      </c>
      <c r="H80" s="136">
        <f t="shared" si="2"/>
        <v>0</v>
      </c>
      <c r="I80" s="148"/>
      <c r="J80" s="89">
        <f t="shared" si="0"/>
        <v>0</v>
      </c>
      <c r="K80" s="135">
        <f t="shared" si="3"/>
        <v>0</v>
      </c>
      <c r="L80" s="135">
        <f t="shared" si="4"/>
        <v>0</v>
      </c>
      <c r="M80" s="134" t="s">
        <v>112</v>
      </c>
      <c r="N80" s="155"/>
      <c r="O80" s="139"/>
      <c r="P80" s="3"/>
      <c r="Q80" s="140"/>
      <c r="R80" s="141">
        <f t="shared" si="9"/>
        <v>0</v>
      </c>
      <c r="S80" s="141">
        <f t="shared" si="5"/>
        <v>0</v>
      </c>
      <c r="T80" s="141">
        <f t="shared" si="6"/>
        <v>0</v>
      </c>
      <c r="U80" s="142">
        <f t="shared" si="7"/>
        <v>0</v>
      </c>
      <c r="V80" s="142">
        <f t="shared" si="8"/>
        <v>0</v>
      </c>
      <c r="W80" s="154"/>
      <c r="X80" s="144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161</v>
      </c>
      <c r="E81" s="77">
        <f>SUM(E18:E80)</f>
        <v>68</v>
      </c>
      <c r="F81" s="78">
        <f>SUM(F18:F80)</f>
        <v>35.090000000000003</v>
      </c>
      <c r="G81" s="79">
        <f>SUM(G18:G80)</f>
        <v>24.71</v>
      </c>
      <c r="H81" s="80">
        <f>SUM(H18:H80)</f>
        <v>35.090000000000003</v>
      </c>
      <c r="I81" s="81"/>
      <c r="J81" s="82">
        <f>SUM(J18:J80)</f>
        <v>68</v>
      </c>
      <c r="K81" s="79">
        <f>SUM(K18:K80)</f>
        <v>35.090000000000003</v>
      </c>
      <c r="L81" s="80">
        <f>SUM(L18:L80)</f>
        <v>35.090000000000003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35.090000000000003</v>
      </c>
      <c r="T81" s="80">
        <f>SUM(T18:T80)</f>
        <v>35.090000000000003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algorithmName="SHA-512" hashValue="WGI+fGAFqdBj1liI83XKgSPg4P7RJDLiOA6+kSOeiWWeVeiwR+V2A4f43zLZwGxLRtXWlrf7AM9hn9111kMNEw==" saltValue="BgCnZznhASTSEGHqb2dZcw==" spinCount="100000" sheet="1"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M18:M80" xr:uid="{3E16C4BA-916F-4E58-82A0-E80F7AC8AD1D}">
      <formula1>$Y$31:$Y$32</formula1>
    </dataValidation>
    <dataValidation type="list" showInputMessage="1" showErrorMessage="1" sqref="D18:D80" xr:uid="{7B910A64-D710-42B9-A21D-710A9355FA9D}">
      <formula1>$Z$18:$Z$29</formula1>
    </dataValidation>
    <dataValidation type="list" allowBlank="1" showInputMessage="1" showErrorMessage="1" sqref="I13" xr:uid="{18B54DFB-5785-4DB1-9F8E-241EE661C2E9}">
      <formula1>$K$9:$K$9</formula1>
    </dataValidation>
    <dataValidation type="list" allowBlank="1" showInputMessage="1" showErrorMessage="1" sqref="H13" xr:uid="{8B8BBCA5-2CD6-4262-8BA8-F5A27A4209E3}">
      <formula1>$Y$13:$Y$14</formula1>
    </dataValidation>
    <dataValidation type="list" allowBlank="1" showInputMessage="1" showErrorMessage="1" sqref="F17 K17 Q17 Q14" xr:uid="{C1662D74-E279-4C3D-883E-A0D565EBD994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C796-2FC0-4A49-8C45-32520A0051BE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>
        <v>45919</v>
      </c>
      <c r="D2" s="279" t="s">
        <v>34</v>
      </c>
      <c r="E2" s="280"/>
      <c r="F2" s="281">
        <v>452631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H61</f>
        <v>23433.679999999997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593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L61</f>
        <v>15531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594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7902.6799999999967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x14ac:dyDescent="0.25">
      <c r="A5" s="55"/>
      <c r="B5" s="118" t="s">
        <v>50</v>
      </c>
      <c r="C5" s="4"/>
      <c r="D5" s="244" t="s">
        <v>51</v>
      </c>
      <c r="E5" s="245"/>
      <c r="F5" s="246" t="s">
        <v>595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0.33723597830131663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596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T61</f>
        <v>15531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R61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0</v>
      </c>
      <c r="T9" s="233">
        <f>P3-S9</f>
        <v>15531</v>
      </c>
      <c r="U9" s="235">
        <f>IFERROR(((P3-S9)/S9),0)</f>
        <v>0</v>
      </c>
      <c r="V9" s="235">
        <f>IFERROR(T9/P3,0)</f>
        <v>1</v>
      </c>
      <c r="W9" s="237"/>
      <c r="X9" s="64"/>
      <c r="Y9" s="61"/>
      <c r="Z9" s="61"/>
      <c r="AA9" s="61"/>
      <c r="AB9" s="61"/>
    </row>
    <row r="10" spans="1:28" ht="15" customHeight="1" x14ac:dyDescent="0.2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E61</f>
        <v>38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83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/>
      <c r="S14" s="101" t="s">
        <v>90</v>
      </c>
      <c r="T14" s="46">
        <v>2.5000000000000001E-2</v>
      </c>
      <c r="U14" s="101" t="s">
        <v>91</v>
      </c>
      <c r="V14" s="100">
        <f>ROUND(R61*T14,2)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79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7343102</v>
      </c>
      <c r="C18" s="5" t="s">
        <v>122</v>
      </c>
      <c r="D18" s="128"/>
      <c r="E18" s="53">
        <v>1</v>
      </c>
      <c r="F18" s="8">
        <v>43.99</v>
      </c>
      <c r="G18" s="9">
        <f>ROUND(IF($F$17="USD $", F18*$E$15,F18*$D$15),2)</f>
        <v>30.34</v>
      </c>
      <c r="H18" s="10">
        <f>ROUND(IF($H$17=$G$17,E18*G18,E18*F18),2)</f>
        <v>43.99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16.72</v>
      </c>
      <c r="L18" s="9">
        <f>ROUND((J18*K18),2)</f>
        <v>16.72</v>
      </c>
      <c r="M18" s="8" t="s">
        <v>112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16.72</v>
      </c>
      <c r="T18" s="14">
        <f>ROUND(L18-R18,2)</f>
        <v>16.72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7319444</v>
      </c>
      <c r="C19" s="4" t="s">
        <v>597</v>
      </c>
      <c r="D19" s="129"/>
      <c r="E19" s="54">
        <v>1</v>
      </c>
      <c r="F19" s="15">
        <v>62.99</v>
      </c>
      <c r="G19" s="38">
        <f t="shared" ref="G19:G60" si="1">ROUND(IF($F$17="USD $", F19*$E$15,F19*$D$15),2)</f>
        <v>43.44</v>
      </c>
      <c r="H19" s="39">
        <f t="shared" ref="H19:H60" si="2">ROUND(IF($H$17=$G$17,E19*G19,E19*F19),2)</f>
        <v>62.99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23.94</v>
      </c>
      <c r="L19" s="38">
        <f t="shared" ref="L19:L60" si="4">ROUND((J19*K19),2)</f>
        <v>23.94</v>
      </c>
      <c r="M19" s="132" t="s">
        <v>112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23.94</v>
      </c>
      <c r="T19" s="52">
        <f t="shared" ref="T19:T60" si="6">ROUND(L19-R19,2)</f>
        <v>23.94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112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598</v>
      </c>
      <c r="D21" s="129"/>
      <c r="E21" s="54">
        <v>1</v>
      </c>
      <c r="F21" s="15">
        <v>117.99</v>
      </c>
      <c r="G21" s="38">
        <f t="shared" si="1"/>
        <v>81.37</v>
      </c>
      <c r="H21" s="39">
        <f t="shared" si="2"/>
        <v>117.99</v>
      </c>
      <c r="I21" s="42"/>
      <c r="J21" s="88">
        <f t="shared" si="0"/>
        <v>1</v>
      </c>
      <c r="K21" s="38">
        <f t="shared" si="3"/>
        <v>44.84</v>
      </c>
      <c r="L21" s="38">
        <f t="shared" si="4"/>
        <v>44.84</v>
      </c>
      <c r="M21" s="132" t="s">
        <v>112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44.84</v>
      </c>
      <c r="T21" s="52">
        <f t="shared" si="6"/>
        <v>44.84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>
        <v>7386225</v>
      </c>
      <c r="C22" s="6" t="s">
        <v>599</v>
      </c>
      <c r="D22" s="130"/>
      <c r="E22" s="53">
        <v>1</v>
      </c>
      <c r="F22" s="8">
        <v>46.49</v>
      </c>
      <c r="G22" s="9">
        <f t="shared" si="1"/>
        <v>32.06</v>
      </c>
      <c r="H22" s="10">
        <f t="shared" si="2"/>
        <v>46.49</v>
      </c>
      <c r="I22" s="42"/>
      <c r="J22" s="89">
        <f t="shared" si="0"/>
        <v>1</v>
      </c>
      <c r="K22" s="9">
        <f t="shared" si="3"/>
        <v>17.670000000000002</v>
      </c>
      <c r="L22" s="9">
        <f t="shared" si="4"/>
        <v>17.670000000000002</v>
      </c>
      <c r="M22" s="8" t="s">
        <v>112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17.670000000000002</v>
      </c>
      <c r="T22" s="14">
        <f t="shared" si="6"/>
        <v>17.670000000000002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>
        <v>7386224</v>
      </c>
      <c r="C23" s="4" t="s">
        <v>600</v>
      </c>
      <c r="D23" s="129"/>
      <c r="E23" s="54">
        <v>1</v>
      </c>
      <c r="F23" s="15">
        <v>30.99</v>
      </c>
      <c r="G23" s="38">
        <f t="shared" si="1"/>
        <v>21.37</v>
      </c>
      <c r="H23" s="39">
        <f t="shared" si="2"/>
        <v>30.99</v>
      </c>
      <c r="I23" s="42"/>
      <c r="J23" s="88">
        <f t="shared" si="0"/>
        <v>1</v>
      </c>
      <c r="K23" s="38">
        <f t="shared" si="3"/>
        <v>11.78</v>
      </c>
      <c r="L23" s="38">
        <f t="shared" si="4"/>
        <v>11.78</v>
      </c>
      <c r="M23" s="132" t="s">
        <v>112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11.78</v>
      </c>
      <c r="T23" s="52">
        <f t="shared" si="6"/>
        <v>11.78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>
        <v>7310820</v>
      </c>
      <c r="C24" s="6" t="s">
        <v>601</v>
      </c>
      <c r="D24" s="130"/>
      <c r="E24" s="53">
        <v>1</v>
      </c>
      <c r="F24" s="8">
        <v>44.99</v>
      </c>
      <c r="G24" s="9">
        <f t="shared" si="1"/>
        <v>31.03</v>
      </c>
      <c r="H24" s="10">
        <f t="shared" si="2"/>
        <v>44.99</v>
      </c>
      <c r="I24" s="42"/>
      <c r="J24" s="89">
        <f t="shared" si="0"/>
        <v>1</v>
      </c>
      <c r="K24" s="9">
        <f t="shared" si="3"/>
        <v>17.100000000000001</v>
      </c>
      <c r="L24" s="9">
        <f t="shared" si="4"/>
        <v>17.100000000000001</v>
      </c>
      <c r="M24" s="8" t="s">
        <v>112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17.100000000000001</v>
      </c>
      <c r="T24" s="14">
        <f t="shared" si="6"/>
        <v>17.100000000000001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112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>
        <v>7316550</v>
      </c>
      <c r="C26" s="6" t="s">
        <v>602</v>
      </c>
      <c r="D26" s="130"/>
      <c r="E26" s="53">
        <v>4</v>
      </c>
      <c r="F26" s="8">
        <v>578.99</v>
      </c>
      <c r="G26" s="9">
        <f t="shared" si="1"/>
        <v>399.3</v>
      </c>
      <c r="H26" s="10">
        <f t="shared" si="2"/>
        <v>2315.96</v>
      </c>
      <c r="I26" s="42"/>
      <c r="J26" s="89">
        <f t="shared" si="0"/>
        <v>4</v>
      </c>
      <c r="K26" s="9">
        <f t="shared" si="3"/>
        <v>289.5</v>
      </c>
      <c r="L26" s="9">
        <f t="shared" si="4"/>
        <v>1158</v>
      </c>
      <c r="M26" s="8" t="s">
        <v>112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289.5</v>
      </c>
      <c r="T26" s="14">
        <f t="shared" si="6"/>
        <v>1158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112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133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112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112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112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112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>
        <v>7326130</v>
      </c>
      <c r="C32" s="6" t="s">
        <v>603</v>
      </c>
      <c r="D32" s="130"/>
      <c r="E32" s="53">
        <v>1</v>
      </c>
      <c r="F32" s="8">
        <v>2758.99</v>
      </c>
      <c r="G32" s="9">
        <f t="shared" si="1"/>
        <v>1902.75</v>
      </c>
      <c r="H32" s="10">
        <f t="shared" si="2"/>
        <v>2758.99</v>
      </c>
      <c r="I32" s="42"/>
      <c r="J32" s="89">
        <f t="shared" si="0"/>
        <v>1</v>
      </c>
      <c r="K32" s="9">
        <f t="shared" si="3"/>
        <v>1379.5</v>
      </c>
      <c r="L32" s="9">
        <f t="shared" si="4"/>
        <v>1379.5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1379.5</v>
      </c>
      <c r="T32" s="14">
        <f t="shared" si="6"/>
        <v>1379.5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7408138</v>
      </c>
      <c r="C40" s="6" t="s">
        <v>604</v>
      </c>
      <c r="D40" s="130"/>
      <c r="E40" s="53">
        <v>2</v>
      </c>
      <c r="F40" s="8">
        <v>1497.99</v>
      </c>
      <c r="G40" s="9">
        <f t="shared" si="1"/>
        <v>1033.0999999999999</v>
      </c>
      <c r="H40" s="10">
        <f t="shared" si="2"/>
        <v>2995.98</v>
      </c>
      <c r="I40" s="42"/>
      <c r="J40" s="89">
        <f t="shared" si="0"/>
        <v>2</v>
      </c>
      <c r="K40" s="9">
        <f t="shared" si="3"/>
        <v>749</v>
      </c>
      <c r="L40" s="9">
        <f t="shared" si="4"/>
        <v>1498</v>
      </c>
      <c r="M40" s="8" t="s">
        <v>112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749</v>
      </c>
      <c r="T40" s="14">
        <f t="shared" si="6"/>
        <v>1498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>
        <v>7229101</v>
      </c>
      <c r="C42" s="6" t="s">
        <v>605</v>
      </c>
      <c r="D42" s="130"/>
      <c r="E42" s="53">
        <v>2</v>
      </c>
      <c r="F42" s="8">
        <v>840.99</v>
      </c>
      <c r="G42" s="9">
        <f t="shared" si="1"/>
        <v>579.99</v>
      </c>
      <c r="H42" s="10">
        <f t="shared" si="2"/>
        <v>1681.98</v>
      </c>
      <c r="I42" s="42"/>
      <c r="J42" s="89">
        <f t="shared" si="0"/>
        <v>2</v>
      </c>
      <c r="K42" s="9">
        <f t="shared" si="3"/>
        <v>420.5</v>
      </c>
      <c r="L42" s="9">
        <f t="shared" si="4"/>
        <v>841</v>
      </c>
      <c r="M42" s="8" t="s">
        <v>112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420.5</v>
      </c>
      <c r="T42" s="14">
        <f t="shared" si="6"/>
        <v>841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>
        <v>7233630</v>
      </c>
      <c r="C43" s="4" t="s">
        <v>606</v>
      </c>
      <c r="D43" s="129"/>
      <c r="E43" s="54">
        <v>2</v>
      </c>
      <c r="F43" s="15">
        <v>620.99</v>
      </c>
      <c r="G43" s="38">
        <f t="shared" si="1"/>
        <v>428.27</v>
      </c>
      <c r="H43" s="39">
        <f t="shared" si="2"/>
        <v>1241.98</v>
      </c>
      <c r="I43" s="42"/>
      <c r="J43" s="88">
        <f t="shared" si="0"/>
        <v>2</v>
      </c>
      <c r="K43" s="38">
        <f t="shared" si="3"/>
        <v>310.5</v>
      </c>
      <c r="L43" s="38">
        <f t="shared" si="4"/>
        <v>621</v>
      </c>
      <c r="M43" s="132" t="s">
        <v>112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310.5</v>
      </c>
      <c r="T43" s="52">
        <f t="shared" si="6"/>
        <v>621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>
        <v>7352427</v>
      </c>
      <c r="C44" s="6" t="s">
        <v>607</v>
      </c>
      <c r="D44" s="130"/>
      <c r="E44" s="53">
        <v>10</v>
      </c>
      <c r="F44" s="8">
        <v>437.99</v>
      </c>
      <c r="G44" s="9">
        <f t="shared" si="1"/>
        <v>302.06</v>
      </c>
      <c r="H44" s="10">
        <f t="shared" si="2"/>
        <v>4379.8999999999996</v>
      </c>
      <c r="I44" s="42"/>
      <c r="J44" s="89">
        <f t="shared" si="0"/>
        <v>10</v>
      </c>
      <c r="K44" s="9">
        <f t="shared" si="3"/>
        <v>219</v>
      </c>
      <c r="L44" s="9">
        <f t="shared" si="4"/>
        <v>2190</v>
      </c>
      <c r="M44" s="8" t="s">
        <v>112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219</v>
      </c>
      <c r="T44" s="14">
        <f t="shared" si="6"/>
        <v>2190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608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112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609</v>
      </c>
      <c r="D50" s="130"/>
      <c r="E50" s="53">
        <v>1</v>
      </c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1</v>
      </c>
      <c r="K50" s="9">
        <f t="shared" si="3"/>
        <v>0</v>
      </c>
      <c r="L50" s="9">
        <f t="shared" si="4"/>
        <v>0</v>
      </c>
      <c r="M50" s="8" t="s">
        <v>112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610</v>
      </c>
      <c r="D51" s="129"/>
      <c r="E51" s="54">
        <v>1</v>
      </c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1</v>
      </c>
      <c r="K51" s="38">
        <f t="shared" si="3"/>
        <v>0</v>
      </c>
      <c r="L51" s="38">
        <f t="shared" si="4"/>
        <v>0</v>
      </c>
      <c r="M51" s="132" t="s">
        <v>112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576</v>
      </c>
      <c r="D52" s="130"/>
      <c r="E52" s="53">
        <v>1</v>
      </c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1</v>
      </c>
      <c r="K52" s="9">
        <f t="shared" si="3"/>
        <v>0</v>
      </c>
      <c r="L52" s="9">
        <f t="shared" si="4"/>
        <v>0</v>
      </c>
      <c r="M52" s="8" t="s">
        <v>112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7391213</v>
      </c>
      <c r="C53" s="4" t="s">
        <v>611</v>
      </c>
      <c r="D53" s="129"/>
      <c r="E53" s="54">
        <v>1</v>
      </c>
      <c r="F53" s="15">
        <v>3217.49</v>
      </c>
      <c r="G53" s="38">
        <f t="shared" si="1"/>
        <v>2218.96</v>
      </c>
      <c r="H53" s="39">
        <f t="shared" si="2"/>
        <v>3217.49</v>
      </c>
      <c r="I53" s="42"/>
      <c r="J53" s="88">
        <f t="shared" si="0"/>
        <v>1</v>
      </c>
      <c r="K53" s="38">
        <f t="shared" si="3"/>
        <v>3217.49</v>
      </c>
      <c r="L53" s="38">
        <f t="shared" si="4"/>
        <v>3217.49</v>
      </c>
      <c r="M53" s="132" t="s">
        <v>112</v>
      </c>
      <c r="N53" s="16"/>
      <c r="O53" s="51"/>
      <c r="P53" s="1"/>
      <c r="Q53" s="15"/>
      <c r="R53" s="40">
        <f t="shared" si="9"/>
        <v>0</v>
      </c>
      <c r="S53" s="52">
        <f t="shared" si="5"/>
        <v>3217.49</v>
      </c>
      <c r="T53" s="52">
        <f t="shared" si="6"/>
        <v>3217.49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612</v>
      </c>
      <c r="D54" s="130"/>
      <c r="E54" s="53">
        <v>1</v>
      </c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1</v>
      </c>
      <c r="K54" s="9">
        <f t="shared" si="3"/>
        <v>0</v>
      </c>
      <c r="L54" s="9">
        <f t="shared" si="4"/>
        <v>0</v>
      </c>
      <c r="M54" s="8" t="s">
        <v>112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7386500</v>
      </c>
      <c r="C55" s="4" t="s">
        <v>613</v>
      </c>
      <c r="D55" s="129"/>
      <c r="E55" s="54">
        <v>4</v>
      </c>
      <c r="F55" s="15">
        <v>1123.49</v>
      </c>
      <c r="G55" s="38">
        <f t="shared" si="1"/>
        <v>774.82</v>
      </c>
      <c r="H55" s="39">
        <f t="shared" si="2"/>
        <v>4493.96</v>
      </c>
      <c r="I55" s="42"/>
      <c r="J55" s="88">
        <f t="shared" si="0"/>
        <v>4</v>
      </c>
      <c r="K55" s="38">
        <f t="shared" si="3"/>
        <v>1123.49</v>
      </c>
      <c r="L55" s="38">
        <f t="shared" si="4"/>
        <v>4493.96</v>
      </c>
      <c r="M55" s="132" t="s">
        <v>112</v>
      </c>
      <c r="N55" s="16"/>
      <c r="O55" s="51"/>
      <c r="P55" s="1"/>
      <c r="Q55" s="15"/>
      <c r="R55" s="40">
        <f t="shared" si="9"/>
        <v>0</v>
      </c>
      <c r="S55" s="52">
        <f t="shared" si="5"/>
        <v>1123.49</v>
      </c>
      <c r="T55" s="52">
        <f t="shared" si="6"/>
        <v>4493.96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112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112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112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112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112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161</v>
      </c>
      <c r="E61" s="77">
        <f>SUM(E18:E60)</f>
        <v>38</v>
      </c>
      <c r="F61" s="78">
        <f>SUM(F18:F60)</f>
        <v>11424.359999999999</v>
      </c>
      <c r="G61" s="79">
        <f>SUM(G18:G60)</f>
        <v>7878.8600000000006</v>
      </c>
      <c r="H61" s="80">
        <f>SUM(H18:H60)</f>
        <v>23433.679999999997</v>
      </c>
      <c r="I61" s="81"/>
      <c r="J61" s="82">
        <f>SUM(J18:J60)</f>
        <v>38</v>
      </c>
      <c r="K61" s="79">
        <f>SUM(K18:K60)</f>
        <v>7841.03</v>
      </c>
      <c r="L61" s="80">
        <f>SUM(L18:L60)</f>
        <v>15531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7841.03</v>
      </c>
      <c r="T61" s="80">
        <f>SUM(T18:T60)</f>
        <v>15531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M18:M60" xr:uid="{AAD4C6DA-F67A-47E6-8F0C-0934FC284AEB}">
      <formula1>$Y$31:$Y$32</formula1>
    </dataValidation>
    <dataValidation type="list" showInputMessage="1" showErrorMessage="1" sqref="D18:D60" xr:uid="{968EF5AF-BF2F-4DFD-B2D6-9F2171CDD3D7}">
      <formula1>$Z$18:$Z$29</formula1>
    </dataValidation>
    <dataValidation type="list" allowBlank="1" showInputMessage="1" showErrorMessage="1" sqref="I13" xr:uid="{00099614-8B40-4B80-84C4-C13B4F824120}">
      <formula1>$K$9:$K$9</formula1>
    </dataValidation>
    <dataValidation type="list" allowBlank="1" showInputMessage="1" showErrorMessage="1" sqref="H13" xr:uid="{C25F063A-44CA-4A15-AB7B-CFF09516D01F}">
      <formula1>$Y$13:$Y$14</formula1>
    </dataValidation>
    <dataValidation type="list" allowBlank="1" showInputMessage="1" showErrorMessage="1" sqref="F17 K17 Q17 Q14" xr:uid="{CF8C1862-E7C1-486A-8FDE-C1C85BCF0F6E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4B70-E694-456A-AE01-35282018CF31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>
        <v>45919</v>
      </c>
      <c r="D2" s="279" t="s">
        <v>34</v>
      </c>
      <c r="E2" s="280"/>
      <c r="F2" s="281">
        <v>45275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H61</f>
        <v>22762.179999999997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593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L61</f>
        <v>17387.73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594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5374.4499999999971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x14ac:dyDescent="0.25">
      <c r="A5" s="55"/>
      <c r="B5" s="118" t="s">
        <v>50</v>
      </c>
      <c r="C5" s="4"/>
      <c r="D5" s="244" t="s">
        <v>51</v>
      </c>
      <c r="E5" s="245"/>
      <c r="F5" s="246" t="s">
        <v>614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0.23611314909204645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615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T61</f>
        <v>17387.73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/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R61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635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0</v>
      </c>
      <c r="T9" s="233">
        <f>P3-S9</f>
        <v>17387.73</v>
      </c>
      <c r="U9" s="235">
        <f>IFERROR(((P3-S9)/S9),0)</f>
        <v>0</v>
      </c>
      <c r="V9" s="235">
        <f>IFERROR(T9/P3,0)</f>
        <v>1</v>
      </c>
      <c r="W9" s="237"/>
      <c r="X9" s="64"/>
      <c r="Y9" s="61"/>
      <c r="Z9" s="61"/>
      <c r="AA9" s="61"/>
      <c r="AB9" s="61"/>
    </row>
    <row r="10" spans="1:28" ht="15" customHeight="1" x14ac:dyDescent="0.2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E61</f>
        <v>38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83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/>
      <c r="S14" s="101" t="s">
        <v>90</v>
      </c>
      <c r="T14" s="46">
        <v>2.5000000000000001E-2</v>
      </c>
      <c r="U14" s="101" t="s">
        <v>91</v>
      </c>
      <c r="V14" s="100">
        <f>ROUND(R61*T14,2)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79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7343102</v>
      </c>
      <c r="C18" s="5" t="s">
        <v>122</v>
      </c>
      <c r="D18" s="128"/>
      <c r="E18" s="53">
        <v>1</v>
      </c>
      <c r="F18" s="8">
        <v>31.99</v>
      </c>
      <c r="G18" s="9">
        <f>ROUND(IF($F$17="USD $", F18*$E$15,F18*$D$15),2)</f>
        <v>22.06</v>
      </c>
      <c r="H18" s="10">
        <f>ROUND(IF($H$17=$G$17,E18*G18,E18*F18),2)</f>
        <v>31.99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12.16</v>
      </c>
      <c r="L18" s="9">
        <f>ROUND((J18*K18),2)</f>
        <v>12.16</v>
      </c>
      <c r="M18" s="8" t="s">
        <v>112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12.16</v>
      </c>
      <c r="T18" s="14">
        <f>ROUND(L18-R18,2)</f>
        <v>12.16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7682538</v>
      </c>
      <c r="C19" s="4" t="s">
        <v>597</v>
      </c>
      <c r="D19" s="129"/>
      <c r="E19" s="54">
        <v>1</v>
      </c>
      <c r="F19" s="15">
        <v>107.99</v>
      </c>
      <c r="G19" s="38">
        <f t="shared" ref="G19:G60" si="1">ROUND(IF($F$17="USD $", F19*$E$15,F19*$D$15),2)</f>
        <v>74.48</v>
      </c>
      <c r="H19" s="39">
        <f t="shared" ref="H19:H60" si="2">ROUND(IF($H$17=$G$17,E19*G19,E19*F19),2)</f>
        <v>107.99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41.04</v>
      </c>
      <c r="L19" s="38">
        <f t="shared" ref="L19:L60" si="4">ROUND((J19*K19),2)</f>
        <v>41.04</v>
      </c>
      <c r="M19" s="132" t="s">
        <v>112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41.04</v>
      </c>
      <c r="T19" s="52">
        <f t="shared" ref="T19:T60" si="6">ROUND(L19-R19,2)</f>
        <v>41.04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>
        <v>1</v>
      </c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1</v>
      </c>
      <c r="K20" s="9">
        <f t="shared" si="3"/>
        <v>0</v>
      </c>
      <c r="L20" s="9">
        <f t="shared" si="4"/>
        <v>0</v>
      </c>
      <c r="M20" s="8" t="s">
        <v>112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">
        <v>7414582</v>
      </c>
      <c r="C21" s="4" t="s">
        <v>598</v>
      </c>
      <c r="D21" s="129"/>
      <c r="E21" s="54">
        <v>1</v>
      </c>
      <c r="F21" s="15">
        <v>84.99</v>
      </c>
      <c r="G21" s="38">
        <f t="shared" si="1"/>
        <v>58.61</v>
      </c>
      <c r="H21" s="39">
        <f t="shared" si="2"/>
        <v>84.99</v>
      </c>
      <c r="I21" s="42"/>
      <c r="J21" s="88">
        <f t="shared" si="0"/>
        <v>1</v>
      </c>
      <c r="K21" s="38">
        <f t="shared" si="3"/>
        <v>32.299999999999997</v>
      </c>
      <c r="L21" s="38">
        <f t="shared" si="4"/>
        <v>32.299999999999997</v>
      </c>
      <c r="M21" s="132" t="s">
        <v>112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32.299999999999997</v>
      </c>
      <c r="T21" s="52">
        <f t="shared" si="6"/>
        <v>32.299999999999997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2">
        <v>7386225</v>
      </c>
      <c r="C22" s="6" t="s">
        <v>599</v>
      </c>
      <c r="D22" s="130"/>
      <c r="E22" s="53">
        <v>1</v>
      </c>
      <c r="F22" s="8">
        <v>33.49</v>
      </c>
      <c r="G22" s="9">
        <f t="shared" si="1"/>
        <v>23.1</v>
      </c>
      <c r="H22" s="10">
        <f t="shared" si="2"/>
        <v>33.49</v>
      </c>
      <c r="I22" s="42"/>
      <c r="J22" s="89">
        <f t="shared" si="0"/>
        <v>1</v>
      </c>
      <c r="K22" s="9">
        <f t="shared" si="3"/>
        <v>12.73</v>
      </c>
      <c r="L22" s="9">
        <f t="shared" si="4"/>
        <v>12.73</v>
      </c>
      <c r="M22" s="8" t="s">
        <v>112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12.73</v>
      </c>
      <c r="T22" s="14">
        <f t="shared" si="6"/>
        <v>12.73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>
        <v>7386224</v>
      </c>
      <c r="C23" s="4" t="s">
        <v>600</v>
      </c>
      <c r="D23" s="129"/>
      <c r="E23" s="54">
        <v>1</v>
      </c>
      <c r="F23" s="15">
        <v>22.49</v>
      </c>
      <c r="G23" s="38">
        <f t="shared" si="1"/>
        <v>15.51</v>
      </c>
      <c r="H23" s="39">
        <f t="shared" si="2"/>
        <v>22.49</v>
      </c>
      <c r="I23" s="42"/>
      <c r="J23" s="88">
        <f t="shared" si="0"/>
        <v>1</v>
      </c>
      <c r="K23" s="38">
        <f t="shared" si="3"/>
        <v>8.5500000000000007</v>
      </c>
      <c r="L23" s="38">
        <f t="shared" si="4"/>
        <v>8.5500000000000007</v>
      </c>
      <c r="M23" s="132" t="s">
        <v>112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8.5500000000000007</v>
      </c>
      <c r="T23" s="52">
        <f t="shared" si="6"/>
        <v>8.5500000000000007</v>
      </c>
      <c r="U23" s="41">
        <f t="shared" si="7"/>
        <v>0</v>
      </c>
      <c r="V23" s="41">
        <f t="shared" si="8"/>
        <v>1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2">
        <v>7310820</v>
      </c>
      <c r="C24" s="6" t="s">
        <v>601</v>
      </c>
      <c r="D24" s="130"/>
      <c r="E24" s="53">
        <v>1</v>
      </c>
      <c r="F24" s="8">
        <v>44.99</v>
      </c>
      <c r="G24" s="9">
        <f t="shared" si="1"/>
        <v>31.03</v>
      </c>
      <c r="H24" s="10">
        <f t="shared" si="2"/>
        <v>44.99</v>
      </c>
      <c r="I24" s="42"/>
      <c r="J24" s="89">
        <f t="shared" si="0"/>
        <v>1</v>
      </c>
      <c r="K24" s="9">
        <f t="shared" si="3"/>
        <v>17.100000000000001</v>
      </c>
      <c r="L24" s="9">
        <f t="shared" si="4"/>
        <v>17.100000000000001</v>
      </c>
      <c r="M24" s="8" t="s">
        <v>112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17.100000000000001</v>
      </c>
      <c r="T24" s="14">
        <f t="shared" si="6"/>
        <v>17.100000000000001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112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2">
        <v>7316550</v>
      </c>
      <c r="C26" s="6" t="s">
        <v>602</v>
      </c>
      <c r="D26" s="130"/>
      <c r="E26" s="53">
        <v>4</v>
      </c>
      <c r="F26" s="8">
        <v>416.49</v>
      </c>
      <c r="G26" s="9">
        <f t="shared" si="1"/>
        <v>287.23</v>
      </c>
      <c r="H26" s="10">
        <f t="shared" si="2"/>
        <v>1665.96</v>
      </c>
      <c r="I26" s="42"/>
      <c r="J26" s="89">
        <f t="shared" si="0"/>
        <v>4</v>
      </c>
      <c r="K26" s="9">
        <f t="shared" si="3"/>
        <v>208.25</v>
      </c>
      <c r="L26" s="9">
        <f t="shared" si="4"/>
        <v>833</v>
      </c>
      <c r="M26" s="8" t="s">
        <v>112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208.25</v>
      </c>
      <c r="T26" s="14">
        <f t="shared" si="6"/>
        <v>833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112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133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112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112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112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112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>
        <v>7326130</v>
      </c>
      <c r="C32" s="6" t="s">
        <v>603</v>
      </c>
      <c r="D32" s="130"/>
      <c r="E32" s="53">
        <v>1</v>
      </c>
      <c r="F32" s="8">
        <v>2758.99</v>
      </c>
      <c r="G32" s="9">
        <f t="shared" si="1"/>
        <v>1902.75</v>
      </c>
      <c r="H32" s="10">
        <f t="shared" si="2"/>
        <v>2758.99</v>
      </c>
      <c r="I32" s="42"/>
      <c r="J32" s="89">
        <f t="shared" si="0"/>
        <v>1</v>
      </c>
      <c r="K32" s="9">
        <f t="shared" si="3"/>
        <v>1379.5</v>
      </c>
      <c r="L32" s="9">
        <f t="shared" si="4"/>
        <v>1379.5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1379.5</v>
      </c>
      <c r="T32" s="14">
        <f t="shared" si="6"/>
        <v>1379.5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>
        <v>7229101</v>
      </c>
      <c r="C34" s="6" t="s">
        <v>616</v>
      </c>
      <c r="D34" s="130"/>
      <c r="E34" s="53">
        <v>2</v>
      </c>
      <c r="F34" s="8">
        <v>840.99</v>
      </c>
      <c r="G34" s="9">
        <f t="shared" si="1"/>
        <v>579.99</v>
      </c>
      <c r="H34" s="10">
        <f t="shared" si="2"/>
        <v>1681.98</v>
      </c>
      <c r="I34" s="42"/>
      <c r="J34" s="89">
        <f t="shared" si="0"/>
        <v>2</v>
      </c>
      <c r="K34" s="9">
        <f t="shared" si="3"/>
        <v>420.5</v>
      </c>
      <c r="L34" s="9">
        <f t="shared" si="4"/>
        <v>841</v>
      </c>
      <c r="M34" s="8" t="s">
        <v>112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420.5</v>
      </c>
      <c r="T34" s="14">
        <f t="shared" si="6"/>
        <v>841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>
        <v>7233630</v>
      </c>
      <c r="C35" s="4" t="s">
        <v>617</v>
      </c>
      <c r="D35" s="129"/>
      <c r="E35" s="54">
        <v>2</v>
      </c>
      <c r="F35" s="15">
        <v>620.99</v>
      </c>
      <c r="G35" s="38">
        <f t="shared" si="1"/>
        <v>428.27</v>
      </c>
      <c r="H35" s="39">
        <f t="shared" si="2"/>
        <v>1241.98</v>
      </c>
      <c r="I35" s="42"/>
      <c r="J35" s="88">
        <f t="shared" si="0"/>
        <v>2</v>
      </c>
      <c r="K35" s="38">
        <f t="shared" si="3"/>
        <v>310.5</v>
      </c>
      <c r="L35" s="38">
        <f t="shared" si="4"/>
        <v>621</v>
      </c>
      <c r="M35" s="132" t="s">
        <v>112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310.5</v>
      </c>
      <c r="T35" s="52">
        <f t="shared" si="6"/>
        <v>621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>
        <v>7352427</v>
      </c>
      <c r="C36" s="6" t="s">
        <v>607</v>
      </c>
      <c r="D36" s="130"/>
      <c r="E36" s="53">
        <v>10</v>
      </c>
      <c r="F36" s="8">
        <v>437.99</v>
      </c>
      <c r="G36" s="9">
        <f t="shared" si="1"/>
        <v>302.06</v>
      </c>
      <c r="H36" s="10">
        <f t="shared" si="2"/>
        <v>4379.8999999999996</v>
      </c>
      <c r="I36" s="42"/>
      <c r="J36" s="89">
        <f t="shared" si="0"/>
        <v>10</v>
      </c>
      <c r="K36" s="9">
        <f t="shared" si="3"/>
        <v>437.99</v>
      </c>
      <c r="L36" s="9">
        <f t="shared" si="4"/>
        <v>4379.8999999999996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437.99</v>
      </c>
      <c r="T36" s="14">
        <f t="shared" si="6"/>
        <v>4379.8999999999996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>
        <v>7408138</v>
      </c>
      <c r="C40" s="6" t="s">
        <v>604</v>
      </c>
      <c r="D40" s="130"/>
      <c r="E40" s="53">
        <v>2</v>
      </c>
      <c r="F40" s="8">
        <v>1497.99</v>
      </c>
      <c r="G40" s="9">
        <f t="shared" si="1"/>
        <v>1033.0999999999999</v>
      </c>
      <c r="H40" s="10">
        <f t="shared" si="2"/>
        <v>2995.98</v>
      </c>
      <c r="I40" s="42"/>
      <c r="J40" s="89">
        <f t="shared" si="0"/>
        <v>2</v>
      </c>
      <c r="K40" s="9">
        <f t="shared" si="3"/>
        <v>749</v>
      </c>
      <c r="L40" s="9">
        <f t="shared" si="4"/>
        <v>1498</v>
      </c>
      <c r="M40" s="8" t="s">
        <v>112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749</v>
      </c>
      <c r="T40" s="14">
        <f t="shared" si="6"/>
        <v>1498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608</v>
      </c>
      <c r="D49" s="129"/>
      <c r="E49" s="54">
        <v>1</v>
      </c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1</v>
      </c>
      <c r="K49" s="38">
        <f t="shared" si="3"/>
        <v>0</v>
      </c>
      <c r="L49" s="38">
        <f t="shared" si="4"/>
        <v>0</v>
      </c>
      <c r="M49" s="132" t="s">
        <v>112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609</v>
      </c>
      <c r="D50" s="130"/>
      <c r="E50" s="53">
        <v>1</v>
      </c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1</v>
      </c>
      <c r="K50" s="9">
        <f t="shared" si="3"/>
        <v>0</v>
      </c>
      <c r="L50" s="9">
        <f t="shared" si="4"/>
        <v>0</v>
      </c>
      <c r="M50" s="8" t="s">
        <v>112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610</v>
      </c>
      <c r="D51" s="129"/>
      <c r="E51" s="54">
        <v>1</v>
      </c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1</v>
      </c>
      <c r="K51" s="38">
        <f t="shared" si="3"/>
        <v>0</v>
      </c>
      <c r="L51" s="38">
        <f t="shared" si="4"/>
        <v>0</v>
      </c>
      <c r="M51" s="132" t="s">
        <v>112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576</v>
      </c>
      <c r="D52" s="130"/>
      <c r="E52" s="53">
        <v>1</v>
      </c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1</v>
      </c>
      <c r="K52" s="9">
        <f t="shared" si="3"/>
        <v>0</v>
      </c>
      <c r="L52" s="9">
        <f t="shared" si="4"/>
        <v>0</v>
      </c>
      <c r="M52" s="8" t="s">
        <v>112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>
        <v>7391213</v>
      </c>
      <c r="C53" s="4" t="s">
        <v>611</v>
      </c>
      <c r="D53" s="129"/>
      <c r="E53" s="54">
        <v>1</v>
      </c>
      <c r="F53" s="15">
        <v>3217.49</v>
      </c>
      <c r="G53" s="38">
        <f t="shared" si="1"/>
        <v>2218.96</v>
      </c>
      <c r="H53" s="39">
        <f t="shared" si="2"/>
        <v>3217.49</v>
      </c>
      <c r="I53" s="42"/>
      <c r="J53" s="88">
        <f t="shared" si="0"/>
        <v>1</v>
      </c>
      <c r="K53" s="38">
        <f t="shared" si="3"/>
        <v>3217.49</v>
      </c>
      <c r="L53" s="38">
        <f t="shared" si="4"/>
        <v>3217.49</v>
      </c>
      <c r="M53" s="132" t="s">
        <v>112</v>
      </c>
      <c r="N53" s="16"/>
      <c r="O53" s="51"/>
      <c r="P53" s="1"/>
      <c r="Q53" s="15"/>
      <c r="R53" s="40">
        <f t="shared" si="9"/>
        <v>0</v>
      </c>
      <c r="S53" s="52">
        <f t="shared" si="5"/>
        <v>3217.49</v>
      </c>
      <c r="T53" s="52">
        <f t="shared" si="6"/>
        <v>3217.49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>
        <v>7312553</v>
      </c>
      <c r="C54" s="6" t="s">
        <v>612</v>
      </c>
      <c r="D54" s="130"/>
      <c r="E54" s="53">
        <v>1</v>
      </c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1</v>
      </c>
      <c r="K54" s="9">
        <f t="shared" si="3"/>
        <v>0</v>
      </c>
      <c r="L54" s="9">
        <f t="shared" si="4"/>
        <v>0</v>
      </c>
      <c r="M54" s="8" t="s">
        <v>112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>
        <v>7386500</v>
      </c>
      <c r="C55" s="4" t="s">
        <v>613</v>
      </c>
      <c r="D55" s="129"/>
      <c r="E55" s="54">
        <v>4</v>
      </c>
      <c r="F55" s="15">
        <v>1123.49</v>
      </c>
      <c r="G55" s="38">
        <f t="shared" si="1"/>
        <v>774.82</v>
      </c>
      <c r="H55" s="39">
        <f t="shared" si="2"/>
        <v>4493.96</v>
      </c>
      <c r="I55" s="42"/>
      <c r="J55" s="88">
        <f t="shared" si="0"/>
        <v>4</v>
      </c>
      <c r="K55" s="38">
        <f t="shared" si="3"/>
        <v>1123.49</v>
      </c>
      <c r="L55" s="38">
        <f t="shared" si="4"/>
        <v>4493.96</v>
      </c>
      <c r="M55" s="132" t="s">
        <v>112</v>
      </c>
      <c r="N55" s="16"/>
      <c r="O55" s="51"/>
      <c r="P55" s="1"/>
      <c r="Q55" s="15"/>
      <c r="R55" s="40">
        <f t="shared" si="9"/>
        <v>0</v>
      </c>
      <c r="S55" s="52">
        <f t="shared" si="5"/>
        <v>1123.49</v>
      </c>
      <c r="T55" s="52">
        <f t="shared" si="6"/>
        <v>4493.96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112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112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112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112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112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161</v>
      </c>
      <c r="E61" s="77">
        <f>SUM(E18:E60)</f>
        <v>38</v>
      </c>
      <c r="F61" s="78">
        <f>SUM(F18:F60)</f>
        <v>11240.359999999999</v>
      </c>
      <c r="G61" s="79">
        <f>SUM(G18:G60)</f>
        <v>7751.97</v>
      </c>
      <c r="H61" s="80">
        <f>SUM(H18:H60)</f>
        <v>22762.179999999997</v>
      </c>
      <c r="I61" s="81"/>
      <c r="J61" s="82">
        <f>SUM(J18:J60)</f>
        <v>38</v>
      </c>
      <c r="K61" s="79">
        <f>SUM(K18:K60)</f>
        <v>7970.5999999999995</v>
      </c>
      <c r="L61" s="80">
        <f>SUM(L18:L60)</f>
        <v>17387.73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7970.5999999999995</v>
      </c>
      <c r="T61" s="80">
        <f>SUM(T18:T60)</f>
        <v>17387.73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F17 K17 Q17 Q14" xr:uid="{6C4B83C8-A1DA-4D78-9605-47F35EB10252}">
      <formula1>$Y$11:$Y$12</formula1>
    </dataValidation>
    <dataValidation type="list" allowBlank="1" showInputMessage="1" showErrorMessage="1" sqref="H13" xr:uid="{5DED9E74-E4F0-406B-80A6-F279E866582B}">
      <formula1>$Y$13:$Y$14</formula1>
    </dataValidation>
    <dataValidation type="list" allowBlank="1" showInputMessage="1" showErrorMessage="1" sqref="I13" xr:uid="{7CBFC150-68CF-4BB8-9B11-060C4325C83C}">
      <formula1>$K$9:$K$9</formula1>
    </dataValidation>
    <dataValidation type="list" showInputMessage="1" showErrorMessage="1" sqref="D18:D60" xr:uid="{99195C91-6954-45E5-B13E-36E26DCF28D3}">
      <formula1>$Z$18:$Z$29</formula1>
    </dataValidation>
    <dataValidation type="list" allowBlank="1" showInputMessage="1" showErrorMessage="1" sqref="M18:M60" xr:uid="{CD1EB610-17C7-4024-A88C-9EEC629B3DC3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8E7-3F95-4D77-A11E-5A2FE5C8F15F}">
  <sheetPr>
    <pageSetUpPr fitToPage="1"/>
  </sheetPr>
  <dimension ref="A1:AB63"/>
  <sheetViews>
    <sheetView tabSelected="1"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>
        <v>45919</v>
      </c>
      <c r="D2" s="279" t="s">
        <v>34</v>
      </c>
      <c r="E2" s="280"/>
      <c r="F2" s="281">
        <v>58622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H61</f>
        <v>20548.399999999998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593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L61</f>
        <v>8857.5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618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11690.899999999998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x14ac:dyDescent="0.25">
      <c r="A5" s="55"/>
      <c r="B5" s="118" t="s">
        <v>50</v>
      </c>
      <c r="C5" s="4"/>
      <c r="D5" s="244" t="s">
        <v>51</v>
      </c>
      <c r="E5" s="245"/>
      <c r="F5" s="246">
        <v>348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0.56894454069416589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619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T61</f>
        <v>8857.5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>
        <v>74543077</v>
      </c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R61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649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0</v>
      </c>
      <c r="T9" s="233">
        <f>P3-S9</f>
        <v>8857.5</v>
      </c>
      <c r="U9" s="235">
        <f>IFERROR(((P3-S9)/S9),0)</f>
        <v>0</v>
      </c>
      <c r="V9" s="235">
        <f>IFERROR(T9/P3,0)</f>
        <v>1</v>
      </c>
      <c r="W9" s="237"/>
      <c r="X9" s="64"/>
      <c r="Y9" s="61"/>
      <c r="Z9" s="61"/>
      <c r="AA9" s="61"/>
      <c r="AB9" s="61"/>
    </row>
    <row r="10" spans="1:28" ht="15" customHeight="1" x14ac:dyDescent="0.2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E61</f>
        <v>13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83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/>
      <c r="S14" s="101" t="s">
        <v>90</v>
      </c>
      <c r="T14" s="46">
        <v>2.5000000000000001E-2</v>
      </c>
      <c r="U14" s="101" t="s">
        <v>91</v>
      </c>
      <c r="V14" s="100">
        <f>ROUND(R61*T14,2)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79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156" t="s">
        <v>620</v>
      </c>
      <c r="C18" s="157" t="s">
        <v>621</v>
      </c>
      <c r="D18" s="128"/>
      <c r="E18" s="53">
        <v>1</v>
      </c>
      <c r="F18" s="8">
        <v>68.569999999999993</v>
      </c>
      <c r="G18" s="9">
        <f>ROUND(IF($F$17="USD $", F18*$E$15,F18*$D$15),2)</f>
        <v>47.29</v>
      </c>
      <c r="H18" s="10">
        <f>ROUND(IF($H$17=$G$17,E18*G18,E18*F18),2)</f>
        <v>68.569999999999993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26.06</v>
      </c>
      <c r="L18" s="9">
        <f>ROUND((J18*K18),2)</f>
        <v>26.06</v>
      </c>
      <c r="M18" s="8" t="s">
        <v>112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26.06</v>
      </c>
      <c r="T18" s="14">
        <f>ROUND(L18-R18,2)</f>
        <v>26.06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58" t="s">
        <v>622</v>
      </c>
      <c r="C19" s="159" t="s">
        <v>623</v>
      </c>
      <c r="D19" s="129"/>
      <c r="E19" s="54">
        <v>1</v>
      </c>
      <c r="F19" s="15">
        <v>65.02</v>
      </c>
      <c r="G19" s="38">
        <f t="shared" ref="G19:G60" si="1">ROUND(IF($F$17="USD $", F19*$E$15,F19*$D$15),2)</f>
        <v>44.84</v>
      </c>
      <c r="H19" s="39">
        <f t="shared" ref="H19:H60" si="2">ROUND(IF($H$17=$G$17,E19*G19,E19*F19),2)</f>
        <v>65.02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24.71</v>
      </c>
      <c r="L19" s="38">
        <f t="shared" ref="L19:L60" si="4">ROUND((J19*K19),2)</f>
        <v>24.71</v>
      </c>
      <c r="M19" s="132" t="s">
        <v>112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24.71</v>
      </c>
      <c r="T19" s="52">
        <f t="shared" ref="T19:T60" si="6">ROUND(L19-R19,2)</f>
        <v>24.71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160" t="s">
        <v>624</v>
      </c>
      <c r="C20" s="161" t="s">
        <v>625</v>
      </c>
      <c r="D20" s="130"/>
      <c r="E20" s="53">
        <v>1</v>
      </c>
      <c r="F20" s="8">
        <v>100.72</v>
      </c>
      <c r="G20" s="9">
        <f t="shared" si="1"/>
        <v>69.459999999999994</v>
      </c>
      <c r="H20" s="10">
        <f t="shared" si="2"/>
        <v>100.72</v>
      </c>
      <c r="I20" s="42"/>
      <c r="J20" s="89">
        <f t="shared" si="0"/>
        <v>1</v>
      </c>
      <c r="K20" s="9">
        <f t="shared" si="3"/>
        <v>38.270000000000003</v>
      </c>
      <c r="L20" s="9">
        <f t="shared" si="4"/>
        <v>38.270000000000003</v>
      </c>
      <c r="M20" s="8" t="s">
        <v>112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38.270000000000003</v>
      </c>
      <c r="T20" s="14">
        <f t="shared" si="6"/>
        <v>38.270000000000003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58" t="s">
        <v>626</v>
      </c>
      <c r="C21" s="159" t="s">
        <v>627</v>
      </c>
      <c r="D21" s="129"/>
      <c r="E21" s="54">
        <v>1</v>
      </c>
      <c r="F21" s="15">
        <v>112.39</v>
      </c>
      <c r="G21" s="38">
        <f t="shared" si="1"/>
        <v>77.510000000000005</v>
      </c>
      <c r="H21" s="39">
        <f t="shared" si="2"/>
        <v>112.39</v>
      </c>
      <c r="I21" s="42"/>
      <c r="J21" s="88">
        <f t="shared" si="0"/>
        <v>1</v>
      </c>
      <c r="K21" s="38">
        <f t="shared" si="3"/>
        <v>42.71</v>
      </c>
      <c r="L21" s="38">
        <f t="shared" si="4"/>
        <v>42.71</v>
      </c>
      <c r="M21" s="132" t="s">
        <v>112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42.71</v>
      </c>
      <c r="T21" s="52">
        <f t="shared" si="6"/>
        <v>42.71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160" t="s">
        <v>628</v>
      </c>
      <c r="C22" s="161" t="s">
        <v>629</v>
      </c>
      <c r="D22" s="130"/>
      <c r="E22" s="53">
        <v>1</v>
      </c>
      <c r="F22" s="8">
        <v>118.01</v>
      </c>
      <c r="G22" s="9">
        <f t="shared" si="1"/>
        <v>81.39</v>
      </c>
      <c r="H22" s="10">
        <f t="shared" si="2"/>
        <v>118.01</v>
      </c>
      <c r="I22" s="42"/>
      <c r="J22" s="89">
        <f t="shared" si="0"/>
        <v>1</v>
      </c>
      <c r="K22" s="9">
        <f t="shared" si="3"/>
        <v>44.84</v>
      </c>
      <c r="L22" s="9">
        <f t="shared" si="4"/>
        <v>44.84</v>
      </c>
      <c r="M22" s="8" t="s">
        <v>112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44.84</v>
      </c>
      <c r="T22" s="14">
        <f t="shared" si="6"/>
        <v>44.84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/>
      <c r="C23" s="4"/>
      <c r="D23" s="129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32" t="s">
        <v>112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162">
        <v>5326680</v>
      </c>
      <c r="C24" s="4" t="s">
        <v>630</v>
      </c>
      <c r="D24" s="130"/>
      <c r="E24" s="53">
        <v>1</v>
      </c>
      <c r="F24" s="8">
        <v>12141.32</v>
      </c>
      <c r="G24" s="9">
        <f t="shared" si="1"/>
        <v>8373.32</v>
      </c>
      <c r="H24" s="10">
        <f t="shared" si="2"/>
        <v>12141.32</v>
      </c>
      <c r="I24" s="42"/>
      <c r="J24" s="89">
        <f t="shared" si="0"/>
        <v>1</v>
      </c>
      <c r="K24" s="9">
        <f t="shared" si="3"/>
        <v>4613.7</v>
      </c>
      <c r="L24" s="9">
        <f t="shared" si="4"/>
        <v>4613.7</v>
      </c>
      <c r="M24" s="8" t="s">
        <v>112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4613.7</v>
      </c>
      <c r="T24" s="14">
        <f t="shared" si="6"/>
        <v>4613.7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/>
      <c r="C25" s="6" t="s">
        <v>631</v>
      </c>
      <c r="D25" s="129"/>
      <c r="E25" s="54">
        <v>1</v>
      </c>
      <c r="F25" s="15">
        <v>191.99</v>
      </c>
      <c r="G25" s="38">
        <f t="shared" si="1"/>
        <v>132.41</v>
      </c>
      <c r="H25" s="39">
        <f t="shared" si="2"/>
        <v>191.99</v>
      </c>
      <c r="I25" s="42"/>
      <c r="J25" s="88">
        <f t="shared" si="0"/>
        <v>1</v>
      </c>
      <c r="K25" s="38">
        <f t="shared" si="3"/>
        <v>191.99</v>
      </c>
      <c r="L25" s="38">
        <f t="shared" si="4"/>
        <v>191.99</v>
      </c>
      <c r="M25" s="132" t="s">
        <v>112</v>
      </c>
      <c r="N25" s="16"/>
      <c r="O25" s="51"/>
      <c r="P25" s="1"/>
      <c r="Q25" s="15"/>
      <c r="R25" s="40">
        <f t="shared" si="9"/>
        <v>0</v>
      </c>
      <c r="S25" s="52">
        <f t="shared" si="5"/>
        <v>191.99</v>
      </c>
      <c r="T25" s="52">
        <f t="shared" si="6"/>
        <v>191.99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163">
        <v>3016675</v>
      </c>
      <c r="C26" s="4" t="s">
        <v>613</v>
      </c>
      <c r="D26" s="130"/>
      <c r="E26" s="53">
        <v>6</v>
      </c>
      <c r="F26" s="8">
        <v>1291.73</v>
      </c>
      <c r="G26" s="9">
        <f t="shared" si="1"/>
        <v>890.85</v>
      </c>
      <c r="H26" s="10">
        <f t="shared" si="2"/>
        <v>7750.38</v>
      </c>
      <c r="I26" s="42"/>
      <c r="J26" s="89">
        <f t="shared" si="0"/>
        <v>6</v>
      </c>
      <c r="K26" s="9">
        <f t="shared" si="3"/>
        <v>645.87</v>
      </c>
      <c r="L26" s="9">
        <f t="shared" si="4"/>
        <v>3875.22</v>
      </c>
      <c r="M26" s="8" t="s">
        <v>112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645.87</v>
      </c>
      <c r="T26" s="14">
        <f t="shared" si="6"/>
        <v>3875.22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112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133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112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112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112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112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112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112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112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112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112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112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112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112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112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112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112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112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161</v>
      </c>
      <c r="E61" s="77">
        <f>SUM(E18:E60)</f>
        <v>13</v>
      </c>
      <c r="F61" s="78">
        <f>SUM(F18:F60)</f>
        <v>14089.749999999998</v>
      </c>
      <c r="G61" s="79">
        <f>SUM(G18:G60)</f>
        <v>9717.07</v>
      </c>
      <c r="H61" s="80">
        <f>SUM(H18:H60)</f>
        <v>20548.399999999998</v>
      </c>
      <c r="I61" s="81"/>
      <c r="J61" s="82">
        <f>SUM(J18:J60)</f>
        <v>13</v>
      </c>
      <c r="K61" s="79">
        <f>SUM(K18:K60)</f>
        <v>5628.15</v>
      </c>
      <c r="L61" s="80">
        <f>SUM(L18:L60)</f>
        <v>8857.5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5628.15</v>
      </c>
      <c r="T61" s="80">
        <f>SUM(T18:T60)</f>
        <v>8857.5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M18:M60" xr:uid="{D7DFFEFB-D4DD-4D3C-9A3D-C7BA384CB7EB}">
      <formula1>$Y$31:$Y$32</formula1>
    </dataValidation>
    <dataValidation type="list" showInputMessage="1" showErrorMessage="1" sqref="D18:D60" xr:uid="{07110B58-0A7B-43CD-AEAB-270585144675}">
      <formula1>$Z$18:$Z$29</formula1>
    </dataValidation>
    <dataValidation type="list" allowBlank="1" showInputMessage="1" showErrorMessage="1" sqref="I13" xr:uid="{8B8F5FCE-AEF9-441C-984B-787B95245AE9}">
      <formula1>$K$9:$K$9</formula1>
    </dataValidation>
    <dataValidation type="list" allowBlank="1" showInputMessage="1" showErrorMessage="1" sqref="H13" xr:uid="{E979141F-9A1D-4C17-B30C-8FFBDBFBD507}">
      <formula1>$Y$13:$Y$14</formula1>
    </dataValidation>
    <dataValidation type="list" allowBlank="1" showInputMessage="1" showErrorMessage="1" sqref="F17 K17 Q17 Q14" xr:uid="{255F1359-D56F-4B0F-9F2A-747533BE561F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B795-D6FF-4EBB-91EB-46FD5880CB5C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>
        <v>45919</v>
      </c>
      <c r="D2" s="279" t="s">
        <v>34</v>
      </c>
      <c r="E2" s="280"/>
      <c r="F2" s="281">
        <v>58623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H61</f>
        <v>20548.399999999998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593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L61</f>
        <v>8857.5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618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11690.899999999998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x14ac:dyDescent="0.25">
      <c r="A5" s="55"/>
      <c r="B5" s="118" t="s">
        <v>50</v>
      </c>
      <c r="C5" s="4"/>
      <c r="D5" s="244" t="s">
        <v>51</v>
      </c>
      <c r="E5" s="245"/>
      <c r="F5" s="246">
        <v>348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0.56894454069416589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632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T61</f>
        <v>8857.5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>
        <v>74828293</v>
      </c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R61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649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0</v>
      </c>
      <c r="T9" s="233">
        <f>P3-S9</f>
        <v>8857.5</v>
      </c>
      <c r="U9" s="235">
        <f>IFERROR(((P3-S9)/S9),0)</f>
        <v>0</v>
      </c>
      <c r="V9" s="235">
        <f>IFERROR(T9/P3,0)</f>
        <v>1</v>
      </c>
      <c r="W9" s="237"/>
      <c r="X9" s="64"/>
      <c r="Y9" s="61"/>
      <c r="Z9" s="61"/>
      <c r="AA9" s="61"/>
      <c r="AB9" s="61"/>
    </row>
    <row r="10" spans="1:28" ht="15" customHeight="1" x14ac:dyDescent="0.2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E61</f>
        <v>13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83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/>
      <c r="S14" s="101" t="s">
        <v>90</v>
      </c>
      <c r="T14" s="46">
        <v>2.5000000000000001E-2</v>
      </c>
      <c r="U14" s="101" t="s">
        <v>91</v>
      </c>
      <c r="V14" s="100">
        <f>ROUND(R61*T14,2)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79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156" t="s">
        <v>620</v>
      </c>
      <c r="C18" s="157" t="s">
        <v>621</v>
      </c>
      <c r="D18" s="128"/>
      <c r="E18" s="53">
        <v>1</v>
      </c>
      <c r="F18" s="8">
        <v>68.569999999999993</v>
      </c>
      <c r="G18" s="9">
        <f>ROUND(IF($F$17="USD $", F18*$E$15,F18*$D$15),2)</f>
        <v>47.29</v>
      </c>
      <c r="H18" s="10">
        <f>ROUND(IF($H$17=$G$17,E18*G18,E18*F18),2)</f>
        <v>68.569999999999993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26.06</v>
      </c>
      <c r="L18" s="9">
        <f>ROUND((J18*K18),2)</f>
        <v>26.06</v>
      </c>
      <c r="M18" s="8" t="s">
        <v>112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26.06</v>
      </c>
      <c r="T18" s="14">
        <f>ROUND(L18-R18,2)</f>
        <v>26.06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58" t="s">
        <v>622</v>
      </c>
      <c r="C19" s="159" t="s">
        <v>623</v>
      </c>
      <c r="D19" s="129"/>
      <c r="E19" s="54">
        <v>1</v>
      </c>
      <c r="F19" s="15">
        <v>65.02</v>
      </c>
      <c r="G19" s="38">
        <f t="shared" ref="G19:G60" si="1">ROUND(IF($F$17="USD $", F19*$E$15,F19*$D$15),2)</f>
        <v>44.84</v>
      </c>
      <c r="H19" s="39">
        <f t="shared" ref="H19:H60" si="2">ROUND(IF($H$17=$G$17,E19*G19,E19*F19),2)</f>
        <v>65.02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24.71</v>
      </c>
      <c r="L19" s="38">
        <f t="shared" ref="L19:L60" si="4">ROUND((J19*K19),2)</f>
        <v>24.71</v>
      </c>
      <c r="M19" s="132" t="s">
        <v>112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24.71</v>
      </c>
      <c r="T19" s="52">
        <f t="shared" ref="T19:T60" si="6">ROUND(L19-R19,2)</f>
        <v>24.71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160" t="s">
        <v>624</v>
      </c>
      <c r="C20" s="161" t="s">
        <v>625</v>
      </c>
      <c r="D20" s="130"/>
      <c r="E20" s="53">
        <v>1</v>
      </c>
      <c r="F20" s="8">
        <v>100.72</v>
      </c>
      <c r="G20" s="9">
        <f t="shared" si="1"/>
        <v>69.459999999999994</v>
      </c>
      <c r="H20" s="10">
        <f t="shared" si="2"/>
        <v>100.72</v>
      </c>
      <c r="I20" s="42"/>
      <c r="J20" s="89">
        <f t="shared" si="0"/>
        <v>1</v>
      </c>
      <c r="K20" s="9">
        <f t="shared" si="3"/>
        <v>38.270000000000003</v>
      </c>
      <c r="L20" s="9">
        <f t="shared" si="4"/>
        <v>38.270000000000003</v>
      </c>
      <c r="M20" s="8" t="s">
        <v>112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38.270000000000003</v>
      </c>
      <c r="T20" s="14">
        <f t="shared" si="6"/>
        <v>38.270000000000003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58" t="s">
        <v>626</v>
      </c>
      <c r="C21" s="159" t="s">
        <v>627</v>
      </c>
      <c r="D21" s="129"/>
      <c r="E21" s="54">
        <v>1</v>
      </c>
      <c r="F21" s="15">
        <v>112.39</v>
      </c>
      <c r="G21" s="38">
        <f t="shared" si="1"/>
        <v>77.510000000000005</v>
      </c>
      <c r="H21" s="39">
        <f t="shared" si="2"/>
        <v>112.39</v>
      </c>
      <c r="I21" s="42"/>
      <c r="J21" s="88">
        <f t="shared" si="0"/>
        <v>1</v>
      </c>
      <c r="K21" s="38">
        <f t="shared" si="3"/>
        <v>42.71</v>
      </c>
      <c r="L21" s="38">
        <f t="shared" si="4"/>
        <v>42.71</v>
      </c>
      <c r="M21" s="132" t="s">
        <v>112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42.71</v>
      </c>
      <c r="T21" s="52">
        <f t="shared" si="6"/>
        <v>42.71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160" t="s">
        <v>628</v>
      </c>
      <c r="C22" s="161" t="s">
        <v>629</v>
      </c>
      <c r="D22" s="130"/>
      <c r="E22" s="53">
        <v>1</v>
      </c>
      <c r="F22" s="8">
        <v>118.01</v>
      </c>
      <c r="G22" s="9">
        <f t="shared" si="1"/>
        <v>81.39</v>
      </c>
      <c r="H22" s="10">
        <f t="shared" si="2"/>
        <v>118.01</v>
      </c>
      <c r="I22" s="42"/>
      <c r="J22" s="89">
        <f t="shared" si="0"/>
        <v>1</v>
      </c>
      <c r="K22" s="9">
        <f t="shared" si="3"/>
        <v>44.84</v>
      </c>
      <c r="L22" s="9">
        <f t="shared" si="4"/>
        <v>44.84</v>
      </c>
      <c r="M22" s="8" t="s">
        <v>112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44.84</v>
      </c>
      <c r="T22" s="14">
        <f t="shared" si="6"/>
        <v>44.84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/>
      <c r="C23" s="4"/>
      <c r="D23" s="129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32" t="s">
        <v>112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162">
        <v>5326680</v>
      </c>
      <c r="C24" s="4" t="s">
        <v>630</v>
      </c>
      <c r="D24" s="130"/>
      <c r="E24" s="53">
        <v>1</v>
      </c>
      <c r="F24" s="8">
        <v>12141.32</v>
      </c>
      <c r="G24" s="9">
        <f t="shared" si="1"/>
        <v>8373.32</v>
      </c>
      <c r="H24" s="10">
        <f t="shared" si="2"/>
        <v>12141.32</v>
      </c>
      <c r="I24" s="42"/>
      <c r="J24" s="89">
        <f t="shared" si="0"/>
        <v>1</v>
      </c>
      <c r="K24" s="9">
        <f t="shared" si="3"/>
        <v>4613.7</v>
      </c>
      <c r="L24" s="9">
        <f t="shared" si="4"/>
        <v>4613.7</v>
      </c>
      <c r="M24" s="8" t="s">
        <v>112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4613.7</v>
      </c>
      <c r="T24" s="14">
        <f t="shared" si="6"/>
        <v>4613.7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/>
      <c r="C25" s="6" t="s">
        <v>631</v>
      </c>
      <c r="D25" s="129"/>
      <c r="E25" s="54">
        <v>1</v>
      </c>
      <c r="F25" s="15">
        <v>191.99</v>
      </c>
      <c r="G25" s="38">
        <f t="shared" si="1"/>
        <v>132.41</v>
      </c>
      <c r="H25" s="39">
        <f t="shared" si="2"/>
        <v>191.99</v>
      </c>
      <c r="I25" s="42"/>
      <c r="J25" s="88">
        <f t="shared" si="0"/>
        <v>1</v>
      </c>
      <c r="K25" s="38">
        <f t="shared" si="3"/>
        <v>191.99</v>
      </c>
      <c r="L25" s="38">
        <f t="shared" si="4"/>
        <v>191.99</v>
      </c>
      <c r="M25" s="132" t="s">
        <v>112</v>
      </c>
      <c r="N25" s="16"/>
      <c r="O25" s="51"/>
      <c r="P25" s="1"/>
      <c r="Q25" s="15"/>
      <c r="R25" s="40">
        <f t="shared" si="9"/>
        <v>0</v>
      </c>
      <c r="S25" s="52">
        <f t="shared" si="5"/>
        <v>191.99</v>
      </c>
      <c r="T25" s="52">
        <f t="shared" si="6"/>
        <v>191.99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163">
        <v>3016675</v>
      </c>
      <c r="C26" s="4" t="s">
        <v>613</v>
      </c>
      <c r="D26" s="130"/>
      <c r="E26" s="53">
        <v>6</v>
      </c>
      <c r="F26" s="8">
        <v>1291.73</v>
      </c>
      <c r="G26" s="9">
        <f t="shared" si="1"/>
        <v>890.85</v>
      </c>
      <c r="H26" s="10">
        <f t="shared" si="2"/>
        <v>7750.38</v>
      </c>
      <c r="I26" s="42"/>
      <c r="J26" s="89">
        <f t="shared" si="0"/>
        <v>6</v>
      </c>
      <c r="K26" s="9">
        <f t="shared" si="3"/>
        <v>645.87</v>
      </c>
      <c r="L26" s="9">
        <f t="shared" si="4"/>
        <v>3875.22</v>
      </c>
      <c r="M26" s="8" t="s">
        <v>112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645.87</v>
      </c>
      <c r="T26" s="14">
        <f t="shared" si="6"/>
        <v>3875.22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112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133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112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112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112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112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112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112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112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112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112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112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112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112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112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112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112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112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161</v>
      </c>
      <c r="E61" s="77">
        <f>SUM(E18:E60)</f>
        <v>13</v>
      </c>
      <c r="F61" s="78">
        <f>SUM(F18:F60)</f>
        <v>14089.749999999998</v>
      </c>
      <c r="G61" s="79">
        <f>SUM(G18:G60)</f>
        <v>9717.07</v>
      </c>
      <c r="H61" s="80">
        <f>SUM(H18:H60)</f>
        <v>20548.399999999998</v>
      </c>
      <c r="I61" s="81"/>
      <c r="J61" s="82">
        <f>SUM(J18:J60)</f>
        <v>13</v>
      </c>
      <c r="K61" s="79">
        <f>SUM(K18:K60)</f>
        <v>5628.15</v>
      </c>
      <c r="L61" s="80">
        <f>SUM(L18:L60)</f>
        <v>8857.5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5628.15</v>
      </c>
      <c r="T61" s="80">
        <f>SUM(T18:T60)</f>
        <v>8857.5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F17 K17 Q17 Q14" xr:uid="{2F6C82DF-1DBF-47B7-B499-1F41CA17008E}">
      <formula1>$Y$11:$Y$12</formula1>
    </dataValidation>
    <dataValidation type="list" allowBlank="1" showInputMessage="1" showErrorMessage="1" sqref="H13" xr:uid="{9117FCD3-86C5-493C-8BAE-00C121453789}">
      <formula1>$Y$13:$Y$14</formula1>
    </dataValidation>
    <dataValidation type="list" allowBlank="1" showInputMessage="1" showErrorMessage="1" sqref="I13" xr:uid="{05DD939E-534A-4A67-B125-D4D427304DBC}">
      <formula1>$K$9:$K$9</formula1>
    </dataValidation>
    <dataValidation type="list" showInputMessage="1" showErrorMessage="1" sqref="D18:D60" xr:uid="{8AF74C1B-3B94-4FFA-AF2E-1B3A5F861905}">
      <formula1>$Z$18:$Z$29</formula1>
    </dataValidation>
    <dataValidation type="list" allowBlank="1" showInputMessage="1" showErrorMessage="1" sqref="M18:M60" xr:uid="{6E5C0FEF-EDAE-4E95-AFD2-9B3CF71BCB88}">
      <formula1>$Y$31:$Y$32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C46B-E3A3-4B1F-B397-AFD5DD3514F6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94" t="s">
        <v>28</v>
      </c>
      <c r="C1" s="291"/>
      <c r="D1" s="295" t="s">
        <v>29</v>
      </c>
      <c r="E1" s="292"/>
      <c r="F1" s="292"/>
      <c r="G1" s="293"/>
      <c r="H1" s="291" t="s">
        <v>30</v>
      </c>
      <c r="I1" s="292"/>
      <c r="J1" s="292"/>
      <c r="K1" s="293"/>
      <c r="L1" s="296" t="s">
        <v>31</v>
      </c>
      <c r="M1" s="297"/>
      <c r="N1" s="297"/>
      <c r="O1" s="297"/>
      <c r="P1" s="292" t="str">
        <f>K17</f>
        <v>CAD $</v>
      </c>
      <c r="Q1" s="292"/>
      <c r="R1" s="293"/>
      <c r="S1" s="291" t="s">
        <v>32</v>
      </c>
      <c r="T1" s="292"/>
      <c r="U1" s="292"/>
      <c r="V1" s="292"/>
      <c r="W1" s="29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33</v>
      </c>
      <c r="C2" s="33">
        <v>45919</v>
      </c>
      <c r="D2" s="279" t="s">
        <v>34</v>
      </c>
      <c r="E2" s="280"/>
      <c r="F2" s="281">
        <v>58624</v>
      </c>
      <c r="G2" s="282"/>
      <c r="H2" s="279" t="s">
        <v>35</v>
      </c>
      <c r="I2" s="283"/>
      <c r="J2" s="280"/>
      <c r="K2" s="34"/>
      <c r="L2" s="284" t="s">
        <v>36</v>
      </c>
      <c r="M2" s="285"/>
      <c r="N2" s="286"/>
      <c r="O2" s="120"/>
      <c r="P2" s="287">
        <f>H61</f>
        <v>20548.399999999998</v>
      </c>
      <c r="Q2" s="287"/>
      <c r="R2" s="288"/>
      <c r="S2" s="289" t="s">
        <v>37</v>
      </c>
      <c r="T2" s="290"/>
      <c r="U2" s="277"/>
      <c r="V2" s="278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38</v>
      </c>
      <c r="C3" s="4" t="s">
        <v>593</v>
      </c>
      <c r="D3" s="244" t="s">
        <v>40</v>
      </c>
      <c r="E3" s="245"/>
      <c r="F3" s="246"/>
      <c r="G3" s="247"/>
      <c r="H3" s="244" t="s">
        <v>41</v>
      </c>
      <c r="I3" s="248"/>
      <c r="J3" s="245"/>
      <c r="K3" s="32"/>
      <c r="L3" s="272" t="s">
        <v>42</v>
      </c>
      <c r="M3" s="273"/>
      <c r="N3" s="274"/>
      <c r="O3" s="120"/>
      <c r="P3" s="275">
        <f>L61</f>
        <v>8857.5</v>
      </c>
      <c r="Q3" s="275"/>
      <c r="R3" s="276"/>
      <c r="S3" s="239" t="s">
        <v>43</v>
      </c>
      <c r="T3" s="241"/>
      <c r="U3" s="256"/>
      <c r="V3" s="257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44</v>
      </c>
      <c r="C4" s="4"/>
      <c r="D4" s="244" t="s">
        <v>45</v>
      </c>
      <c r="E4" s="245"/>
      <c r="F4" s="246" t="s">
        <v>618</v>
      </c>
      <c r="G4" s="247"/>
      <c r="H4" s="244" t="s">
        <v>47</v>
      </c>
      <c r="I4" s="248"/>
      <c r="J4" s="245"/>
      <c r="K4" s="32"/>
      <c r="L4" s="272" t="s">
        <v>48</v>
      </c>
      <c r="M4" s="273"/>
      <c r="N4" s="274"/>
      <c r="O4" s="120"/>
      <c r="P4" s="275">
        <f>P2-P3</f>
        <v>11690.899999999998</v>
      </c>
      <c r="Q4" s="275"/>
      <c r="R4" s="276"/>
      <c r="S4" s="239" t="s">
        <v>49</v>
      </c>
      <c r="T4" s="241"/>
      <c r="U4" s="256"/>
      <c r="V4" s="257"/>
      <c r="W4" s="17"/>
      <c r="X4" s="55"/>
      <c r="Y4" s="63"/>
      <c r="Z4" s="61"/>
      <c r="AA4" s="61"/>
      <c r="AB4" s="61"/>
    </row>
    <row r="5" spans="1:28" ht="15" customHeight="1" x14ac:dyDescent="0.25">
      <c r="A5" s="55"/>
      <c r="B5" s="118" t="s">
        <v>50</v>
      </c>
      <c r="C5" s="4"/>
      <c r="D5" s="244" t="s">
        <v>51</v>
      </c>
      <c r="E5" s="245"/>
      <c r="F5" s="246">
        <v>348</v>
      </c>
      <c r="G5" s="247"/>
      <c r="H5" s="244" t="s">
        <v>52</v>
      </c>
      <c r="I5" s="248"/>
      <c r="J5" s="245"/>
      <c r="K5" s="32"/>
      <c r="L5" s="267" t="s">
        <v>53</v>
      </c>
      <c r="M5" s="268"/>
      <c r="N5" s="269"/>
      <c r="O5" s="120"/>
      <c r="P5" s="270">
        <f>IFERROR((P2-P3)/P2,"")</f>
        <v>0.56894454069416589</v>
      </c>
      <c r="Q5" s="270"/>
      <c r="R5" s="271"/>
      <c r="S5" s="239" t="s">
        <v>54</v>
      </c>
      <c r="T5" s="241"/>
      <c r="U5" s="256"/>
      <c r="V5" s="257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55</v>
      </c>
      <c r="C6" s="30"/>
      <c r="D6" s="244" t="s">
        <v>56</v>
      </c>
      <c r="E6" s="245"/>
      <c r="F6" s="246" t="s">
        <v>633</v>
      </c>
      <c r="G6" s="247"/>
      <c r="H6" s="244" t="s">
        <v>58</v>
      </c>
      <c r="I6" s="248"/>
      <c r="J6" s="245"/>
      <c r="K6" s="32"/>
      <c r="L6" s="262" t="s">
        <v>59</v>
      </c>
      <c r="M6" s="263"/>
      <c r="N6" s="264"/>
      <c r="O6" s="120"/>
      <c r="P6" s="265">
        <f>T61</f>
        <v>8857.5</v>
      </c>
      <c r="Q6" s="265"/>
      <c r="R6" s="266"/>
      <c r="S6" s="239" t="s">
        <v>60</v>
      </c>
      <c r="T6" s="241"/>
      <c r="U6" s="256"/>
      <c r="V6" s="257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61</v>
      </c>
      <c r="C7" s="31"/>
      <c r="D7" s="244" t="s">
        <v>62</v>
      </c>
      <c r="E7" s="245"/>
      <c r="F7" s="246">
        <v>74828160</v>
      </c>
      <c r="G7" s="247"/>
      <c r="H7" s="244" t="s">
        <v>63</v>
      </c>
      <c r="I7" s="248"/>
      <c r="J7" s="245"/>
      <c r="K7" s="32"/>
      <c r="L7" s="249" t="s">
        <v>64</v>
      </c>
      <c r="M7" s="250"/>
      <c r="N7" s="251"/>
      <c r="O7" s="120"/>
      <c r="P7" s="252">
        <f>R61</f>
        <v>0</v>
      </c>
      <c r="Q7" s="252"/>
      <c r="R7" s="253"/>
      <c r="S7" s="258" t="s">
        <v>65</v>
      </c>
      <c r="T7" s="259"/>
      <c r="U7" s="260"/>
      <c r="V7" s="26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44" t="s">
        <v>66</v>
      </c>
      <c r="E8" s="245"/>
      <c r="F8" s="246"/>
      <c r="G8" s="247"/>
      <c r="H8" s="244" t="s">
        <v>67</v>
      </c>
      <c r="I8" s="248"/>
      <c r="J8" s="245"/>
      <c r="K8" s="32"/>
      <c r="L8" s="249" t="s">
        <v>68</v>
      </c>
      <c r="M8" s="250"/>
      <c r="N8" s="251"/>
      <c r="O8" s="120"/>
      <c r="P8" s="252">
        <f>IF(P1=Q14,R14,IF(Q14="CAD $",R14*D15,IF(Q14="USD $",R14*E15,0)))</f>
        <v>0</v>
      </c>
      <c r="Q8" s="252"/>
      <c r="R8" s="253"/>
      <c r="S8" s="108" t="s">
        <v>69</v>
      </c>
      <c r="T8" s="109" t="s">
        <v>70</v>
      </c>
      <c r="U8" s="109" t="s">
        <v>71</v>
      </c>
      <c r="V8" s="110" t="s">
        <v>72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44" t="s">
        <v>73</v>
      </c>
      <c r="E9" s="245"/>
      <c r="F9" s="246" t="s">
        <v>649</v>
      </c>
      <c r="G9" s="247"/>
      <c r="H9" s="111"/>
      <c r="I9" s="112"/>
      <c r="J9" s="112"/>
      <c r="K9" s="43"/>
      <c r="L9" s="249" t="s">
        <v>74</v>
      </c>
      <c r="M9" s="250"/>
      <c r="N9" s="251"/>
      <c r="O9" s="120"/>
      <c r="P9" s="254">
        <f>V14</f>
        <v>0</v>
      </c>
      <c r="Q9" s="254"/>
      <c r="R9" s="255"/>
      <c r="S9" s="233">
        <f>P7+P8+P9</f>
        <v>0</v>
      </c>
      <c r="T9" s="233">
        <f>P3-S9</f>
        <v>8857.5</v>
      </c>
      <c r="U9" s="235">
        <f>IFERROR(((P3-S9)/S9),0)</f>
        <v>0</v>
      </c>
      <c r="V9" s="235">
        <f>IFERROR(T9/P3,0)</f>
        <v>1</v>
      </c>
      <c r="W9" s="237"/>
      <c r="X9" s="64"/>
      <c r="Y9" s="61"/>
      <c r="Z9" s="61"/>
      <c r="AA9" s="61"/>
      <c r="AB9" s="61"/>
    </row>
    <row r="10" spans="1:28" ht="15" customHeight="1" x14ac:dyDescent="0.2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39" t="s">
        <v>75</v>
      </c>
      <c r="M10" s="240"/>
      <c r="N10" s="241"/>
      <c r="O10" s="120"/>
      <c r="P10" s="242">
        <f>E61</f>
        <v>13</v>
      </c>
      <c r="Q10" s="242"/>
      <c r="R10" s="243"/>
      <c r="S10" s="234"/>
      <c r="T10" s="234"/>
      <c r="U10" s="236"/>
      <c r="V10" s="236"/>
      <c r="W10" s="238"/>
      <c r="X10" s="64"/>
      <c r="Y10" s="61"/>
      <c r="Z10" s="61"/>
      <c r="AA10" s="61"/>
      <c r="AB10" s="61"/>
    </row>
    <row r="11" spans="1:28" ht="15" customHeight="1" x14ac:dyDescent="0.25">
      <c r="A11" s="55"/>
      <c r="B11" s="187"/>
      <c r="C11" s="188"/>
      <c r="D11" s="191" t="s">
        <v>76</v>
      </c>
      <c r="E11" s="192"/>
      <c r="F11" s="197" t="s">
        <v>36</v>
      </c>
      <c r="G11" s="198"/>
      <c r="H11" s="199"/>
      <c r="I11" s="90"/>
      <c r="J11" s="203" t="s">
        <v>77</v>
      </c>
      <c r="K11" s="204"/>
      <c r="L11" s="204"/>
      <c r="M11" s="204"/>
      <c r="N11" s="205"/>
      <c r="O11" s="120"/>
      <c r="P11" s="212" t="s">
        <v>78</v>
      </c>
      <c r="Q11" s="198"/>
      <c r="R11" s="198"/>
      <c r="S11" s="198"/>
      <c r="T11" s="198"/>
      <c r="U11" s="198"/>
      <c r="V11" s="213"/>
      <c r="W11" s="22"/>
      <c r="X11" s="65"/>
      <c r="Y11" s="61" t="s">
        <v>79</v>
      </c>
      <c r="Z11" s="61"/>
      <c r="AA11" s="61"/>
      <c r="AB11" s="61"/>
    </row>
    <row r="12" spans="1:28" ht="15" customHeight="1" x14ac:dyDescent="0.25">
      <c r="A12" s="55"/>
      <c r="B12" s="189"/>
      <c r="C12" s="190"/>
      <c r="D12" s="193"/>
      <c r="E12" s="194"/>
      <c r="F12" s="200"/>
      <c r="G12" s="201"/>
      <c r="H12" s="202"/>
      <c r="I12" s="91"/>
      <c r="J12" s="206"/>
      <c r="K12" s="207"/>
      <c r="L12" s="207"/>
      <c r="M12" s="207"/>
      <c r="N12" s="208"/>
      <c r="O12" s="121"/>
      <c r="P12" s="214"/>
      <c r="Q12" s="215"/>
      <c r="R12" s="215"/>
      <c r="S12" s="215"/>
      <c r="T12" s="215"/>
      <c r="U12" s="215"/>
      <c r="V12" s="216"/>
      <c r="W12" s="23"/>
      <c r="X12" s="65"/>
      <c r="Y12" s="61" t="s">
        <v>80</v>
      </c>
      <c r="Z12" s="61"/>
      <c r="AA12" s="61"/>
      <c r="AB12" s="61"/>
    </row>
    <row r="13" spans="1:28" ht="15" customHeight="1" x14ac:dyDescent="0.25">
      <c r="A13" s="55"/>
      <c r="B13" s="189"/>
      <c r="C13" s="190"/>
      <c r="D13" s="195"/>
      <c r="E13" s="196"/>
      <c r="F13" s="217" t="s">
        <v>81</v>
      </c>
      <c r="G13" s="218"/>
      <c r="H13" s="44" t="s">
        <v>83</v>
      </c>
      <c r="I13" s="92"/>
      <c r="J13" s="209"/>
      <c r="K13" s="210"/>
      <c r="L13" s="210"/>
      <c r="M13" s="210"/>
      <c r="N13" s="211"/>
      <c r="O13" s="121"/>
      <c r="P13" s="214"/>
      <c r="Q13" s="215"/>
      <c r="R13" s="215"/>
      <c r="S13" s="215"/>
      <c r="T13" s="215"/>
      <c r="U13" s="215"/>
      <c r="V13" s="216"/>
      <c r="W13" s="24"/>
      <c r="X13" s="65"/>
      <c r="Y13" s="61" t="s">
        <v>83</v>
      </c>
      <c r="Z13" s="61"/>
      <c r="AA13" s="61"/>
      <c r="AB13" s="61"/>
    </row>
    <row r="14" spans="1:28" ht="30" customHeight="1" x14ac:dyDescent="0.25">
      <c r="A14" s="55"/>
      <c r="B14" s="189"/>
      <c r="C14" s="190"/>
      <c r="D14" s="106" t="s">
        <v>84</v>
      </c>
      <c r="E14" s="107" t="s">
        <v>85</v>
      </c>
      <c r="F14" s="219" t="s">
        <v>86</v>
      </c>
      <c r="G14" s="220"/>
      <c r="H14" s="221"/>
      <c r="I14" s="93"/>
      <c r="J14" s="222" t="s">
        <v>87</v>
      </c>
      <c r="K14" s="223"/>
      <c r="L14" s="224" t="s">
        <v>88</v>
      </c>
      <c r="M14" s="225"/>
      <c r="N14" s="226"/>
      <c r="O14" s="122"/>
      <c r="P14" s="101" t="s">
        <v>89</v>
      </c>
      <c r="Q14" s="37" t="s">
        <v>80</v>
      </c>
      <c r="R14" s="45"/>
      <c r="S14" s="101" t="s">
        <v>90</v>
      </c>
      <c r="T14" s="46">
        <v>2.5000000000000001E-2</v>
      </c>
      <c r="U14" s="101" t="s">
        <v>91</v>
      </c>
      <c r="V14" s="100">
        <f>ROUND(R61*T14,2)</f>
        <v>0</v>
      </c>
      <c r="W14" s="25"/>
      <c r="X14" s="65"/>
      <c r="Y14" s="61" t="s">
        <v>82</v>
      </c>
      <c r="Z14" s="61"/>
      <c r="AA14" s="61"/>
      <c r="AB14" s="61"/>
    </row>
    <row r="15" spans="1:28" ht="15" customHeight="1" x14ac:dyDescent="0.25">
      <c r="A15" s="55"/>
      <c r="B15" s="189"/>
      <c r="C15" s="190"/>
      <c r="D15" s="119">
        <f>1/E15</f>
        <v>0.68965517241379315</v>
      </c>
      <c r="E15" s="7">
        <v>1.45</v>
      </c>
      <c r="F15" s="230"/>
      <c r="G15" s="231"/>
      <c r="H15" s="232"/>
      <c r="I15" s="94"/>
      <c r="J15" s="195"/>
      <c r="K15" s="196"/>
      <c r="L15" s="227"/>
      <c r="M15" s="228"/>
      <c r="N15" s="229"/>
      <c r="O15" s="122"/>
      <c r="P15" s="169" t="s">
        <v>92</v>
      </c>
      <c r="Q15" s="170"/>
      <c r="R15" s="170"/>
      <c r="S15" s="170"/>
      <c r="T15" s="170"/>
      <c r="U15" s="170"/>
      <c r="V15" s="171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72" t="s">
        <v>93</v>
      </c>
      <c r="C16" s="174" t="s">
        <v>94</v>
      </c>
      <c r="D16" s="176" t="s">
        <v>95</v>
      </c>
      <c r="E16" s="178" t="s">
        <v>96</v>
      </c>
      <c r="F16" s="175" t="s">
        <v>97</v>
      </c>
      <c r="G16" s="180"/>
      <c r="H16" s="104" t="s">
        <v>98</v>
      </c>
      <c r="I16" s="95"/>
      <c r="J16" s="181" t="s">
        <v>96</v>
      </c>
      <c r="K16" s="102" t="s">
        <v>99</v>
      </c>
      <c r="L16" s="99" t="s">
        <v>100</v>
      </c>
      <c r="M16" s="183" t="s">
        <v>101</v>
      </c>
      <c r="N16" s="183" t="s">
        <v>102</v>
      </c>
      <c r="O16" s="123"/>
      <c r="P16" s="185" t="s">
        <v>103</v>
      </c>
      <c r="Q16" s="97" t="s">
        <v>104</v>
      </c>
      <c r="R16" s="97" t="s">
        <v>105</v>
      </c>
      <c r="S16" s="98" t="s">
        <v>106</v>
      </c>
      <c r="T16" s="98" t="s">
        <v>107</v>
      </c>
      <c r="U16" s="99" t="s">
        <v>108</v>
      </c>
      <c r="V16" s="99" t="s">
        <v>109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73"/>
      <c r="C17" s="175"/>
      <c r="D17" s="177"/>
      <c r="E17" s="179"/>
      <c r="F17" s="37" t="s">
        <v>79</v>
      </c>
      <c r="G17" s="105" t="str">
        <f>IF(F17="USD $", "CAD $", "USD $")</f>
        <v>USD $</v>
      </c>
      <c r="H17" s="103" t="str">
        <f>K17</f>
        <v>CAD $</v>
      </c>
      <c r="I17" s="96"/>
      <c r="J17" s="182"/>
      <c r="K17" s="164" t="s">
        <v>79</v>
      </c>
      <c r="L17" s="165"/>
      <c r="M17" s="184"/>
      <c r="N17" s="184"/>
      <c r="O17" s="124"/>
      <c r="P17" s="186"/>
      <c r="Q17" s="37" t="s">
        <v>79</v>
      </c>
      <c r="R17" s="166" t="str">
        <f>K17</f>
        <v>CAD $</v>
      </c>
      <c r="S17" s="167"/>
      <c r="T17" s="167"/>
      <c r="U17" s="167"/>
      <c r="V17" s="168"/>
      <c r="W17" s="20"/>
      <c r="X17" s="68"/>
      <c r="Y17" s="69"/>
      <c r="Z17" s="69"/>
      <c r="AA17" s="69"/>
      <c r="AB17" s="69"/>
    </row>
    <row r="18" spans="1:28" x14ac:dyDescent="0.25">
      <c r="A18" s="55"/>
      <c r="B18" s="156" t="s">
        <v>620</v>
      </c>
      <c r="C18" s="157" t="s">
        <v>621</v>
      </c>
      <c r="D18" s="128"/>
      <c r="E18" s="53">
        <v>1</v>
      </c>
      <c r="F18" s="8">
        <v>68.569999999999993</v>
      </c>
      <c r="G18" s="9">
        <f>ROUND(IF($F$17="USD $", F18*$E$15,F18*$D$15),2)</f>
        <v>47.29</v>
      </c>
      <c r="H18" s="10">
        <f>ROUND(IF($H$17=$G$17,E18*G18,E18*F18),2)</f>
        <v>68.569999999999993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26.06</v>
      </c>
      <c r="L18" s="9">
        <f>ROUND((J18*K18),2)</f>
        <v>26.06</v>
      </c>
      <c r="M18" s="8" t="s">
        <v>112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26.06</v>
      </c>
      <c r="T18" s="14">
        <f>ROUND(L18-R18,2)</f>
        <v>26.06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58" t="s">
        <v>622</v>
      </c>
      <c r="C19" s="159" t="s">
        <v>623</v>
      </c>
      <c r="D19" s="129"/>
      <c r="E19" s="54">
        <v>1</v>
      </c>
      <c r="F19" s="15">
        <v>65.02</v>
      </c>
      <c r="G19" s="38">
        <f t="shared" ref="G19:G60" si="1">ROUND(IF($F$17="USD $", F19*$E$15,F19*$D$15),2)</f>
        <v>44.84</v>
      </c>
      <c r="H19" s="39">
        <f t="shared" ref="H19:H60" si="2">ROUND(IF($H$17=$G$17,E19*G19,E19*F19),2)</f>
        <v>65.02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24.71</v>
      </c>
      <c r="L19" s="38">
        <f t="shared" ref="L19:L60" si="4">ROUND((J19*K19),2)</f>
        <v>24.71</v>
      </c>
      <c r="M19" s="132" t="s">
        <v>112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24.71</v>
      </c>
      <c r="T19" s="52">
        <f t="shared" ref="T19:T60" si="6">ROUND(L19-R19,2)</f>
        <v>24.71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115</v>
      </c>
      <c r="Z19" s="61">
        <v>500</v>
      </c>
      <c r="AA19" s="61"/>
      <c r="AB19" s="61"/>
    </row>
    <row r="20" spans="1:28" x14ac:dyDescent="0.25">
      <c r="A20" s="55"/>
      <c r="B20" s="160" t="s">
        <v>624</v>
      </c>
      <c r="C20" s="161" t="s">
        <v>625</v>
      </c>
      <c r="D20" s="130"/>
      <c r="E20" s="53">
        <v>1</v>
      </c>
      <c r="F20" s="8">
        <v>100.72</v>
      </c>
      <c r="G20" s="9">
        <f t="shared" si="1"/>
        <v>69.459999999999994</v>
      </c>
      <c r="H20" s="10">
        <f t="shared" si="2"/>
        <v>100.72</v>
      </c>
      <c r="I20" s="42"/>
      <c r="J20" s="89">
        <f t="shared" si="0"/>
        <v>1</v>
      </c>
      <c r="K20" s="9">
        <f t="shared" si="3"/>
        <v>38.270000000000003</v>
      </c>
      <c r="L20" s="9">
        <f t="shared" si="4"/>
        <v>38.270000000000003</v>
      </c>
      <c r="M20" s="8" t="s">
        <v>112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38.270000000000003</v>
      </c>
      <c r="T20" s="14">
        <f t="shared" si="6"/>
        <v>38.270000000000003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118</v>
      </c>
      <c r="Z20" s="61">
        <v>750</v>
      </c>
      <c r="AA20" s="61"/>
      <c r="AB20" s="61"/>
    </row>
    <row r="21" spans="1:28" x14ac:dyDescent="0.25">
      <c r="A21" s="55"/>
      <c r="B21" s="158" t="s">
        <v>626</v>
      </c>
      <c r="C21" s="159" t="s">
        <v>627</v>
      </c>
      <c r="D21" s="129"/>
      <c r="E21" s="54">
        <v>1</v>
      </c>
      <c r="F21" s="15">
        <v>112.39</v>
      </c>
      <c r="G21" s="38">
        <f t="shared" si="1"/>
        <v>77.510000000000005</v>
      </c>
      <c r="H21" s="39">
        <f t="shared" si="2"/>
        <v>112.39</v>
      </c>
      <c r="I21" s="42"/>
      <c r="J21" s="88">
        <f t="shared" si="0"/>
        <v>1</v>
      </c>
      <c r="K21" s="38">
        <f t="shared" si="3"/>
        <v>42.71</v>
      </c>
      <c r="L21" s="38">
        <f t="shared" si="4"/>
        <v>42.71</v>
      </c>
      <c r="M21" s="132" t="s">
        <v>112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42.71</v>
      </c>
      <c r="T21" s="52">
        <f t="shared" si="6"/>
        <v>42.71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120</v>
      </c>
      <c r="Z21" s="61">
        <v>1000</v>
      </c>
      <c r="AA21" s="61"/>
      <c r="AB21" s="61"/>
    </row>
    <row r="22" spans="1:28" x14ac:dyDescent="0.25">
      <c r="A22" s="55"/>
      <c r="B22" s="160" t="s">
        <v>628</v>
      </c>
      <c r="C22" s="161" t="s">
        <v>629</v>
      </c>
      <c r="D22" s="130"/>
      <c r="E22" s="53">
        <v>1</v>
      </c>
      <c r="F22" s="8">
        <v>118.01</v>
      </c>
      <c r="G22" s="9">
        <f t="shared" si="1"/>
        <v>81.39</v>
      </c>
      <c r="H22" s="10">
        <f t="shared" si="2"/>
        <v>118.01</v>
      </c>
      <c r="I22" s="42"/>
      <c r="J22" s="89">
        <f t="shared" si="0"/>
        <v>1</v>
      </c>
      <c r="K22" s="9">
        <f t="shared" si="3"/>
        <v>44.84</v>
      </c>
      <c r="L22" s="9">
        <f t="shared" si="4"/>
        <v>44.84</v>
      </c>
      <c r="M22" s="8" t="s">
        <v>112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44.84</v>
      </c>
      <c r="T22" s="14">
        <f t="shared" si="6"/>
        <v>44.84</v>
      </c>
      <c r="U22" s="29">
        <f t="shared" si="7"/>
        <v>0</v>
      </c>
      <c r="V22" s="29">
        <f t="shared" si="8"/>
        <v>1</v>
      </c>
      <c r="W22" s="27"/>
      <c r="X22" s="50"/>
      <c r="Y22" s="61" t="s">
        <v>123</v>
      </c>
      <c r="Z22" s="61">
        <v>1200</v>
      </c>
      <c r="AA22" s="61"/>
      <c r="AB22" s="61"/>
    </row>
    <row r="23" spans="1:28" x14ac:dyDescent="0.25">
      <c r="A23" s="55"/>
      <c r="B23" s="1"/>
      <c r="C23" s="4"/>
      <c r="D23" s="129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32" t="s">
        <v>112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126</v>
      </c>
      <c r="Z23" s="61">
        <v>2000</v>
      </c>
      <c r="AA23" s="61"/>
      <c r="AB23" s="61"/>
    </row>
    <row r="24" spans="1:28" x14ac:dyDescent="0.25">
      <c r="A24" s="55"/>
      <c r="B24" s="162">
        <v>5326680</v>
      </c>
      <c r="C24" s="4" t="s">
        <v>630</v>
      </c>
      <c r="D24" s="130"/>
      <c r="E24" s="53">
        <v>1</v>
      </c>
      <c r="F24" s="8">
        <v>12141.32</v>
      </c>
      <c r="G24" s="9">
        <f t="shared" si="1"/>
        <v>8373.32</v>
      </c>
      <c r="H24" s="10">
        <f t="shared" si="2"/>
        <v>12141.32</v>
      </c>
      <c r="I24" s="42"/>
      <c r="J24" s="89">
        <f t="shared" si="0"/>
        <v>1</v>
      </c>
      <c r="K24" s="9">
        <f t="shared" si="3"/>
        <v>4613.7</v>
      </c>
      <c r="L24" s="9">
        <f t="shared" si="4"/>
        <v>4613.7</v>
      </c>
      <c r="M24" s="8" t="s">
        <v>112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4613.7</v>
      </c>
      <c r="T24" s="14">
        <f t="shared" si="6"/>
        <v>4613.7</v>
      </c>
      <c r="U24" s="29">
        <f t="shared" si="7"/>
        <v>0</v>
      </c>
      <c r="V24" s="29">
        <f t="shared" si="8"/>
        <v>1</v>
      </c>
      <c r="W24" s="27"/>
      <c r="X24" s="50"/>
      <c r="Y24" s="61" t="s">
        <v>129</v>
      </c>
      <c r="Z24" s="61">
        <v>4000</v>
      </c>
      <c r="AA24" s="61"/>
      <c r="AB24" s="61"/>
    </row>
    <row r="25" spans="1:28" x14ac:dyDescent="0.25">
      <c r="A25" s="55"/>
      <c r="B25" s="1"/>
      <c r="C25" s="6" t="s">
        <v>631</v>
      </c>
      <c r="D25" s="129"/>
      <c r="E25" s="54">
        <v>1</v>
      </c>
      <c r="F25" s="15">
        <v>191.99</v>
      </c>
      <c r="G25" s="38">
        <f t="shared" si="1"/>
        <v>132.41</v>
      </c>
      <c r="H25" s="39">
        <f t="shared" si="2"/>
        <v>191.99</v>
      </c>
      <c r="I25" s="42"/>
      <c r="J25" s="88">
        <f t="shared" si="0"/>
        <v>1</v>
      </c>
      <c r="K25" s="38">
        <f t="shared" si="3"/>
        <v>191.99</v>
      </c>
      <c r="L25" s="38">
        <f t="shared" si="4"/>
        <v>191.99</v>
      </c>
      <c r="M25" s="132" t="s">
        <v>112</v>
      </c>
      <c r="N25" s="16"/>
      <c r="O25" s="51"/>
      <c r="P25" s="1"/>
      <c r="Q25" s="15"/>
      <c r="R25" s="40">
        <f t="shared" si="9"/>
        <v>0</v>
      </c>
      <c r="S25" s="52">
        <f t="shared" si="5"/>
        <v>191.99</v>
      </c>
      <c r="T25" s="52">
        <f t="shared" si="6"/>
        <v>191.99</v>
      </c>
      <c r="U25" s="41">
        <f t="shared" si="7"/>
        <v>0</v>
      </c>
      <c r="V25" s="41">
        <f t="shared" si="8"/>
        <v>1</v>
      </c>
      <c r="W25" s="28"/>
      <c r="X25" s="50"/>
      <c r="Y25" s="61" t="s">
        <v>132</v>
      </c>
      <c r="Z25" s="61">
        <v>6000</v>
      </c>
      <c r="AA25" s="61"/>
      <c r="AB25" s="61"/>
    </row>
    <row r="26" spans="1:28" x14ac:dyDescent="0.25">
      <c r="A26" s="55"/>
      <c r="B26" s="163">
        <v>3016675</v>
      </c>
      <c r="C26" s="4" t="s">
        <v>613</v>
      </c>
      <c r="D26" s="130"/>
      <c r="E26" s="53">
        <v>6</v>
      </c>
      <c r="F26" s="8">
        <v>1291.73</v>
      </c>
      <c r="G26" s="9">
        <f t="shared" si="1"/>
        <v>890.85</v>
      </c>
      <c r="H26" s="10">
        <f t="shared" si="2"/>
        <v>7750.38</v>
      </c>
      <c r="I26" s="42"/>
      <c r="J26" s="89">
        <f t="shared" si="0"/>
        <v>6</v>
      </c>
      <c r="K26" s="9">
        <f t="shared" si="3"/>
        <v>645.87</v>
      </c>
      <c r="L26" s="9">
        <f t="shared" si="4"/>
        <v>3875.22</v>
      </c>
      <c r="M26" s="8" t="s">
        <v>112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645.87</v>
      </c>
      <c r="T26" s="14">
        <f t="shared" si="6"/>
        <v>3875.22</v>
      </c>
      <c r="U26" s="29">
        <f t="shared" si="7"/>
        <v>0</v>
      </c>
      <c r="V26" s="29">
        <f t="shared" si="8"/>
        <v>1</v>
      </c>
      <c r="W26" s="27"/>
      <c r="X26" s="50"/>
      <c r="Y26" s="61" t="s">
        <v>135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112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139</v>
      </c>
      <c r="Z27" s="73">
        <v>10000</v>
      </c>
      <c r="AA27" s="61"/>
      <c r="AB27" s="61"/>
    </row>
    <row r="28" spans="1:28" x14ac:dyDescent="0.25">
      <c r="A28" s="55"/>
      <c r="B28" s="133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112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142</v>
      </c>
      <c r="Z28" s="61" t="s">
        <v>138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112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145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112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112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112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112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152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112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112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112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112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112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112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112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112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112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112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112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112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112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112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112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112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112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112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112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112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112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112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112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112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112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112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112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112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161</v>
      </c>
      <c r="E61" s="77">
        <f>SUM(E18:E60)</f>
        <v>13</v>
      </c>
      <c r="F61" s="78">
        <f>SUM(F18:F60)</f>
        <v>14089.749999999998</v>
      </c>
      <c r="G61" s="79">
        <f>SUM(G18:G60)</f>
        <v>9717.07</v>
      </c>
      <c r="H61" s="80">
        <f>SUM(H18:H60)</f>
        <v>20548.399999999998</v>
      </c>
      <c r="I61" s="81"/>
      <c r="J61" s="82">
        <f>SUM(J18:J60)</f>
        <v>13</v>
      </c>
      <c r="K61" s="79">
        <f>SUM(K18:K60)</f>
        <v>5628.15</v>
      </c>
      <c r="L61" s="80">
        <f>SUM(L18:L60)</f>
        <v>8857.5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5628.15</v>
      </c>
      <c r="T61" s="80">
        <f>SUM(T18:T60)</f>
        <v>8857.5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M18:M60" xr:uid="{C60901DC-BEF3-45D9-8808-A344A904B996}">
      <formula1>$Y$31:$Y$32</formula1>
    </dataValidation>
    <dataValidation type="list" showInputMessage="1" showErrorMessage="1" sqref="D18:D60" xr:uid="{F4065C03-198A-4ED7-B1AD-97D383BDE334}">
      <formula1>$Z$18:$Z$29</formula1>
    </dataValidation>
    <dataValidation type="list" allowBlank="1" showInputMessage="1" showErrorMessage="1" sqref="I13" xr:uid="{8E6BE2CC-B231-4F29-8300-2065F1CB154C}">
      <formula1>$K$9:$K$9</formula1>
    </dataValidation>
    <dataValidation type="list" allowBlank="1" showInputMessage="1" showErrorMessage="1" sqref="H13" xr:uid="{328A7E80-4DD1-442F-8B28-13B9676E203A}">
      <formula1>$Y$13:$Y$14</formula1>
    </dataValidation>
    <dataValidation type="list" allowBlank="1" showInputMessage="1" showErrorMessage="1" sqref="F17 K17 Q17 Q14" xr:uid="{4D671470-4941-49F0-959E-1B03105CA65B}">
      <formula1>$Y$11:$Y$12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Instructions</vt:lpstr>
      <vt:lpstr>CAT 14 GRADER (EN4)</vt:lpstr>
      <vt:lpstr>CAT 255</vt:lpstr>
      <vt:lpstr>CAT 255 (2)</vt:lpstr>
      <vt:lpstr>CAT 255 (FL7)</vt:lpstr>
      <vt:lpstr>CAT 329EL (ZCD)</vt:lpstr>
      <vt:lpstr>CAT TL1055C (KDE)</vt:lpstr>
      <vt:lpstr>JD 333G (1T0)</vt:lpstr>
      <vt:lpstr>JD 470P (1FF)</vt:lpstr>
      <vt:lpstr>JD 624K (DW6)</vt:lpstr>
      <vt:lpstr>JD 764 (100)</vt:lpstr>
      <vt:lpstr>KOM D71PX-24 (1)</vt:lpstr>
      <vt:lpstr>KOM D71PX-24 (2)</vt:lpstr>
      <vt:lpstr>KOM D71PX-24 (3)</vt:lpstr>
      <vt:lpstr>KOM D71PX-24 (4)</vt:lpstr>
      <vt:lpstr>KOM D71PX-24 (5)</vt:lpstr>
      <vt:lpstr>KOM D71PX-24 (6)</vt:lpstr>
      <vt:lpstr>KOM D71PX-24 (7)</vt:lpstr>
      <vt:lpstr>KOM HM400-5 (1)</vt:lpstr>
      <vt:lpstr>KOM HM400-5 (2)</vt:lpstr>
      <vt:lpstr>KOM HM400-5 (3)</vt:lpstr>
      <vt:lpstr>KOM HM400-5 (4)</vt:lpstr>
      <vt:lpstr>KOM HM400-5 (5)</vt:lpstr>
      <vt:lpstr>KOM HM400-5 (6)</vt:lpstr>
      <vt:lpstr>KOM HM400-5 (7)</vt:lpstr>
      <vt:lpstr>KOM HM400-5 (8)</vt:lpstr>
      <vt:lpstr>KOM HM400-5 (9)</vt:lpstr>
      <vt:lpstr>KOM HM400-5 (10)</vt:lpstr>
      <vt:lpstr>KOM HM400 (11)</vt:lpstr>
      <vt:lpstr>KOM HM400 (12)</vt:lpstr>
      <vt:lpstr>KOM HM400 (13)</vt:lpstr>
      <vt:lpstr>KOM HM400-5 (14)</vt:lpstr>
      <vt:lpstr>KOM PC138USLC-11</vt:lpstr>
      <vt:lpstr>KOM PC238USLC-11 (1)</vt:lpstr>
      <vt:lpstr>KOM PC238USLC-11 (2)</vt:lpstr>
      <vt:lpstr>KOM WA380-8 (1)</vt:lpstr>
      <vt:lpstr>KOM WA380-8 (2)</vt:lpstr>
      <vt:lpstr>KOM PC490LC-11 (A42)</vt:lpstr>
      <vt:lpstr>KOM PC490LC-11 (A42) (2)</vt:lpstr>
      <vt:lpstr>KOM PC490LC-11 (A42) (3)</vt:lpstr>
      <vt:lpstr>KOM PC490LC-11 (A42) (4)</vt:lpstr>
      <vt:lpstr>KOM PC490LC-11 (A42) (5)</vt:lpstr>
      <vt:lpstr>KOM PC490LC-11 (A43)</vt:lpstr>
      <vt:lpstr>KOM PC490LC-11 (KMT) (1)</vt:lpstr>
      <vt:lpstr>KOM PC490LC-11 (KMT) (2)</vt:lpstr>
      <vt:lpstr>KOM PC490LC-11 (KMT) (3)</vt:lpstr>
      <vt:lpstr>KOM WA320-8 (867)</vt:lpstr>
      <vt:lpstr>KOM WA320PZ-6 (729)</vt:lpstr>
      <vt:lpstr>KOM PC360LC-11 (A37)</vt:lpstr>
      <vt:lpstr>KOM PC360LC-11 (A39)</vt:lpstr>
      <vt:lpstr>KOM PC360LC-11 (A39) (2)</vt:lpstr>
      <vt:lpstr>KOM WA475-10 (120)</vt:lpstr>
      <vt:lpstr>KOM PC290LC-11 (K73)</vt:lpstr>
      <vt:lpstr>KOM D61PX-24 (B60)</vt:lpstr>
      <vt:lpstr>BW211 901583251951</vt:lpstr>
      <vt:lpstr>BOBCAT T66 (B4S)</vt:lpstr>
      <vt:lpstr>BOBCAT T64 (B4S)</vt:lpstr>
      <vt:lpstr>Peterbilt 348 2NP3LJ06LM682275</vt:lpstr>
      <vt:lpstr>Peterbilt 348 2NP3LJ0X6NM800232</vt:lpstr>
      <vt:lpstr>Peterbilt 348 2NP3LJ0X6NM800233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Tska0734</cp:lastModifiedBy>
  <cp:revision/>
  <dcterms:created xsi:type="dcterms:W3CDTF">2024-03-27T02:49:14Z</dcterms:created>
  <dcterms:modified xsi:type="dcterms:W3CDTF">2025-11-11T13:50:46Z</dcterms:modified>
  <cp:category/>
  <cp:contentStatus/>
</cp:coreProperties>
</file>